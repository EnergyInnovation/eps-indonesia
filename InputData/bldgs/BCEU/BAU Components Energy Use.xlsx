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Users/ssy02/Desktop/"/>
    </mc:Choice>
  </mc:AlternateContent>
  <xr:revisionPtr revIDLastSave="0" documentId="13_ncr:1_{7FE12DD8-5958-EA40-A00C-6976C8CC8DAC}" xr6:coauthVersionLast="47" xr6:coauthVersionMax="47" xr10:uidLastSave="{00000000-0000-0000-0000-000000000000}"/>
  <bookViews>
    <workbookView xWindow="0" yWindow="780" windowWidth="34200" windowHeight="21360" firstSheet="10" activeTab="13" xr2:uid="{0E0FA73B-1414-F645-9160-0CF9E3925685}"/>
  </bookViews>
  <sheets>
    <sheet name="About " sheetId="1" r:id="rId1"/>
    <sheet name="Commercial" sheetId="42" r:id="rId2"/>
    <sheet name="Commercial-Conversion" sheetId="11" r:id="rId3"/>
    <sheet name="Electricity" sheetId="43" r:id="rId4"/>
    <sheet name="Electricity-Conversion" sheetId="13" r:id="rId5"/>
    <sheet name="Total Other Sectors" sheetId="12" r:id="rId6"/>
    <sheet name="Total Electricity Consumption" sheetId="14" r:id="rId7"/>
    <sheet name="Commercial-Heating" sheetId="5" r:id="rId8"/>
    <sheet name="Commercial-Cooling" sheetId="6" r:id="rId9"/>
    <sheet name="Commercial-Lighting" sheetId="7" r:id="rId10"/>
    <sheet name="Commercial-Appliances" sheetId="8" r:id="rId11"/>
    <sheet name="Commercial-Others" sheetId="9" r:id="rId12"/>
    <sheet name="Residential" sheetId="44" r:id="rId13"/>
    <sheet name="Residential-Conversion" sheetId="15" r:id="rId14"/>
    <sheet name="Residentail-Heating" sheetId="16" r:id="rId15"/>
    <sheet name="Residential-Cooling" sheetId="17" r:id="rId16"/>
    <sheet name="Residential-lighting" sheetId="18" r:id="rId17"/>
    <sheet name="Residential-Appliances" sheetId="19" r:id="rId18"/>
    <sheet name="Residential-Other" sheetId="20" r:id="rId19"/>
    <sheet name="Conversion" sheetId="25" r:id="rId20"/>
    <sheet name="BCEU-urban-residential-heating" sheetId="26" r:id="rId21"/>
    <sheet name="BCEU-urban-residential-cooling" sheetId="27" r:id="rId22"/>
    <sheet name="BCEU-urban-residential-lighting" sheetId="28" r:id="rId23"/>
    <sheet name="BCEU-urban-residential-appl" sheetId="29" r:id="rId24"/>
    <sheet name="BCEU-urban-residential-other" sheetId="30" r:id="rId25"/>
    <sheet name="BCEU-rural-residential-heating" sheetId="31" r:id="rId26"/>
    <sheet name="BCEU-rural-residential-cooling" sheetId="32" r:id="rId27"/>
    <sheet name="BCEU-rural-residential-lighting" sheetId="33" r:id="rId28"/>
    <sheet name="BCEU-rural-residential-appl" sheetId="36" r:id="rId29"/>
    <sheet name="BCEU-rural-residential-other" sheetId="34" r:id="rId30"/>
    <sheet name="BCEU-commercial-heating" sheetId="35" r:id="rId31"/>
    <sheet name="BCEU-commercial-cooling" sheetId="37" r:id="rId32"/>
    <sheet name="BCEU-commercial-lighting" sheetId="38" r:id="rId33"/>
    <sheet name="BCEU-commercial-appl" sheetId="39" r:id="rId34"/>
    <sheet name="BCEU-commercial-other" sheetId="40" r:id="rId35"/>
    <sheet name="BCEU-all-envelope" sheetId="41" r:id="rId3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2" l="1"/>
  <c r="D2" i="12"/>
  <c r="E2" i="12"/>
  <c r="F2" i="12"/>
  <c r="G2" i="12"/>
  <c r="H2" i="12"/>
  <c r="I2" i="12"/>
  <c r="J2" i="12"/>
  <c r="K2" i="12"/>
  <c r="L2" i="12"/>
  <c r="M2" i="12"/>
  <c r="N2" i="12"/>
  <c r="O2" i="12"/>
  <c r="P2" i="12"/>
  <c r="Q2" i="12"/>
  <c r="R2" i="12"/>
  <c r="S2" i="12"/>
  <c r="T2" i="12"/>
  <c r="U2" i="12"/>
  <c r="V2" i="12"/>
  <c r="W2" i="12"/>
  <c r="X2" i="12"/>
  <c r="Y2" i="12"/>
  <c r="Z2" i="12"/>
  <c r="AA2" i="12"/>
  <c r="AB2" i="12"/>
  <c r="AC2" i="12"/>
  <c r="AD2" i="12"/>
  <c r="AE2" i="12"/>
  <c r="AF2" i="12"/>
  <c r="AG2" i="12"/>
  <c r="AH2" i="12"/>
  <c r="AI2" i="12"/>
  <c r="AJ2" i="12"/>
  <c r="AK2" i="12"/>
  <c r="AL2" i="12"/>
  <c r="AM2" i="12"/>
  <c r="AN2" i="12"/>
  <c r="C3" i="12"/>
  <c r="D3" i="12"/>
  <c r="E3" i="12"/>
  <c r="F3" i="12"/>
  <c r="G3" i="12"/>
  <c r="H3" i="12"/>
  <c r="I3" i="12"/>
  <c r="J3" i="12"/>
  <c r="K3" i="12"/>
  <c r="L3" i="12"/>
  <c r="M3" i="12"/>
  <c r="N3" i="12"/>
  <c r="O3" i="12"/>
  <c r="P3" i="12"/>
  <c r="Q3" i="12"/>
  <c r="R3" i="12"/>
  <c r="S3" i="12"/>
  <c r="T3" i="12"/>
  <c r="U3" i="12"/>
  <c r="V3" i="12"/>
  <c r="W3" i="12"/>
  <c r="X3" i="12"/>
  <c r="Y3" i="12"/>
  <c r="Z3" i="12"/>
  <c r="AA3" i="12"/>
  <c r="AB3" i="12"/>
  <c r="AC3" i="12"/>
  <c r="AD3" i="12"/>
  <c r="AE3" i="12"/>
  <c r="AF3" i="12"/>
  <c r="AG3" i="12"/>
  <c r="AH3" i="12"/>
  <c r="AI3" i="12"/>
  <c r="AJ3" i="12"/>
  <c r="AK3" i="12"/>
  <c r="AL3" i="12"/>
  <c r="AM3" i="12"/>
  <c r="AN3" i="12"/>
  <c r="C4" i="12"/>
  <c r="D4" i="12"/>
  <c r="E4" i="12"/>
  <c r="F4" i="12"/>
  <c r="G4" i="12"/>
  <c r="H4" i="12"/>
  <c r="I4" i="12"/>
  <c r="J4" i="12"/>
  <c r="K4" i="12"/>
  <c r="L4" i="12"/>
  <c r="M4" i="12"/>
  <c r="N4" i="12"/>
  <c r="O4" i="12"/>
  <c r="P4" i="12"/>
  <c r="Q4" i="12"/>
  <c r="R4" i="12"/>
  <c r="S4" i="12"/>
  <c r="T4" i="12"/>
  <c r="U4" i="12"/>
  <c r="V4" i="12"/>
  <c r="W4" i="12"/>
  <c r="X4" i="12"/>
  <c r="Y4" i="12"/>
  <c r="Z4" i="12"/>
  <c r="AA4" i="12"/>
  <c r="AB4" i="12"/>
  <c r="AC4" i="12"/>
  <c r="AD4" i="12"/>
  <c r="AE4" i="12"/>
  <c r="AF4" i="12"/>
  <c r="AG4" i="12"/>
  <c r="AH4" i="12"/>
  <c r="AI4" i="12"/>
  <c r="AJ4" i="12"/>
  <c r="AK4" i="12"/>
  <c r="AL4" i="12"/>
  <c r="AM4" i="12"/>
  <c r="AN4" i="12"/>
  <c r="C5" i="12"/>
  <c r="D5" i="12"/>
  <c r="E5" i="12"/>
  <c r="F5" i="12"/>
  <c r="G5" i="12"/>
  <c r="H5" i="12"/>
  <c r="I5" i="12"/>
  <c r="J5" i="12"/>
  <c r="K5" i="12"/>
  <c r="L5" i="12"/>
  <c r="M5" i="12"/>
  <c r="N5" i="12"/>
  <c r="O5" i="12"/>
  <c r="P5" i="12"/>
  <c r="Q5" i="12"/>
  <c r="R5" i="12"/>
  <c r="S5" i="12"/>
  <c r="T5" i="12"/>
  <c r="U5" i="12"/>
  <c r="V5" i="12"/>
  <c r="W5" i="12"/>
  <c r="X5" i="12"/>
  <c r="Y5" i="12"/>
  <c r="Z5" i="12"/>
  <c r="AA5" i="12"/>
  <c r="AB5" i="12"/>
  <c r="AC5" i="12"/>
  <c r="AD5" i="12"/>
  <c r="AE5" i="12"/>
  <c r="AF5" i="12"/>
  <c r="AG5" i="12"/>
  <c r="AH5" i="12"/>
  <c r="AI5" i="12"/>
  <c r="AJ5" i="12"/>
  <c r="AK5" i="12"/>
  <c r="AL5" i="12"/>
  <c r="AM5" i="12"/>
  <c r="AN5" i="12"/>
  <c r="C6" i="12"/>
  <c r="D6" i="12"/>
  <c r="E6" i="12"/>
  <c r="F6" i="12"/>
  <c r="G6" i="12"/>
  <c r="H6" i="12"/>
  <c r="I6" i="12"/>
  <c r="J6" i="12"/>
  <c r="K6" i="12"/>
  <c r="L6" i="12"/>
  <c r="M6" i="12"/>
  <c r="N6" i="12"/>
  <c r="O6" i="12"/>
  <c r="P6" i="12"/>
  <c r="Q6" i="12"/>
  <c r="R6" i="12"/>
  <c r="S6" i="12"/>
  <c r="T6" i="12"/>
  <c r="U6" i="12"/>
  <c r="V6" i="12"/>
  <c r="W6" i="12"/>
  <c r="X6" i="12"/>
  <c r="Y6" i="12"/>
  <c r="Z6" i="12"/>
  <c r="AA6" i="12"/>
  <c r="AB6" i="12"/>
  <c r="AC6" i="12"/>
  <c r="AD6" i="12"/>
  <c r="AE6" i="12"/>
  <c r="AF6" i="12"/>
  <c r="AG6" i="12"/>
  <c r="AH6" i="12"/>
  <c r="AI6" i="12"/>
  <c r="AJ6" i="12"/>
  <c r="AK6" i="12"/>
  <c r="AL6" i="12"/>
  <c r="AM6" i="12"/>
  <c r="AN6" i="12"/>
  <c r="C7" i="12"/>
  <c r="D7" i="12"/>
  <c r="E7" i="12"/>
  <c r="F7" i="12"/>
  <c r="G7" i="12"/>
  <c r="H7" i="12"/>
  <c r="I7" i="12"/>
  <c r="J7" i="12"/>
  <c r="K7" i="12"/>
  <c r="L7" i="12"/>
  <c r="M7" i="12"/>
  <c r="N7" i="12"/>
  <c r="O7" i="12"/>
  <c r="P7" i="12"/>
  <c r="Q7" i="12"/>
  <c r="R7" i="12"/>
  <c r="S7" i="12"/>
  <c r="T7" i="12"/>
  <c r="U7" i="12"/>
  <c r="V7" i="12"/>
  <c r="W7" i="12"/>
  <c r="X7" i="12"/>
  <c r="Y7" i="12"/>
  <c r="Z7" i="12"/>
  <c r="AA7" i="12"/>
  <c r="AB7" i="12"/>
  <c r="AC7" i="12"/>
  <c r="AD7" i="12"/>
  <c r="AE7" i="12"/>
  <c r="AF7" i="12"/>
  <c r="AG7" i="12"/>
  <c r="AH7" i="12"/>
  <c r="AI7" i="12"/>
  <c r="AJ7" i="12"/>
  <c r="AK7" i="12"/>
  <c r="AL7" i="12"/>
  <c r="AM7" i="12"/>
  <c r="AN7" i="12"/>
  <c r="C8" i="12"/>
  <c r="D8" i="12"/>
  <c r="E8" i="12"/>
  <c r="F8" i="12"/>
  <c r="G8" i="12"/>
  <c r="H8" i="12"/>
  <c r="I8" i="12"/>
  <c r="J8" i="12"/>
  <c r="K8" i="12"/>
  <c r="L8" i="12"/>
  <c r="M8" i="12"/>
  <c r="N8" i="12"/>
  <c r="O8" i="12"/>
  <c r="P8" i="12"/>
  <c r="Q8" i="12"/>
  <c r="R8" i="12"/>
  <c r="S8" i="12"/>
  <c r="T8" i="12"/>
  <c r="U8" i="12"/>
  <c r="V8" i="12"/>
  <c r="W8" i="12"/>
  <c r="X8" i="12"/>
  <c r="Y8" i="12"/>
  <c r="Z8" i="12"/>
  <c r="AA8" i="12"/>
  <c r="AB8" i="12"/>
  <c r="AC8" i="12"/>
  <c r="AD8" i="12"/>
  <c r="AE8" i="12"/>
  <c r="AF8" i="12"/>
  <c r="AG8" i="12"/>
  <c r="AH8" i="12"/>
  <c r="AI8" i="12"/>
  <c r="AJ8" i="12"/>
  <c r="AK8" i="12"/>
  <c r="AL8" i="12"/>
  <c r="AM8" i="12"/>
  <c r="AN8" i="12"/>
  <c r="C9" i="12"/>
  <c r="D9" i="12"/>
  <c r="E9" i="12"/>
  <c r="F9" i="12"/>
  <c r="G9" i="12"/>
  <c r="H9" i="12"/>
  <c r="I9" i="12"/>
  <c r="J9" i="12"/>
  <c r="K9" i="12"/>
  <c r="L9" i="12"/>
  <c r="M9" i="12"/>
  <c r="N9" i="12"/>
  <c r="O9" i="12"/>
  <c r="P9" i="12"/>
  <c r="Q9" i="12"/>
  <c r="R9" i="12"/>
  <c r="S9" i="12"/>
  <c r="T9" i="12"/>
  <c r="U9" i="12"/>
  <c r="V9" i="12"/>
  <c r="W9" i="12"/>
  <c r="X9" i="12"/>
  <c r="Y9" i="12"/>
  <c r="Z9" i="12"/>
  <c r="AA9" i="12"/>
  <c r="AB9" i="12"/>
  <c r="AC9" i="12"/>
  <c r="AD9" i="12"/>
  <c r="AE9" i="12"/>
  <c r="AF9" i="12"/>
  <c r="AG9" i="12"/>
  <c r="AH9" i="12"/>
  <c r="AI9" i="12"/>
  <c r="AJ9" i="12"/>
  <c r="AK9" i="12"/>
  <c r="AL9" i="12"/>
  <c r="AM9" i="12"/>
  <c r="AN9" i="12"/>
  <c r="B8" i="12"/>
  <c r="B7" i="12"/>
  <c r="B2" i="12"/>
  <c r="B3" i="12"/>
  <c r="B4" i="12"/>
  <c r="B6" i="12"/>
  <c r="B5" i="12"/>
  <c r="C15" i="15"/>
  <c r="D15" i="15"/>
  <c r="E15" i="15"/>
  <c r="F15" i="15"/>
  <c r="G15" i="15"/>
  <c r="H15" i="15"/>
  <c r="I15" i="15"/>
  <c r="J15" i="15"/>
  <c r="K15" i="15"/>
  <c r="L15" i="15"/>
  <c r="M15" i="15"/>
  <c r="N15" i="15"/>
  <c r="O15" i="15"/>
  <c r="P15" i="15"/>
  <c r="Q15" i="15"/>
  <c r="R15" i="15"/>
  <c r="S15" i="15"/>
  <c r="T15" i="15"/>
  <c r="U15" i="15"/>
  <c r="V15" i="15"/>
  <c r="W15" i="15"/>
  <c r="X15" i="15"/>
  <c r="Y15" i="15"/>
  <c r="Z15" i="15"/>
  <c r="AA15" i="15"/>
  <c r="AB15" i="15"/>
  <c r="AC15" i="15"/>
  <c r="AD15" i="15"/>
  <c r="AE15" i="15"/>
  <c r="AF15" i="15"/>
  <c r="AG15" i="15"/>
  <c r="AH15" i="15"/>
  <c r="AI15" i="15"/>
  <c r="AJ15" i="15"/>
  <c r="AK15" i="15"/>
  <c r="AL15" i="15"/>
  <c r="AM15" i="15"/>
  <c r="AN15" i="15"/>
  <c r="B15" i="15"/>
  <c r="C16" i="16" l="1"/>
  <c r="C17" i="16"/>
  <c r="C15" i="16"/>
  <c r="C23" i="15"/>
  <c r="D23" i="15"/>
  <c r="E23" i="15"/>
  <c r="F23" i="15"/>
  <c r="G23" i="15"/>
  <c r="J10" i="16" s="1"/>
  <c r="H23" i="15"/>
  <c r="K10" i="16" s="1"/>
  <c r="I23" i="15"/>
  <c r="J23" i="15"/>
  <c r="K23" i="15"/>
  <c r="L23" i="15"/>
  <c r="M23" i="15"/>
  <c r="N23" i="15"/>
  <c r="Q10" i="16" s="1"/>
  <c r="O23" i="15"/>
  <c r="R10" i="16" s="1"/>
  <c r="P23" i="15"/>
  <c r="S10" i="16" s="1"/>
  <c r="Q23" i="15"/>
  <c r="R23" i="15"/>
  <c r="S23" i="15"/>
  <c r="T23" i="15"/>
  <c r="U23" i="15"/>
  <c r="V23" i="15"/>
  <c r="Y10" i="16" s="1"/>
  <c r="W23" i="15"/>
  <c r="Z10" i="16" s="1"/>
  <c r="X23" i="15"/>
  <c r="AA10" i="16" s="1"/>
  <c r="Y23" i="15"/>
  <c r="Z23" i="15"/>
  <c r="AA23" i="15"/>
  <c r="AB23" i="15"/>
  <c r="AC23" i="15"/>
  <c r="AD23" i="15"/>
  <c r="AG10" i="16" s="1"/>
  <c r="AE23" i="15"/>
  <c r="AH10" i="16" s="1"/>
  <c r="AF23" i="15"/>
  <c r="AI10" i="16" s="1"/>
  <c r="AG23" i="15"/>
  <c r="AH23" i="15"/>
  <c r="AI23" i="15"/>
  <c r="AJ23" i="15"/>
  <c r="AK23" i="15"/>
  <c r="AL23" i="15"/>
  <c r="AO10" i="16" s="1"/>
  <c r="AM23" i="15"/>
  <c r="AP10" i="16" s="1"/>
  <c r="AN23" i="15"/>
  <c r="AQ10" i="16" s="1"/>
  <c r="B23" i="15"/>
  <c r="F10" i="16"/>
  <c r="G10" i="16"/>
  <c r="H10" i="16"/>
  <c r="I10" i="16"/>
  <c r="L10" i="16"/>
  <c r="M10" i="16"/>
  <c r="N10" i="16"/>
  <c r="O10" i="16"/>
  <c r="P10" i="16"/>
  <c r="T10" i="16"/>
  <c r="U10" i="16"/>
  <c r="V10" i="16"/>
  <c r="W10" i="16"/>
  <c r="X10" i="16"/>
  <c r="AB10" i="16"/>
  <c r="AC10" i="16"/>
  <c r="AD10" i="16"/>
  <c r="AE10" i="16"/>
  <c r="AF10" i="16"/>
  <c r="AJ10" i="16"/>
  <c r="AK10" i="16"/>
  <c r="AL10" i="16"/>
  <c r="AM10" i="16"/>
  <c r="AN10" i="16"/>
  <c r="E10" i="16"/>
  <c r="F2" i="19"/>
  <c r="G2" i="19"/>
  <c r="H2" i="19"/>
  <c r="I2" i="19"/>
  <c r="J2" i="19"/>
  <c r="K2" i="19"/>
  <c r="L2" i="19"/>
  <c r="M2" i="19"/>
  <c r="N2" i="19"/>
  <c r="O2" i="19"/>
  <c r="P2" i="19"/>
  <c r="Q2" i="19"/>
  <c r="R2" i="19"/>
  <c r="S2" i="19"/>
  <c r="T2" i="19"/>
  <c r="U2" i="19"/>
  <c r="V2" i="19"/>
  <c r="W2" i="19"/>
  <c r="X2" i="19"/>
  <c r="Y2" i="19"/>
  <c r="Z2" i="19"/>
  <c r="AA2" i="19"/>
  <c r="AB2" i="19"/>
  <c r="AC2" i="19"/>
  <c r="AD2" i="19"/>
  <c r="AE2" i="19"/>
  <c r="AF2" i="19"/>
  <c r="AG2" i="19"/>
  <c r="AH2" i="19"/>
  <c r="AI2" i="19"/>
  <c r="AJ2" i="19"/>
  <c r="AK2" i="19"/>
  <c r="AL2" i="19"/>
  <c r="AM2" i="19"/>
  <c r="AN2" i="19"/>
  <c r="AO2" i="19"/>
  <c r="AP2" i="19"/>
  <c r="AQ2" i="19"/>
  <c r="E2" i="19"/>
  <c r="F2" i="17"/>
  <c r="G2" i="17"/>
  <c r="H2" i="17"/>
  <c r="I2" i="17"/>
  <c r="J2" i="17"/>
  <c r="K2" i="17"/>
  <c r="L2" i="17"/>
  <c r="M2" i="17"/>
  <c r="N2" i="17"/>
  <c r="O2" i="17"/>
  <c r="P2" i="17"/>
  <c r="Q2" i="17"/>
  <c r="R2" i="17"/>
  <c r="S2" i="17"/>
  <c r="T2" i="17"/>
  <c r="U2" i="17"/>
  <c r="V2" i="17"/>
  <c r="W2" i="17"/>
  <c r="X2" i="17"/>
  <c r="Y2" i="17"/>
  <c r="Z2" i="17"/>
  <c r="AA2" i="17"/>
  <c r="AB2" i="17"/>
  <c r="AC2" i="17"/>
  <c r="AD2" i="17"/>
  <c r="AE2" i="17"/>
  <c r="AF2" i="17"/>
  <c r="AG2" i="17"/>
  <c r="AH2" i="17"/>
  <c r="AI2" i="17"/>
  <c r="AJ2" i="17"/>
  <c r="AK2" i="17"/>
  <c r="AL2" i="17"/>
  <c r="AM2" i="17"/>
  <c r="AN2" i="17"/>
  <c r="AO2" i="17"/>
  <c r="AP2" i="17"/>
  <c r="AQ2" i="17"/>
  <c r="E2" i="17"/>
  <c r="B9" i="12"/>
  <c r="O2" i="9" l="1"/>
  <c r="E2" i="9"/>
  <c r="F2" i="7"/>
  <c r="G2" i="7"/>
  <c r="H2" i="7"/>
  <c r="I2" i="7"/>
  <c r="J2" i="7"/>
  <c r="K2" i="7"/>
  <c r="L2" i="7"/>
  <c r="M2" i="7"/>
  <c r="N2" i="7"/>
  <c r="O2" i="7"/>
  <c r="P2" i="7"/>
  <c r="Q2" i="7"/>
  <c r="R2" i="7"/>
  <c r="S2" i="7"/>
  <c r="T2" i="7"/>
  <c r="U2" i="7"/>
  <c r="V2" i="7"/>
  <c r="W2" i="7"/>
  <c r="X2" i="7"/>
  <c r="Y2" i="7"/>
  <c r="Z2" i="7"/>
  <c r="AA2" i="7"/>
  <c r="AB2" i="7"/>
  <c r="AC2" i="7"/>
  <c r="AD2" i="7"/>
  <c r="AE2" i="7"/>
  <c r="AF2" i="7"/>
  <c r="AG2" i="7"/>
  <c r="AH2" i="7"/>
  <c r="AI2" i="7"/>
  <c r="AJ2" i="7"/>
  <c r="AK2" i="7"/>
  <c r="AL2" i="7"/>
  <c r="AM2" i="7"/>
  <c r="AN2" i="7"/>
  <c r="AO2" i="7"/>
  <c r="AP2" i="7"/>
  <c r="AQ2" i="7"/>
  <c r="E2" i="7"/>
  <c r="D2" i="7"/>
  <c r="C2" i="7"/>
  <c r="B2" i="7"/>
  <c r="AQ2" i="9"/>
  <c r="AP2" i="9"/>
  <c r="AO2" i="9"/>
  <c r="AN2" i="9"/>
  <c r="AM2" i="9"/>
  <c r="AL2" i="9"/>
  <c r="AK2" i="9"/>
  <c r="AJ2" i="9"/>
  <c r="AI2" i="9"/>
  <c r="AH2" i="9"/>
  <c r="AG2" i="9"/>
  <c r="AF2" i="9"/>
  <c r="AE2" i="9"/>
  <c r="AD2" i="9"/>
  <c r="AC2" i="9"/>
  <c r="AB2" i="9"/>
  <c r="AA2" i="9"/>
  <c r="Z2" i="9"/>
  <c r="Y2" i="9"/>
  <c r="X2" i="9"/>
  <c r="W2" i="9"/>
  <c r="V2" i="9"/>
  <c r="U2" i="9"/>
  <c r="T2" i="9"/>
  <c r="S2" i="9"/>
  <c r="R2" i="9"/>
  <c r="Q2" i="9"/>
  <c r="P2" i="9"/>
  <c r="N2" i="9"/>
  <c r="M2" i="9"/>
  <c r="L2" i="9"/>
  <c r="K2" i="9"/>
  <c r="J2" i="9"/>
  <c r="I2" i="9"/>
  <c r="H2" i="9"/>
  <c r="G2" i="9"/>
  <c r="F2" i="9"/>
  <c r="B5" i="14" l="1"/>
  <c r="B4" i="14"/>
  <c r="B2" i="14"/>
  <c r="B3" i="14"/>
  <c r="I7" i="9"/>
  <c r="J7" i="9"/>
  <c r="L7" i="9"/>
  <c r="R7" i="9"/>
  <c r="S7" i="9"/>
  <c r="Y7" i="9"/>
  <c r="AA7" i="9"/>
  <c r="AG7" i="9"/>
  <c r="AK7" i="9"/>
  <c r="AQ7" i="9"/>
  <c r="E7" i="9"/>
  <c r="Z7" i="9"/>
  <c r="AI7" i="9"/>
  <c r="AJ7" i="9"/>
  <c r="N7" i="9"/>
  <c r="T7" i="9"/>
  <c r="AB7" i="9"/>
  <c r="AH7" i="9"/>
  <c r="F7" i="9"/>
  <c r="AN7" i="9"/>
  <c r="AM7" i="9"/>
  <c r="AE7" i="9"/>
  <c r="AD7" i="9"/>
  <c r="AC7" i="9"/>
  <c r="X7" i="9"/>
  <c r="V7" i="9"/>
  <c r="U7" i="9"/>
  <c r="P7" i="9"/>
  <c r="M7" i="9"/>
  <c r="H7" i="9"/>
  <c r="G7" i="9"/>
  <c r="K7" i="9"/>
  <c r="O7" i="9"/>
  <c r="Q7" i="9"/>
  <c r="W7" i="9"/>
  <c r="AF7" i="9"/>
  <c r="AL7" i="9"/>
  <c r="AO7" i="9"/>
  <c r="AP7" i="9"/>
  <c r="F6" i="9"/>
  <c r="G6" i="9"/>
  <c r="H6" i="9"/>
  <c r="I6" i="9"/>
  <c r="J6" i="9"/>
  <c r="K6" i="9"/>
  <c r="L6" i="9"/>
  <c r="M6" i="9"/>
  <c r="N6" i="9"/>
  <c r="O6" i="9"/>
  <c r="P6" i="9"/>
  <c r="Q6" i="9"/>
  <c r="R6" i="9"/>
  <c r="S6" i="9"/>
  <c r="T6" i="9"/>
  <c r="U6" i="9"/>
  <c r="V6" i="9"/>
  <c r="W6" i="9"/>
  <c r="X6" i="9"/>
  <c r="Y6" i="9"/>
  <c r="Z6" i="9"/>
  <c r="AA6" i="9"/>
  <c r="AB6" i="9"/>
  <c r="AC6" i="9"/>
  <c r="AD6" i="9"/>
  <c r="AE6" i="9"/>
  <c r="AF6" i="9"/>
  <c r="AG6" i="9"/>
  <c r="AH6" i="9"/>
  <c r="AI6" i="9"/>
  <c r="AJ6" i="9"/>
  <c r="AK6" i="9"/>
  <c r="AL6" i="9"/>
  <c r="AM6" i="9"/>
  <c r="AN6" i="9"/>
  <c r="AO6" i="9"/>
  <c r="AP6" i="9"/>
  <c r="AQ6" i="9"/>
  <c r="E6" i="9"/>
  <c r="AQ11" i="39"/>
  <c r="AP11" i="39"/>
  <c r="AO11" i="39"/>
  <c r="AN11" i="39"/>
  <c r="AM11" i="39"/>
  <c r="AL11" i="39"/>
  <c r="AK11" i="39"/>
  <c r="AJ11" i="39"/>
  <c r="AI11" i="39"/>
  <c r="AH11" i="39"/>
  <c r="AG11" i="39"/>
  <c r="AF11" i="39"/>
  <c r="AE11" i="39"/>
  <c r="AD11" i="39"/>
  <c r="AC11" i="39"/>
  <c r="AB11" i="39"/>
  <c r="AA11" i="39"/>
  <c r="Z11" i="39"/>
  <c r="Y11" i="39"/>
  <c r="X11" i="39"/>
  <c r="W11" i="39"/>
  <c r="V11" i="39"/>
  <c r="U11" i="39"/>
  <c r="T11" i="39"/>
  <c r="S11" i="39"/>
  <c r="R11" i="39"/>
  <c r="Q11" i="39"/>
  <c r="P11" i="39"/>
  <c r="O11" i="39"/>
  <c r="N11" i="39"/>
  <c r="M11" i="39"/>
  <c r="L11" i="39"/>
  <c r="K11" i="39"/>
  <c r="J11" i="39"/>
  <c r="I11" i="39"/>
  <c r="H11" i="39"/>
  <c r="G11" i="39"/>
  <c r="F11" i="39"/>
  <c r="E11" i="39"/>
  <c r="D11" i="39"/>
  <c r="C11" i="39"/>
  <c r="AQ10" i="39"/>
  <c r="AP10" i="39"/>
  <c r="AO10" i="39"/>
  <c r="AN10" i="39"/>
  <c r="AM10" i="39"/>
  <c r="AL10" i="39"/>
  <c r="AK10" i="39"/>
  <c r="AJ10" i="39"/>
  <c r="AI10" i="39"/>
  <c r="AH10" i="39"/>
  <c r="AG10" i="39"/>
  <c r="AF10" i="39"/>
  <c r="AE10" i="39"/>
  <c r="AD10" i="39"/>
  <c r="AC10" i="39"/>
  <c r="AB10" i="39"/>
  <c r="AA10" i="39"/>
  <c r="Z10" i="39"/>
  <c r="Y10" i="39"/>
  <c r="X10" i="39"/>
  <c r="W10" i="39"/>
  <c r="V10" i="39"/>
  <c r="U10" i="39"/>
  <c r="T10" i="39"/>
  <c r="S10" i="39"/>
  <c r="R10" i="39"/>
  <c r="Q10" i="39"/>
  <c r="P10" i="39"/>
  <c r="O10" i="39"/>
  <c r="N10" i="39"/>
  <c r="M10" i="39"/>
  <c r="L10" i="39"/>
  <c r="K10" i="39"/>
  <c r="J10" i="39"/>
  <c r="I10" i="39"/>
  <c r="H10" i="39"/>
  <c r="G10" i="39"/>
  <c r="F10" i="39"/>
  <c r="E10" i="39"/>
  <c r="D10" i="39"/>
  <c r="C10" i="39"/>
  <c r="AQ9" i="39"/>
  <c r="AP9" i="39"/>
  <c r="AO9" i="39"/>
  <c r="AN9" i="39"/>
  <c r="AM9" i="39"/>
  <c r="AL9" i="39"/>
  <c r="AK9" i="39"/>
  <c r="AJ9" i="39"/>
  <c r="AI9" i="39"/>
  <c r="AH9" i="39"/>
  <c r="AG9" i="39"/>
  <c r="AF9" i="39"/>
  <c r="AE9" i="39"/>
  <c r="AD9" i="39"/>
  <c r="AC9" i="39"/>
  <c r="AB9" i="39"/>
  <c r="AA9" i="39"/>
  <c r="Z9" i="39"/>
  <c r="Y9" i="39"/>
  <c r="X9" i="39"/>
  <c r="W9" i="39"/>
  <c r="V9" i="39"/>
  <c r="U9" i="39"/>
  <c r="T9" i="39"/>
  <c r="S9" i="39"/>
  <c r="R9" i="39"/>
  <c r="Q9" i="39"/>
  <c r="P9" i="39"/>
  <c r="O9" i="39"/>
  <c r="N9" i="39"/>
  <c r="M9" i="39"/>
  <c r="L9" i="39"/>
  <c r="K9" i="39"/>
  <c r="J9" i="39"/>
  <c r="I9" i="39"/>
  <c r="H9" i="39"/>
  <c r="G9" i="39"/>
  <c r="F9" i="39"/>
  <c r="E9" i="39"/>
  <c r="D9" i="39"/>
  <c r="C9" i="39"/>
  <c r="AQ8" i="39"/>
  <c r="AP8" i="39"/>
  <c r="AO8" i="39"/>
  <c r="AN8" i="39"/>
  <c r="AM8" i="39"/>
  <c r="AL8" i="39"/>
  <c r="AK8" i="39"/>
  <c r="AJ8" i="39"/>
  <c r="AI8" i="39"/>
  <c r="AH8" i="39"/>
  <c r="AG8" i="39"/>
  <c r="AF8" i="39"/>
  <c r="AE8" i="39"/>
  <c r="AD8" i="39"/>
  <c r="AC8" i="39"/>
  <c r="AB8" i="39"/>
  <c r="AA8" i="39"/>
  <c r="Z8" i="39"/>
  <c r="Y8" i="39"/>
  <c r="X8" i="39"/>
  <c r="W8" i="39"/>
  <c r="V8" i="39"/>
  <c r="U8" i="39"/>
  <c r="T8" i="39"/>
  <c r="S8" i="39"/>
  <c r="R8" i="39"/>
  <c r="Q8" i="39"/>
  <c r="P8" i="39"/>
  <c r="O8" i="39"/>
  <c r="N8" i="39"/>
  <c r="M8" i="39"/>
  <c r="L8" i="39"/>
  <c r="K8" i="39"/>
  <c r="J8" i="39"/>
  <c r="I8" i="39"/>
  <c r="H8" i="39"/>
  <c r="G8" i="39"/>
  <c r="F8" i="39"/>
  <c r="E8" i="39"/>
  <c r="D8" i="39"/>
  <c r="C8" i="39"/>
  <c r="AQ7" i="39"/>
  <c r="AP7" i="39"/>
  <c r="AO7" i="39"/>
  <c r="AN7" i="39"/>
  <c r="AM7" i="39"/>
  <c r="AL7" i="39"/>
  <c r="AK7" i="39"/>
  <c r="AJ7" i="39"/>
  <c r="AI7" i="39"/>
  <c r="AH7" i="39"/>
  <c r="AG7" i="39"/>
  <c r="AF7" i="39"/>
  <c r="AE7" i="39"/>
  <c r="AD7" i="39"/>
  <c r="AC7" i="39"/>
  <c r="AB7" i="39"/>
  <c r="AA7" i="39"/>
  <c r="Z7" i="39"/>
  <c r="Y7" i="39"/>
  <c r="X7" i="39"/>
  <c r="W7" i="39"/>
  <c r="V7" i="39"/>
  <c r="U7" i="39"/>
  <c r="T7" i="39"/>
  <c r="S7" i="39"/>
  <c r="R7" i="39"/>
  <c r="Q7" i="39"/>
  <c r="P7" i="39"/>
  <c r="O7" i="39"/>
  <c r="N7" i="39"/>
  <c r="M7" i="39"/>
  <c r="L7" i="39"/>
  <c r="K7" i="39"/>
  <c r="J7" i="39"/>
  <c r="I7" i="39"/>
  <c r="H7" i="39"/>
  <c r="G7" i="39"/>
  <c r="F7" i="39"/>
  <c r="E7" i="39"/>
  <c r="D7" i="39"/>
  <c r="C7" i="39"/>
  <c r="AQ6" i="39"/>
  <c r="AP6" i="39"/>
  <c r="AO6" i="39"/>
  <c r="AN6" i="39"/>
  <c r="AM6" i="39"/>
  <c r="AL6" i="39"/>
  <c r="AK6" i="39"/>
  <c r="AJ6" i="39"/>
  <c r="AI6" i="39"/>
  <c r="AH6" i="39"/>
  <c r="AG6" i="39"/>
  <c r="AF6" i="39"/>
  <c r="AE6" i="39"/>
  <c r="AD6" i="39"/>
  <c r="AC6" i="39"/>
  <c r="AB6" i="39"/>
  <c r="AA6" i="39"/>
  <c r="Z6" i="39"/>
  <c r="Y6" i="39"/>
  <c r="X6" i="39"/>
  <c r="W6" i="39"/>
  <c r="V6" i="39"/>
  <c r="U6" i="39"/>
  <c r="T6" i="39"/>
  <c r="S6" i="39"/>
  <c r="R6" i="39"/>
  <c r="Q6" i="39"/>
  <c r="P6" i="39"/>
  <c r="O6" i="39"/>
  <c r="N6" i="39"/>
  <c r="M6" i="39"/>
  <c r="L6" i="39"/>
  <c r="K6" i="39"/>
  <c r="J6" i="39"/>
  <c r="I6" i="39"/>
  <c r="H6" i="39"/>
  <c r="G6" i="39"/>
  <c r="F6" i="39"/>
  <c r="E6" i="39"/>
  <c r="D6" i="39"/>
  <c r="C6" i="39"/>
  <c r="AQ5" i="39"/>
  <c r="AP5" i="39"/>
  <c r="AO5" i="39"/>
  <c r="AN5" i="39"/>
  <c r="AM5" i="39"/>
  <c r="AL5" i="39"/>
  <c r="AK5" i="39"/>
  <c r="AJ5" i="39"/>
  <c r="AI5" i="39"/>
  <c r="AH5" i="39"/>
  <c r="AG5" i="39"/>
  <c r="AF5" i="39"/>
  <c r="AE5" i="39"/>
  <c r="AD5" i="39"/>
  <c r="AC5" i="39"/>
  <c r="AB5" i="39"/>
  <c r="AA5" i="39"/>
  <c r="Z5" i="39"/>
  <c r="Y5" i="39"/>
  <c r="X5" i="39"/>
  <c r="W5" i="39"/>
  <c r="V5" i="39"/>
  <c r="U5" i="39"/>
  <c r="T5" i="39"/>
  <c r="S5" i="39"/>
  <c r="R5" i="39"/>
  <c r="Q5" i="39"/>
  <c r="P5" i="39"/>
  <c r="O5" i="39"/>
  <c r="N5" i="39"/>
  <c r="M5" i="39"/>
  <c r="L5" i="39"/>
  <c r="K5" i="39"/>
  <c r="J5" i="39"/>
  <c r="I5" i="39"/>
  <c r="H5" i="39"/>
  <c r="G5" i="39"/>
  <c r="F5" i="39"/>
  <c r="E5" i="39"/>
  <c r="D5" i="39"/>
  <c r="C5" i="39"/>
  <c r="AQ4" i="39"/>
  <c r="AP4" i="39"/>
  <c r="AO4" i="39"/>
  <c r="AN4" i="39"/>
  <c r="AM4" i="39"/>
  <c r="AL4" i="39"/>
  <c r="AK4" i="39"/>
  <c r="AJ4" i="39"/>
  <c r="AI4" i="39"/>
  <c r="AH4" i="39"/>
  <c r="AG4" i="39"/>
  <c r="AF4" i="39"/>
  <c r="AE4" i="39"/>
  <c r="AD4" i="39"/>
  <c r="AC4" i="39"/>
  <c r="AB4" i="39"/>
  <c r="AA4" i="39"/>
  <c r="Z4" i="39"/>
  <c r="Y4" i="39"/>
  <c r="X4" i="39"/>
  <c r="W4" i="39"/>
  <c r="V4" i="39"/>
  <c r="U4" i="39"/>
  <c r="T4" i="39"/>
  <c r="S4" i="39"/>
  <c r="R4" i="39"/>
  <c r="Q4" i="39"/>
  <c r="P4" i="39"/>
  <c r="O4" i="39"/>
  <c r="N4" i="39"/>
  <c r="M4" i="39"/>
  <c r="L4" i="39"/>
  <c r="K4" i="39"/>
  <c r="J4" i="39"/>
  <c r="I4" i="39"/>
  <c r="H4" i="39"/>
  <c r="G4" i="39"/>
  <c r="F4" i="39"/>
  <c r="E4" i="39"/>
  <c r="D4" i="39"/>
  <c r="C4" i="39"/>
  <c r="AQ3" i="39"/>
  <c r="AP3" i="39"/>
  <c r="AO3" i="39"/>
  <c r="AN3" i="39"/>
  <c r="AM3" i="39"/>
  <c r="AL3" i="39"/>
  <c r="AK3" i="39"/>
  <c r="AJ3" i="39"/>
  <c r="AI3" i="39"/>
  <c r="AH3" i="39"/>
  <c r="AG3" i="39"/>
  <c r="AF3" i="39"/>
  <c r="AE3" i="39"/>
  <c r="AD3" i="39"/>
  <c r="AC3" i="39"/>
  <c r="AB3" i="39"/>
  <c r="AA3" i="39"/>
  <c r="Z3" i="39"/>
  <c r="Y3" i="39"/>
  <c r="X3" i="39"/>
  <c r="W3" i="39"/>
  <c r="V3" i="39"/>
  <c r="U3" i="39"/>
  <c r="T3" i="39"/>
  <c r="S3" i="39"/>
  <c r="R3" i="39"/>
  <c r="Q3" i="39"/>
  <c r="P3" i="39"/>
  <c r="O3" i="39"/>
  <c r="N3" i="39"/>
  <c r="M3" i="39"/>
  <c r="L3" i="39"/>
  <c r="K3" i="39"/>
  <c r="J3" i="39"/>
  <c r="I3" i="39"/>
  <c r="H3" i="39"/>
  <c r="G3" i="39"/>
  <c r="F3" i="39"/>
  <c r="E3" i="39"/>
  <c r="D3" i="39"/>
  <c r="C3" i="39"/>
  <c r="AQ2" i="39"/>
  <c r="AP2" i="39"/>
  <c r="AO2" i="39"/>
  <c r="AN2" i="39"/>
  <c r="AM2" i="39"/>
  <c r="AL2" i="39"/>
  <c r="AK2" i="39"/>
  <c r="AJ2" i="39"/>
  <c r="AI2" i="39"/>
  <c r="AH2" i="39"/>
  <c r="AG2" i="39"/>
  <c r="AF2" i="39"/>
  <c r="AE2" i="39"/>
  <c r="AD2" i="39"/>
  <c r="AC2" i="39"/>
  <c r="AB2" i="39"/>
  <c r="AA2" i="39"/>
  <c r="Z2" i="39"/>
  <c r="Y2" i="39"/>
  <c r="X2" i="39"/>
  <c r="W2" i="39"/>
  <c r="V2" i="39"/>
  <c r="U2" i="39"/>
  <c r="T2" i="39"/>
  <c r="S2" i="39"/>
  <c r="R2" i="39"/>
  <c r="Q2" i="39"/>
  <c r="P2" i="39"/>
  <c r="O2" i="39"/>
  <c r="N2" i="39"/>
  <c r="M2" i="39"/>
  <c r="L2" i="39"/>
  <c r="K2" i="39"/>
  <c r="J2" i="39"/>
  <c r="I2" i="39"/>
  <c r="H2" i="39"/>
  <c r="G2" i="39"/>
  <c r="F2" i="39"/>
  <c r="E2" i="39"/>
  <c r="B3" i="39"/>
  <c r="B4" i="39"/>
  <c r="B5" i="39"/>
  <c r="B6" i="39"/>
  <c r="B7" i="39"/>
  <c r="B8" i="39"/>
  <c r="B9" i="39"/>
  <c r="B10" i="39"/>
  <c r="B11" i="39"/>
  <c r="F2" i="8"/>
  <c r="G2" i="8"/>
  <c r="H2" i="8"/>
  <c r="I2" i="8"/>
  <c r="J2" i="8"/>
  <c r="K2" i="8"/>
  <c r="L2" i="8"/>
  <c r="M2" i="8"/>
  <c r="N2" i="8"/>
  <c r="O2" i="8"/>
  <c r="P2" i="8"/>
  <c r="Q2" i="8"/>
  <c r="R2" i="8"/>
  <c r="S2" i="8"/>
  <c r="T2" i="8"/>
  <c r="U2" i="8"/>
  <c r="V2" i="8"/>
  <c r="W2" i="8"/>
  <c r="X2" i="8"/>
  <c r="Y2" i="8"/>
  <c r="Z2" i="8"/>
  <c r="AA2" i="8"/>
  <c r="AB2" i="8"/>
  <c r="AC2" i="8"/>
  <c r="AD2" i="8"/>
  <c r="AE2" i="8"/>
  <c r="AF2" i="8"/>
  <c r="AG2" i="8"/>
  <c r="AH2" i="8"/>
  <c r="AI2" i="8"/>
  <c r="AJ2" i="8"/>
  <c r="AK2" i="8"/>
  <c r="AL2" i="8"/>
  <c r="AM2" i="8"/>
  <c r="AN2" i="8"/>
  <c r="AO2" i="8"/>
  <c r="AP2" i="8"/>
  <c r="AQ2" i="8"/>
  <c r="E2" i="8"/>
  <c r="F2" i="38" l="1"/>
  <c r="G2" i="38"/>
  <c r="H2" i="38"/>
  <c r="I2" i="38"/>
  <c r="J2" i="38"/>
  <c r="K2" i="38"/>
  <c r="L2" i="38"/>
  <c r="M2" i="38"/>
  <c r="N2" i="38"/>
  <c r="O2" i="38"/>
  <c r="P2" i="38"/>
  <c r="Q2" i="38"/>
  <c r="R2" i="38"/>
  <c r="S2" i="38"/>
  <c r="T2" i="38"/>
  <c r="U2" i="38"/>
  <c r="V2" i="38"/>
  <c r="W2" i="38"/>
  <c r="X2" i="38"/>
  <c r="Y2" i="38"/>
  <c r="Z2" i="38"/>
  <c r="AA2" i="38"/>
  <c r="AB2" i="38"/>
  <c r="AC2" i="38"/>
  <c r="AD2" i="38"/>
  <c r="AE2" i="38"/>
  <c r="AF2" i="38"/>
  <c r="AG2" i="38"/>
  <c r="AH2" i="38"/>
  <c r="AI2" i="38"/>
  <c r="AJ2" i="38"/>
  <c r="AK2" i="38"/>
  <c r="AL2" i="38"/>
  <c r="AM2" i="38"/>
  <c r="AN2" i="38"/>
  <c r="AO2" i="38"/>
  <c r="AP2" i="38"/>
  <c r="AQ2" i="38"/>
  <c r="R16" i="19" l="1"/>
  <c r="R17" i="19"/>
  <c r="R15" i="19"/>
  <c r="C16" i="18" l="1"/>
  <c r="C17" i="18"/>
  <c r="C15" i="18"/>
  <c r="C143" i="15"/>
  <c r="D143" i="15"/>
  <c r="E143" i="15"/>
  <c r="F143" i="15"/>
  <c r="G143" i="15"/>
  <c r="H143" i="15"/>
  <c r="I143" i="15"/>
  <c r="L2" i="18" s="1"/>
  <c r="L2" i="28" s="1"/>
  <c r="J143" i="15"/>
  <c r="K143" i="15"/>
  <c r="L143" i="15"/>
  <c r="M143" i="15"/>
  <c r="N143" i="15"/>
  <c r="O143" i="15"/>
  <c r="P143" i="15"/>
  <c r="Q143" i="15"/>
  <c r="T2" i="18" s="1"/>
  <c r="T2" i="28" s="1"/>
  <c r="R143" i="15"/>
  <c r="S143" i="15"/>
  <c r="T143" i="15"/>
  <c r="U143" i="15"/>
  <c r="V143" i="15"/>
  <c r="W143" i="15"/>
  <c r="X143" i="15"/>
  <c r="Y143" i="15"/>
  <c r="AB2" i="18" s="1"/>
  <c r="AB2" i="28" s="1"/>
  <c r="Z143" i="15"/>
  <c r="AA143" i="15"/>
  <c r="AB143" i="15"/>
  <c r="AC143" i="15"/>
  <c r="AD143" i="15"/>
  <c r="AE143" i="15"/>
  <c r="AF143" i="15"/>
  <c r="AG143" i="15"/>
  <c r="AJ2" i="18" s="1"/>
  <c r="AJ2" i="28" s="1"/>
  <c r="AH143" i="15"/>
  <c r="AI143" i="15"/>
  <c r="AJ143" i="15"/>
  <c r="AK143" i="15"/>
  <c r="AL143" i="15"/>
  <c r="AM143" i="15"/>
  <c r="AN143" i="15"/>
  <c r="B143" i="15"/>
  <c r="C135" i="15"/>
  <c r="D135" i="15"/>
  <c r="E135" i="15"/>
  <c r="F135" i="15"/>
  <c r="G135" i="15"/>
  <c r="H135" i="15"/>
  <c r="I135" i="15"/>
  <c r="J135" i="15"/>
  <c r="K135" i="15"/>
  <c r="L135" i="15"/>
  <c r="M135" i="15"/>
  <c r="N135" i="15"/>
  <c r="O135" i="15"/>
  <c r="P135" i="15"/>
  <c r="Q135" i="15"/>
  <c r="R135" i="15"/>
  <c r="S135" i="15"/>
  <c r="T135" i="15"/>
  <c r="U135" i="15"/>
  <c r="V135" i="15"/>
  <c r="W135" i="15"/>
  <c r="X135" i="15"/>
  <c r="Y135" i="15"/>
  <c r="Z135" i="15"/>
  <c r="AA135" i="15"/>
  <c r="AB135" i="15"/>
  <c r="AC135" i="15"/>
  <c r="AD135" i="15"/>
  <c r="AE135" i="15"/>
  <c r="AF135" i="15"/>
  <c r="AG135" i="15"/>
  <c r="AH135" i="15"/>
  <c r="AI135" i="15"/>
  <c r="AJ135" i="15"/>
  <c r="AK135" i="15"/>
  <c r="AL135" i="15"/>
  <c r="AM135" i="15"/>
  <c r="AN135" i="15"/>
  <c r="B135" i="15"/>
  <c r="C127" i="15"/>
  <c r="D127" i="15"/>
  <c r="E127" i="15"/>
  <c r="F127" i="15"/>
  <c r="G127" i="15"/>
  <c r="H127" i="15"/>
  <c r="I127" i="15"/>
  <c r="J127" i="15"/>
  <c r="K127" i="15"/>
  <c r="L127" i="15"/>
  <c r="M127" i="15"/>
  <c r="N127" i="15"/>
  <c r="O127" i="15"/>
  <c r="P127" i="15"/>
  <c r="Q127" i="15"/>
  <c r="R127" i="15"/>
  <c r="S127" i="15"/>
  <c r="T127" i="15"/>
  <c r="U127" i="15"/>
  <c r="V127" i="15"/>
  <c r="W127" i="15"/>
  <c r="X127" i="15"/>
  <c r="Y127" i="15"/>
  <c r="Z127" i="15"/>
  <c r="AA127" i="15"/>
  <c r="AB127" i="15"/>
  <c r="AC127" i="15"/>
  <c r="AD127" i="15"/>
  <c r="AE127" i="15"/>
  <c r="AF127" i="15"/>
  <c r="AG127" i="15"/>
  <c r="AH127" i="15"/>
  <c r="AI127" i="15"/>
  <c r="AJ127" i="15"/>
  <c r="AK127" i="15"/>
  <c r="AL127" i="15"/>
  <c r="AM127" i="15"/>
  <c r="AN127" i="15"/>
  <c r="B127" i="15"/>
  <c r="C119" i="15"/>
  <c r="D119" i="15"/>
  <c r="E119" i="15"/>
  <c r="F119" i="15"/>
  <c r="G119" i="15"/>
  <c r="H119" i="15"/>
  <c r="I119" i="15"/>
  <c r="J119" i="15"/>
  <c r="K119" i="15"/>
  <c r="L119" i="15"/>
  <c r="M119" i="15"/>
  <c r="N119" i="15"/>
  <c r="O119" i="15"/>
  <c r="P119" i="15"/>
  <c r="Q119" i="15"/>
  <c r="R119" i="15"/>
  <c r="S119" i="15"/>
  <c r="T119" i="15"/>
  <c r="U119" i="15"/>
  <c r="V119" i="15"/>
  <c r="W119" i="15"/>
  <c r="X119" i="15"/>
  <c r="Y119" i="15"/>
  <c r="Z119" i="15"/>
  <c r="AA119" i="15"/>
  <c r="AB119" i="15"/>
  <c r="AC119" i="15"/>
  <c r="AD119" i="15"/>
  <c r="AE119" i="15"/>
  <c r="AF119" i="15"/>
  <c r="AG119" i="15"/>
  <c r="AH119" i="15"/>
  <c r="AI119" i="15"/>
  <c r="AJ119" i="15"/>
  <c r="AK119" i="15"/>
  <c r="AL119" i="15"/>
  <c r="AM119" i="15"/>
  <c r="AN119" i="15"/>
  <c r="B119" i="15"/>
  <c r="C111" i="15"/>
  <c r="D111" i="15"/>
  <c r="E111" i="15"/>
  <c r="F111" i="15"/>
  <c r="G111" i="15"/>
  <c r="H111" i="15"/>
  <c r="I111" i="15"/>
  <c r="J111" i="15"/>
  <c r="K111" i="15"/>
  <c r="L111" i="15"/>
  <c r="M111" i="15"/>
  <c r="N111" i="15"/>
  <c r="O111" i="15"/>
  <c r="P111" i="15"/>
  <c r="Q111" i="15"/>
  <c r="R111" i="15"/>
  <c r="S111" i="15"/>
  <c r="T111" i="15"/>
  <c r="U111" i="15"/>
  <c r="V111" i="15"/>
  <c r="W111" i="15"/>
  <c r="X111" i="15"/>
  <c r="Y111" i="15"/>
  <c r="Z111" i="15"/>
  <c r="AA111" i="15"/>
  <c r="AB111" i="15"/>
  <c r="AC111" i="15"/>
  <c r="AD111" i="15"/>
  <c r="AE111" i="15"/>
  <c r="AF111" i="15"/>
  <c r="AG111" i="15"/>
  <c r="AH111" i="15"/>
  <c r="AI111" i="15"/>
  <c r="AJ111" i="15"/>
  <c r="AK111" i="15"/>
  <c r="AL111" i="15"/>
  <c r="AM111" i="15"/>
  <c r="AN111" i="15"/>
  <c r="B111" i="15"/>
  <c r="C103" i="15"/>
  <c r="D103" i="15"/>
  <c r="E103" i="15"/>
  <c r="F103" i="15"/>
  <c r="G103" i="15"/>
  <c r="H103" i="15"/>
  <c r="I103" i="15"/>
  <c r="J103" i="15"/>
  <c r="K103" i="15"/>
  <c r="L103" i="15"/>
  <c r="M103" i="15"/>
  <c r="N103" i="15"/>
  <c r="O103" i="15"/>
  <c r="P103" i="15"/>
  <c r="Q103" i="15"/>
  <c r="R103" i="15"/>
  <c r="S103" i="15"/>
  <c r="T103" i="15"/>
  <c r="U103" i="15"/>
  <c r="V103" i="15"/>
  <c r="W103" i="15"/>
  <c r="X103" i="15"/>
  <c r="Y103" i="15"/>
  <c r="Z103" i="15"/>
  <c r="AA103" i="15"/>
  <c r="AB103" i="15"/>
  <c r="AC103" i="15"/>
  <c r="AD103" i="15"/>
  <c r="AE103" i="15"/>
  <c r="AF103" i="15"/>
  <c r="AG103" i="15"/>
  <c r="AH103" i="15"/>
  <c r="AI103" i="15"/>
  <c r="AJ103" i="15"/>
  <c r="AK103" i="15"/>
  <c r="AL103" i="15"/>
  <c r="AM103" i="15"/>
  <c r="AN103" i="15"/>
  <c r="B103" i="15"/>
  <c r="C95" i="15"/>
  <c r="D95" i="15"/>
  <c r="E95" i="15"/>
  <c r="F95" i="15"/>
  <c r="G95" i="15"/>
  <c r="H95" i="15"/>
  <c r="I95" i="15"/>
  <c r="J95" i="15"/>
  <c r="K95" i="15"/>
  <c r="L95" i="15"/>
  <c r="M95" i="15"/>
  <c r="N95" i="15"/>
  <c r="O95" i="15"/>
  <c r="P95" i="15"/>
  <c r="Q95" i="15"/>
  <c r="R95" i="15"/>
  <c r="S95" i="15"/>
  <c r="T95" i="15"/>
  <c r="U95" i="15"/>
  <c r="V95" i="15"/>
  <c r="W95" i="15"/>
  <c r="X95" i="15"/>
  <c r="Y95" i="15"/>
  <c r="Z95" i="15"/>
  <c r="AA95" i="15"/>
  <c r="AB95" i="15"/>
  <c r="AC95" i="15"/>
  <c r="AD95" i="15"/>
  <c r="AE95" i="15"/>
  <c r="AF95" i="15"/>
  <c r="AG95" i="15"/>
  <c r="AH95" i="15"/>
  <c r="AI95" i="15"/>
  <c r="AJ95" i="15"/>
  <c r="AK95" i="15"/>
  <c r="AL95" i="15"/>
  <c r="AM95" i="15"/>
  <c r="AN95" i="15"/>
  <c r="B95" i="15"/>
  <c r="C87" i="15"/>
  <c r="D87" i="15"/>
  <c r="E87" i="15"/>
  <c r="F87" i="15"/>
  <c r="G87" i="15"/>
  <c r="H87" i="15"/>
  <c r="I87" i="15"/>
  <c r="J87" i="15"/>
  <c r="K87" i="15"/>
  <c r="L87" i="15"/>
  <c r="M87" i="15"/>
  <c r="N87" i="15"/>
  <c r="O87" i="15"/>
  <c r="P87" i="15"/>
  <c r="Q87" i="15"/>
  <c r="R87" i="15"/>
  <c r="S87" i="15"/>
  <c r="T87" i="15"/>
  <c r="U87" i="15"/>
  <c r="V87" i="15"/>
  <c r="W87" i="15"/>
  <c r="X87" i="15"/>
  <c r="Y87" i="15"/>
  <c r="Z87" i="15"/>
  <c r="AA87" i="15"/>
  <c r="AB87" i="15"/>
  <c r="AC87" i="15"/>
  <c r="AD87" i="15"/>
  <c r="AE87" i="15"/>
  <c r="AF87" i="15"/>
  <c r="AG87" i="15"/>
  <c r="AH87" i="15"/>
  <c r="AI87" i="15"/>
  <c r="AJ87" i="15"/>
  <c r="AK87" i="15"/>
  <c r="AL87" i="15"/>
  <c r="AM87" i="15"/>
  <c r="AN87" i="15"/>
  <c r="B87" i="15"/>
  <c r="C79" i="15"/>
  <c r="D79" i="15"/>
  <c r="E79" i="15"/>
  <c r="F79" i="15"/>
  <c r="G79" i="15"/>
  <c r="H79" i="15"/>
  <c r="I79" i="15"/>
  <c r="J79" i="15"/>
  <c r="K79" i="15"/>
  <c r="L79" i="15"/>
  <c r="M79" i="15"/>
  <c r="N79" i="15"/>
  <c r="O79" i="15"/>
  <c r="P79" i="15"/>
  <c r="Q79" i="15"/>
  <c r="R79" i="15"/>
  <c r="S79" i="15"/>
  <c r="T79" i="15"/>
  <c r="U79" i="15"/>
  <c r="V79" i="15"/>
  <c r="W79" i="15"/>
  <c r="X79" i="15"/>
  <c r="Y79" i="15"/>
  <c r="Z79" i="15"/>
  <c r="AA79" i="15"/>
  <c r="AB79" i="15"/>
  <c r="AC79" i="15"/>
  <c r="AD79" i="15"/>
  <c r="AE79" i="15"/>
  <c r="AF79" i="15"/>
  <c r="AG79" i="15"/>
  <c r="AH79" i="15"/>
  <c r="AI79" i="15"/>
  <c r="AJ79" i="15"/>
  <c r="AK79" i="15"/>
  <c r="AL79" i="15"/>
  <c r="AM79" i="15"/>
  <c r="AN79" i="15"/>
  <c r="B79" i="15"/>
  <c r="C71" i="15"/>
  <c r="D71"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AG71" i="15"/>
  <c r="AH71" i="15"/>
  <c r="AI71" i="15"/>
  <c r="AJ71" i="15"/>
  <c r="AK71" i="15"/>
  <c r="AL71" i="15"/>
  <c r="AM71" i="15"/>
  <c r="AN71" i="15"/>
  <c r="B71" i="15"/>
  <c r="C63" i="15"/>
  <c r="D63"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AG63" i="15"/>
  <c r="AH63" i="15"/>
  <c r="AI63" i="15"/>
  <c r="AJ63" i="15"/>
  <c r="AK63" i="15"/>
  <c r="AL63" i="15"/>
  <c r="AM63" i="15"/>
  <c r="AN63" i="15"/>
  <c r="B63" i="15"/>
  <c r="C55" i="15"/>
  <c r="D55" i="15"/>
  <c r="E55" i="15"/>
  <c r="F55" i="15"/>
  <c r="G55" i="15"/>
  <c r="H55" i="15"/>
  <c r="I55" i="15"/>
  <c r="J55" i="15"/>
  <c r="K55" i="15"/>
  <c r="L55" i="15"/>
  <c r="M55" i="15"/>
  <c r="N55" i="15"/>
  <c r="O55" i="15"/>
  <c r="P55" i="15"/>
  <c r="Q55" i="15"/>
  <c r="R55" i="15"/>
  <c r="S55" i="15"/>
  <c r="T55" i="15"/>
  <c r="U55" i="15"/>
  <c r="V55" i="15"/>
  <c r="W55" i="15"/>
  <c r="X55" i="15"/>
  <c r="Y55" i="15"/>
  <c r="Z55" i="15"/>
  <c r="AA55" i="15"/>
  <c r="AB55" i="15"/>
  <c r="AC55" i="15"/>
  <c r="AD55" i="15"/>
  <c r="AE55" i="15"/>
  <c r="AF55" i="15"/>
  <c r="AG55" i="15"/>
  <c r="AH55" i="15"/>
  <c r="AI55" i="15"/>
  <c r="AJ55" i="15"/>
  <c r="AK55" i="15"/>
  <c r="AL55" i="15"/>
  <c r="AM55" i="15"/>
  <c r="AN55" i="15"/>
  <c r="B55" i="15"/>
  <c r="C47" i="15"/>
  <c r="F4" i="19" s="1"/>
  <c r="D47" i="15"/>
  <c r="G4" i="19" s="1"/>
  <c r="E47" i="15"/>
  <c r="H4" i="19" s="1"/>
  <c r="F47" i="15"/>
  <c r="I4" i="19" s="1"/>
  <c r="G47" i="15"/>
  <c r="J4" i="19" s="1"/>
  <c r="H47" i="15"/>
  <c r="K4" i="19" s="1"/>
  <c r="K4" i="29" s="1"/>
  <c r="I47" i="15"/>
  <c r="L4" i="19" s="1"/>
  <c r="L4" i="29" s="1"/>
  <c r="J47" i="15"/>
  <c r="M4" i="19" s="1"/>
  <c r="K47" i="15"/>
  <c r="N4" i="19" s="1"/>
  <c r="N4" i="29" s="1"/>
  <c r="L47" i="15"/>
  <c r="O4" i="19" s="1"/>
  <c r="M47" i="15"/>
  <c r="P4" i="19" s="1"/>
  <c r="N47" i="15"/>
  <c r="Q4" i="19" s="1"/>
  <c r="Q4" i="29" s="1"/>
  <c r="O47" i="15"/>
  <c r="R4" i="19" s="1"/>
  <c r="P47" i="15"/>
  <c r="S4" i="19" s="1"/>
  <c r="Q47" i="15"/>
  <c r="T4" i="19" s="1"/>
  <c r="R47" i="15"/>
  <c r="U4" i="19" s="1"/>
  <c r="S47" i="15"/>
  <c r="V4" i="19" s="1"/>
  <c r="T47" i="15"/>
  <c r="W4" i="19" s="1"/>
  <c r="W4" i="29" s="1"/>
  <c r="U47" i="15"/>
  <c r="X4" i="19" s="1"/>
  <c r="V47" i="15"/>
  <c r="Y4" i="19" s="1"/>
  <c r="W47" i="15"/>
  <c r="Z4" i="19" s="1"/>
  <c r="X47" i="15"/>
  <c r="AA4" i="19" s="1"/>
  <c r="Y47" i="15"/>
  <c r="AB4" i="19" s="1"/>
  <c r="Z47" i="15"/>
  <c r="AC4" i="19" s="1"/>
  <c r="AA47" i="15"/>
  <c r="AD4" i="19" s="1"/>
  <c r="AB47" i="15"/>
  <c r="AE4" i="19" s="1"/>
  <c r="AE4" i="29" s="1"/>
  <c r="AC47" i="15"/>
  <c r="AF4" i="19" s="1"/>
  <c r="AD47" i="15"/>
  <c r="AG4" i="19" s="1"/>
  <c r="AE47" i="15"/>
  <c r="AH4" i="19" s="1"/>
  <c r="AF47" i="15"/>
  <c r="AI4" i="19" s="1"/>
  <c r="AG47" i="15"/>
  <c r="AJ4" i="19" s="1"/>
  <c r="AH47" i="15"/>
  <c r="AK4" i="19" s="1"/>
  <c r="AI47" i="15"/>
  <c r="AL4" i="19" s="1"/>
  <c r="AL4" i="29" s="1"/>
  <c r="AJ47" i="15"/>
  <c r="AM4" i="19" s="1"/>
  <c r="AK47" i="15"/>
  <c r="AN4" i="19" s="1"/>
  <c r="AN4" i="29" s="1"/>
  <c r="AL47" i="15"/>
  <c r="AO4" i="19" s="1"/>
  <c r="AO4" i="29" s="1"/>
  <c r="AM47" i="15"/>
  <c r="AP4" i="19" s="1"/>
  <c r="AP4" i="29" s="1"/>
  <c r="AN47" i="15"/>
  <c r="AQ4" i="19" s="1"/>
  <c r="AQ4" i="29" s="1"/>
  <c r="B47" i="15"/>
  <c r="C39" i="15"/>
  <c r="D39"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AG39" i="15"/>
  <c r="AH39" i="15"/>
  <c r="AI39" i="15"/>
  <c r="AJ39" i="15"/>
  <c r="AK39" i="15"/>
  <c r="AL39" i="15"/>
  <c r="AM39" i="15"/>
  <c r="AN39" i="15"/>
  <c r="B39" i="15"/>
  <c r="C31" i="15"/>
  <c r="D31" i="15"/>
  <c r="E31" i="15"/>
  <c r="F31" i="15"/>
  <c r="G31" i="15"/>
  <c r="H31" i="15"/>
  <c r="I31" i="15"/>
  <c r="J31" i="15"/>
  <c r="K31" i="15"/>
  <c r="L31" i="15"/>
  <c r="M31" i="15"/>
  <c r="N31" i="15"/>
  <c r="O31" i="15"/>
  <c r="P31" i="15"/>
  <c r="Q31" i="15"/>
  <c r="R31" i="15"/>
  <c r="S31" i="15"/>
  <c r="T31" i="15"/>
  <c r="U31" i="15"/>
  <c r="V31" i="15"/>
  <c r="W31" i="15"/>
  <c r="X31" i="15"/>
  <c r="Y31" i="15"/>
  <c r="Z31" i="15"/>
  <c r="AA31" i="15"/>
  <c r="AB31" i="15"/>
  <c r="AC31" i="15"/>
  <c r="AD31" i="15"/>
  <c r="AE31" i="15"/>
  <c r="AF31" i="15"/>
  <c r="AG31" i="15"/>
  <c r="AH31" i="15"/>
  <c r="AI31" i="15"/>
  <c r="AJ31" i="15"/>
  <c r="AK31" i="15"/>
  <c r="AL31" i="15"/>
  <c r="AM31" i="15"/>
  <c r="AN31" i="15"/>
  <c r="B31" i="15"/>
  <c r="C7" i="15"/>
  <c r="F10" i="19" s="1"/>
  <c r="D7" i="15"/>
  <c r="G10" i="19" s="1"/>
  <c r="G10" i="29" s="1"/>
  <c r="E7" i="15"/>
  <c r="H10" i="19" s="1"/>
  <c r="F7" i="15"/>
  <c r="I10" i="19" s="1"/>
  <c r="G7" i="15"/>
  <c r="J10" i="19" s="1"/>
  <c r="H7" i="15"/>
  <c r="K10" i="19" s="1"/>
  <c r="I7" i="15"/>
  <c r="L10" i="19" s="1"/>
  <c r="J7" i="15"/>
  <c r="M10" i="19" s="1"/>
  <c r="K7" i="15"/>
  <c r="N10" i="19" s="1"/>
  <c r="L7" i="15"/>
  <c r="O10" i="19" s="1"/>
  <c r="M7" i="15"/>
  <c r="P10" i="19" s="1"/>
  <c r="N7" i="15"/>
  <c r="Q10" i="19" s="1"/>
  <c r="O7" i="15"/>
  <c r="R10" i="19" s="1"/>
  <c r="P7" i="15"/>
  <c r="S10" i="19" s="1"/>
  <c r="Q7" i="15"/>
  <c r="T10" i="19" s="1"/>
  <c r="R7" i="15"/>
  <c r="U10" i="19" s="1"/>
  <c r="S7" i="15"/>
  <c r="V10" i="19" s="1"/>
  <c r="T7" i="15"/>
  <c r="W10" i="19" s="1"/>
  <c r="W10" i="29" s="1"/>
  <c r="U7" i="15"/>
  <c r="X10" i="19" s="1"/>
  <c r="V7" i="15"/>
  <c r="Y10" i="19" s="1"/>
  <c r="W7" i="15"/>
  <c r="Z10" i="19" s="1"/>
  <c r="X7" i="15"/>
  <c r="AA10" i="19" s="1"/>
  <c r="Y7" i="15"/>
  <c r="AB10" i="19" s="1"/>
  <c r="Z7" i="15"/>
  <c r="AC10" i="19" s="1"/>
  <c r="AA7" i="15"/>
  <c r="AD10" i="19" s="1"/>
  <c r="AB7" i="15"/>
  <c r="AE10" i="19" s="1"/>
  <c r="AC7" i="15"/>
  <c r="AF10" i="19" s="1"/>
  <c r="AD7" i="15"/>
  <c r="AG10" i="19" s="1"/>
  <c r="AE7" i="15"/>
  <c r="AH10" i="19" s="1"/>
  <c r="AF7" i="15"/>
  <c r="AI10" i="19" s="1"/>
  <c r="AG7" i="15"/>
  <c r="AJ10" i="19" s="1"/>
  <c r="AH7" i="15"/>
  <c r="AK10" i="19" s="1"/>
  <c r="AI7" i="15"/>
  <c r="AL10" i="19" s="1"/>
  <c r="AJ7" i="15"/>
  <c r="AM10" i="19" s="1"/>
  <c r="AK7" i="15"/>
  <c r="AN10" i="19" s="1"/>
  <c r="AL7" i="15"/>
  <c r="AO10" i="19" s="1"/>
  <c r="AM7" i="15"/>
  <c r="AP10" i="19" s="1"/>
  <c r="AN7" i="15"/>
  <c r="AQ10" i="19" s="1"/>
  <c r="B7" i="15"/>
  <c r="E10" i="19" s="1"/>
  <c r="C173" i="13"/>
  <c r="D173" i="13"/>
  <c r="E173" i="13"/>
  <c r="F173" i="13"/>
  <c r="G173" i="13"/>
  <c r="H173" i="13"/>
  <c r="I173" i="13"/>
  <c r="J173" i="13"/>
  <c r="K173" i="13"/>
  <c r="L173" i="13"/>
  <c r="M173" i="13"/>
  <c r="N173" i="13"/>
  <c r="O173" i="13"/>
  <c r="P173" i="13"/>
  <c r="Q173" i="13"/>
  <c r="R173" i="13"/>
  <c r="S173" i="13"/>
  <c r="T173" i="13"/>
  <c r="U173" i="13"/>
  <c r="V173" i="13"/>
  <c r="W173" i="13"/>
  <c r="X173" i="13"/>
  <c r="Y173" i="13"/>
  <c r="Z173" i="13"/>
  <c r="AA173" i="13"/>
  <c r="AB173" i="13"/>
  <c r="AC173" i="13"/>
  <c r="AD173" i="13"/>
  <c r="AE173" i="13"/>
  <c r="AF173" i="13"/>
  <c r="AG173" i="13"/>
  <c r="AH173" i="13"/>
  <c r="AI173" i="13"/>
  <c r="AJ173" i="13"/>
  <c r="AK173" i="13"/>
  <c r="AL173" i="13"/>
  <c r="AM173" i="13"/>
  <c r="AN173" i="13"/>
  <c r="C174" i="13"/>
  <c r="D174" i="13"/>
  <c r="E174" i="13"/>
  <c r="F174" i="13"/>
  <c r="G174" i="13"/>
  <c r="H174" i="13"/>
  <c r="I174" i="13"/>
  <c r="J174" i="13"/>
  <c r="K174" i="13"/>
  <c r="L174" i="13"/>
  <c r="M174" i="13"/>
  <c r="N174" i="13"/>
  <c r="O174" i="13"/>
  <c r="P174" i="13"/>
  <c r="Q174" i="13"/>
  <c r="R174" i="13"/>
  <c r="S174" i="13"/>
  <c r="T174" i="13"/>
  <c r="U174" i="13"/>
  <c r="V174" i="13"/>
  <c r="W174" i="13"/>
  <c r="X174" i="13"/>
  <c r="Y174" i="13"/>
  <c r="Z174" i="13"/>
  <c r="AA174" i="13"/>
  <c r="AB174" i="13"/>
  <c r="AC174" i="13"/>
  <c r="AD174" i="13"/>
  <c r="AE174" i="13"/>
  <c r="AF174" i="13"/>
  <c r="AG174" i="13"/>
  <c r="AH174" i="13"/>
  <c r="AI174" i="13"/>
  <c r="AJ174" i="13"/>
  <c r="AK174" i="13"/>
  <c r="AL174" i="13"/>
  <c r="AM174" i="13"/>
  <c r="AN174" i="13"/>
  <c r="C175" i="13"/>
  <c r="D175" i="13"/>
  <c r="E175" i="13"/>
  <c r="F175" i="13"/>
  <c r="G175" i="13"/>
  <c r="H175" i="13"/>
  <c r="I175" i="13"/>
  <c r="J175" i="13"/>
  <c r="K175" i="13"/>
  <c r="L175" i="13"/>
  <c r="M175" i="13"/>
  <c r="N175" i="13"/>
  <c r="O175" i="13"/>
  <c r="P175" i="13"/>
  <c r="Q175" i="13"/>
  <c r="R175" i="13"/>
  <c r="S175" i="13"/>
  <c r="T175" i="13"/>
  <c r="U175" i="13"/>
  <c r="V175" i="13"/>
  <c r="W175" i="13"/>
  <c r="X175" i="13"/>
  <c r="Y175" i="13"/>
  <c r="Z175" i="13"/>
  <c r="AA175" i="13"/>
  <c r="AB175" i="13"/>
  <c r="AC175" i="13"/>
  <c r="AD175" i="13"/>
  <c r="AE175" i="13"/>
  <c r="AF175" i="13"/>
  <c r="AG175" i="13"/>
  <c r="AH175" i="13"/>
  <c r="AI175" i="13"/>
  <c r="AJ175" i="13"/>
  <c r="AK175" i="13"/>
  <c r="AL175" i="13"/>
  <c r="AM175" i="13"/>
  <c r="AN175" i="13"/>
  <c r="C176" i="13"/>
  <c r="D176" i="13"/>
  <c r="E176" i="13"/>
  <c r="F176" i="13"/>
  <c r="G176" i="13"/>
  <c r="H176" i="13"/>
  <c r="I176" i="13"/>
  <c r="J176" i="13"/>
  <c r="K176" i="13"/>
  <c r="L176" i="13"/>
  <c r="M176" i="13"/>
  <c r="N176" i="13"/>
  <c r="O176" i="13"/>
  <c r="P176" i="13"/>
  <c r="Q176" i="13"/>
  <c r="R176" i="13"/>
  <c r="S176" i="13"/>
  <c r="T176" i="13"/>
  <c r="U176" i="13"/>
  <c r="V176" i="13"/>
  <c r="W176" i="13"/>
  <c r="X176" i="13"/>
  <c r="Y176" i="13"/>
  <c r="Z176" i="13"/>
  <c r="AA176" i="13"/>
  <c r="AB176" i="13"/>
  <c r="AC176" i="13"/>
  <c r="AD176" i="13"/>
  <c r="AE176" i="13"/>
  <c r="AF176" i="13"/>
  <c r="AG176" i="13"/>
  <c r="AH176" i="13"/>
  <c r="AI176" i="13"/>
  <c r="AJ176" i="13"/>
  <c r="AK176" i="13"/>
  <c r="AL176" i="13"/>
  <c r="AM176" i="13"/>
  <c r="AN176" i="13"/>
  <c r="B174" i="13"/>
  <c r="B175" i="13"/>
  <c r="B176" i="13"/>
  <c r="B173" i="13"/>
  <c r="C161" i="13"/>
  <c r="D161" i="13"/>
  <c r="E161" i="13"/>
  <c r="F161" i="13"/>
  <c r="G161" i="13"/>
  <c r="H161" i="13"/>
  <c r="I161" i="13"/>
  <c r="J161" i="13"/>
  <c r="K161" i="13"/>
  <c r="L161" i="13"/>
  <c r="M161" i="13"/>
  <c r="N161" i="13"/>
  <c r="O161" i="13"/>
  <c r="P161" i="13"/>
  <c r="Q161" i="13"/>
  <c r="R161" i="13"/>
  <c r="S161" i="13"/>
  <c r="T161" i="13"/>
  <c r="U161" i="13"/>
  <c r="V161" i="13"/>
  <c r="W161" i="13"/>
  <c r="X161" i="13"/>
  <c r="Y161" i="13"/>
  <c r="Z161" i="13"/>
  <c r="AA161" i="13"/>
  <c r="AB161" i="13"/>
  <c r="AC161" i="13"/>
  <c r="AD161" i="13"/>
  <c r="AE161" i="13"/>
  <c r="AF161" i="13"/>
  <c r="AG161" i="13"/>
  <c r="AH161" i="13"/>
  <c r="AI161" i="13"/>
  <c r="AJ161" i="13"/>
  <c r="AK161" i="13"/>
  <c r="AL161" i="13"/>
  <c r="AM161" i="13"/>
  <c r="AN161" i="13"/>
  <c r="C162" i="13"/>
  <c r="D162" i="13"/>
  <c r="E162" i="13"/>
  <c r="F162" i="13"/>
  <c r="G162" i="13"/>
  <c r="H162" i="13"/>
  <c r="I162" i="13"/>
  <c r="J162" i="13"/>
  <c r="K162" i="13"/>
  <c r="L162" i="13"/>
  <c r="M162" i="13"/>
  <c r="N162" i="13"/>
  <c r="O162" i="13"/>
  <c r="P162" i="13"/>
  <c r="Q162" i="13"/>
  <c r="R162" i="13"/>
  <c r="S162" i="13"/>
  <c r="T162" i="13"/>
  <c r="U162" i="13"/>
  <c r="V162" i="13"/>
  <c r="W162" i="13"/>
  <c r="X162" i="13"/>
  <c r="Y162" i="13"/>
  <c r="Z162" i="13"/>
  <c r="AA162" i="13"/>
  <c r="AB162" i="13"/>
  <c r="AC162" i="13"/>
  <c r="AD162" i="13"/>
  <c r="AE162" i="13"/>
  <c r="AF162" i="13"/>
  <c r="AG162" i="13"/>
  <c r="AH162" i="13"/>
  <c r="AI162" i="13"/>
  <c r="AJ162" i="13"/>
  <c r="AK162" i="13"/>
  <c r="AL162" i="13"/>
  <c r="AM162" i="13"/>
  <c r="AN162" i="13"/>
  <c r="C163" i="13"/>
  <c r="D163" i="13"/>
  <c r="E163" i="13"/>
  <c r="F163" i="13"/>
  <c r="G163" i="13"/>
  <c r="H163" i="13"/>
  <c r="I163" i="13"/>
  <c r="J163" i="13"/>
  <c r="K163" i="13"/>
  <c r="L163" i="13"/>
  <c r="M163" i="13"/>
  <c r="N163" i="13"/>
  <c r="O163" i="13"/>
  <c r="P163" i="13"/>
  <c r="Q163" i="13"/>
  <c r="R163" i="13"/>
  <c r="S163" i="13"/>
  <c r="T163" i="13"/>
  <c r="U163" i="13"/>
  <c r="V163" i="13"/>
  <c r="W163" i="13"/>
  <c r="X163" i="13"/>
  <c r="Y163" i="13"/>
  <c r="Z163" i="13"/>
  <c r="AA163" i="13"/>
  <c r="AB163" i="13"/>
  <c r="AC163" i="13"/>
  <c r="AD163" i="13"/>
  <c r="AE163" i="13"/>
  <c r="AF163" i="13"/>
  <c r="AG163" i="13"/>
  <c r="AH163" i="13"/>
  <c r="AI163" i="13"/>
  <c r="AJ163" i="13"/>
  <c r="AK163" i="13"/>
  <c r="AL163" i="13"/>
  <c r="AM163" i="13"/>
  <c r="AN163" i="13"/>
  <c r="C164" i="13"/>
  <c r="D164" i="13"/>
  <c r="E164" i="13"/>
  <c r="F164" i="13"/>
  <c r="G164" i="13"/>
  <c r="H164" i="13"/>
  <c r="I164" i="13"/>
  <c r="J164" i="13"/>
  <c r="K164" i="13"/>
  <c r="L164" i="13"/>
  <c r="M164" i="13"/>
  <c r="N164" i="13"/>
  <c r="O164" i="13"/>
  <c r="P164" i="13"/>
  <c r="Q164" i="13"/>
  <c r="R164" i="13"/>
  <c r="S164" i="13"/>
  <c r="T164" i="13"/>
  <c r="U164" i="13"/>
  <c r="V164" i="13"/>
  <c r="W164" i="13"/>
  <c r="X164" i="13"/>
  <c r="Y164" i="13"/>
  <c r="Z164" i="13"/>
  <c r="AA164" i="13"/>
  <c r="AB164" i="13"/>
  <c r="AC164" i="13"/>
  <c r="AD164" i="13"/>
  <c r="AE164" i="13"/>
  <c r="AF164" i="13"/>
  <c r="AG164" i="13"/>
  <c r="AH164" i="13"/>
  <c r="AI164" i="13"/>
  <c r="AJ164" i="13"/>
  <c r="AK164" i="13"/>
  <c r="AL164" i="13"/>
  <c r="AM164" i="13"/>
  <c r="AN164" i="13"/>
  <c r="B162" i="13"/>
  <c r="B163" i="13"/>
  <c r="B164" i="13"/>
  <c r="B161" i="13"/>
  <c r="C150" i="13"/>
  <c r="D150" i="13"/>
  <c r="E150" i="13"/>
  <c r="F150" i="13"/>
  <c r="G150" i="13"/>
  <c r="H150" i="13"/>
  <c r="I150" i="13"/>
  <c r="J150" i="13"/>
  <c r="K150" i="13"/>
  <c r="L150" i="13"/>
  <c r="M150" i="13"/>
  <c r="N150" i="13"/>
  <c r="O150" i="13"/>
  <c r="P150" i="13"/>
  <c r="Q150" i="13"/>
  <c r="R150" i="13"/>
  <c r="S150" i="13"/>
  <c r="T150" i="13"/>
  <c r="U150" i="13"/>
  <c r="V150" i="13"/>
  <c r="W150" i="13"/>
  <c r="X150" i="13"/>
  <c r="Y150" i="13"/>
  <c r="Z150" i="13"/>
  <c r="AA150" i="13"/>
  <c r="AB150" i="13"/>
  <c r="AC150" i="13"/>
  <c r="AD150" i="13"/>
  <c r="AE150" i="13"/>
  <c r="AF150" i="13"/>
  <c r="AG150" i="13"/>
  <c r="AH150" i="13"/>
  <c r="AI150" i="13"/>
  <c r="AJ150" i="13"/>
  <c r="AK150" i="13"/>
  <c r="AL150" i="13"/>
  <c r="AM150" i="13"/>
  <c r="AN150" i="13"/>
  <c r="C151" i="13"/>
  <c r="D151" i="13"/>
  <c r="E151" i="13"/>
  <c r="F151" i="13"/>
  <c r="G151" i="13"/>
  <c r="H151" i="13"/>
  <c r="I151" i="13"/>
  <c r="J151" i="13"/>
  <c r="K151" i="13"/>
  <c r="L151" i="13"/>
  <c r="M151" i="13"/>
  <c r="N151" i="13"/>
  <c r="O151" i="13"/>
  <c r="P151" i="13"/>
  <c r="Q151" i="13"/>
  <c r="R151" i="13"/>
  <c r="S151" i="13"/>
  <c r="T151" i="13"/>
  <c r="U151" i="13"/>
  <c r="V151" i="13"/>
  <c r="W151" i="13"/>
  <c r="X151" i="13"/>
  <c r="Y151" i="13"/>
  <c r="Z151" i="13"/>
  <c r="AA151" i="13"/>
  <c r="AB151" i="13"/>
  <c r="AC151" i="13"/>
  <c r="AD151" i="13"/>
  <c r="AE151" i="13"/>
  <c r="AF151" i="13"/>
  <c r="AG151" i="13"/>
  <c r="AH151" i="13"/>
  <c r="AI151" i="13"/>
  <c r="AJ151" i="13"/>
  <c r="AK151" i="13"/>
  <c r="AL151" i="13"/>
  <c r="AM151" i="13"/>
  <c r="AN151" i="13"/>
  <c r="C152" i="13"/>
  <c r="D152" i="13"/>
  <c r="E152" i="13"/>
  <c r="F152" i="13"/>
  <c r="G152" i="13"/>
  <c r="H152" i="13"/>
  <c r="I152" i="13"/>
  <c r="J152" i="13"/>
  <c r="K152" i="13"/>
  <c r="L152" i="13"/>
  <c r="M152" i="13"/>
  <c r="N152" i="13"/>
  <c r="O152" i="13"/>
  <c r="P152" i="13"/>
  <c r="Q152" i="13"/>
  <c r="R152" i="13"/>
  <c r="S152" i="13"/>
  <c r="T152" i="13"/>
  <c r="U152" i="13"/>
  <c r="V152" i="13"/>
  <c r="W152" i="13"/>
  <c r="X152" i="13"/>
  <c r="Y152" i="13"/>
  <c r="Z152" i="13"/>
  <c r="AA152" i="13"/>
  <c r="AB152" i="13"/>
  <c r="AC152" i="13"/>
  <c r="AD152" i="13"/>
  <c r="AE152" i="13"/>
  <c r="AF152" i="13"/>
  <c r="AG152" i="13"/>
  <c r="AH152" i="13"/>
  <c r="AI152" i="13"/>
  <c r="AJ152" i="13"/>
  <c r="AK152" i="13"/>
  <c r="AL152" i="13"/>
  <c r="AM152" i="13"/>
  <c r="AN152" i="13"/>
  <c r="C153" i="13"/>
  <c r="D153" i="13"/>
  <c r="E153" i="13"/>
  <c r="F153" i="13"/>
  <c r="G153" i="13"/>
  <c r="H153" i="13"/>
  <c r="I153" i="13"/>
  <c r="J153" i="13"/>
  <c r="K153" i="13"/>
  <c r="L153" i="13"/>
  <c r="M153" i="13"/>
  <c r="N153" i="13"/>
  <c r="O153" i="13"/>
  <c r="P153" i="13"/>
  <c r="Q153" i="13"/>
  <c r="R153" i="13"/>
  <c r="S153" i="13"/>
  <c r="T153" i="13"/>
  <c r="U153" i="13"/>
  <c r="V153" i="13"/>
  <c r="W153" i="13"/>
  <c r="X153" i="13"/>
  <c r="Y153" i="13"/>
  <c r="Z153" i="13"/>
  <c r="AA153" i="13"/>
  <c r="AB153" i="13"/>
  <c r="AC153" i="13"/>
  <c r="AD153" i="13"/>
  <c r="AE153" i="13"/>
  <c r="AF153" i="13"/>
  <c r="AG153" i="13"/>
  <c r="AH153" i="13"/>
  <c r="AI153" i="13"/>
  <c r="AJ153" i="13"/>
  <c r="AK153" i="13"/>
  <c r="AL153" i="13"/>
  <c r="AM153" i="13"/>
  <c r="AN153" i="13"/>
  <c r="B151" i="13"/>
  <c r="B152" i="13"/>
  <c r="B153" i="13"/>
  <c r="B150" i="13"/>
  <c r="C139" i="13"/>
  <c r="D139" i="13"/>
  <c r="E139" i="13"/>
  <c r="F139" i="13"/>
  <c r="G139" i="13"/>
  <c r="H139" i="13"/>
  <c r="I139" i="13"/>
  <c r="J139" i="13"/>
  <c r="K139" i="13"/>
  <c r="L139" i="13"/>
  <c r="M139" i="13"/>
  <c r="N139" i="13"/>
  <c r="O139" i="13"/>
  <c r="P139" i="13"/>
  <c r="Q139" i="13"/>
  <c r="R139" i="13"/>
  <c r="S139" i="13"/>
  <c r="T139" i="13"/>
  <c r="U139" i="13"/>
  <c r="V139" i="13"/>
  <c r="W139" i="13"/>
  <c r="X139" i="13"/>
  <c r="Y139" i="13"/>
  <c r="Z139" i="13"/>
  <c r="AA139" i="13"/>
  <c r="AB139" i="13"/>
  <c r="AC139" i="13"/>
  <c r="AD139" i="13"/>
  <c r="AE139" i="13"/>
  <c r="AF139" i="13"/>
  <c r="AG139" i="13"/>
  <c r="AH139" i="13"/>
  <c r="AI139" i="13"/>
  <c r="AJ139" i="13"/>
  <c r="AK139" i="13"/>
  <c r="AL139" i="13"/>
  <c r="AM139" i="13"/>
  <c r="AN139" i="13"/>
  <c r="C140" i="13"/>
  <c r="D140" i="13"/>
  <c r="E140" i="13"/>
  <c r="F140" i="13"/>
  <c r="G140" i="13"/>
  <c r="H140" i="13"/>
  <c r="I140" i="13"/>
  <c r="J140" i="13"/>
  <c r="K140" i="13"/>
  <c r="L140" i="13"/>
  <c r="M140" i="13"/>
  <c r="N140" i="13"/>
  <c r="O140" i="13"/>
  <c r="P140" i="13"/>
  <c r="Q140" i="13"/>
  <c r="R140" i="13"/>
  <c r="S140" i="13"/>
  <c r="T140" i="13"/>
  <c r="U140" i="13"/>
  <c r="V140" i="13"/>
  <c r="W140" i="13"/>
  <c r="X140" i="13"/>
  <c r="Y140" i="13"/>
  <c r="Z140" i="13"/>
  <c r="AA140" i="13"/>
  <c r="AB140" i="13"/>
  <c r="AC140" i="13"/>
  <c r="AD140" i="13"/>
  <c r="AE140" i="13"/>
  <c r="AF140" i="13"/>
  <c r="AG140" i="13"/>
  <c r="AH140" i="13"/>
  <c r="AI140" i="13"/>
  <c r="AJ140" i="13"/>
  <c r="AK140" i="13"/>
  <c r="AL140" i="13"/>
  <c r="AM140" i="13"/>
  <c r="AN140" i="13"/>
  <c r="C141" i="13"/>
  <c r="D141" i="13"/>
  <c r="E141" i="13"/>
  <c r="F141" i="13"/>
  <c r="G141" i="13"/>
  <c r="H141" i="13"/>
  <c r="I141" i="13"/>
  <c r="J141" i="13"/>
  <c r="K141" i="13"/>
  <c r="L141" i="13"/>
  <c r="M141" i="13"/>
  <c r="N141" i="13"/>
  <c r="O141" i="13"/>
  <c r="P141" i="13"/>
  <c r="Q141" i="13"/>
  <c r="R141" i="13"/>
  <c r="S141" i="13"/>
  <c r="T141" i="13"/>
  <c r="U141" i="13"/>
  <c r="V141" i="13"/>
  <c r="W141" i="13"/>
  <c r="X141" i="13"/>
  <c r="Y141" i="13"/>
  <c r="Z141" i="13"/>
  <c r="AA141" i="13"/>
  <c r="AB141" i="13"/>
  <c r="AC141" i="13"/>
  <c r="AD141" i="13"/>
  <c r="AE141" i="13"/>
  <c r="AF141" i="13"/>
  <c r="AG141" i="13"/>
  <c r="AH141" i="13"/>
  <c r="AI141" i="13"/>
  <c r="AJ141" i="13"/>
  <c r="AK141" i="13"/>
  <c r="AL141" i="13"/>
  <c r="AM141" i="13"/>
  <c r="AN141" i="13"/>
  <c r="C142" i="13"/>
  <c r="D142" i="13"/>
  <c r="E142" i="13"/>
  <c r="F142" i="13"/>
  <c r="G142" i="13"/>
  <c r="H142" i="13"/>
  <c r="I142" i="13"/>
  <c r="J142" i="13"/>
  <c r="K142" i="13"/>
  <c r="L142" i="13"/>
  <c r="M142" i="13"/>
  <c r="N142" i="13"/>
  <c r="O142" i="13"/>
  <c r="P142" i="13"/>
  <c r="Q142" i="13"/>
  <c r="R142" i="13"/>
  <c r="S142" i="13"/>
  <c r="T142" i="13"/>
  <c r="U142" i="13"/>
  <c r="V142" i="13"/>
  <c r="W142" i="13"/>
  <c r="X142" i="13"/>
  <c r="Y142" i="13"/>
  <c r="Z142" i="13"/>
  <c r="AA142" i="13"/>
  <c r="AB142" i="13"/>
  <c r="AC142" i="13"/>
  <c r="AD142" i="13"/>
  <c r="AE142" i="13"/>
  <c r="AF142" i="13"/>
  <c r="AG142" i="13"/>
  <c r="AH142" i="13"/>
  <c r="AI142" i="13"/>
  <c r="AJ142" i="13"/>
  <c r="AK142" i="13"/>
  <c r="AL142" i="13"/>
  <c r="AM142" i="13"/>
  <c r="AN142" i="13"/>
  <c r="B140" i="13"/>
  <c r="B141" i="13"/>
  <c r="B142" i="13"/>
  <c r="B139" i="13"/>
  <c r="C128" i="13"/>
  <c r="D128" i="13"/>
  <c r="E128" i="13"/>
  <c r="F128" i="13"/>
  <c r="G128" i="13"/>
  <c r="H128" i="13"/>
  <c r="I128" i="13"/>
  <c r="J128" i="13"/>
  <c r="K128" i="13"/>
  <c r="L128" i="13"/>
  <c r="M128" i="13"/>
  <c r="N128" i="13"/>
  <c r="O128" i="13"/>
  <c r="P128" i="13"/>
  <c r="Q128" i="13"/>
  <c r="R128" i="13"/>
  <c r="S128" i="13"/>
  <c r="T128" i="13"/>
  <c r="U128" i="13"/>
  <c r="V128" i="13"/>
  <c r="W128" i="13"/>
  <c r="X128" i="13"/>
  <c r="Y128" i="13"/>
  <c r="Z128" i="13"/>
  <c r="AA128" i="13"/>
  <c r="AB128" i="13"/>
  <c r="AC128" i="13"/>
  <c r="AD128" i="13"/>
  <c r="AE128" i="13"/>
  <c r="AF128" i="13"/>
  <c r="AG128" i="13"/>
  <c r="AH128" i="13"/>
  <c r="AI128" i="13"/>
  <c r="AJ128" i="13"/>
  <c r="AK128" i="13"/>
  <c r="AL128" i="13"/>
  <c r="AM128" i="13"/>
  <c r="AN128" i="13"/>
  <c r="C129" i="13"/>
  <c r="D129" i="13"/>
  <c r="E129" i="13"/>
  <c r="F129" i="13"/>
  <c r="G129" i="13"/>
  <c r="H129" i="13"/>
  <c r="I129" i="13"/>
  <c r="J129" i="13"/>
  <c r="K129" i="13"/>
  <c r="L129" i="13"/>
  <c r="M129" i="13"/>
  <c r="N129" i="13"/>
  <c r="O129" i="13"/>
  <c r="P129" i="13"/>
  <c r="Q129" i="13"/>
  <c r="R129" i="13"/>
  <c r="S129" i="13"/>
  <c r="T129" i="13"/>
  <c r="U129" i="13"/>
  <c r="V129" i="13"/>
  <c r="W129" i="13"/>
  <c r="X129" i="13"/>
  <c r="Y129" i="13"/>
  <c r="Z129" i="13"/>
  <c r="AA129" i="13"/>
  <c r="AB129" i="13"/>
  <c r="AC129" i="13"/>
  <c r="AD129" i="13"/>
  <c r="AE129" i="13"/>
  <c r="AF129" i="13"/>
  <c r="AG129" i="13"/>
  <c r="AH129" i="13"/>
  <c r="AI129" i="13"/>
  <c r="AJ129" i="13"/>
  <c r="AK129" i="13"/>
  <c r="AL129" i="13"/>
  <c r="AM129" i="13"/>
  <c r="AN129" i="13"/>
  <c r="C130" i="13"/>
  <c r="D130" i="13"/>
  <c r="E130" i="13"/>
  <c r="F130" i="13"/>
  <c r="G130" i="13"/>
  <c r="H130" i="13"/>
  <c r="I130" i="13"/>
  <c r="J130" i="13"/>
  <c r="K130" i="13"/>
  <c r="L130" i="13"/>
  <c r="M130" i="13"/>
  <c r="N130" i="13"/>
  <c r="O130" i="13"/>
  <c r="P130" i="13"/>
  <c r="Q130" i="13"/>
  <c r="R130" i="13"/>
  <c r="S130" i="13"/>
  <c r="T130" i="13"/>
  <c r="U130" i="13"/>
  <c r="V130" i="13"/>
  <c r="W130" i="13"/>
  <c r="X130" i="13"/>
  <c r="Y130" i="13"/>
  <c r="Z130" i="13"/>
  <c r="AA130" i="13"/>
  <c r="AB130" i="13"/>
  <c r="AC130" i="13"/>
  <c r="AD130" i="13"/>
  <c r="AE130" i="13"/>
  <c r="AF130" i="13"/>
  <c r="AG130" i="13"/>
  <c r="AH130" i="13"/>
  <c r="AI130" i="13"/>
  <c r="AJ130" i="13"/>
  <c r="AK130" i="13"/>
  <c r="AL130" i="13"/>
  <c r="AM130" i="13"/>
  <c r="AN130" i="13"/>
  <c r="C131" i="13"/>
  <c r="D131" i="13"/>
  <c r="E131" i="13"/>
  <c r="F131" i="13"/>
  <c r="G131" i="13"/>
  <c r="H131" i="13"/>
  <c r="I131" i="13"/>
  <c r="J131" i="13"/>
  <c r="K131" i="13"/>
  <c r="L131" i="13"/>
  <c r="M131" i="13"/>
  <c r="N131" i="13"/>
  <c r="O131" i="13"/>
  <c r="P131" i="13"/>
  <c r="Q131" i="13"/>
  <c r="R131" i="13"/>
  <c r="S131" i="13"/>
  <c r="T131" i="13"/>
  <c r="U131" i="13"/>
  <c r="V131" i="13"/>
  <c r="W131" i="13"/>
  <c r="X131" i="13"/>
  <c r="Y131" i="13"/>
  <c r="Z131" i="13"/>
  <c r="AA131" i="13"/>
  <c r="AB131" i="13"/>
  <c r="AC131" i="13"/>
  <c r="AD131" i="13"/>
  <c r="AE131" i="13"/>
  <c r="AF131" i="13"/>
  <c r="AG131" i="13"/>
  <c r="AH131" i="13"/>
  <c r="AI131" i="13"/>
  <c r="AJ131" i="13"/>
  <c r="AK131" i="13"/>
  <c r="AL131" i="13"/>
  <c r="AM131" i="13"/>
  <c r="AN131" i="13"/>
  <c r="B129" i="13"/>
  <c r="B130" i="13"/>
  <c r="B131" i="13"/>
  <c r="B128" i="13"/>
  <c r="C117" i="13"/>
  <c r="D117" i="13"/>
  <c r="E117" i="13"/>
  <c r="F117" i="13"/>
  <c r="G117" i="13"/>
  <c r="H117" i="13"/>
  <c r="I117" i="13"/>
  <c r="J117" i="13"/>
  <c r="K117" i="13"/>
  <c r="L117" i="13"/>
  <c r="M117" i="13"/>
  <c r="N117" i="13"/>
  <c r="O117" i="13"/>
  <c r="P117" i="13"/>
  <c r="Q117" i="13"/>
  <c r="R117" i="13"/>
  <c r="S117" i="13"/>
  <c r="T117" i="13"/>
  <c r="U117" i="13"/>
  <c r="V117" i="13"/>
  <c r="W117" i="13"/>
  <c r="X117" i="13"/>
  <c r="Y117" i="13"/>
  <c r="Z117" i="13"/>
  <c r="AA117" i="13"/>
  <c r="AB117" i="13"/>
  <c r="AC117" i="13"/>
  <c r="AD117" i="13"/>
  <c r="AE117" i="13"/>
  <c r="AF117" i="13"/>
  <c r="AG117" i="13"/>
  <c r="AH117" i="13"/>
  <c r="AI117" i="13"/>
  <c r="AJ117" i="13"/>
  <c r="AK117" i="13"/>
  <c r="AL117" i="13"/>
  <c r="AM117" i="13"/>
  <c r="AN117" i="13"/>
  <c r="C118" i="13"/>
  <c r="D118" i="13"/>
  <c r="E118" i="13"/>
  <c r="F118" i="13"/>
  <c r="G118" i="13"/>
  <c r="H118" i="13"/>
  <c r="I118" i="13"/>
  <c r="J118" i="13"/>
  <c r="K118" i="13"/>
  <c r="L118" i="13"/>
  <c r="M118" i="13"/>
  <c r="N118" i="13"/>
  <c r="O118" i="13"/>
  <c r="P118" i="13"/>
  <c r="Q118" i="13"/>
  <c r="R118" i="13"/>
  <c r="S118" i="13"/>
  <c r="T118" i="13"/>
  <c r="U118" i="13"/>
  <c r="V118" i="13"/>
  <c r="W118" i="13"/>
  <c r="X118" i="13"/>
  <c r="Y118" i="13"/>
  <c r="Z118" i="13"/>
  <c r="AA118" i="13"/>
  <c r="AB118" i="13"/>
  <c r="AC118" i="13"/>
  <c r="AD118" i="13"/>
  <c r="AE118" i="13"/>
  <c r="AF118" i="13"/>
  <c r="AG118" i="13"/>
  <c r="AH118" i="13"/>
  <c r="AI118" i="13"/>
  <c r="AJ118" i="13"/>
  <c r="AK118" i="13"/>
  <c r="AL118" i="13"/>
  <c r="AM118" i="13"/>
  <c r="AN118" i="13"/>
  <c r="C119" i="13"/>
  <c r="D119" i="13"/>
  <c r="E119" i="13"/>
  <c r="F119" i="13"/>
  <c r="G119" i="13"/>
  <c r="H119" i="13"/>
  <c r="I119" i="13"/>
  <c r="J119" i="13"/>
  <c r="K119" i="13"/>
  <c r="L119" i="13"/>
  <c r="M119" i="13"/>
  <c r="N119" i="13"/>
  <c r="O119" i="13"/>
  <c r="P119" i="13"/>
  <c r="Q119" i="13"/>
  <c r="R119" i="13"/>
  <c r="S119" i="13"/>
  <c r="T119" i="13"/>
  <c r="U119" i="13"/>
  <c r="V119" i="13"/>
  <c r="W119" i="13"/>
  <c r="X119" i="13"/>
  <c r="Y119" i="13"/>
  <c r="Z119" i="13"/>
  <c r="AA119" i="13"/>
  <c r="AB119" i="13"/>
  <c r="AC119" i="13"/>
  <c r="AD119" i="13"/>
  <c r="AE119" i="13"/>
  <c r="AF119" i="13"/>
  <c r="AG119" i="13"/>
  <c r="AH119" i="13"/>
  <c r="AI119" i="13"/>
  <c r="AJ119" i="13"/>
  <c r="AK119" i="13"/>
  <c r="AL119" i="13"/>
  <c r="AM119" i="13"/>
  <c r="AN119" i="13"/>
  <c r="C120" i="13"/>
  <c r="D120" i="13"/>
  <c r="E120" i="13"/>
  <c r="F120" i="13"/>
  <c r="G120" i="13"/>
  <c r="H120" i="13"/>
  <c r="I120" i="13"/>
  <c r="J120" i="13"/>
  <c r="K120" i="13"/>
  <c r="L120" i="13"/>
  <c r="M120" i="13"/>
  <c r="N120" i="13"/>
  <c r="O120" i="13"/>
  <c r="P120" i="13"/>
  <c r="Q120" i="13"/>
  <c r="R120" i="13"/>
  <c r="S120" i="13"/>
  <c r="T120" i="13"/>
  <c r="U120" i="13"/>
  <c r="V120" i="13"/>
  <c r="W120" i="13"/>
  <c r="X120" i="13"/>
  <c r="Y120" i="13"/>
  <c r="Z120" i="13"/>
  <c r="AA120" i="13"/>
  <c r="AB120" i="13"/>
  <c r="AC120" i="13"/>
  <c r="AD120" i="13"/>
  <c r="AE120" i="13"/>
  <c r="AF120" i="13"/>
  <c r="AG120" i="13"/>
  <c r="AH120" i="13"/>
  <c r="AI120" i="13"/>
  <c r="AJ120" i="13"/>
  <c r="AK120" i="13"/>
  <c r="AL120" i="13"/>
  <c r="AM120" i="13"/>
  <c r="AN120" i="13"/>
  <c r="B118" i="13"/>
  <c r="B119" i="13"/>
  <c r="B120" i="13"/>
  <c r="B117" i="13"/>
  <c r="C106" i="13"/>
  <c r="D106" i="13"/>
  <c r="E106" i="13"/>
  <c r="F106" i="13"/>
  <c r="G106" i="13"/>
  <c r="H106" i="13"/>
  <c r="I106" i="13"/>
  <c r="J106" i="13"/>
  <c r="K106" i="13"/>
  <c r="L106" i="13"/>
  <c r="M106" i="13"/>
  <c r="N106" i="13"/>
  <c r="O106" i="13"/>
  <c r="P106" i="13"/>
  <c r="Q106" i="13"/>
  <c r="R106" i="13"/>
  <c r="S106" i="13"/>
  <c r="T106" i="13"/>
  <c r="U106" i="13"/>
  <c r="V106" i="13"/>
  <c r="W106" i="13"/>
  <c r="X106" i="13"/>
  <c r="Y106" i="13"/>
  <c r="Z106" i="13"/>
  <c r="AA106" i="13"/>
  <c r="AB106" i="13"/>
  <c r="AC106" i="13"/>
  <c r="AD106" i="13"/>
  <c r="AE106" i="13"/>
  <c r="AF106" i="13"/>
  <c r="AG106" i="13"/>
  <c r="AH106" i="13"/>
  <c r="AI106" i="13"/>
  <c r="AJ106" i="13"/>
  <c r="AK106" i="13"/>
  <c r="AL106" i="13"/>
  <c r="AM106" i="13"/>
  <c r="AN106" i="13"/>
  <c r="C107" i="13"/>
  <c r="D107" i="13"/>
  <c r="E107" i="13"/>
  <c r="F107" i="13"/>
  <c r="G107" i="13"/>
  <c r="H107" i="13"/>
  <c r="I107" i="13"/>
  <c r="J107" i="13"/>
  <c r="K107" i="13"/>
  <c r="L107" i="13"/>
  <c r="M107" i="13"/>
  <c r="N107" i="13"/>
  <c r="O107" i="13"/>
  <c r="P107" i="13"/>
  <c r="Q107" i="13"/>
  <c r="R107" i="13"/>
  <c r="S107" i="13"/>
  <c r="T107" i="13"/>
  <c r="U107" i="13"/>
  <c r="V107" i="13"/>
  <c r="W107" i="13"/>
  <c r="X107" i="13"/>
  <c r="Y107" i="13"/>
  <c r="Z107" i="13"/>
  <c r="AA107" i="13"/>
  <c r="AB107" i="13"/>
  <c r="AC107" i="13"/>
  <c r="AD107" i="13"/>
  <c r="AE107" i="13"/>
  <c r="AF107" i="13"/>
  <c r="AG107" i="13"/>
  <c r="AH107" i="13"/>
  <c r="AI107" i="13"/>
  <c r="AJ107" i="13"/>
  <c r="AK107" i="13"/>
  <c r="AL107" i="13"/>
  <c r="AM107" i="13"/>
  <c r="AN107" i="13"/>
  <c r="C108" i="13"/>
  <c r="D108" i="13"/>
  <c r="E108" i="13"/>
  <c r="F108" i="13"/>
  <c r="G108" i="13"/>
  <c r="H108" i="13"/>
  <c r="I108" i="13"/>
  <c r="J108" i="13"/>
  <c r="K108" i="13"/>
  <c r="L108" i="13"/>
  <c r="M108" i="13"/>
  <c r="N108" i="13"/>
  <c r="O108" i="13"/>
  <c r="P108" i="13"/>
  <c r="Q108" i="13"/>
  <c r="R108" i="13"/>
  <c r="S108" i="13"/>
  <c r="T108" i="13"/>
  <c r="U108" i="13"/>
  <c r="V108" i="13"/>
  <c r="W108" i="13"/>
  <c r="X108" i="13"/>
  <c r="Y108" i="13"/>
  <c r="Z108" i="13"/>
  <c r="AA108" i="13"/>
  <c r="AB108" i="13"/>
  <c r="AC108" i="13"/>
  <c r="AD108" i="13"/>
  <c r="AE108" i="13"/>
  <c r="AF108" i="13"/>
  <c r="AG108" i="13"/>
  <c r="AH108" i="13"/>
  <c r="AI108" i="13"/>
  <c r="AJ108" i="13"/>
  <c r="AK108" i="13"/>
  <c r="AL108" i="13"/>
  <c r="AM108" i="13"/>
  <c r="AN108" i="13"/>
  <c r="C109" i="13"/>
  <c r="D109" i="13"/>
  <c r="E109" i="13"/>
  <c r="F109" i="13"/>
  <c r="G109" i="13"/>
  <c r="H109" i="13"/>
  <c r="I109" i="13"/>
  <c r="J109" i="13"/>
  <c r="K109" i="13"/>
  <c r="L109" i="13"/>
  <c r="M109" i="13"/>
  <c r="N109" i="13"/>
  <c r="O109" i="13"/>
  <c r="P109" i="13"/>
  <c r="Q109" i="13"/>
  <c r="R109" i="13"/>
  <c r="S109" i="13"/>
  <c r="T109" i="13"/>
  <c r="U109" i="13"/>
  <c r="V109" i="13"/>
  <c r="W109" i="13"/>
  <c r="X109" i="13"/>
  <c r="Y109" i="13"/>
  <c r="Z109" i="13"/>
  <c r="AA109" i="13"/>
  <c r="AB109" i="13"/>
  <c r="AC109" i="13"/>
  <c r="AD109" i="13"/>
  <c r="AE109" i="13"/>
  <c r="AF109" i="13"/>
  <c r="AG109" i="13"/>
  <c r="AH109" i="13"/>
  <c r="AI109" i="13"/>
  <c r="AJ109" i="13"/>
  <c r="AK109" i="13"/>
  <c r="AL109" i="13"/>
  <c r="AM109" i="13"/>
  <c r="AN109" i="13"/>
  <c r="B107" i="13"/>
  <c r="B108" i="13"/>
  <c r="B109" i="13"/>
  <c r="B106" i="13"/>
  <c r="C95" i="13"/>
  <c r="D95" i="13"/>
  <c r="E95" i="13"/>
  <c r="F95" i="13"/>
  <c r="G95" i="13"/>
  <c r="H95" i="13"/>
  <c r="I95" i="13"/>
  <c r="J95" i="13"/>
  <c r="K95" i="13"/>
  <c r="L95" i="13"/>
  <c r="M95" i="13"/>
  <c r="N95" i="13"/>
  <c r="O95" i="13"/>
  <c r="P95" i="13"/>
  <c r="Q95" i="13"/>
  <c r="R95" i="13"/>
  <c r="S95" i="13"/>
  <c r="T95" i="13"/>
  <c r="U95" i="13"/>
  <c r="V95" i="13"/>
  <c r="W95" i="13"/>
  <c r="X95" i="13"/>
  <c r="Y95" i="13"/>
  <c r="Z95" i="13"/>
  <c r="AA95" i="13"/>
  <c r="AB95" i="13"/>
  <c r="AC95" i="13"/>
  <c r="AD95" i="13"/>
  <c r="AE95" i="13"/>
  <c r="AF95" i="13"/>
  <c r="AG95" i="13"/>
  <c r="AH95" i="13"/>
  <c r="AI95" i="13"/>
  <c r="AJ95" i="13"/>
  <c r="AK95" i="13"/>
  <c r="AL95" i="13"/>
  <c r="AM95" i="13"/>
  <c r="AN95" i="13"/>
  <c r="C96" i="13"/>
  <c r="D96" i="13"/>
  <c r="E96" i="13"/>
  <c r="F96" i="13"/>
  <c r="G96" i="13"/>
  <c r="H96" i="13"/>
  <c r="I96" i="13"/>
  <c r="J96" i="13"/>
  <c r="K96" i="13"/>
  <c r="L96" i="13"/>
  <c r="M96" i="13"/>
  <c r="N96" i="13"/>
  <c r="O96" i="13"/>
  <c r="P96" i="13"/>
  <c r="Q96" i="13"/>
  <c r="R96" i="13"/>
  <c r="S96" i="13"/>
  <c r="T96" i="13"/>
  <c r="U96" i="13"/>
  <c r="V96" i="13"/>
  <c r="W96" i="13"/>
  <c r="X96" i="13"/>
  <c r="Y96" i="13"/>
  <c r="Z96" i="13"/>
  <c r="AA96" i="13"/>
  <c r="AB96" i="13"/>
  <c r="AC96" i="13"/>
  <c r="AD96" i="13"/>
  <c r="AE96" i="13"/>
  <c r="AF96" i="13"/>
  <c r="AG96" i="13"/>
  <c r="AH96" i="13"/>
  <c r="AI96" i="13"/>
  <c r="AJ96" i="13"/>
  <c r="AK96" i="13"/>
  <c r="AL96" i="13"/>
  <c r="AM96" i="13"/>
  <c r="AN96" i="13"/>
  <c r="C97" i="13"/>
  <c r="D97" i="13"/>
  <c r="E97" i="13"/>
  <c r="F97" i="13"/>
  <c r="G97" i="13"/>
  <c r="H97" i="13"/>
  <c r="I97" i="13"/>
  <c r="J97" i="13"/>
  <c r="K97" i="13"/>
  <c r="L97" i="13"/>
  <c r="M97" i="13"/>
  <c r="N97" i="13"/>
  <c r="O97" i="13"/>
  <c r="P97" i="13"/>
  <c r="Q97" i="13"/>
  <c r="R97" i="13"/>
  <c r="S97" i="13"/>
  <c r="T97" i="13"/>
  <c r="U97" i="13"/>
  <c r="V97" i="13"/>
  <c r="W97" i="13"/>
  <c r="X97" i="13"/>
  <c r="Y97" i="13"/>
  <c r="Z97" i="13"/>
  <c r="AA97" i="13"/>
  <c r="AB97" i="13"/>
  <c r="AC97" i="13"/>
  <c r="AD97" i="13"/>
  <c r="AE97" i="13"/>
  <c r="AF97" i="13"/>
  <c r="AG97" i="13"/>
  <c r="AH97" i="13"/>
  <c r="AI97" i="13"/>
  <c r="AJ97" i="13"/>
  <c r="AK97" i="13"/>
  <c r="AL97" i="13"/>
  <c r="AM97" i="13"/>
  <c r="AN97" i="13"/>
  <c r="C98" i="13"/>
  <c r="D98" i="13"/>
  <c r="E98" i="13"/>
  <c r="F98" i="13"/>
  <c r="G98" i="13"/>
  <c r="H98" i="13"/>
  <c r="I98" i="13"/>
  <c r="J98" i="13"/>
  <c r="K98" i="13"/>
  <c r="L98" i="13"/>
  <c r="M98" i="13"/>
  <c r="N98" i="13"/>
  <c r="O98" i="13"/>
  <c r="P98" i="13"/>
  <c r="Q98" i="13"/>
  <c r="R98" i="13"/>
  <c r="S98" i="13"/>
  <c r="T98" i="13"/>
  <c r="U98" i="13"/>
  <c r="V98" i="13"/>
  <c r="W98" i="13"/>
  <c r="X98" i="13"/>
  <c r="Y98" i="13"/>
  <c r="Z98" i="13"/>
  <c r="AA98" i="13"/>
  <c r="AB98" i="13"/>
  <c r="AC98" i="13"/>
  <c r="AD98" i="13"/>
  <c r="AE98" i="13"/>
  <c r="AF98" i="13"/>
  <c r="AG98" i="13"/>
  <c r="AH98" i="13"/>
  <c r="AI98" i="13"/>
  <c r="AJ98" i="13"/>
  <c r="AK98" i="13"/>
  <c r="AL98" i="13"/>
  <c r="AM98" i="13"/>
  <c r="AN98" i="13"/>
  <c r="B96" i="13"/>
  <c r="B97" i="13"/>
  <c r="B98" i="13"/>
  <c r="B95" i="13"/>
  <c r="C84" i="13"/>
  <c r="D84" i="13"/>
  <c r="E84" i="13"/>
  <c r="F84" i="13"/>
  <c r="G84" i="13"/>
  <c r="H84" i="13"/>
  <c r="I84" i="13"/>
  <c r="J84" i="13"/>
  <c r="K84" i="13"/>
  <c r="L84" i="13"/>
  <c r="M84" i="13"/>
  <c r="N84" i="13"/>
  <c r="O84" i="13"/>
  <c r="P84" i="13"/>
  <c r="Q84" i="13"/>
  <c r="R84" i="13"/>
  <c r="S84" i="13"/>
  <c r="T84" i="13"/>
  <c r="U84" i="13"/>
  <c r="V84" i="13"/>
  <c r="W84" i="13"/>
  <c r="X84" i="13"/>
  <c r="Y84" i="13"/>
  <c r="Z84" i="13"/>
  <c r="AA84" i="13"/>
  <c r="AB84" i="13"/>
  <c r="AC84" i="13"/>
  <c r="AD84" i="13"/>
  <c r="AE84" i="13"/>
  <c r="AF84" i="13"/>
  <c r="AG84" i="13"/>
  <c r="AH84" i="13"/>
  <c r="AI84" i="13"/>
  <c r="AJ84" i="13"/>
  <c r="AK84" i="13"/>
  <c r="AL84" i="13"/>
  <c r="AM84" i="13"/>
  <c r="AN84" i="13"/>
  <c r="C85" i="13"/>
  <c r="D85" i="13"/>
  <c r="E85" i="13"/>
  <c r="F85" i="13"/>
  <c r="G85" i="13"/>
  <c r="H85" i="13"/>
  <c r="I85" i="13"/>
  <c r="J85" i="13"/>
  <c r="K85" i="13"/>
  <c r="L85" i="13"/>
  <c r="M85" i="13"/>
  <c r="N85" i="13"/>
  <c r="O85" i="13"/>
  <c r="P85" i="13"/>
  <c r="Q85" i="13"/>
  <c r="R85" i="13"/>
  <c r="S85" i="13"/>
  <c r="T85" i="13"/>
  <c r="U85" i="13"/>
  <c r="V85" i="13"/>
  <c r="W85" i="13"/>
  <c r="X85" i="13"/>
  <c r="Y85" i="13"/>
  <c r="Z85" i="13"/>
  <c r="AA85" i="13"/>
  <c r="AB85" i="13"/>
  <c r="AC85" i="13"/>
  <c r="AD85" i="13"/>
  <c r="AE85" i="13"/>
  <c r="AF85" i="13"/>
  <c r="AG85" i="13"/>
  <c r="AH85" i="13"/>
  <c r="AI85" i="13"/>
  <c r="AJ85" i="13"/>
  <c r="AK85" i="13"/>
  <c r="AL85" i="13"/>
  <c r="AM85" i="13"/>
  <c r="AN85" i="13"/>
  <c r="C86" i="13"/>
  <c r="D86" i="13"/>
  <c r="E86" i="13"/>
  <c r="F86" i="13"/>
  <c r="G86" i="13"/>
  <c r="H86" i="13"/>
  <c r="I86" i="13"/>
  <c r="J86" i="13"/>
  <c r="K86" i="13"/>
  <c r="L86" i="13"/>
  <c r="M86" i="13"/>
  <c r="N86" i="13"/>
  <c r="O86" i="13"/>
  <c r="P86" i="13"/>
  <c r="Q86" i="13"/>
  <c r="R86" i="13"/>
  <c r="S86" i="13"/>
  <c r="T86" i="13"/>
  <c r="U86" i="13"/>
  <c r="V86" i="13"/>
  <c r="W86" i="13"/>
  <c r="X86" i="13"/>
  <c r="Y86" i="13"/>
  <c r="Z86" i="13"/>
  <c r="AA86" i="13"/>
  <c r="AB86" i="13"/>
  <c r="AC86" i="13"/>
  <c r="AD86" i="13"/>
  <c r="AE86" i="13"/>
  <c r="AF86" i="13"/>
  <c r="AG86" i="13"/>
  <c r="AH86" i="13"/>
  <c r="AI86" i="13"/>
  <c r="AJ86" i="13"/>
  <c r="AK86" i="13"/>
  <c r="AL86" i="13"/>
  <c r="AM86" i="13"/>
  <c r="AN86" i="13"/>
  <c r="C87" i="13"/>
  <c r="D87" i="13"/>
  <c r="E87" i="13"/>
  <c r="F87" i="13"/>
  <c r="G87" i="13"/>
  <c r="H87" i="13"/>
  <c r="I87" i="13"/>
  <c r="J87" i="13"/>
  <c r="K87" i="13"/>
  <c r="L87" i="13"/>
  <c r="M87" i="13"/>
  <c r="N87" i="13"/>
  <c r="O87" i="13"/>
  <c r="P87" i="13"/>
  <c r="Q87" i="13"/>
  <c r="R87" i="13"/>
  <c r="S87" i="13"/>
  <c r="T87" i="13"/>
  <c r="U87" i="13"/>
  <c r="V87" i="13"/>
  <c r="W87" i="13"/>
  <c r="X87" i="13"/>
  <c r="Y87" i="13"/>
  <c r="Z87" i="13"/>
  <c r="AA87" i="13"/>
  <c r="AB87" i="13"/>
  <c r="AC87" i="13"/>
  <c r="AD87" i="13"/>
  <c r="AE87" i="13"/>
  <c r="AF87" i="13"/>
  <c r="AG87" i="13"/>
  <c r="AH87" i="13"/>
  <c r="AI87" i="13"/>
  <c r="AJ87" i="13"/>
  <c r="AK87" i="13"/>
  <c r="AL87" i="13"/>
  <c r="AM87" i="13"/>
  <c r="AN87" i="13"/>
  <c r="B85" i="13"/>
  <c r="B86" i="13"/>
  <c r="B87" i="13"/>
  <c r="B84" i="13"/>
  <c r="C73" i="13"/>
  <c r="D73" i="13"/>
  <c r="E73" i="13"/>
  <c r="F73" i="13"/>
  <c r="G73" i="13"/>
  <c r="H73" i="13"/>
  <c r="I73" i="13"/>
  <c r="J73" i="13"/>
  <c r="K73" i="13"/>
  <c r="L73" i="13"/>
  <c r="M73" i="13"/>
  <c r="N73" i="13"/>
  <c r="O73" i="13"/>
  <c r="P73" i="13"/>
  <c r="Q73" i="13"/>
  <c r="R73" i="13"/>
  <c r="S73" i="13"/>
  <c r="T73" i="13"/>
  <c r="U73" i="13"/>
  <c r="V73" i="13"/>
  <c r="W73" i="13"/>
  <c r="X73" i="13"/>
  <c r="Y73" i="13"/>
  <c r="Z73" i="13"/>
  <c r="AA73" i="13"/>
  <c r="AB73" i="13"/>
  <c r="AC73" i="13"/>
  <c r="AD73" i="13"/>
  <c r="AE73" i="13"/>
  <c r="AF73" i="13"/>
  <c r="AG73" i="13"/>
  <c r="AH73" i="13"/>
  <c r="AI73" i="13"/>
  <c r="AJ73" i="13"/>
  <c r="AK73" i="13"/>
  <c r="AL73" i="13"/>
  <c r="AM73" i="13"/>
  <c r="AN73" i="13"/>
  <c r="C74" i="13"/>
  <c r="D74" i="13"/>
  <c r="E74" i="13"/>
  <c r="F74" i="13"/>
  <c r="G74" i="13"/>
  <c r="H74" i="13"/>
  <c r="I74" i="13"/>
  <c r="J74" i="13"/>
  <c r="K74" i="13"/>
  <c r="L74" i="13"/>
  <c r="M74" i="13"/>
  <c r="N74" i="13"/>
  <c r="O74" i="13"/>
  <c r="P74" i="13"/>
  <c r="Q74" i="13"/>
  <c r="R74" i="13"/>
  <c r="S74" i="13"/>
  <c r="T74" i="13"/>
  <c r="U74" i="13"/>
  <c r="V74" i="13"/>
  <c r="W74" i="13"/>
  <c r="X74" i="13"/>
  <c r="Y74" i="13"/>
  <c r="Z74" i="13"/>
  <c r="AA74" i="13"/>
  <c r="AB74" i="13"/>
  <c r="AC74" i="13"/>
  <c r="AD74" i="13"/>
  <c r="AE74" i="13"/>
  <c r="AF74" i="13"/>
  <c r="AG74" i="13"/>
  <c r="AH74" i="13"/>
  <c r="AI74" i="13"/>
  <c r="AJ74" i="13"/>
  <c r="AK74" i="13"/>
  <c r="AL74" i="13"/>
  <c r="AM74" i="13"/>
  <c r="AN74" i="13"/>
  <c r="C75" i="13"/>
  <c r="D75" i="13"/>
  <c r="E75" i="13"/>
  <c r="F75" i="13"/>
  <c r="G75" i="13"/>
  <c r="H75" i="13"/>
  <c r="I75" i="13"/>
  <c r="J75" i="13"/>
  <c r="K75" i="13"/>
  <c r="L75" i="13"/>
  <c r="M75" i="13"/>
  <c r="N75" i="13"/>
  <c r="O75" i="13"/>
  <c r="P75" i="13"/>
  <c r="Q75" i="13"/>
  <c r="R75" i="13"/>
  <c r="S75" i="13"/>
  <c r="T75" i="13"/>
  <c r="U75" i="13"/>
  <c r="V75" i="13"/>
  <c r="W75" i="13"/>
  <c r="X75" i="13"/>
  <c r="Y75" i="13"/>
  <c r="Z75" i="13"/>
  <c r="AA75" i="13"/>
  <c r="AB75" i="13"/>
  <c r="AC75" i="13"/>
  <c r="AD75" i="13"/>
  <c r="AE75" i="13"/>
  <c r="AF75" i="13"/>
  <c r="AG75" i="13"/>
  <c r="AH75" i="13"/>
  <c r="AI75" i="13"/>
  <c r="AJ75" i="13"/>
  <c r="AK75" i="13"/>
  <c r="AL75" i="13"/>
  <c r="AM75" i="13"/>
  <c r="AN75" i="13"/>
  <c r="C76" i="13"/>
  <c r="D76" i="13"/>
  <c r="E76" i="13"/>
  <c r="F76" i="13"/>
  <c r="G76" i="13"/>
  <c r="H76" i="13"/>
  <c r="I76" i="13"/>
  <c r="J76" i="13"/>
  <c r="K76" i="13"/>
  <c r="L76" i="13"/>
  <c r="M76" i="13"/>
  <c r="N76" i="13"/>
  <c r="O76" i="13"/>
  <c r="P76" i="13"/>
  <c r="Q76" i="13"/>
  <c r="R76" i="13"/>
  <c r="S76" i="13"/>
  <c r="T76" i="13"/>
  <c r="U76" i="13"/>
  <c r="V76" i="13"/>
  <c r="W76" i="13"/>
  <c r="X76" i="13"/>
  <c r="Y76" i="13"/>
  <c r="Z76" i="13"/>
  <c r="AA76" i="13"/>
  <c r="AB76" i="13"/>
  <c r="AC76" i="13"/>
  <c r="AD76" i="13"/>
  <c r="AE76" i="13"/>
  <c r="AF76" i="13"/>
  <c r="AG76" i="13"/>
  <c r="AH76" i="13"/>
  <c r="AI76" i="13"/>
  <c r="AJ76" i="13"/>
  <c r="AK76" i="13"/>
  <c r="AL76" i="13"/>
  <c r="AM76" i="13"/>
  <c r="AN76" i="13"/>
  <c r="B74" i="13"/>
  <c r="B75" i="13"/>
  <c r="B76" i="13"/>
  <c r="B73" i="13"/>
  <c r="C62" i="13"/>
  <c r="D62" i="13"/>
  <c r="E62" i="13"/>
  <c r="F62" i="13"/>
  <c r="G62" i="13"/>
  <c r="H62" i="13"/>
  <c r="I62" i="13"/>
  <c r="J62" i="13"/>
  <c r="K62" i="13"/>
  <c r="L62" i="13"/>
  <c r="M62" i="13"/>
  <c r="N62" i="13"/>
  <c r="O62" i="13"/>
  <c r="P62" i="13"/>
  <c r="Q62" i="13"/>
  <c r="R62" i="13"/>
  <c r="S62" i="13"/>
  <c r="T62" i="13"/>
  <c r="U62" i="13"/>
  <c r="V62" i="13"/>
  <c r="W62" i="13"/>
  <c r="X62" i="13"/>
  <c r="Y62" i="13"/>
  <c r="Z62" i="13"/>
  <c r="AA62" i="13"/>
  <c r="AB62" i="13"/>
  <c r="AC62" i="13"/>
  <c r="AD62" i="13"/>
  <c r="AE62" i="13"/>
  <c r="AF62" i="13"/>
  <c r="AG62" i="13"/>
  <c r="AH62" i="13"/>
  <c r="AI62" i="13"/>
  <c r="AJ62" i="13"/>
  <c r="AK62" i="13"/>
  <c r="AL62" i="13"/>
  <c r="AM62" i="13"/>
  <c r="AN62" i="13"/>
  <c r="C63" i="13"/>
  <c r="D63" i="13"/>
  <c r="E63" i="13"/>
  <c r="F63" i="13"/>
  <c r="G63" i="13"/>
  <c r="H63" i="13"/>
  <c r="I63" i="13"/>
  <c r="J63" i="13"/>
  <c r="K63" i="13"/>
  <c r="L63" i="13"/>
  <c r="M63" i="13"/>
  <c r="N63" i="13"/>
  <c r="O63" i="13"/>
  <c r="P63" i="13"/>
  <c r="Q63" i="13"/>
  <c r="R63" i="13"/>
  <c r="S63" i="13"/>
  <c r="T63" i="13"/>
  <c r="U63" i="13"/>
  <c r="V63" i="13"/>
  <c r="W63" i="13"/>
  <c r="X63" i="13"/>
  <c r="Y63" i="13"/>
  <c r="Z63" i="13"/>
  <c r="AA63" i="13"/>
  <c r="AB63" i="13"/>
  <c r="AC63" i="13"/>
  <c r="AD63" i="13"/>
  <c r="AE63" i="13"/>
  <c r="AF63" i="13"/>
  <c r="AG63" i="13"/>
  <c r="AH63" i="13"/>
  <c r="AI63" i="13"/>
  <c r="AJ63" i="13"/>
  <c r="AK63" i="13"/>
  <c r="AL63" i="13"/>
  <c r="AM63" i="13"/>
  <c r="AN63" i="13"/>
  <c r="C64" i="13"/>
  <c r="D64" i="13"/>
  <c r="E64" i="13"/>
  <c r="F64" i="13"/>
  <c r="G64" i="13"/>
  <c r="H64" i="13"/>
  <c r="I64" i="13"/>
  <c r="J64" i="13"/>
  <c r="K64" i="13"/>
  <c r="L64" i="13"/>
  <c r="M64" i="13"/>
  <c r="N64" i="13"/>
  <c r="O64" i="13"/>
  <c r="P64" i="13"/>
  <c r="Q64" i="13"/>
  <c r="R64" i="13"/>
  <c r="S64" i="13"/>
  <c r="T64" i="13"/>
  <c r="U64" i="13"/>
  <c r="V64" i="13"/>
  <c r="W64" i="13"/>
  <c r="X64" i="13"/>
  <c r="Y64" i="13"/>
  <c r="Z64" i="13"/>
  <c r="AA64" i="13"/>
  <c r="AB64" i="13"/>
  <c r="AC64" i="13"/>
  <c r="AD64" i="13"/>
  <c r="AE64" i="13"/>
  <c r="AF64" i="13"/>
  <c r="AG64" i="13"/>
  <c r="AH64" i="13"/>
  <c r="AI64" i="13"/>
  <c r="AJ64" i="13"/>
  <c r="AK64" i="13"/>
  <c r="AL64" i="13"/>
  <c r="AM64" i="13"/>
  <c r="AN64" i="13"/>
  <c r="C65" i="13"/>
  <c r="D65" i="13"/>
  <c r="E65" i="13"/>
  <c r="F65" i="13"/>
  <c r="G65" i="13"/>
  <c r="H65" i="13"/>
  <c r="I65" i="13"/>
  <c r="J65" i="13"/>
  <c r="K65" i="13"/>
  <c r="L65" i="13"/>
  <c r="M65" i="13"/>
  <c r="N65" i="13"/>
  <c r="O65" i="13"/>
  <c r="P65" i="13"/>
  <c r="Q65" i="13"/>
  <c r="R65" i="13"/>
  <c r="S65" i="13"/>
  <c r="T65" i="13"/>
  <c r="U65" i="13"/>
  <c r="V65" i="13"/>
  <c r="W65" i="13"/>
  <c r="X65" i="13"/>
  <c r="Y65" i="13"/>
  <c r="Z65" i="13"/>
  <c r="AA65" i="13"/>
  <c r="AB65" i="13"/>
  <c r="AC65" i="13"/>
  <c r="AD65" i="13"/>
  <c r="AE65" i="13"/>
  <c r="AF65" i="13"/>
  <c r="AG65" i="13"/>
  <c r="AH65" i="13"/>
  <c r="AI65" i="13"/>
  <c r="AJ65" i="13"/>
  <c r="AK65" i="13"/>
  <c r="AL65" i="13"/>
  <c r="AM65" i="13"/>
  <c r="AN65" i="13"/>
  <c r="B63" i="13"/>
  <c r="B64" i="13"/>
  <c r="B65" i="13"/>
  <c r="B62" i="13"/>
  <c r="C51" i="13"/>
  <c r="D51" i="13"/>
  <c r="E51" i="13"/>
  <c r="F51" i="13"/>
  <c r="G51" i="13"/>
  <c r="H51" i="13"/>
  <c r="I51" i="13"/>
  <c r="J51" i="13"/>
  <c r="K51" i="13"/>
  <c r="L51" i="13"/>
  <c r="M51" i="13"/>
  <c r="N51" i="13"/>
  <c r="O51" i="13"/>
  <c r="P51" i="13"/>
  <c r="Q51" i="13"/>
  <c r="R51" i="13"/>
  <c r="S51" i="13"/>
  <c r="T51" i="13"/>
  <c r="U51" i="13"/>
  <c r="V51" i="13"/>
  <c r="W51" i="13"/>
  <c r="X51" i="13"/>
  <c r="Y51" i="13"/>
  <c r="Z51" i="13"/>
  <c r="AA51" i="13"/>
  <c r="AB51" i="13"/>
  <c r="AC51" i="13"/>
  <c r="AD51" i="13"/>
  <c r="AE51" i="13"/>
  <c r="AF51" i="13"/>
  <c r="AG51" i="13"/>
  <c r="AH51" i="13"/>
  <c r="AI51" i="13"/>
  <c r="AJ51" i="13"/>
  <c r="AK51" i="13"/>
  <c r="AL51" i="13"/>
  <c r="AM51" i="13"/>
  <c r="AN51" i="13"/>
  <c r="C52" i="13"/>
  <c r="D52" i="13"/>
  <c r="E52" i="13"/>
  <c r="F52" i="13"/>
  <c r="G52" i="13"/>
  <c r="H52" i="13"/>
  <c r="I52" i="13"/>
  <c r="J52" i="13"/>
  <c r="K52" i="13"/>
  <c r="L52" i="13"/>
  <c r="M52" i="13"/>
  <c r="N52" i="13"/>
  <c r="O52" i="13"/>
  <c r="P52" i="13"/>
  <c r="Q52" i="13"/>
  <c r="R52" i="13"/>
  <c r="S52" i="13"/>
  <c r="T52" i="13"/>
  <c r="U52" i="13"/>
  <c r="V52" i="13"/>
  <c r="W52" i="13"/>
  <c r="X52" i="13"/>
  <c r="Y52" i="13"/>
  <c r="Z52" i="13"/>
  <c r="AA52" i="13"/>
  <c r="AB52" i="13"/>
  <c r="AC52" i="13"/>
  <c r="AD52" i="13"/>
  <c r="AE52" i="13"/>
  <c r="AF52" i="13"/>
  <c r="AG52" i="13"/>
  <c r="AH52" i="13"/>
  <c r="AI52" i="13"/>
  <c r="AJ52" i="13"/>
  <c r="AK52" i="13"/>
  <c r="AL52" i="13"/>
  <c r="AM52" i="13"/>
  <c r="AN52" i="13"/>
  <c r="C53" i="13"/>
  <c r="D53" i="13"/>
  <c r="E53" i="13"/>
  <c r="F53" i="13"/>
  <c r="G53" i="13"/>
  <c r="H53" i="13"/>
  <c r="I53" i="13"/>
  <c r="J53" i="13"/>
  <c r="K53" i="13"/>
  <c r="L53" i="13"/>
  <c r="M53" i="13"/>
  <c r="N53" i="13"/>
  <c r="O53" i="13"/>
  <c r="P53" i="13"/>
  <c r="Q53" i="13"/>
  <c r="R53" i="13"/>
  <c r="S53" i="13"/>
  <c r="T53" i="13"/>
  <c r="U53" i="13"/>
  <c r="V53" i="13"/>
  <c r="W53" i="13"/>
  <c r="X53" i="13"/>
  <c r="Y53" i="13"/>
  <c r="Z53" i="13"/>
  <c r="AA53" i="13"/>
  <c r="AB53" i="13"/>
  <c r="AC53" i="13"/>
  <c r="AD53" i="13"/>
  <c r="AE53" i="13"/>
  <c r="AF53" i="13"/>
  <c r="AG53" i="13"/>
  <c r="AH53" i="13"/>
  <c r="AI53" i="13"/>
  <c r="AJ53" i="13"/>
  <c r="AK53" i="13"/>
  <c r="AL53" i="13"/>
  <c r="AM53" i="13"/>
  <c r="AN53" i="13"/>
  <c r="C54" i="13"/>
  <c r="D54" i="13"/>
  <c r="E54" i="13"/>
  <c r="F54" i="13"/>
  <c r="G54" i="13"/>
  <c r="H54" i="13"/>
  <c r="I54" i="13"/>
  <c r="J54" i="13"/>
  <c r="K54" i="13"/>
  <c r="L54" i="13"/>
  <c r="M54" i="13"/>
  <c r="N54" i="13"/>
  <c r="O54" i="13"/>
  <c r="P54" i="13"/>
  <c r="Q54" i="13"/>
  <c r="R54" i="13"/>
  <c r="S54" i="13"/>
  <c r="T54" i="13"/>
  <c r="U54" i="13"/>
  <c r="V54" i="13"/>
  <c r="W54" i="13"/>
  <c r="X54" i="13"/>
  <c r="Y54" i="13"/>
  <c r="Z54" i="13"/>
  <c r="AA54" i="13"/>
  <c r="AB54" i="13"/>
  <c r="AC54" i="13"/>
  <c r="AD54" i="13"/>
  <c r="AE54" i="13"/>
  <c r="AF54" i="13"/>
  <c r="AG54" i="13"/>
  <c r="AH54" i="13"/>
  <c r="AI54" i="13"/>
  <c r="AJ54" i="13"/>
  <c r="AK54" i="13"/>
  <c r="AL54" i="13"/>
  <c r="AM54" i="13"/>
  <c r="AN54" i="13"/>
  <c r="B52" i="13"/>
  <c r="B53" i="13"/>
  <c r="B54" i="13"/>
  <c r="B51" i="13"/>
  <c r="C40" i="13"/>
  <c r="D40" i="13"/>
  <c r="E40" i="13"/>
  <c r="F40" i="13"/>
  <c r="G40" i="13"/>
  <c r="H40" i="13"/>
  <c r="I40" i="13"/>
  <c r="J40" i="13"/>
  <c r="K40" i="13"/>
  <c r="L40" i="13"/>
  <c r="M40" i="13"/>
  <c r="N40" i="13"/>
  <c r="O40" i="13"/>
  <c r="P40" i="13"/>
  <c r="Q40" i="13"/>
  <c r="R40" i="13"/>
  <c r="S40" i="13"/>
  <c r="T40" i="13"/>
  <c r="U40" i="13"/>
  <c r="V40" i="13"/>
  <c r="W40" i="13"/>
  <c r="X40" i="13"/>
  <c r="Y40" i="13"/>
  <c r="Z40" i="13"/>
  <c r="AA40" i="13"/>
  <c r="AB40" i="13"/>
  <c r="AC40" i="13"/>
  <c r="AD40" i="13"/>
  <c r="AE40" i="13"/>
  <c r="AF40" i="13"/>
  <c r="AG40" i="13"/>
  <c r="AH40" i="13"/>
  <c r="AI40" i="13"/>
  <c r="AJ40" i="13"/>
  <c r="AK40" i="13"/>
  <c r="AL40" i="13"/>
  <c r="AM40" i="13"/>
  <c r="AN40" i="13"/>
  <c r="C41" i="13"/>
  <c r="D41" i="13"/>
  <c r="E41" i="13"/>
  <c r="F41" i="13"/>
  <c r="G41" i="13"/>
  <c r="H41" i="13"/>
  <c r="I41" i="13"/>
  <c r="J41" i="13"/>
  <c r="K41" i="13"/>
  <c r="L41" i="13"/>
  <c r="M41" i="13"/>
  <c r="N41" i="13"/>
  <c r="O41" i="13"/>
  <c r="P41" i="13"/>
  <c r="Q41" i="13"/>
  <c r="R41" i="13"/>
  <c r="S41" i="13"/>
  <c r="T41" i="13"/>
  <c r="U41" i="13"/>
  <c r="V41" i="13"/>
  <c r="W41" i="13"/>
  <c r="X41" i="13"/>
  <c r="Y41" i="13"/>
  <c r="Z41" i="13"/>
  <c r="AA41" i="13"/>
  <c r="AB41" i="13"/>
  <c r="AC41" i="13"/>
  <c r="AD41" i="13"/>
  <c r="AE41" i="13"/>
  <c r="AF41" i="13"/>
  <c r="AG41" i="13"/>
  <c r="AH41" i="13"/>
  <c r="AI41" i="13"/>
  <c r="AJ41" i="13"/>
  <c r="AK41" i="13"/>
  <c r="AL41" i="13"/>
  <c r="AM41" i="13"/>
  <c r="AN41" i="13"/>
  <c r="C42" i="13"/>
  <c r="D42" i="13"/>
  <c r="E42" i="13"/>
  <c r="F42" i="13"/>
  <c r="G42" i="13"/>
  <c r="H42" i="13"/>
  <c r="I42" i="13"/>
  <c r="J42" i="13"/>
  <c r="K42" i="13"/>
  <c r="L42" i="13"/>
  <c r="M42" i="13"/>
  <c r="N42" i="13"/>
  <c r="O42" i="13"/>
  <c r="P42" i="13"/>
  <c r="Q42" i="13"/>
  <c r="R42" i="13"/>
  <c r="S42" i="13"/>
  <c r="T42" i="13"/>
  <c r="U42" i="13"/>
  <c r="V42" i="13"/>
  <c r="W42" i="13"/>
  <c r="X42" i="13"/>
  <c r="Y42" i="13"/>
  <c r="Z42" i="13"/>
  <c r="AA42" i="13"/>
  <c r="AB42" i="13"/>
  <c r="AC42" i="13"/>
  <c r="AD42" i="13"/>
  <c r="AE42" i="13"/>
  <c r="AF42" i="13"/>
  <c r="AG42" i="13"/>
  <c r="AH42" i="13"/>
  <c r="AI42" i="13"/>
  <c r="AJ42" i="13"/>
  <c r="AK42" i="13"/>
  <c r="AL42" i="13"/>
  <c r="AM42" i="13"/>
  <c r="AN42" i="13"/>
  <c r="C43" i="13"/>
  <c r="D43" i="13"/>
  <c r="E43" i="13"/>
  <c r="F43" i="13"/>
  <c r="G43" i="13"/>
  <c r="H43" i="13"/>
  <c r="I43" i="13"/>
  <c r="J43" i="13"/>
  <c r="K43" i="13"/>
  <c r="L43" i="13"/>
  <c r="M43" i="13"/>
  <c r="N43" i="13"/>
  <c r="O43" i="13"/>
  <c r="P43" i="13"/>
  <c r="Q43" i="13"/>
  <c r="R43" i="13"/>
  <c r="S43" i="13"/>
  <c r="T43" i="13"/>
  <c r="U43" i="13"/>
  <c r="V43" i="13"/>
  <c r="W43" i="13"/>
  <c r="X43" i="13"/>
  <c r="Y43" i="13"/>
  <c r="Z43" i="13"/>
  <c r="AA43" i="13"/>
  <c r="AB43" i="13"/>
  <c r="AC43" i="13"/>
  <c r="AD43" i="13"/>
  <c r="AE43" i="13"/>
  <c r="AF43" i="13"/>
  <c r="AG43" i="13"/>
  <c r="AH43" i="13"/>
  <c r="AI43" i="13"/>
  <c r="AJ43" i="13"/>
  <c r="AK43" i="13"/>
  <c r="AL43" i="13"/>
  <c r="AM43" i="13"/>
  <c r="AN43" i="13"/>
  <c r="B41" i="13"/>
  <c r="B42" i="13"/>
  <c r="B43" i="13"/>
  <c r="B40" i="13"/>
  <c r="C29" i="13"/>
  <c r="D29" i="13"/>
  <c r="E29" i="13"/>
  <c r="F29" i="13"/>
  <c r="G29" i="13"/>
  <c r="H29" i="13"/>
  <c r="I29" i="13"/>
  <c r="J29" i="13"/>
  <c r="K29" i="13"/>
  <c r="L29" i="13"/>
  <c r="M29" i="13"/>
  <c r="N29" i="13"/>
  <c r="O29" i="13"/>
  <c r="P29" i="13"/>
  <c r="Q29" i="13"/>
  <c r="R29" i="13"/>
  <c r="S29" i="13"/>
  <c r="T29" i="13"/>
  <c r="U29" i="13"/>
  <c r="V29" i="13"/>
  <c r="W29" i="13"/>
  <c r="X29" i="13"/>
  <c r="Y29" i="13"/>
  <c r="Z29" i="13"/>
  <c r="AA29" i="13"/>
  <c r="AB29" i="13"/>
  <c r="AC29" i="13"/>
  <c r="AD29" i="13"/>
  <c r="AE29" i="13"/>
  <c r="AF29" i="13"/>
  <c r="AG29" i="13"/>
  <c r="AH29" i="13"/>
  <c r="AI29" i="13"/>
  <c r="AJ29" i="13"/>
  <c r="AK29" i="13"/>
  <c r="AL29" i="13"/>
  <c r="AM29" i="13"/>
  <c r="AN29" i="13"/>
  <c r="C30" i="13"/>
  <c r="D30" i="13"/>
  <c r="E30" i="13"/>
  <c r="F30" i="13"/>
  <c r="G30" i="13"/>
  <c r="H30" i="13"/>
  <c r="I30" i="13"/>
  <c r="J30" i="13"/>
  <c r="K30" i="13"/>
  <c r="L30" i="13"/>
  <c r="M30" i="13"/>
  <c r="N30" i="13"/>
  <c r="O30" i="13"/>
  <c r="P30" i="13"/>
  <c r="Q30" i="13"/>
  <c r="R30" i="13"/>
  <c r="S30" i="13"/>
  <c r="T30" i="13"/>
  <c r="U30" i="13"/>
  <c r="V30" i="13"/>
  <c r="W30" i="13"/>
  <c r="X30" i="13"/>
  <c r="Y30" i="13"/>
  <c r="Z30" i="13"/>
  <c r="AA30" i="13"/>
  <c r="AB30" i="13"/>
  <c r="AC30" i="13"/>
  <c r="AD30" i="13"/>
  <c r="AE30" i="13"/>
  <c r="AF30" i="13"/>
  <c r="AG30" i="13"/>
  <c r="AH30" i="13"/>
  <c r="AI30" i="13"/>
  <c r="AJ30" i="13"/>
  <c r="AK30" i="13"/>
  <c r="AL30" i="13"/>
  <c r="AM30" i="13"/>
  <c r="AN30" i="13"/>
  <c r="C31" i="13"/>
  <c r="D31" i="13"/>
  <c r="E31" i="13"/>
  <c r="F31" i="13"/>
  <c r="G31" i="13"/>
  <c r="H31" i="13"/>
  <c r="I31" i="13"/>
  <c r="J31" i="13"/>
  <c r="K31" i="13"/>
  <c r="L31" i="13"/>
  <c r="M31" i="13"/>
  <c r="N31" i="13"/>
  <c r="O31" i="13"/>
  <c r="P31" i="13"/>
  <c r="Q31" i="13"/>
  <c r="R31" i="13"/>
  <c r="S31" i="13"/>
  <c r="T31" i="13"/>
  <c r="U31" i="13"/>
  <c r="V31" i="13"/>
  <c r="W31" i="13"/>
  <c r="X31" i="13"/>
  <c r="Y31" i="13"/>
  <c r="Z31" i="13"/>
  <c r="AA31" i="13"/>
  <c r="AB31" i="13"/>
  <c r="AC31" i="13"/>
  <c r="AD31" i="13"/>
  <c r="AE31" i="13"/>
  <c r="AF31" i="13"/>
  <c r="AG31" i="13"/>
  <c r="AH31" i="13"/>
  <c r="AI31" i="13"/>
  <c r="AJ31" i="13"/>
  <c r="AK31" i="13"/>
  <c r="AL31" i="13"/>
  <c r="AM31" i="13"/>
  <c r="AN31" i="13"/>
  <c r="C32" i="13"/>
  <c r="D32" i="13"/>
  <c r="E32" i="13"/>
  <c r="F32" i="13"/>
  <c r="G32" i="13"/>
  <c r="H32" i="13"/>
  <c r="I32" i="13"/>
  <c r="J32" i="13"/>
  <c r="K32" i="13"/>
  <c r="L32" i="13"/>
  <c r="M32" i="13"/>
  <c r="N32" i="13"/>
  <c r="O32" i="13"/>
  <c r="P32" i="13"/>
  <c r="Q32" i="13"/>
  <c r="R32" i="13"/>
  <c r="S32" i="13"/>
  <c r="T32" i="13"/>
  <c r="U32" i="13"/>
  <c r="V32" i="13"/>
  <c r="W32" i="13"/>
  <c r="X32" i="13"/>
  <c r="Y32" i="13"/>
  <c r="Z32" i="13"/>
  <c r="AA32" i="13"/>
  <c r="AB32" i="13"/>
  <c r="AC32" i="13"/>
  <c r="AD32" i="13"/>
  <c r="AE32" i="13"/>
  <c r="AF32" i="13"/>
  <c r="AG32" i="13"/>
  <c r="AH32" i="13"/>
  <c r="AI32" i="13"/>
  <c r="AJ32" i="13"/>
  <c r="AK32" i="13"/>
  <c r="AL32" i="13"/>
  <c r="AM32" i="13"/>
  <c r="AN32" i="13"/>
  <c r="B30" i="13"/>
  <c r="B31" i="13"/>
  <c r="B32" i="13"/>
  <c r="B29" i="13"/>
  <c r="C18" i="13"/>
  <c r="D18" i="13"/>
  <c r="E18" i="13"/>
  <c r="F18" i="13"/>
  <c r="G18" i="13"/>
  <c r="H18" i="13"/>
  <c r="I18" i="13"/>
  <c r="J18" i="13"/>
  <c r="K18" i="13"/>
  <c r="L18" i="13"/>
  <c r="M18" i="13"/>
  <c r="N18" i="13"/>
  <c r="O18" i="13"/>
  <c r="P18" i="13"/>
  <c r="Q18" i="13"/>
  <c r="R18" i="13"/>
  <c r="S18" i="13"/>
  <c r="T18" i="13"/>
  <c r="U18" i="13"/>
  <c r="V18" i="13"/>
  <c r="W18" i="13"/>
  <c r="X18" i="13"/>
  <c r="Y18" i="13"/>
  <c r="Z18" i="13"/>
  <c r="AA18" i="13"/>
  <c r="AB18" i="13"/>
  <c r="AC18" i="13"/>
  <c r="AD18" i="13"/>
  <c r="AE18" i="13"/>
  <c r="AF18" i="13"/>
  <c r="AG18" i="13"/>
  <c r="AH18" i="13"/>
  <c r="AI18" i="13"/>
  <c r="AJ18" i="13"/>
  <c r="AK18" i="13"/>
  <c r="AL18" i="13"/>
  <c r="AM18" i="13"/>
  <c r="AN18" i="13"/>
  <c r="C19" i="13"/>
  <c r="D19" i="13"/>
  <c r="E19" i="13"/>
  <c r="F19" i="13"/>
  <c r="G19" i="13"/>
  <c r="H19" i="13"/>
  <c r="I19" i="13"/>
  <c r="J19" i="13"/>
  <c r="K19" i="13"/>
  <c r="L19" i="13"/>
  <c r="M19" i="13"/>
  <c r="N19" i="13"/>
  <c r="O19" i="13"/>
  <c r="P19" i="13"/>
  <c r="Q19" i="13"/>
  <c r="R19" i="13"/>
  <c r="S19" i="13"/>
  <c r="T19" i="13"/>
  <c r="U19" i="13"/>
  <c r="V19" i="13"/>
  <c r="W19" i="13"/>
  <c r="X19" i="13"/>
  <c r="Y19" i="13"/>
  <c r="Z19" i="13"/>
  <c r="AA19" i="13"/>
  <c r="AB19" i="13"/>
  <c r="AC19" i="13"/>
  <c r="AD19" i="13"/>
  <c r="AE19" i="13"/>
  <c r="AF19" i="13"/>
  <c r="AG19" i="13"/>
  <c r="AH19" i="13"/>
  <c r="AI19" i="13"/>
  <c r="AJ19" i="13"/>
  <c r="AK19" i="13"/>
  <c r="AL19" i="13"/>
  <c r="AM19" i="13"/>
  <c r="AN19" i="13"/>
  <c r="C20" i="13"/>
  <c r="D20" i="13"/>
  <c r="E20" i="13"/>
  <c r="F20" i="13"/>
  <c r="G20" i="13"/>
  <c r="H20" i="13"/>
  <c r="I20" i="13"/>
  <c r="J20" i="13"/>
  <c r="K20" i="13"/>
  <c r="L20" i="13"/>
  <c r="M20" i="13"/>
  <c r="N20" i="13"/>
  <c r="O20" i="13"/>
  <c r="P20" i="13"/>
  <c r="Q20" i="13"/>
  <c r="R20" i="13"/>
  <c r="S20" i="13"/>
  <c r="T20" i="13"/>
  <c r="U20" i="13"/>
  <c r="V20" i="13"/>
  <c r="W20" i="13"/>
  <c r="X20" i="13"/>
  <c r="Y20" i="13"/>
  <c r="Z20" i="13"/>
  <c r="AA20" i="13"/>
  <c r="AB20" i="13"/>
  <c r="AC20" i="13"/>
  <c r="AD20" i="13"/>
  <c r="AE20" i="13"/>
  <c r="AF20" i="13"/>
  <c r="AG20" i="13"/>
  <c r="AH20" i="13"/>
  <c r="AI20" i="13"/>
  <c r="AJ20" i="13"/>
  <c r="AK20" i="13"/>
  <c r="AL20" i="13"/>
  <c r="AM20" i="13"/>
  <c r="AN20" i="13"/>
  <c r="C21" i="13"/>
  <c r="D21" i="13"/>
  <c r="E21" i="13"/>
  <c r="F21" i="13"/>
  <c r="G21" i="13"/>
  <c r="H21" i="13"/>
  <c r="I21" i="13"/>
  <c r="J21" i="13"/>
  <c r="K21" i="13"/>
  <c r="L21" i="13"/>
  <c r="M21" i="13"/>
  <c r="N21" i="13"/>
  <c r="O21" i="13"/>
  <c r="P21" i="13"/>
  <c r="Q21" i="13"/>
  <c r="R21" i="13"/>
  <c r="S21" i="13"/>
  <c r="T21" i="13"/>
  <c r="U21" i="13"/>
  <c r="V21" i="13"/>
  <c r="W21" i="13"/>
  <c r="X21" i="13"/>
  <c r="Y21" i="13"/>
  <c r="Z21" i="13"/>
  <c r="AA21" i="13"/>
  <c r="AB21" i="13"/>
  <c r="AC21" i="13"/>
  <c r="AD21" i="13"/>
  <c r="AE21" i="13"/>
  <c r="AF21" i="13"/>
  <c r="AG21" i="13"/>
  <c r="AH21" i="13"/>
  <c r="AI21" i="13"/>
  <c r="AJ21" i="13"/>
  <c r="AK21" i="13"/>
  <c r="AL21" i="13"/>
  <c r="AM21" i="13"/>
  <c r="AN21" i="13"/>
  <c r="B19" i="13"/>
  <c r="B20" i="13"/>
  <c r="B21" i="13"/>
  <c r="B18" i="13"/>
  <c r="C7" i="13"/>
  <c r="D7" i="13"/>
  <c r="E7" i="13"/>
  <c r="F7" i="13"/>
  <c r="G7" i="13"/>
  <c r="H7" i="13"/>
  <c r="I7" i="13"/>
  <c r="J7" i="13"/>
  <c r="K7" i="13"/>
  <c r="L7" i="13"/>
  <c r="M7" i="13"/>
  <c r="N7" i="13"/>
  <c r="O7" i="13"/>
  <c r="P7" i="13"/>
  <c r="Q7" i="13"/>
  <c r="R7" i="13"/>
  <c r="S7" i="13"/>
  <c r="T7" i="13"/>
  <c r="U7" i="13"/>
  <c r="V7" i="13"/>
  <c r="W7" i="13"/>
  <c r="X7" i="13"/>
  <c r="Y7" i="13"/>
  <c r="Z7" i="13"/>
  <c r="AA7" i="13"/>
  <c r="AB7" i="13"/>
  <c r="AC7" i="13"/>
  <c r="AD7" i="13"/>
  <c r="AE7" i="13"/>
  <c r="AF7" i="13"/>
  <c r="AG7" i="13"/>
  <c r="AH7" i="13"/>
  <c r="AI7" i="13"/>
  <c r="AJ7" i="13"/>
  <c r="AK7" i="13"/>
  <c r="AL7" i="13"/>
  <c r="AM7" i="13"/>
  <c r="AN7" i="13"/>
  <c r="C8" i="13"/>
  <c r="D8" i="13"/>
  <c r="E8" i="13"/>
  <c r="F8" i="13"/>
  <c r="G8" i="13"/>
  <c r="H8" i="13"/>
  <c r="I8" i="13"/>
  <c r="J8" i="13"/>
  <c r="K8" i="13"/>
  <c r="L8" i="13"/>
  <c r="M8" i="13"/>
  <c r="N8" i="13"/>
  <c r="O8" i="13"/>
  <c r="P8" i="13"/>
  <c r="Q8" i="13"/>
  <c r="R8" i="13"/>
  <c r="S8" i="13"/>
  <c r="T8" i="13"/>
  <c r="U8" i="13"/>
  <c r="V8" i="13"/>
  <c r="W8" i="13"/>
  <c r="X8" i="13"/>
  <c r="Y8" i="13"/>
  <c r="Z8" i="13"/>
  <c r="AA8" i="13"/>
  <c r="AB8" i="13"/>
  <c r="AC8" i="13"/>
  <c r="AD8" i="13"/>
  <c r="AE8" i="13"/>
  <c r="AF8" i="13"/>
  <c r="AG8" i="13"/>
  <c r="AH8" i="13"/>
  <c r="AI8" i="13"/>
  <c r="AJ8" i="13"/>
  <c r="AK8" i="13"/>
  <c r="AL8" i="13"/>
  <c r="AM8" i="13"/>
  <c r="AN8" i="13"/>
  <c r="C9" i="13"/>
  <c r="D9" i="13"/>
  <c r="E9" i="13"/>
  <c r="F9" i="13"/>
  <c r="G9" i="13"/>
  <c r="H9" i="13"/>
  <c r="I9" i="13"/>
  <c r="J9" i="13"/>
  <c r="K9" i="13"/>
  <c r="L9" i="13"/>
  <c r="M9" i="13"/>
  <c r="N9" i="13"/>
  <c r="O9" i="13"/>
  <c r="P9" i="13"/>
  <c r="Q9" i="13"/>
  <c r="R9" i="13"/>
  <c r="S9" i="13"/>
  <c r="T9" i="13"/>
  <c r="U9" i="13"/>
  <c r="V9" i="13"/>
  <c r="W9" i="13"/>
  <c r="X9" i="13"/>
  <c r="Y9" i="13"/>
  <c r="Z9" i="13"/>
  <c r="AA9" i="13"/>
  <c r="AB9" i="13"/>
  <c r="AC9" i="13"/>
  <c r="AD9" i="13"/>
  <c r="AE9" i="13"/>
  <c r="AF9" i="13"/>
  <c r="AG9" i="13"/>
  <c r="AH9" i="13"/>
  <c r="AI9" i="13"/>
  <c r="AJ9" i="13"/>
  <c r="AK9" i="13"/>
  <c r="AL9" i="13"/>
  <c r="AM9" i="13"/>
  <c r="AN9" i="13"/>
  <c r="C10" i="13"/>
  <c r="D10" i="13"/>
  <c r="E10" i="13"/>
  <c r="F10" i="13"/>
  <c r="G10" i="13"/>
  <c r="H10" i="13"/>
  <c r="I10" i="13"/>
  <c r="J10" i="13"/>
  <c r="K10" i="13"/>
  <c r="L10" i="13"/>
  <c r="M10" i="13"/>
  <c r="N10" i="13"/>
  <c r="O10" i="13"/>
  <c r="P10" i="13"/>
  <c r="Q10" i="13"/>
  <c r="R10" i="13"/>
  <c r="S10" i="13"/>
  <c r="T10" i="13"/>
  <c r="U10" i="13"/>
  <c r="V10" i="13"/>
  <c r="W10" i="13"/>
  <c r="X10" i="13"/>
  <c r="Y10" i="13"/>
  <c r="Z10" i="13"/>
  <c r="AA10" i="13"/>
  <c r="AB10" i="13"/>
  <c r="AC10" i="13"/>
  <c r="AD10" i="13"/>
  <c r="AE10" i="13"/>
  <c r="AF10" i="13"/>
  <c r="AG10" i="13"/>
  <c r="AH10" i="13"/>
  <c r="AI10" i="13"/>
  <c r="AJ10" i="13"/>
  <c r="AK10" i="13"/>
  <c r="AL10" i="13"/>
  <c r="AM10" i="13"/>
  <c r="AN10" i="13"/>
  <c r="B8" i="13"/>
  <c r="B9" i="13"/>
  <c r="B10" i="13"/>
  <c r="B7" i="13"/>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I207" i="11"/>
  <c r="AJ207" i="11"/>
  <c r="AK207" i="11"/>
  <c r="AL207" i="11"/>
  <c r="AM207" i="11"/>
  <c r="AN207"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I208" i="11"/>
  <c r="AJ208" i="11"/>
  <c r="AK208" i="11"/>
  <c r="AL208" i="11"/>
  <c r="AM208" i="11"/>
  <c r="AN208"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I209" i="11"/>
  <c r="AJ209" i="11"/>
  <c r="AK209" i="11"/>
  <c r="AL209" i="11"/>
  <c r="AM209" i="11"/>
  <c r="AN209"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I210" i="11"/>
  <c r="AJ210" i="11"/>
  <c r="AK210" i="11"/>
  <c r="AL210" i="11"/>
  <c r="AM210" i="11"/>
  <c r="AN210"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I211" i="11"/>
  <c r="AJ211" i="11"/>
  <c r="AK211" i="11"/>
  <c r="AL211" i="11"/>
  <c r="AM211" i="11"/>
  <c r="AN211" i="11"/>
  <c r="B208" i="11"/>
  <c r="B209" i="11"/>
  <c r="B210" i="11"/>
  <c r="B211" i="11"/>
  <c r="B20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I197" i="11"/>
  <c r="AJ197" i="11"/>
  <c r="AK197" i="11"/>
  <c r="AL197" i="11"/>
  <c r="AM197" i="11"/>
  <c r="AN197"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I198" i="11"/>
  <c r="AJ198" i="11"/>
  <c r="AK198" i="11"/>
  <c r="AL198" i="11"/>
  <c r="AM198" i="11"/>
  <c r="AN198"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I199" i="11"/>
  <c r="AJ199" i="11"/>
  <c r="AK199" i="11"/>
  <c r="AL199" i="11"/>
  <c r="AM199" i="11"/>
  <c r="AN199" i="11"/>
  <c r="B198" i="11"/>
  <c r="B199" i="11"/>
  <c r="B19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I187" i="11"/>
  <c r="AJ187" i="11"/>
  <c r="AK187" i="11"/>
  <c r="AL187" i="11"/>
  <c r="AM187" i="11"/>
  <c r="AN187"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I188" i="11"/>
  <c r="AJ188" i="11"/>
  <c r="AK188" i="11"/>
  <c r="AL188" i="11"/>
  <c r="AM188" i="11"/>
  <c r="AN188"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I189" i="11"/>
  <c r="AJ189" i="11"/>
  <c r="AK189" i="11"/>
  <c r="AL189" i="11"/>
  <c r="AM189" i="11"/>
  <c r="AN189" i="11"/>
  <c r="B188" i="11"/>
  <c r="B189" i="11"/>
  <c r="B18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I177" i="11"/>
  <c r="AJ177" i="11"/>
  <c r="AK177" i="11"/>
  <c r="AL177" i="11"/>
  <c r="AM177" i="11"/>
  <c r="AN177"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I178" i="11"/>
  <c r="AJ178" i="11"/>
  <c r="AK178" i="11"/>
  <c r="AL178" i="11"/>
  <c r="AM178" i="11"/>
  <c r="AN178"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I179" i="11"/>
  <c r="AJ179" i="11"/>
  <c r="AK179" i="11"/>
  <c r="AL179" i="11"/>
  <c r="AM179" i="11"/>
  <c r="AN179" i="11"/>
  <c r="B178" i="11"/>
  <c r="B179" i="11"/>
  <c r="B177"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I152" i="11"/>
  <c r="AJ152" i="11"/>
  <c r="AK152" i="11"/>
  <c r="AL152" i="11"/>
  <c r="AM152" i="11"/>
  <c r="AN152"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I153" i="11"/>
  <c r="AJ153" i="11"/>
  <c r="AK153" i="11"/>
  <c r="AL153" i="11"/>
  <c r="AM153" i="11"/>
  <c r="AN153"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I154" i="11"/>
  <c r="AJ154" i="11"/>
  <c r="AK154" i="11"/>
  <c r="AL154" i="11"/>
  <c r="AM154" i="11"/>
  <c r="AN154"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I155" i="11"/>
  <c r="AJ155" i="11"/>
  <c r="AK155" i="11"/>
  <c r="AL155" i="11"/>
  <c r="AM155" i="11"/>
  <c r="AN155"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I156" i="11"/>
  <c r="AJ156" i="11"/>
  <c r="AK156" i="11"/>
  <c r="AL156" i="11"/>
  <c r="AM156" i="11"/>
  <c r="AN156"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I157" i="11"/>
  <c r="AJ157" i="11"/>
  <c r="AK157" i="11"/>
  <c r="AL157" i="11"/>
  <c r="AM157" i="11"/>
  <c r="AN157"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I158" i="11"/>
  <c r="AJ158" i="11"/>
  <c r="AK158" i="11"/>
  <c r="AL158" i="11"/>
  <c r="AM158" i="11"/>
  <c r="AN158"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I159" i="11"/>
  <c r="AJ159" i="11"/>
  <c r="AK159" i="11"/>
  <c r="AL159" i="11"/>
  <c r="AM159" i="11"/>
  <c r="AN159" i="11"/>
  <c r="B153" i="11"/>
  <c r="B154" i="11"/>
  <c r="B155" i="11"/>
  <c r="B156" i="11"/>
  <c r="B157" i="11"/>
  <c r="B158" i="11"/>
  <c r="B159" i="11"/>
  <c r="B152"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I137" i="11"/>
  <c r="AJ137" i="11"/>
  <c r="AK137" i="11"/>
  <c r="AL137" i="11"/>
  <c r="AM137" i="11"/>
  <c r="AN137"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I138" i="11"/>
  <c r="AJ138" i="11"/>
  <c r="AK138" i="11"/>
  <c r="AL138" i="11"/>
  <c r="AM138" i="11"/>
  <c r="AN138"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I139" i="11"/>
  <c r="AJ139" i="11"/>
  <c r="AK139" i="11"/>
  <c r="AL139" i="11"/>
  <c r="AM139" i="11"/>
  <c r="AN139"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I140" i="11"/>
  <c r="AJ140" i="11"/>
  <c r="AK140" i="11"/>
  <c r="AL140" i="11"/>
  <c r="AM140" i="11"/>
  <c r="AN140"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I141" i="11"/>
  <c r="AJ141" i="11"/>
  <c r="AK141" i="11"/>
  <c r="AL141" i="11"/>
  <c r="AM141" i="11"/>
  <c r="AN141"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I142" i="11"/>
  <c r="AJ142" i="11"/>
  <c r="AK142" i="11"/>
  <c r="AL142" i="11"/>
  <c r="AM142" i="11"/>
  <c r="AN142"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I143" i="11"/>
  <c r="AJ143" i="11"/>
  <c r="AK143" i="11"/>
  <c r="AL143" i="11"/>
  <c r="AM143" i="11"/>
  <c r="AN143"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I144" i="11"/>
  <c r="AJ144" i="11"/>
  <c r="AK144" i="11"/>
  <c r="AL144" i="11"/>
  <c r="AM144" i="11"/>
  <c r="AN144" i="11"/>
  <c r="B138" i="11"/>
  <c r="B139" i="11"/>
  <c r="B140" i="11"/>
  <c r="B141" i="11"/>
  <c r="B142" i="11"/>
  <c r="B143" i="11"/>
  <c r="B144" i="11"/>
  <c r="B137"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I122" i="11"/>
  <c r="AJ122" i="11"/>
  <c r="AK122" i="11"/>
  <c r="AL122" i="11"/>
  <c r="AM122" i="11"/>
  <c r="AN122"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I123" i="11"/>
  <c r="AJ123" i="11"/>
  <c r="AK123" i="11"/>
  <c r="AL123" i="11"/>
  <c r="AM123" i="11"/>
  <c r="AN123"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I124" i="11"/>
  <c r="AJ124" i="11"/>
  <c r="AK124" i="11"/>
  <c r="AL124" i="11"/>
  <c r="AM124" i="11"/>
  <c r="AN124"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I125" i="11"/>
  <c r="AJ125" i="11"/>
  <c r="AK125" i="11"/>
  <c r="AL125" i="11"/>
  <c r="AM125" i="11"/>
  <c r="AN125"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I126" i="11"/>
  <c r="AJ126" i="11"/>
  <c r="AK126" i="11"/>
  <c r="AL126" i="11"/>
  <c r="AM126" i="11"/>
  <c r="AN126"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I127" i="11"/>
  <c r="AJ127" i="11"/>
  <c r="AK127" i="11"/>
  <c r="AL127" i="11"/>
  <c r="AM127" i="11"/>
  <c r="AN127"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I128" i="11"/>
  <c r="AJ128" i="11"/>
  <c r="AK128" i="11"/>
  <c r="AL128" i="11"/>
  <c r="AM128" i="11"/>
  <c r="AN128"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F129" i="11"/>
  <c r="AG129" i="11"/>
  <c r="AH129" i="11"/>
  <c r="AI129" i="11"/>
  <c r="AJ129" i="11"/>
  <c r="AK129" i="11"/>
  <c r="AL129" i="11"/>
  <c r="AM129" i="11"/>
  <c r="AN129" i="11"/>
  <c r="B123" i="11"/>
  <c r="B124" i="11"/>
  <c r="B125" i="11"/>
  <c r="B126" i="11"/>
  <c r="B127" i="11"/>
  <c r="B128" i="11"/>
  <c r="B129" i="11"/>
  <c r="B122"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I107" i="11"/>
  <c r="AJ107" i="11"/>
  <c r="AK107" i="11"/>
  <c r="AL107" i="11"/>
  <c r="AM107" i="11"/>
  <c r="AN107"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I108" i="11"/>
  <c r="AJ108" i="11"/>
  <c r="AK108" i="11"/>
  <c r="AL108" i="11"/>
  <c r="AM108" i="11"/>
  <c r="AN108"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I109" i="11"/>
  <c r="AJ109" i="11"/>
  <c r="AK109" i="11"/>
  <c r="AL109" i="11"/>
  <c r="AM109" i="11"/>
  <c r="AN109"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I110" i="11"/>
  <c r="AJ110" i="11"/>
  <c r="AK110" i="11"/>
  <c r="AL110" i="11"/>
  <c r="AM110" i="11"/>
  <c r="AN110"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I111" i="11"/>
  <c r="AJ111" i="11"/>
  <c r="AK111" i="11"/>
  <c r="AL111" i="11"/>
  <c r="AM111" i="11"/>
  <c r="AN111"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I112" i="11"/>
  <c r="AJ112" i="11"/>
  <c r="AK112" i="11"/>
  <c r="AL112" i="11"/>
  <c r="AM112" i="11"/>
  <c r="AN112"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I113" i="11"/>
  <c r="AJ113" i="11"/>
  <c r="AK113" i="11"/>
  <c r="AL113" i="11"/>
  <c r="AM113" i="11"/>
  <c r="AN113"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I114" i="11"/>
  <c r="AJ114" i="11"/>
  <c r="AK114" i="11"/>
  <c r="AL114" i="11"/>
  <c r="AM114" i="11"/>
  <c r="AN114" i="11"/>
  <c r="B108" i="11"/>
  <c r="B109" i="11"/>
  <c r="B110" i="11"/>
  <c r="B111" i="11"/>
  <c r="B112" i="11"/>
  <c r="B113" i="11"/>
  <c r="B114" i="11"/>
  <c r="B107"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I92" i="11"/>
  <c r="AJ92" i="11"/>
  <c r="AK92" i="11"/>
  <c r="AL92" i="11"/>
  <c r="AM92" i="11"/>
  <c r="AN92"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I93" i="11"/>
  <c r="AJ93" i="11"/>
  <c r="AK93" i="11"/>
  <c r="AL93" i="11"/>
  <c r="AM93" i="11"/>
  <c r="AN93"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I94" i="11"/>
  <c r="AJ94" i="11"/>
  <c r="AK94" i="11"/>
  <c r="AL94" i="11"/>
  <c r="AM94" i="11"/>
  <c r="AN94"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I95" i="11"/>
  <c r="AJ95" i="11"/>
  <c r="AK95" i="11"/>
  <c r="AL95" i="11"/>
  <c r="AM95" i="11"/>
  <c r="AN95"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I96" i="11"/>
  <c r="AJ96" i="11"/>
  <c r="AK96" i="11"/>
  <c r="AL96" i="11"/>
  <c r="AM96" i="11"/>
  <c r="AN96"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I97" i="11"/>
  <c r="AJ97" i="11"/>
  <c r="AK97" i="11"/>
  <c r="AL97" i="11"/>
  <c r="AM97" i="11"/>
  <c r="AN97"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I98" i="11"/>
  <c r="AJ98" i="11"/>
  <c r="AK98" i="11"/>
  <c r="AL98" i="11"/>
  <c r="AM98" i="11"/>
  <c r="AN98"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I99" i="11"/>
  <c r="AJ99" i="11"/>
  <c r="AK99" i="11"/>
  <c r="AL99" i="11"/>
  <c r="AM99" i="11"/>
  <c r="AN99" i="11"/>
  <c r="B93" i="11"/>
  <c r="B94" i="11"/>
  <c r="B95" i="11"/>
  <c r="B96" i="11"/>
  <c r="B97" i="11"/>
  <c r="B98" i="11"/>
  <c r="B99" i="11"/>
  <c r="B92"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I77" i="11"/>
  <c r="AJ77" i="11"/>
  <c r="AK77" i="11"/>
  <c r="AL77" i="11"/>
  <c r="AM77" i="11"/>
  <c r="AN77"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I78" i="11"/>
  <c r="AJ78" i="11"/>
  <c r="AK78" i="11"/>
  <c r="AL78" i="11"/>
  <c r="AM78" i="11"/>
  <c r="AN78"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I79" i="11"/>
  <c r="AJ79" i="11"/>
  <c r="AK79" i="11"/>
  <c r="AL79" i="11"/>
  <c r="AM79" i="11"/>
  <c r="AN79"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I80" i="11"/>
  <c r="AJ80" i="11"/>
  <c r="AK80" i="11"/>
  <c r="AL80" i="11"/>
  <c r="AM80" i="11"/>
  <c r="AN80"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I81" i="11"/>
  <c r="AJ81" i="11"/>
  <c r="AK81" i="11"/>
  <c r="AL81" i="11"/>
  <c r="AM81" i="11"/>
  <c r="AN81"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I82" i="11"/>
  <c r="AJ82" i="11"/>
  <c r="AK82" i="11"/>
  <c r="AL82" i="11"/>
  <c r="AM82" i="11"/>
  <c r="AN82"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I83" i="11"/>
  <c r="AJ83" i="11"/>
  <c r="AK83" i="11"/>
  <c r="AL83" i="11"/>
  <c r="AM83" i="11"/>
  <c r="AN83"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I84" i="11"/>
  <c r="AJ84" i="11"/>
  <c r="AK84" i="11"/>
  <c r="AL84" i="11"/>
  <c r="AM84" i="11"/>
  <c r="AN84" i="11"/>
  <c r="B78" i="11"/>
  <c r="B79" i="11"/>
  <c r="B80" i="11"/>
  <c r="B81" i="11"/>
  <c r="B82" i="11"/>
  <c r="B83" i="11"/>
  <c r="B84" i="11"/>
  <c r="B77"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I62" i="11"/>
  <c r="AJ62" i="11"/>
  <c r="AK62" i="11"/>
  <c r="AL62" i="11"/>
  <c r="AM62" i="11"/>
  <c r="AN62"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I63" i="11"/>
  <c r="AJ63" i="11"/>
  <c r="AK63" i="11"/>
  <c r="AL63" i="11"/>
  <c r="AM63" i="11"/>
  <c r="AN63"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I64" i="11"/>
  <c r="AJ64" i="11"/>
  <c r="AK64" i="11"/>
  <c r="AL64" i="11"/>
  <c r="AM64" i="11"/>
  <c r="AN64"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I65" i="11"/>
  <c r="AJ65" i="11"/>
  <c r="AK65" i="11"/>
  <c r="AL65" i="11"/>
  <c r="AM65" i="11"/>
  <c r="AN65"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I66" i="11"/>
  <c r="AJ66" i="11"/>
  <c r="AK66" i="11"/>
  <c r="AL66" i="11"/>
  <c r="AM66" i="11"/>
  <c r="AN66"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I67" i="11"/>
  <c r="AJ67" i="11"/>
  <c r="AK67" i="11"/>
  <c r="AL67" i="11"/>
  <c r="AM67" i="11"/>
  <c r="AN67"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I68" i="11"/>
  <c r="AJ68" i="11"/>
  <c r="AK68" i="11"/>
  <c r="AL68" i="11"/>
  <c r="AM68" i="11"/>
  <c r="AN68"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I69" i="11"/>
  <c r="AJ69" i="11"/>
  <c r="AK69" i="11"/>
  <c r="AL69" i="11"/>
  <c r="AM69" i="11"/>
  <c r="AN69" i="11"/>
  <c r="B63" i="11"/>
  <c r="B64" i="11"/>
  <c r="B65" i="11"/>
  <c r="B66" i="11"/>
  <c r="B67" i="11"/>
  <c r="B68" i="11"/>
  <c r="B69" i="11"/>
  <c r="B62"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I47" i="11"/>
  <c r="AJ47" i="11"/>
  <c r="AK47" i="11"/>
  <c r="AL47" i="11"/>
  <c r="AM47" i="11"/>
  <c r="AN47"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I48" i="11"/>
  <c r="AJ48" i="11"/>
  <c r="AK48" i="11"/>
  <c r="AL48" i="11"/>
  <c r="AM48" i="11"/>
  <c r="AN48"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I49" i="11"/>
  <c r="AJ49" i="11"/>
  <c r="AK49" i="11"/>
  <c r="AL49" i="11"/>
  <c r="AM49" i="11"/>
  <c r="AN49"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I50" i="11"/>
  <c r="AJ50" i="11"/>
  <c r="AK50" i="11"/>
  <c r="AL50" i="11"/>
  <c r="AM50" i="11"/>
  <c r="AN50"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I51" i="11"/>
  <c r="AJ51" i="11"/>
  <c r="AK51" i="11"/>
  <c r="AL51" i="11"/>
  <c r="AM51" i="11"/>
  <c r="AN51"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I52" i="11"/>
  <c r="AJ52" i="11"/>
  <c r="AK52" i="11"/>
  <c r="AL52" i="11"/>
  <c r="AM52" i="11"/>
  <c r="AN52"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I53" i="11"/>
  <c r="AJ53" i="11"/>
  <c r="AK53" i="11"/>
  <c r="AL53" i="11"/>
  <c r="AM53" i="11"/>
  <c r="AN53"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F54" i="11"/>
  <c r="AG54" i="11"/>
  <c r="AH54" i="11"/>
  <c r="AI54" i="11"/>
  <c r="AJ54" i="11"/>
  <c r="AK54" i="11"/>
  <c r="AL54" i="11"/>
  <c r="AM54" i="11"/>
  <c r="AN54" i="11"/>
  <c r="B48" i="11"/>
  <c r="B49" i="11"/>
  <c r="B50" i="11"/>
  <c r="B51" i="11"/>
  <c r="B52" i="11"/>
  <c r="B53" i="11"/>
  <c r="B54" i="11"/>
  <c r="B47"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I32" i="11"/>
  <c r="AJ32" i="11"/>
  <c r="AK32" i="11"/>
  <c r="AL32" i="11"/>
  <c r="AM32" i="11"/>
  <c r="AN32"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I33" i="11"/>
  <c r="AJ33" i="11"/>
  <c r="AK33" i="11"/>
  <c r="AL33" i="11"/>
  <c r="AM33" i="11"/>
  <c r="AN33"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I34" i="11"/>
  <c r="AJ34" i="11"/>
  <c r="AK34" i="11"/>
  <c r="AL34" i="11"/>
  <c r="AM34" i="11"/>
  <c r="AN34"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I35" i="11"/>
  <c r="AJ35" i="11"/>
  <c r="AK35" i="11"/>
  <c r="AL35" i="11"/>
  <c r="AM35" i="11"/>
  <c r="AN35"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I36" i="11"/>
  <c r="AJ36" i="11"/>
  <c r="AK36" i="11"/>
  <c r="AL36" i="11"/>
  <c r="AM36" i="11"/>
  <c r="AN36"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I37" i="11"/>
  <c r="AJ37" i="11"/>
  <c r="AK37" i="11"/>
  <c r="AL37" i="11"/>
  <c r="AM37" i="11"/>
  <c r="AN37"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I38" i="11"/>
  <c r="AJ38" i="11"/>
  <c r="AK38" i="11"/>
  <c r="AL38" i="11"/>
  <c r="AM38" i="11"/>
  <c r="AN38"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I39" i="11"/>
  <c r="AJ39" i="11"/>
  <c r="AK39" i="11"/>
  <c r="AL39" i="11"/>
  <c r="AM39" i="11"/>
  <c r="AN39" i="11"/>
  <c r="B33" i="11"/>
  <c r="B34" i="11"/>
  <c r="B35" i="11"/>
  <c r="B36" i="11"/>
  <c r="B37" i="11"/>
  <c r="B38" i="11"/>
  <c r="B39" i="11"/>
  <c r="B32"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I17" i="11"/>
  <c r="AJ17" i="11"/>
  <c r="AK17" i="11"/>
  <c r="AL17" i="11"/>
  <c r="AM17" i="11"/>
  <c r="AN17"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I18" i="11"/>
  <c r="AJ18" i="11"/>
  <c r="AK18" i="11"/>
  <c r="AL18" i="11"/>
  <c r="AM18" i="11"/>
  <c r="AN18"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I19" i="11"/>
  <c r="AJ19" i="11"/>
  <c r="AK19" i="11"/>
  <c r="AL19" i="11"/>
  <c r="AM19" i="11"/>
  <c r="AN19"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I20" i="11"/>
  <c r="AJ20" i="11"/>
  <c r="AK20" i="11"/>
  <c r="AL20" i="11"/>
  <c r="AM20" i="11"/>
  <c r="AN20"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I21" i="11"/>
  <c r="AJ21" i="11"/>
  <c r="AK21" i="11"/>
  <c r="AL21" i="11"/>
  <c r="AM21" i="11"/>
  <c r="AN21"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I22" i="11"/>
  <c r="AJ22" i="11"/>
  <c r="AK22" i="11"/>
  <c r="AL22" i="11"/>
  <c r="AM22" i="11"/>
  <c r="AN22"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I23" i="11"/>
  <c r="AJ23" i="11"/>
  <c r="AK23" i="11"/>
  <c r="AL23" i="11"/>
  <c r="AM23" i="11"/>
  <c r="AN23"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I24" i="11"/>
  <c r="AJ24" i="11"/>
  <c r="AK24" i="11"/>
  <c r="AL24" i="11"/>
  <c r="AM24" i="11"/>
  <c r="AN24" i="11"/>
  <c r="B18" i="11"/>
  <c r="B19" i="11"/>
  <c r="B20" i="11"/>
  <c r="B21" i="11"/>
  <c r="B22" i="11"/>
  <c r="B23" i="11"/>
  <c r="B24" i="11"/>
  <c r="B1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I7" i="11"/>
  <c r="AJ7" i="11"/>
  <c r="AK7" i="11"/>
  <c r="AL7" i="11"/>
  <c r="AM7" i="11"/>
  <c r="AN7"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I8" i="11"/>
  <c r="AJ8" i="11"/>
  <c r="AK8" i="11"/>
  <c r="AL8" i="11"/>
  <c r="AM8" i="11"/>
  <c r="AN8"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I9" i="11"/>
  <c r="AJ9" i="11"/>
  <c r="AK9" i="11"/>
  <c r="AL9" i="11"/>
  <c r="AM9" i="11"/>
  <c r="AN9" i="11"/>
  <c r="B8" i="11"/>
  <c r="B9" i="11"/>
  <c r="B7" i="11"/>
  <c r="E2" i="40"/>
  <c r="F2" i="40"/>
  <c r="G2" i="40"/>
  <c r="H2" i="40"/>
  <c r="I2" i="40"/>
  <c r="J2" i="40"/>
  <c r="K2" i="40"/>
  <c r="L2" i="40"/>
  <c r="M2" i="40"/>
  <c r="N2" i="40"/>
  <c r="O2" i="40"/>
  <c r="P2" i="40"/>
  <c r="Q2" i="40"/>
  <c r="R2" i="40"/>
  <c r="S2" i="40"/>
  <c r="T2" i="40"/>
  <c r="U2" i="40"/>
  <c r="V2" i="40"/>
  <c r="W2" i="40"/>
  <c r="X2" i="40"/>
  <c r="Y2" i="40"/>
  <c r="Z2" i="40"/>
  <c r="AA2" i="40"/>
  <c r="AB2" i="40"/>
  <c r="AC2" i="40"/>
  <c r="AD2" i="40"/>
  <c r="AE2" i="40"/>
  <c r="AF2" i="40"/>
  <c r="AG2" i="40"/>
  <c r="AH2" i="40"/>
  <c r="AI2" i="40"/>
  <c r="AJ2" i="40"/>
  <c r="AK2" i="40"/>
  <c r="AL2" i="40"/>
  <c r="AM2" i="40"/>
  <c r="AN2" i="40"/>
  <c r="AO2" i="40"/>
  <c r="AP2" i="40"/>
  <c r="AQ2" i="40"/>
  <c r="C3" i="40"/>
  <c r="D3" i="40"/>
  <c r="E3" i="40"/>
  <c r="F3" i="40"/>
  <c r="G3" i="40"/>
  <c r="H3" i="40"/>
  <c r="I3" i="40"/>
  <c r="J3" i="40"/>
  <c r="K3" i="40"/>
  <c r="L3" i="40"/>
  <c r="M3" i="40"/>
  <c r="N3" i="40"/>
  <c r="O3" i="40"/>
  <c r="P3" i="40"/>
  <c r="Q3" i="40"/>
  <c r="R3" i="40"/>
  <c r="S3" i="40"/>
  <c r="T3" i="40"/>
  <c r="U3" i="40"/>
  <c r="V3" i="40"/>
  <c r="W3" i="40"/>
  <c r="X3" i="40"/>
  <c r="Y3" i="40"/>
  <c r="Z3" i="40"/>
  <c r="AA3" i="40"/>
  <c r="AB3" i="40"/>
  <c r="AC3" i="40"/>
  <c r="AD3" i="40"/>
  <c r="AE3" i="40"/>
  <c r="AF3" i="40"/>
  <c r="AG3" i="40"/>
  <c r="AH3" i="40"/>
  <c r="AI3" i="40"/>
  <c r="AJ3" i="40"/>
  <c r="AK3" i="40"/>
  <c r="AL3" i="40"/>
  <c r="AM3" i="40"/>
  <c r="AN3" i="40"/>
  <c r="AO3" i="40"/>
  <c r="AP3" i="40"/>
  <c r="AQ3" i="40"/>
  <c r="C9" i="40"/>
  <c r="D9" i="40"/>
  <c r="E9" i="40"/>
  <c r="F9" i="40"/>
  <c r="G9" i="40"/>
  <c r="H9" i="40"/>
  <c r="I9" i="40"/>
  <c r="J9" i="40"/>
  <c r="K9" i="40"/>
  <c r="L9" i="40"/>
  <c r="M9" i="40"/>
  <c r="N9" i="40"/>
  <c r="O9" i="40"/>
  <c r="P9" i="40"/>
  <c r="Q9" i="40"/>
  <c r="R9" i="40"/>
  <c r="S9" i="40"/>
  <c r="T9" i="40"/>
  <c r="U9" i="40"/>
  <c r="V9" i="40"/>
  <c r="W9" i="40"/>
  <c r="X9" i="40"/>
  <c r="Y9" i="40"/>
  <c r="Z9" i="40"/>
  <c r="AA9" i="40"/>
  <c r="AB9" i="40"/>
  <c r="AC9" i="40"/>
  <c r="AD9" i="40"/>
  <c r="AE9" i="40"/>
  <c r="AF9" i="40"/>
  <c r="AG9" i="40"/>
  <c r="AH9" i="40"/>
  <c r="AI9" i="40"/>
  <c r="AJ9" i="40"/>
  <c r="AK9" i="40"/>
  <c r="AL9" i="40"/>
  <c r="AM9" i="40"/>
  <c r="AN9" i="40"/>
  <c r="AO9" i="40"/>
  <c r="AP9" i="40"/>
  <c r="AQ9" i="40"/>
  <c r="C11" i="40"/>
  <c r="D11" i="40"/>
  <c r="E11" i="40"/>
  <c r="F11" i="40"/>
  <c r="G11" i="40"/>
  <c r="H11" i="40"/>
  <c r="I11" i="40"/>
  <c r="J11" i="40"/>
  <c r="K11" i="40"/>
  <c r="L11" i="40"/>
  <c r="M11" i="40"/>
  <c r="N11" i="40"/>
  <c r="O11" i="40"/>
  <c r="P11" i="40"/>
  <c r="Q11" i="40"/>
  <c r="R11" i="40"/>
  <c r="S11" i="40"/>
  <c r="T11" i="40"/>
  <c r="U11" i="40"/>
  <c r="V11" i="40"/>
  <c r="W11" i="40"/>
  <c r="X11" i="40"/>
  <c r="Y11" i="40"/>
  <c r="Z11" i="40"/>
  <c r="AA11" i="40"/>
  <c r="AB11" i="40"/>
  <c r="AC11" i="40"/>
  <c r="AD11" i="40"/>
  <c r="AE11" i="40"/>
  <c r="AF11" i="40"/>
  <c r="AG11" i="40"/>
  <c r="AH11" i="40"/>
  <c r="AI11" i="40"/>
  <c r="AJ11" i="40"/>
  <c r="AK11" i="40"/>
  <c r="AL11" i="40"/>
  <c r="AM11" i="40"/>
  <c r="AN11" i="40"/>
  <c r="AO11" i="40"/>
  <c r="AP11" i="40"/>
  <c r="AQ11" i="40"/>
  <c r="B3" i="40"/>
  <c r="B9" i="40"/>
  <c r="B11" i="40"/>
  <c r="C3" i="38"/>
  <c r="D3" i="38"/>
  <c r="E3" i="38"/>
  <c r="F3" i="38"/>
  <c r="G3" i="38"/>
  <c r="H3" i="38"/>
  <c r="I3" i="38"/>
  <c r="J3" i="38"/>
  <c r="K3" i="38"/>
  <c r="L3" i="38"/>
  <c r="M3" i="38"/>
  <c r="N3" i="38"/>
  <c r="O3" i="38"/>
  <c r="P3" i="38"/>
  <c r="Q3" i="38"/>
  <c r="R3" i="38"/>
  <c r="S3" i="38"/>
  <c r="T3" i="38"/>
  <c r="U3" i="38"/>
  <c r="V3" i="38"/>
  <c r="W3" i="38"/>
  <c r="X3" i="38"/>
  <c r="Y3" i="38"/>
  <c r="Z3" i="38"/>
  <c r="AA3" i="38"/>
  <c r="AB3" i="38"/>
  <c r="AC3" i="38"/>
  <c r="AD3" i="38"/>
  <c r="AE3" i="38"/>
  <c r="AF3" i="38"/>
  <c r="AG3" i="38"/>
  <c r="AH3" i="38"/>
  <c r="AI3" i="38"/>
  <c r="AJ3" i="38"/>
  <c r="AK3" i="38"/>
  <c r="AL3" i="38"/>
  <c r="AM3" i="38"/>
  <c r="AN3" i="38"/>
  <c r="AO3" i="38"/>
  <c r="AP3" i="38"/>
  <c r="AQ3" i="38"/>
  <c r="C4" i="38"/>
  <c r="D4" i="38"/>
  <c r="E4" i="38"/>
  <c r="F4" i="38"/>
  <c r="G4" i="38"/>
  <c r="H4" i="38"/>
  <c r="I4" i="38"/>
  <c r="J4" i="38"/>
  <c r="K4" i="38"/>
  <c r="L4" i="38"/>
  <c r="M4" i="38"/>
  <c r="N4" i="38"/>
  <c r="O4" i="38"/>
  <c r="P4" i="38"/>
  <c r="Q4" i="38"/>
  <c r="R4" i="38"/>
  <c r="S4" i="38"/>
  <c r="T4" i="38"/>
  <c r="U4" i="38"/>
  <c r="V4" i="38"/>
  <c r="W4" i="38"/>
  <c r="X4" i="38"/>
  <c r="Y4" i="38"/>
  <c r="Z4" i="38"/>
  <c r="AA4" i="38"/>
  <c r="AB4" i="38"/>
  <c r="AC4" i="38"/>
  <c r="AD4" i="38"/>
  <c r="AE4" i="38"/>
  <c r="AF4" i="38"/>
  <c r="AG4" i="38"/>
  <c r="AH4" i="38"/>
  <c r="AI4" i="38"/>
  <c r="AJ4" i="38"/>
  <c r="AK4" i="38"/>
  <c r="AL4" i="38"/>
  <c r="AM4" i="38"/>
  <c r="AN4" i="38"/>
  <c r="AO4" i="38"/>
  <c r="AP4" i="38"/>
  <c r="AQ4" i="38"/>
  <c r="C5" i="38"/>
  <c r="D5" i="38"/>
  <c r="E5" i="38"/>
  <c r="F5" i="38"/>
  <c r="G5" i="38"/>
  <c r="H5" i="38"/>
  <c r="I5" i="38"/>
  <c r="J5" i="38"/>
  <c r="K5" i="38"/>
  <c r="L5" i="38"/>
  <c r="M5" i="38"/>
  <c r="N5" i="38"/>
  <c r="O5" i="38"/>
  <c r="P5" i="38"/>
  <c r="Q5" i="38"/>
  <c r="R5" i="38"/>
  <c r="S5" i="38"/>
  <c r="T5" i="38"/>
  <c r="U5" i="38"/>
  <c r="V5" i="38"/>
  <c r="W5" i="38"/>
  <c r="X5" i="38"/>
  <c r="Y5" i="38"/>
  <c r="Z5" i="38"/>
  <c r="AA5" i="38"/>
  <c r="AB5" i="38"/>
  <c r="AC5" i="38"/>
  <c r="AD5" i="38"/>
  <c r="AE5" i="38"/>
  <c r="AF5" i="38"/>
  <c r="AG5" i="38"/>
  <c r="AH5" i="38"/>
  <c r="AI5" i="38"/>
  <c r="AJ5" i="38"/>
  <c r="AK5" i="38"/>
  <c r="AL5" i="38"/>
  <c r="AM5" i="38"/>
  <c r="AN5" i="38"/>
  <c r="AO5" i="38"/>
  <c r="AP5" i="38"/>
  <c r="AQ5" i="38"/>
  <c r="C6" i="38"/>
  <c r="D6" i="38"/>
  <c r="E6" i="38"/>
  <c r="F6" i="38"/>
  <c r="G6" i="38"/>
  <c r="H6" i="38"/>
  <c r="I6" i="38"/>
  <c r="J6" i="38"/>
  <c r="K6" i="38"/>
  <c r="L6" i="38"/>
  <c r="M6" i="38"/>
  <c r="N6" i="38"/>
  <c r="O6" i="38"/>
  <c r="P6" i="38"/>
  <c r="Q6" i="38"/>
  <c r="R6" i="38"/>
  <c r="S6" i="38"/>
  <c r="T6" i="38"/>
  <c r="U6" i="38"/>
  <c r="V6" i="38"/>
  <c r="W6" i="38"/>
  <c r="X6" i="38"/>
  <c r="Y6" i="38"/>
  <c r="Z6" i="38"/>
  <c r="AA6" i="38"/>
  <c r="AB6" i="38"/>
  <c r="AC6" i="38"/>
  <c r="AD6" i="38"/>
  <c r="AE6" i="38"/>
  <c r="AF6" i="38"/>
  <c r="AG6" i="38"/>
  <c r="AH6" i="38"/>
  <c r="AI6" i="38"/>
  <c r="AJ6" i="38"/>
  <c r="AK6" i="38"/>
  <c r="AL6" i="38"/>
  <c r="AM6" i="38"/>
  <c r="AN6" i="38"/>
  <c r="AO6" i="38"/>
  <c r="AP6" i="38"/>
  <c r="AQ6" i="38"/>
  <c r="C7" i="38"/>
  <c r="D7" i="38"/>
  <c r="E7" i="38"/>
  <c r="F7" i="38"/>
  <c r="G7" i="38"/>
  <c r="H7" i="38"/>
  <c r="I7" i="38"/>
  <c r="J7" i="38"/>
  <c r="K7" i="38"/>
  <c r="L7" i="38"/>
  <c r="M7" i="38"/>
  <c r="N7" i="38"/>
  <c r="O7" i="38"/>
  <c r="P7" i="38"/>
  <c r="Q7" i="38"/>
  <c r="R7" i="38"/>
  <c r="S7" i="38"/>
  <c r="T7" i="38"/>
  <c r="U7" i="38"/>
  <c r="V7" i="38"/>
  <c r="W7" i="38"/>
  <c r="X7" i="38"/>
  <c r="Y7" i="38"/>
  <c r="Z7" i="38"/>
  <c r="AA7" i="38"/>
  <c r="AB7" i="38"/>
  <c r="AC7" i="38"/>
  <c r="AD7" i="38"/>
  <c r="AE7" i="38"/>
  <c r="AF7" i="38"/>
  <c r="AG7" i="38"/>
  <c r="AH7" i="38"/>
  <c r="AI7" i="38"/>
  <c r="AJ7" i="38"/>
  <c r="AK7" i="38"/>
  <c r="AL7" i="38"/>
  <c r="AM7" i="38"/>
  <c r="AN7" i="38"/>
  <c r="AO7" i="38"/>
  <c r="AP7" i="38"/>
  <c r="AQ7" i="38"/>
  <c r="C8" i="38"/>
  <c r="D8" i="38"/>
  <c r="E8" i="38"/>
  <c r="F8" i="38"/>
  <c r="G8" i="38"/>
  <c r="H8" i="38"/>
  <c r="I8" i="38"/>
  <c r="J8" i="38"/>
  <c r="K8" i="38"/>
  <c r="L8" i="38"/>
  <c r="M8" i="38"/>
  <c r="N8" i="38"/>
  <c r="O8" i="38"/>
  <c r="P8" i="38"/>
  <c r="Q8" i="38"/>
  <c r="R8" i="38"/>
  <c r="S8" i="38"/>
  <c r="T8" i="38"/>
  <c r="U8" i="38"/>
  <c r="V8" i="38"/>
  <c r="W8" i="38"/>
  <c r="X8" i="38"/>
  <c r="Y8" i="38"/>
  <c r="Z8" i="38"/>
  <c r="AA8" i="38"/>
  <c r="AB8" i="38"/>
  <c r="AC8" i="38"/>
  <c r="AD8" i="38"/>
  <c r="AE8" i="38"/>
  <c r="AF8" i="38"/>
  <c r="AG8" i="38"/>
  <c r="AH8" i="38"/>
  <c r="AI8" i="38"/>
  <c r="AJ8" i="38"/>
  <c r="AK8" i="38"/>
  <c r="AL8" i="38"/>
  <c r="AM8" i="38"/>
  <c r="AN8" i="38"/>
  <c r="AO8" i="38"/>
  <c r="AP8" i="38"/>
  <c r="AQ8" i="38"/>
  <c r="C9" i="38"/>
  <c r="D9" i="38"/>
  <c r="E9" i="38"/>
  <c r="F9" i="38"/>
  <c r="G9" i="38"/>
  <c r="H9" i="38"/>
  <c r="I9" i="38"/>
  <c r="J9" i="38"/>
  <c r="K9" i="38"/>
  <c r="L9" i="38"/>
  <c r="M9" i="38"/>
  <c r="N9" i="38"/>
  <c r="O9" i="38"/>
  <c r="P9" i="38"/>
  <c r="Q9" i="38"/>
  <c r="R9" i="38"/>
  <c r="S9" i="38"/>
  <c r="T9" i="38"/>
  <c r="U9" i="38"/>
  <c r="V9" i="38"/>
  <c r="W9" i="38"/>
  <c r="X9" i="38"/>
  <c r="Y9" i="38"/>
  <c r="Z9" i="38"/>
  <c r="AA9" i="38"/>
  <c r="AB9" i="38"/>
  <c r="AC9" i="38"/>
  <c r="AD9" i="38"/>
  <c r="AE9" i="38"/>
  <c r="AF9" i="38"/>
  <c r="AG9" i="38"/>
  <c r="AH9" i="38"/>
  <c r="AI9" i="38"/>
  <c r="AJ9" i="38"/>
  <c r="AK9" i="38"/>
  <c r="AL9" i="38"/>
  <c r="AM9" i="38"/>
  <c r="AN9" i="38"/>
  <c r="AO9" i="38"/>
  <c r="AP9" i="38"/>
  <c r="AQ9" i="38"/>
  <c r="C10" i="38"/>
  <c r="D10" i="38"/>
  <c r="E10" i="38"/>
  <c r="F10" i="38"/>
  <c r="G10" i="38"/>
  <c r="H10" i="38"/>
  <c r="I10" i="38"/>
  <c r="J10" i="38"/>
  <c r="K10" i="38"/>
  <c r="L10" i="38"/>
  <c r="M10" i="38"/>
  <c r="N10" i="38"/>
  <c r="O10" i="38"/>
  <c r="P10" i="38"/>
  <c r="Q10" i="38"/>
  <c r="R10" i="38"/>
  <c r="S10" i="38"/>
  <c r="T10" i="38"/>
  <c r="U10" i="38"/>
  <c r="V10" i="38"/>
  <c r="W10" i="38"/>
  <c r="X10" i="38"/>
  <c r="Y10" i="38"/>
  <c r="Z10" i="38"/>
  <c r="AA10" i="38"/>
  <c r="AB10" i="38"/>
  <c r="AC10" i="38"/>
  <c r="AD10" i="38"/>
  <c r="AE10" i="38"/>
  <c r="AF10" i="38"/>
  <c r="AG10" i="38"/>
  <c r="AH10" i="38"/>
  <c r="AI10" i="38"/>
  <c r="AJ10" i="38"/>
  <c r="AK10" i="38"/>
  <c r="AL10" i="38"/>
  <c r="AM10" i="38"/>
  <c r="AN10" i="38"/>
  <c r="AO10" i="38"/>
  <c r="AP10" i="38"/>
  <c r="AQ10" i="38"/>
  <c r="C11" i="38"/>
  <c r="D11" i="38"/>
  <c r="E11" i="38"/>
  <c r="F11" i="38"/>
  <c r="G11" i="38"/>
  <c r="H11" i="38"/>
  <c r="I11" i="38"/>
  <c r="J11" i="38"/>
  <c r="K11" i="38"/>
  <c r="L11" i="38"/>
  <c r="M11" i="38"/>
  <c r="N11" i="38"/>
  <c r="O11" i="38"/>
  <c r="P11" i="38"/>
  <c r="Q11" i="38"/>
  <c r="R11" i="38"/>
  <c r="S11" i="38"/>
  <c r="T11" i="38"/>
  <c r="U11" i="38"/>
  <c r="V11" i="38"/>
  <c r="W11" i="38"/>
  <c r="X11" i="38"/>
  <c r="Y11" i="38"/>
  <c r="Z11" i="38"/>
  <c r="AA11" i="38"/>
  <c r="AB11" i="38"/>
  <c r="AC11" i="38"/>
  <c r="AD11" i="38"/>
  <c r="AE11" i="38"/>
  <c r="AF11" i="38"/>
  <c r="AG11" i="38"/>
  <c r="AH11" i="38"/>
  <c r="AI11" i="38"/>
  <c r="AJ11" i="38"/>
  <c r="AK11" i="38"/>
  <c r="AL11" i="38"/>
  <c r="AM11" i="38"/>
  <c r="AN11" i="38"/>
  <c r="AO11" i="38"/>
  <c r="AP11" i="38"/>
  <c r="AQ11" i="38"/>
  <c r="B3" i="38"/>
  <c r="B4" i="38"/>
  <c r="B5" i="38"/>
  <c r="B6" i="38"/>
  <c r="B7" i="38"/>
  <c r="B8" i="38"/>
  <c r="B9" i="38"/>
  <c r="B10" i="38"/>
  <c r="B11" i="38"/>
  <c r="C3" i="37"/>
  <c r="D3" i="37"/>
  <c r="E3" i="37"/>
  <c r="F3" i="37"/>
  <c r="G3" i="37"/>
  <c r="H3" i="37"/>
  <c r="I3" i="37"/>
  <c r="J3" i="37"/>
  <c r="K3" i="37"/>
  <c r="L3" i="37"/>
  <c r="M3" i="37"/>
  <c r="N3" i="37"/>
  <c r="O3" i="37"/>
  <c r="P3" i="37"/>
  <c r="Q3" i="37"/>
  <c r="R3" i="37"/>
  <c r="S3" i="37"/>
  <c r="T3" i="37"/>
  <c r="U3" i="37"/>
  <c r="V3" i="37"/>
  <c r="W3" i="37"/>
  <c r="X3" i="37"/>
  <c r="Y3" i="37"/>
  <c r="Z3" i="37"/>
  <c r="AA3" i="37"/>
  <c r="AB3" i="37"/>
  <c r="AC3" i="37"/>
  <c r="AD3" i="37"/>
  <c r="AE3" i="37"/>
  <c r="AF3" i="37"/>
  <c r="AG3" i="37"/>
  <c r="AH3" i="37"/>
  <c r="AI3" i="37"/>
  <c r="AJ3" i="37"/>
  <c r="AK3" i="37"/>
  <c r="AL3" i="37"/>
  <c r="AM3" i="37"/>
  <c r="AN3" i="37"/>
  <c r="AO3" i="37"/>
  <c r="AP3" i="37"/>
  <c r="AQ3" i="37"/>
  <c r="C4" i="37"/>
  <c r="D4" i="37"/>
  <c r="E4" i="37"/>
  <c r="F4" i="37"/>
  <c r="G4" i="37"/>
  <c r="H4" i="37"/>
  <c r="I4" i="37"/>
  <c r="J4" i="37"/>
  <c r="K4" i="37"/>
  <c r="L4" i="37"/>
  <c r="M4" i="37"/>
  <c r="N4" i="37"/>
  <c r="O4" i="37"/>
  <c r="P4" i="37"/>
  <c r="Q4" i="37"/>
  <c r="R4" i="37"/>
  <c r="S4" i="37"/>
  <c r="T4" i="37"/>
  <c r="U4" i="37"/>
  <c r="V4" i="37"/>
  <c r="W4" i="37"/>
  <c r="X4" i="37"/>
  <c r="Y4" i="37"/>
  <c r="Z4" i="37"/>
  <c r="AA4" i="37"/>
  <c r="AB4" i="37"/>
  <c r="AC4" i="37"/>
  <c r="AD4" i="37"/>
  <c r="AE4" i="37"/>
  <c r="AF4" i="37"/>
  <c r="AG4" i="37"/>
  <c r="AH4" i="37"/>
  <c r="AI4" i="37"/>
  <c r="AJ4" i="37"/>
  <c r="AK4" i="37"/>
  <c r="AL4" i="37"/>
  <c r="AM4" i="37"/>
  <c r="AN4" i="37"/>
  <c r="AO4" i="37"/>
  <c r="AP4" i="37"/>
  <c r="AQ4" i="37"/>
  <c r="C5" i="37"/>
  <c r="D5" i="37"/>
  <c r="E5" i="37"/>
  <c r="F5" i="37"/>
  <c r="G5" i="37"/>
  <c r="H5" i="37"/>
  <c r="I5" i="37"/>
  <c r="J5" i="37"/>
  <c r="K5" i="37"/>
  <c r="L5" i="37"/>
  <c r="M5" i="37"/>
  <c r="N5" i="37"/>
  <c r="O5" i="37"/>
  <c r="P5" i="37"/>
  <c r="Q5" i="37"/>
  <c r="R5" i="37"/>
  <c r="S5" i="37"/>
  <c r="T5" i="37"/>
  <c r="U5" i="37"/>
  <c r="V5" i="37"/>
  <c r="W5" i="37"/>
  <c r="X5" i="37"/>
  <c r="Y5" i="37"/>
  <c r="Z5" i="37"/>
  <c r="AA5" i="37"/>
  <c r="AB5" i="37"/>
  <c r="AC5" i="37"/>
  <c r="AD5" i="37"/>
  <c r="AE5" i="37"/>
  <c r="AF5" i="37"/>
  <c r="AG5" i="37"/>
  <c r="AH5" i="37"/>
  <c r="AI5" i="37"/>
  <c r="AJ5" i="37"/>
  <c r="AK5" i="37"/>
  <c r="AL5" i="37"/>
  <c r="AM5" i="37"/>
  <c r="AN5" i="37"/>
  <c r="AO5" i="37"/>
  <c r="AP5" i="37"/>
  <c r="AQ5" i="37"/>
  <c r="C6" i="37"/>
  <c r="D6" i="37"/>
  <c r="E6" i="37"/>
  <c r="F6" i="37"/>
  <c r="G6" i="37"/>
  <c r="H6" i="37"/>
  <c r="I6" i="37"/>
  <c r="J6" i="37"/>
  <c r="K6" i="37"/>
  <c r="L6" i="37"/>
  <c r="M6" i="37"/>
  <c r="N6" i="37"/>
  <c r="O6" i="37"/>
  <c r="P6" i="37"/>
  <c r="Q6" i="37"/>
  <c r="R6" i="37"/>
  <c r="S6" i="37"/>
  <c r="T6" i="37"/>
  <c r="U6" i="37"/>
  <c r="V6" i="37"/>
  <c r="W6" i="37"/>
  <c r="X6" i="37"/>
  <c r="Y6" i="37"/>
  <c r="Z6" i="37"/>
  <c r="AA6" i="37"/>
  <c r="AB6" i="37"/>
  <c r="AC6" i="37"/>
  <c r="AD6" i="37"/>
  <c r="AE6" i="37"/>
  <c r="AF6" i="37"/>
  <c r="AG6" i="37"/>
  <c r="AH6" i="37"/>
  <c r="AI6" i="37"/>
  <c r="AJ6" i="37"/>
  <c r="AK6" i="37"/>
  <c r="AL6" i="37"/>
  <c r="AM6" i="37"/>
  <c r="AN6" i="37"/>
  <c r="AO6" i="37"/>
  <c r="AP6" i="37"/>
  <c r="AQ6" i="37"/>
  <c r="C7" i="37"/>
  <c r="D7" i="37"/>
  <c r="E7" i="37"/>
  <c r="F7" i="37"/>
  <c r="G7" i="37"/>
  <c r="H7" i="37"/>
  <c r="I7" i="37"/>
  <c r="J7" i="37"/>
  <c r="K7" i="37"/>
  <c r="L7" i="37"/>
  <c r="M7" i="37"/>
  <c r="N7" i="37"/>
  <c r="O7" i="37"/>
  <c r="P7" i="37"/>
  <c r="Q7" i="37"/>
  <c r="R7" i="37"/>
  <c r="S7" i="37"/>
  <c r="T7" i="37"/>
  <c r="U7" i="37"/>
  <c r="V7" i="37"/>
  <c r="W7" i="37"/>
  <c r="X7" i="37"/>
  <c r="Y7" i="37"/>
  <c r="Z7" i="37"/>
  <c r="AA7" i="37"/>
  <c r="AB7" i="37"/>
  <c r="AC7" i="37"/>
  <c r="AD7" i="37"/>
  <c r="AE7" i="37"/>
  <c r="AF7" i="37"/>
  <c r="AG7" i="37"/>
  <c r="AH7" i="37"/>
  <c r="AI7" i="37"/>
  <c r="AJ7" i="37"/>
  <c r="AK7" i="37"/>
  <c r="AL7" i="37"/>
  <c r="AM7" i="37"/>
  <c r="AN7" i="37"/>
  <c r="AO7" i="37"/>
  <c r="AP7" i="37"/>
  <c r="AQ7" i="37"/>
  <c r="C8" i="37"/>
  <c r="D8" i="37"/>
  <c r="E8" i="37"/>
  <c r="F8" i="37"/>
  <c r="G8" i="37"/>
  <c r="H8" i="37"/>
  <c r="I8" i="37"/>
  <c r="J8" i="37"/>
  <c r="K8" i="37"/>
  <c r="L8" i="37"/>
  <c r="M8" i="37"/>
  <c r="N8" i="37"/>
  <c r="O8" i="37"/>
  <c r="P8" i="37"/>
  <c r="Q8" i="37"/>
  <c r="R8" i="37"/>
  <c r="S8" i="37"/>
  <c r="T8" i="37"/>
  <c r="U8" i="37"/>
  <c r="V8" i="37"/>
  <c r="W8" i="37"/>
  <c r="X8" i="37"/>
  <c r="Y8" i="37"/>
  <c r="Z8" i="37"/>
  <c r="AA8" i="37"/>
  <c r="AB8" i="37"/>
  <c r="AC8" i="37"/>
  <c r="AD8" i="37"/>
  <c r="AE8" i="37"/>
  <c r="AF8" i="37"/>
  <c r="AG8" i="37"/>
  <c r="AH8" i="37"/>
  <c r="AI8" i="37"/>
  <c r="AJ8" i="37"/>
  <c r="AK8" i="37"/>
  <c r="AL8" i="37"/>
  <c r="AM8" i="37"/>
  <c r="AN8" i="37"/>
  <c r="AO8" i="37"/>
  <c r="AP8" i="37"/>
  <c r="AQ8" i="37"/>
  <c r="C9" i="37"/>
  <c r="D9" i="37"/>
  <c r="E9" i="37"/>
  <c r="F9" i="37"/>
  <c r="G9" i="37"/>
  <c r="H9" i="37"/>
  <c r="I9" i="37"/>
  <c r="J9" i="37"/>
  <c r="K9" i="37"/>
  <c r="L9" i="37"/>
  <c r="M9" i="37"/>
  <c r="N9" i="37"/>
  <c r="O9" i="37"/>
  <c r="P9" i="37"/>
  <c r="Q9" i="37"/>
  <c r="R9" i="37"/>
  <c r="S9" i="37"/>
  <c r="T9" i="37"/>
  <c r="U9" i="37"/>
  <c r="V9" i="37"/>
  <c r="W9" i="37"/>
  <c r="X9" i="37"/>
  <c r="Y9" i="37"/>
  <c r="Z9" i="37"/>
  <c r="AA9" i="37"/>
  <c r="AB9" i="37"/>
  <c r="AC9" i="37"/>
  <c r="AD9" i="37"/>
  <c r="AE9" i="37"/>
  <c r="AF9" i="37"/>
  <c r="AG9" i="37"/>
  <c r="AH9" i="37"/>
  <c r="AI9" i="37"/>
  <c r="AJ9" i="37"/>
  <c r="AK9" i="37"/>
  <c r="AL9" i="37"/>
  <c r="AM9" i="37"/>
  <c r="AN9" i="37"/>
  <c r="AO9" i="37"/>
  <c r="AP9" i="37"/>
  <c r="AQ9" i="37"/>
  <c r="C10" i="37"/>
  <c r="D10" i="37"/>
  <c r="E10" i="37"/>
  <c r="F10" i="37"/>
  <c r="G10" i="37"/>
  <c r="H10" i="37"/>
  <c r="I10" i="37"/>
  <c r="J10" i="37"/>
  <c r="K10" i="37"/>
  <c r="L10" i="37"/>
  <c r="M10" i="37"/>
  <c r="N10" i="37"/>
  <c r="O10" i="37"/>
  <c r="P10" i="37"/>
  <c r="Q10" i="37"/>
  <c r="R10" i="37"/>
  <c r="S10" i="37"/>
  <c r="T10" i="37"/>
  <c r="U10" i="37"/>
  <c r="V10" i="37"/>
  <c r="W10" i="37"/>
  <c r="X10" i="37"/>
  <c r="Y10" i="37"/>
  <c r="Z10" i="37"/>
  <c r="AA10" i="37"/>
  <c r="AB10" i="37"/>
  <c r="AC10" i="37"/>
  <c r="AD10" i="37"/>
  <c r="AE10" i="37"/>
  <c r="AF10" i="37"/>
  <c r="AG10" i="37"/>
  <c r="AH10" i="37"/>
  <c r="AI10" i="37"/>
  <c r="AJ10" i="37"/>
  <c r="AK10" i="37"/>
  <c r="AL10" i="37"/>
  <c r="AM10" i="37"/>
  <c r="AN10" i="37"/>
  <c r="AO10" i="37"/>
  <c r="AP10" i="37"/>
  <c r="AQ10" i="37"/>
  <c r="C11" i="37"/>
  <c r="D11" i="37"/>
  <c r="E11" i="37"/>
  <c r="F11" i="37"/>
  <c r="G11" i="37"/>
  <c r="H11" i="37"/>
  <c r="I11" i="37"/>
  <c r="J11" i="37"/>
  <c r="K11" i="37"/>
  <c r="L11" i="37"/>
  <c r="M11" i="37"/>
  <c r="N11" i="37"/>
  <c r="O11" i="37"/>
  <c r="P11" i="37"/>
  <c r="Q11" i="37"/>
  <c r="R11" i="37"/>
  <c r="S11" i="37"/>
  <c r="T11" i="37"/>
  <c r="U11" i="37"/>
  <c r="V11" i="37"/>
  <c r="W11" i="37"/>
  <c r="X11" i="37"/>
  <c r="Y11" i="37"/>
  <c r="Z11" i="37"/>
  <c r="AA11" i="37"/>
  <c r="AB11" i="37"/>
  <c r="AC11" i="37"/>
  <c r="AD11" i="37"/>
  <c r="AE11" i="37"/>
  <c r="AF11" i="37"/>
  <c r="AG11" i="37"/>
  <c r="AH11" i="37"/>
  <c r="AI11" i="37"/>
  <c r="AJ11" i="37"/>
  <c r="AK11" i="37"/>
  <c r="AL11" i="37"/>
  <c r="AM11" i="37"/>
  <c r="AN11" i="37"/>
  <c r="AO11" i="37"/>
  <c r="AP11" i="37"/>
  <c r="AQ11" i="37"/>
  <c r="B3" i="37"/>
  <c r="B4" i="37"/>
  <c r="B5" i="37"/>
  <c r="B6" i="37"/>
  <c r="B7" i="37"/>
  <c r="B8" i="37"/>
  <c r="B9" i="37"/>
  <c r="B10" i="37"/>
  <c r="B11" i="37"/>
  <c r="B11" i="34"/>
  <c r="B10" i="34"/>
  <c r="B9" i="34"/>
  <c r="B8" i="34"/>
  <c r="B7" i="34"/>
  <c r="B6" i="34"/>
  <c r="B5" i="34"/>
  <c r="B4" i="34"/>
  <c r="B3" i="34"/>
  <c r="B2" i="34"/>
  <c r="B11" i="36"/>
  <c r="B10" i="36"/>
  <c r="B9" i="36"/>
  <c r="B8" i="36"/>
  <c r="B7" i="36"/>
  <c r="B6" i="36"/>
  <c r="B5" i="36"/>
  <c r="B4" i="36"/>
  <c r="B3" i="36"/>
  <c r="B2" i="36"/>
  <c r="B11" i="33"/>
  <c r="B10" i="33"/>
  <c r="B9" i="33"/>
  <c r="B8" i="33"/>
  <c r="B7" i="33"/>
  <c r="B6" i="33"/>
  <c r="B5" i="33"/>
  <c r="B4" i="33"/>
  <c r="B3" i="33"/>
  <c r="B2" i="33"/>
  <c r="B11" i="32"/>
  <c r="B10" i="32"/>
  <c r="B9" i="32"/>
  <c r="B8" i="32"/>
  <c r="B7" i="32"/>
  <c r="B6" i="32"/>
  <c r="B5" i="32"/>
  <c r="B4" i="32"/>
  <c r="B3" i="32"/>
  <c r="B2" i="32"/>
  <c r="B11" i="31"/>
  <c r="B10" i="31"/>
  <c r="B9" i="31"/>
  <c r="B8" i="31"/>
  <c r="B7" i="31"/>
  <c r="B6" i="31"/>
  <c r="B5" i="31"/>
  <c r="B4" i="31"/>
  <c r="B3" i="31"/>
  <c r="B2" i="31"/>
  <c r="B11" i="29"/>
  <c r="B9" i="29"/>
  <c r="B6" i="29"/>
  <c r="B5" i="29"/>
  <c r="B3" i="29"/>
  <c r="B11" i="28"/>
  <c r="B10" i="28"/>
  <c r="B9" i="28"/>
  <c r="B7" i="28"/>
  <c r="B6" i="28"/>
  <c r="B5" i="28"/>
  <c r="B4" i="28"/>
  <c r="B3" i="28"/>
  <c r="B11" i="27"/>
  <c r="B10" i="27"/>
  <c r="B9" i="27"/>
  <c r="B8" i="27"/>
  <c r="B7" i="27"/>
  <c r="B6" i="27"/>
  <c r="B5" i="27"/>
  <c r="B4" i="27"/>
  <c r="B3" i="27"/>
  <c r="B11" i="26"/>
  <c r="B9" i="26"/>
  <c r="B8" i="26"/>
  <c r="B7" i="26"/>
  <c r="B6" i="26"/>
  <c r="B5" i="26"/>
  <c r="B4" i="26"/>
  <c r="B3" i="26"/>
  <c r="B2" i="26"/>
  <c r="C2" i="26"/>
  <c r="D2" i="26"/>
  <c r="D2" i="35"/>
  <c r="E2" i="35"/>
  <c r="F2" i="35"/>
  <c r="G2" i="35"/>
  <c r="H2" i="35"/>
  <c r="I2" i="35"/>
  <c r="J2" i="35"/>
  <c r="K2" i="35"/>
  <c r="L2" i="35"/>
  <c r="M2" i="35"/>
  <c r="N2" i="35"/>
  <c r="O2" i="35"/>
  <c r="P2" i="35"/>
  <c r="Q2" i="35"/>
  <c r="R2" i="35"/>
  <c r="S2" i="35"/>
  <c r="T2" i="35"/>
  <c r="U2" i="35"/>
  <c r="V2" i="35"/>
  <c r="W2" i="35"/>
  <c r="X2" i="35"/>
  <c r="Y2" i="35"/>
  <c r="Z2" i="35"/>
  <c r="AA2" i="35"/>
  <c r="AB2" i="35"/>
  <c r="AC2" i="35"/>
  <c r="AD2" i="35"/>
  <c r="AE2" i="35"/>
  <c r="AF2" i="35"/>
  <c r="AG2" i="35"/>
  <c r="AH2" i="35"/>
  <c r="AI2" i="35"/>
  <c r="AJ2" i="35"/>
  <c r="AK2" i="35"/>
  <c r="AL2" i="35"/>
  <c r="AM2" i="35"/>
  <c r="AN2" i="35"/>
  <c r="AO2" i="35"/>
  <c r="AP2" i="35"/>
  <c r="AQ2" i="35"/>
  <c r="D3" i="35"/>
  <c r="E3" i="35"/>
  <c r="F3" i="35"/>
  <c r="G3" i="35"/>
  <c r="H3" i="35"/>
  <c r="I3" i="35"/>
  <c r="J3" i="35"/>
  <c r="K3" i="35"/>
  <c r="L3" i="35"/>
  <c r="M3" i="35"/>
  <c r="N3" i="35"/>
  <c r="O3" i="35"/>
  <c r="P3" i="35"/>
  <c r="Q3" i="35"/>
  <c r="R3" i="35"/>
  <c r="S3" i="35"/>
  <c r="T3" i="35"/>
  <c r="U3" i="35"/>
  <c r="V3" i="35"/>
  <c r="W3" i="35"/>
  <c r="X3" i="35"/>
  <c r="Y3" i="35"/>
  <c r="Z3" i="35"/>
  <c r="AA3" i="35"/>
  <c r="AB3" i="35"/>
  <c r="AC3" i="35"/>
  <c r="AD3" i="35"/>
  <c r="AE3" i="35"/>
  <c r="AF3" i="35"/>
  <c r="AG3" i="35"/>
  <c r="AH3" i="35"/>
  <c r="AI3" i="35"/>
  <c r="AJ3" i="35"/>
  <c r="AK3" i="35"/>
  <c r="AL3" i="35"/>
  <c r="AM3" i="35"/>
  <c r="AN3" i="35"/>
  <c r="AO3" i="35"/>
  <c r="AP3" i="35"/>
  <c r="AQ3" i="35"/>
  <c r="D4" i="35"/>
  <c r="E4" i="35"/>
  <c r="F4" i="35"/>
  <c r="G4" i="35"/>
  <c r="H4" i="35"/>
  <c r="I4" i="35"/>
  <c r="J4" i="35"/>
  <c r="K4" i="35"/>
  <c r="L4" i="35"/>
  <c r="M4" i="35"/>
  <c r="N4" i="35"/>
  <c r="O4" i="35"/>
  <c r="P4" i="35"/>
  <c r="Q4" i="35"/>
  <c r="R4" i="35"/>
  <c r="S4" i="35"/>
  <c r="T4" i="35"/>
  <c r="U4" i="35"/>
  <c r="V4" i="35"/>
  <c r="W4" i="35"/>
  <c r="X4" i="35"/>
  <c r="Y4" i="35"/>
  <c r="Z4" i="35"/>
  <c r="AA4" i="35"/>
  <c r="AB4" i="35"/>
  <c r="AC4" i="35"/>
  <c r="AD4" i="35"/>
  <c r="AE4" i="35"/>
  <c r="AF4" i="35"/>
  <c r="AG4" i="35"/>
  <c r="AH4" i="35"/>
  <c r="AI4" i="35"/>
  <c r="AJ4" i="35"/>
  <c r="AK4" i="35"/>
  <c r="AL4" i="35"/>
  <c r="AM4" i="35"/>
  <c r="AN4" i="35"/>
  <c r="AO4" i="35"/>
  <c r="AP4" i="35"/>
  <c r="AQ4" i="35"/>
  <c r="D5" i="35"/>
  <c r="E5" i="35"/>
  <c r="F5" i="35"/>
  <c r="G5" i="35"/>
  <c r="H5" i="35"/>
  <c r="I5" i="35"/>
  <c r="J5" i="35"/>
  <c r="K5" i="35"/>
  <c r="L5" i="35"/>
  <c r="M5" i="35"/>
  <c r="N5" i="35"/>
  <c r="O5" i="35"/>
  <c r="P5" i="35"/>
  <c r="Q5" i="35"/>
  <c r="R5" i="35"/>
  <c r="S5" i="35"/>
  <c r="T5" i="35"/>
  <c r="U5" i="35"/>
  <c r="V5" i="35"/>
  <c r="W5" i="35"/>
  <c r="X5" i="35"/>
  <c r="Y5" i="35"/>
  <c r="Z5" i="35"/>
  <c r="AA5" i="35"/>
  <c r="AB5" i="35"/>
  <c r="AC5" i="35"/>
  <c r="AD5" i="35"/>
  <c r="AE5" i="35"/>
  <c r="AF5" i="35"/>
  <c r="AG5" i="35"/>
  <c r="AH5" i="35"/>
  <c r="AI5" i="35"/>
  <c r="AJ5" i="35"/>
  <c r="AK5" i="35"/>
  <c r="AL5" i="35"/>
  <c r="AM5" i="35"/>
  <c r="AN5" i="35"/>
  <c r="AO5" i="35"/>
  <c r="AP5" i="35"/>
  <c r="AQ5" i="35"/>
  <c r="D6" i="35"/>
  <c r="E6" i="35"/>
  <c r="F6" i="35"/>
  <c r="G6" i="35"/>
  <c r="H6" i="35"/>
  <c r="I6" i="35"/>
  <c r="J6" i="35"/>
  <c r="K6" i="35"/>
  <c r="L6" i="35"/>
  <c r="M6" i="35"/>
  <c r="N6" i="35"/>
  <c r="O6" i="35"/>
  <c r="P6" i="35"/>
  <c r="Q6" i="35"/>
  <c r="R6" i="35"/>
  <c r="S6" i="35"/>
  <c r="T6" i="35"/>
  <c r="U6" i="35"/>
  <c r="V6" i="35"/>
  <c r="W6" i="35"/>
  <c r="X6" i="35"/>
  <c r="Y6" i="35"/>
  <c r="Z6" i="35"/>
  <c r="AA6" i="35"/>
  <c r="AB6" i="35"/>
  <c r="AC6" i="35"/>
  <c r="AD6" i="35"/>
  <c r="AE6" i="35"/>
  <c r="AF6" i="35"/>
  <c r="AG6" i="35"/>
  <c r="AH6" i="35"/>
  <c r="AI6" i="35"/>
  <c r="AJ6" i="35"/>
  <c r="AK6" i="35"/>
  <c r="AL6" i="35"/>
  <c r="AM6" i="35"/>
  <c r="AN6" i="35"/>
  <c r="AO6" i="35"/>
  <c r="AP6" i="35"/>
  <c r="AQ6" i="35"/>
  <c r="D7" i="35"/>
  <c r="E7" i="35"/>
  <c r="F7" i="35"/>
  <c r="G7" i="35"/>
  <c r="H7" i="35"/>
  <c r="I7" i="35"/>
  <c r="J7" i="35"/>
  <c r="K7" i="35"/>
  <c r="L7" i="35"/>
  <c r="M7" i="35"/>
  <c r="N7" i="35"/>
  <c r="O7" i="35"/>
  <c r="P7" i="35"/>
  <c r="Q7" i="35"/>
  <c r="R7" i="35"/>
  <c r="S7" i="35"/>
  <c r="T7" i="35"/>
  <c r="U7" i="35"/>
  <c r="V7" i="35"/>
  <c r="W7" i="35"/>
  <c r="X7" i="35"/>
  <c r="Y7" i="35"/>
  <c r="Z7" i="35"/>
  <c r="AA7" i="35"/>
  <c r="AB7" i="35"/>
  <c r="AC7" i="35"/>
  <c r="AD7" i="35"/>
  <c r="AE7" i="35"/>
  <c r="AF7" i="35"/>
  <c r="AG7" i="35"/>
  <c r="AH7" i="35"/>
  <c r="AI7" i="35"/>
  <c r="AJ7" i="35"/>
  <c r="AK7" i="35"/>
  <c r="AL7" i="35"/>
  <c r="AM7" i="35"/>
  <c r="AN7" i="35"/>
  <c r="AO7" i="35"/>
  <c r="AP7" i="35"/>
  <c r="AQ7" i="35"/>
  <c r="D8" i="35"/>
  <c r="E8" i="35"/>
  <c r="F8" i="35"/>
  <c r="G8" i="35"/>
  <c r="H8" i="35"/>
  <c r="I8" i="35"/>
  <c r="J8" i="35"/>
  <c r="K8" i="35"/>
  <c r="L8" i="35"/>
  <c r="M8" i="35"/>
  <c r="N8" i="35"/>
  <c r="O8" i="35"/>
  <c r="P8" i="35"/>
  <c r="Q8" i="35"/>
  <c r="R8" i="35"/>
  <c r="S8" i="35"/>
  <c r="T8" i="35"/>
  <c r="U8" i="35"/>
  <c r="V8" i="35"/>
  <c r="W8" i="35"/>
  <c r="X8" i="35"/>
  <c r="Y8" i="35"/>
  <c r="Z8" i="35"/>
  <c r="AA8" i="35"/>
  <c r="AB8" i="35"/>
  <c r="AC8" i="35"/>
  <c r="AD8" i="35"/>
  <c r="AE8" i="35"/>
  <c r="AF8" i="35"/>
  <c r="AG8" i="35"/>
  <c r="AH8" i="35"/>
  <c r="AI8" i="35"/>
  <c r="AJ8" i="35"/>
  <c r="AK8" i="35"/>
  <c r="AL8" i="35"/>
  <c r="AM8" i="35"/>
  <c r="AN8" i="35"/>
  <c r="AO8" i="35"/>
  <c r="AP8" i="35"/>
  <c r="AQ8" i="35"/>
  <c r="D9" i="35"/>
  <c r="E9" i="35"/>
  <c r="F9" i="35"/>
  <c r="G9" i="35"/>
  <c r="H9" i="35"/>
  <c r="I9" i="35"/>
  <c r="J9" i="35"/>
  <c r="K9" i="35"/>
  <c r="L9" i="35"/>
  <c r="M9" i="35"/>
  <c r="N9" i="35"/>
  <c r="O9" i="35"/>
  <c r="P9" i="35"/>
  <c r="Q9" i="35"/>
  <c r="R9" i="35"/>
  <c r="S9" i="35"/>
  <c r="T9" i="35"/>
  <c r="U9" i="35"/>
  <c r="V9" i="35"/>
  <c r="W9" i="35"/>
  <c r="X9" i="35"/>
  <c r="Y9" i="35"/>
  <c r="Z9" i="35"/>
  <c r="AA9" i="35"/>
  <c r="AB9" i="35"/>
  <c r="AC9" i="35"/>
  <c r="AD9" i="35"/>
  <c r="AE9" i="35"/>
  <c r="AF9" i="35"/>
  <c r="AG9" i="35"/>
  <c r="AH9" i="35"/>
  <c r="AI9" i="35"/>
  <c r="AJ9" i="35"/>
  <c r="AK9" i="35"/>
  <c r="AL9" i="35"/>
  <c r="AM9" i="35"/>
  <c r="AN9" i="35"/>
  <c r="AO9" i="35"/>
  <c r="AP9" i="35"/>
  <c r="AQ9" i="35"/>
  <c r="D10" i="35"/>
  <c r="E10" i="35"/>
  <c r="F10" i="35"/>
  <c r="G10" i="35"/>
  <c r="H10" i="35"/>
  <c r="I10" i="35"/>
  <c r="J10" i="35"/>
  <c r="K10" i="35"/>
  <c r="L10" i="35"/>
  <c r="M10" i="35"/>
  <c r="N10" i="35"/>
  <c r="O10" i="35"/>
  <c r="P10" i="35"/>
  <c r="Q10" i="35"/>
  <c r="R10" i="35"/>
  <c r="S10" i="35"/>
  <c r="T10" i="35"/>
  <c r="U10" i="35"/>
  <c r="V10" i="35"/>
  <c r="W10" i="35"/>
  <c r="X10" i="35"/>
  <c r="Y10" i="35"/>
  <c r="Z10" i="35"/>
  <c r="AA10" i="35"/>
  <c r="AB10" i="35"/>
  <c r="AC10" i="35"/>
  <c r="AD10" i="35"/>
  <c r="AE10" i="35"/>
  <c r="AF10" i="35"/>
  <c r="AG10" i="35"/>
  <c r="AH10" i="35"/>
  <c r="AI10" i="35"/>
  <c r="AJ10" i="35"/>
  <c r="AK10" i="35"/>
  <c r="AL10" i="35"/>
  <c r="AM10" i="35"/>
  <c r="AN10" i="35"/>
  <c r="AO10" i="35"/>
  <c r="AP10" i="35"/>
  <c r="AQ10" i="35"/>
  <c r="D11" i="35"/>
  <c r="E11" i="35"/>
  <c r="F11" i="35"/>
  <c r="G11" i="35"/>
  <c r="H11" i="35"/>
  <c r="I11" i="35"/>
  <c r="J11" i="35"/>
  <c r="K11" i="35"/>
  <c r="L11" i="35"/>
  <c r="M11" i="35"/>
  <c r="N11" i="35"/>
  <c r="O11" i="35"/>
  <c r="P11" i="35"/>
  <c r="Q11" i="35"/>
  <c r="R11" i="35"/>
  <c r="S11" i="35"/>
  <c r="T11" i="35"/>
  <c r="U11" i="35"/>
  <c r="V11" i="35"/>
  <c r="W11" i="35"/>
  <c r="X11" i="35"/>
  <c r="Y11" i="35"/>
  <c r="Z11" i="35"/>
  <c r="AA11" i="35"/>
  <c r="AB11" i="35"/>
  <c r="AC11" i="35"/>
  <c r="AD11" i="35"/>
  <c r="AE11" i="35"/>
  <c r="AF11" i="35"/>
  <c r="AG11" i="35"/>
  <c r="AH11" i="35"/>
  <c r="AI11" i="35"/>
  <c r="AJ11" i="35"/>
  <c r="AK11" i="35"/>
  <c r="AL11" i="35"/>
  <c r="AM11" i="35"/>
  <c r="AN11" i="35"/>
  <c r="AO11" i="35"/>
  <c r="AP11" i="35"/>
  <c r="AQ11" i="35"/>
  <c r="C3" i="35"/>
  <c r="C4" i="35"/>
  <c r="B4" i="35" s="1"/>
  <c r="C5" i="35"/>
  <c r="C6" i="35"/>
  <c r="B6" i="35" s="1"/>
  <c r="C7" i="35"/>
  <c r="B7" i="35" s="1"/>
  <c r="C8" i="35"/>
  <c r="C9" i="35"/>
  <c r="C10" i="35"/>
  <c r="C11" i="35"/>
  <c r="C2" i="35"/>
  <c r="B2" i="35" s="1"/>
  <c r="D2" i="30"/>
  <c r="E2" i="30"/>
  <c r="F2" i="30"/>
  <c r="G2" i="30"/>
  <c r="H2" i="30"/>
  <c r="I2" i="30"/>
  <c r="J2" i="30"/>
  <c r="K2" i="30"/>
  <c r="L2" i="30"/>
  <c r="M2" i="30"/>
  <c r="N2" i="30"/>
  <c r="O2" i="30"/>
  <c r="P2" i="30"/>
  <c r="Q2" i="30"/>
  <c r="R2" i="30"/>
  <c r="S2" i="30"/>
  <c r="T2" i="30"/>
  <c r="U2" i="30"/>
  <c r="V2" i="30"/>
  <c r="W2" i="30"/>
  <c r="X2" i="30"/>
  <c r="Y2" i="30"/>
  <c r="Z2" i="30"/>
  <c r="AA2" i="30"/>
  <c r="AB2" i="30"/>
  <c r="AC2" i="30"/>
  <c r="AD2" i="30"/>
  <c r="AE2" i="30"/>
  <c r="AF2" i="30"/>
  <c r="AG2" i="30"/>
  <c r="AH2" i="30"/>
  <c r="AI2" i="30"/>
  <c r="AJ2" i="30"/>
  <c r="AK2" i="30"/>
  <c r="AL2" i="30"/>
  <c r="AM2" i="30"/>
  <c r="AN2" i="30"/>
  <c r="AO2" i="30"/>
  <c r="AP2" i="30"/>
  <c r="AQ2" i="30"/>
  <c r="D3" i="30"/>
  <c r="E3" i="30"/>
  <c r="F3" i="30"/>
  <c r="G3" i="30"/>
  <c r="H3" i="30"/>
  <c r="I3" i="30"/>
  <c r="J3" i="30"/>
  <c r="K3" i="30"/>
  <c r="L3" i="30"/>
  <c r="M3" i="30"/>
  <c r="N3" i="30"/>
  <c r="O3" i="30"/>
  <c r="P3" i="30"/>
  <c r="Q3" i="30"/>
  <c r="R3" i="30"/>
  <c r="S3" i="30"/>
  <c r="T3" i="30"/>
  <c r="U3" i="30"/>
  <c r="V3" i="30"/>
  <c r="W3" i="30"/>
  <c r="X3" i="30"/>
  <c r="Y3" i="30"/>
  <c r="Z3" i="30"/>
  <c r="AA3" i="30"/>
  <c r="AB3" i="30"/>
  <c r="AC3" i="30"/>
  <c r="AD3" i="30"/>
  <c r="AE3" i="30"/>
  <c r="AF3" i="30"/>
  <c r="AG3" i="30"/>
  <c r="AH3" i="30"/>
  <c r="AI3" i="30"/>
  <c r="AJ3" i="30"/>
  <c r="AK3" i="30"/>
  <c r="AL3" i="30"/>
  <c r="AM3" i="30"/>
  <c r="AN3" i="30"/>
  <c r="AO3" i="30"/>
  <c r="AP3" i="30"/>
  <c r="AQ3" i="30"/>
  <c r="D4" i="30"/>
  <c r="E4" i="30"/>
  <c r="F4" i="30"/>
  <c r="G4" i="30"/>
  <c r="H4" i="30"/>
  <c r="I4" i="30"/>
  <c r="J4" i="30"/>
  <c r="K4" i="30"/>
  <c r="L4" i="30"/>
  <c r="M4" i="30"/>
  <c r="N4" i="30"/>
  <c r="O4" i="30"/>
  <c r="P4" i="30"/>
  <c r="Q4" i="30"/>
  <c r="R4" i="30"/>
  <c r="S4" i="30"/>
  <c r="T4" i="30"/>
  <c r="U4" i="30"/>
  <c r="V4" i="30"/>
  <c r="W4" i="30"/>
  <c r="X4" i="30"/>
  <c r="Y4" i="30"/>
  <c r="Z4" i="30"/>
  <c r="AA4" i="30"/>
  <c r="AB4" i="30"/>
  <c r="AC4" i="30"/>
  <c r="AD4" i="30"/>
  <c r="AE4" i="30"/>
  <c r="AF4" i="30"/>
  <c r="AG4" i="30"/>
  <c r="AH4" i="30"/>
  <c r="AI4" i="30"/>
  <c r="AJ4" i="30"/>
  <c r="AK4" i="30"/>
  <c r="AL4" i="30"/>
  <c r="AM4" i="30"/>
  <c r="AN4" i="30"/>
  <c r="AO4" i="30"/>
  <c r="AP4" i="30"/>
  <c r="AQ4" i="30"/>
  <c r="D5" i="30"/>
  <c r="E5" i="30"/>
  <c r="F5" i="30"/>
  <c r="G5" i="30"/>
  <c r="H5" i="30"/>
  <c r="I5" i="30"/>
  <c r="J5" i="30"/>
  <c r="K5" i="30"/>
  <c r="L5" i="30"/>
  <c r="M5" i="30"/>
  <c r="N5" i="30"/>
  <c r="O5" i="30"/>
  <c r="P5" i="30"/>
  <c r="Q5" i="30"/>
  <c r="R5" i="30"/>
  <c r="S5" i="30"/>
  <c r="T5" i="30"/>
  <c r="U5" i="30"/>
  <c r="V5" i="30"/>
  <c r="W5" i="30"/>
  <c r="X5" i="30"/>
  <c r="Y5" i="30"/>
  <c r="Z5" i="30"/>
  <c r="AA5" i="30"/>
  <c r="AB5" i="30"/>
  <c r="AC5" i="30"/>
  <c r="AD5" i="30"/>
  <c r="AE5" i="30"/>
  <c r="AF5" i="30"/>
  <c r="AG5" i="30"/>
  <c r="AH5" i="30"/>
  <c r="AI5" i="30"/>
  <c r="AJ5" i="30"/>
  <c r="AK5" i="30"/>
  <c r="AL5" i="30"/>
  <c r="AM5" i="30"/>
  <c r="AN5" i="30"/>
  <c r="AO5" i="30"/>
  <c r="AP5" i="30"/>
  <c r="AQ5" i="30"/>
  <c r="D6" i="30"/>
  <c r="E6" i="30"/>
  <c r="F6" i="30"/>
  <c r="G6" i="30"/>
  <c r="H6" i="30"/>
  <c r="I6" i="30"/>
  <c r="J6" i="30"/>
  <c r="K6" i="30"/>
  <c r="L6" i="30"/>
  <c r="M6" i="30"/>
  <c r="N6" i="30"/>
  <c r="O6" i="30"/>
  <c r="P6" i="30"/>
  <c r="Q6" i="30"/>
  <c r="R6" i="30"/>
  <c r="S6" i="30"/>
  <c r="T6" i="30"/>
  <c r="U6" i="30"/>
  <c r="V6" i="30"/>
  <c r="W6" i="30"/>
  <c r="X6" i="30"/>
  <c r="Y6" i="30"/>
  <c r="Z6" i="30"/>
  <c r="AA6" i="30"/>
  <c r="AB6" i="30"/>
  <c r="AC6" i="30"/>
  <c r="AD6" i="30"/>
  <c r="AE6" i="30"/>
  <c r="AF6" i="30"/>
  <c r="AG6" i="30"/>
  <c r="AH6" i="30"/>
  <c r="AI6" i="30"/>
  <c r="AJ6" i="30"/>
  <c r="AK6" i="30"/>
  <c r="AL6" i="30"/>
  <c r="AM6" i="30"/>
  <c r="AN6" i="30"/>
  <c r="AO6" i="30"/>
  <c r="AP6" i="30"/>
  <c r="AQ6" i="30"/>
  <c r="D7" i="30"/>
  <c r="E7" i="30"/>
  <c r="F7" i="30"/>
  <c r="G7" i="30"/>
  <c r="H7" i="30"/>
  <c r="I7" i="30"/>
  <c r="J7" i="30"/>
  <c r="K7" i="30"/>
  <c r="L7" i="30"/>
  <c r="M7" i="30"/>
  <c r="N7" i="30"/>
  <c r="O7" i="30"/>
  <c r="P7" i="30"/>
  <c r="Q7" i="30"/>
  <c r="R7" i="30"/>
  <c r="S7" i="30"/>
  <c r="T7" i="30"/>
  <c r="U7" i="30"/>
  <c r="V7" i="30"/>
  <c r="W7" i="30"/>
  <c r="X7" i="30"/>
  <c r="Y7" i="30"/>
  <c r="Z7" i="30"/>
  <c r="AA7" i="30"/>
  <c r="AB7" i="30"/>
  <c r="AC7" i="30"/>
  <c r="AD7" i="30"/>
  <c r="AE7" i="30"/>
  <c r="AF7" i="30"/>
  <c r="AG7" i="30"/>
  <c r="AH7" i="30"/>
  <c r="AI7" i="30"/>
  <c r="AJ7" i="30"/>
  <c r="AK7" i="30"/>
  <c r="AL7" i="30"/>
  <c r="AM7" i="30"/>
  <c r="AN7" i="30"/>
  <c r="AO7" i="30"/>
  <c r="AP7" i="30"/>
  <c r="AQ7" i="30"/>
  <c r="D8" i="30"/>
  <c r="E8" i="30"/>
  <c r="F8" i="30"/>
  <c r="G8" i="30"/>
  <c r="H8" i="30"/>
  <c r="I8" i="30"/>
  <c r="J8" i="30"/>
  <c r="K8" i="30"/>
  <c r="L8" i="30"/>
  <c r="M8" i="30"/>
  <c r="N8" i="30"/>
  <c r="O8" i="30"/>
  <c r="P8" i="30"/>
  <c r="Q8" i="30"/>
  <c r="R8" i="30"/>
  <c r="S8" i="30"/>
  <c r="T8" i="30"/>
  <c r="U8" i="30"/>
  <c r="V8" i="30"/>
  <c r="W8" i="30"/>
  <c r="X8" i="30"/>
  <c r="Y8" i="30"/>
  <c r="Z8" i="30"/>
  <c r="AA8" i="30"/>
  <c r="AB8" i="30"/>
  <c r="AC8" i="30"/>
  <c r="AD8" i="30"/>
  <c r="AE8" i="30"/>
  <c r="AF8" i="30"/>
  <c r="AG8" i="30"/>
  <c r="AH8" i="30"/>
  <c r="AI8" i="30"/>
  <c r="AJ8" i="30"/>
  <c r="AK8" i="30"/>
  <c r="AL8" i="30"/>
  <c r="AM8" i="30"/>
  <c r="AN8" i="30"/>
  <c r="AO8" i="30"/>
  <c r="AP8" i="30"/>
  <c r="AQ8" i="30"/>
  <c r="D9" i="30"/>
  <c r="E9" i="30"/>
  <c r="F9" i="30"/>
  <c r="G9" i="30"/>
  <c r="H9" i="30"/>
  <c r="I9" i="30"/>
  <c r="J9" i="30"/>
  <c r="K9" i="30"/>
  <c r="L9" i="30"/>
  <c r="M9" i="30"/>
  <c r="N9" i="30"/>
  <c r="O9" i="30"/>
  <c r="P9" i="30"/>
  <c r="Q9" i="30"/>
  <c r="R9" i="30"/>
  <c r="S9" i="30"/>
  <c r="T9" i="30"/>
  <c r="U9" i="30"/>
  <c r="V9" i="30"/>
  <c r="W9" i="30"/>
  <c r="X9" i="30"/>
  <c r="Y9" i="30"/>
  <c r="Z9" i="30"/>
  <c r="AA9" i="30"/>
  <c r="AB9" i="30"/>
  <c r="AC9" i="30"/>
  <c r="AD9" i="30"/>
  <c r="AE9" i="30"/>
  <c r="AF9" i="30"/>
  <c r="AG9" i="30"/>
  <c r="AH9" i="30"/>
  <c r="AI9" i="30"/>
  <c r="AJ9" i="30"/>
  <c r="AK9" i="30"/>
  <c r="AL9" i="30"/>
  <c r="AM9" i="30"/>
  <c r="AN9" i="30"/>
  <c r="AO9" i="30"/>
  <c r="AP9" i="30"/>
  <c r="AQ9" i="30"/>
  <c r="D10" i="30"/>
  <c r="E10" i="30"/>
  <c r="F10" i="30"/>
  <c r="G10" i="30"/>
  <c r="H10" i="30"/>
  <c r="I10" i="30"/>
  <c r="J10" i="30"/>
  <c r="K10" i="30"/>
  <c r="L10" i="30"/>
  <c r="M10" i="30"/>
  <c r="N10" i="30"/>
  <c r="O10" i="30"/>
  <c r="P10" i="30"/>
  <c r="Q10" i="30"/>
  <c r="R10" i="30"/>
  <c r="S10" i="30"/>
  <c r="T10" i="30"/>
  <c r="U10" i="30"/>
  <c r="V10" i="30"/>
  <c r="W10" i="30"/>
  <c r="X10" i="30"/>
  <c r="Y10" i="30"/>
  <c r="Z10" i="30"/>
  <c r="AA10" i="30"/>
  <c r="AB10" i="30"/>
  <c r="AC10" i="30"/>
  <c r="AD10" i="30"/>
  <c r="AE10" i="30"/>
  <c r="AF10" i="30"/>
  <c r="AG10" i="30"/>
  <c r="AH10" i="30"/>
  <c r="AI10" i="30"/>
  <c r="AJ10" i="30"/>
  <c r="AK10" i="30"/>
  <c r="AL10" i="30"/>
  <c r="AM10" i="30"/>
  <c r="AN10" i="30"/>
  <c r="AO10" i="30"/>
  <c r="AP10" i="30"/>
  <c r="AQ10" i="30"/>
  <c r="D11" i="30"/>
  <c r="E11" i="30"/>
  <c r="F11" i="30"/>
  <c r="G11" i="30"/>
  <c r="H11" i="30"/>
  <c r="I11" i="30"/>
  <c r="J11" i="30"/>
  <c r="K11" i="30"/>
  <c r="L11" i="30"/>
  <c r="M11" i="30"/>
  <c r="N11" i="30"/>
  <c r="O11" i="30"/>
  <c r="P11" i="30"/>
  <c r="Q11" i="30"/>
  <c r="R11" i="30"/>
  <c r="S11" i="30"/>
  <c r="T11" i="30"/>
  <c r="U11" i="30"/>
  <c r="V11" i="30"/>
  <c r="W11" i="30"/>
  <c r="X11" i="30"/>
  <c r="Y11" i="30"/>
  <c r="Z11" i="30"/>
  <c r="AA11" i="30"/>
  <c r="AB11" i="30"/>
  <c r="AC11" i="30"/>
  <c r="AD11" i="30"/>
  <c r="AE11" i="30"/>
  <c r="AF11" i="30"/>
  <c r="AG11" i="30"/>
  <c r="AH11" i="30"/>
  <c r="AI11" i="30"/>
  <c r="AJ11" i="30"/>
  <c r="AK11" i="30"/>
  <c r="AL11" i="30"/>
  <c r="AM11" i="30"/>
  <c r="AN11" i="30"/>
  <c r="AO11" i="30"/>
  <c r="AP11" i="30"/>
  <c r="AQ11" i="30"/>
  <c r="C3" i="30"/>
  <c r="B3" i="30" s="1"/>
  <c r="C4" i="30"/>
  <c r="B4" i="30" s="1"/>
  <c r="C5" i="30"/>
  <c r="B5" i="30" s="1"/>
  <c r="C6" i="30"/>
  <c r="B6" i="30" s="1"/>
  <c r="C7" i="30"/>
  <c r="B7" i="30" s="1"/>
  <c r="C8" i="30"/>
  <c r="B8" i="30" s="1"/>
  <c r="C9" i="30"/>
  <c r="B9" i="30" s="1"/>
  <c r="C10" i="30"/>
  <c r="B10" i="30" s="1"/>
  <c r="C11" i="30"/>
  <c r="B11" i="30" s="1"/>
  <c r="C2" i="30"/>
  <c r="B2" i="30" s="1"/>
  <c r="D3" i="29"/>
  <c r="E3" i="29"/>
  <c r="F3" i="29"/>
  <c r="G3" i="29"/>
  <c r="H3" i="29"/>
  <c r="I3" i="29"/>
  <c r="J3" i="29"/>
  <c r="K3" i="29"/>
  <c r="L3" i="29"/>
  <c r="M3" i="29"/>
  <c r="N3" i="29"/>
  <c r="O3" i="29"/>
  <c r="P3" i="29"/>
  <c r="Q3" i="29"/>
  <c r="R3" i="29"/>
  <c r="S3" i="29"/>
  <c r="T3" i="29"/>
  <c r="U3" i="29"/>
  <c r="V3" i="29"/>
  <c r="W3" i="29"/>
  <c r="X3" i="29"/>
  <c r="Y3" i="29"/>
  <c r="Z3" i="29"/>
  <c r="AA3" i="29"/>
  <c r="AB3" i="29"/>
  <c r="AC3" i="29"/>
  <c r="AD3" i="29"/>
  <c r="AE3" i="29"/>
  <c r="AF3" i="29"/>
  <c r="AG3" i="29"/>
  <c r="AH3" i="29"/>
  <c r="AI3" i="29"/>
  <c r="AJ3" i="29"/>
  <c r="AK3" i="29"/>
  <c r="AL3" i="29"/>
  <c r="AM3" i="29"/>
  <c r="AN3" i="29"/>
  <c r="AO3" i="29"/>
  <c r="AP3" i="29"/>
  <c r="AQ3" i="29"/>
  <c r="D5" i="29"/>
  <c r="E5" i="29"/>
  <c r="F5" i="29"/>
  <c r="G5" i="29"/>
  <c r="H5" i="29"/>
  <c r="I5" i="29"/>
  <c r="J5" i="29"/>
  <c r="K5" i="29"/>
  <c r="L5" i="29"/>
  <c r="M5" i="29"/>
  <c r="N5" i="29"/>
  <c r="O5" i="29"/>
  <c r="P5" i="29"/>
  <c r="Q5" i="29"/>
  <c r="R5" i="29"/>
  <c r="S5" i="29"/>
  <c r="T5" i="29"/>
  <c r="U5" i="29"/>
  <c r="V5" i="29"/>
  <c r="W5" i="29"/>
  <c r="X5" i="29"/>
  <c r="Y5" i="29"/>
  <c r="Z5" i="29"/>
  <c r="AA5" i="29"/>
  <c r="AB5" i="29"/>
  <c r="AC5" i="29"/>
  <c r="AD5" i="29"/>
  <c r="AE5" i="29"/>
  <c r="AF5" i="29"/>
  <c r="AG5" i="29"/>
  <c r="AH5" i="29"/>
  <c r="AI5" i="29"/>
  <c r="AJ5" i="29"/>
  <c r="AK5" i="29"/>
  <c r="AL5" i="29"/>
  <c r="AM5" i="29"/>
  <c r="AN5" i="29"/>
  <c r="AO5" i="29"/>
  <c r="AP5" i="29"/>
  <c r="AQ5" i="29"/>
  <c r="D6" i="29"/>
  <c r="E6" i="29"/>
  <c r="F6" i="29"/>
  <c r="G6" i="29"/>
  <c r="H6" i="29"/>
  <c r="I6" i="29"/>
  <c r="J6" i="29"/>
  <c r="K6" i="29"/>
  <c r="L6" i="29"/>
  <c r="M6" i="29"/>
  <c r="N6" i="29"/>
  <c r="O6" i="29"/>
  <c r="P6" i="29"/>
  <c r="Q6" i="29"/>
  <c r="R6" i="29"/>
  <c r="S6" i="29"/>
  <c r="T6" i="29"/>
  <c r="U6" i="29"/>
  <c r="V6" i="29"/>
  <c r="W6" i="29"/>
  <c r="X6" i="29"/>
  <c r="Y6" i="29"/>
  <c r="Z6" i="29"/>
  <c r="AA6" i="29"/>
  <c r="AB6" i="29"/>
  <c r="AC6" i="29"/>
  <c r="AD6" i="29"/>
  <c r="AE6" i="29"/>
  <c r="AF6" i="29"/>
  <c r="AG6" i="29"/>
  <c r="AH6" i="29"/>
  <c r="AI6" i="29"/>
  <c r="AJ6" i="29"/>
  <c r="AK6" i="29"/>
  <c r="AL6" i="29"/>
  <c r="AM6" i="29"/>
  <c r="AN6" i="29"/>
  <c r="AO6" i="29"/>
  <c r="AP6" i="29"/>
  <c r="AQ6" i="29"/>
  <c r="D9" i="29"/>
  <c r="E9" i="29"/>
  <c r="F9" i="29"/>
  <c r="G9" i="29"/>
  <c r="H9" i="29"/>
  <c r="I9" i="29"/>
  <c r="J9" i="29"/>
  <c r="K9" i="29"/>
  <c r="L9" i="29"/>
  <c r="M9" i="29"/>
  <c r="N9" i="29"/>
  <c r="O9" i="29"/>
  <c r="P9" i="29"/>
  <c r="Q9" i="29"/>
  <c r="R9" i="29"/>
  <c r="S9" i="29"/>
  <c r="T9" i="29"/>
  <c r="U9" i="29"/>
  <c r="V9" i="29"/>
  <c r="W9" i="29"/>
  <c r="X9" i="29"/>
  <c r="Y9" i="29"/>
  <c r="Z9" i="29"/>
  <c r="AA9" i="29"/>
  <c r="AB9" i="29"/>
  <c r="AC9" i="29"/>
  <c r="AD9" i="29"/>
  <c r="AE9" i="29"/>
  <c r="AF9" i="29"/>
  <c r="AG9" i="29"/>
  <c r="AH9" i="29"/>
  <c r="AI9" i="29"/>
  <c r="AJ9" i="29"/>
  <c r="AK9" i="29"/>
  <c r="AL9" i="29"/>
  <c r="AM9" i="29"/>
  <c r="AN9" i="29"/>
  <c r="AO9" i="29"/>
  <c r="AP9" i="29"/>
  <c r="AQ9" i="29"/>
  <c r="D11" i="29"/>
  <c r="E11" i="29"/>
  <c r="F11" i="29"/>
  <c r="G11" i="29"/>
  <c r="H11" i="29"/>
  <c r="I11" i="29"/>
  <c r="J11" i="29"/>
  <c r="K11" i="29"/>
  <c r="L11" i="29"/>
  <c r="M11" i="29"/>
  <c r="N11" i="29"/>
  <c r="O11" i="29"/>
  <c r="P11" i="29"/>
  <c r="Q11" i="29"/>
  <c r="R11" i="29"/>
  <c r="S11" i="29"/>
  <c r="T11" i="29"/>
  <c r="U11" i="29"/>
  <c r="V11" i="29"/>
  <c r="W11" i="29"/>
  <c r="X11" i="29"/>
  <c r="Y11" i="29"/>
  <c r="Z11" i="29"/>
  <c r="AA11" i="29"/>
  <c r="AB11" i="29"/>
  <c r="AC11" i="29"/>
  <c r="AD11" i="29"/>
  <c r="AE11" i="29"/>
  <c r="AF11" i="29"/>
  <c r="AG11" i="29"/>
  <c r="AH11" i="29"/>
  <c r="AI11" i="29"/>
  <c r="AJ11" i="29"/>
  <c r="AK11" i="29"/>
  <c r="AL11" i="29"/>
  <c r="AM11" i="29"/>
  <c r="AN11" i="29"/>
  <c r="AO11" i="29"/>
  <c r="AP11" i="29"/>
  <c r="AQ11" i="29"/>
  <c r="C3" i="29"/>
  <c r="C5" i="29"/>
  <c r="C6" i="29"/>
  <c r="C9" i="29"/>
  <c r="C11" i="29"/>
  <c r="D3" i="28"/>
  <c r="E3" i="28"/>
  <c r="F3" i="28"/>
  <c r="G3" i="28"/>
  <c r="H3" i="28"/>
  <c r="I3" i="28"/>
  <c r="J3" i="28"/>
  <c r="K3" i="28"/>
  <c r="L3" i="28"/>
  <c r="M3" i="28"/>
  <c r="N3" i="28"/>
  <c r="O3" i="28"/>
  <c r="P3" i="28"/>
  <c r="Q3" i="28"/>
  <c r="R3" i="28"/>
  <c r="S3" i="28"/>
  <c r="T3" i="28"/>
  <c r="U3" i="28"/>
  <c r="V3" i="28"/>
  <c r="W3" i="28"/>
  <c r="X3" i="28"/>
  <c r="Y3" i="28"/>
  <c r="Z3" i="28"/>
  <c r="AA3" i="28"/>
  <c r="AB3" i="28"/>
  <c r="AC3" i="28"/>
  <c r="AD3" i="28"/>
  <c r="AE3" i="28"/>
  <c r="AF3" i="28"/>
  <c r="AG3" i="28"/>
  <c r="AH3" i="28"/>
  <c r="AI3" i="28"/>
  <c r="AJ3" i="28"/>
  <c r="AK3" i="28"/>
  <c r="AL3" i="28"/>
  <c r="AM3" i="28"/>
  <c r="AN3" i="28"/>
  <c r="AO3" i="28"/>
  <c r="AP3" i="28"/>
  <c r="AQ3" i="28"/>
  <c r="D4" i="28"/>
  <c r="E4" i="28"/>
  <c r="F4" i="28"/>
  <c r="G4" i="28"/>
  <c r="H4" i="28"/>
  <c r="I4" i="28"/>
  <c r="J4" i="28"/>
  <c r="K4" i="28"/>
  <c r="L4" i="28"/>
  <c r="M4" i="28"/>
  <c r="N4" i="28"/>
  <c r="O4" i="28"/>
  <c r="P4" i="28"/>
  <c r="Q4" i="28"/>
  <c r="R4" i="28"/>
  <c r="S4" i="28"/>
  <c r="T4" i="28"/>
  <c r="U4" i="28"/>
  <c r="V4" i="28"/>
  <c r="W4" i="28"/>
  <c r="X4" i="28"/>
  <c r="Y4" i="28"/>
  <c r="Z4" i="28"/>
  <c r="AA4" i="28"/>
  <c r="AB4" i="28"/>
  <c r="AC4" i="28"/>
  <c r="AD4" i="28"/>
  <c r="AE4" i="28"/>
  <c r="AF4" i="28"/>
  <c r="AG4" i="28"/>
  <c r="AH4" i="28"/>
  <c r="AI4" i="28"/>
  <c r="AJ4" i="28"/>
  <c r="AK4" i="28"/>
  <c r="AL4" i="28"/>
  <c r="AM4" i="28"/>
  <c r="AN4" i="28"/>
  <c r="AO4" i="28"/>
  <c r="AP4" i="28"/>
  <c r="AQ4" i="28"/>
  <c r="D5" i="28"/>
  <c r="E5" i="28"/>
  <c r="F5" i="28"/>
  <c r="G5" i="28"/>
  <c r="H5" i="28"/>
  <c r="I5" i="28"/>
  <c r="J5" i="28"/>
  <c r="K5" i="28"/>
  <c r="L5" i="28"/>
  <c r="M5" i="28"/>
  <c r="N5" i="28"/>
  <c r="O5" i="28"/>
  <c r="P5" i="28"/>
  <c r="Q5" i="28"/>
  <c r="R5" i="28"/>
  <c r="S5" i="28"/>
  <c r="T5" i="28"/>
  <c r="U5" i="28"/>
  <c r="V5" i="28"/>
  <c r="W5" i="28"/>
  <c r="X5" i="28"/>
  <c r="Y5" i="28"/>
  <c r="Z5" i="28"/>
  <c r="AA5" i="28"/>
  <c r="AB5" i="28"/>
  <c r="AC5" i="28"/>
  <c r="AD5" i="28"/>
  <c r="AE5" i="28"/>
  <c r="AF5" i="28"/>
  <c r="AG5" i="28"/>
  <c r="AH5" i="28"/>
  <c r="AI5" i="28"/>
  <c r="AJ5" i="28"/>
  <c r="AK5" i="28"/>
  <c r="AL5" i="28"/>
  <c r="AM5" i="28"/>
  <c r="AN5" i="28"/>
  <c r="AO5" i="28"/>
  <c r="AP5" i="28"/>
  <c r="AQ5" i="28"/>
  <c r="D6" i="28"/>
  <c r="E6" i="28"/>
  <c r="F6" i="28"/>
  <c r="G6" i="28"/>
  <c r="H6" i="28"/>
  <c r="I6" i="28"/>
  <c r="J6" i="28"/>
  <c r="K6" i="28"/>
  <c r="L6" i="28"/>
  <c r="M6" i="28"/>
  <c r="N6" i="28"/>
  <c r="O6" i="28"/>
  <c r="P6" i="28"/>
  <c r="Q6" i="28"/>
  <c r="R6" i="28"/>
  <c r="S6" i="28"/>
  <c r="T6" i="28"/>
  <c r="U6" i="28"/>
  <c r="V6" i="28"/>
  <c r="W6" i="28"/>
  <c r="X6" i="28"/>
  <c r="Y6" i="28"/>
  <c r="Z6" i="28"/>
  <c r="AA6" i="28"/>
  <c r="AB6" i="28"/>
  <c r="AC6" i="28"/>
  <c r="AD6" i="28"/>
  <c r="AE6" i="28"/>
  <c r="AF6" i="28"/>
  <c r="AG6" i="28"/>
  <c r="AH6" i="28"/>
  <c r="AI6" i="28"/>
  <c r="AJ6" i="28"/>
  <c r="AK6" i="28"/>
  <c r="AL6" i="28"/>
  <c r="AM6" i="28"/>
  <c r="AN6" i="28"/>
  <c r="AO6" i="28"/>
  <c r="AP6" i="28"/>
  <c r="AQ6" i="28"/>
  <c r="D7" i="28"/>
  <c r="E7" i="28"/>
  <c r="F7" i="28"/>
  <c r="G7" i="28"/>
  <c r="H7" i="28"/>
  <c r="I7" i="28"/>
  <c r="J7" i="28"/>
  <c r="K7" i="28"/>
  <c r="L7" i="28"/>
  <c r="M7" i="28"/>
  <c r="N7" i="28"/>
  <c r="O7" i="28"/>
  <c r="P7" i="28"/>
  <c r="Q7" i="28"/>
  <c r="R7" i="28"/>
  <c r="S7" i="28"/>
  <c r="T7" i="28"/>
  <c r="U7" i="28"/>
  <c r="V7" i="28"/>
  <c r="W7" i="28"/>
  <c r="X7" i="28"/>
  <c r="Y7" i="28"/>
  <c r="Z7" i="28"/>
  <c r="AA7" i="28"/>
  <c r="AB7" i="28"/>
  <c r="AC7" i="28"/>
  <c r="AD7" i="28"/>
  <c r="AE7" i="28"/>
  <c r="AF7" i="28"/>
  <c r="AG7" i="28"/>
  <c r="AH7" i="28"/>
  <c r="AI7" i="28"/>
  <c r="AJ7" i="28"/>
  <c r="AK7" i="28"/>
  <c r="AL7" i="28"/>
  <c r="AM7" i="28"/>
  <c r="AN7" i="28"/>
  <c r="AO7" i="28"/>
  <c r="AP7" i="28"/>
  <c r="AQ7" i="28"/>
  <c r="D9" i="28"/>
  <c r="E9" i="28"/>
  <c r="F9" i="28"/>
  <c r="G9" i="28"/>
  <c r="H9" i="28"/>
  <c r="I9" i="28"/>
  <c r="J9" i="28"/>
  <c r="K9" i="28"/>
  <c r="L9" i="28"/>
  <c r="M9" i="28"/>
  <c r="N9" i="28"/>
  <c r="O9" i="28"/>
  <c r="P9" i="28"/>
  <c r="Q9" i="28"/>
  <c r="R9" i="28"/>
  <c r="S9" i="28"/>
  <c r="T9" i="28"/>
  <c r="U9" i="28"/>
  <c r="V9" i="28"/>
  <c r="W9" i="28"/>
  <c r="X9" i="28"/>
  <c r="Y9" i="28"/>
  <c r="Z9" i="28"/>
  <c r="AA9" i="28"/>
  <c r="AB9" i="28"/>
  <c r="AC9" i="28"/>
  <c r="AD9" i="28"/>
  <c r="AE9" i="28"/>
  <c r="AF9" i="28"/>
  <c r="AG9" i="28"/>
  <c r="AH9" i="28"/>
  <c r="AI9" i="28"/>
  <c r="AJ9" i="28"/>
  <c r="AK9" i="28"/>
  <c r="AL9" i="28"/>
  <c r="AM9" i="28"/>
  <c r="AN9" i="28"/>
  <c r="AO9" i="28"/>
  <c r="AP9" i="28"/>
  <c r="AQ9" i="28"/>
  <c r="D10" i="28"/>
  <c r="E10" i="28"/>
  <c r="F10" i="28"/>
  <c r="G10" i="28"/>
  <c r="H10" i="28"/>
  <c r="I10" i="28"/>
  <c r="J10" i="28"/>
  <c r="K10" i="28"/>
  <c r="L10" i="28"/>
  <c r="M10" i="28"/>
  <c r="N10" i="28"/>
  <c r="O10" i="28"/>
  <c r="P10" i="28"/>
  <c r="Q10" i="28"/>
  <c r="R10" i="28"/>
  <c r="S10" i="28"/>
  <c r="T10" i="28"/>
  <c r="U10" i="28"/>
  <c r="V10" i="28"/>
  <c r="W10" i="28"/>
  <c r="X10" i="28"/>
  <c r="Y10" i="28"/>
  <c r="Z10" i="28"/>
  <c r="AA10" i="28"/>
  <c r="AB10" i="28"/>
  <c r="AC10" i="28"/>
  <c r="AD10" i="28"/>
  <c r="AE10" i="28"/>
  <c r="AF10" i="28"/>
  <c r="AG10" i="28"/>
  <c r="AH10" i="28"/>
  <c r="AI10" i="28"/>
  <c r="AJ10" i="28"/>
  <c r="AK10" i="28"/>
  <c r="AL10" i="28"/>
  <c r="AM10" i="28"/>
  <c r="AN10" i="28"/>
  <c r="AO10" i="28"/>
  <c r="AP10" i="28"/>
  <c r="AQ10" i="28"/>
  <c r="D11" i="28"/>
  <c r="E11" i="28"/>
  <c r="F11" i="28"/>
  <c r="G11" i="28"/>
  <c r="H11" i="28"/>
  <c r="I11" i="28"/>
  <c r="J11" i="28"/>
  <c r="K11" i="28"/>
  <c r="L11" i="28"/>
  <c r="M11" i="28"/>
  <c r="N11" i="28"/>
  <c r="O11" i="28"/>
  <c r="P11" i="28"/>
  <c r="Q11" i="28"/>
  <c r="R11" i="28"/>
  <c r="S11" i="28"/>
  <c r="T11" i="28"/>
  <c r="U11" i="28"/>
  <c r="V11" i="28"/>
  <c r="W11" i="28"/>
  <c r="X11" i="28"/>
  <c r="Y11" i="28"/>
  <c r="Z11" i="28"/>
  <c r="AA11" i="28"/>
  <c r="AB11" i="28"/>
  <c r="AC11" i="28"/>
  <c r="AD11" i="28"/>
  <c r="AE11" i="28"/>
  <c r="AF11" i="28"/>
  <c r="AG11" i="28"/>
  <c r="AH11" i="28"/>
  <c r="AI11" i="28"/>
  <c r="AJ11" i="28"/>
  <c r="AK11" i="28"/>
  <c r="AL11" i="28"/>
  <c r="AM11" i="28"/>
  <c r="AN11" i="28"/>
  <c r="AO11" i="28"/>
  <c r="AP11" i="28"/>
  <c r="AQ11" i="28"/>
  <c r="C3" i="28"/>
  <c r="C4" i="28"/>
  <c r="C5" i="28"/>
  <c r="C6" i="28"/>
  <c r="C7" i="28"/>
  <c r="C9" i="28"/>
  <c r="C10" i="28"/>
  <c r="C11" i="28"/>
  <c r="D3" i="27"/>
  <c r="E3" i="27"/>
  <c r="F3" i="27"/>
  <c r="G3" i="27"/>
  <c r="H3" i="27"/>
  <c r="I3" i="27"/>
  <c r="J3" i="27"/>
  <c r="K3" i="27"/>
  <c r="L3" i="27"/>
  <c r="M3" i="27"/>
  <c r="N3" i="27"/>
  <c r="O3" i="27"/>
  <c r="P3" i="27"/>
  <c r="Q3" i="27"/>
  <c r="R3" i="27"/>
  <c r="S3" i="27"/>
  <c r="T3" i="27"/>
  <c r="U3" i="27"/>
  <c r="V3" i="27"/>
  <c r="W3" i="27"/>
  <c r="X3" i="27"/>
  <c r="Y3" i="27"/>
  <c r="Z3" i="27"/>
  <c r="AA3" i="27"/>
  <c r="AB3" i="27"/>
  <c r="AC3" i="27"/>
  <c r="AD3" i="27"/>
  <c r="AE3" i="27"/>
  <c r="AF3" i="27"/>
  <c r="AG3" i="27"/>
  <c r="AH3" i="27"/>
  <c r="AI3" i="27"/>
  <c r="AJ3" i="27"/>
  <c r="AK3" i="27"/>
  <c r="AL3" i="27"/>
  <c r="AM3" i="27"/>
  <c r="AN3" i="27"/>
  <c r="AO3" i="27"/>
  <c r="AP3" i="27"/>
  <c r="AQ3" i="27"/>
  <c r="D4" i="27"/>
  <c r="E4" i="27"/>
  <c r="F4" i="27"/>
  <c r="G4" i="27"/>
  <c r="H4" i="27"/>
  <c r="I4" i="27"/>
  <c r="J4" i="27"/>
  <c r="K4" i="27"/>
  <c r="L4" i="27"/>
  <c r="M4" i="27"/>
  <c r="N4" i="27"/>
  <c r="O4" i="27"/>
  <c r="P4" i="27"/>
  <c r="Q4" i="27"/>
  <c r="R4" i="27"/>
  <c r="S4" i="27"/>
  <c r="T4" i="27"/>
  <c r="U4" i="27"/>
  <c r="V4" i="27"/>
  <c r="W4" i="27"/>
  <c r="X4" i="27"/>
  <c r="Y4" i="27"/>
  <c r="Z4" i="27"/>
  <c r="AA4" i="27"/>
  <c r="AB4" i="27"/>
  <c r="AC4" i="27"/>
  <c r="AD4" i="27"/>
  <c r="AE4" i="27"/>
  <c r="AF4" i="27"/>
  <c r="AG4" i="27"/>
  <c r="AH4" i="27"/>
  <c r="AI4" i="27"/>
  <c r="AJ4" i="27"/>
  <c r="AK4" i="27"/>
  <c r="AL4" i="27"/>
  <c r="AM4" i="27"/>
  <c r="AN4" i="27"/>
  <c r="AO4" i="27"/>
  <c r="AP4" i="27"/>
  <c r="AQ4" i="27"/>
  <c r="D5" i="27"/>
  <c r="E5" i="27"/>
  <c r="F5" i="27"/>
  <c r="G5" i="27"/>
  <c r="H5" i="27"/>
  <c r="I5" i="27"/>
  <c r="J5" i="27"/>
  <c r="K5" i="27"/>
  <c r="L5" i="27"/>
  <c r="M5" i="27"/>
  <c r="N5" i="27"/>
  <c r="O5" i="27"/>
  <c r="P5" i="27"/>
  <c r="Q5" i="27"/>
  <c r="R5" i="27"/>
  <c r="S5" i="27"/>
  <c r="T5" i="27"/>
  <c r="U5" i="27"/>
  <c r="V5" i="27"/>
  <c r="W5" i="27"/>
  <c r="X5" i="27"/>
  <c r="Y5" i="27"/>
  <c r="Z5" i="27"/>
  <c r="AA5" i="27"/>
  <c r="AB5" i="27"/>
  <c r="AC5" i="27"/>
  <c r="AD5" i="27"/>
  <c r="AE5" i="27"/>
  <c r="AF5" i="27"/>
  <c r="AG5" i="27"/>
  <c r="AH5" i="27"/>
  <c r="AI5" i="27"/>
  <c r="AJ5" i="27"/>
  <c r="AK5" i="27"/>
  <c r="AL5" i="27"/>
  <c r="AM5" i="27"/>
  <c r="AN5" i="27"/>
  <c r="AO5" i="27"/>
  <c r="AP5" i="27"/>
  <c r="AQ5" i="27"/>
  <c r="D6" i="27"/>
  <c r="E6" i="27"/>
  <c r="F6" i="27"/>
  <c r="G6" i="27"/>
  <c r="H6" i="27"/>
  <c r="I6" i="27"/>
  <c r="J6" i="27"/>
  <c r="K6" i="27"/>
  <c r="L6" i="27"/>
  <c r="M6" i="27"/>
  <c r="N6" i="27"/>
  <c r="O6" i="27"/>
  <c r="P6" i="27"/>
  <c r="Q6" i="27"/>
  <c r="R6" i="27"/>
  <c r="S6" i="27"/>
  <c r="T6" i="27"/>
  <c r="U6" i="27"/>
  <c r="V6" i="27"/>
  <c r="W6" i="27"/>
  <c r="X6" i="27"/>
  <c r="Y6" i="27"/>
  <c r="Z6" i="27"/>
  <c r="AA6" i="27"/>
  <c r="AB6" i="27"/>
  <c r="AC6" i="27"/>
  <c r="AD6" i="27"/>
  <c r="AE6" i="27"/>
  <c r="AF6" i="27"/>
  <c r="AG6" i="27"/>
  <c r="AH6" i="27"/>
  <c r="AI6" i="27"/>
  <c r="AJ6" i="27"/>
  <c r="AK6" i="27"/>
  <c r="AL6" i="27"/>
  <c r="AM6" i="27"/>
  <c r="AN6" i="27"/>
  <c r="AO6" i="27"/>
  <c r="AP6" i="27"/>
  <c r="AQ6" i="27"/>
  <c r="D7" i="27"/>
  <c r="E7" i="27"/>
  <c r="F7" i="27"/>
  <c r="G7" i="27"/>
  <c r="H7" i="27"/>
  <c r="I7" i="27"/>
  <c r="J7" i="27"/>
  <c r="K7" i="27"/>
  <c r="L7" i="27"/>
  <c r="M7" i="27"/>
  <c r="N7" i="27"/>
  <c r="O7" i="27"/>
  <c r="P7" i="27"/>
  <c r="Q7" i="27"/>
  <c r="R7" i="27"/>
  <c r="S7" i="27"/>
  <c r="T7" i="27"/>
  <c r="U7" i="27"/>
  <c r="V7" i="27"/>
  <c r="W7" i="27"/>
  <c r="X7" i="27"/>
  <c r="Y7" i="27"/>
  <c r="Z7" i="27"/>
  <c r="AA7" i="27"/>
  <c r="AB7" i="27"/>
  <c r="AC7" i="27"/>
  <c r="AD7" i="27"/>
  <c r="AE7" i="27"/>
  <c r="AF7" i="27"/>
  <c r="AG7" i="27"/>
  <c r="AH7" i="27"/>
  <c r="AI7" i="27"/>
  <c r="AJ7" i="27"/>
  <c r="AK7" i="27"/>
  <c r="AL7" i="27"/>
  <c r="AM7" i="27"/>
  <c r="AN7" i="27"/>
  <c r="AO7" i="27"/>
  <c r="AP7" i="27"/>
  <c r="AQ7" i="27"/>
  <c r="D8" i="27"/>
  <c r="E8" i="27"/>
  <c r="F8" i="27"/>
  <c r="G8" i="27"/>
  <c r="H8" i="27"/>
  <c r="I8" i="27"/>
  <c r="J8" i="27"/>
  <c r="K8" i="27"/>
  <c r="L8" i="27"/>
  <c r="M8" i="27"/>
  <c r="N8" i="27"/>
  <c r="O8" i="27"/>
  <c r="P8" i="27"/>
  <c r="Q8" i="27"/>
  <c r="R8" i="27"/>
  <c r="S8" i="27"/>
  <c r="T8" i="27"/>
  <c r="U8" i="27"/>
  <c r="V8" i="27"/>
  <c r="W8" i="27"/>
  <c r="X8" i="27"/>
  <c r="Y8" i="27"/>
  <c r="Z8" i="27"/>
  <c r="AA8" i="27"/>
  <c r="AB8" i="27"/>
  <c r="AC8" i="27"/>
  <c r="AD8" i="27"/>
  <c r="AE8" i="27"/>
  <c r="AF8" i="27"/>
  <c r="AG8" i="27"/>
  <c r="AH8" i="27"/>
  <c r="AI8" i="27"/>
  <c r="AJ8" i="27"/>
  <c r="AK8" i="27"/>
  <c r="AL8" i="27"/>
  <c r="AM8" i="27"/>
  <c r="AN8" i="27"/>
  <c r="AO8" i="27"/>
  <c r="AP8" i="27"/>
  <c r="AQ8" i="27"/>
  <c r="D9" i="27"/>
  <c r="E9" i="27"/>
  <c r="F9" i="27"/>
  <c r="G9" i="27"/>
  <c r="H9" i="27"/>
  <c r="I9" i="27"/>
  <c r="J9" i="27"/>
  <c r="K9" i="27"/>
  <c r="L9" i="27"/>
  <c r="M9" i="27"/>
  <c r="N9" i="27"/>
  <c r="O9" i="27"/>
  <c r="P9" i="27"/>
  <c r="Q9" i="27"/>
  <c r="R9" i="27"/>
  <c r="S9" i="27"/>
  <c r="T9" i="27"/>
  <c r="U9" i="27"/>
  <c r="V9" i="27"/>
  <c r="W9" i="27"/>
  <c r="X9" i="27"/>
  <c r="Y9" i="27"/>
  <c r="Z9" i="27"/>
  <c r="AA9" i="27"/>
  <c r="AB9" i="27"/>
  <c r="AC9" i="27"/>
  <c r="AD9" i="27"/>
  <c r="AE9" i="27"/>
  <c r="AF9" i="27"/>
  <c r="AG9" i="27"/>
  <c r="AH9" i="27"/>
  <c r="AI9" i="27"/>
  <c r="AJ9" i="27"/>
  <c r="AK9" i="27"/>
  <c r="AL9" i="27"/>
  <c r="AM9" i="27"/>
  <c r="AN9" i="27"/>
  <c r="AO9" i="27"/>
  <c r="AP9" i="27"/>
  <c r="AQ9" i="27"/>
  <c r="D10" i="27"/>
  <c r="E10" i="27"/>
  <c r="F10" i="27"/>
  <c r="G10" i="27"/>
  <c r="H10" i="27"/>
  <c r="I10" i="27"/>
  <c r="J10" i="27"/>
  <c r="K10" i="27"/>
  <c r="L10" i="27"/>
  <c r="M10" i="27"/>
  <c r="N10" i="27"/>
  <c r="O10" i="27"/>
  <c r="P10" i="27"/>
  <c r="Q10" i="27"/>
  <c r="R10" i="27"/>
  <c r="S10" i="27"/>
  <c r="T10" i="27"/>
  <c r="U10" i="27"/>
  <c r="V10" i="27"/>
  <c r="W10" i="27"/>
  <c r="X10" i="27"/>
  <c r="Y10" i="27"/>
  <c r="Z10" i="27"/>
  <c r="AA10" i="27"/>
  <c r="AB10" i="27"/>
  <c r="AC10" i="27"/>
  <c r="AD10" i="27"/>
  <c r="AE10" i="27"/>
  <c r="AF10" i="27"/>
  <c r="AG10" i="27"/>
  <c r="AH10" i="27"/>
  <c r="AI10" i="27"/>
  <c r="AJ10" i="27"/>
  <c r="AK10" i="27"/>
  <c r="AL10" i="27"/>
  <c r="AM10" i="27"/>
  <c r="AN10" i="27"/>
  <c r="AO10" i="27"/>
  <c r="AP10" i="27"/>
  <c r="AQ10" i="27"/>
  <c r="D11" i="27"/>
  <c r="E11" i="27"/>
  <c r="F11" i="27"/>
  <c r="G11" i="27"/>
  <c r="H11" i="27"/>
  <c r="I11" i="27"/>
  <c r="J11" i="27"/>
  <c r="K11" i="27"/>
  <c r="L11" i="27"/>
  <c r="M11" i="27"/>
  <c r="N11" i="27"/>
  <c r="O11" i="27"/>
  <c r="P11" i="27"/>
  <c r="Q11" i="27"/>
  <c r="R11" i="27"/>
  <c r="S11" i="27"/>
  <c r="T11" i="27"/>
  <c r="U11" i="27"/>
  <c r="V11" i="27"/>
  <c r="W11" i="27"/>
  <c r="X11" i="27"/>
  <c r="Y11" i="27"/>
  <c r="Z11" i="27"/>
  <c r="AA11" i="27"/>
  <c r="AB11" i="27"/>
  <c r="AC11" i="27"/>
  <c r="AD11" i="27"/>
  <c r="AE11" i="27"/>
  <c r="AF11" i="27"/>
  <c r="AG11" i="27"/>
  <c r="AH11" i="27"/>
  <c r="AI11" i="27"/>
  <c r="AJ11" i="27"/>
  <c r="AK11" i="27"/>
  <c r="AL11" i="27"/>
  <c r="AM11" i="27"/>
  <c r="AN11" i="27"/>
  <c r="AO11" i="27"/>
  <c r="AP11" i="27"/>
  <c r="AQ11" i="27"/>
  <c r="C3" i="27"/>
  <c r="C4" i="27"/>
  <c r="C5" i="27"/>
  <c r="C6" i="27"/>
  <c r="C7" i="27"/>
  <c r="C8" i="27"/>
  <c r="C9" i="27"/>
  <c r="C10" i="27"/>
  <c r="C11" i="27"/>
  <c r="E2" i="26"/>
  <c r="F2" i="26"/>
  <c r="G2" i="26"/>
  <c r="H2" i="26"/>
  <c r="I2" i="26"/>
  <c r="J2" i="26"/>
  <c r="K2" i="26"/>
  <c r="L2" i="26"/>
  <c r="M2" i="26"/>
  <c r="N2" i="26"/>
  <c r="O2" i="26"/>
  <c r="P2" i="26"/>
  <c r="Q2" i="26"/>
  <c r="R2" i="26"/>
  <c r="S2" i="26"/>
  <c r="T2" i="26"/>
  <c r="U2" i="26"/>
  <c r="V2" i="26"/>
  <c r="W2" i="26"/>
  <c r="X2" i="26"/>
  <c r="Y2" i="26"/>
  <c r="Z2" i="26"/>
  <c r="AA2" i="26"/>
  <c r="AB2" i="26"/>
  <c r="AC2" i="26"/>
  <c r="AD2" i="26"/>
  <c r="AE2" i="26"/>
  <c r="AF2" i="26"/>
  <c r="AG2" i="26"/>
  <c r="AH2" i="26"/>
  <c r="AI2" i="26"/>
  <c r="AJ2" i="26"/>
  <c r="AK2" i="26"/>
  <c r="AL2" i="26"/>
  <c r="AM2" i="26"/>
  <c r="AN2" i="26"/>
  <c r="AO2" i="26"/>
  <c r="AP2" i="26"/>
  <c r="AQ2" i="26"/>
  <c r="D3" i="26"/>
  <c r="E3" i="26"/>
  <c r="F3" i="26"/>
  <c r="G3" i="26"/>
  <c r="H3" i="26"/>
  <c r="I3" i="26"/>
  <c r="J3" i="26"/>
  <c r="K3" i="26"/>
  <c r="L3" i="26"/>
  <c r="M3" i="26"/>
  <c r="N3" i="26"/>
  <c r="O3" i="26"/>
  <c r="P3" i="26"/>
  <c r="Q3" i="26"/>
  <c r="R3" i="26"/>
  <c r="S3" i="26"/>
  <c r="T3" i="26"/>
  <c r="U3" i="26"/>
  <c r="V3" i="26"/>
  <c r="W3" i="26"/>
  <c r="X3" i="26"/>
  <c r="Y3" i="26"/>
  <c r="Z3" i="26"/>
  <c r="AA3" i="26"/>
  <c r="AB3" i="26"/>
  <c r="AC3" i="26"/>
  <c r="AD3" i="26"/>
  <c r="AE3" i="26"/>
  <c r="AF3" i="26"/>
  <c r="AG3" i="26"/>
  <c r="AH3" i="26"/>
  <c r="AI3" i="26"/>
  <c r="AJ3" i="26"/>
  <c r="AK3" i="26"/>
  <c r="AL3" i="26"/>
  <c r="AM3" i="26"/>
  <c r="AN3" i="26"/>
  <c r="AO3" i="26"/>
  <c r="AP3" i="26"/>
  <c r="AQ3"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I4" i="26"/>
  <c r="AJ4" i="26"/>
  <c r="AK4" i="26"/>
  <c r="AL4" i="26"/>
  <c r="AM4" i="26"/>
  <c r="AN4" i="26"/>
  <c r="AO4" i="26"/>
  <c r="AP4" i="26"/>
  <c r="AQ4"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AI5" i="26"/>
  <c r="AJ5" i="26"/>
  <c r="AK5" i="26"/>
  <c r="AL5" i="26"/>
  <c r="AM5" i="26"/>
  <c r="AN5" i="26"/>
  <c r="AO5" i="26"/>
  <c r="AP5" i="26"/>
  <c r="AQ5" i="26"/>
  <c r="D6" i="26"/>
  <c r="E6" i="26"/>
  <c r="F6" i="26"/>
  <c r="G6" i="26"/>
  <c r="H6" i="26"/>
  <c r="I6" i="26"/>
  <c r="J6" i="26"/>
  <c r="K6" i="26"/>
  <c r="L6" i="26"/>
  <c r="M6" i="26"/>
  <c r="N6" i="26"/>
  <c r="O6" i="26"/>
  <c r="P6" i="26"/>
  <c r="Q6" i="26"/>
  <c r="R6" i="26"/>
  <c r="S6" i="26"/>
  <c r="T6" i="26"/>
  <c r="U6" i="26"/>
  <c r="V6" i="26"/>
  <c r="W6" i="26"/>
  <c r="X6" i="26"/>
  <c r="Y6" i="26"/>
  <c r="Z6" i="26"/>
  <c r="AA6" i="26"/>
  <c r="AB6" i="26"/>
  <c r="AC6" i="26"/>
  <c r="AD6" i="26"/>
  <c r="AE6" i="26"/>
  <c r="AF6" i="26"/>
  <c r="AG6" i="26"/>
  <c r="AH6" i="26"/>
  <c r="AI6" i="26"/>
  <c r="AJ6" i="26"/>
  <c r="AK6" i="26"/>
  <c r="AL6" i="26"/>
  <c r="AM6" i="26"/>
  <c r="AN6" i="26"/>
  <c r="AO6" i="26"/>
  <c r="AP6" i="26"/>
  <c r="AQ6" i="26"/>
  <c r="D7" i="26"/>
  <c r="E7" i="26"/>
  <c r="F7" i="26"/>
  <c r="G7" i="26"/>
  <c r="H7" i="26"/>
  <c r="I7" i="26"/>
  <c r="J7" i="26"/>
  <c r="K7" i="26"/>
  <c r="L7" i="26"/>
  <c r="M7" i="26"/>
  <c r="N7" i="26"/>
  <c r="O7" i="26"/>
  <c r="P7" i="26"/>
  <c r="Q7" i="26"/>
  <c r="R7" i="26"/>
  <c r="S7" i="26"/>
  <c r="T7" i="26"/>
  <c r="U7" i="26"/>
  <c r="V7" i="26"/>
  <c r="W7" i="26"/>
  <c r="X7" i="26"/>
  <c r="Y7" i="26"/>
  <c r="Z7" i="26"/>
  <c r="AA7" i="26"/>
  <c r="AB7" i="26"/>
  <c r="AC7" i="26"/>
  <c r="AD7" i="26"/>
  <c r="AE7" i="26"/>
  <c r="AF7" i="26"/>
  <c r="AG7" i="26"/>
  <c r="AH7" i="26"/>
  <c r="AI7" i="26"/>
  <c r="AJ7" i="26"/>
  <c r="AK7" i="26"/>
  <c r="AL7" i="26"/>
  <c r="AM7" i="26"/>
  <c r="AN7" i="26"/>
  <c r="AO7" i="26"/>
  <c r="AP7" i="26"/>
  <c r="AQ7" i="26"/>
  <c r="D8" i="26"/>
  <c r="E8" i="26"/>
  <c r="F8" i="26"/>
  <c r="G8" i="26"/>
  <c r="H8" i="26"/>
  <c r="I8" i="26"/>
  <c r="J8" i="26"/>
  <c r="K8" i="26"/>
  <c r="L8" i="26"/>
  <c r="M8" i="26"/>
  <c r="N8" i="26"/>
  <c r="O8" i="26"/>
  <c r="P8" i="26"/>
  <c r="Q8" i="26"/>
  <c r="R8" i="26"/>
  <c r="S8" i="26"/>
  <c r="T8" i="26"/>
  <c r="U8" i="26"/>
  <c r="V8" i="26"/>
  <c r="W8" i="26"/>
  <c r="X8" i="26"/>
  <c r="Y8" i="26"/>
  <c r="Z8" i="26"/>
  <c r="AA8" i="26"/>
  <c r="AB8" i="26"/>
  <c r="AC8" i="26"/>
  <c r="AD8" i="26"/>
  <c r="AE8" i="26"/>
  <c r="AF8" i="26"/>
  <c r="AG8" i="26"/>
  <c r="AH8" i="26"/>
  <c r="AI8" i="26"/>
  <c r="AJ8" i="26"/>
  <c r="AK8" i="26"/>
  <c r="AL8" i="26"/>
  <c r="AM8" i="26"/>
  <c r="AN8" i="26"/>
  <c r="AO8" i="26"/>
  <c r="AP8" i="26"/>
  <c r="AQ8" i="26"/>
  <c r="D9" i="26"/>
  <c r="E9" i="26"/>
  <c r="F9" i="26"/>
  <c r="G9" i="26"/>
  <c r="H9" i="26"/>
  <c r="I9" i="26"/>
  <c r="J9" i="26"/>
  <c r="K9" i="26"/>
  <c r="L9" i="26"/>
  <c r="M9" i="26"/>
  <c r="N9" i="26"/>
  <c r="O9" i="26"/>
  <c r="P9" i="26"/>
  <c r="Q9" i="26"/>
  <c r="R9" i="26"/>
  <c r="S9" i="26"/>
  <c r="T9" i="26"/>
  <c r="U9" i="26"/>
  <c r="V9" i="26"/>
  <c r="W9" i="26"/>
  <c r="X9" i="26"/>
  <c r="Y9" i="26"/>
  <c r="Z9" i="26"/>
  <c r="AA9" i="26"/>
  <c r="AB9" i="26"/>
  <c r="AC9" i="26"/>
  <c r="AD9" i="26"/>
  <c r="AE9" i="26"/>
  <c r="AF9" i="26"/>
  <c r="AG9" i="26"/>
  <c r="AH9" i="26"/>
  <c r="AI9" i="26"/>
  <c r="AJ9" i="26"/>
  <c r="AK9" i="26"/>
  <c r="AL9" i="26"/>
  <c r="AM9" i="26"/>
  <c r="AN9" i="26"/>
  <c r="AO9" i="26"/>
  <c r="AP9" i="26"/>
  <c r="AQ9" i="26"/>
  <c r="D11" i="26"/>
  <c r="E11" i="26"/>
  <c r="F11" i="26"/>
  <c r="G11" i="26"/>
  <c r="H11" i="26"/>
  <c r="I11" i="26"/>
  <c r="J11"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AI11" i="26"/>
  <c r="AJ11" i="26"/>
  <c r="AK11" i="26"/>
  <c r="AL11" i="26"/>
  <c r="AM11" i="26"/>
  <c r="AN11" i="26"/>
  <c r="AO11" i="26"/>
  <c r="AP11" i="26"/>
  <c r="AQ11" i="26"/>
  <c r="C3" i="26"/>
  <c r="C4" i="26"/>
  <c r="C5" i="26"/>
  <c r="C6" i="26"/>
  <c r="C7" i="26"/>
  <c r="C8" i="26"/>
  <c r="C9" i="26"/>
  <c r="C11" i="26"/>
  <c r="F2" i="27"/>
  <c r="G2" i="27"/>
  <c r="H2" i="27"/>
  <c r="I2" i="27"/>
  <c r="J2" i="27"/>
  <c r="K2" i="27"/>
  <c r="L2" i="27"/>
  <c r="N2" i="27"/>
  <c r="O2" i="27"/>
  <c r="P2" i="27"/>
  <c r="Q2" i="27"/>
  <c r="R2" i="27"/>
  <c r="S2" i="27"/>
  <c r="T2" i="27"/>
  <c r="V2" i="27"/>
  <c r="W2" i="27"/>
  <c r="X2" i="27"/>
  <c r="Y2" i="27"/>
  <c r="Z2" i="27"/>
  <c r="AA2" i="27"/>
  <c r="AB2" i="27"/>
  <c r="AD2" i="27"/>
  <c r="AE2" i="27"/>
  <c r="AF2" i="27"/>
  <c r="AG2" i="27"/>
  <c r="AH2" i="27"/>
  <c r="AI2" i="27"/>
  <c r="AJ2" i="27"/>
  <c r="AL2" i="27"/>
  <c r="AM2" i="27"/>
  <c r="AN2" i="27"/>
  <c r="AO2" i="27"/>
  <c r="AP2" i="27"/>
  <c r="AQ2" i="27"/>
  <c r="E2" i="27"/>
  <c r="F2" i="18"/>
  <c r="F2" i="28" s="1"/>
  <c r="G2" i="18"/>
  <c r="G2" i="28" s="1"/>
  <c r="H2" i="18"/>
  <c r="H2" i="28" s="1"/>
  <c r="I2" i="18"/>
  <c r="I2" i="28" s="1"/>
  <c r="J2" i="18"/>
  <c r="J2" i="28" s="1"/>
  <c r="K2" i="18"/>
  <c r="K2" i="28" s="1"/>
  <c r="M2" i="18"/>
  <c r="M2" i="28" s="1"/>
  <c r="N2" i="18"/>
  <c r="N2" i="28" s="1"/>
  <c r="O2" i="18"/>
  <c r="O2" i="28" s="1"/>
  <c r="P2" i="18"/>
  <c r="P2" i="28" s="1"/>
  <c r="Q2" i="18"/>
  <c r="Q2" i="28" s="1"/>
  <c r="R2" i="18"/>
  <c r="R2" i="28" s="1"/>
  <c r="S2" i="18"/>
  <c r="S2" i="28" s="1"/>
  <c r="U2" i="18"/>
  <c r="U2" i="28" s="1"/>
  <c r="V2" i="18"/>
  <c r="V2" i="28" s="1"/>
  <c r="W2" i="18"/>
  <c r="W2" i="28" s="1"/>
  <c r="X2" i="18"/>
  <c r="X2" i="28" s="1"/>
  <c r="Y2" i="18"/>
  <c r="Y2" i="28" s="1"/>
  <c r="Z2" i="18"/>
  <c r="Z2" i="28" s="1"/>
  <c r="AA2" i="18"/>
  <c r="AA2" i="28" s="1"/>
  <c r="AC2" i="18"/>
  <c r="AC2" i="28" s="1"/>
  <c r="AD2" i="18"/>
  <c r="AD2" i="28" s="1"/>
  <c r="AE2" i="18"/>
  <c r="AE2" i="28" s="1"/>
  <c r="AF2" i="18"/>
  <c r="AF2" i="28" s="1"/>
  <c r="AG2" i="18"/>
  <c r="AG2" i="28" s="1"/>
  <c r="AH2" i="18"/>
  <c r="AH2" i="28" s="1"/>
  <c r="AI2" i="18"/>
  <c r="AI2" i="28" s="1"/>
  <c r="AK2" i="18"/>
  <c r="AK2" i="28" s="1"/>
  <c r="AL2" i="18"/>
  <c r="AL2" i="28" s="1"/>
  <c r="AM2" i="18"/>
  <c r="AM2" i="28" s="1"/>
  <c r="AN2" i="18"/>
  <c r="AN2" i="28" s="1"/>
  <c r="AO2" i="18"/>
  <c r="AO2" i="28" s="1"/>
  <c r="AP2" i="18"/>
  <c r="AP2" i="28" s="1"/>
  <c r="AQ2" i="18"/>
  <c r="AQ2" i="28" s="1"/>
  <c r="E2" i="18"/>
  <c r="E2" i="28" s="1"/>
  <c r="E2" i="29"/>
  <c r="F2" i="29"/>
  <c r="G2" i="29"/>
  <c r="H2" i="29"/>
  <c r="I2" i="29"/>
  <c r="J2" i="29"/>
  <c r="K2" i="29"/>
  <c r="L2" i="29"/>
  <c r="M2" i="29"/>
  <c r="N2" i="29"/>
  <c r="O2" i="29"/>
  <c r="P2" i="29"/>
  <c r="Q2" i="29"/>
  <c r="R2" i="29"/>
  <c r="S2" i="29"/>
  <c r="T2" i="29"/>
  <c r="U2" i="29"/>
  <c r="V2" i="29"/>
  <c r="W2" i="29"/>
  <c r="X2" i="29"/>
  <c r="Y2" i="29"/>
  <c r="Z2" i="29"/>
  <c r="AA2" i="29"/>
  <c r="AB2" i="29"/>
  <c r="AC2" i="29"/>
  <c r="AD2" i="29"/>
  <c r="AE2" i="29"/>
  <c r="AF2" i="29"/>
  <c r="AG2" i="29"/>
  <c r="AH2" i="29"/>
  <c r="AI2" i="29"/>
  <c r="AJ2" i="29"/>
  <c r="AK2" i="29"/>
  <c r="AL2" i="29"/>
  <c r="AM2" i="29"/>
  <c r="AN2" i="29"/>
  <c r="AO2" i="29"/>
  <c r="AP2" i="29"/>
  <c r="AQ2" i="29"/>
  <c r="F10" i="29"/>
  <c r="H10" i="29"/>
  <c r="I10" i="29"/>
  <c r="J10" i="29"/>
  <c r="K10" i="29"/>
  <c r="L10" i="29"/>
  <c r="M10" i="29"/>
  <c r="N10" i="29"/>
  <c r="O10" i="29"/>
  <c r="P10" i="29"/>
  <c r="Q10" i="29"/>
  <c r="R10" i="29"/>
  <c r="S10" i="29"/>
  <c r="T10" i="29"/>
  <c r="U10" i="29"/>
  <c r="V10" i="29"/>
  <c r="X10" i="29"/>
  <c r="Y10" i="29"/>
  <c r="Z10" i="29"/>
  <c r="AA10" i="29"/>
  <c r="AB10" i="29"/>
  <c r="AC10" i="29"/>
  <c r="AD10" i="29"/>
  <c r="AE10" i="29"/>
  <c r="AF10" i="29"/>
  <c r="AG10" i="29"/>
  <c r="AH10" i="29"/>
  <c r="AI10" i="29"/>
  <c r="AJ10" i="29"/>
  <c r="AK10" i="29"/>
  <c r="AL10" i="29"/>
  <c r="AM10" i="29"/>
  <c r="AN10" i="29"/>
  <c r="AO10" i="29"/>
  <c r="AP10" i="29"/>
  <c r="AQ10" i="29"/>
  <c r="E10" i="29"/>
  <c r="F4" i="29"/>
  <c r="G4" i="29"/>
  <c r="H4" i="29"/>
  <c r="I4" i="29"/>
  <c r="J4" i="29"/>
  <c r="M4" i="29"/>
  <c r="O4" i="29"/>
  <c r="P4" i="29"/>
  <c r="R4" i="29"/>
  <c r="S4" i="29"/>
  <c r="T4" i="29"/>
  <c r="U4" i="29"/>
  <c r="V4" i="29"/>
  <c r="X4" i="29"/>
  <c r="Y4" i="29"/>
  <c r="Z4" i="29"/>
  <c r="AA4" i="29"/>
  <c r="AB4" i="29"/>
  <c r="AC4" i="29"/>
  <c r="AD4" i="29"/>
  <c r="AF4" i="29"/>
  <c r="AG4" i="29"/>
  <c r="AH4" i="29"/>
  <c r="AI4" i="29"/>
  <c r="AJ4" i="29"/>
  <c r="AK4" i="29"/>
  <c r="AM4" i="29"/>
  <c r="E4" i="19"/>
  <c r="E4" i="29" s="1"/>
  <c r="F7" i="19"/>
  <c r="F7" i="29" s="1"/>
  <c r="G7" i="19"/>
  <c r="G7" i="29" s="1"/>
  <c r="H7" i="19"/>
  <c r="H7" i="29" s="1"/>
  <c r="I7" i="19"/>
  <c r="I7" i="29" s="1"/>
  <c r="J7" i="19"/>
  <c r="J7" i="29" s="1"/>
  <c r="K7" i="19"/>
  <c r="K7" i="29" s="1"/>
  <c r="L7" i="19"/>
  <c r="L7" i="29" s="1"/>
  <c r="M7" i="19"/>
  <c r="M7" i="29" s="1"/>
  <c r="N7" i="19"/>
  <c r="N7" i="29" s="1"/>
  <c r="O7" i="19"/>
  <c r="O7" i="29" s="1"/>
  <c r="P7" i="19"/>
  <c r="P7" i="29" s="1"/>
  <c r="Q7" i="19"/>
  <c r="Q7" i="29" s="1"/>
  <c r="R7" i="19"/>
  <c r="R7" i="29" s="1"/>
  <c r="S7" i="19"/>
  <c r="S7" i="29" s="1"/>
  <c r="T7" i="19"/>
  <c r="T7" i="29" s="1"/>
  <c r="U7" i="19"/>
  <c r="U7" i="29" s="1"/>
  <c r="V7" i="19"/>
  <c r="V7" i="29" s="1"/>
  <c r="W7" i="19"/>
  <c r="W7" i="29" s="1"/>
  <c r="X7" i="19"/>
  <c r="X7" i="29" s="1"/>
  <c r="Y7" i="19"/>
  <c r="Y7" i="29" s="1"/>
  <c r="Z7" i="19"/>
  <c r="Z7" i="29" s="1"/>
  <c r="AA7" i="19"/>
  <c r="AA7" i="29" s="1"/>
  <c r="AB7" i="19"/>
  <c r="AB7" i="29" s="1"/>
  <c r="AC7" i="19"/>
  <c r="AC7" i="29" s="1"/>
  <c r="AD7" i="19"/>
  <c r="AD7" i="29" s="1"/>
  <c r="AE7" i="19"/>
  <c r="AE7" i="29" s="1"/>
  <c r="AF7" i="19"/>
  <c r="AF7" i="29" s="1"/>
  <c r="AG7" i="19"/>
  <c r="AG7" i="29" s="1"/>
  <c r="AH7" i="19"/>
  <c r="AH7" i="29" s="1"/>
  <c r="AI7" i="19"/>
  <c r="AI7" i="29" s="1"/>
  <c r="AJ7" i="19"/>
  <c r="AJ7" i="29" s="1"/>
  <c r="AK7" i="19"/>
  <c r="AK7" i="29" s="1"/>
  <c r="AL7" i="19"/>
  <c r="AL7" i="29" s="1"/>
  <c r="AM7" i="19"/>
  <c r="AM7" i="29" s="1"/>
  <c r="AN7" i="19"/>
  <c r="AN7" i="29" s="1"/>
  <c r="AO7" i="19"/>
  <c r="AO7" i="29" s="1"/>
  <c r="AP7" i="19"/>
  <c r="AP7" i="29" s="1"/>
  <c r="AQ7" i="19"/>
  <c r="AQ7" i="29" s="1"/>
  <c r="E7" i="19"/>
  <c r="E7" i="29" s="1"/>
  <c r="F8" i="19"/>
  <c r="F8" i="29" s="1"/>
  <c r="G8" i="19"/>
  <c r="G8" i="29" s="1"/>
  <c r="H8" i="19"/>
  <c r="H8" i="29" s="1"/>
  <c r="I8" i="19"/>
  <c r="I8" i="29" s="1"/>
  <c r="J8" i="19"/>
  <c r="J8" i="29" s="1"/>
  <c r="K8" i="19"/>
  <c r="K8" i="29" s="1"/>
  <c r="L8" i="19"/>
  <c r="L8" i="29" s="1"/>
  <c r="M8" i="19"/>
  <c r="M8" i="29" s="1"/>
  <c r="N8" i="19"/>
  <c r="N8" i="29" s="1"/>
  <c r="O8" i="19"/>
  <c r="O8" i="29" s="1"/>
  <c r="P8" i="19"/>
  <c r="P8" i="29" s="1"/>
  <c r="Q8" i="19"/>
  <c r="Q8" i="29" s="1"/>
  <c r="R8" i="19"/>
  <c r="R8" i="29" s="1"/>
  <c r="S8" i="19"/>
  <c r="S8" i="29" s="1"/>
  <c r="T8" i="19"/>
  <c r="T8" i="29" s="1"/>
  <c r="U8" i="19"/>
  <c r="U8" i="29" s="1"/>
  <c r="V8" i="19"/>
  <c r="V8" i="29" s="1"/>
  <c r="W8" i="19"/>
  <c r="W8" i="29" s="1"/>
  <c r="X8" i="19"/>
  <c r="X8" i="29" s="1"/>
  <c r="Y8" i="19"/>
  <c r="Y8" i="29" s="1"/>
  <c r="Z8" i="19"/>
  <c r="Z8" i="29" s="1"/>
  <c r="AA8" i="19"/>
  <c r="AA8" i="29" s="1"/>
  <c r="AB8" i="19"/>
  <c r="AB8" i="29" s="1"/>
  <c r="AC8" i="19"/>
  <c r="AC8" i="29" s="1"/>
  <c r="AD8" i="19"/>
  <c r="AD8" i="29" s="1"/>
  <c r="AE8" i="19"/>
  <c r="AE8" i="29" s="1"/>
  <c r="AF8" i="19"/>
  <c r="AF8" i="29" s="1"/>
  <c r="AG8" i="19"/>
  <c r="AG8" i="29" s="1"/>
  <c r="AH8" i="19"/>
  <c r="AH8" i="29" s="1"/>
  <c r="AI8" i="19"/>
  <c r="AI8" i="29" s="1"/>
  <c r="AJ8" i="19"/>
  <c r="AJ8" i="29" s="1"/>
  <c r="AK8" i="19"/>
  <c r="AK8" i="29" s="1"/>
  <c r="AL8" i="19"/>
  <c r="AL8" i="29" s="1"/>
  <c r="AM8" i="19"/>
  <c r="AM8" i="29" s="1"/>
  <c r="AN8" i="19"/>
  <c r="AN8" i="29" s="1"/>
  <c r="AO8" i="19"/>
  <c r="AO8" i="29" s="1"/>
  <c r="AP8" i="19"/>
  <c r="AP8" i="29" s="1"/>
  <c r="AQ8" i="19"/>
  <c r="AQ8" i="29" s="1"/>
  <c r="E8" i="19"/>
  <c r="E8" i="29" s="1"/>
  <c r="F8" i="18"/>
  <c r="F8" i="28" s="1"/>
  <c r="G8" i="18"/>
  <c r="G8" i="28" s="1"/>
  <c r="H8" i="18"/>
  <c r="H8" i="28" s="1"/>
  <c r="I8" i="18"/>
  <c r="I8" i="28" s="1"/>
  <c r="J8" i="18"/>
  <c r="J8" i="28" s="1"/>
  <c r="K8" i="18"/>
  <c r="K8" i="28" s="1"/>
  <c r="L8" i="18"/>
  <c r="L8" i="28" s="1"/>
  <c r="M8" i="18"/>
  <c r="M8" i="28" s="1"/>
  <c r="N8" i="18"/>
  <c r="N8" i="28" s="1"/>
  <c r="O8" i="18"/>
  <c r="O8" i="28" s="1"/>
  <c r="P8" i="18"/>
  <c r="P8" i="28" s="1"/>
  <c r="Q8" i="18"/>
  <c r="Q8" i="28" s="1"/>
  <c r="R8" i="18"/>
  <c r="R8" i="28" s="1"/>
  <c r="S8" i="18"/>
  <c r="S8" i="28" s="1"/>
  <c r="T8" i="18"/>
  <c r="T8" i="28" s="1"/>
  <c r="U8" i="18"/>
  <c r="U8" i="28" s="1"/>
  <c r="V8" i="18"/>
  <c r="V8" i="28" s="1"/>
  <c r="W8" i="18"/>
  <c r="W8" i="28" s="1"/>
  <c r="X8" i="18"/>
  <c r="X8" i="28" s="1"/>
  <c r="Y8" i="18"/>
  <c r="Y8" i="28" s="1"/>
  <c r="Z8" i="18"/>
  <c r="Z8" i="28" s="1"/>
  <c r="AA8" i="18"/>
  <c r="AA8" i="28" s="1"/>
  <c r="AB8" i="18"/>
  <c r="AB8" i="28" s="1"/>
  <c r="AC8" i="18"/>
  <c r="AC8" i="28" s="1"/>
  <c r="AD8" i="18"/>
  <c r="AD8" i="28" s="1"/>
  <c r="AE8" i="18"/>
  <c r="AE8" i="28" s="1"/>
  <c r="AF8" i="18"/>
  <c r="AF8" i="28" s="1"/>
  <c r="AG8" i="18"/>
  <c r="AG8" i="28" s="1"/>
  <c r="AH8" i="18"/>
  <c r="AH8" i="28" s="1"/>
  <c r="AI8" i="18"/>
  <c r="AI8" i="28" s="1"/>
  <c r="AJ8" i="18"/>
  <c r="AJ8" i="28" s="1"/>
  <c r="AK8" i="18"/>
  <c r="AK8" i="28" s="1"/>
  <c r="AL8" i="18"/>
  <c r="AL8" i="28" s="1"/>
  <c r="AM8" i="18"/>
  <c r="AM8" i="28" s="1"/>
  <c r="AN8" i="18"/>
  <c r="AN8" i="28" s="1"/>
  <c r="AO8" i="18"/>
  <c r="AO8" i="28" s="1"/>
  <c r="AP8" i="18"/>
  <c r="AP8" i="28" s="1"/>
  <c r="AQ8" i="18"/>
  <c r="AQ8" i="28" s="1"/>
  <c r="E8" i="18"/>
  <c r="E8" i="28" s="1"/>
  <c r="F10" i="26"/>
  <c r="G10" i="26"/>
  <c r="H10" i="26"/>
  <c r="I10" i="26"/>
  <c r="J10"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AI10" i="26"/>
  <c r="AJ10" i="26"/>
  <c r="AK10" i="26"/>
  <c r="AL10" i="26"/>
  <c r="AM10" i="26"/>
  <c r="AN10" i="26"/>
  <c r="AO10" i="26"/>
  <c r="AP10" i="26"/>
  <c r="AQ10" i="26"/>
  <c r="E10" i="26"/>
  <c r="P10" i="9" l="1"/>
  <c r="P10" i="40" s="1"/>
  <c r="H10" i="9"/>
  <c r="H10" i="40" s="1"/>
  <c r="AM10" i="9"/>
  <c r="AM10" i="40" s="1"/>
  <c r="AE10" i="9"/>
  <c r="AE10" i="40" s="1"/>
  <c r="W10" i="9"/>
  <c r="W10" i="40" s="1"/>
  <c r="N10" i="9"/>
  <c r="N10" i="40" s="1"/>
  <c r="F10" i="9"/>
  <c r="F10" i="40" s="1"/>
  <c r="AP10" i="9"/>
  <c r="AP10" i="40" s="1"/>
  <c r="Z10" i="9"/>
  <c r="Z10" i="40" s="1"/>
  <c r="AG10" i="9"/>
  <c r="AG10" i="40" s="1"/>
  <c r="Y10" i="9"/>
  <c r="Y10" i="40" s="1"/>
  <c r="Q10" i="9"/>
  <c r="Q10" i="40" s="1"/>
  <c r="I10" i="9"/>
  <c r="I10" i="40" s="1"/>
  <c r="B8" i="35"/>
  <c r="B5" i="35"/>
  <c r="B11" i="35"/>
  <c r="B3" i="35"/>
  <c r="B10" i="35"/>
  <c r="B9" i="35"/>
  <c r="B18" i="18" a="1"/>
  <c r="B18" i="18" s="1"/>
  <c r="AK2" i="27"/>
  <c r="AC2" i="27"/>
  <c r="U2" i="27"/>
  <c r="M2" i="27"/>
  <c r="V18" i="19" a="1"/>
  <c r="V18" i="19" s="1"/>
  <c r="G18" i="19" a="1"/>
  <c r="G18" i="19" s="1"/>
  <c r="Q18" i="19" a="1"/>
  <c r="Q18" i="19" s="1"/>
  <c r="L18" i="19" a="1"/>
  <c r="L18" i="19" s="1"/>
  <c r="G18" i="18" a="1"/>
  <c r="G18" i="18" s="1"/>
  <c r="B18" i="19" a="1"/>
  <c r="B18" i="19" s="1"/>
  <c r="B18" i="17" a="1"/>
  <c r="B18" i="17" s="1"/>
  <c r="B18" i="16" a="1"/>
  <c r="B18" i="16" s="1"/>
  <c r="C2" i="14"/>
  <c r="F2" i="6" s="1"/>
  <c r="F2" i="37" s="1"/>
  <c r="D2" i="14"/>
  <c r="G2" i="6" s="1"/>
  <c r="G2" i="37" s="1"/>
  <c r="E2" i="14"/>
  <c r="H2" i="6" s="1"/>
  <c r="H2" i="37" s="1"/>
  <c r="F2" i="14"/>
  <c r="I2" i="6" s="1"/>
  <c r="I2" i="37" s="1"/>
  <c r="G2" i="14"/>
  <c r="J2" i="6" s="1"/>
  <c r="J2" i="37" s="1"/>
  <c r="H2" i="14"/>
  <c r="K2" i="6" s="1"/>
  <c r="K2" i="37" s="1"/>
  <c r="I2" i="14"/>
  <c r="L2" i="6" s="1"/>
  <c r="L2" i="37" s="1"/>
  <c r="J2" i="14"/>
  <c r="M2" i="6" s="1"/>
  <c r="M2" i="37" s="1"/>
  <c r="K2" i="14"/>
  <c r="N2" i="6" s="1"/>
  <c r="N2" i="37" s="1"/>
  <c r="L2" i="14"/>
  <c r="O2" i="6" s="1"/>
  <c r="O2" i="37" s="1"/>
  <c r="M2" i="14"/>
  <c r="P2" i="6" s="1"/>
  <c r="P2" i="37" s="1"/>
  <c r="N2" i="14"/>
  <c r="Q2" i="6" s="1"/>
  <c r="Q2" i="37" s="1"/>
  <c r="O2" i="14"/>
  <c r="R2" i="6" s="1"/>
  <c r="R2" i="37" s="1"/>
  <c r="P2" i="14"/>
  <c r="S2" i="6" s="1"/>
  <c r="S2" i="37" s="1"/>
  <c r="Q2" i="14"/>
  <c r="T2" i="6" s="1"/>
  <c r="T2" i="37" s="1"/>
  <c r="R2" i="14"/>
  <c r="U2" i="6" s="1"/>
  <c r="U2" i="37" s="1"/>
  <c r="S2" i="14"/>
  <c r="V2" i="6" s="1"/>
  <c r="V2" i="37" s="1"/>
  <c r="T2" i="14"/>
  <c r="W2" i="6" s="1"/>
  <c r="W2" i="37" s="1"/>
  <c r="U2" i="14"/>
  <c r="X2" i="6" s="1"/>
  <c r="X2" i="37" s="1"/>
  <c r="V2" i="14"/>
  <c r="Y2" i="6" s="1"/>
  <c r="Y2" i="37" s="1"/>
  <c r="W2" i="14"/>
  <c r="Z2" i="6" s="1"/>
  <c r="Z2" i="37" s="1"/>
  <c r="X2" i="14"/>
  <c r="AA2" i="6" s="1"/>
  <c r="AA2" i="37" s="1"/>
  <c r="Y2" i="14"/>
  <c r="AB2" i="6" s="1"/>
  <c r="AB2" i="37" s="1"/>
  <c r="Z2" i="14"/>
  <c r="AC2" i="6" s="1"/>
  <c r="AC2" i="37" s="1"/>
  <c r="AA2" i="14"/>
  <c r="AD2" i="6" s="1"/>
  <c r="AD2" i="37" s="1"/>
  <c r="AB2" i="14"/>
  <c r="AE2" i="6" s="1"/>
  <c r="AE2" i="37" s="1"/>
  <c r="AC2" i="14"/>
  <c r="AF2" i="6" s="1"/>
  <c r="AF2" i="37" s="1"/>
  <c r="AD2" i="14"/>
  <c r="AG2" i="6" s="1"/>
  <c r="AG2" i="37" s="1"/>
  <c r="AE2" i="14"/>
  <c r="AH2" i="6" s="1"/>
  <c r="AH2" i="37" s="1"/>
  <c r="AF2" i="14"/>
  <c r="AI2" i="6" s="1"/>
  <c r="AI2" i="37" s="1"/>
  <c r="AG2" i="14"/>
  <c r="AJ2" i="6" s="1"/>
  <c r="AJ2" i="37" s="1"/>
  <c r="AH2" i="14"/>
  <c r="AK2" i="6" s="1"/>
  <c r="AK2" i="37" s="1"/>
  <c r="AI2" i="14"/>
  <c r="AL2" i="6" s="1"/>
  <c r="AL2" i="37" s="1"/>
  <c r="AJ2" i="14"/>
  <c r="AM2" i="6" s="1"/>
  <c r="AM2" i="37" s="1"/>
  <c r="AK2" i="14"/>
  <c r="AN2" i="6" s="1"/>
  <c r="AN2" i="37" s="1"/>
  <c r="AL2" i="14"/>
  <c r="AO2" i="6" s="1"/>
  <c r="AO2" i="37" s="1"/>
  <c r="AM2" i="14"/>
  <c r="AP2" i="6" s="1"/>
  <c r="AP2" i="37" s="1"/>
  <c r="AN2" i="14"/>
  <c r="AQ2" i="6" s="1"/>
  <c r="AQ2" i="37" s="1"/>
  <c r="C3" i="14"/>
  <c r="D3" i="14"/>
  <c r="E3" i="14"/>
  <c r="F3" i="14"/>
  <c r="G3" i="14"/>
  <c r="H3" i="14"/>
  <c r="I3" i="14"/>
  <c r="J3" i="14"/>
  <c r="K3" i="14"/>
  <c r="L3" i="14"/>
  <c r="M3" i="14"/>
  <c r="N3" i="14"/>
  <c r="O3" i="14"/>
  <c r="P3" i="14"/>
  <c r="Q3" i="14"/>
  <c r="R3" i="14"/>
  <c r="S3" i="14"/>
  <c r="T3" i="14"/>
  <c r="U3" i="14"/>
  <c r="V3" i="14"/>
  <c r="W3" i="14"/>
  <c r="X3" i="14"/>
  <c r="Y3" i="14"/>
  <c r="Z3" i="14"/>
  <c r="AA3" i="14"/>
  <c r="AB3" i="14"/>
  <c r="AC3" i="14"/>
  <c r="AD3" i="14"/>
  <c r="AE3" i="14"/>
  <c r="AF3" i="14"/>
  <c r="AG3" i="14"/>
  <c r="AH3" i="14"/>
  <c r="AI3" i="14"/>
  <c r="AJ3" i="14"/>
  <c r="AK3" i="14"/>
  <c r="AL3" i="14"/>
  <c r="AM3" i="14"/>
  <c r="AN3" i="14"/>
  <c r="C4" i="14"/>
  <c r="D4" i="14"/>
  <c r="E4" i="14"/>
  <c r="F4" i="14"/>
  <c r="G4" i="14"/>
  <c r="H4" i="14"/>
  <c r="I4" i="14"/>
  <c r="J4" i="14"/>
  <c r="K4" i="14"/>
  <c r="L4" i="14"/>
  <c r="M4" i="14"/>
  <c r="N4" i="14"/>
  <c r="O4" i="14"/>
  <c r="P4" i="14"/>
  <c r="Q4" i="14"/>
  <c r="R4" i="14"/>
  <c r="S4" i="14"/>
  <c r="T4" i="14"/>
  <c r="U4" i="14"/>
  <c r="V4" i="14"/>
  <c r="W4" i="14"/>
  <c r="X4" i="14"/>
  <c r="Y4" i="14"/>
  <c r="Z4" i="14"/>
  <c r="AA4" i="14"/>
  <c r="AB4" i="14"/>
  <c r="AC4" i="14"/>
  <c r="AD4" i="14"/>
  <c r="AE4" i="14"/>
  <c r="AF4" i="14"/>
  <c r="AG4" i="14"/>
  <c r="AH4" i="14"/>
  <c r="AI4" i="14"/>
  <c r="AJ4" i="14"/>
  <c r="AK4" i="14"/>
  <c r="AL4" i="14"/>
  <c r="AM4" i="14"/>
  <c r="AN4" i="14"/>
  <c r="C5" i="14"/>
  <c r="D5" i="14"/>
  <c r="E5" i="14"/>
  <c r="F5" i="14"/>
  <c r="G5" i="14"/>
  <c r="H5" i="14"/>
  <c r="I5" i="14"/>
  <c r="J5" i="14"/>
  <c r="K5" i="14"/>
  <c r="L5" i="14"/>
  <c r="M5" i="14"/>
  <c r="N5" i="14"/>
  <c r="O5" i="14"/>
  <c r="P5" i="14"/>
  <c r="Q5" i="14"/>
  <c r="R5" i="14"/>
  <c r="S5" i="14"/>
  <c r="T5" i="14"/>
  <c r="U5" i="14"/>
  <c r="V5" i="14"/>
  <c r="W5" i="14"/>
  <c r="X5" i="14"/>
  <c r="Y5" i="14"/>
  <c r="Z5" i="14"/>
  <c r="AA5" i="14"/>
  <c r="AB5" i="14"/>
  <c r="AC5" i="14"/>
  <c r="AD5" i="14"/>
  <c r="AE5" i="14"/>
  <c r="AF5" i="14"/>
  <c r="AG5" i="14"/>
  <c r="AH5" i="14"/>
  <c r="AI5" i="14"/>
  <c r="AJ5" i="14"/>
  <c r="AK5" i="14"/>
  <c r="AL5" i="14"/>
  <c r="AM5" i="14"/>
  <c r="AN5" i="14"/>
  <c r="F4" i="9"/>
  <c r="F4" i="40" s="1"/>
  <c r="H4" i="9"/>
  <c r="H4" i="40" s="1"/>
  <c r="J4" i="9"/>
  <c r="J4" i="40" s="1"/>
  <c r="L4" i="9"/>
  <c r="L4" i="40" s="1"/>
  <c r="N4" i="9"/>
  <c r="N4" i="40" s="1"/>
  <c r="P4" i="9"/>
  <c r="P4" i="40" s="1"/>
  <c r="R4" i="9"/>
  <c r="R4" i="40" s="1"/>
  <c r="T4" i="9"/>
  <c r="T4" i="40" s="1"/>
  <c r="U4" i="9"/>
  <c r="U4" i="40" s="1"/>
  <c r="V4" i="9"/>
  <c r="V4" i="40" s="1"/>
  <c r="W4" i="9"/>
  <c r="W4" i="40" s="1"/>
  <c r="X4" i="9"/>
  <c r="X4" i="40" s="1"/>
  <c r="Y4" i="9"/>
  <c r="Y4" i="40" s="1"/>
  <c r="Z4" i="9"/>
  <c r="Z4" i="40" s="1"/>
  <c r="AA4" i="9"/>
  <c r="AA4" i="40" s="1"/>
  <c r="AB4" i="9"/>
  <c r="AB4" i="40" s="1"/>
  <c r="AC4" i="9"/>
  <c r="AC4" i="40" s="1"/>
  <c r="AD4" i="9"/>
  <c r="AD4" i="40" s="1"/>
  <c r="AE4" i="9"/>
  <c r="AE4" i="40" s="1"/>
  <c r="AF4" i="9"/>
  <c r="AF4" i="40" s="1"/>
  <c r="AG4" i="9"/>
  <c r="AG4" i="40" s="1"/>
  <c r="AH4" i="9"/>
  <c r="AH4" i="40" s="1"/>
  <c r="AI4" i="9"/>
  <c r="AI4" i="40" s="1"/>
  <c r="AJ4" i="9"/>
  <c r="AJ4" i="40" s="1"/>
  <c r="AK4" i="9"/>
  <c r="AK4" i="40" s="1"/>
  <c r="AL4" i="9"/>
  <c r="AL4" i="40" s="1"/>
  <c r="AM4" i="9"/>
  <c r="AM4" i="40" s="1"/>
  <c r="AN4" i="9"/>
  <c r="AN4" i="40" s="1"/>
  <c r="AO4" i="9"/>
  <c r="AO4" i="40" s="1"/>
  <c r="AP4" i="9"/>
  <c r="AP4" i="40" s="1"/>
  <c r="AQ4" i="9"/>
  <c r="AQ4" i="40" s="1"/>
  <c r="F8" i="9"/>
  <c r="F8" i="40" s="1"/>
  <c r="G8" i="9"/>
  <c r="G8" i="40" s="1"/>
  <c r="H8" i="9"/>
  <c r="H8" i="40" s="1"/>
  <c r="I8" i="9"/>
  <c r="I8" i="40" s="1"/>
  <c r="J8" i="9"/>
  <c r="J8" i="40" s="1"/>
  <c r="K8" i="9"/>
  <c r="K8" i="40" s="1"/>
  <c r="L8" i="9"/>
  <c r="L8" i="40" s="1"/>
  <c r="M8" i="9"/>
  <c r="M8" i="40" s="1"/>
  <c r="N8" i="9"/>
  <c r="N8" i="40" s="1"/>
  <c r="O8" i="9"/>
  <c r="O8" i="40" s="1"/>
  <c r="P8" i="9"/>
  <c r="P8" i="40" s="1"/>
  <c r="Q8" i="9"/>
  <c r="Q8" i="40" s="1"/>
  <c r="R8" i="9"/>
  <c r="R8" i="40" s="1"/>
  <c r="S8" i="9"/>
  <c r="S8" i="40" s="1"/>
  <c r="T8" i="9"/>
  <c r="T8" i="40" s="1"/>
  <c r="U8" i="9"/>
  <c r="U8" i="40" s="1"/>
  <c r="V8" i="9"/>
  <c r="V8" i="40" s="1"/>
  <c r="W8" i="9"/>
  <c r="W8" i="40" s="1"/>
  <c r="X8" i="9"/>
  <c r="X8" i="40" s="1"/>
  <c r="Y8" i="9"/>
  <c r="Y8" i="40" s="1"/>
  <c r="Z8" i="9"/>
  <c r="Z8" i="40" s="1"/>
  <c r="AA8" i="9"/>
  <c r="AA8" i="40" s="1"/>
  <c r="AB8" i="9"/>
  <c r="AB8" i="40" s="1"/>
  <c r="AC8" i="9"/>
  <c r="AC8" i="40" s="1"/>
  <c r="AD8" i="9"/>
  <c r="AD8" i="40" s="1"/>
  <c r="AE8" i="9"/>
  <c r="AE8" i="40" s="1"/>
  <c r="AF8" i="9"/>
  <c r="AF8" i="40" s="1"/>
  <c r="AG8" i="9"/>
  <c r="AG8" i="40" s="1"/>
  <c r="AH8" i="9"/>
  <c r="AH8" i="40" s="1"/>
  <c r="AI8" i="9"/>
  <c r="AI8" i="40" s="1"/>
  <c r="AJ8" i="9"/>
  <c r="AJ8" i="40" s="1"/>
  <c r="AK8" i="9"/>
  <c r="AK8" i="40" s="1"/>
  <c r="AL8" i="9"/>
  <c r="AL8" i="40" s="1"/>
  <c r="AM8" i="9"/>
  <c r="AM8" i="40" s="1"/>
  <c r="AN8" i="9"/>
  <c r="AN8" i="40" s="1"/>
  <c r="AO8" i="9"/>
  <c r="AO8" i="40" s="1"/>
  <c r="AP8" i="9"/>
  <c r="AP8" i="40" s="1"/>
  <c r="AQ8" i="9"/>
  <c r="AQ8" i="40" s="1"/>
  <c r="F5" i="9"/>
  <c r="F5" i="40" s="1"/>
  <c r="G5" i="9"/>
  <c r="G5" i="40" s="1"/>
  <c r="H5" i="9"/>
  <c r="H5" i="40" s="1"/>
  <c r="I5" i="9"/>
  <c r="I5" i="40" s="1"/>
  <c r="J5" i="9"/>
  <c r="J5" i="40" s="1"/>
  <c r="K5" i="9"/>
  <c r="K5" i="40" s="1"/>
  <c r="L5" i="9"/>
  <c r="L5" i="40" s="1"/>
  <c r="M5" i="9"/>
  <c r="M5" i="40" s="1"/>
  <c r="N5" i="9"/>
  <c r="N5" i="40" s="1"/>
  <c r="O5" i="9"/>
  <c r="O5" i="40" s="1"/>
  <c r="P5" i="9"/>
  <c r="P5" i="40" s="1"/>
  <c r="Q5" i="9"/>
  <c r="Q5" i="40" s="1"/>
  <c r="R5" i="9"/>
  <c r="R5" i="40" s="1"/>
  <c r="S5" i="9"/>
  <c r="S5" i="40" s="1"/>
  <c r="T5" i="9"/>
  <c r="T5" i="40" s="1"/>
  <c r="U5" i="9"/>
  <c r="U5" i="40" s="1"/>
  <c r="V5" i="9"/>
  <c r="V5" i="40" s="1"/>
  <c r="W5" i="9"/>
  <c r="W5" i="40" s="1"/>
  <c r="X5" i="9"/>
  <c r="X5" i="40" s="1"/>
  <c r="Y5" i="9"/>
  <c r="Y5" i="40" s="1"/>
  <c r="Z5" i="9"/>
  <c r="Z5" i="40" s="1"/>
  <c r="AA5" i="9"/>
  <c r="AA5" i="40" s="1"/>
  <c r="AB5" i="9"/>
  <c r="AB5" i="40" s="1"/>
  <c r="AC5" i="9"/>
  <c r="AC5" i="40" s="1"/>
  <c r="AD5" i="9"/>
  <c r="AD5" i="40" s="1"/>
  <c r="AE5" i="9"/>
  <c r="AE5" i="40" s="1"/>
  <c r="AF5" i="9"/>
  <c r="AF5" i="40" s="1"/>
  <c r="AG5" i="9"/>
  <c r="AG5" i="40" s="1"/>
  <c r="AH5" i="9"/>
  <c r="AH5" i="40" s="1"/>
  <c r="AI5" i="9"/>
  <c r="AI5" i="40" s="1"/>
  <c r="AJ5" i="9"/>
  <c r="AJ5" i="40" s="1"/>
  <c r="AK5" i="9"/>
  <c r="AK5" i="40" s="1"/>
  <c r="AL5" i="9"/>
  <c r="AL5" i="40" s="1"/>
  <c r="AM5" i="9"/>
  <c r="AM5" i="40" s="1"/>
  <c r="AN5" i="9"/>
  <c r="AN5" i="40" s="1"/>
  <c r="AO5" i="9"/>
  <c r="AO5" i="40" s="1"/>
  <c r="AP5" i="9"/>
  <c r="AP5" i="40" s="1"/>
  <c r="AQ5" i="9"/>
  <c r="AQ5" i="40" s="1"/>
  <c r="G7" i="40"/>
  <c r="H7" i="40"/>
  <c r="I7" i="40"/>
  <c r="J7" i="40"/>
  <c r="K7" i="40"/>
  <c r="L7" i="40"/>
  <c r="O7" i="40"/>
  <c r="P7" i="40"/>
  <c r="Q7" i="40"/>
  <c r="R7" i="40"/>
  <c r="S7" i="40"/>
  <c r="T7" i="40"/>
  <c r="W7" i="40"/>
  <c r="X7" i="40"/>
  <c r="Y7" i="40"/>
  <c r="Z7" i="40"/>
  <c r="AA7" i="40"/>
  <c r="AB7" i="40"/>
  <c r="AE7" i="40"/>
  <c r="AF7" i="40"/>
  <c r="AG7" i="40"/>
  <c r="AH7" i="40"/>
  <c r="AI7" i="40"/>
  <c r="AJ7" i="40"/>
  <c r="AM7" i="40"/>
  <c r="AN7" i="40"/>
  <c r="AO7" i="40"/>
  <c r="AP7" i="40"/>
  <c r="AQ7" i="40"/>
  <c r="G10" i="9"/>
  <c r="G10" i="40" s="1"/>
  <c r="J10" i="9"/>
  <c r="J10" i="40" s="1"/>
  <c r="K10" i="9"/>
  <c r="K10" i="40" s="1"/>
  <c r="L10" i="9"/>
  <c r="L10" i="40" s="1"/>
  <c r="M10" i="9"/>
  <c r="M10" i="40" s="1"/>
  <c r="O10" i="9"/>
  <c r="O10" i="40" s="1"/>
  <c r="R10" i="9"/>
  <c r="R10" i="40" s="1"/>
  <c r="S10" i="9"/>
  <c r="S10" i="40" s="1"/>
  <c r="T10" i="9"/>
  <c r="T10" i="40" s="1"/>
  <c r="U10" i="9"/>
  <c r="U10" i="40" s="1"/>
  <c r="V10" i="9"/>
  <c r="V10" i="40" s="1"/>
  <c r="X10" i="9"/>
  <c r="X10" i="40" s="1"/>
  <c r="AA10" i="9"/>
  <c r="AA10" i="40" s="1"/>
  <c r="AB10" i="9"/>
  <c r="AB10" i="40" s="1"/>
  <c r="AC10" i="9"/>
  <c r="AC10" i="40" s="1"/>
  <c r="AD10" i="9"/>
  <c r="AD10" i="40" s="1"/>
  <c r="AF10" i="9"/>
  <c r="AF10" i="40" s="1"/>
  <c r="AH10" i="9"/>
  <c r="AH10" i="40" s="1"/>
  <c r="AI10" i="9"/>
  <c r="AI10" i="40" s="1"/>
  <c r="AJ10" i="9"/>
  <c r="AJ10" i="40" s="1"/>
  <c r="AK10" i="9"/>
  <c r="AK10" i="40" s="1"/>
  <c r="AL10" i="9"/>
  <c r="AL10" i="40" s="1"/>
  <c r="AN10" i="9"/>
  <c r="AN10" i="40" s="1"/>
  <c r="AO10" i="9"/>
  <c r="AO10" i="40" s="1"/>
  <c r="AQ10" i="9"/>
  <c r="AQ10" i="40" s="1"/>
  <c r="D18" i="12" a="1"/>
  <c r="D18" i="12" s="1"/>
  <c r="B18" i="12" a="1"/>
  <c r="B18" i="12" s="1"/>
  <c r="W16" i="19" l="1"/>
  <c r="W17" i="19"/>
  <c r="W15" i="19"/>
  <c r="H15" i="18"/>
  <c r="B8" i="28" s="1"/>
  <c r="H16" i="18"/>
  <c r="C8" i="28" s="1"/>
  <c r="H17" i="18"/>
  <c r="D8" i="28" s="1"/>
  <c r="C10" i="16"/>
  <c r="D10" i="16"/>
  <c r="B10" i="16"/>
  <c r="M16" i="19"/>
  <c r="M17" i="19"/>
  <c r="M15" i="19"/>
  <c r="C15" i="19"/>
  <c r="C17" i="19"/>
  <c r="C16" i="19"/>
  <c r="C16" i="17"/>
  <c r="C17" i="17"/>
  <c r="C15" i="17"/>
  <c r="D2" i="17"/>
  <c r="C2" i="17"/>
  <c r="B2" i="17"/>
  <c r="C16" i="12"/>
  <c r="C7" i="9" s="1"/>
  <c r="C17" i="12"/>
  <c r="D7" i="9" s="1"/>
  <c r="C15" i="12"/>
  <c r="B7" i="9" s="1"/>
  <c r="E16" i="12"/>
  <c r="E17" i="12"/>
  <c r="E15" i="12"/>
  <c r="C10" i="19"/>
  <c r="B10" i="19"/>
  <c r="D10" i="19"/>
  <c r="H15" i="19"/>
  <c r="H16" i="19"/>
  <c r="H17" i="19"/>
  <c r="B8" i="19"/>
  <c r="D8" i="29"/>
  <c r="D8" i="19"/>
  <c r="C8" i="29"/>
  <c r="C8" i="19"/>
  <c r="B8" i="29"/>
  <c r="D8" i="18"/>
  <c r="C8" i="18"/>
  <c r="H18" i="14" a="1"/>
  <c r="H18" i="14" s="1"/>
  <c r="E2" i="38"/>
  <c r="D18" i="14" a="1"/>
  <c r="D18" i="14" s="1"/>
  <c r="F18" i="14" a="1"/>
  <c r="F18" i="14" s="1"/>
  <c r="E2" i="6"/>
  <c r="E2" i="37" s="1"/>
  <c r="B18" i="14" a="1"/>
  <c r="B18" i="14" s="1"/>
  <c r="E10" i="9"/>
  <c r="E10" i="40" s="1"/>
  <c r="P18" i="12" a="1"/>
  <c r="P18" i="12" s="1"/>
  <c r="N18" i="12" a="1"/>
  <c r="N18" i="12" s="1"/>
  <c r="E8" i="9"/>
  <c r="E8" i="40" s="1"/>
  <c r="H18" i="12" a="1"/>
  <c r="H18" i="12" s="1"/>
  <c r="E4" i="9"/>
  <c r="E4" i="40" s="1"/>
  <c r="F18" i="12" a="1"/>
  <c r="F18" i="12" s="1"/>
  <c r="L18" i="12" a="1"/>
  <c r="L18" i="12" s="1"/>
  <c r="E5" i="9"/>
  <c r="E5" i="40" s="1"/>
  <c r="J18" i="12" a="1"/>
  <c r="J18" i="12" s="1"/>
  <c r="AL7" i="40"/>
  <c r="AD7" i="40"/>
  <c r="V7" i="40"/>
  <c r="N7" i="40"/>
  <c r="F7" i="40"/>
  <c r="AK7" i="40"/>
  <c r="AC7" i="40"/>
  <c r="U7" i="40"/>
  <c r="M7" i="40"/>
  <c r="AQ6" i="40"/>
  <c r="AI6" i="40"/>
  <c r="AA6" i="40"/>
  <c r="S6" i="40"/>
  <c r="K6" i="40"/>
  <c r="E7" i="40"/>
  <c r="AP6" i="40"/>
  <c r="AH6" i="40"/>
  <c r="Z6" i="40"/>
  <c r="R6" i="40"/>
  <c r="J6" i="40"/>
  <c r="AO6" i="40"/>
  <c r="AG6" i="40"/>
  <c r="Y6" i="40"/>
  <c r="Q6" i="40"/>
  <c r="I6" i="40"/>
  <c r="AN6" i="40"/>
  <c r="AF6" i="40"/>
  <c r="X6" i="40"/>
  <c r="P6" i="40"/>
  <c r="H6" i="40"/>
  <c r="AM6" i="40"/>
  <c r="AE6" i="40"/>
  <c r="W6" i="40"/>
  <c r="O6" i="40"/>
  <c r="G6" i="40"/>
  <c r="AL6" i="40"/>
  <c r="AD6" i="40"/>
  <c r="V6" i="40"/>
  <c r="N6" i="40"/>
  <c r="F6" i="40"/>
  <c r="E6" i="40"/>
  <c r="AK6" i="40"/>
  <c r="AC6" i="40"/>
  <c r="U6" i="40"/>
  <c r="M6" i="40"/>
  <c r="AJ6" i="40"/>
  <c r="AB6" i="40"/>
  <c r="T6" i="40"/>
  <c r="L6" i="40"/>
  <c r="C2" i="27"/>
  <c r="B2" i="27"/>
  <c r="D2" i="27"/>
  <c r="M4" i="9"/>
  <c r="M4" i="40" s="1"/>
  <c r="S4" i="9"/>
  <c r="S4" i="40" s="1"/>
  <c r="K4" i="9"/>
  <c r="K4" i="40" s="1"/>
  <c r="Q4" i="9"/>
  <c r="Q4" i="40" s="1"/>
  <c r="I4" i="9"/>
  <c r="I4" i="40" s="1"/>
  <c r="O4" i="9"/>
  <c r="O4" i="40" s="1"/>
  <c r="G4" i="9"/>
  <c r="G4" i="40" s="1"/>
  <c r="B6" i="9" l="1"/>
  <c r="D6" i="9"/>
  <c r="C6" i="9"/>
  <c r="I16" i="12"/>
  <c r="I17" i="12"/>
  <c r="I15" i="12"/>
  <c r="O16" i="12"/>
  <c r="O17" i="12"/>
  <c r="O15" i="12"/>
  <c r="K17" i="12"/>
  <c r="K15" i="12"/>
  <c r="K16" i="12"/>
  <c r="Q16" i="12"/>
  <c r="Q17" i="12"/>
  <c r="Q15" i="12"/>
  <c r="G16" i="12"/>
  <c r="G17" i="12"/>
  <c r="G15" i="12"/>
  <c r="I16" i="14"/>
  <c r="C2" i="8" s="1"/>
  <c r="C2" i="39" s="1"/>
  <c r="I17" i="14"/>
  <c r="D2" i="8" s="1"/>
  <c r="D2" i="39" s="1"/>
  <c r="I15" i="14"/>
  <c r="B2" i="8" s="1"/>
  <c r="B2" i="39" s="1"/>
  <c r="G16" i="14"/>
  <c r="G17" i="14"/>
  <c r="G15" i="14"/>
  <c r="C17" i="14"/>
  <c r="C15" i="14"/>
  <c r="B2" i="6" s="1"/>
  <c r="B2" i="37" s="1"/>
  <c r="C16" i="14"/>
  <c r="C2" i="6" s="1"/>
  <c r="C2" i="37" s="1"/>
  <c r="E17" i="14"/>
  <c r="E15" i="14"/>
  <c r="E16" i="14"/>
  <c r="M16" i="12"/>
  <c r="C2" i="9" s="1"/>
  <c r="M17" i="12"/>
  <c r="D2" i="9" s="1"/>
  <c r="M15" i="12"/>
  <c r="B2" i="9" s="1"/>
  <c r="D2" i="18"/>
  <c r="D2" i="28"/>
  <c r="C2" i="18"/>
  <c r="C2" i="28"/>
  <c r="B2" i="18"/>
  <c r="B2" i="28"/>
  <c r="C2" i="29"/>
  <c r="C2" i="19"/>
  <c r="B2" i="29"/>
  <c r="B2" i="19"/>
  <c r="D2" i="29"/>
  <c r="D2" i="19"/>
  <c r="D10" i="29"/>
  <c r="C10" i="29"/>
  <c r="B10" i="29"/>
  <c r="D4" i="29"/>
  <c r="D4" i="19"/>
  <c r="B4" i="29"/>
  <c r="B4" i="19"/>
  <c r="C4" i="29"/>
  <c r="C4" i="19"/>
  <c r="D7" i="19"/>
  <c r="D7" i="29"/>
  <c r="C7" i="29"/>
  <c r="C7" i="19"/>
  <c r="B7" i="29"/>
  <c r="B7" i="19"/>
  <c r="B8" i="18"/>
  <c r="B10" i="26"/>
  <c r="D10" i="26"/>
  <c r="C10" i="26"/>
  <c r="D2" i="6"/>
  <c r="D2" i="37" s="1"/>
  <c r="D2" i="40" l="1"/>
  <c r="B2" i="40"/>
  <c r="C2" i="40"/>
  <c r="C2" i="38"/>
  <c r="B2" i="38"/>
  <c r="D2" i="38"/>
  <c r="C4" i="9"/>
  <c r="C4" i="40" s="1"/>
  <c r="B4" i="9"/>
  <c r="B4" i="40" s="1"/>
  <c r="D4" i="9"/>
  <c r="D4" i="40" s="1"/>
  <c r="C8" i="9" l="1"/>
  <c r="C8" i="40" s="1"/>
  <c r="B8" i="9"/>
  <c r="B8" i="40" s="1"/>
  <c r="D8" i="9"/>
  <c r="D8" i="40" s="1"/>
  <c r="D5" i="9" l="1"/>
  <c r="D5" i="40" s="1"/>
  <c r="B5" i="9"/>
  <c r="B5" i="40" s="1"/>
  <c r="C5" i="9"/>
  <c r="C5" i="40" s="1"/>
  <c r="C7" i="40" l="1"/>
  <c r="B7" i="40"/>
  <c r="D7" i="40"/>
  <c r="C6" i="40" l="1"/>
  <c r="C10" i="9"/>
  <c r="C10" i="40" s="1"/>
  <c r="B6" i="40"/>
  <c r="B10" i="9"/>
  <c r="B10" i="40" s="1"/>
  <c r="D10" i="9"/>
  <c r="D10" i="40" s="1"/>
  <c r="D6" i="4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<sst xmlns="http://schemas.openxmlformats.org/spreadsheetml/2006/main" count="1273" uniqueCount="187">
  <si>
    <t>BCEU BAU Components Energy Use</t>
  </si>
  <si>
    <t>Source</t>
  </si>
  <si>
    <t>Lighting</t>
  </si>
  <si>
    <t>Variable: Non Electricity Consumption: Total Final Energy Consumption (Thousand Gigajoule)</t>
  </si>
  <si>
    <t>Scenario: Business as Usual</t>
  </si>
  <si>
    <t>Branch: Demand\Commercial\Office\Conventional Office\Non Electricity Consumption\Gasoil Generator</t>
  </si>
  <si>
    <t>Region: Indonesia</t>
  </si>
  <si>
    <t>Branch</t>
  </si>
  <si>
    <t>Gasoil Generator</t>
  </si>
  <si>
    <t>Biogasoil Generator</t>
  </si>
  <si>
    <t>MDF Generator</t>
  </si>
  <si>
    <t>Year</t>
  </si>
  <si>
    <t>electricity (BTU)</t>
  </si>
  <si>
    <t>coal (BTU)</t>
  </si>
  <si>
    <t>natural gas (BTU)</t>
  </si>
  <si>
    <t>petroleum diesel (BTU)</t>
  </si>
  <si>
    <t>heat (BTU)</t>
  </si>
  <si>
    <t>biomass (BTU)</t>
  </si>
  <si>
    <t>kerosene (BTU)</t>
  </si>
  <si>
    <t>heavy or residual fuel oil (BTU)</t>
  </si>
  <si>
    <t>LPG propane or butane (BTU)</t>
  </si>
  <si>
    <t>hydrogen (BTU)</t>
  </si>
  <si>
    <t>electricity</t>
  </si>
  <si>
    <t>coal</t>
  </si>
  <si>
    <t>natural gas</t>
  </si>
  <si>
    <t>petroleum diesel</t>
  </si>
  <si>
    <t xml:space="preserve">heat </t>
  </si>
  <si>
    <t xml:space="preserve">biomass </t>
  </si>
  <si>
    <t xml:space="preserve">kerosene </t>
  </si>
  <si>
    <t xml:space="preserve">heavy or residual fuel oil </t>
  </si>
  <si>
    <t xml:space="preserve">LPG propane or butane </t>
  </si>
  <si>
    <t xml:space="preserve">hydrogen </t>
  </si>
  <si>
    <t>Variable: Electric Appliances: Total Final Energy Consumption (Million Gigajoule)</t>
  </si>
  <si>
    <t>Branch: Demand\Commercial\Office\Conventional Office\Electric Appliances\Air Conditioner</t>
  </si>
  <si>
    <t>Air Conditioner</t>
  </si>
  <si>
    <t>Lighting and Electronics</t>
  </si>
  <si>
    <t>Elevator or Escalator</t>
  </si>
  <si>
    <t>Other Electricity Use</t>
  </si>
  <si>
    <t>Branch: Demand\Commercial\Hotel\Five Star\Electric Appliances\Air Conditioner</t>
  </si>
  <si>
    <t>Branch: Demand\Commercial\Hotel\Five Star\Non Electricity Consumption\Biomass Heat</t>
  </si>
  <si>
    <t>Biomass Heat</t>
  </si>
  <si>
    <t>Solar Heat</t>
  </si>
  <si>
    <t>Gas Heat</t>
  </si>
  <si>
    <t>Kerosene Heat</t>
  </si>
  <si>
    <t>LPG Heat</t>
  </si>
  <si>
    <t>Branch: Demand\Commercial\Hotel\Four Star\Electric Appliances\Air Conditioner</t>
  </si>
  <si>
    <t>Variable: Non Electricity Consumption: Total Final Energy Consumption (Million Gigajoule)</t>
  </si>
  <si>
    <t>Branch: Demand\Commercial\Hotel\Four Star\Non Electricity Consumption\Biomass Heat</t>
  </si>
  <si>
    <t>Branch: Demand\Commercial\Hotel\Three Star\Electric Appliances\Air Conditioner</t>
  </si>
  <si>
    <t>Branch: Demand\Commercial\Hotel\Three Star\Non Electricity Consumption\Biomass Heat</t>
  </si>
  <si>
    <t>Branch: Demand\Commercial\Hotel\Budget\Electric Appliances\Air Conditioner</t>
  </si>
  <si>
    <t>Branch: Demand\Commercial\Hotel\Budget\Non Electricity Consumption\Biomass Heat</t>
  </si>
  <si>
    <t>Variable: Electric Appliances: Total Final Energy Consumption (Thousand Gigajoule)</t>
  </si>
  <si>
    <t>Branch: Demand\Commercial\Hospital\Class A\Electric Appliances\Air Conditioner</t>
  </si>
  <si>
    <t>Branch: Demand\Commercial\Hospital\Class A\Non Electricity Consumption\Biomass Heat</t>
  </si>
  <si>
    <t>Branch: Demand\Commercial\Hospital\Class B\Electric Appliances\Air Conditioner</t>
  </si>
  <si>
    <t>Branch: Demand\Commercial\Hospital\Class B\Non Electricity Consumption\Biomass Heat</t>
  </si>
  <si>
    <t>Branch: Demand\Commercial\Hospital\Class C\Electric Appliances\Air Conditioner</t>
  </si>
  <si>
    <t>Branch: Demand\Commercial\Hospital\Class C\Non Electricity Consumption\Biomass Heat</t>
  </si>
  <si>
    <t>Branch: Demand\Commercial\Hospital\Class D\Electric Appliances\Air Conditioner</t>
  </si>
  <si>
    <t>Branch: Demand\Commercial\Hospital\Class D\Non Electricity Consumption\Biomass Heat</t>
  </si>
  <si>
    <t>Branch: Demand\Commercial\Hospital\Puskesmas\Electric Appliances\Air Conditioner</t>
  </si>
  <si>
    <t>Branch: Demand\Commercial\Hospital\Puskesmas\Non Electricity Consumption\Biomass Heat</t>
  </si>
  <si>
    <t>Branch: Demand\Commercial\Hospital\Puskesmas Non Ranap\Electric Appliances\Air Conditioner</t>
  </si>
  <si>
    <t>Branch: Demand\Commercial\Hospital\Puskesmas Non Ranap\Non Electricity Consumption\Biomass Heat</t>
  </si>
  <si>
    <t>Branch: Demand\Commercial\Retail\Traditional Market\Electric Appliances\Air Conditioner</t>
  </si>
  <si>
    <t>Variable: Non Electricity Consumption: Total Final Energy Consumption (Gigajoule)</t>
  </si>
  <si>
    <t>Branch: Demand\Commercial\Retail\Traditional Market\Non Electricity Consumption\Gasoil Generator</t>
  </si>
  <si>
    <t>Branch: Demand\Commercial\Retail\Supermall\Electric Appliances\Air Conditioner</t>
  </si>
  <si>
    <t>Branch: Demand\Commercial\Retail\Supermall\Non Electricity Consumption\Gasoil Generator</t>
  </si>
  <si>
    <t>Branch: Demand\Commercial\Retail\Supermarket\Electric Appliances\Air Conditioner</t>
  </si>
  <si>
    <t>Branch: Demand\Commercial\Retail\Supermarket\Non Electricity Consumption\Gasoil Generator</t>
  </si>
  <si>
    <t>Branch: Demand\Commercial\Retail\Minimarket\Electric Appliances\Air Conditioner</t>
  </si>
  <si>
    <t>Branch: Demand\Commercial\Retail\Minimarket\Non Electricity Consumption\Gasoil Generator</t>
  </si>
  <si>
    <t>Branch: Demand\Commercial\Other Public Building\Conventional Public Building\Electric Appliances\Air Conditioner</t>
  </si>
  <si>
    <t>Branch: Demand\Commercial\Other Public Building\Conventional Public Building\Non Electricity Consumption\Kerosene Heat</t>
  </si>
  <si>
    <t>Variable: Water Heater Using LPG: Total Final Energy Consumption (Million Gigajoule)</t>
  </si>
  <si>
    <t>Branch: Demand\Residential\NonElectrical Energy Use\Water Heating\Water Heater Using LPG</t>
  </si>
  <si>
    <t>Water Heater Using LPG</t>
  </si>
  <si>
    <t>Variable: Kerosene: Total Final Energy Consumption (Thousand Gigajoule)</t>
  </si>
  <si>
    <t>Branch: Demand\Residential\NonElectrical Energy Use\Lighting\Kerosene</t>
  </si>
  <si>
    <t>Kerosene</t>
  </si>
  <si>
    <t>Variable: Biogas: Total Final Energy Consumption (Thousand Gigajoule)</t>
  </si>
  <si>
    <t>Branch: Demand\Residential\NonElectrical Energy Use\Cooking\Biogas</t>
  </si>
  <si>
    <t>Biogas</t>
  </si>
  <si>
    <t>Variable: Kerosene Stove: Total Final Energy Consumption (Million Gigajoule)</t>
  </si>
  <si>
    <t>Branch: Demand\Residential\NonElectrical Energy Use\Cooking\Kerosene Stove</t>
  </si>
  <si>
    <t>Kerosene Stove</t>
  </si>
  <si>
    <t>Variable: Biomass Stove: Total Final Energy Consumption (Million Gigajoule)</t>
  </si>
  <si>
    <t>Branch: Demand\Residential\NonElectrical Energy Use\Cooking\Biomass Stove</t>
  </si>
  <si>
    <t>Biomass Stove</t>
  </si>
  <si>
    <t>Variable: Gas Stove using City Gas: Total Final Energy Consumption (Million Gigajoule)</t>
  </si>
  <si>
    <t>Branch: Demand\Residential\NonElectrical Energy Use\Cooking\Gas Stove using City Gas</t>
  </si>
  <si>
    <t>Gas Stove using City Gas</t>
  </si>
  <si>
    <t>Variable: Gas Stove using LPG: Total Final Energy Consumption (Million Gigajoule)</t>
  </si>
  <si>
    <t>Branch: Demand\Residential\NonElectrical Energy Use\Cooking\Gas Stove using LPG</t>
  </si>
  <si>
    <t>Gas Stove using LPG</t>
  </si>
  <si>
    <t>Variable: Water Dispenser: Total Final Energy Consumption (Million Gigajoule)</t>
  </si>
  <si>
    <t>Branch: Demand\Residential\Electricity Appliances\Water Dispenser</t>
  </si>
  <si>
    <t>Water Dispenser</t>
  </si>
  <si>
    <t>Variable: Other Appliances: Total Final Energy Consumption (Million Gigajoule)</t>
  </si>
  <si>
    <t>Branch: Demand\Residential\Electricity Appliances\Other Appliances</t>
  </si>
  <si>
    <t>Other Appliances</t>
  </si>
  <si>
    <t>Variable: Television: Total Final Energy Consumption (Million Gigajoule)</t>
  </si>
  <si>
    <t>Branch: Demand\Residential\Electricity Appliances\Television</t>
  </si>
  <si>
    <t>Television</t>
  </si>
  <si>
    <t>Variable: AC: Total Final Energy Consumption (Million Gigajoule)</t>
  </si>
  <si>
    <t>Branch: Demand\Residential\Electricity Appliances\AC</t>
  </si>
  <si>
    <t>AC</t>
  </si>
  <si>
    <t>Variable: Refrigerator: Total Final Energy Consumption (Million Gigajoule)</t>
  </si>
  <si>
    <t>Branch: Demand\Residential\Electricity Appliances\Refrigerator</t>
  </si>
  <si>
    <t>Refrigerator</t>
  </si>
  <si>
    <t>Variable: Water Pump: Total Final Energy Consumption (Million Gigajoule)</t>
  </si>
  <si>
    <t>Branch: Demand\Residential\Electricity Appliances\Water Pump</t>
  </si>
  <si>
    <t>Water Pump</t>
  </si>
  <si>
    <t>Variable: Fan: Total Final Energy Consumption (Million Gigajoule)</t>
  </si>
  <si>
    <t>Branch: Demand\Residential\Electricity Appliances\Fan</t>
  </si>
  <si>
    <t>Fan</t>
  </si>
  <si>
    <t>Variable: Iron: Total Final Energy Consumption (Million Gigajoule)</t>
  </si>
  <si>
    <t>Branch: Demand\Residential\Electricity Appliances\Iron</t>
  </si>
  <si>
    <t>Iron</t>
  </si>
  <si>
    <t>Variable: Washing Machine: Total Final Energy Consumption (Million Gigajoule)</t>
  </si>
  <si>
    <t>Branch: Demand\Residential\Electricity Appliances\Washing Machine</t>
  </si>
  <si>
    <t>Washing Machine</t>
  </si>
  <si>
    <t>Variable: Rice Cooker: Total Final Energy Consumption (Million Gigajoule)</t>
  </si>
  <si>
    <t>Branch: Demand\Residential\Electricity Appliances\Rice Cooker</t>
  </si>
  <si>
    <t>Rice Cooker</t>
  </si>
  <si>
    <t>Variable: Lighting: Total Final Energy Consumption (Million Gigajoule)</t>
  </si>
  <si>
    <t>Branch: Demand\Residential\Electricity Appliances\Lighting</t>
  </si>
  <si>
    <t>LPG propane or butane (Backcast)</t>
  </si>
  <si>
    <t>Biomass Heat (Backcast)</t>
  </si>
  <si>
    <t>Solar Heat (Backcast)</t>
  </si>
  <si>
    <t>Gas Heat (Backcast)</t>
  </si>
  <si>
    <t>Kerosene Heat (Backcast)</t>
  </si>
  <si>
    <t>Gasoil Generator (Backcast)</t>
  </si>
  <si>
    <t>Biogasoil Generator (Backcast)</t>
  </si>
  <si>
    <t>MDF Generator (Backcast)</t>
  </si>
  <si>
    <t>LPG Heat (Backcast)</t>
  </si>
  <si>
    <t>Air Conditioner (Backcast)</t>
  </si>
  <si>
    <t>Lighting and Electronics  (Backcast)</t>
  </si>
  <si>
    <t>Elevator or Escalator  (Backcast)</t>
  </si>
  <si>
    <t xml:space="preserve">Elevator or Escalator </t>
  </si>
  <si>
    <t xml:space="preserve">Lighting and Electronics  </t>
  </si>
  <si>
    <t>Other Electricity Use  (Backcast)</t>
  </si>
  <si>
    <t>electricity (Backcast)</t>
  </si>
  <si>
    <t>natural gas (Backcast)</t>
  </si>
  <si>
    <t>biomass (Backcast)</t>
  </si>
  <si>
    <t>kerosene (Backcast)</t>
  </si>
  <si>
    <t>Conversion</t>
  </si>
  <si>
    <t>BTU</t>
  </si>
  <si>
    <t>Gigajoule</t>
  </si>
  <si>
    <t>IESR (2024)</t>
  </si>
  <si>
    <t>https://iesr.or.id/en/</t>
  </si>
  <si>
    <t>Comments</t>
  </si>
  <si>
    <t>These data come from the LEAP (Long-range Energy Alternatives Planning) Indonesia model and represent BAU (Business As Usual) scenarios projected for the country. The BAU scenarios assume no significant changes to current energy policies or interventions, providing a baseline for analyzing future energy consumption, emissions, and sectoral growth under existing conditions. This model helps evaluate long-term trends in Indonesia's energy use and environmental impacts, serving as a foundation for comparing potential outcomes from alternative policy scenarios aimed at sustainable development and climate goals.</t>
  </si>
  <si>
    <t>Thousand Gigajoule to Gigajoule</t>
  </si>
  <si>
    <t>Million Gigajoule to Gigajoule</t>
  </si>
  <si>
    <t>Variable: Electric Appliances: Total Final Energy Consumption (Gigajoule)</t>
  </si>
  <si>
    <t>Variable: Water Heater Using LPG: Total Final Energy Consumption (Gigajoule)</t>
  </si>
  <si>
    <t>Variable: Kerosene: Total Final Energy Consumption (Gigajoule)</t>
  </si>
  <si>
    <t>Variable: Biogas: Total Final Energy Consumption (Gigajoule)</t>
  </si>
  <si>
    <t>Variable: Kerosene Stove: Total Final Energy Consumption (Gigajoule)</t>
  </si>
  <si>
    <t>Variable: Biomass Stove: Total Final Energy Consumption (Gigajoule)</t>
  </si>
  <si>
    <t>Variable: Gas Stove using City Gas: Total Final Energy Consumption (Gigajoule)</t>
  </si>
  <si>
    <t>Variable: Gas Stove using LPG: Total Final Energy Consumption (Gigajoule)</t>
  </si>
  <si>
    <t>Variable: Water Dispenser: Total Final Energy Consumption (Gigajoule)</t>
  </si>
  <si>
    <t>Variable: Other Appliances: Total Final Energy Consumption (Gigajoule)</t>
  </si>
  <si>
    <t>Variable: Television: Total Final Energy Consumption (Gigajoule)</t>
  </si>
  <si>
    <t>Variable: AC: Total Final Energy Consumption (Gigajoule)</t>
  </si>
  <si>
    <t>Variable: Refrigerator: Total Final Energy Consumption (Gigajoule)</t>
  </si>
  <si>
    <t>Variable: Water Pump: Total Final Energy Consumption (Gigajoule)</t>
  </si>
  <si>
    <t>Variable: Fan: Total Final Energy Consumption (Gigajoule)</t>
  </si>
  <si>
    <t>Variable: Iron: Total Final Energy Consumption (Gigajoule)</t>
  </si>
  <si>
    <t>Variable: Washing Machine: Total Final Energy Consumption (Gigajoule)</t>
  </si>
  <si>
    <t>Variable: Rice Cooker: Total Final Energy Consumption (Gigajoule)</t>
  </si>
  <si>
    <t>Variable: Lighting: Total Final Energy Consumption (Gigajoule)</t>
  </si>
  <si>
    <t>Branch: Demand\Commercial\Other Public Building\Conventional Public Building\Electric Appliances</t>
  </si>
  <si>
    <t>Kerosene Heat 1</t>
  </si>
  <si>
    <t>Kerosene Heat 2</t>
  </si>
  <si>
    <t>Kerosene Heat3</t>
  </si>
  <si>
    <t>Kerosene Heat4</t>
  </si>
  <si>
    <t>Kerosene Heat5</t>
  </si>
  <si>
    <t>Kerosene Heat6</t>
  </si>
  <si>
    <t>Kerosene Heat7</t>
  </si>
  <si>
    <t>Kerosene Heat8</t>
  </si>
  <si>
    <t>Kerosene Heat9</t>
  </si>
  <si>
    <t>Kerosene Heat10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</si>
</sst>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 #,##0.0_ ;_ * \-#,##0.0_ ;_ * &quot;&quot;\-&quot;&quot;??_ ;_ @_ "/>
  </numFmts>
  <fonts count="12" x14ac:knownFonts="1">
    <font>
      <sz val="12"/>
      <color theme="1"/>
      <name val="Aptos Narrow"/>
      <family val="2"/>
      <scheme val="minor"/>
    </font>
    <font>
      <b/>
      <sz val="11"/>
      <color theme="1"/>
      <name val="Calibri"/>
      <family val="2"/>
    </font>
    <font>
      <b/>
      <sz val="12"/>
      <color theme="1"/>
      <name val="Aptos Narrow"/>
      <scheme val="minor"/>
    </font>
    <font>
      <sz val="12"/>
      <color theme="1"/>
      <name val="Aptos Narrow"/>
      <family val="2"/>
      <scheme val="minor"/>
    </font>
    <font>
      <sz val="12"/>
      <color theme="1"/>
      <name val="Aptos Narrow"/>
      <scheme val="minor"/>
    </font>
    <font>
      <u/>
      <sz val="12"/>
      <color theme="10"/>
      <name val="Aptos Narrow"/>
      <family val="2"/>
      <scheme val="minor"/>
    </font>
    <font>
      <sz val="11"/>
      <color theme="1"/>
      <name val="Aptos Narrow"/>
      <scheme val="minor"/>
    </font>
    <font>
      <b/>
      <sz val="11"/>
      <color theme="1"/>
      <name val="Aptos Narrow"/>
      <scheme val="minor"/>
    </font>
    <font>
      <sz val="12"/>
      <color theme="1"/>
      <name val="Aptos Display"/>
      <scheme val="major"/>
    </font>
    <font>
      <b/>
      <sz val="11"/>
      <color theme="1"/>
      <name val="Aptos Display"/>
      <scheme val="major"/>
    </font>
    <font>
      <b/>
      <sz val="12"/>
      <color theme="1"/>
      <name val="Aptos Display"/>
      <scheme val="major"/>
    </font>
    <font>
      <sz val="11"/>
      <color theme="1"/>
      <name val="Calibri"/>
      <family val="2"/>
    </font>
  </fonts>
  <fills count="6">
    <fill>
      <patternFill patternType="none"/>
    </fill>
    <fill>
      <patternFill patternType="gray125"/>
    </fill>
    <fill>
      <patternFill patternType="solid">
        <fgColor rgb="FFDCDCDC"/>
        <bgColor indexed="64"/>
      </patternFill>
    </fill>
    <fill>
      <patternFill patternType="solid">
        <fgColor rgb="FFE2EDFA"/>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3">
    <xf numFmtId="0" fontId="0" fillId="0" borderId="0"/>
    <xf numFmtId="43" fontId="3" fillId="0" borderId="0" applyFont="0" applyFill="0" applyBorder="0" applyAlignment="0" applyProtection="0"/>
    <xf numFmtId="0" fontId="5" fillId="0" borderId="0" applyNumberFormat="0" applyFill="0" applyBorder="0" applyAlignment="0" applyProtection="0"/>
  </cellStyleXfs>
  <cellXfs count="38">
    <xf numFmtId="0" fontId="0" fillId="0" borderId="0" xfId="0"/>
    <xf numFmtId="0" fontId="1" fillId="0" borderId="0" xfId="0" applyFont="1"/>
    <xf numFmtId="0" fontId="2" fillId="0" borderId="0" xfId="0" applyFont="1" applyAlignment="1">
      <alignment vertical="top"/>
    </xf>
    <xf numFmtId="0" fontId="2" fillId="0" borderId="0" xfId="0" applyFont="1"/>
    <xf numFmtId="11" fontId="0" fillId="0" borderId="0" xfId="0" applyNumberFormat="1" applyAlignment="1">
      <alignment horizontal="left"/>
    </xf>
    <xf numFmtId="0" fontId="0" fillId="2" borderId="0" xfId="0" applyFill="1"/>
    <xf numFmtId="0" fontId="0" fillId="3" borderId="0" xfId="0" applyFill="1"/>
    <xf numFmtId="164" fontId="0" fillId="0" borderId="0" xfId="1" applyNumberFormat="1" applyFont="1"/>
    <xf numFmtId="0" fontId="2" fillId="3" borderId="0" xfId="0" applyFont="1" applyFill="1" applyAlignment="1">
      <alignment horizontal="left"/>
    </xf>
    <xf numFmtId="11" fontId="0" fillId="0" borderId="0" xfId="0" applyNumberFormat="1"/>
    <xf numFmtId="0" fontId="2" fillId="3" borderId="0" xfId="0" applyFont="1" applyFill="1"/>
    <xf numFmtId="0" fontId="0" fillId="0" borderId="0" xfId="1" applyNumberFormat="1" applyFont="1"/>
    <xf numFmtId="0" fontId="2" fillId="0" borderId="0" xfId="0" applyFont="1" applyAlignment="1">
      <alignment horizontal="left"/>
    </xf>
    <xf numFmtId="0" fontId="0" fillId="4" borderId="0" xfId="0" applyFill="1"/>
    <xf numFmtId="11" fontId="0" fillId="4" borderId="0" xfId="0" applyNumberFormat="1" applyFill="1" applyAlignment="1">
      <alignment horizontal="left"/>
    </xf>
    <xf numFmtId="11" fontId="4" fillId="0" borderId="0" xfId="0" applyNumberFormat="1" applyFont="1" applyAlignment="1">
      <alignment horizontal="left"/>
    </xf>
    <xf numFmtId="0" fontId="5" fillId="0" borderId="0" xfId="2"/>
    <xf numFmtId="11" fontId="6" fillId="0" borderId="0" xfId="0" applyNumberFormat="1" applyFont="1" applyAlignment="1">
      <alignment horizontal="left"/>
    </xf>
    <xf numFmtId="11" fontId="0" fillId="5" borderId="1" xfId="0" applyNumberFormat="1" applyFill="1" applyBorder="1"/>
    <xf numFmtId="0" fontId="0" fillId="0" borderId="1" xfId="0" applyBorder="1"/>
    <xf numFmtId="0" fontId="1" fillId="4" borderId="0" xfId="0" applyFont="1" applyFill="1" applyAlignment="1">
      <alignment horizontal="left"/>
    </xf>
    <xf numFmtId="0" fontId="7" fillId="4" borderId="0" xfId="0" applyFont="1" applyFill="1" applyAlignment="1">
      <alignment horizontal="left"/>
    </xf>
    <xf numFmtId="11" fontId="0" fillId="5" borderId="1" xfId="0" applyNumberFormat="1" applyFill="1" applyBorder="1" applyAlignment="1">
      <alignment horizontal="left"/>
    </xf>
    <xf numFmtId="0" fontId="6" fillId="0" borderId="0" xfId="0" applyFont="1"/>
    <xf numFmtId="0" fontId="1" fillId="5" borderId="1" xfId="0" applyFont="1" applyFill="1" applyBorder="1"/>
    <xf numFmtId="0" fontId="0" fillId="5" borderId="1" xfId="0" applyFill="1" applyBorder="1"/>
    <xf numFmtId="0" fontId="1" fillId="5" borderId="1" xfId="0" applyFont="1" applyFill="1" applyBorder="1" applyAlignment="1">
      <alignment horizontal="left"/>
    </xf>
    <xf numFmtId="0" fontId="2" fillId="5" borderId="1" xfId="0" applyFont="1" applyFill="1" applyBorder="1" applyAlignment="1">
      <alignment horizontal="left"/>
    </xf>
    <xf numFmtId="0" fontId="6" fillId="0" borderId="0" xfId="0" applyFont="1" applyAlignment="1">
      <alignment horizontal="left"/>
    </xf>
    <xf numFmtId="0" fontId="2" fillId="5" borderId="1" xfId="0" applyFont="1" applyFill="1" applyBorder="1"/>
    <xf numFmtId="0" fontId="2" fillId="4" borderId="0" xfId="0" applyFont="1" applyFill="1" applyAlignment="1">
      <alignment horizontal="left"/>
    </xf>
    <xf numFmtId="0" fontId="0" fillId="0" borderId="0" xfId="0" applyAlignment="1">
      <alignment vertical="top" wrapText="1"/>
    </xf>
    <xf numFmtId="11" fontId="8" fillId="0" borderId="0" xfId="0" applyNumberFormat="1" applyFont="1" applyAlignment="1">
      <alignment horizontal="left"/>
    </xf>
    <xf numFmtId="0" fontId="9" fillId="0" borderId="0" xfId="0" applyFont="1"/>
    <xf numFmtId="0" fontId="10" fillId="3" borderId="0" xfId="0" applyFont="1" applyFill="1" applyAlignment="1">
      <alignment horizontal="left"/>
    </xf>
    <xf numFmtId="11" fontId="0" fillId="0" borderId="0" xfId="1" applyNumberFormat="1" applyFont="1"/>
    <xf numFmtId="11" fontId="0" fillId="5" borderId="1" xfId="1" applyNumberFormat="1" applyFont="1" applyFill="1" applyBorder="1"/>
    <xf numFmtId="0" fontId="11" fillId="0" borderId="0" xfId="0" applyFont="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'Commercial-Conversion'!$A$216:$A$226</c:f>
              <c:strCache>
                <c:ptCount val="11"/>
                <c:pt idx="0">
                  <c:v>Branch</c:v>
                </c:pt>
                <c:pt idx="1">
                  <c:v>Kerosene Heat 1</c:v>
                </c:pt>
                <c:pt idx="2">
                  <c:v>Kerosene Heat 2</c:v>
                </c:pt>
                <c:pt idx="3">
                  <c:v>Kerosene Heat3</c:v>
                </c:pt>
                <c:pt idx="4">
                  <c:v>Kerosene Heat4</c:v>
                </c:pt>
                <c:pt idx="5">
                  <c:v>Kerosene Heat5</c:v>
                </c:pt>
                <c:pt idx="6">
                  <c:v>Kerosene Heat6</c:v>
                </c:pt>
                <c:pt idx="7">
                  <c:v>Kerosene Heat7</c:v>
                </c:pt>
                <c:pt idx="8">
                  <c:v>Kerosene Heat8</c:v>
                </c:pt>
                <c:pt idx="9">
                  <c:v>Kerosene Heat9</c:v>
                </c:pt>
                <c:pt idx="10">
                  <c:v>Kerosene Heat10</c:v>
                </c:pt>
              </c:strCache>
            </c:strRef>
          </c:cat>
          <c:val>
            <c:numRef>
              <c:f>'Commercial-Conversion'!$B$216:$B$226</c:f>
              <c:numCache>
                <c:formatCode>General</c:formatCode>
                <c:ptCount val="11"/>
                <c:pt idx="0">
                  <c:v>2022</c:v>
                </c:pt>
                <c:pt idx="1">
                  <c:v>21962.709867912006</c:v>
                </c:pt>
                <c:pt idx="2">
                  <c:v>48138.709563875731</c:v>
                </c:pt>
                <c:pt idx="3">
                  <c:v>36141.731313385033</c:v>
                </c:pt>
                <c:pt idx="4">
                  <c:v>60451.779913740364</c:v>
                </c:pt>
                <c:pt idx="5">
                  <c:v>6767.6886961040746</c:v>
                </c:pt>
                <c:pt idx="6">
                  <c:v>34305.10609397541</c:v>
                </c:pt>
                <c:pt idx="7">
                  <c:v>22103.79945488086</c:v>
                </c:pt>
                <c:pt idx="8">
                  <c:v>5252.4870460828843</c:v>
                </c:pt>
                <c:pt idx="9">
                  <c:v>22894.173696100952</c:v>
                </c:pt>
                <c:pt idx="10">
                  <c:v>33827.128214243843</c:v>
                </c:pt>
              </c:numCache>
            </c:numRef>
          </c:val>
          <c:extLst>
            <c:ext xmlns:c16="http://schemas.microsoft.com/office/drawing/2014/chart" uri="{C3380CC4-5D6E-409C-BE32-E72D297353CC}">
              <c16:uniqueId val="{00000000-32A1-7B4C-BF2F-83947A3F35D7}"/>
            </c:ext>
          </c:extLst>
        </c:ser>
        <c:dLbls>
          <c:showLegendKey val="0"/>
          <c:showVal val="0"/>
          <c:showCatName val="0"/>
          <c:showSerName val="0"/>
          <c:showPercent val="0"/>
          <c:showBubbleSize val="0"/>
        </c:dLbls>
        <c:gapWidth val="219"/>
        <c:overlap val="-27"/>
        <c:axId val="2063140927"/>
        <c:axId val="1919011167"/>
      </c:barChart>
      <c:catAx>
        <c:axId val="206314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011167"/>
        <c:crosses val="autoZero"/>
        <c:auto val="1"/>
        <c:lblAlgn val="ctr"/>
        <c:lblOffset val="100"/>
        <c:noMultiLvlLbl val="0"/>
      </c:catAx>
      <c:valAx>
        <c:axId val="191901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1409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4"/>
          <c:order val="0"/>
          <c:tx>
            <c:strRef>
              <c:f>'Commercial-Conversion'!$A$221</c:f>
              <c:strCache>
                <c:ptCount val="1"/>
                <c:pt idx="0">
                  <c:v>Kerosene Heat5</c:v>
                </c:pt>
              </c:strCache>
            </c:strRef>
          </c:tx>
          <c:spPr>
            <a:ln w="28575" cap="rnd">
              <a:solidFill>
                <a:schemeClr val="accent5"/>
              </a:solidFill>
              <a:round/>
            </a:ln>
            <a:effectLst/>
          </c:spPr>
          <c:marker>
            <c:symbol val="none"/>
          </c:marker>
          <c:cat>
            <c:numRef>
              <c:f>'Commercial-Conversion'!$B$216:$AN$216</c:f>
              <c:numCache>
                <c:formatCode>General</c:formatCode>
                <c:ptCount val="3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numCache>
            </c:numRef>
          </c:cat>
          <c:val>
            <c:numRef>
              <c:f>'Commercial-Conversion'!$B$221:$AN$221</c:f>
              <c:numCache>
                <c:formatCode>General</c:formatCode>
                <c:ptCount val="39"/>
                <c:pt idx="0">
                  <c:v>6767.6886961040746</c:v>
                </c:pt>
                <c:pt idx="1">
                  <c:v>6790.830418392984</c:v>
                </c:pt>
                <c:pt idx="2">
                  <c:v>6813.9721406818935</c:v>
                </c:pt>
                <c:pt idx="3">
                  <c:v>6837.1138629708021</c:v>
                </c:pt>
                <c:pt idx="4">
                  <c:v>6899.0176469743355</c:v>
                </c:pt>
                <c:pt idx="5">
                  <c:v>6960.9214309778663</c:v>
                </c:pt>
                <c:pt idx="6">
                  <c:v>7022.8252149814007</c:v>
                </c:pt>
                <c:pt idx="7">
                  <c:v>7084.7289989849351</c:v>
                </c:pt>
                <c:pt idx="8">
                  <c:v>7146.6327829884685</c:v>
                </c:pt>
                <c:pt idx="9">
                  <c:v>7198.6271770953654</c:v>
                </c:pt>
                <c:pt idx="10">
                  <c:v>7250.6215712022649</c:v>
                </c:pt>
                <c:pt idx="11">
                  <c:v>7302.6159653091618</c:v>
                </c:pt>
                <c:pt idx="12">
                  <c:v>7354.6103594160586</c:v>
                </c:pt>
                <c:pt idx="13">
                  <c:v>7406.6047535229591</c:v>
                </c:pt>
                <c:pt idx="14">
                  <c:v>7448.5752017169425</c:v>
                </c:pt>
                <c:pt idx="15">
                  <c:v>7490.5456499109241</c:v>
                </c:pt>
                <c:pt idx="16">
                  <c:v>7532.5160981049085</c:v>
                </c:pt>
                <c:pt idx="17">
                  <c:v>7574.4865462988919</c:v>
                </c:pt>
                <c:pt idx="18">
                  <c:v>7616.4569944928771</c:v>
                </c:pt>
                <c:pt idx="19">
                  <c:v>7648.6235287452291</c:v>
                </c:pt>
                <c:pt idx="20">
                  <c:v>7680.7900629975857</c:v>
                </c:pt>
                <c:pt idx="21">
                  <c:v>7712.9565972499386</c:v>
                </c:pt>
                <c:pt idx="22">
                  <c:v>7745.1231315022942</c:v>
                </c:pt>
                <c:pt idx="23">
                  <c:v>7777.2896657546489</c:v>
                </c:pt>
                <c:pt idx="24">
                  <c:v>7800.0496982606664</c:v>
                </c:pt>
                <c:pt idx="25">
                  <c:v>7822.8097307666858</c:v>
                </c:pt>
                <c:pt idx="26">
                  <c:v>7845.5697632727042</c:v>
                </c:pt>
                <c:pt idx="27">
                  <c:v>7868.3297957787217</c:v>
                </c:pt>
                <c:pt idx="28">
                  <c:v>7891.0898282847411</c:v>
                </c:pt>
                <c:pt idx="29">
                  <c:v>7891.0898282847411</c:v>
                </c:pt>
                <c:pt idx="30">
                  <c:v>7891.0898282847411</c:v>
                </c:pt>
                <c:pt idx="31">
                  <c:v>7891.0898282847411</c:v>
                </c:pt>
                <c:pt idx="32">
                  <c:v>7891.0898282847411</c:v>
                </c:pt>
                <c:pt idx="33">
                  <c:v>7891.0898282847411</c:v>
                </c:pt>
                <c:pt idx="34">
                  <c:v>7891.0898282847411</c:v>
                </c:pt>
                <c:pt idx="35">
                  <c:v>7891.0898282847411</c:v>
                </c:pt>
                <c:pt idx="36">
                  <c:v>7891.0898282847411</c:v>
                </c:pt>
                <c:pt idx="37">
                  <c:v>7891.0898282847411</c:v>
                </c:pt>
                <c:pt idx="38">
                  <c:v>7891.0898282847411</c:v>
                </c:pt>
              </c:numCache>
            </c:numRef>
          </c:val>
          <c:smooth val="0"/>
          <c:extLst>
            <c:ext xmlns:c16="http://schemas.microsoft.com/office/drawing/2014/chart" uri="{C3380CC4-5D6E-409C-BE32-E72D297353CC}">
              <c16:uniqueId val="{00000004-40FB-8E47-B2FB-A3873C1E13E9}"/>
            </c:ext>
          </c:extLst>
        </c:ser>
        <c:ser>
          <c:idx val="5"/>
          <c:order val="1"/>
          <c:tx>
            <c:strRef>
              <c:f>'Commercial-Conversion'!$A$222</c:f>
              <c:strCache>
                <c:ptCount val="1"/>
                <c:pt idx="0">
                  <c:v>Kerosene Heat6</c:v>
                </c:pt>
              </c:strCache>
            </c:strRef>
          </c:tx>
          <c:spPr>
            <a:ln w="28575" cap="rnd">
              <a:solidFill>
                <a:schemeClr val="accent6"/>
              </a:solidFill>
              <a:round/>
            </a:ln>
            <a:effectLst/>
          </c:spPr>
          <c:marker>
            <c:symbol val="none"/>
          </c:marker>
          <c:cat>
            <c:numRef>
              <c:f>'Commercial-Conversion'!$B$216:$AN$216</c:f>
              <c:numCache>
                <c:formatCode>General</c:formatCode>
                <c:ptCount val="3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numCache>
            </c:numRef>
          </c:cat>
          <c:val>
            <c:numRef>
              <c:f>'Commercial-Conversion'!$B$222:$AN$222</c:f>
              <c:numCache>
                <c:formatCode>General</c:formatCode>
                <c:ptCount val="39"/>
                <c:pt idx="0">
                  <c:v>34305.10609397541</c:v>
                </c:pt>
                <c:pt idx="1">
                  <c:v>34422.410431389064</c:v>
                </c:pt>
                <c:pt idx="2">
                  <c:v>34539.714768802703</c:v>
                </c:pt>
                <c:pt idx="3">
                  <c:v>34657.019106216343</c:v>
                </c:pt>
                <c:pt idx="4">
                  <c:v>34970.806570920846</c:v>
                </c:pt>
                <c:pt idx="5">
                  <c:v>35284.594035625341</c:v>
                </c:pt>
                <c:pt idx="6">
                  <c:v>35598.38150032983</c:v>
                </c:pt>
                <c:pt idx="7">
                  <c:v>35912.168965034325</c:v>
                </c:pt>
                <c:pt idx="8">
                  <c:v>36225.956429738806</c:v>
                </c:pt>
                <c:pt idx="9">
                  <c:v>36489.513647900436</c:v>
                </c:pt>
                <c:pt idx="10">
                  <c:v>36753.070866062073</c:v>
                </c:pt>
                <c:pt idx="11">
                  <c:v>37016.628084223703</c:v>
                </c:pt>
                <c:pt idx="12">
                  <c:v>37280.185302385325</c:v>
                </c:pt>
                <c:pt idx="13">
                  <c:v>37543.742520546963</c:v>
                </c:pt>
                <c:pt idx="14">
                  <c:v>37756.488812931122</c:v>
                </c:pt>
                <c:pt idx="15">
                  <c:v>37969.235105315282</c:v>
                </c:pt>
                <c:pt idx="16">
                  <c:v>38181.981397699434</c:v>
                </c:pt>
                <c:pt idx="17">
                  <c:v>38394.727690083593</c:v>
                </c:pt>
                <c:pt idx="18">
                  <c:v>38607.473982467745</c:v>
                </c:pt>
                <c:pt idx="19">
                  <c:v>38770.524681126175</c:v>
                </c:pt>
                <c:pt idx="20">
                  <c:v>38933.575379784605</c:v>
                </c:pt>
                <c:pt idx="21">
                  <c:v>39096.62607844302</c:v>
                </c:pt>
                <c:pt idx="22">
                  <c:v>39259.676777101464</c:v>
                </c:pt>
                <c:pt idx="23">
                  <c:v>39422.727475759886</c:v>
                </c:pt>
                <c:pt idx="24">
                  <c:v>39538.097045029637</c:v>
                </c:pt>
                <c:pt idx="25">
                  <c:v>39653.466614299388</c:v>
                </c:pt>
                <c:pt idx="26">
                  <c:v>39768.836183569147</c:v>
                </c:pt>
                <c:pt idx="27">
                  <c:v>39884.205752838898</c:v>
                </c:pt>
                <c:pt idx="28">
                  <c:v>39999.575322108649</c:v>
                </c:pt>
                <c:pt idx="29">
                  <c:v>39999.575322108649</c:v>
                </c:pt>
                <c:pt idx="30">
                  <c:v>39999.575322108649</c:v>
                </c:pt>
                <c:pt idx="31">
                  <c:v>39999.575322108649</c:v>
                </c:pt>
                <c:pt idx="32">
                  <c:v>39999.575322108649</c:v>
                </c:pt>
                <c:pt idx="33">
                  <c:v>39999.575322108649</c:v>
                </c:pt>
                <c:pt idx="34">
                  <c:v>39999.575322108649</c:v>
                </c:pt>
                <c:pt idx="35">
                  <c:v>39999.575322108649</c:v>
                </c:pt>
                <c:pt idx="36">
                  <c:v>39999.575322108649</c:v>
                </c:pt>
                <c:pt idx="37">
                  <c:v>39999.575322108649</c:v>
                </c:pt>
                <c:pt idx="38">
                  <c:v>39999.575322108649</c:v>
                </c:pt>
              </c:numCache>
            </c:numRef>
          </c:val>
          <c:smooth val="0"/>
          <c:extLst>
            <c:ext xmlns:c16="http://schemas.microsoft.com/office/drawing/2014/chart" uri="{C3380CC4-5D6E-409C-BE32-E72D297353CC}">
              <c16:uniqueId val="{00000005-40FB-8E47-B2FB-A3873C1E13E9}"/>
            </c:ext>
          </c:extLst>
        </c:ser>
        <c:ser>
          <c:idx val="6"/>
          <c:order val="2"/>
          <c:tx>
            <c:strRef>
              <c:f>'Commercial-Conversion'!$A$223</c:f>
              <c:strCache>
                <c:ptCount val="1"/>
                <c:pt idx="0">
                  <c:v>Kerosene Heat7</c:v>
                </c:pt>
              </c:strCache>
            </c:strRef>
          </c:tx>
          <c:spPr>
            <a:ln w="28575" cap="rnd">
              <a:solidFill>
                <a:schemeClr val="accent1">
                  <a:lumMod val="60000"/>
                </a:schemeClr>
              </a:solidFill>
              <a:round/>
            </a:ln>
            <a:effectLst/>
          </c:spPr>
          <c:marker>
            <c:symbol val="none"/>
          </c:marker>
          <c:cat>
            <c:numRef>
              <c:f>'Commercial-Conversion'!$B$216:$AN$216</c:f>
              <c:numCache>
                <c:formatCode>General</c:formatCode>
                <c:ptCount val="3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numCache>
            </c:numRef>
          </c:cat>
          <c:val>
            <c:numRef>
              <c:f>'Commercial-Conversion'!$B$223:$AN$223</c:f>
              <c:numCache>
                <c:formatCode>General</c:formatCode>
                <c:ptCount val="39"/>
                <c:pt idx="0">
                  <c:v>22103.79945488086</c:v>
                </c:pt>
                <c:pt idx="1">
                  <c:v>22179.382125935022</c:v>
                </c:pt>
                <c:pt idx="2">
                  <c:v>22254.964796989174</c:v>
                </c:pt>
                <c:pt idx="3">
                  <c:v>22330.547468043336</c:v>
                </c:pt>
                <c:pt idx="4">
                  <c:v>22532.730057780365</c:v>
                </c:pt>
                <c:pt idx="5">
                  <c:v>22734.912647517402</c:v>
                </c:pt>
                <c:pt idx="6">
                  <c:v>22937.095237254431</c:v>
                </c:pt>
                <c:pt idx="7">
                  <c:v>23139.277826991467</c:v>
                </c:pt>
                <c:pt idx="8">
                  <c:v>23341.4604167285</c:v>
                </c:pt>
                <c:pt idx="9">
                  <c:v>23511.278165700689</c:v>
                </c:pt>
                <c:pt idx="10">
                  <c:v>23681.095914672878</c:v>
                </c:pt>
                <c:pt idx="11">
                  <c:v>23850.91366364506</c:v>
                </c:pt>
                <c:pt idx="12">
                  <c:v>24020.731412617246</c:v>
                </c:pt>
                <c:pt idx="13">
                  <c:v>24190.549161589439</c:v>
                </c:pt>
                <c:pt idx="14">
                  <c:v>24327.627920907267</c:v>
                </c:pt>
                <c:pt idx="15">
                  <c:v>24464.70668022511</c:v>
                </c:pt>
                <c:pt idx="16">
                  <c:v>24601.785439542939</c:v>
                </c:pt>
                <c:pt idx="17">
                  <c:v>24738.864198860774</c:v>
                </c:pt>
                <c:pt idx="18">
                  <c:v>24875.94295817861</c:v>
                </c:pt>
                <c:pt idx="19">
                  <c:v>24981.001369432346</c:v>
                </c:pt>
                <c:pt idx="20">
                  <c:v>25086.059780686093</c:v>
                </c:pt>
                <c:pt idx="21">
                  <c:v>25191.118191939837</c:v>
                </c:pt>
                <c:pt idx="22">
                  <c:v>25296.176603193577</c:v>
                </c:pt>
                <c:pt idx="23">
                  <c:v>25401.235014447317</c:v>
                </c:pt>
                <c:pt idx="24">
                  <c:v>25475.571056882192</c:v>
                </c:pt>
                <c:pt idx="25">
                  <c:v>25549.907099317064</c:v>
                </c:pt>
                <c:pt idx="26">
                  <c:v>25624.24314175194</c:v>
                </c:pt>
                <c:pt idx="27">
                  <c:v>25698.579184186812</c:v>
                </c:pt>
                <c:pt idx="28">
                  <c:v>25772.915226621688</c:v>
                </c:pt>
                <c:pt idx="29">
                  <c:v>25772.915226621688</c:v>
                </c:pt>
                <c:pt idx="30">
                  <c:v>25772.915226621688</c:v>
                </c:pt>
                <c:pt idx="31">
                  <c:v>25772.915226621688</c:v>
                </c:pt>
                <c:pt idx="32">
                  <c:v>25772.915226621688</c:v>
                </c:pt>
                <c:pt idx="33">
                  <c:v>25772.915226621688</c:v>
                </c:pt>
                <c:pt idx="34">
                  <c:v>25772.915226621688</c:v>
                </c:pt>
                <c:pt idx="35">
                  <c:v>25772.915226621688</c:v>
                </c:pt>
                <c:pt idx="36">
                  <c:v>25772.915226621688</c:v>
                </c:pt>
                <c:pt idx="37">
                  <c:v>25772.915226621688</c:v>
                </c:pt>
                <c:pt idx="38">
                  <c:v>25772.915226621688</c:v>
                </c:pt>
              </c:numCache>
            </c:numRef>
          </c:val>
          <c:smooth val="0"/>
          <c:extLst>
            <c:ext xmlns:c16="http://schemas.microsoft.com/office/drawing/2014/chart" uri="{C3380CC4-5D6E-409C-BE32-E72D297353CC}">
              <c16:uniqueId val="{00000006-40FB-8E47-B2FB-A3873C1E13E9}"/>
            </c:ext>
          </c:extLst>
        </c:ser>
        <c:ser>
          <c:idx val="7"/>
          <c:order val="3"/>
          <c:tx>
            <c:strRef>
              <c:f>'Commercial-Conversion'!$A$224</c:f>
              <c:strCache>
                <c:ptCount val="1"/>
                <c:pt idx="0">
                  <c:v>Kerosene Heat8</c:v>
                </c:pt>
              </c:strCache>
            </c:strRef>
          </c:tx>
          <c:spPr>
            <a:ln w="28575" cap="rnd">
              <a:solidFill>
                <a:schemeClr val="accent2">
                  <a:lumMod val="60000"/>
                </a:schemeClr>
              </a:solidFill>
              <a:round/>
            </a:ln>
            <a:effectLst/>
          </c:spPr>
          <c:marker>
            <c:symbol val="none"/>
          </c:marker>
          <c:cat>
            <c:numRef>
              <c:f>'Commercial-Conversion'!$B$216:$AN$216</c:f>
              <c:numCache>
                <c:formatCode>General</c:formatCode>
                <c:ptCount val="3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numCache>
            </c:numRef>
          </c:cat>
          <c:val>
            <c:numRef>
              <c:f>'Commercial-Conversion'!$B$224:$AN$224</c:f>
              <c:numCache>
                <c:formatCode>General</c:formatCode>
                <c:ptCount val="39"/>
                <c:pt idx="0">
                  <c:v>5252.4870460828843</c:v>
                </c:pt>
                <c:pt idx="1">
                  <c:v>5270.4476234682652</c:v>
                </c:pt>
                <c:pt idx="2">
                  <c:v>5288.4082008536443</c:v>
                </c:pt>
                <c:pt idx="3">
                  <c:v>5306.3687782390243</c:v>
                </c:pt>
                <c:pt idx="4">
                  <c:v>5354.4130719680261</c:v>
                </c:pt>
                <c:pt idx="5">
                  <c:v>5402.4573656970279</c:v>
                </c:pt>
                <c:pt idx="6">
                  <c:v>5450.5016594260323</c:v>
                </c:pt>
                <c:pt idx="7">
                  <c:v>5498.5459531550341</c:v>
                </c:pt>
                <c:pt idx="8">
                  <c:v>5546.5902468840359</c:v>
                </c:pt>
                <c:pt idx="9">
                  <c:v>5586.9437403407637</c:v>
                </c:pt>
                <c:pt idx="10">
                  <c:v>5627.2972337974916</c:v>
                </c:pt>
                <c:pt idx="11">
                  <c:v>5667.6507272542203</c:v>
                </c:pt>
                <c:pt idx="12">
                  <c:v>5708.0042207109482</c:v>
                </c:pt>
                <c:pt idx="13">
                  <c:v>5748.3577141676769</c:v>
                </c:pt>
                <c:pt idx="14">
                  <c:v>5780.9314990085923</c:v>
                </c:pt>
                <c:pt idx="15">
                  <c:v>5813.5052838495085</c:v>
                </c:pt>
                <c:pt idx="16">
                  <c:v>5846.0790686904256</c:v>
                </c:pt>
                <c:pt idx="17">
                  <c:v>5878.65285353134</c:v>
                </c:pt>
                <c:pt idx="18">
                  <c:v>5911.2266383722563</c:v>
                </c:pt>
                <c:pt idx="19">
                  <c:v>5936.1914841363841</c:v>
                </c:pt>
                <c:pt idx="20">
                  <c:v>5961.156329900512</c:v>
                </c:pt>
                <c:pt idx="21">
                  <c:v>5986.1211756646408</c:v>
                </c:pt>
                <c:pt idx="22">
                  <c:v>6011.0860214287695</c:v>
                </c:pt>
                <c:pt idx="23">
                  <c:v>6036.0508671928983</c:v>
                </c:pt>
                <c:pt idx="24">
                  <c:v>6053.7152104087891</c:v>
                </c:pt>
                <c:pt idx="25">
                  <c:v>6071.3795536246807</c:v>
                </c:pt>
                <c:pt idx="26">
                  <c:v>6089.0438968405706</c:v>
                </c:pt>
                <c:pt idx="27">
                  <c:v>6106.7082400564632</c:v>
                </c:pt>
                <c:pt idx="28">
                  <c:v>6124.372583272353</c:v>
                </c:pt>
                <c:pt idx="29">
                  <c:v>6124.372583272353</c:v>
                </c:pt>
                <c:pt idx="30">
                  <c:v>6124.372583272353</c:v>
                </c:pt>
                <c:pt idx="31">
                  <c:v>6124.372583272353</c:v>
                </c:pt>
                <c:pt idx="32">
                  <c:v>6124.372583272353</c:v>
                </c:pt>
                <c:pt idx="33">
                  <c:v>6124.372583272353</c:v>
                </c:pt>
                <c:pt idx="34">
                  <c:v>6124.372583272353</c:v>
                </c:pt>
                <c:pt idx="35">
                  <c:v>6124.372583272353</c:v>
                </c:pt>
                <c:pt idx="36">
                  <c:v>6124.372583272353</c:v>
                </c:pt>
                <c:pt idx="37">
                  <c:v>6124.372583272353</c:v>
                </c:pt>
                <c:pt idx="38">
                  <c:v>6124.372583272353</c:v>
                </c:pt>
              </c:numCache>
            </c:numRef>
          </c:val>
          <c:smooth val="0"/>
          <c:extLst>
            <c:ext xmlns:c16="http://schemas.microsoft.com/office/drawing/2014/chart" uri="{C3380CC4-5D6E-409C-BE32-E72D297353CC}">
              <c16:uniqueId val="{00000007-40FB-8E47-B2FB-A3873C1E13E9}"/>
            </c:ext>
          </c:extLst>
        </c:ser>
        <c:ser>
          <c:idx val="8"/>
          <c:order val="4"/>
          <c:tx>
            <c:strRef>
              <c:f>'Commercial-Conversion'!$A$225</c:f>
              <c:strCache>
                <c:ptCount val="1"/>
                <c:pt idx="0">
                  <c:v>Kerosene Heat9</c:v>
                </c:pt>
              </c:strCache>
            </c:strRef>
          </c:tx>
          <c:spPr>
            <a:ln w="28575" cap="rnd">
              <a:solidFill>
                <a:schemeClr val="accent3">
                  <a:lumMod val="60000"/>
                </a:schemeClr>
              </a:solidFill>
              <a:round/>
            </a:ln>
            <a:effectLst/>
          </c:spPr>
          <c:marker>
            <c:symbol val="none"/>
          </c:marker>
          <c:cat>
            <c:numRef>
              <c:f>'Commercial-Conversion'!$B$216:$AN$216</c:f>
              <c:numCache>
                <c:formatCode>General</c:formatCode>
                <c:ptCount val="3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numCache>
            </c:numRef>
          </c:cat>
          <c:val>
            <c:numRef>
              <c:f>'Commercial-Conversion'!$B$225:$AN$225</c:f>
              <c:numCache>
                <c:formatCode>General</c:formatCode>
                <c:ptCount val="39"/>
                <c:pt idx="0">
                  <c:v>22894.173696100952</c:v>
                </c:pt>
                <c:pt idx="1">
                  <c:v>22972.459006418816</c:v>
                </c:pt>
                <c:pt idx="2">
                  <c:v>23050.744316736676</c:v>
                </c:pt>
                <c:pt idx="3">
                  <c:v>23129.02962705454</c:v>
                </c:pt>
                <c:pt idx="4">
                  <c:v>23338.441739086036</c:v>
                </c:pt>
                <c:pt idx="5">
                  <c:v>23547.853851117528</c:v>
                </c:pt>
                <c:pt idx="6">
                  <c:v>23757.265963149021</c:v>
                </c:pt>
                <c:pt idx="7">
                  <c:v>23966.678075180513</c:v>
                </c:pt>
                <c:pt idx="8">
                  <c:v>24176.090187212008</c:v>
                </c:pt>
                <c:pt idx="9">
                  <c:v>24351.980176151967</c:v>
                </c:pt>
                <c:pt idx="10">
                  <c:v>24527.870165091928</c:v>
                </c:pt>
                <c:pt idx="11">
                  <c:v>24703.760154031886</c:v>
                </c:pt>
                <c:pt idx="12">
                  <c:v>24879.650142971848</c:v>
                </c:pt>
                <c:pt idx="13">
                  <c:v>25055.54013191181</c:v>
                </c:pt>
                <c:pt idx="14">
                  <c:v>25197.520470281899</c:v>
                </c:pt>
                <c:pt idx="15">
                  <c:v>25339.500808651988</c:v>
                </c:pt>
                <c:pt idx="16">
                  <c:v>25481.481147022077</c:v>
                </c:pt>
                <c:pt idx="17">
                  <c:v>25623.461485392159</c:v>
                </c:pt>
                <c:pt idx="18">
                  <c:v>25765.441823762245</c:v>
                </c:pt>
                <c:pt idx="19">
                  <c:v>25874.256849902395</c:v>
                </c:pt>
                <c:pt idx="20">
                  <c:v>25983.071876042552</c:v>
                </c:pt>
                <c:pt idx="21">
                  <c:v>26091.886902182701</c:v>
                </c:pt>
                <c:pt idx="22">
                  <c:v>26200.701928322862</c:v>
                </c:pt>
                <c:pt idx="23">
                  <c:v>26309.516954463015</c:v>
                </c:pt>
                <c:pt idx="24">
                  <c:v>26386.511059972279</c:v>
                </c:pt>
                <c:pt idx="25">
                  <c:v>26463.505165481543</c:v>
                </c:pt>
                <c:pt idx="26">
                  <c:v>26540.499270990804</c:v>
                </c:pt>
                <c:pt idx="27">
                  <c:v>26617.493376500068</c:v>
                </c:pt>
                <c:pt idx="28">
                  <c:v>26694.487482009332</c:v>
                </c:pt>
                <c:pt idx="29">
                  <c:v>26694.487482009332</c:v>
                </c:pt>
                <c:pt idx="30">
                  <c:v>26694.487482009332</c:v>
                </c:pt>
                <c:pt idx="31">
                  <c:v>26694.487482009332</c:v>
                </c:pt>
                <c:pt idx="32">
                  <c:v>26694.487482009332</c:v>
                </c:pt>
                <c:pt idx="33">
                  <c:v>26694.487482009332</c:v>
                </c:pt>
                <c:pt idx="34">
                  <c:v>26694.487482009332</c:v>
                </c:pt>
                <c:pt idx="35">
                  <c:v>26694.487482009332</c:v>
                </c:pt>
                <c:pt idx="36">
                  <c:v>26694.487482009332</c:v>
                </c:pt>
                <c:pt idx="37">
                  <c:v>26694.487482009332</c:v>
                </c:pt>
                <c:pt idx="38">
                  <c:v>26694.487482009332</c:v>
                </c:pt>
              </c:numCache>
            </c:numRef>
          </c:val>
          <c:smooth val="0"/>
          <c:extLst>
            <c:ext xmlns:c16="http://schemas.microsoft.com/office/drawing/2014/chart" uri="{C3380CC4-5D6E-409C-BE32-E72D297353CC}">
              <c16:uniqueId val="{00000008-40FB-8E47-B2FB-A3873C1E13E9}"/>
            </c:ext>
          </c:extLst>
        </c:ser>
        <c:ser>
          <c:idx val="9"/>
          <c:order val="5"/>
          <c:tx>
            <c:strRef>
              <c:f>'Commercial-Conversion'!$A$226</c:f>
              <c:strCache>
                <c:ptCount val="1"/>
                <c:pt idx="0">
                  <c:v>Kerosene Heat10</c:v>
                </c:pt>
              </c:strCache>
            </c:strRef>
          </c:tx>
          <c:spPr>
            <a:ln w="28575" cap="rnd">
              <a:solidFill>
                <a:schemeClr val="accent4">
                  <a:lumMod val="60000"/>
                </a:schemeClr>
              </a:solidFill>
              <a:round/>
            </a:ln>
            <a:effectLst/>
          </c:spPr>
          <c:marker>
            <c:symbol val="none"/>
          </c:marker>
          <c:cat>
            <c:numRef>
              <c:f>'Commercial-Conversion'!$B$216:$AN$216</c:f>
              <c:numCache>
                <c:formatCode>General</c:formatCode>
                <c:ptCount val="3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numCache>
            </c:numRef>
          </c:cat>
          <c:val>
            <c:numRef>
              <c:f>'Commercial-Conversion'!$B$226:$AN$226</c:f>
              <c:numCache>
                <c:formatCode>General</c:formatCode>
                <c:ptCount val="39"/>
                <c:pt idx="0">
                  <c:v>33827.128214243843</c:v>
                </c:pt>
                <c:pt idx="1">
                  <c:v>33942.798133786091</c:v>
                </c:pt>
                <c:pt idx="2">
                  <c:v>34058.468053328332</c:v>
                </c:pt>
                <c:pt idx="3">
                  <c:v>34174.13797287058</c:v>
                </c:pt>
                <c:pt idx="4">
                  <c:v>34483.553392589856</c:v>
                </c:pt>
                <c:pt idx="5">
                  <c:v>34792.968812309118</c:v>
                </c:pt>
                <c:pt idx="6">
                  <c:v>35102.384232028387</c:v>
                </c:pt>
                <c:pt idx="7">
                  <c:v>35411.799651747657</c:v>
                </c:pt>
                <c:pt idx="8">
                  <c:v>35721.215071466919</c:v>
                </c:pt>
                <c:pt idx="9">
                  <c:v>35981.100109750143</c:v>
                </c:pt>
                <c:pt idx="10">
                  <c:v>36240.985148033375</c:v>
                </c:pt>
                <c:pt idx="11">
                  <c:v>36500.870186316599</c:v>
                </c:pt>
                <c:pt idx="12">
                  <c:v>36760.755224599816</c:v>
                </c:pt>
                <c:pt idx="13">
                  <c:v>37020.640262883047</c:v>
                </c:pt>
                <c:pt idx="14">
                  <c:v>37230.422331181268</c:v>
                </c:pt>
                <c:pt idx="15">
                  <c:v>37440.20439947948</c:v>
                </c:pt>
                <c:pt idx="16">
                  <c:v>37649.986467777686</c:v>
                </c:pt>
                <c:pt idx="17">
                  <c:v>37859.768536075913</c:v>
                </c:pt>
                <c:pt idx="18">
                  <c:v>38069.550604374119</c:v>
                </c:pt>
                <c:pt idx="19">
                  <c:v>38230.329494660356</c:v>
                </c:pt>
                <c:pt idx="20">
                  <c:v>38391.108384946587</c:v>
                </c:pt>
                <c:pt idx="21">
                  <c:v>38551.88727523281</c:v>
                </c:pt>
                <c:pt idx="22">
                  <c:v>38712.66616551904</c:v>
                </c:pt>
                <c:pt idx="23">
                  <c:v>38873.445055805256</c:v>
                </c:pt>
                <c:pt idx="24">
                  <c:v>38987.207164600935</c:v>
                </c:pt>
                <c:pt idx="25">
                  <c:v>39100.969273396615</c:v>
                </c:pt>
                <c:pt idx="26">
                  <c:v>39214.731382192287</c:v>
                </c:pt>
                <c:pt idx="27">
                  <c:v>39328.493490987967</c:v>
                </c:pt>
                <c:pt idx="28">
                  <c:v>39442.255599783646</c:v>
                </c:pt>
                <c:pt idx="29">
                  <c:v>39442.255599783646</c:v>
                </c:pt>
                <c:pt idx="30">
                  <c:v>39442.255599783646</c:v>
                </c:pt>
                <c:pt idx="31">
                  <c:v>39442.255599783646</c:v>
                </c:pt>
                <c:pt idx="32">
                  <c:v>39442.255599783646</c:v>
                </c:pt>
                <c:pt idx="33">
                  <c:v>39442.255599783646</c:v>
                </c:pt>
                <c:pt idx="34">
                  <c:v>39442.255599783646</c:v>
                </c:pt>
                <c:pt idx="35">
                  <c:v>39442.255599783646</c:v>
                </c:pt>
                <c:pt idx="36">
                  <c:v>39442.255599783646</c:v>
                </c:pt>
                <c:pt idx="37">
                  <c:v>39442.255599783646</c:v>
                </c:pt>
                <c:pt idx="38">
                  <c:v>39442.255599783646</c:v>
                </c:pt>
              </c:numCache>
            </c:numRef>
          </c:val>
          <c:smooth val="0"/>
          <c:extLst>
            <c:ext xmlns:c16="http://schemas.microsoft.com/office/drawing/2014/chart" uri="{C3380CC4-5D6E-409C-BE32-E72D297353CC}">
              <c16:uniqueId val="{00000009-40FB-8E47-B2FB-A3873C1E13E9}"/>
            </c:ext>
          </c:extLst>
        </c:ser>
        <c:dLbls>
          <c:showLegendKey val="0"/>
          <c:showVal val="0"/>
          <c:showCatName val="0"/>
          <c:showSerName val="0"/>
          <c:showPercent val="0"/>
          <c:showBubbleSize val="0"/>
        </c:dLbls>
        <c:smooth val="0"/>
        <c:axId val="1996732735"/>
        <c:axId val="1997339871"/>
      </c:lineChart>
      <c:catAx>
        <c:axId val="199673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339871"/>
        <c:crosses val="autoZero"/>
        <c:auto val="1"/>
        <c:lblAlgn val="ctr"/>
        <c:lblOffset val="100"/>
        <c:noMultiLvlLbl val="0"/>
      </c:catAx>
      <c:valAx>
        <c:axId val="199733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732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'Residential-Conversion'!$A$148</c:f>
              <c:strCache>
                <c:ptCount val="1"/>
              </c:strCache>
            </c:strRef>
          </c:tx>
          <c:spPr>
            <a:ln w="28575" cap="rnd">
              <a:solidFill>
                <a:schemeClr val="accent1"/>
              </a:solidFill>
              <a:round/>
            </a:ln>
            <a:effectLst/>
          </c:spPr>
          <c:marker>
            <c:symbol val="none"/>
          </c:marker>
          <c:cat>
            <c:numRef>
              <c:f>'Residential-Conversion'!$B$147:$AN$147</c:f>
              <c:numCache>
                <c:formatCode>General</c:formatCode>
                <c:ptCount val="39"/>
              </c:numCache>
            </c:numRef>
          </c:cat>
          <c:val>
            <c:numRef>
              <c:f>'Residential-Conversion'!$B$148:$AN$148</c:f>
              <c:numCache>
                <c:formatCode>0.00E+00</c:formatCode>
                <c:ptCount val="39"/>
              </c:numCache>
            </c:numRef>
          </c:val>
          <c:smooth val="0"/>
          <c:extLst>
            <c:ext xmlns:c16="http://schemas.microsoft.com/office/drawing/2014/chart" uri="{C3380CC4-5D6E-409C-BE32-E72D297353CC}">
              <c16:uniqueId val="{00000000-2223-9D41-83B4-2643E0B5AA8F}"/>
            </c:ext>
          </c:extLst>
        </c:ser>
        <c:ser>
          <c:idx val="1"/>
          <c:order val="1"/>
          <c:tx>
            <c:strRef>
              <c:f>'Residential-Conversion'!$A$149</c:f>
              <c:strCache>
                <c:ptCount val="1"/>
              </c:strCache>
            </c:strRef>
          </c:tx>
          <c:spPr>
            <a:ln w="28575" cap="rnd">
              <a:solidFill>
                <a:schemeClr val="accent2"/>
              </a:solidFill>
              <a:round/>
            </a:ln>
            <a:effectLst/>
          </c:spPr>
          <c:marker>
            <c:symbol val="none"/>
          </c:marker>
          <c:cat>
            <c:numRef>
              <c:f>'Residential-Conversion'!$B$147:$AN$147</c:f>
              <c:numCache>
                <c:formatCode>General</c:formatCode>
                <c:ptCount val="39"/>
              </c:numCache>
            </c:numRef>
          </c:cat>
          <c:val>
            <c:numRef>
              <c:f>'Residential-Conversion'!$B$149:$AN$149</c:f>
              <c:numCache>
                <c:formatCode>0.00E+00</c:formatCode>
                <c:ptCount val="39"/>
              </c:numCache>
            </c:numRef>
          </c:val>
          <c:smooth val="0"/>
          <c:extLst>
            <c:ext xmlns:c16="http://schemas.microsoft.com/office/drawing/2014/chart" uri="{C3380CC4-5D6E-409C-BE32-E72D297353CC}">
              <c16:uniqueId val="{00000001-2223-9D41-83B4-2643E0B5AA8F}"/>
            </c:ext>
          </c:extLst>
        </c:ser>
        <c:ser>
          <c:idx val="2"/>
          <c:order val="2"/>
          <c:tx>
            <c:strRef>
              <c:f>'Residential-Conversion'!$A$150</c:f>
              <c:strCache>
                <c:ptCount val="1"/>
              </c:strCache>
            </c:strRef>
          </c:tx>
          <c:spPr>
            <a:ln w="28575" cap="rnd">
              <a:solidFill>
                <a:schemeClr val="accent3"/>
              </a:solidFill>
              <a:round/>
            </a:ln>
            <a:effectLst/>
          </c:spPr>
          <c:marker>
            <c:symbol val="none"/>
          </c:marker>
          <c:cat>
            <c:numRef>
              <c:f>'Residential-Conversion'!$B$147:$AN$147</c:f>
              <c:numCache>
                <c:formatCode>General</c:formatCode>
                <c:ptCount val="39"/>
              </c:numCache>
            </c:numRef>
          </c:cat>
          <c:val>
            <c:numRef>
              <c:f>'Residential-Conversion'!$B$150:$AN$150</c:f>
              <c:numCache>
                <c:formatCode>0.00E+00</c:formatCode>
                <c:ptCount val="39"/>
              </c:numCache>
            </c:numRef>
          </c:val>
          <c:smooth val="0"/>
          <c:extLst>
            <c:ext xmlns:c16="http://schemas.microsoft.com/office/drawing/2014/chart" uri="{C3380CC4-5D6E-409C-BE32-E72D297353CC}">
              <c16:uniqueId val="{00000002-2223-9D41-83B4-2643E0B5AA8F}"/>
            </c:ext>
          </c:extLst>
        </c:ser>
        <c:ser>
          <c:idx val="3"/>
          <c:order val="3"/>
          <c:tx>
            <c:strRef>
              <c:f>'Residential-Conversion'!$A$151</c:f>
              <c:strCache>
                <c:ptCount val="1"/>
              </c:strCache>
            </c:strRef>
          </c:tx>
          <c:spPr>
            <a:ln w="28575" cap="rnd">
              <a:solidFill>
                <a:schemeClr val="accent4"/>
              </a:solidFill>
              <a:round/>
            </a:ln>
            <a:effectLst/>
          </c:spPr>
          <c:marker>
            <c:symbol val="none"/>
          </c:marker>
          <c:cat>
            <c:numRef>
              <c:f>'Residential-Conversion'!$B$147:$AN$147</c:f>
              <c:numCache>
                <c:formatCode>General</c:formatCode>
                <c:ptCount val="39"/>
              </c:numCache>
            </c:numRef>
          </c:cat>
          <c:val>
            <c:numRef>
              <c:f>'Residential-Conversion'!$B$151:$AN$151</c:f>
              <c:numCache>
                <c:formatCode>0.00E+00</c:formatCode>
                <c:ptCount val="39"/>
              </c:numCache>
            </c:numRef>
          </c:val>
          <c:smooth val="0"/>
          <c:extLst>
            <c:ext xmlns:c16="http://schemas.microsoft.com/office/drawing/2014/chart" uri="{C3380CC4-5D6E-409C-BE32-E72D297353CC}">
              <c16:uniqueId val="{00000003-2223-9D41-83B4-2643E0B5AA8F}"/>
            </c:ext>
          </c:extLst>
        </c:ser>
        <c:ser>
          <c:idx val="4"/>
          <c:order val="4"/>
          <c:tx>
            <c:strRef>
              <c:f>'Residential-Conversion'!$A$152</c:f>
              <c:strCache>
                <c:ptCount val="1"/>
              </c:strCache>
            </c:strRef>
          </c:tx>
          <c:spPr>
            <a:ln w="28575" cap="rnd">
              <a:solidFill>
                <a:schemeClr val="accent5"/>
              </a:solidFill>
              <a:round/>
            </a:ln>
            <a:effectLst/>
          </c:spPr>
          <c:marker>
            <c:symbol val="none"/>
          </c:marker>
          <c:cat>
            <c:numRef>
              <c:f>'Residential-Conversion'!$B$147:$AN$147</c:f>
              <c:numCache>
                <c:formatCode>General</c:formatCode>
                <c:ptCount val="39"/>
              </c:numCache>
            </c:numRef>
          </c:cat>
          <c:val>
            <c:numRef>
              <c:f>'Residential-Conversion'!$B$152:$AN$152</c:f>
              <c:numCache>
                <c:formatCode>0.00E+00</c:formatCode>
                <c:ptCount val="39"/>
              </c:numCache>
            </c:numRef>
          </c:val>
          <c:smooth val="0"/>
          <c:extLst>
            <c:ext xmlns:c16="http://schemas.microsoft.com/office/drawing/2014/chart" uri="{C3380CC4-5D6E-409C-BE32-E72D297353CC}">
              <c16:uniqueId val="{00000004-2223-9D41-83B4-2643E0B5AA8F}"/>
            </c:ext>
          </c:extLst>
        </c:ser>
        <c:ser>
          <c:idx val="5"/>
          <c:order val="5"/>
          <c:tx>
            <c:strRef>
              <c:f>'Residential-Conversion'!$A$153</c:f>
              <c:strCache>
                <c:ptCount val="1"/>
              </c:strCache>
            </c:strRef>
          </c:tx>
          <c:spPr>
            <a:ln w="28575" cap="rnd">
              <a:solidFill>
                <a:schemeClr val="accent6"/>
              </a:solidFill>
              <a:round/>
            </a:ln>
            <a:effectLst/>
          </c:spPr>
          <c:marker>
            <c:symbol val="none"/>
          </c:marker>
          <c:cat>
            <c:numRef>
              <c:f>'Residential-Conversion'!$B$147:$AN$147</c:f>
              <c:numCache>
                <c:formatCode>General</c:formatCode>
                <c:ptCount val="39"/>
              </c:numCache>
            </c:numRef>
          </c:cat>
          <c:val>
            <c:numRef>
              <c:f>'Residential-Conversion'!$B$153:$AN$153</c:f>
              <c:numCache>
                <c:formatCode>0.00E+00</c:formatCode>
                <c:ptCount val="39"/>
              </c:numCache>
            </c:numRef>
          </c:val>
          <c:smooth val="0"/>
          <c:extLst>
            <c:ext xmlns:c16="http://schemas.microsoft.com/office/drawing/2014/chart" uri="{C3380CC4-5D6E-409C-BE32-E72D297353CC}">
              <c16:uniqueId val="{00000005-2223-9D41-83B4-2643E0B5AA8F}"/>
            </c:ext>
          </c:extLst>
        </c:ser>
        <c:ser>
          <c:idx val="6"/>
          <c:order val="6"/>
          <c:tx>
            <c:strRef>
              <c:f>'Residential-Conversion'!$A$154</c:f>
              <c:strCache>
                <c:ptCount val="1"/>
              </c:strCache>
            </c:strRef>
          </c:tx>
          <c:spPr>
            <a:ln w="28575" cap="rnd">
              <a:solidFill>
                <a:schemeClr val="accent1">
                  <a:lumMod val="60000"/>
                </a:schemeClr>
              </a:solidFill>
              <a:round/>
            </a:ln>
            <a:effectLst/>
          </c:spPr>
          <c:marker>
            <c:symbol val="none"/>
          </c:marker>
          <c:cat>
            <c:numRef>
              <c:f>'Residential-Conversion'!$B$147:$AN$147</c:f>
              <c:numCache>
                <c:formatCode>General</c:formatCode>
                <c:ptCount val="39"/>
              </c:numCache>
            </c:numRef>
          </c:cat>
          <c:val>
            <c:numRef>
              <c:f>'Residential-Conversion'!$B$154:$AN$154</c:f>
              <c:numCache>
                <c:formatCode>0.00E+00</c:formatCode>
                <c:ptCount val="39"/>
              </c:numCache>
            </c:numRef>
          </c:val>
          <c:smooth val="0"/>
          <c:extLst>
            <c:ext xmlns:c16="http://schemas.microsoft.com/office/drawing/2014/chart" uri="{C3380CC4-5D6E-409C-BE32-E72D297353CC}">
              <c16:uniqueId val="{00000006-2223-9D41-83B4-2643E0B5AA8F}"/>
            </c:ext>
          </c:extLst>
        </c:ser>
        <c:ser>
          <c:idx val="7"/>
          <c:order val="7"/>
          <c:tx>
            <c:strRef>
              <c:f>'Residential-Conversion'!$A$155</c:f>
              <c:strCache>
                <c:ptCount val="1"/>
              </c:strCache>
            </c:strRef>
          </c:tx>
          <c:spPr>
            <a:ln w="28575" cap="rnd">
              <a:solidFill>
                <a:schemeClr val="accent2">
                  <a:lumMod val="60000"/>
                </a:schemeClr>
              </a:solidFill>
              <a:round/>
            </a:ln>
            <a:effectLst/>
          </c:spPr>
          <c:marker>
            <c:symbol val="none"/>
          </c:marker>
          <c:cat>
            <c:numRef>
              <c:f>'Residential-Conversion'!$B$147:$AN$147</c:f>
              <c:numCache>
                <c:formatCode>General</c:formatCode>
                <c:ptCount val="39"/>
              </c:numCache>
            </c:numRef>
          </c:cat>
          <c:val>
            <c:numRef>
              <c:f>'Residential-Conversion'!$B$155:$AN$155</c:f>
              <c:numCache>
                <c:formatCode>0.00E+00</c:formatCode>
                <c:ptCount val="39"/>
              </c:numCache>
            </c:numRef>
          </c:val>
          <c:smooth val="0"/>
          <c:extLst>
            <c:ext xmlns:c16="http://schemas.microsoft.com/office/drawing/2014/chart" uri="{C3380CC4-5D6E-409C-BE32-E72D297353CC}">
              <c16:uniqueId val="{00000007-2223-9D41-83B4-2643E0B5AA8F}"/>
            </c:ext>
          </c:extLst>
        </c:ser>
        <c:dLbls>
          <c:showLegendKey val="0"/>
          <c:showVal val="0"/>
          <c:showCatName val="0"/>
          <c:showSerName val="0"/>
          <c:showPercent val="0"/>
          <c:showBubbleSize val="0"/>
        </c:dLbls>
        <c:smooth val="0"/>
        <c:axId val="200522464"/>
        <c:axId val="200589728"/>
      </c:lineChart>
      <c:catAx>
        <c:axId val="20052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89728"/>
        <c:crosses val="autoZero"/>
        <c:auto val="1"/>
        <c:lblAlgn val="ctr"/>
        <c:lblOffset val="100"/>
        <c:noMultiLvlLbl val="0"/>
      </c:catAx>
      <c:valAx>
        <c:axId val="200589728"/>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2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116217</xdr:colOff>
      <xdr:row>229</xdr:row>
      <xdr:rowOff>126040</xdr:rowOff>
    </xdr:from>
    <xdr:to>
      <xdr:col>11</xdr:col>
      <xdr:colOff>554727</xdr:colOff>
      <xdr:row>243</xdr:row>
      <xdr:rowOff>17731</xdr:rowOff>
    </xdr:to>
    <xdr:graphicFrame macro="">
      <xdr:nvGraphicFramePr>
        <xdr:cNvPr id="10" name="Chart 9">
          <a:extLst>
            <a:ext uri="{FF2B5EF4-FFF2-40B4-BE49-F238E27FC236}">
              <a16:creationId xmlns:a16="http://schemas.microsoft.com/office/drawing/2014/main" id="{4A3A2BF6-9B86-392A-F42F-84544C769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811122</xdr:colOff>
      <xdr:row>208</xdr:row>
      <xdr:rowOff>35944</xdr:rowOff>
    </xdr:from>
    <xdr:to>
      <xdr:col>29</xdr:col>
      <xdr:colOff>422934</xdr:colOff>
      <xdr:row>239</xdr:row>
      <xdr:rowOff>167735</xdr:rowOff>
    </xdr:to>
    <xdr:graphicFrame macro="">
      <xdr:nvGraphicFramePr>
        <xdr:cNvPr id="11" name="Chart 10">
          <a:extLst>
            <a:ext uri="{FF2B5EF4-FFF2-40B4-BE49-F238E27FC236}">
              <a16:creationId xmlns:a16="http://schemas.microsoft.com/office/drawing/2014/main" id="{350B6AB5-E594-6390-0AE3-4A156980D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26</xdr:col>
      <xdr:colOff>76200</xdr:colOff>
      <xdr:row>124</xdr:row>
      <xdr:rowOff>12700</xdr:rowOff>
    </xdr:from>
    <xdr:to>
      <xdr:col>31</xdr:col>
      <xdr:colOff>520700</xdr:colOff>
      <xdr:row>145</xdr:row>
      <xdr:rowOff>19050</xdr:rowOff>
    </xdr:to>
    <xdr:graphicFrame macro="">
      <xdr:nvGraphicFramePr>
        <xdr:cNvPr id="2" name="Chart 1">
          <a:extLst>
            <a:ext uri="{FF2B5EF4-FFF2-40B4-BE49-F238E27FC236}">
              <a16:creationId xmlns:a16="http://schemas.microsoft.com/office/drawing/2014/main" id="{374E6131-1CE4-4BC8-A374-BDD18FD2C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esr.or.id/e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12707-134A-D84F-947C-8BF2106489E6}">
  <dimension ref="A1:B10"/>
  <sheetViews>
    <sheetView workbookViewId="0">
      <selection activeCell="A10" sqref="A10"/>
    </sheetView>
  </sheetViews>
  <sheetFormatPr baseColWidth="10" defaultRowHeight="16" x14ac:dyDescent="0.2"/>
  <cols>
    <col min="2" max="2" width="103.6640625" customWidth="1"/>
  </cols>
  <sheetData>
    <row r="1" spans="1:2" x14ac:dyDescent="0.2">
      <c r="A1" s="1" t="s">
        <v>0</v>
      </c>
    </row>
    <row r="3" spans="1:2" x14ac:dyDescent="0.2">
      <c r="A3" s="3" t="s">
        <v>1</v>
      </c>
      <c r="B3" t="s">
        <v>151</v>
      </c>
    </row>
    <row r="4" spans="1:2" x14ac:dyDescent="0.2">
      <c r="B4" s="16" t="s">
        <v>152</v>
      </c>
    </row>
    <row r="10" spans="1:2" ht="102" x14ac:dyDescent="0.2">
      <c r="A10" s="2" t="s">
        <v>153</v>
      </c>
      <c r="B10" s="31" t="s">
        <v>154</v>
      </c>
    </row>
  </sheetData>
  <hyperlinks>
    <hyperlink ref="B4" r:id="rId1" xr:uid="{A0819F6C-2749-FF4E-9454-0F34838BB11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2876C-1BF6-7D4E-807A-CC3EBF86578B}">
  <sheetPr>
    <tabColor theme="4" tint="0.79998168889431442"/>
  </sheetPr>
  <dimension ref="A1:AN211"/>
  <sheetViews>
    <sheetView topLeftCell="A11" zoomScale="120" zoomScaleNormal="120" workbookViewId="0">
      <selection activeCell="A167" activeCellId="11" sqref="A6:XFD6 A17:XFD17 A32:XFD32 A47:XFD47 A62:XFD62 A77:XFD77 A92:XFD92 A107:XFD107 A122:XFD122 A137:XFD137 A152:XFD152 A167:XFD167"/>
    </sheetView>
  </sheetViews>
  <sheetFormatPr baseColWidth="10" defaultRowHeight="16" x14ac:dyDescent="0.2"/>
  <sheetData>
    <row r="1" spans="1:40" x14ac:dyDescent="0.2">
      <c r="A1" s="5" t="s">
        <v>3</v>
      </c>
    </row>
    <row r="2" spans="1:40" x14ac:dyDescent="0.2">
      <c r="A2" s="5" t="s">
        <v>4</v>
      </c>
    </row>
    <row r="3" spans="1:40" x14ac:dyDescent="0.2">
      <c r="A3" s="5" t="s">
        <v>5</v>
      </c>
    </row>
    <row r="4" spans="1:40" x14ac:dyDescent="0.2">
      <c r="A4" s="5" t="s">
        <v>6</v>
      </c>
    </row>
    <row r="5" spans="1:40" x14ac:dyDescent="0.2">
      <c r="A5" t="s">
        <v>155</v>
      </c>
      <c r="B5">
        <v>1000</v>
      </c>
    </row>
    <row r="6" spans="1:40" x14ac:dyDescent="0.2">
      <c r="A6" s="6" t="s">
        <v>7</v>
      </c>
      <c r="B6" s="6">
        <v>2022</v>
      </c>
      <c r="C6" s="6">
        <v>2023</v>
      </c>
      <c r="D6" s="6">
        <v>2024</v>
      </c>
      <c r="E6" s="6">
        <v>2025</v>
      </c>
      <c r="F6" s="6">
        <v>2026</v>
      </c>
      <c r="G6" s="6">
        <v>2027</v>
      </c>
      <c r="H6" s="6">
        <v>2028</v>
      </c>
      <c r="I6" s="6">
        <v>2029</v>
      </c>
      <c r="J6" s="6">
        <v>2030</v>
      </c>
      <c r="K6" s="6">
        <v>2031</v>
      </c>
      <c r="L6" s="6">
        <v>2032</v>
      </c>
      <c r="M6" s="6">
        <v>2033</v>
      </c>
      <c r="N6" s="6">
        <v>2034</v>
      </c>
      <c r="O6" s="6">
        <v>2035</v>
      </c>
      <c r="P6" s="6">
        <v>2036</v>
      </c>
      <c r="Q6" s="6">
        <v>2037</v>
      </c>
      <c r="R6" s="6">
        <v>2038</v>
      </c>
      <c r="S6" s="6">
        <v>2039</v>
      </c>
      <c r="T6" s="6">
        <v>2040</v>
      </c>
      <c r="U6" s="6">
        <v>2041</v>
      </c>
      <c r="V6" s="6">
        <v>2042</v>
      </c>
      <c r="W6" s="6">
        <v>2043</v>
      </c>
      <c r="X6" s="6">
        <v>2044</v>
      </c>
      <c r="Y6" s="6">
        <v>2045</v>
      </c>
      <c r="Z6" s="6">
        <v>2046</v>
      </c>
      <c r="AA6" s="6">
        <v>2047</v>
      </c>
      <c r="AB6" s="6">
        <v>2048</v>
      </c>
      <c r="AC6" s="6">
        <v>2049</v>
      </c>
      <c r="AD6" s="6">
        <v>2050</v>
      </c>
      <c r="AE6" s="6">
        <v>2051</v>
      </c>
      <c r="AF6" s="6">
        <v>2052</v>
      </c>
      <c r="AG6" s="6">
        <v>2053</v>
      </c>
      <c r="AH6" s="6">
        <v>2054</v>
      </c>
      <c r="AI6" s="6">
        <v>2055</v>
      </c>
      <c r="AJ6" s="6">
        <v>2056</v>
      </c>
      <c r="AK6" s="6">
        <v>2057</v>
      </c>
      <c r="AL6" s="6">
        <v>2058</v>
      </c>
      <c r="AM6" s="6">
        <v>2059</v>
      </c>
      <c r="AN6" s="6">
        <v>2060</v>
      </c>
    </row>
    <row r="7" spans="1:40" x14ac:dyDescent="0.2">
      <c r="A7" s="6" t="s">
        <v>8</v>
      </c>
      <c r="B7" s="11">
        <v>328.18775145973922</v>
      </c>
      <c r="C7" s="11">
        <v>344.62501470578667</v>
      </c>
      <c r="D7" s="11">
        <v>347.97380247837577</v>
      </c>
      <c r="E7" s="11">
        <v>351.33735956758551</v>
      </c>
      <c r="F7" s="11">
        <v>356.71991324162286</v>
      </c>
      <c r="G7" s="11">
        <v>362.14197463140272</v>
      </c>
      <c r="H7" s="11">
        <v>367.60354373692485</v>
      </c>
      <c r="I7" s="11">
        <v>373.1046205581892</v>
      </c>
      <c r="J7" s="11">
        <v>378.64520509519565</v>
      </c>
      <c r="K7" s="11">
        <v>383.69711270960772</v>
      </c>
      <c r="L7" s="11">
        <v>388.78220375174772</v>
      </c>
      <c r="M7" s="11">
        <v>393.90047822161586</v>
      </c>
      <c r="N7" s="11">
        <v>399.0519361192118</v>
      </c>
      <c r="O7" s="11">
        <v>404.23657744453561</v>
      </c>
      <c r="P7" s="11">
        <v>408.90411806243037</v>
      </c>
      <c r="Q7" s="11">
        <v>413.59844470905546</v>
      </c>
      <c r="R7" s="11">
        <v>418.3195573844107</v>
      </c>
      <c r="S7" s="11">
        <v>423.06745608849621</v>
      </c>
      <c r="T7" s="11">
        <v>427.84214082131166</v>
      </c>
      <c r="U7" s="11">
        <v>432.08976410344991</v>
      </c>
      <c r="V7" s="11">
        <v>436.35791644228681</v>
      </c>
      <c r="W7" s="11">
        <v>440.64659783782207</v>
      </c>
      <c r="X7" s="11">
        <v>444.95580829005593</v>
      </c>
      <c r="Y7" s="11">
        <v>449.28554779898786</v>
      </c>
      <c r="Z7" s="11">
        <v>453.08941134107363</v>
      </c>
      <c r="AA7" s="11">
        <v>456.90780060091674</v>
      </c>
      <c r="AB7" s="11">
        <v>460.7407155785171</v>
      </c>
      <c r="AC7" s="11">
        <v>464.5881562738744</v>
      </c>
      <c r="AD7" s="11">
        <v>468.45012268698889</v>
      </c>
      <c r="AE7" s="11">
        <v>470.96821539206672</v>
      </c>
      <c r="AF7" s="11">
        <v>473.4863080971449</v>
      </c>
      <c r="AG7" s="11">
        <v>476.00440080222313</v>
      </c>
      <c r="AH7" s="11">
        <v>478.52249350730165</v>
      </c>
      <c r="AI7" s="11">
        <v>481.04058621237965</v>
      </c>
      <c r="AJ7" s="11">
        <v>483.55867891745754</v>
      </c>
      <c r="AK7" s="11">
        <v>486.0767716225356</v>
      </c>
      <c r="AL7" s="11">
        <v>488.59486432761412</v>
      </c>
      <c r="AM7" s="11">
        <v>491.11295703269241</v>
      </c>
      <c r="AN7" s="11">
        <v>493.63104973777064</v>
      </c>
    </row>
    <row r="8" spans="1:40" x14ac:dyDescent="0.2">
      <c r="A8" s="6" t="s">
        <v>9</v>
      </c>
      <c r="B8" s="11">
        <v>3364.4750994228884</v>
      </c>
      <c r="C8" s="11">
        <v>3532.9846268138585</v>
      </c>
      <c r="D8" s="11">
        <v>3567.3153202172953</v>
      </c>
      <c r="E8" s="11">
        <v>3601.797423896664</v>
      </c>
      <c r="F8" s="11">
        <v>3656.9776301263519</v>
      </c>
      <c r="G8" s="11">
        <v>3712.5628567300769</v>
      </c>
      <c r="H8" s="11">
        <v>3768.5531037078367</v>
      </c>
      <c r="I8" s="11">
        <v>3824.9483710596314</v>
      </c>
      <c r="J8" s="11">
        <v>3881.7486587854592</v>
      </c>
      <c r="K8" s="11">
        <v>3933.5391881323758</v>
      </c>
      <c r="L8" s="11">
        <v>3985.6699032900297</v>
      </c>
      <c r="M8" s="11">
        <v>4038.1408042584217</v>
      </c>
      <c r="N8" s="11">
        <v>4090.9518910375486</v>
      </c>
      <c r="O8" s="11">
        <v>4144.103163627412</v>
      </c>
      <c r="P8" s="11">
        <v>4191.9532863532086</v>
      </c>
      <c r="Q8" s="11">
        <v>4240.0780108161971</v>
      </c>
      <c r="R8" s="11">
        <v>4288.4773370163739</v>
      </c>
      <c r="S8" s="11">
        <v>4337.1512649537408</v>
      </c>
      <c r="T8" s="11">
        <v>4386.0997946282951</v>
      </c>
      <c r="U8" s="11">
        <v>4429.6450601079423</v>
      </c>
      <c r="V8" s="11">
        <v>4473.4007828632502</v>
      </c>
      <c r="W8" s="11">
        <v>4517.3669628942162</v>
      </c>
      <c r="X8" s="11">
        <v>4561.543600200841</v>
      </c>
      <c r="Y8" s="11">
        <v>4605.9306947831201</v>
      </c>
      <c r="Z8" s="11">
        <v>4644.9266783688154</v>
      </c>
      <c r="AA8" s="11">
        <v>4684.0715749333713</v>
      </c>
      <c r="AB8" s="11">
        <v>4723.3653844767887</v>
      </c>
      <c r="AC8" s="11">
        <v>4762.8081069990649</v>
      </c>
      <c r="AD8" s="11">
        <v>4802.3997425001999</v>
      </c>
      <c r="AE8" s="11">
        <v>4828.2144176871634</v>
      </c>
      <c r="AF8" s="11">
        <v>4854.0290928741288</v>
      </c>
      <c r="AG8" s="11">
        <v>4879.8437680610959</v>
      </c>
      <c r="AH8" s="11">
        <v>4905.6584432480649</v>
      </c>
      <c r="AI8" s="11">
        <v>4931.4731184350303</v>
      </c>
      <c r="AJ8" s="11">
        <v>4957.2877936219929</v>
      </c>
      <c r="AK8" s="11">
        <v>4983.1024688089583</v>
      </c>
      <c r="AL8" s="11">
        <v>5008.9171439959273</v>
      </c>
      <c r="AM8" s="11">
        <v>5034.7318191828945</v>
      </c>
      <c r="AN8" s="11">
        <v>5060.5464943698616</v>
      </c>
    </row>
    <row r="9" spans="1:40" x14ac:dyDescent="0.2">
      <c r="A9" s="6" t="s">
        <v>10</v>
      </c>
      <c r="B9" s="11">
        <v>2.9221902708338789</v>
      </c>
      <c r="C9" s="11">
        <v>3.0685479899233066</v>
      </c>
      <c r="D9" s="11">
        <v>3.0983656629005005</v>
      </c>
      <c r="E9" s="11">
        <v>3.1283148421668354</v>
      </c>
      <c r="F9" s="11">
        <v>3.176241207208045</v>
      </c>
      <c r="G9" s="11">
        <v>3.224519349736537</v>
      </c>
      <c r="H9" s="11">
        <v>3.2731492697523104</v>
      </c>
      <c r="I9" s="11">
        <v>3.3221309672553652</v>
      </c>
      <c r="J9" s="11">
        <v>3.3714644422456983</v>
      </c>
      <c r="K9" s="11">
        <v>3.4164467281912403</v>
      </c>
      <c r="L9" s="11">
        <v>3.4617244800377134</v>
      </c>
      <c r="M9" s="11">
        <v>3.5072976977851185</v>
      </c>
      <c r="N9" s="11">
        <v>3.5531663814334542</v>
      </c>
      <c r="O9" s="11">
        <v>3.5993305309827193</v>
      </c>
      <c r="P9" s="11">
        <v>3.640890405541314</v>
      </c>
      <c r="Q9" s="11">
        <v>3.6826887834328392</v>
      </c>
      <c r="R9" s="11">
        <v>3.7247256646572935</v>
      </c>
      <c r="S9" s="11">
        <v>3.7670010492146764</v>
      </c>
      <c r="T9" s="11">
        <v>3.809514937104987</v>
      </c>
      <c r="U9" s="11">
        <v>3.8473358593484983</v>
      </c>
      <c r="V9" s="11">
        <v>3.8853395727214401</v>
      </c>
      <c r="W9" s="11">
        <v>3.9235260772238085</v>
      </c>
      <c r="X9" s="11">
        <v>3.9618953728556057</v>
      </c>
      <c r="Y9" s="11">
        <v>4.0004474596168267</v>
      </c>
      <c r="Z9" s="11">
        <v>4.0343171363028754</v>
      </c>
      <c r="AA9" s="11">
        <v>4.0683161502689371</v>
      </c>
      <c r="AB9" s="11">
        <v>4.1024445015150102</v>
      </c>
      <c r="AC9" s="11">
        <v>4.1367021900410954</v>
      </c>
      <c r="AD9" s="11">
        <v>4.1710892158471884</v>
      </c>
      <c r="AE9" s="11">
        <v>4.1935103634101543</v>
      </c>
      <c r="AF9" s="11">
        <v>4.2159315109731219</v>
      </c>
      <c r="AG9" s="11">
        <v>4.2383526585360887</v>
      </c>
      <c r="AH9" s="11">
        <v>4.260773806099059</v>
      </c>
      <c r="AI9" s="11">
        <v>4.2831949536620249</v>
      </c>
      <c r="AJ9" s="11">
        <v>4.3056161012249889</v>
      </c>
      <c r="AK9" s="11">
        <v>4.3280372487879557</v>
      </c>
      <c r="AL9" s="11">
        <v>4.350458396350926</v>
      </c>
      <c r="AM9" s="11">
        <v>4.3728795439138937</v>
      </c>
      <c r="AN9" s="11">
        <v>4.3953006914768613</v>
      </c>
    </row>
    <row r="11" spans="1:40" x14ac:dyDescent="0.2">
      <c r="A11" s="5" t="s">
        <v>3</v>
      </c>
    </row>
    <row r="12" spans="1:40" x14ac:dyDescent="0.2">
      <c r="A12" s="5" t="s">
        <v>4</v>
      </c>
    </row>
    <row r="13" spans="1:40" x14ac:dyDescent="0.2">
      <c r="A13" s="5" t="s">
        <v>39</v>
      </c>
    </row>
    <row r="14" spans="1:40" x14ac:dyDescent="0.2">
      <c r="A14" s="5" t="s">
        <v>6</v>
      </c>
    </row>
    <row r="15" spans="1:40" x14ac:dyDescent="0.2">
      <c r="A15" s="5"/>
    </row>
    <row r="16" spans="1:40" x14ac:dyDescent="0.2">
      <c r="A16" s="6" t="s">
        <v>7</v>
      </c>
      <c r="B16" s="6">
        <v>2022</v>
      </c>
      <c r="C16" s="6">
        <v>2023</v>
      </c>
      <c r="D16" s="6">
        <v>2024</v>
      </c>
      <c r="E16" s="6">
        <v>2025</v>
      </c>
      <c r="F16" s="6">
        <v>2026</v>
      </c>
      <c r="G16" s="6">
        <v>2027</v>
      </c>
      <c r="H16" s="6">
        <v>2028</v>
      </c>
      <c r="I16" s="6">
        <v>2029</v>
      </c>
      <c r="J16" s="6">
        <v>2030</v>
      </c>
      <c r="K16" s="6">
        <v>2031</v>
      </c>
      <c r="L16" s="6">
        <v>2032</v>
      </c>
      <c r="M16" s="6">
        <v>2033</v>
      </c>
      <c r="N16" s="6">
        <v>2034</v>
      </c>
      <c r="O16" s="6">
        <v>2035</v>
      </c>
      <c r="P16" s="6">
        <v>2036</v>
      </c>
      <c r="Q16" s="6">
        <v>2037</v>
      </c>
      <c r="R16" s="6">
        <v>2038</v>
      </c>
      <c r="S16" s="6">
        <v>2039</v>
      </c>
      <c r="T16" s="6">
        <v>2040</v>
      </c>
      <c r="U16" s="6">
        <v>2041</v>
      </c>
      <c r="V16" s="6">
        <v>2042</v>
      </c>
      <c r="W16" s="6">
        <v>2043</v>
      </c>
      <c r="X16" s="6">
        <v>2044</v>
      </c>
      <c r="Y16" s="6">
        <v>2045</v>
      </c>
      <c r="Z16" s="6">
        <v>2046</v>
      </c>
      <c r="AA16" s="6">
        <v>2047</v>
      </c>
      <c r="AB16" s="6">
        <v>2048</v>
      </c>
      <c r="AC16" s="6">
        <v>2049</v>
      </c>
      <c r="AD16" s="6">
        <v>2050</v>
      </c>
      <c r="AE16" s="6">
        <v>2051</v>
      </c>
      <c r="AF16" s="6">
        <v>2052</v>
      </c>
      <c r="AG16" s="6">
        <v>2053</v>
      </c>
      <c r="AH16" s="6">
        <v>2054</v>
      </c>
      <c r="AI16" s="6">
        <v>2055</v>
      </c>
      <c r="AJ16" s="6">
        <v>2056</v>
      </c>
      <c r="AK16" s="6">
        <v>2057</v>
      </c>
      <c r="AL16" s="6">
        <v>2058</v>
      </c>
      <c r="AM16" s="6">
        <v>2059</v>
      </c>
      <c r="AN16" s="6">
        <v>2060</v>
      </c>
    </row>
    <row r="17" spans="1:40" x14ac:dyDescent="0.2">
      <c r="A17" s="6" t="s">
        <v>40</v>
      </c>
      <c r="B17" s="11">
        <v>660.23083142148164</v>
      </c>
      <c r="C17" s="11">
        <v>703.32055036810448</v>
      </c>
      <c r="D17" s="11">
        <v>749.22250374931377</v>
      </c>
      <c r="E17" s="11">
        <v>798.12023099651901</v>
      </c>
      <c r="F17" s="11">
        <v>850.20925017366085</v>
      </c>
      <c r="G17" s="11">
        <v>905.69783975819462</v>
      </c>
      <c r="H17" s="11">
        <v>964.80787144471901</v>
      </c>
      <c r="I17" s="11">
        <v>1027.7756973012226</v>
      </c>
      <c r="J17" s="11">
        <v>1094.8530948252524</v>
      </c>
      <c r="K17" s="11">
        <v>1166.3082736788181</v>
      </c>
      <c r="L17" s="11">
        <v>1242.4269481274803</v>
      </c>
      <c r="M17" s="11">
        <v>1323.5134794717696</v>
      </c>
      <c r="N17" s="11">
        <v>1409.8920930389663</v>
      </c>
      <c r="O17" s="11">
        <v>1501.9081746014042</v>
      </c>
      <c r="P17" s="11">
        <v>1599.9296514050168</v>
      </c>
      <c r="Q17" s="11">
        <v>1704.348463330205</v>
      </c>
      <c r="R17" s="11">
        <v>1815.5821300674747</v>
      </c>
      <c r="S17" s="11">
        <v>1934.0754205741946</v>
      </c>
      <c r="T17" s="11">
        <v>2060.3021314878374</v>
      </c>
      <c r="U17" s="11">
        <v>2194.7669816066964</v>
      </c>
      <c r="V17" s="11">
        <v>2338.0076300131741</v>
      </c>
      <c r="W17" s="11">
        <v>2490.5968259091387</v>
      </c>
      <c r="X17" s="11">
        <v>2653.1446987594827</v>
      </c>
      <c r="Y17" s="11">
        <v>2826.3011979010475</v>
      </c>
      <c r="Z17" s="11">
        <v>3010.758691371715</v>
      </c>
      <c r="AA17" s="11">
        <v>3207.2547343510973</v>
      </c>
      <c r="AB17" s="11">
        <v>3416.5750182825077</v>
      </c>
      <c r="AC17" s="11">
        <v>3639.5565124682344</v>
      </c>
      <c r="AD17" s="11">
        <v>3877.0908106998945</v>
      </c>
      <c r="AE17" s="11">
        <v>4130.1276963053524</v>
      </c>
      <c r="AF17" s="11">
        <v>4399.6789398670926</v>
      </c>
      <c r="AG17" s="11">
        <v>4686.8223447972741</v>
      </c>
      <c r="AH17" s="11">
        <v>4992.7060569457326</v>
      </c>
      <c r="AI17" s="11">
        <v>5318.5531554729387</v>
      </c>
      <c r="AJ17" s="11">
        <v>5665.6665433445551</v>
      </c>
      <c r="AK17" s="11">
        <v>6035.4341570023189</v>
      </c>
      <c r="AL17" s="11">
        <v>6429.334516042135</v>
      </c>
      <c r="AM17" s="11">
        <v>6848.9426350898502</v>
      </c>
      <c r="AN17" s="11">
        <v>7295.9363215133881</v>
      </c>
    </row>
    <row r="18" spans="1:40" x14ac:dyDescent="0.2">
      <c r="A18" s="6" t="s">
        <v>41</v>
      </c>
      <c r="B18" s="11">
        <v>403.31080465792735</v>
      </c>
      <c r="C18" s="11">
        <v>429.63273388899677</v>
      </c>
      <c r="D18" s="11">
        <v>457.67255401325258</v>
      </c>
      <c r="E18" s="11">
        <v>487.54238253906504</v>
      </c>
      <c r="F18" s="11">
        <v>519.3616542821685</v>
      </c>
      <c r="G18" s="11">
        <v>553.25759892699728</v>
      </c>
      <c r="H18" s="11">
        <v>589.36574975588337</v>
      </c>
      <c r="I18" s="11">
        <v>627.83048558027656</v>
      </c>
      <c r="J18" s="11">
        <v>668.80560804090237</v>
      </c>
      <c r="K18" s="11">
        <v>712.45495658520008</v>
      </c>
      <c r="L18" s="11">
        <v>758.95306358103448</v>
      </c>
      <c r="M18" s="11">
        <v>808.48585218615847</v>
      </c>
      <c r="N18" s="11">
        <v>861.25137976386497</v>
      </c>
      <c r="O18" s="11">
        <v>917.46062981738953</v>
      </c>
      <c r="P18" s="11">
        <v>977.33835560960688</v>
      </c>
      <c r="Q18" s="11">
        <v>1041.1239788412613</v>
      </c>
      <c r="R18" s="11">
        <v>1109.0725469810925</v>
      </c>
      <c r="S18" s="11">
        <v>1181.4557530757538</v>
      </c>
      <c r="T18" s="11">
        <v>1258.5630221172471</v>
      </c>
      <c r="U18" s="11">
        <v>1340.7026683117219</v>
      </c>
      <c r="V18" s="11">
        <v>1428.2031278769916</v>
      </c>
      <c r="W18" s="11">
        <v>1521.4142722981176</v>
      </c>
      <c r="X18" s="11">
        <v>1620.7088072921306</v>
      </c>
      <c r="Y18" s="11">
        <v>1726.483763075666</v>
      </c>
      <c r="Z18" s="11">
        <v>1839.1620818943575</v>
      </c>
      <c r="AA18" s="11">
        <v>1959.1943091617359</v>
      </c>
      <c r="AB18" s="11">
        <v>2087.0603949697002</v>
      </c>
      <c r="AC18" s="11">
        <v>2223.2716131738707</v>
      </c>
      <c r="AD18" s="11">
        <v>2368.3726057273516</v>
      </c>
      <c r="AE18" s="11">
        <v>2522.9435604371661</v>
      </c>
      <c r="AF18" s="11">
        <v>2687.6025308511507</v>
      </c>
      <c r="AG18" s="11">
        <v>2863.0079075514082</v>
      </c>
      <c r="AH18" s="11">
        <v>3049.8610507357998</v>
      </c>
      <c r="AI18" s="11">
        <v>3248.9090946139017</v>
      </c>
      <c r="AJ18" s="11">
        <v>3460.9479348307868</v>
      </c>
      <c r="AK18" s="11">
        <v>3686.8254108639394</v>
      </c>
      <c r="AL18" s="11">
        <v>3927.444696118097</v>
      </c>
      <c r="AM18" s="11">
        <v>4183.7679092733733</v>
      </c>
      <c r="AN18" s="11">
        <v>4456.8199613266697</v>
      </c>
    </row>
    <row r="19" spans="1:40" x14ac:dyDescent="0.2">
      <c r="A19" s="6" t="s">
        <v>42</v>
      </c>
      <c r="B19" s="11">
        <v>313.17282632367687</v>
      </c>
      <c r="C19" s="11">
        <v>333.61193402022741</v>
      </c>
      <c r="D19" s="11">
        <v>355.38499245680623</v>
      </c>
      <c r="E19" s="11">
        <v>378.57906143089764</v>
      </c>
      <c r="F19" s="11">
        <v>403.28688266519532</v>
      </c>
      <c r="G19" s="11">
        <v>429.60725063633214</v>
      </c>
      <c r="H19" s="11">
        <v>457.64540760560794</v>
      </c>
      <c r="I19" s="11">
        <v>487.51346443125101</v>
      </c>
      <c r="J19" s="11">
        <v>519.33084884483446</v>
      </c>
      <c r="K19" s="11">
        <v>553.22478298428598</v>
      </c>
      <c r="L19" s="11">
        <v>589.33079209291157</v>
      </c>
      <c r="M19" s="11">
        <v>627.79324641847029</v>
      </c>
      <c r="N19" s="11">
        <v>668.76593847909066</v>
      </c>
      <c r="O19" s="11">
        <v>712.41269800423379</v>
      </c>
      <c r="P19" s="11">
        <v>758.90804700954413</v>
      </c>
      <c r="Q19" s="11">
        <v>808.43789762492031</v>
      </c>
      <c r="R19" s="11">
        <v>861.20029546607532</v>
      </c>
      <c r="S19" s="11">
        <v>917.40621152195877</v>
      </c>
      <c r="T19" s="11">
        <v>977.28038572442267</v>
      </c>
      <c r="U19" s="11">
        <v>1041.0622255731432</v>
      </c>
      <c r="V19" s="11">
        <v>1109.0067634089648</v>
      </c>
      <c r="W19" s="11">
        <v>1181.3856761633283</v>
      </c>
      <c r="X19" s="11">
        <v>1258.488371661271</v>
      </c>
      <c r="Y19" s="11">
        <v>1340.6231458215809</v>
      </c>
      <c r="Z19" s="11">
        <v>1428.1184153811944</v>
      </c>
      <c r="AA19" s="11">
        <v>1521.3240310728788</v>
      </c>
      <c r="AB19" s="11">
        <v>1620.6126765069873</v>
      </c>
      <c r="AC19" s="11">
        <v>1726.3813583506876</v>
      </c>
      <c r="AD19" s="11">
        <v>1839.0529937631991</v>
      </c>
      <c r="AE19" s="11">
        <v>1959.0781014343881</v>
      </c>
      <c r="AF19" s="11">
        <v>2086.9366029883727</v>
      </c>
      <c r="AG19" s="11">
        <v>2223.1397419550563</v>
      </c>
      <c r="AH19" s="11">
        <v>2368.2321279826288</v>
      </c>
      <c r="AI19" s="11">
        <v>2522.7939144648317</v>
      </c>
      <c r="AJ19" s="11">
        <v>2687.4431182902504</v>
      </c>
      <c r="AK19" s="11">
        <v>2862.8380909891807</v>
      </c>
      <c r="AL19" s="11">
        <v>3049.6801511589824</v>
      </c>
      <c r="AM19" s="11">
        <v>3248.7163886936773</v>
      </c>
      <c r="AN19" s="11">
        <v>3460.7426520305576</v>
      </c>
    </row>
    <row r="20" spans="1:40" x14ac:dyDescent="0.2">
      <c r="A20" s="6" t="s">
        <v>43</v>
      </c>
      <c r="B20" s="11">
        <v>21.962709867912007</v>
      </c>
      <c r="C20" s="11">
        <v>23.396097935350504</v>
      </c>
      <c r="D20" s="11">
        <v>24.923035540356633</v>
      </c>
      <c r="E20" s="11">
        <v>26.549628158605756</v>
      </c>
      <c r="F20" s="11">
        <v>28.282379737365865</v>
      </c>
      <c r="G20" s="11">
        <v>30.128218701597408</v>
      </c>
      <c r="H20" s="11">
        <v>32.094525657331594</v>
      </c>
      <c r="I20" s="11">
        <v>34.189162903099273</v>
      </c>
      <c r="J20" s="11">
        <v>36.420505867412302</v>
      </c>
      <c r="K20" s="11">
        <v>38.797476598000273</v>
      </c>
      <c r="L20" s="11">
        <v>41.329579436709984</v>
      </c>
      <c r="M20" s="11">
        <v>44.026939022713769</v>
      </c>
      <c r="N20" s="11">
        <v>46.900340775982926</v>
      </c>
      <c r="O20" s="11">
        <v>49.961274022900355</v>
      </c>
      <c r="P20" s="11">
        <v>53.221977936449768</v>
      </c>
      <c r="Q20" s="11">
        <v>56.695490474674386</v>
      </c>
      <c r="R20" s="11">
        <v>60.395700513086076</v>
      </c>
      <c r="S20" s="11">
        <v>64.33740337947637</v>
      </c>
      <c r="T20" s="11">
        <v>68.536360013186439</v>
      </c>
      <c r="U20" s="11">
        <v>73.009359985384776</v>
      </c>
      <c r="V20" s="11">
        <v>77.774288632339662</v>
      </c>
      <c r="W20" s="11">
        <v>82.850198570119673</v>
      </c>
      <c r="X20" s="11">
        <v>88.257385876674491</v>
      </c>
      <c r="Y20" s="11">
        <v>94.017471245910698</v>
      </c>
      <c r="Z20" s="11">
        <v>100.15348643825838</v>
      </c>
      <c r="AA20" s="11">
        <v>106.68996637340084</v>
      </c>
      <c r="AB20" s="11">
        <v>113.65304723340344</v>
      </c>
      <c r="AC20" s="11">
        <v>121.07057096850492</v>
      </c>
      <c r="AD20" s="11">
        <v>128.97219662344142</v>
      </c>
      <c r="AE20" s="11">
        <v>137.38951892944104</v>
      </c>
      <c r="AF20" s="11">
        <v>146.35619463608052</v>
      </c>
      <c r="AG20" s="11">
        <v>155.90807708814373</v>
      </c>
      <c r="AH20" s="11">
        <v>166.08335958558865</v>
      </c>
      <c r="AI20" s="11">
        <v>176.92272809984902</v>
      </c>
      <c r="AJ20" s="11">
        <v>188.46952395710815</v>
      </c>
      <c r="AK20" s="11">
        <v>200.76991713903644</v>
      </c>
      <c r="AL20" s="11">
        <v>213.87309089393659</v>
      </c>
      <c r="AM20" s="11">
        <v>227.83143839646647</v>
      </c>
      <c r="AN20" s="11">
        <v>242.70077224228538</v>
      </c>
    </row>
    <row r="21" spans="1:40" x14ac:dyDescent="0.2">
      <c r="A21" s="6" t="s">
        <v>8</v>
      </c>
      <c r="B21" s="11">
        <v>16.796903217834259</v>
      </c>
      <c r="C21" s="11">
        <v>17.893146841101313</v>
      </c>
      <c r="D21" s="11">
        <v>19.060936395542026</v>
      </c>
      <c r="E21" s="11">
        <v>20.304941299667803</v>
      </c>
      <c r="F21" s="11">
        <v>21.630135719847523</v>
      </c>
      <c r="G21" s="11">
        <v>23.041818459562752</v>
      </c>
      <c r="H21" s="11">
        <v>24.545634146727828</v>
      </c>
      <c r="I21" s="11">
        <v>26.147595803792488</v>
      </c>
      <c r="J21" s="11">
        <v>27.854108890873782</v>
      </c>
      <c r="K21" s="11">
        <v>29.671996918054042</v>
      </c>
      <c r="L21" s="11">
        <v>31.60852872925599</v>
      </c>
      <c r="M21" s="11">
        <v>33.671447566789695</v>
      </c>
      <c r="N21" s="11">
        <v>35.86900203278627</v>
      </c>
      <c r="O21" s="11">
        <v>38.209979071318322</v>
      </c>
      <c r="P21" s="11">
        <v>40.703739103085745</v>
      </c>
      <c r="Q21" s="11">
        <v>43.360253453153945</v>
      </c>
      <c r="R21" s="11">
        <v>46.190144221399514</v>
      </c>
      <c r="S21" s="11">
        <v>49.204726755085375</v>
      </c>
      <c r="T21" s="11">
        <v>52.416054893392939</v>
      </c>
      <c r="U21" s="11">
        <v>55.836969164821753</v>
      </c>
      <c r="V21" s="11">
        <v>59.481148130174375</v>
      </c>
      <c r="W21" s="11">
        <v>63.363163076421976</v>
      </c>
      <c r="X21" s="11">
        <v>67.498536280144833</v>
      </c>
      <c r="Y21" s="11">
        <v>71.903803073514439</v>
      </c>
      <c r="Z21" s="11">
        <v>76.596577960988881</v>
      </c>
      <c r="AA21" s="11">
        <v>81.595625051089215</v>
      </c>
      <c r="AB21" s="11">
        <v>86.92093308488046</v>
      </c>
      <c r="AC21" s="11">
        <v>92.593795361157163</v>
      </c>
      <c r="AD21" s="11">
        <v>98.636894877917427</v>
      </c>
      <c r="AE21" s="11">
        <v>105.07439503056294</v>
      </c>
      <c r="AF21" s="11">
        <v>111.93203622948334</v>
      </c>
      <c r="AG21" s="11">
        <v>119.23723882335109</v>
      </c>
      <c r="AH21" s="11">
        <v>127.01921273966698</v>
      </c>
      <c r="AI21" s="11">
        <v>135.30907428095503</v>
      </c>
      <c r="AJ21" s="11">
        <v>144.1399705436169</v>
      </c>
      <c r="AK21" s="11">
        <v>153.5472119569371</v>
      </c>
      <c r="AL21" s="11">
        <v>163.5684134721966</v>
      </c>
      <c r="AM21" s="11">
        <v>174.24364496644125</v>
      </c>
      <c r="AN21" s="11">
        <v>185.61559146229649</v>
      </c>
    </row>
    <row r="22" spans="1:40" x14ac:dyDescent="0.2">
      <c r="A22" s="6" t="s">
        <v>9</v>
      </c>
      <c r="B22" s="11">
        <v>172.1964405861427</v>
      </c>
      <c r="C22" s="11">
        <v>183.43477705172498</v>
      </c>
      <c r="D22" s="11">
        <v>195.40657935483404</v>
      </c>
      <c r="E22" s="11">
        <v>208.15971686977323</v>
      </c>
      <c r="F22" s="11">
        <v>221.74518314770464</v>
      </c>
      <c r="G22" s="11">
        <v>236.21729981488627</v>
      </c>
      <c r="H22" s="11">
        <v>251.63393377825204</v>
      </c>
      <c r="I22" s="11">
        <v>268.05672860683239</v>
      </c>
      <c r="J22" s="11">
        <v>285.55135101419762</v>
      </c>
      <c r="K22" s="11">
        <v>304.18775342748535</v>
      </c>
      <c r="L22" s="11">
        <v>324.04045369289821</v>
      </c>
      <c r="M22" s="11">
        <v>345.18883303607618</v>
      </c>
      <c r="N22" s="11">
        <v>367.71745346874087</v>
      </c>
      <c r="O22" s="11">
        <v>391.71639591076826</v>
      </c>
      <c r="P22" s="11">
        <v>417.28162037966911</v>
      </c>
      <c r="Q22" s="11">
        <v>444.51534968770375</v>
      </c>
      <c r="R22" s="11">
        <v>473.52647818084648</v>
      </c>
      <c r="S22" s="11">
        <v>504.4310071539432</v>
      </c>
      <c r="T22" s="11">
        <v>537.35250868307969</v>
      </c>
      <c r="U22" s="11">
        <v>572.42261972979509</v>
      </c>
      <c r="V22" s="11">
        <v>609.78156849282323</v>
      </c>
      <c r="W22" s="11">
        <v>649.5787351119825</v>
      </c>
      <c r="X22" s="11">
        <v>691.97324896619796</v>
      </c>
      <c r="Y22" s="11">
        <v>737.13462495395481</v>
      </c>
      <c r="Z22" s="11">
        <v>785.24344130036036</v>
      </c>
      <c r="AA22" s="11">
        <v>836.4920616010246</v>
      </c>
      <c r="AB22" s="11">
        <v>891.08540398987691</v>
      </c>
      <c r="AC22" s="11">
        <v>949.24176050642075</v>
      </c>
      <c r="AD22" s="11">
        <v>1011.1936699386956</v>
      </c>
      <c r="AE22" s="11">
        <v>1077.1888476320059</v>
      </c>
      <c r="AF22" s="11">
        <v>1147.4911759812694</v>
      </c>
      <c r="AG22" s="11">
        <v>1222.3817595674786</v>
      </c>
      <c r="AH22" s="11">
        <v>1302.1600491572533</v>
      </c>
      <c r="AI22" s="11">
        <v>1387.1450390598036</v>
      </c>
      <c r="AJ22" s="11">
        <v>1477.6765426289428</v>
      </c>
      <c r="AK22" s="11">
        <v>1574.1165510102708</v>
      </c>
      <c r="AL22" s="11">
        <v>1676.8506805664827</v>
      </c>
      <c r="AM22" s="11">
        <v>1786.2897147683502</v>
      </c>
      <c r="AN22" s="11">
        <v>1902.8712467166436</v>
      </c>
    </row>
    <row r="23" spans="1:40" x14ac:dyDescent="0.2">
      <c r="A23" s="6" t="s">
        <v>10</v>
      </c>
      <c r="B23" s="11">
        <v>0.14955996056827514</v>
      </c>
      <c r="C23" s="11">
        <v>0.15932093560889832</v>
      </c>
      <c r="D23" s="11">
        <v>0.16971895704470416</v>
      </c>
      <c r="E23" s="11">
        <v>0.18079560147105586</v>
      </c>
      <c r="F23" s="11">
        <v>0.19259515896430496</v>
      </c>
      <c r="G23" s="11">
        <v>0.2051648101761161</v>
      </c>
      <c r="H23" s="11">
        <v>0.21855481498578613</v>
      </c>
      <c r="I23" s="11">
        <v>0.2328187134648875</v>
      </c>
      <c r="J23" s="11">
        <v>0.24801353995779335</v>
      </c>
      <c r="K23" s="11">
        <v>0.26420005113408834</v>
      </c>
      <c r="L23" s="11">
        <v>0.28144296892473558</v>
      </c>
      <c r="M23" s="11">
        <v>0.29981123931338122</v>
      </c>
      <c r="N23" s="11">
        <v>0.31937830801757672</v>
      </c>
      <c r="O23" s="11">
        <v>0.34022241416223514</v>
      </c>
      <c r="P23" s="11">
        <v>0.3624269031195731</v>
      </c>
      <c r="Q23" s="11">
        <v>0.38608055976643718</v>
      </c>
      <c r="R23" s="11">
        <v>0.41127796349154494</v>
      </c>
      <c r="S23" s="11">
        <v>0.43811986637214045</v>
      </c>
      <c r="T23" s="11">
        <v>0.46671359603220808</v>
      </c>
      <c r="U23" s="11">
        <v>0.49717348479307882</v>
      </c>
      <c r="V23" s="11">
        <v>0.52962132683238949</v>
      </c>
      <c r="W23" s="11">
        <v>0.56418686517935057</v>
      </c>
      <c r="X23" s="11">
        <v>0.60100831049358028</v>
      </c>
      <c r="Y23" s="11">
        <v>0.64023289370184389</v>
      </c>
      <c r="Z23" s="11">
        <v>0.68201745470242592</v>
      </c>
      <c r="AA23" s="11">
        <v>0.7265290694910691</v>
      </c>
      <c r="AB23" s="11">
        <v>0.77394571821606117</v>
      </c>
      <c r="AC23" s="11">
        <v>0.82445699683367957</v>
      </c>
      <c r="AD23" s="11">
        <v>0.87826487520956986</v>
      </c>
      <c r="AE23" s="11">
        <v>0.93558450469732424</v>
      </c>
      <c r="AF23" s="11">
        <v>0.99664507842337557</v>
      </c>
      <c r="AG23" s="11">
        <v>1.061690747718063</v>
      </c>
      <c r="AH23" s="11">
        <v>1.1309815983572333</v>
      </c>
      <c r="AI23" s="11">
        <v>1.2047946905178823</v>
      </c>
      <c r="AJ23" s="11">
        <v>1.2834251666061127</v>
      </c>
      <c r="AK23" s="11">
        <v>1.367187431387074</v>
      </c>
      <c r="AL23" s="11">
        <v>1.4564164091356397</v>
      </c>
      <c r="AM23" s="11">
        <v>1.5514688828345566</v>
      </c>
      <c r="AN23" s="11">
        <v>1.6527249207748609</v>
      </c>
    </row>
    <row r="24" spans="1:40" x14ac:dyDescent="0.2">
      <c r="A24" s="6" t="s">
        <v>44</v>
      </c>
      <c r="B24" s="11">
        <v>273.08574223023521</v>
      </c>
      <c r="C24" s="11">
        <v>290.90858133590962</v>
      </c>
      <c r="D24" s="11">
        <v>309.89462138789702</v>
      </c>
      <c r="E24" s="11">
        <v>330.11977826208448</v>
      </c>
      <c r="F24" s="11">
        <v>351.66492245568219</v>
      </c>
      <c r="G24" s="11">
        <v>374.6162024487362</v>
      </c>
      <c r="H24" s="11">
        <v>399.06538916970953</v>
      </c>
      <c r="I24" s="11">
        <v>425.11024294248057</v>
      </c>
      <c r="J24" s="11">
        <v>452.85490438200111</v>
      </c>
      <c r="K24" s="11">
        <v>482.41031080161309</v>
      </c>
      <c r="L24" s="11">
        <v>513.89463979703442</v>
      </c>
      <c r="M24" s="11">
        <v>547.43378178068758</v>
      </c>
      <c r="N24" s="11">
        <v>583.1618433558034</v>
      </c>
      <c r="O24" s="11">
        <v>621.22168354305268</v>
      </c>
      <c r="P24" s="11">
        <v>661.76548500380238</v>
      </c>
      <c r="Q24" s="11">
        <v>704.95536254404954</v>
      </c>
      <c r="R24" s="11">
        <v>750.96401133213692</v>
      </c>
      <c r="S24" s="11">
        <v>799.97539742215292</v>
      </c>
      <c r="T24" s="11">
        <v>852.18549334408647</v>
      </c>
      <c r="U24" s="11">
        <v>907.80306170199947</v>
      </c>
      <c r="V24" s="11">
        <v>967.05048991343881</v>
      </c>
      <c r="W24" s="11">
        <v>1030.1646794278067</v>
      </c>
      <c r="X24" s="11">
        <v>1097.3979929792374</v>
      </c>
      <c r="Y24" s="11">
        <v>1169.0192636615757</v>
      </c>
      <c r="Z24" s="11">
        <v>1245.3148698602643</v>
      </c>
      <c r="AA24" s="11">
        <v>1326.5898803392477</v>
      </c>
      <c r="AB24" s="11">
        <v>1413.1692740615638</v>
      </c>
      <c r="AC24" s="11">
        <v>1505.3992396210529</v>
      </c>
      <c r="AD24" s="11">
        <v>1603.6485594810047</v>
      </c>
      <c r="AE24" s="11">
        <v>1708.3100845546203</v>
      </c>
      <c r="AF24" s="11">
        <v>1819.8023050234171</v>
      </c>
      <c r="AG24" s="11">
        <v>1938.571023674511</v>
      </c>
      <c r="AH24" s="11">
        <v>2065.0911384476358</v>
      </c>
      <c r="AI24" s="11">
        <v>2199.8685413194262</v>
      </c>
      <c r="AJ24" s="11">
        <v>2343.4421411176731</v>
      </c>
      <c r="AK24" s="11">
        <v>2496.3860183538009</v>
      </c>
      <c r="AL24" s="11">
        <v>2659.3117206896773</v>
      </c>
      <c r="AM24" s="11">
        <v>2832.8707082172173</v>
      </c>
      <c r="AN24" s="11">
        <v>3017.7569583282402</v>
      </c>
    </row>
    <row r="26" spans="1:40" x14ac:dyDescent="0.2">
      <c r="A26" s="5" t="s">
        <v>46</v>
      </c>
    </row>
    <row r="27" spans="1:40" x14ac:dyDescent="0.2">
      <c r="A27" s="5" t="s">
        <v>4</v>
      </c>
    </row>
    <row r="28" spans="1:40" x14ac:dyDescent="0.2">
      <c r="A28" s="5" t="s">
        <v>47</v>
      </c>
    </row>
    <row r="29" spans="1:40" x14ac:dyDescent="0.2">
      <c r="A29" s="5" t="s">
        <v>6</v>
      </c>
    </row>
    <row r="30" spans="1:40" x14ac:dyDescent="0.2">
      <c r="A30" t="s">
        <v>156</v>
      </c>
      <c r="B30">
        <v>1000000</v>
      </c>
    </row>
    <row r="31" spans="1:40" x14ac:dyDescent="0.2">
      <c r="A31" s="6" t="s">
        <v>7</v>
      </c>
      <c r="B31" s="6">
        <v>2022</v>
      </c>
      <c r="C31" s="6">
        <v>2023</v>
      </c>
      <c r="D31" s="6">
        <v>2024</v>
      </c>
      <c r="E31" s="6">
        <v>2025</v>
      </c>
      <c r="F31" s="6">
        <v>2026</v>
      </c>
      <c r="G31" s="6">
        <v>2027</v>
      </c>
      <c r="H31" s="6">
        <v>2028</v>
      </c>
      <c r="I31" s="6">
        <v>2029</v>
      </c>
      <c r="J31" s="6">
        <v>2030</v>
      </c>
      <c r="K31" s="6">
        <v>2031</v>
      </c>
      <c r="L31" s="6">
        <v>2032</v>
      </c>
      <c r="M31" s="6">
        <v>2033</v>
      </c>
      <c r="N31" s="6">
        <v>2034</v>
      </c>
      <c r="O31" s="6">
        <v>2035</v>
      </c>
      <c r="P31" s="6">
        <v>2036</v>
      </c>
      <c r="Q31" s="6">
        <v>2037</v>
      </c>
      <c r="R31" s="6">
        <v>2038</v>
      </c>
      <c r="S31" s="6">
        <v>2039</v>
      </c>
      <c r="T31" s="6">
        <v>2040</v>
      </c>
      <c r="U31" s="6">
        <v>2041</v>
      </c>
      <c r="V31" s="6">
        <v>2042</v>
      </c>
      <c r="W31" s="6">
        <v>2043</v>
      </c>
      <c r="X31" s="6">
        <v>2044</v>
      </c>
      <c r="Y31" s="6">
        <v>2045</v>
      </c>
      <c r="Z31" s="6">
        <v>2046</v>
      </c>
      <c r="AA31" s="6">
        <v>2047</v>
      </c>
      <c r="AB31" s="6">
        <v>2048</v>
      </c>
      <c r="AC31" s="6">
        <v>2049</v>
      </c>
      <c r="AD31" s="6">
        <v>2050</v>
      </c>
      <c r="AE31" s="6">
        <v>2051</v>
      </c>
      <c r="AF31" s="6">
        <v>2052</v>
      </c>
      <c r="AG31" s="6">
        <v>2053</v>
      </c>
      <c r="AH31" s="6">
        <v>2054</v>
      </c>
      <c r="AI31" s="6">
        <v>2055</v>
      </c>
      <c r="AJ31" s="6">
        <v>2056</v>
      </c>
      <c r="AK31" s="6">
        <v>2057</v>
      </c>
      <c r="AL31" s="6">
        <v>2058</v>
      </c>
      <c r="AM31" s="6">
        <v>2059</v>
      </c>
      <c r="AN31" s="6">
        <v>2060</v>
      </c>
    </row>
    <row r="32" spans="1:40" x14ac:dyDescent="0.2">
      <c r="A32" s="6" t="s">
        <v>40</v>
      </c>
      <c r="B32" s="11">
        <v>1.4471192500736063</v>
      </c>
      <c r="C32" s="11">
        <v>1.5415649481541798</v>
      </c>
      <c r="D32" s="11">
        <v>1.6421746094917375</v>
      </c>
      <c r="E32" s="11">
        <v>1.7493505228490867</v>
      </c>
      <c r="F32" s="11">
        <v>1.8635212322150876</v>
      </c>
      <c r="G32" s="11">
        <v>1.9851432503421866</v>
      </c>
      <c r="H32" s="11">
        <v>2.114702884117337</v>
      </c>
      <c r="I32" s="11">
        <v>2.252718179065079</v>
      </c>
      <c r="J32" s="11">
        <v>2.3997409907578811</v>
      </c>
      <c r="K32" s="11">
        <v>2.5563591914163055</v>
      </c>
      <c r="L32" s="11">
        <v>2.723199020522113</v>
      </c>
      <c r="M32" s="11">
        <v>2.9009275888432553</v>
      </c>
      <c r="N32" s="11">
        <v>3.0902555458831191</v>
      </c>
      <c r="O32" s="11">
        <v>3.2919399214198646</v>
      </c>
      <c r="P32" s="11">
        <v>3.5067871524977416</v>
      </c>
      <c r="Q32" s="11">
        <v>3.7356563079738994</v>
      </c>
      <c r="R32" s="11">
        <v>3.9794625235140146</v>
      </c>
      <c r="S32" s="11">
        <v>4.2391806607716358</v>
      </c>
      <c r="T32" s="11">
        <v>4.5158492053825103</v>
      </c>
      <c r="U32" s="11">
        <v>4.810574419360047</v>
      </c>
      <c r="V32" s="11">
        <v>5.1245347644953236</v>
      </c>
      <c r="W32" s="11">
        <v>5.4589856144486451</v>
      </c>
      <c r="X32" s="11">
        <v>5.8152642743740035</v>
      </c>
      <c r="Y32" s="11">
        <v>6.1947953281474488</v>
      </c>
      <c r="Z32" s="11">
        <v>6.5990963345803371</v>
      </c>
      <c r="AA32" s="11">
        <v>7.0297838953937903</v>
      </c>
      <c r="AB32" s="11">
        <v>7.4885801192172758</v>
      </c>
      <c r="AC32" s="11">
        <v>7.9773195074576071</v>
      </c>
      <c r="AD32" s="11">
        <v>8.4979562895716541</v>
      </c>
      <c r="AE32" s="11">
        <v>9.0525722370728552</v>
      </c>
      <c r="AF32" s="11">
        <v>9.6433849875159741</v>
      </c>
      <c r="AG32" s="11">
        <v>10.272756911743606</v>
      </c>
      <c r="AH32" s="11">
        <v>10.943204559850223</v>
      </c>
      <c r="AI32" s="11">
        <v>11.65740872363355</v>
      </c>
      <c r="AJ32" s="11">
        <v>12.418225155768042</v>
      </c>
      <c r="AK32" s="11">
        <v>13.228695988561265</v>
      </c>
      <c r="AL32" s="11">
        <v>14.092061897951117</v>
      </c>
      <c r="AM32" s="11">
        <v>15.01177506138181</v>
      </c>
      <c r="AN32" s="11">
        <v>15.991512961370798</v>
      </c>
    </row>
    <row r="33" spans="1:40" x14ac:dyDescent="0.2">
      <c r="A33" s="6" t="s">
        <v>41</v>
      </c>
      <c r="B33" s="11">
        <v>0.88399208515874217</v>
      </c>
      <c r="C33" s="11">
        <v>0.94168549886757968</v>
      </c>
      <c r="D33" s="11">
        <v>1.0031442517024816</v>
      </c>
      <c r="E33" s="11">
        <v>1.0686140871170382</v>
      </c>
      <c r="F33" s="11">
        <v>1.1383567869196776</v>
      </c>
      <c r="G33" s="11">
        <v>1.2126512180109092</v>
      </c>
      <c r="H33" s="11">
        <v>1.2917944474354872</v>
      </c>
      <c r="I33" s="11">
        <v>1.3761029302080352</v>
      </c>
      <c r="J33" s="11">
        <v>1.4659137746616699</v>
      </c>
      <c r="K33" s="11">
        <v>1.5615860903791261</v>
      </c>
      <c r="L33" s="11">
        <v>1.6635024240961087</v>
      </c>
      <c r="M33" s="11">
        <v>1.7720702893183375</v>
      </c>
      <c r="N33" s="11">
        <v>1.8877237957684807</v>
      </c>
      <c r="O33" s="11">
        <v>2.0109253851783362</v>
      </c>
      <c r="P33" s="11">
        <v>2.1421676803668319</v>
      </c>
      <c r="Q33" s="11">
        <v>2.2819754549974287</v>
      </c>
      <c r="R33" s="11">
        <v>2.4309077318909922</v>
      </c>
      <c r="S33" s="11">
        <v>2.5895600182842737</v>
      </c>
      <c r="T33" s="11">
        <v>2.7585666869717107</v>
      </c>
      <c r="U33" s="11">
        <v>2.9386035128515462</v>
      </c>
      <c r="V33" s="11">
        <v>3.1303903750186923</v>
      </c>
      <c r="W33" s="11">
        <v>3.3346941352086774</v>
      </c>
      <c r="X33" s="11">
        <v>3.5523317041021603</v>
      </c>
      <c r="Y33" s="11">
        <v>3.7841733077506627</v>
      </c>
      <c r="Z33" s="11">
        <v>4.0311459671843668</v>
      </c>
      <c r="AA33" s="11">
        <v>4.29423720511521</v>
      </c>
      <c r="AB33" s="11">
        <v>4.5744989945565786</v>
      </c>
      <c r="AC33" s="11">
        <v>4.8730519651481892</v>
      </c>
      <c r="AD33" s="11">
        <v>5.1910898840052031</v>
      </c>
      <c r="AE33" s="11">
        <v>5.5298844290082787</v>
      </c>
      <c r="AF33" s="11">
        <v>5.8907902736206132</v>
      </c>
      <c r="AG33" s="11">
        <v>6.2752505035636919</v>
      </c>
      <c r="AH33" s="11">
        <v>6.6848023870103379</v>
      </c>
      <c r="AI33" s="11">
        <v>7.1210835213672796</v>
      </c>
      <c r="AJ33" s="11">
        <v>7.5858383812251624</v>
      </c>
      <c r="AK33" s="11">
        <v>8.08092529365811</v>
      </c>
      <c r="AL33" s="11">
        <v>8.6083238687635735</v>
      </c>
      <c r="AM33" s="11">
        <v>9.170142915153626</v>
      </c>
      <c r="AN33" s="11">
        <v>9.768628872047822</v>
      </c>
    </row>
    <row r="34" spans="1:40" x14ac:dyDescent="0.2">
      <c r="A34" s="6" t="s">
        <v>42</v>
      </c>
      <c r="B34" s="11">
        <v>0.68642420813891092</v>
      </c>
      <c r="C34" s="11">
        <v>0.73122342804686735</v>
      </c>
      <c r="D34" s="11">
        <v>0.77894645233200777</v>
      </c>
      <c r="E34" s="11">
        <v>0.82978410199642971</v>
      </c>
      <c r="F34" s="11">
        <v>0.88393965190375678</v>
      </c>
      <c r="G34" s="11">
        <v>0.94162964357576562</v>
      </c>
      <c r="H34" s="11">
        <v>1.0030847510358811</v>
      </c>
      <c r="I34" s="11">
        <v>1.0685507031616257</v>
      </c>
      <c r="J34" s="11">
        <v>1.1382892662340571</v>
      </c>
      <c r="K34" s="11">
        <v>1.2125792906129269</v>
      </c>
      <c r="L34" s="11">
        <v>1.2917178257227044</v>
      </c>
      <c r="M34" s="11">
        <v>1.3760213078077481</v>
      </c>
      <c r="N34" s="11">
        <v>1.465826825205873</v>
      </c>
      <c r="O34" s="11">
        <v>1.5614934661995297</v>
      </c>
      <c r="P34" s="11">
        <v>1.6634037548339791</v>
      </c>
      <c r="Q34" s="11">
        <v>1.7719651804436183</v>
      </c>
      <c r="R34" s="11">
        <v>1.8876118270022595</v>
      </c>
      <c r="S34" s="11">
        <v>2.0108061088123503</v>
      </c>
      <c r="T34" s="11">
        <v>2.1420406194733101</v>
      </c>
      <c r="U34" s="11">
        <v>2.2818401015220853</v>
      </c>
      <c r="V34" s="11">
        <v>2.4307635446215667</v>
      </c>
      <c r="W34" s="11">
        <v>2.5894064206864917</v>
      </c>
      <c r="X34" s="11">
        <v>2.7584030648840017</v>
      </c>
      <c r="Y34" s="11">
        <v>2.938429212029313</v>
      </c>
      <c r="Z34" s="11">
        <v>3.1302046985183112</v>
      </c>
      <c r="AA34" s="11">
        <v>3.3344963406007571</v>
      </c>
      <c r="AB34" s="11">
        <v>3.5521210005029311</v>
      </c>
      <c r="AC34" s="11">
        <v>3.7839488526596221</v>
      </c>
      <c r="AD34" s="11">
        <v>4.0309068631155318</v>
      </c>
      <c r="AE34" s="11">
        <v>4.2939824960085078</v>
      </c>
      <c r="AF34" s="11">
        <v>4.5742276619550335</v>
      </c>
      <c r="AG34" s="11">
        <v>4.8727629241256123</v>
      </c>
      <c r="AH34" s="11">
        <v>5.1907819788280989</v>
      </c>
      <c r="AI34" s="11">
        <v>5.5295564285146384</v>
      </c>
      <c r="AJ34" s="11">
        <v>5.8904408662970988</v>
      </c>
      <c r="AK34" s="11">
        <v>6.2748782923015387</v>
      </c>
      <c r="AL34" s="11">
        <v>6.6844058835189974</v>
      </c>
      <c r="AM34" s="11">
        <v>7.1206611402234703</v>
      </c>
      <c r="AN34" s="11">
        <v>7.5853884335335513</v>
      </c>
    </row>
    <row r="35" spans="1:40" x14ac:dyDescent="0.2">
      <c r="A35" s="6" t="s">
        <v>43</v>
      </c>
      <c r="B35" s="11">
        <v>4.8138709563875733E-2</v>
      </c>
      <c r="C35" s="11">
        <v>5.1280464487823418E-2</v>
      </c>
      <c r="D35" s="11">
        <v>5.4627264875007985E-2</v>
      </c>
      <c r="E35" s="11">
        <v>5.8192492941105588E-2</v>
      </c>
      <c r="F35" s="11">
        <v>6.1990404287106983E-2</v>
      </c>
      <c r="G35" s="11">
        <v>6.6036184900484241E-2</v>
      </c>
      <c r="H35" s="11">
        <v>7.03460118765174E-2</v>
      </c>
      <c r="I35" s="11">
        <v>7.4937118102575861E-2</v>
      </c>
      <c r="J35" s="11">
        <v>7.9827861163995442E-2</v>
      </c>
      <c r="K35" s="11">
        <v>8.5037796747071404E-2</v>
      </c>
      <c r="L35" s="11">
        <v>9.058775683267084E-2</v>
      </c>
      <c r="M35" s="11">
        <v>9.6499932993121859E-2</v>
      </c>
      <c r="N35" s="11">
        <v>0.10279796512544295</v>
      </c>
      <c r="O35" s="11">
        <v>0.10950703597571405</v>
      </c>
      <c r="P35" s="11">
        <v>0.11665397183254464</v>
      </c>
      <c r="Q35" s="11">
        <v>0.12426734979226418</v>
      </c>
      <c r="R35" s="11">
        <v>0.13237761202473489</v>
      </c>
      <c r="S35" s="11">
        <v>0.14101718749667988</v>
      </c>
      <c r="T35" s="11">
        <v>0.1502206216392398</v>
      </c>
      <c r="U35" s="11">
        <v>0.16002471447823297</v>
      </c>
      <c r="V35" s="11">
        <v>0.17046866777943639</v>
      </c>
      <c r="W35" s="11">
        <v>0.18159424179724823</v>
      </c>
      <c r="X35" s="11">
        <v>0.19344592225349355</v>
      </c>
      <c r="Y35" s="11">
        <v>0.20607109821403879</v>
      </c>
      <c r="Z35" s="11">
        <v>0.21952025157445848</v>
      </c>
      <c r="AA35" s="11">
        <v>0.23384715891241173</v>
      </c>
      <c r="AB35" s="11">
        <v>0.24910910651384005</v>
      </c>
      <c r="AC35" s="11">
        <v>0.26536711943276914</v>
      </c>
      <c r="AD35" s="11">
        <v>0.2826862055006133</v>
      </c>
      <c r="AE35" s="11">
        <v>0.30113561526065635</v>
      </c>
      <c r="AF35" s="11">
        <v>0.32078911886705858</v>
      </c>
      <c r="AG35" s="11">
        <v>0.34172530105557597</v>
      </c>
      <c r="AH35" s="11">
        <v>0.3640278753654308</v>
      </c>
      <c r="AI35" s="11">
        <v>0.3877860188687583</v>
      </c>
      <c r="AJ35" s="11">
        <v>0.41309472874604275</v>
      </c>
      <c r="AK35" s="11">
        <v>0.44005520213331961</v>
      </c>
      <c r="AL35" s="11">
        <v>0.46877524075996047</v>
      </c>
      <c r="AM35" s="11">
        <v>0.49936968199499454</v>
      </c>
      <c r="AN35" s="11">
        <v>0.53196085802550652</v>
      </c>
    </row>
    <row r="36" spans="1:40" x14ac:dyDescent="0.2">
      <c r="A36" s="6" t="s">
        <v>8</v>
      </c>
      <c r="B36" s="11">
        <v>3.6816096467932567E-2</v>
      </c>
      <c r="C36" s="11">
        <v>3.92188852715082E-2</v>
      </c>
      <c r="D36" s="11">
        <v>4.1778491190108992E-2</v>
      </c>
      <c r="E36" s="11">
        <v>4.4505148834254257E-2</v>
      </c>
      <c r="F36" s="11">
        <v>4.7409760772501357E-2</v>
      </c>
      <c r="G36" s="11">
        <v>5.0503941125477902E-2</v>
      </c>
      <c r="H36" s="11">
        <v>5.3800062005062183E-2</v>
      </c>
      <c r="I36" s="11">
        <v>5.7311302984399431E-2</v>
      </c>
      <c r="J36" s="11">
        <v>6.1051703796560268E-2</v>
      </c>
      <c r="K36" s="11">
        <v>6.5036220472557277E-2</v>
      </c>
      <c r="L36" s="11">
        <v>6.9280785143188486E-2</v>
      </c>
      <c r="M36" s="11">
        <v>7.3802369743825869E-2</v>
      </c>
      <c r="N36" s="11">
        <v>7.8619053876872735E-2</v>
      </c>
      <c r="O36" s="11">
        <v>8.3750097103239815E-2</v>
      </c>
      <c r="P36" s="11">
        <v>8.9216015951896543E-2</v>
      </c>
      <c r="Q36" s="11">
        <v>9.5038665955423124E-2</v>
      </c>
      <c r="R36" s="11">
        <v>0.10124132903958144</v>
      </c>
      <c r="S36" s="11">
        <v>0.107848806616334</v>
      </c>
      <c r="T36" s="11">
        <v>0.1148875187525442</v>
      </c>
      <c r="U36" s="11">
        <v>0.12238560981088453</v>
      </c>
      <c r="V36" s="11">
        <v>0.13037306098535947</v>
      </c>
      <c r="W36" s="11">
        <v>0.13888181018141721</v>
      </c>
      <c r="X36" s="11">
        <v>0.14794587971999229</v>
      </c>
      <c r="Y36" s="11">
        <v>0.15760151237610442</v>
      </c>
      <c r="Z36" s="11">
        <v>0.16788731629596684</v>
      </c>
      <c r="AA36" s="11">
        <v>0.17884441937205417</v>
      </c>
      <c r="AB36" s="11">
        <v>0.19051663369340294</v>
      </c>
      <c r="AC36" s="11">
        <v>0.20295063072869851</v>
      </c>
      <c r="AD36" s="11">
        <v>0.21619612794262183</v>
      </c>
      <c r="AE36" s="11">
        <v>0.23030608759164137</v>
      </c>
      <c r="AF36" s="11">
        <v>0.24533692849413927</v>
      </c>
      <c r="AG36" s="11">
        <v>0.26134875162163501</v>
      </c>
      <c r="AH36" s="11">
        <v>0.27840558041313657</v>
      </c>
      <c r="AI36" s="11">
        <v>0.29657561677351857</v>
      </c>
      <c r="AJ36" s="11">
        <v>0.31593151377953721</v>
      </c>
      <c r="AK36" s="11">
        <v>0.33655066618390422</v>
      </c>
      <c r="AL36" s="11">
        <v>0.35851551987899832</v>
      </c>
      <c r="AM36" s="11">
        <v>0.38191390155761229</v>
      </c>
      <c r="AN36" s="11">
        <v>0.40683936988888464</v>
      </c>
    </row>
    <row r="37" spans="1:40" x14ac:dyDescent="0.2">
      <c r="A37" s="6" t="s">
        <v>9</v>
      </c>
      <c r="B37" s="11">
        <v>0.37742676066855957</v>
      </c>
      <c r="C37" s="11">
        <v>0.40205937742341141</v>
      </c>
      <c r="D37" s="11">
        <v>0.4282996327228028</v>
      </c>
      <c r="E37" s="11">
        <v>0.45625244849669366</v>
      </c>
      <c r="F37" s="11">
        <v>0.48602959436566712</v>
      </c>
      <c r="G37" s="11">
        <v>0.51775013455290386</v>
      </c>
      <c r="H37" s="11">
        <v>0.55154090396369915</v>
      </c>
      <c r="I37" s="11">
        <v>0.58753701533613256</v>
      </c>
      <c r="J37" s="11">
        <v>0.62588239949073865</v>
      </c>
      <c r="K37" s="11">
        <v>0.66673038083936698</v>
      </c>
      <c r="L37" s="11">
        <v>0.71024429045441639</v>
      </c>
      <c r="M37" s="11">
        <v>0.75659811914980368</v>
      </c>
      <c r="N37" s="11">
        <v>0.80597721318501714</v>
      </c>
      <c r="O37" s="11">
        <v>0.85857901537403747</v>
      </c>
      <c r="P37" s="11">
        <v>0.91461385456245137</v>
      </c>
      <c r="Q37" s="11">
        <v>0.97430578662950207</v>
      </c>
      <c r="R37" s="11">
        <v>1.0378934903778183</v>
      </c>
      <c r="S37" s="11">
        <v>1.1056312218930546</v>
      </c>
      <c r="T37" s="11">
        <v>1.1777898311894597</v>
      </c>
      <c r="U37" s="11">
        <v>1.254657845206433</v>
      </c>
      <c r="V37" s="11">
        <v>1.3365426214864549</v>
      </c>
      <c r="W37" s="11">
        <v>1.4237715771473705</v>
      </c>
      <c r="X37" s="11">
        <v>1.5166934980630959</v>
      </c>
      <c r="Y37" s="11">
        <v>1.6156799334875094</v>
      </c>
      <c r="Z37" s="11">
        <v>1.7211266816979571</v>
      </c>
      <c r="AA37" s="11">
        <v>1.8334553725987222</v>
      </c>
      <c r="AB37" s="11">
        <v>1.9531151536125244</v>
      </c>
      <c r="AC37" s="11">
        <v>2.080584485601094</v>
      </c>
      <c r="AD37" s="11">
        <v>2.2163730559958363</v>
      </c>
      <c r="AE37" s="11">
        <v>2.3610238167882551</v>
      </c>
      <c r="AF37" s="11">
        <v>2.5151151555290587</v>
      </c>
      <c r="AG37" s="11">
        <v>2.6792632080167098</v>
      </c>
      <c r="AH37" s="11">
        <v>2.8541243219227437</v>
      </c>
      <c r="AI37" s="11">
        <v>3.0403976812046603</v>
      </c>
      <c r="AJ37" s="11">
        <v>3.2388281018001472</v>
      </c>
      <c r="AK37" s="11">
        <v>3.4502090097812546</v>
      </c>
      <c r="AL37" s="11">
        <v>3.6753856138766676</v>
      </c>
      <c r="AM37" s="11">
        <v>3.9152582850474951</v>
      </c>
      <c r="AN37" s="11">
        <v>4.1707861566297799</v>
      </c>
    </row>
    <row r="38" spans="1:40" x14ac:dyDescent="0.2">
      <c r="A38" s="6" t="s">
        <v>10</v>
      </c>
      <c r="B38" s="11">
        <v>3.2781125585794053E-4</v>
      </c>
      <c r="C38" s="11">
        <v>3.4920573519791053E-4</v>
      </c>
      <c r="D38" s="11">
        <v>3.7199651725186312E-4</v>
      </c>
      <c r="E38" s="11">
        <v>3.9627473119560516E-4</v>
      </c>
      <c r="F38" s="11">
        <v>4.221374537166117E-4</v>
      </c>
      <c r="G38" s="11">
        <v>4.4968809717615618E-4</v>
      </c>
      <c r="H38" s="11">
        <v>4.7903682310469786E-4</v>
      </c>
      <c r="I38" s="11">
        <v>5.1030098268389085E-4</v>
      </c>
      <c r="J38" s="11">
        <v>5.4360558597648864E-4</v>
      </c>
      <c r="K38" s="11">
        <v>5.7908380178036073E-4</v>
      </c>
      <c r="L38" s="11">
        <v>6.1687749010529798E-4</v>
      </c>
      <c r="M38" s="11">
        <v>6.5713776940171673E-4</v>
      </c>
      <c r="N38" s="11">
        <v>7.0002562080933174E-4</v>
      </c>
      <c r="O38" s="11">
        <v>7.4571253184189674E-4</v>
      </c>
      <c r="P38" s="11">
        <v>7.9438118208178393E-4</v>
      </c>
      <c r="Q38" s="11">
        <v>8.4622617362617079E-4</v>
      </c>
      <c r="R38" s="11">
        <v>9.0145480920552029E-4</v>
      </c>
      <c r="S38" s="11">
        <v>9.6028792108567463E-4</v>
      </c>
      <c r="T38" s="11">
        <v>1.0229607540679368E-3</v>
      </c>
      <c r="U38" s="11">
        <v>1.08972390611782E-3</v>
      </c>
      <c r="V38" s="11">
        <v>1.1608443303835828E-3</v>
      </c>
      <c r="W38" s="11">
        <v>1.2366064026111321E-3</v>
      </c>
      <c r="X38" s="11">
        <v>1.3173130582233596E-3</v>
      </c>
      <c r="Y38" s="11">
        <v>1.4032870036105366E-3</v>
      </c>
      <c r="Z38" s="11">
        <v>1.4948720064751266E-3</v>
      </c>
      <c r="AA38" s="11">
        <v>1.5924342703904676E-3</v>
      </c>
      <c r="AB38" s="11">
        <v>1.6963638990695189E-3</v>
      </c>
      <c r="AC38" s="11">
        <v>1.8070764561985569E-3</v>
      </c>
      <c r="AD38" s="11">
        <v>1.9250146270728379E-3</v>
      </c>
      <c r="AE38" s="11">
        <v>2.0506499886782919E-3</v>
      </c>
      <c r="AF38" s="11">
        <v>2.1844848952969355E-3</v>
      </c>
      <c r="AG38" s="11">
        <v>2.3270544871756243E-3</v>
      </c>
      <c r="AH38" s="11">
        <v>2.4789288302898174E-3</v>
      </c>
      <c r="AI38" s="11">
        <v>2.6407151957582296E-3</v>
      </c>
      <c r="AJ38" s="11">
        <v>2.8130604880226232E-3</v>
      </c>
      <c r="AK38" s="11">
        <v>2.9966538315018589E-3</v>
      </c>
      <c r="AL38" s="11">
        <v>3.1922293260629496E-3</v>
      </c>
      <c r="AM38" s="11">
        <v>3.4005689823269096E-3</v>
      </c>
      <c r="AN38" s="11">
        <v>3.6225058485462452E-3</v>
      </c>
    </row>
    <row r="39" spans="1:40" x14ac:dyDescent="0.2">
      <c r="A39" s="6" t="s">
        <v>44</v>
      </c>
      <c r="B39" s="11">
        <v>0.59855980019586374</v>
      </c>
      <c r="C39" s="11">
        <v>0.63762458229284125</v>
      </c>
      <c r="D39" s="11">
        <v>0.6792389128222146</v>
      </c>
      <c r="E39" s="11">
        <v>0.72356918711144214</v>
      </c>
      <c r="F39" s="11">
        <v>0.77079266021696369</v>
      </c>
      <c r="G39" s="11">
        <v>0.82109815568036204</v>
      </c>
      <c r="H39" s="11">
        <v>0.8746868205412287</v>
      </c>
      <c r="I39" s="11">
        <v>0.93177292962566793</v>
      </c>
      <c r="J39" s="11">
        <v>0.99258474232638449</v>
      </c>
      <c r="K39" s="11">
        <v>1.0573654153002077</v>
      </c>
      <c r="L39" s="11">
        <v>1.1263739747324761</v>
      </c>
      <c r="M39" s="11">
        <v>1.1998863520558989</v>
      </c>
      <c r="N39" s="11">
        <v>1.2781964872652176</v>
      </c>
      <c r="O39" s="11">
        <v>1.3616175042392931</v>
      </c>
      <c r="P39" s="11">
        <v>1.4504829627701417</v>
      </c>
      <c r="Q39" s="11">
        <v>1.5451481923051902</v>
      </c>
      <c r="R39" s="11">
        <v>1.6459917127357131</v>
      </c>
      <c r="S39" s="11">
        <v>1.7534167479125005</v>
      </c>
      <c r="T39" s="11">
        <v>1.8678528379405634</v>
      </c>
      <c r="U39" s="11">
        <v>1.9897575566996466</v>
      </c>
      <c r="V39" s="11">
        <v>2.1196183414580805</v>
      </c>
      <c r="W39" s="11">
        <v>2.2579544418957007</v>
      </c>
      <c r="X39" s="11">
        <v>2.4053189963290182</v>
      </c>
      <c r="Y39" s="11">
        <v>2.5623012434404453</v>
      </c>
      <c r="Z39" s="11">
        <v>2.7295288783552234</v>
      </c>
      <c r="AA39" s="11">
        <v>2.9076705624868064</v>
      </c>
      <c r="AB39" s="11">
        <v>3.0974385971863887</v>
      </c>
      <c r="AC39" s="11">
        <v>3.2995917718871621</v>
      </c>
      <c r="AD39" s="11">
        <v>3.5149383981316471</v>
      </c>
      <c r="AE39" s="11">
        <v>3.7443395416136886</v>
      </c>
      <c r="AF39" s="11">
        <v>3.9887124651584585</v>
      </c>
      <c r="AG39" s="11">
        <v>4.2490342964072756</v>
      </c>
      <c r="AH39" s="11">
        <v>4.526345934872503</v>
      </c>
      <c r="AI39" s="11">
        <v>4.8217562139849255</v>
      </c>
      <c r="AJ39" s="11">
        <v>5.1364463347755844</v>
      </c>
      <c r="AK39" s="11">
        <v>5.4716745889202327</v>
      </c>
      <c r="AL39" s="11">
        <v>5.8287813900314918</v>
      </c>
      <c r="AM39" s="11">
        <v>6.2091946333164385</v>
      </c>
      <c r="AN39" s="11">
        <v>6.614435405030239</v>
      </c>
    </row>
    <row r="41" spans="1:40" x14ac:dyDescent="0.2">
      <c r="A41" s="5" t="s">
        <v>46</v>
      </c>
    </row>
    <row r="42" spans="1:40" x14ac:dyDescent="0.2">
      <c r="A42" s="5" t="s">
        <v>4</v>
      </c>
    </row>
    <row r="43" spans="1:40" x14ac:dyDescent="0.2">
      <c r="A43" s="5" t="s">
        <v>49</v>
      </c>
    </row>
    <row r="44" spans="1:40" x14ac:dyDescent="0.2">
      <c r="A44" s="5" t="s">
        <v>6</v>
      </c>
    </row>
    <row r="45" spans="1:40" x14ac:dyDescent="0.2">
      <c r="A45" s="5"/>
    </row>
    <row r="46" spans="1:40" x14ac:dyDescent="0.2">
      <c r="A46" s="6" t="s">
        <v>7</v>
      </c>
      <c r="B46" s="6">
        <v>2022</v>
      </c>
      <c r="C46" s="6">
        <v>2023</v>
      </c>
      <c r="D46" s="6">
        <v>2024</v>
      </c>
      <c r="E46" s="6">
        <v>2025</v>
      </c>
      <c r="F46" s="6">
        <v>2026</v>
      </c>
      <c r="G46" s="6">
        <v>2027</v>
      </c>
      <c r="H46" s="6">
        <v>2028</v>
      </c>
      <c r="I46" s="6">
        <v>2029</v>
      </c>
      <c r="J46" s="6">
        <v>2030</v>
      </c>
      <c r="K46" s="6">
        <v>2031</v>
      </c>
      <c r="L46" s="6">
        <v>2032</v>
      </c>
      <c r="M46" s="6">
        <v>2033</v>
      </c>
      <c r="N46" s="6">
        <v>2034</v>
      </c>
      <c r="O46" s="6">
        <v>2035</v>
      </c>
      <c r="P46" s="6">
        <v>2036</v>
      </c>
      <c r="Q46" s="6">
        <v>2037</v>
      </c>
      <c r="R46" s="6">
        <v>2038</v>
      </c>
      <c r="S46" s="6">
        <v>2039</v>
      </c>
      <c r="T46" s="6">
        <v>2040</v>
      </c>
      <c r="U46" s="6">
        <v>2041</v>
      </c>
      <c r="V46" s="6">
        <v>2042</v>
      </c>
      <c r="W46" s="6">
        <v>2043</v>
      </c>
      <c r="X46" s="6">
        <v>2044</v>
      </c>
      <c r="Y46" s="6">
        <v>2045</v>
      </c>
      <c r="Z46" s="6">
        <v>2046</v>
      </c>
      <c r="AA46" s="6">
        <v>2047</v>
      </c>
      <c r="AB46" s="6">
        <v>2048</v>
      </c>
      <c r="AC46" s="6">
        <v>2049</v>
      </c>
      <c r="AD46" s="6">
        <v>2050</v>
      </c>
      <c r="AE46" s="6">
        <v>2051</v>
      </c>
      <c r="AF46" s="6">
        <v>2052</v>
      </c>
      <c r="AG46" s="6">
        <v>2053</v>
      </c>
      <c r="AH46" s="6">
        <v>2054</v>
      </c>
      <c r="AI46" s="6">
        <v>2055</v>
      </c>
      <c r="AJ46" s="6">
        <v>2056</v>
      </c>
      <c r="AK46" s="6">
        <v>2057</v>
      </c>
      <c r="AL46" s="6">
        <v>2058</v>
      </c>
      <c r="AM46" s="6">
        <v>2059</v>
      </c>
      <c r="AN46" s="6">
        <v>2060</v>
      </c>
    </row>
    <row r="47" spans="1:40" x14ac:dyDescent="0.2">
      <c r="A47" s="6" t="s">
        <v>40</v>
      </c>
      <c r="B47" s="11">
        <v>1.0864727286844753</v>
      </c>
      <c r="C47" s="11">
        <v>1.1573809660677401</v>
      </c>
      <c r="D47" s="11">
        <v>1.2329170031150509</v>
      </c>
      <c r="E47" s="11">
        <v>1.3133828714453126</v>
      </c>
      <c r="F47" s="11">
        <v>1.3991003146583805</v>
      </c>
      <c r="G47" s="11">
        <v>1.4904120748301426</v>
      </c>
      <c r="H47" s="11">
        <v>1.5876832629702282</v>
      </c>
      <c r="I47" s="11">
        <v>1.6913028189221231</v>
      </c>
      <c r="J47" s="11">
        <v>1.8016850665431245</v>
      </c>
      <c r="K47" s="11">
        <v>1.9192713703825319</v>
      </c>
      <c r="L47" s="11">
        <v>2.044531900482327</v>
      </c>
      <c r="M47" s="11">
        <v>2.1779675123569082</v>
      </c>
      <c r="N47" s="11">
        <v>2.3201117496689996</v>
      </c>
      <c r="O47" s="11">
        <v>2.4715329776094648</v>
      </c>
      <c r="P47" s="11">
        <v>2.6328366555113476</v>
      </c>
      <c r="Q47" s="11">
        <v>2.8046677577852233</v>
      </c>
      <c r="R47" s="11">
        <v>2.9877133528560034</v>
      </c>
      <c r="S47" s="11">
        <v>3.1827053504130691</v>
      </c>
      <c r="T47" s="11">
        <v>3.3904234279586838</v>
      </c>
      <c r="U47" s="11">
        <v>3.6116981483564694</v>
      </c>
      <c r="V47" s="11">
        <v>3.8474142808455452</v>
      </c>
      <c r="W47" s="11">
        <v>4.0985143387994052</v>
      </c>
      <c r="X47" s="11">
        <v>4.3660023483753001</v>
      </c>
      <c r="Y47" s="11">
        <v>4.6509478631231396</v>
      </c>
      <c r="Z47" s="11">
        <v>4.954490240606316</v>
      </c>
      <c r="AA47" s="11">
        <v>5.2778431981346321</v>
      </c>
      <c r="AB47" s="11">
        <v>5.622299665825377</v>
      </c>
      <c r="AC47" s="11">
        <v>5.9892369563976962</v>
      </c>
      <c r="AD47" s="11">
        <v>6.380122272371608</v>
      </c>
      <c r="AE47" s="11">
        <v>6.7965185726923343</v>
      </c>
      <c r="AF47" s="11">
        <v>7.2400908222376739</v>
      </c>
      <c r="AG47" s="11">
        <v>7.7126126491971432</v>
      </c>
      <c r="AH47" s="11">
        <v>8.2159734369424733</v>
      </c>
      <c r="AI47" s="11">
        <v>8.7521858787464364</v>
      </c>
      <c r="AJ47" s="11">
        <v>9.3233940255574907</v>
      </c>
      <c r="AK47" s="11">
        <v>9.9318818590095308</v>
      </c>
      <c r="AL47" s="11">
        <v>10.580082423945859</v>
      </c>
      <c r="AM47" s="11">
        <v>11.270587556973945</v>
      </c>
      <c r="AN47" s="11">
        <v>12.006158249950689</v>
      </c>
    </row>
    <row r="48" spans="1:40" x14ac:dyDescent="0.2">
      <c r="A48" s="6" t="s">
        <v>41</v>
      </c>
      <c r="B48" s="11">
        <v>0.66368634958816297</v>
      </c>
      <c r="C48" s="11">
        <v>0.70700159163902621</v>
      </c>
      <c r="D48" s="11">
        <v>0.75314378680575367</v>
      </c>
      <c r="E48" s="11">
        <v>0.80229743512899887</v>
      </c>
      <c r="F48" s="11">
        <v>0.85465907797575014</v>
      </c>
      <c r="G48" s="11">
        <v>0.91043808391200109</v>
      </c>
      <c r="H48" s="11">
        <v>0.969857485865113</v>
      </c>
      <c r="I48" s="11">
        <v>1.0331548729232574</v>
      </c>
      <c r="J48" s="11">
        <v>1.1005833403378262</v>
      </c>
      <c r="K48" s="11">
        <v>1.172412501527389</v>
      </c>
      <c r="L48" s="11">
        <v>1.2489295661297113</v>
      </c>
      <c r="M48" s="11">
        <v>1.3304404884124388</v>
      </c>
      <c r="N48" s="11">
        <v>1.4172711906343747</v>
      </c>
      <c r="O48" s="11">
        <v>1.5097688662489737</v>
      </c>
      <c r="P48" s="11">
        <v>1.6083033681609264</v>
      </c>
      <c r="Q48" s="11">
        <v>1.7132686875867931</v>
      </c>
      <c r="R48" s="11">
        <v>1.8250845294329252</v>
      </c>
      <c r="S48" s="11">
        <v>1.9441979904898357</v>
      </c>
      <c r="T48" s="11">
        <v>2.0710853471533044</v>
      </c>
      <c r="U48" s="11">
        <v>2.2062539598204314</v>
      </c>
      <c r="V48" s="11">
        <v>2.3502443015753847</v>
      </c>
      <c r="W48" s="11">
        <v>2.5036321192765785</v>
      </c>
      <c r="X48" s="11">
        <v>2.6670307356863852</v>
      </c>
      <c r="Y48" s="11">
        <v>2.8410935018484929</v>
      </c>
      <c r="Z48" s="11">
        <v>3.0265164095187584</v>
      </c>
      <c r="AA48" s="11">
        <v>3.2240408740953814</v>
      </c>
      <c r="AB48" s="11">
        <v>3.4344566991759709</v>
      </c>
      <c r="AC48" s="11">
        <v>3.6586052345953428</v>
      </c>
      <c r="AD48" s="11">
        <v>3.8973827405714561</v>
      </c>
      <c r="AE48" s="11">
        <v>4.15174397141109</v>
      </c>
      <c r="AF48" s="11">
        <v>4.422705993104735</v>
      </c>
      <c r="AG48" s="11">
        <v>4.7113522500753824</v>
      </c>
      <c r="AH48" s="11">
        <v>5.0188368973421609</v>
      </c>
      <c r="AI48" s="11">
        <v>5.3463894154210383</v>
      </c>
      <c r="AJ48" s="11">
        <v>5.695319526415239</v>
      </c>
      <c r="AK48" s="11">
        <v>6.067022430952548</v>
      </c>
      <c r="AL48" s="11">
        <v>6.4629843869093024</v>
      </c>
      <c r="AM48" s="11">
        <v>6.8847886522277637</v>
      </c>
      <c r="AN48" s="11">
        <v>7.3341218155892403</v>
      </c>
    </row>
    <row r="49" spans="1:40" x14ac:dyDescent="0.2">
      <c r="A49" s="6" t="s">
        <v>42</v>
      </c>
      <c r="B49" s="11">
        <v>0.51535571950114467</v>
      </c>
      <c r="C49" s="11">
        <v>0.54899021830670347</v>
      </c>
      <c r="D49" s="11">
        <v>0.58481986013113929</v>
      </c>
      <c r="E49" s="11">
        <v>0.62298791016479038</v>
      </c>
      <c r="F49" s="11">
        <v>0.6636469837472051</v>
      </c>
      <c r="G49" s="11">
        <v>0.70695965660114146</v>
      </c>
      <c r="H49" s="11">
        <v>0.75309911489326331</v>
      </c>
      <c r="I49" s="11">
        <v>0.80224984772080232</v>
      </c>
      <c r="J49" s="11">
        <v>0.85460838479310752</v>
      </c>
      <c r="K49" s="11">
        <v>0.91038408225770229</v>
      </c>
      <c r="L49" s="11">
        <v>0.96979995981298872</v>
      </c>
      <c r="M49" s="11">
        <v>1.0330935924547988</v>
      </c>
      <c r="N49" s="11">
        <v>1.1005180604224511</v>
      </c>
      <c r="O49" s="11">
        <v>1.1723429611426863</v>
      </c>
      <c r="P49" s="11">
        <v>1.24885548721774</v>
      </c>
      <c r="Q49" s="11">
        <v>1.3303615747679089</v>
      </c>
      <c r="R49" s="11">
        <v>1.4171871267202696</v>
      </c>
      <c r="S49" s="11">
        <v>1.5096793159348696</v>
      </c>
      <c r="T49" s="11">
        <v>1.6082079733789743</v>
      </c>
      <c r="U49" s="11">
        <v>1.7131670668999797</v>
      </c>
      <c r="V49" s="11">
        <v>1.8249762765098911</v>
      </c>
      <c r="W49" s="11">
        <v>1.9440826724801588</v>
      </c>
      <c r="X49" s="11">
        <v>2.07096250295674</v>
      </c>
      <c r="Y49" s="11">
        <v>2.2061230982431983</v>
      </c>
      <c r="Z49" s="11">
        <v>2.3501048993661242</v>
      </c>
      <c r="AA49" s="11">
        <v>2.5034836190341294</v>
      </c>
      <c r="AB49" s="11">
        <v>2.6668725436310021</v>
      </c>
      <c r="AC49" s="11">
        <v>2.8409249854476215</v>
      </c>
      <c r="AD49" s="11">
        <v>3.0263368949578409</v>
      </c>
      <c r="AE49" s="11">
        <v>3.2238496435836033</v>
      </c>
      <c r="AF49" s="11">
        <v>3.434252988076171</v>
      </c>
      <c r="AG49" s="11">
        <v>3.6583882283665998</v>
      </c>
      <c r="AH49" s="11">
        <v>3.8971515715121354</v>
      </c>
      <c r="AI49" s="11">
        <v>4.1514977151893415</v>
      </c>
      <c r="AJ49" s="11">
        <v>4.4224436650625254</v>
      </c>
      <c r="AK49" s="11">
        <v>4.711072801291345</v>
      </c>
      <c r="AL49" s="11">
        <v>5.0185392104374724</v>
      </c>
      <c r="AM49" s="11">
        <v>5.3460723000915493</v>
      </c>
      <c r="AN49" s="11">
        <v>5.6949817146720561</v>
      </c>
    </row>
    <row r="50" spans="1:40" x14ac:dyDescent="0.2">
      <c r="A50" s="6" t="s">
        <v>43</v>
      </c>
      <c r="B50" s="11">
        <v>3.614173131338503E-2</v>
      </c>
      <c r="C50" s="11">
        <v>3.8500507926687327E-2</v>
      </c>
      <c r="D50" s="11">
        <v>4.1013229215833127E-2</v>
      </c>
      <c r="E50" s="11">
        <v>4.368994232266999E-2</v>
      </c>
      <c r="F50" s="11">
        <v>4.654135011201057E-2</v>
      </c>
      <c r="G50" s="11">
        <v>4.9578853967147347E-2</v>
      </c>
      <c r="H50" s="11">
        <v>5.281459937840071E-2</v>
      </c>
      <c r="I50" s="11">
        <v>5.626152450698646E-2</v>
      </c>
      <c r="J50" s="11">
        <v>5.993341191838631E-2</v>
      </c>
      <c r="K50" s="11">
        <v>6.3844943692077161E-2</v>
      </c>
      <c r="L50" s="11">
        <v>6.8011760127976578E-2</v>
      </c>
      <c r="M50" s="11">
        <v>7.245052228434247E-2</v>
      </c>
      <c r="N50" s="11">
        <v>7.7178978597185269E-2</v>
      </c>
      <c r="O50" s="11">
        <v>8.2216035847571575E-2</v>
      </c>
      <c r="P50" s="11">
        <v>8.7581834760582011E-2</v>
      </c>
      <c r="Q50" s="11">
        <v>9.3297830538207019E-2</v>
      </c>
      <c r="R50" s="11">
        <v>9.9386878648192359E-2</v>
      </c>
      <c r="S50" s="11">
        <v>0.10587332621186088</v>
      </c>
      <c r="T50" s="11">
        <v>0.11278310935632735</v>
      </c>
      <c r="U50" s="11">
        <v>0.1201438569203683</v>
      </c>
      <c r="V50" s="11">
        <v>0.1279850009286175</v>
      </c>
      <c r="W50" s="11">
        <v>0.13633789427581844</v>
      </c>
      <c r="X50" s="11">
        <v>0.14523593609169522</v>
      </c>
      <c r="Y50" s="11">
        <v>0.15471470528771553</v>
      </c>
      <c r="Z50" s="11">
        <v>0.16481210281973319</v>
      </c>
      <c r="AA50" s="11">
        <v>0.17556850323534884</v>
      </c>
      <c r="AB50" s="11">
        <v>0.18702691611195221</v>
      </c>
      <c r="AC50" s="11">
        <v>0.19923315803095915</v>
      </c>
      <c r="AD50" s="11">
        <v>0.21223603577588179</v>
      </c>
      <c r="AE50" s="11">
        <v>0.22608754148675334</v>
      </c>
      <c r="AF50" s="11">
        <v>0.24084306055123345</v>
      </c>
      <c r="AG50" s="11">
        <v>0.25656159306364823</v>
      </c>
      <c r="AH50" s="11">
        <v>0.27330598973747289</v>
      </c>
      <c r="AI50" s="11">
        <v>0.29114320321455506</v>
      </c>
      <c r="AJ50" s="11">
        <v>0.31014455577593814</v>
      </c>
      <c r="AK50" s="11">
        <v>0.33038602452473553</v>
      </c>
      <c r="AL50" s="11">
        <v>0.35194854518135543</v>
      </c>
      <c r="AM50" s="11">
        <v>0.3749183357058094</v>
      </c>
      <c r="AN50" s="11">
        <v>0.39938724104110973</v>
      </c>
    </row>
    <row r="51" spans="1:40" x14ac:dyDescent="0.2">
      <c r="A51" s="6" t="s">
        <v>8</v>
      </c>
      <c r="B51" s="11">
        <v>2.764090436715606E-2</v>
      </c>
      <c r="C51" s="11">
        <v>2.9444877680621175E-2</v>
      </c>
      <c r="D51" s="11">
        <v>3.1366586639507553E-2</v>
      </c>
      <c r="E51" s="11">
        <v>3.3413715216798201E-2</v>
      </c>
      <c r="F51" s="11">
        <v>3.559444887710677E-2</v>
      </c>
      <c r="G51" s="11">
        <v>3.7917507306341712E-2</v>
      </c>
      <c r="H51" s="11">
        <v>4.0392179277459889E-2</v>
      </c>
      <c r="I51" s="11">
        <v>4.3028359791720434E-2</v>
      </c>
      <c r="J51" s="11">
        <v>4.5836589643948877E-2</v>
      </c>
      <c r="K51" s="11">
        <v>4.8828097570013274E-2</v>
      </c>
      <c r="L51" s="11">
        <v>5.2014845145039811E-2</v>
      </c>
      <c r="M51" s="11">
        <v>5.5409574611893608E-2</v>
      </c>
      <c r="N51" s="11">
        <v>5.9025859831167517E-2</v>
      </c>
      <c r="O51" s="11">
        <v>6.2878160556402968E-2</v>
      </c>
      <c r="P51" s="11">
        <v>6.6981880251562764E-2</v>
      </c>
      <c r="Q51" s="11">
        <v>7.1353427681939668E-2</v>
      </c>
      <c r="R51" s="11">
        <v>7.601028252477296E-2</v>
      </c>
      <c r="S51" s="11">
        <v>8.09710652619169E-2</v>
      </c>
      <c r="T51" s="11">
        <v>8.6255611634028548E-2</v>
      </c>
      <c r="U51" s="11">
        <v>9.1885051953980335E-2</v>
      </c>
      <c r="V51" s="11">
        <v>9.788189559663249E-2</v>
      </c>
      <c r="W51" s="11">
        <v>0.10427012100279967</v>
      </c>
      <c r="X51" s="11">
        <v>0.11107527155729228</v>
      </c>
      <c r="Y51" s="11">
        <v>0.1183245577244027</v>
      </c>
      <c r="Z51" s="11">
        <v>0.12604696584922581</v>
      </c>
      <c r="AA51" s="11">
        <v>0.13427337405985737</v>
      </c>
      <c r="AB51" s="11">
        <v>0.14303667573390544</v>
      </c>
      <c r="AC51" s="11">
        <v>0.15237191102299877</v>
      </c>
      <c r="AD51" s="11">
        <v>0.16231640696119201</v>
      </c>
      <c r="AE51" s="11">
        <v>0.17290992671749442</v>
      </c>
      <c r="AF51" s="11">
        <v>0.18419482858930911</v>
      </c>
      <c r="AG51" s="11">
        <v>0.19621623537251939</v>
      </c>
      <c r="AH51" s="11">
        <v>0.20902221478545097</v>
      </c>
      <c r="AI51" s="11">
        <v>0.22266397166813748</v>
      </c>
      <c r="AJ51" s="11">
        <v>0.23719605272539701</v>
      </c>
      <c r="AK51" s="11">
        <v>0.25267656463239241</v>
      </c>
      <c r="AL51" s="11">
        <v>0.26916740637476694</v>
      </c>
      <c r="AM51" s="11">
        <v>0.28673451675237366</v>
      </c>
      <c r="AN51" s="11">
        <v>0.30544813803624254</v>
      </c>
    </row>
    <row r="52" spans="1:40" x14ac:dyDescent="0.2">
      <c r="A52" s="6" t="s">
        <v>9</v>
      </c>
      <c r="B52" s="11">
        <v>0.28336564685053234</v>
      </c>
      <c r="C52" s="11">
        <v>0.30185940009684603</v>
      </c>
      <c r="D52" s="11">
        <v>0.32156014125061055</v>
      </c>
      <c r="E52" s="11">
        <v>0.34254664392739903</v>
      </c>
      <c r="F52" s="11">
        <v>0.36490282287342263</v>
      </c>
      <c r="G52" s="11">
        <v>0.38871806949950355</v>
      </c>
      <c r="H52" s="11">
        <v>0.41408760931354888</v>
      </c>
      <c r="I52" s="11">
        <v>0.44111288268071935</v>
      </c>
      <c r="J52" s="11">
        <v>0.46990195043377148</v>
      </c>
      <c r="K52" s="11">
        <v>0.50056992595540417</v>
      </c>
      <c r="L52" s="11">
        <v>0.53323943546030128</v>
      </c>
      <c r="M52" s="11">
        <v>0.56804110831730859</v>
      </c>
      <c r="N52" s="11">
        <v>0.60511409937230431</v>
      </c>
      <c r="O52" s="11">
        <v>0.6446066453602789</v>
      </c>
      <c r="P52" s="11">
        <v>0.68667665763143915</v>
      </c>
      <c r="Q52" s="11">
        <v>0.73149235356136166</v>
      </c>
      <c r="R52" s="11">
        <v>0.77923292916989639</v>
      </c>
      <c r="S52" s="11">
        <v>0.83008927563828716</v>
      </c>
      <c r="T52" s="11">
        <v>0.88426474258952026</v>
      </c>
      <c r="U52" s="11">
        <v>0.94197595118387656</v>
      </c>
      <c r="V52" s="11">
        <v>1.0034536602808628</v>
      </c>
      <c r="W52" s="11">
        <v>1.0689436891308783</v>
      </c>
      <c r="X52" s="11">
        <v>1.1387079002860092</v>
      </c>
      <c r="Y52" s="11">
        <v>1.213025246660129</v>
      </c>
      <c r="Z52" s="11">
        <v>1.2921928869249852</v>
      </c>
      <c r="AA52" s="11">
        <v>1.3765273737021986</v>
      </c>
      <c r="AB52" s="11">
        <v>1.4663659193021625</v>
      </c>
      <c r="AC52" s="11">
        <v>1.5620677440709307</v>
      </c>
      <c r="AD52" s="11">
        <v>1.6640155127364513</v>
      </c>
      <c r="AE52" s="11">
        <v>1.7726168644974096</v>
      </c>
      <c r="AF52" s="11">
        <v>1.8883060429727434</v>
      </c>
      <c r="AG52" s="11">
        <v>2.0115456325292067</v>
      </c>
      <c r="AH52" s="11">
        <v>2.1428284079297031</v>
      </c>
      <c r="AI52" s="11">
        <v>2.2826793046982403</v>
      </c>
      <c r="AJ52" s="11">
        <v>2.4316575180799904</v>
      </c>
      <c r="AK52" s="11">
        <v>2.5903587389892277</v>
      </c>
      <c r="AL52" s="11">
        <v>2.7594175358855511</v>
      </c>
      <c r="AM52" s="11">
        <v>2.939509892102381</v>
      </c>
      <c r="AN52" s="11">
        <v>3.1313559087732532</v>
      </c>
    </row>
    <row r="53" spans="1:40" x14ac:dyDescent="0.2">
      <c r="A53" s="6" t="s">
        <v>10</v>
      </c>
      <c r="B53" s="11">
        <v>2.4611516263808468E-4</v>
      </c>
      <c r="C53" s="11">
        <v>2.6217777692670363E-4</v>
      </c>
      <c r="D53" s="11">
        <v>2.7928871174551418E-4</v>
      </c>
      <c r="E53" s="11">
        <v>2.9751638534289578E-4</v>
      </c>
      <c r="F53" s="11">
        <v>3.1693368125868823E-4</v>
      </c>
      <c r="G53" s="11">
        <v>3.3761823974977345E-4</v>
      </c>
      <c r="H53" s="11">
        <v>3.5965276823543904E-4</v>
      </c>
      <c r="I53" s="11">
        <v>3.8312537200384245E-4</v>
      </c>
      <c r="J53" s="11">
        <v>4.0812990650190953E-4</v>
      </c>
      <c r="K53" s="11">
        <v>4.3476635261730174E-4</v>
      </c>
      <c r="L53" s="11">
        <v>4.6314121645302047E-4</v>
      </c>
      <c r="M53" s="11">
        <v>4.9336795519315329E-4</v>
      </c>
      <c r="N53" s="11">
        <v>5.2556743076258706E-4</v>
      </c>
      <c r="O53" s="11">
        <v>5.5986839309465583E-4</v>
      </c>
      <c r="P53" s="11">
        <v>5.9640799493906828E-4</v>
      </c>
      <c r="Q53" s="11">
        <v>6.3533234026858442E-4</v>
      </c>
      <c r="R53" s="11">
        <v>6.7679706847725092E-4</v>
      </c>
      <c r="S53" s="11">
        <v>7.2096797670611213E-4</v>
      </c>
      <c r="T53" s="11">
        <v>7.6802168278478132E-4</v>
      </c>
      <c r="U53" s="11">
        <v>8.1814633143964272E-4</v>
      </c>
      <c r="V53" s="11">
        <v>8.7154234659246946E-4</v>
      </c>
      <c r="W53" s="11">
        <v>9.2842323275753194E-4</v>
      </c>
      <c r="X53" s="11">
        <v>9.8901642874158683E-4</v>
      </c>
      <c r="Y53" s="11">
        <v>1.0535642170602787E-3</v>
      </c>
      <c r="Z53" s="11">
        <v>1.1223246927072647E-3</v>
      </c>
      <c r="AA53" s="11">
        <v>1.195572795149695E-3</v>
      </c>
      <c r="AB53" s="11">
        <v>1.273601407676487E-3</v>
      </c>
      <c r="AC53" s="11">
        <v>1.3567225284951685E-3</v>
      </c>
      <c r="AD53" s="11">
        <v>1.4452685182599024E-3</v>
      </c>
      <c r="AE53" s="11">
        <v>1.539593429018978E-3</v>
      </c>
      <c r="AF53" s="11">
        <v>1.6400744198955531E-3</v>
      </c>
      <c r="AG53" s="11">
        <v>1.7471132651622789E-3</v>
      </c>
      <c r="AH53" s="11">
        <v>1.8611379607398463E-3</v>
      </c>
      <c r="AI53" s="11">
        <v>1.9826044355430741E-3</v>
      </c>
      <c r="AJ53" s="11">
        <v>2.1119983745173381E-3</v>
      </c>
      <c r="AK53" s="11">
        <v>2.2498371606548191E-3</v>
      </c>
      <c r="AL53" s="11">
        <v>2.3966719437556959E-3</v>
      </c>
      <c r="AM53" s="11">
        <v>2.5530898442062771E-3</v>
      </c>
      <c r="AN53" s="11">
        <v>2.7197163005858878E-3</v>
      </c>
    </row>
    <row r="54" spans="1:40" x14ac:dyDescent="0.2">
      <c r="A54" s="6" t="s">
        <v>44</v>
      </c>
      <c r="B54" s="11">
        <v>0.4493886036115714</v>
      </c>
      <c r="C54" s="11">
        <v>0.4787177832043315</v>
      </c>
      <c r="D54" s="11">
        <v>0.50996112076342925</v>
      </c>
      <c r="E54" s="11">
        <v>0.54324354309455647</v>
      </c>
      <c r="F54" s="11">
        <v>0.57869813030478123</v>
      </c>
      <c r="G54" s="11">
        <v>0.61646664792472028</v>
      </c>
      <c r="H54" s="11">
        <v>0.65670011375946757</v>
      </c>
      <c r="I54" s="11">
        <v>0.69955940173483688</v>
      </c>
      <c r="J54" s="11">
        <v>0.74521588515340431</v>
      </c>
      <c r="K54" s="11">
        <v>0.79385212193241639</v>
      </c>
      <c r="L54" s="11">
        <v>0.84566258456349419</v>
      </c>
      <c r="M54" s="11">
        <v>0.90085443771288687</v>
      </c>
      <c r="N54" s="11">
        <v>0.95964836657151309</v>
      </c>
      <c r="O54" s="11">
        <v>1.0222794592669624</v>
      </c>
      <c r="P54" s="11">
        <v>1.088998146865783</v>
      </c>
      <c r="Q54" s="11">
        <v>1.1600712047246695</v>
      </c>
      <c r="R54" s="11">
        <v>1.2357828191944662</v>
      </c>
      <c r="S54" s="11">
        <v>1.3164357239422013</v>
      </c>
      <c r="T54" s="11">
        <v>1.4023524104347644</v>
      </c>
      <c r="U54" s="11">
        <v>1.4938764174243406</v>
      </c>
      <c r="V54" s="11">
        <v>1.5913737045916367</v>
      </c>
      <c r="W54" s="11">
        <v>1.6952341158394184</v>
      </c>
      <c r="X54" s="11">
        <v>1.8058729380873539</v>
      </c>
      <c r="Y54" s="11">
        <v>1.9237325618010193</v>
      </c>
      <c r="Z54" s="11">
        <v>2.0492842498947166</v>
      </c>
      <c r="AA54" s="11">
        <v>2.1830300220810726</v>
      </c>
      <c r="AB54" s="11">
        <v>2.325504662201995</v>
      </c>
      <c r="AC54" s="11">
        <v>2.4772778565673703</v>
      </c>
      <c r="AD54" s="11">
        <v>2.6389564718515994</v>
      </c>
      <c r="AE54" s="11">
        <v>2.8111869816562303</v>
      </c>
      <c r="AF54" s="11">
        <v>2.9946580514412808</v>
      </c>
      <c r="AG54" s="11">
        <v>3.1901032921611443</v>
      </c>
      <c r="AH54" s="11">
        <v>3.3983041936155125</v>
      </c>
      <c r="AI54" s="11">
        <v>3.6200932492443667</v>
      </c>
      <c r="AJ54" s="11">
        <v>3.856357284861518</v>
      </c>
      <c r="AK54" s="11">
        <v>4.108041004636739</v>
      </c>
      <c r="AL54" s="11">
        <v>4.3761507685050622</v>
      </c>
      <c r="AM54" s="11">
        <v>4.6617586161073099</v>
      </c>
      <c r="AN54" s="11">
        <v>4.9660065533515887</v>
      </c>
    </row>
    <row r="56" spans="1:40" x14ac:dyDescent="0.2">
      <c r="A56" s="5" t="s">
        <v>46</v>
      </c>
    </row>
    <row r="57" spans="1:40" x14ac:dyDescent="0.2">
      <c r="A57" s="5" t="s">
        <v>4</v>
      </c>
    </row>
    <row r="58" spans="1:40" x14ac:dyDescent="0.2">
      <c r="A58" s="5" t="s">
        <v>51</v>
      </c>
    </row>
    <row r="59" spans="1:40" x14ac:dyDescent="0.2">
      <c r="A59" s="5" t="s">
        <v>6</v>
      </c>
    </row>
    <row r="60" spans="1:40" x14ac:dyDescent="0.2">
      <c r="A60" s="5"/>
    </row>
    <row r="61" spans="1:40" x14ac:dyDescent="0.2">
      <c r="A61" s="6" t="s">
        <v>7</v>
      </c>
      <c r="B61" s="6">
        <v>2022</v>
      </c>
      <c r="C61" s="6">
        <v>2023</v>
      </c>
      <c r="D61" s="6">
        <v>2024</v>
      </c>
      <c r="E61" s="6">
        <v>2025</v>
      </c>
      <c r="F61" s="6">
        <v>2026</v>
      </c>
      <c r="G61" s="6">
        <v>2027</v>
      </c>
      <c r="H61" s="6">
        <v>2028</v>
      </c>
      <c r="I61" s="6">
        <v>2029</v>
      </c>
      <c r="J61" s="6">
        <v>2030</v>
      </c>
      <c r="K61" s="6">
        <v>2031</v>
      </c>
      <c r="L61" s="6">
        <v>2032</v>
      </c>
      <c r="M61" s="6">
        <v>2033</v>
      </c>
      <c r="N61" s="6">
        <v>2034</v>
      </c>
      <c r="O61" s="6">
        <v>2035</v>
      </c>
      <c r="P61" s="6">
        <v>2036</v>
      </c>
      <c r="Q61" s="6">
        <v>2037</v>
      </c>
      <c r="R61" s="6">
        <v>2038</v>
      </c>
      <c r="S61" s="6">
        <v>2039</v>
      </c>
      <c r="T61" s="6">
        <v>2040</v>
      </c>
      <c r="U61" s="6">
        <v>2041</v>
      </c>
      <c r="V61" s="6">
        <v>2042</v>
      </c>
      <c r="W61" s="6">
        <v>2043</v>
      </c>
      <c r="X61" s="6">
        <v>2044</v>
      </c>
      <c r="Y61" s="6">
        <v>2045</v>
      </c>
      <c r="Z61" s="6">
        <v>2046</v>
      </c>
      <c r="AA61" s="6">
        <v>2047</v>
      </c>
      <c r="AB61" s="6">
        <v>2048</v>
      </c>
      <c r="AC61" s="6">
        <v>2049</v>
      </c>
      <c r="AD61" s="6">
        <v>2050</v>
      </c>
      <c r="AE61" s="6">
        <v>2051</v>
      </c>
      <c r="AF61" s="6">
        <v>2052</v>
      </c>
      <c r="AG61" s="6">
        <v>2053</v>
      </c>
      <c r="AH61" s="6">
        <v>2054</v>
      </c>
      <c r="AI61" s="6">
        <v>2055</v>
      </c>
      <c r="AJ61" s="6">
        <v>2056</v>
      </c>
      <c r="AK61" s="6">
        <v>2057</v>
      </c>
      <c r="AL61" s="6">
        <v>2058</v>
      </c>
      <c r="AM61" s="6">
        <v>2059</v>
      </c>
      <c r="AN61" s="6">
        <v>2060</v>
      </c>
    </row>
    <row r="62" spans="1:40" x14ac:dyDescent="0.2">
      <c r="A62" s="6" t="s">
        <v>40</v>
      </c>
      <c r="B62" s="11">
        <v>1.8172679576636606</v>
      </c>
      <c r="C62" s="11">
        <v>1.935871273079631</v>
      </c>
      <c r="D62" s="11">
        <v>2.0622151896371888</v>
      </c>
      <c r="E62" s="11">
        <v>2.1968048947825944</v>
      </c>
      <c r="F62" s="11">
        <v>2.3401785468323562</v>
      </c>
      <c r="G62" s="11">
        <v>2.4929094268047716</v>
      </c>
      <c r="H62" s="11">
        <v>2.6556082306899693</v>
      </c>
      <c r="I62" s="11">
        <v>2.8289255113240812</v>
      </c>
      <c r="J62" s="11">
        <v>3.0135542796314332</v>
      </c>
      <c r="K62" s="11">
        <v>3.2102327756358311</v>
      </c>
      <c r="L62" s="11">
        <v>3.4197474203208791</v>
      </c>
      <c r="M62" s="11">
        <v>3.642935960142335</v>
      </c>
      <c r="N62" s="11">
        <v>3.8806908167659118</v>
      </c>
      <c r="O62" s="11">
        <v>4.1339626554244662</v>
      </c>
      <c r="P62" s="11">
        <v>4.4037641861626735</v>
      </c>
      <c r="Q62" s="11">
        <v>4.6911742131685408</v>
      </c>
      <c r="R62" s="11">
        <v>4.9973419483830055</v>
      </c>
      <c r="S62" s="11">
        <v>5.3234916066356748</v>
      </c>
      <c r="T62" s="11">
        <v>5.6709273006803844</v>
      </c>
      <c r="U62" s="11">
        <v>6.041038255703409</v>
      </c>
      <c r="V62" s="11">
        <v>6.4353043641546233</v>
      </c>
      <c r="W62" s="11">
        <v>6.8553021031126482</v>
      </c>
      <c r="X62" s="11">
        <v>7.3027108378446117</v>
      </c>
      <c r="Y62" s="11">
        <v>7.7793195367654002</v>
      </c>
      <c r="Z62" s="11">
        <v>8.2870339246462059</v>
      </c>
      <c r="AA62" s="11">
        <v>8.827884102674588</v>
      </c>
      <c r="AB62" s="11">
        <v>9.4040326658348796</v>
      </c>
      <c r="AC62" s="11">
        <v>10.017783350066413</v>
      </c>
      <c r="AD62" s="11">
        <v>10.671590243775306</v>
      </c>
      <c r="AE62" s="11">
        <v>11.368067600532147</v>
      </c>
      <c r="AF62" s="11">
        <v>12.110000292191666</v>
      </c>
      <c r="AG62" s="11">
        <v>12.900354944231449</v>
      </c>
      <c r="AH62" s="11">
        <v>13.742291797834319</v>
      </c>
      <c r="AI62" s="11">
        <v>14.639177346145141</v>
      </c>
      <c r="AJ62" s="11">
        <v>15.594597795228154</v>
      </c>
      <c r="AK62" s="11">
        <v>16.612373403548752</v>
      </c>
      <c r="AL62" s="11">
        <v>17.696573757316077</v>
      </c>
      <c r="AM62" s="11">
        <v>18.851534042765309</v>
      </c>
      <c r="AN62" s="11">
        <v>20.081872380444196</v>
      </c>
    </row>
    <row r="63" spans="1:40" x14ac:dyDescent="0.2">
      <c r="A63" s="6" t="s">
        <v>41</v>
      </c>
      <c r="B63" s="11">
        <v>1.1101023578387994</v>
      </c>
      <c r="C63" s="11">
        <v>1.1825527741549691</v>
      </c>
      <c r="D63" s="11">
        <v>1.2597316398680087</v>
      </c>
      <c r="E63" s="11">
        <v>1.3419475554640929</v>
      </c>
      <c r="F63" s="11">
        <v>1.4295292621250195</v>
      </c>
      <c r="G63" s="11">
        <v>1.522826956203194</v>
      </c>
      <c r="H63" s="11">
        <v>1.6222136894853412</v>
      </c>
      <c r="I63" s="11">
        <v>1.7280868608438962</v>
      </c>
      <c r="J63" s="11">
        <v>1.8408698052404748</v>
      </c>
      <c r="K63" s="11">
        <v>1.9610134864350566</v>
      </c>
      <c r="L63" s="11">
        <v>2.088998300169211</v>
      </c>
      <c r="M63" s="11">
        <v>2.2253359950333889</v>
      </c>
      <c r="N63" s="11">
        <v>2.3705717186989177</v>
      </c>
      <c r="O63" s="11">
        <v>2.5252861976965519</v>
      </c>
      <c r="P63" s="11">
        <v>2.6900980594574659</v>
      </c>
      <c r="Q63" s="11">
        <v>2.8656663059013816</v>
      </c>
      <c r="R63" s="11">
        <v>3.0526929484625049</v>
      </c>
      <c r="S63" s="11">
        <v>3.2519258150894403</v>
      </c>
      <c r="T63" s="11">
        <v>3.464161540442924</v>
      </c>
      <c r="U63" s="11">
        <v>3.6902487512476783</v>
      </c>
      <c r="V63" s="11">
        <v>3.9310914595350739</v>
      </c>
      <c r="W63" s="11">
        <v>4.1876526773445173</v>
      </c>
      <c r="X63" s="11">
        <v>4.4609582673369603</v>
      </c>
      <c r="Y63" s="11">
        <v>4.752101044717274</v>
      </c>
      <c r="Z63" s="11">
        <v>5.0622451468670571</v>
      </c>
      <c r="AA63" s="11">
        <v>5.3926306881598975</v>
      </c>
      <c r="AB63" s="11">
        <v>5.7445787185714083</v>
      </c>
      <c r="AC63" s="11">
        <v>6.1194965059111119</v>
      </c>
      <c r="AD63" s="11">
        <v>6.518883162797203</v>
      </c>
      <c r="AE63" s="11">
        <v>6.9443356408737449</v>
      </c>
      <c r="AF63" s="11">
        <v>7.3975551162381779</v>
      </c>
      <c r="AG63" s="11">
        <v>7.8803537916114061</v>
      </c>
      <c r="AH63" s="11">
        <v>8.3946621424489596</v>
      </c>
      <c r="AI63" s="11">
        <v>8.9425366359669152</v>
      </c>
      <c r="AJ63" s="11">
        <v>9.526167953947132</v>
      </c>
      <c r="AK63" s="11">
        <v>10.14788975220085</v>
      </c>
      <c r="AL63" s="11">
        <v>10.81018799171536</v>
      </c>
      <c r="AM63" s="11">
        <v>11.515710878794549</v>
      </c>
      <c r="AN63" s="11">
        <v>12.26727945393892</v>
      </c>
    </row>
    <row r="64" spans="1:40" x14ac:dyDescent="0.2">
      <c r="A64" s="6" t="s">
        <v>42</v>
      </c>
      <c r="B64" s="11">
        <v>0.86199994825379866</v>
      </c>
      <c r="C64" s="11">
        <v>0.91825805335060218</v>
      </c>
      <c r="D64" s="11">
        <v>0.97818782269227555</v>
      </c>
      <c r="E64" s="11">
        <v>1.042028886076229</v>
      </c>
      <c r="F64" s="11">
        <v>1.1100365126492204</v>
      </c>
      <c r="G64" s="11">
        <v>1.1824826316036523</v>
      </c>
      <c r="H64" s="11">
        <v>1.2596569194892433</v>
      </c>
      <c r="I64" s="11">
        <v>1.3418679584876783</v>
      </c>
      <c r="J64" s="11">
        <v>1.4294444702816291</v>
      </c>
      <c r="K64" s="11">
        <v>1.5227366304517713</v>
      </c>
      <c r="L64" s="11">
        <v>1.6221174686574436</v>
      </c>
      <c r="M64" s="11">
        <v>1.7279843601995564</v>
      </c>
      <c r="N64" s="11">
        <v>1.8407606149298144</v>
      </c>
      <c r="O64" s="11">
        <v>1.9608971698595001</v>
      </c>
      <c r="P64" s="11">
        <v>2.0888743922357365</v>
      </c>
      <c r="Q64" s="11">
        <v>2.2252040002948537</v>
      </c>
      <c r="R64" s="11">
        <v>2.3704311093730066</v>
      </c>
      <c r="S64" s="11">
        <v>2.5251364115554318</v>
      </c>
      <c r="T64" s="11">
        <v>2.6899384975797158</v>
      </c>
      <c r="U64" s="11">
        <v>2.8654963302771974</v>
      </c>
      <c r="V64" s="11">
        <v>3.0525118794426076</v>
      </c>
      <c r="W64" s="11">
        <v>3.251732928667499</v>
      </c>
      <c r="X64" s="11">
        <v>3.4639560653606019</v>
      </c>
      <c r="Y64" s="11">
        <v>3.6900298659107502</v>
      </c>
      <c r="Z64" s="11">
        <v>3.9308582887282753</v>
      </c>
      <c r="AA64" s="11">
        <v>4.1874042887319849</v>
      </c>
      <c r="AB64" s="11">
        <v>4.4606936677342821</v>
      </c>
      <c r="AC64" s="11">
        <v>4.7518191761202226</v>
      </c>
      <c r="AD64" s="11">
        <v>5.0619448822211561</v>
      </c>
      <c r="AE64" s="11">
        <v>5.3923108268538806</v>
      </c>
      <c r="AF64" s="11">
        <v>5.7442379816365614</v>
      </c>
      <c r="AG64" s="11">
        <v>6.1191335309073063</v>
      </c>
      <c r="AH64" s="11">
        <v>6.5184964983651641</v>
      </c>
      <c r="AI64" s="11">
        <v>6.9439237409317753</v>
      </c>
      <c r="AJ64" s="11">
        <v>7.3971163338001329</v>
      </c>
      <c r="AK64" s="11">
        <v>7.8798863722012102</v>
      </c>
      <c r="AL64" s="11">
        <v>8.3941642170853061</v>
      </c>
      <c r="AM64" s="11">
        <v>8.9420062136901279</v>
      </c>
      <c r="AN64" s="11">
        <v>9.5256029138582985</v>
      </c>
    </row>
    <row r="65" spans="1:40" x14ac:dyDescent="0.2">
      <c r="A65" s="6" t="s">
        <v>43</v>
      </c>
      <c r="B65" s="11">
        <v>6.0451779913740365E-2</v>
      </c>
      <c r="C65" s="11">
        <v>6.4397142781296712E-2</v>
      </c>
      <c r="D65" s="11">
        <v>6.8599998284783817E-2</v>
      </c>
      <c r="E65" s="11">
        <v>7.3077151585040856E-2</v>
      </c>
      <c r="F65" s="11">
        <v>7.7846504625461069E-2</v>
      </c>
      <c r="G65" s="11">
        <v>8.292712771309553E-2</v>
      </c>
      <c r="H65" s="11">
        <v>8.8339335771472086E-2</v>
      </c>
      <c r="I65" s="11">
        <v>9.4104769570025018E-2</v>
      </c>
      <c r="J65" s="11">
        <v>0.1002464822549337</v>
      </c>
      <c r="K65" s="11">
        <v>0.10678903152736403</v>
      </c>
      <c r="L65" s="11">
        <v>0.11375857783768874</v>
      </c>
      <c r="M65" s="11">
        <v>0.12118298898831598</v>
      </c>
      <c r="N65" s="11">
        <v>0.12909195156338354</v>
      </c>
      <c r="O65" s="11">
        <v>0.13751708963086989</v>
      </c>
      <c r="P65" s="11">
        <v>0.14649209119175421</v>
      </c>
      <c r="Q65" s="11">
        <v>0.15605284288183408</v>
      </c>
      <c r="R65" s="11">
        <v>0.16623757346480666</v>
      </c>
      <c r="S65" s="11">
        <v>0.17708700669037231</v>
      </c>
      <c r="T65" s="11">
        <v>0.18864452412856603</v>
      </c>
      <c r="U65" s="11">
        <v>0.20095633863140944</v>
      </c>
      <c r="V65" s="11">
        <v>0.21407167911547412</v>
      </c>
      <c r="W65" s="11">
        <v>0.22804298740420925</v>
      </c>
      <c r="X65" s="11">
        <v>0.24292612791711074</v>
      </c>
      <c r="Y65" s="11">
        <v>0.25878061104417532</v>
      </c>
      <c r="Z65" s="11">
        <v>0.27566983109880555</v>
      </c>
      <c r="AA65" s="11">
        <v>0.2936613198006221</v>
      </c>
      <c r="AB65" s="11">
        <v>0.31282701630173765</v>
      </c>
      <c r="AC65" s="11">
        <v>0.33324355483619356</v>
      </c>
      <c r="AD65" s="11">
        <v>0.35499257114273169</v>
      </c>
      <c r="AE65" s="11">
        <v>0.37816102888613318</v>
      </c>
      <c r="AF65" s="11">
        <v>0.40284156738232296</v>
      </c>
      <c r="AG65" s="11">
        <v>0.42913287201762573</v>
      </c>
      <c r="AH65" s="11">
        <v>0.45714006884329489</v>
      </c>
      <c r="AI65" s="11">
        <v>0.48697514492310695</v>
      </c>
      <c r="AJ65" s="11">
        <v>0.51875739611478455</v>
      </c>
      <c r="AK65" s="11">
        <v>0.55261390407570743</v>
      </c>
      <c r="AL65" s="11">
        <v>0.58868004440022226</v>
      </c>
      <c r="AM65" s="11">
        <v>0.62710002792034647</v>
      </c>
      <c r="AN65" s="11">
        <v>0.66802747733425771</v>
      </c>
    </row>
    <row r="66" spans="1:40" x14ac:dyDescent="0.2">
      <c r="A66" s="6" t="s">
        <v>8</v>
      </c>
      <c r="B66" s="11">
        <v>4.6233033290382128E-2</v>
      </c>
      <c r="C66" s="11">
        <v>4.9250414963157491E-2</v>
      </c>
      <c r="D66" s="11">
        <v>5.246472492532319E-2</v>
      </c>
      <c r="E66" s="11">
        <v>5.588881562823203E-2</v>
      </c>
      <c r="F66" s="11">
        <v>5.953637833368039E-2</v>
      </c>
      <c r="G66" s="11">
        <v>6.3421997858558926E-2</v>
      </c>
      <c r="H66" s="11">
        <v>6.7561210892392587E-2</v>
      </c>
      <c r="I66" s="11">
        <v>7.1970568120952927E-2</v>
      </c>
      <c r="J66" s="11">
        <v>7.6667700404345077E-2</v>
      </c>
      <c r="K66" s="11">
        <v>8.1671389274182368E-2</v>
      </c>
      <c r="L66" s="11">
        <v>8.7001642031733703E-2</v>
      </c>
      <c r="M66" s="11">
        <v>9.2679771747322365E-2</v>
      </c>
      <c r="N66" s="11">
        <v>9.8728482480856514E-2</v>
      </c>
      <c r="O66" s="11">
        <v>0.10517196006424569</v>
      </c>
      <c r="P66" s="11">
        <v>0.11203596880869759</v>
      </c>
      <c r="Q66" s="11">
        <v>0.11934795452358088</v>
      </c>
      <c r="R66" s="11">
        <v>0.12713715425877542</v>
      </c>
      <c r="S66" s="11">
        <v>0.13543471320931585</v>
      </c>
      <c r="T66" s="11">
        <v>0.14427380924977384</v>
      </c>
      <c r="U66" s="11">
        <v>0.15368978559632951</v>
      </c>
      <c r="V66" s="11">
        <v>0.16372029212698397</v>
      </c>
      <c r="W66" s="11">
        <v>0.17440543592498267</v>
      </c>
      <c r="X66" s="11">
        <v>0.18578794164739909</v>
      </c>
      <c r="Y66" s="11">
        <v>0.19791332236011439</v>
      </c>
      <c r="Z66" s="11">
        <v>0.21083006152227804</v>
      </c>
      <c r="AA66" s="11">
        <v>0.22458980684791657</v>
      </c>
      <c r="AB66" s="11">
        <v>0.23924757681984807</v>
      </c>
      <c r="AC66" s="11">
        <v>0.25486198068164939</v>
      </c>
      <c r="AD66" s="11">
        <v>0.27149545278731846</v>
      </c>
      <c r="AE66" s="11">
        <v>0.28921450224567891</v>
      </c>
      <c r="AF66" s="11">
        <v>0.30808997885773393</v>
      </c>
      <c r="AG66" s="11">
        <v>0.32819735641032188</v>
      </c>
      <c r="AH66" s="11">
        <v>0.34961703445882764</v>
      </c>
      <c r="AI66" s="11">
        <v>0.37243465980562929</v>
      </c>
      <c r="AJ66" s="11">
        <v>0.39674146895971557</v>
      </c>
      <c r="AK66" s="11">
        <v>0.42263465294680364</v>
      </c>
      <c r="AL66" s="11">
        <v>0.45021774592865133</v>
      </c>
      <c r="AM66" s="11">
        <v>0.47960103918546565</v>
      </c>
      <c r="AN66" s="11">
        <v>0.51090202211671765</v>
      </c>
    </row>
    <row r="67" spans="1:40" x14ac:dyDescent="0.2">
      <c r="A67" s="6" t="s">
        <v>9</v>
      </c>
      <c r="B67" s="11">
        <v>0.47396616293688987</v>
      </c>
      <c r="C67" s="11">
        <v>0.50489938777158716</v>
      </c>
      <c r="D67" s="11">
        <v>0.53785145798702827</v>
      </c>
      <c r="E67" s="11">
        <v>0.57295413277395801</v>
      </c>
      <c r="F67" s="11">
        <v>0.61034777053755906</v>
      </c>
      <c r="G67" s="11">
        <v>0.65018189012197436</v>
      </c>
      <c r="H67" s="11">
        <v>0.69261576866294028</v>
      </c>
      <c r="I67" s="11">
        <v>0.73781907845904549</v>
      </c>
      <c r="J67" s="11">
        <v>0.78597256540815941</v>
      </c>
      <c r="K67" s="11">
        <v>0.83726877172175573</v>
      </c>
      <c r="L67" s="11">
        <v>0.89191280580692456</v>
      </c>
      <c r="M67" s="11">
        <v>0.95012316239443717</v>
      </c>
      <c r="N67" s="11">
        <v>1.0121325961921708</v>
      </c>
      <c r="O67" s="11">
        <v>1.0781890525571949</v>
      </c>
      <c r="P67" s="11">
        <v>1.1485566589078235</v>
      </c>
      <c r="Q67" s="11">
        <v>1.2235167808398093</v>
      </c>
      <c r="R67" s="11">
        <v>1.3033691471695608</v>
      </c>
      <c r="S67" s="11">
        <v>1.3884330484028899</v>
      </c>
      <c r="T67" s="11">
        <v>1.4790486134213778</v>
      </c>
      <c r="U67" s="11">
        <v>1.5755781694911919</v>
      </c>
      <c r="V67" s="11">
        <v>1.6784076910323775</v>
      </c>
      <c r="W67" s="11">
        <v>1.7879483429415373</v>
      </c>
      <c r="X67" s="11">
        <v>1.9046381246388848</v>
      </c>
      <c r="Y67" s="11">
        <v>2.028943621413422</v>
      </c>
      <c r="Z67" s="11">
        <v>2.161361870068998</v>
      </c>
      <c r="AA67" s="11">
        <v>2.302422346331074</v>
      </c>
      <c r="AB67" s="11">
        <v>2.452689081960838</v>
      </c>
      <c r="AC67" s="11">
        <v>2.6127629200419848</v>
      </c>
      <c r="AD67" s="11">
        <v>2.7832839174579558</v>
      </c>
      <c r="AE67" s="11">
        <v>2.9649339041659495</v>
      </c>
      <c r="AF67" s="11">
        <v>3.1584392095009952</v>
      </c>
      <c r="AG67" s="11">
        <v>3.3645735664112526</v>
      </c>
      <c r="AH67" s="11">
        <v>3.5841612052371423</v>
      </c>
      <c r="AI67" s="11">
        <v>3.8180801494048162</v>
      </c>
      <c r="AJ67" s="11">
        <v>4.0672657262118266</v>
      </c>
      <c r="AK67" s="11">
        <v>4.3327143067429281</v>
      </c>
      <c r="AL67" s="11">
        <v>4.6154872898700683</v>
      </c>
      <c r="AM67" s="11">
        <v>4.9167153462666819</v>
      </c>
      <c r="AN67" s="11">
        <v>5.2376029394059538</v>
      </c>
    </row>
    <row r="68" spans="1:40" x14ac:dyDescent="0.2">
      <c r="A68" s="6" t="s">
        <v>10</v>
      </c>
      <c r="B68" s="11">
        <v>4.1165984857394731E-4</v>
      </c>
      <c r="C68" s="11">
        <v>4.3852667504200239E-4</v>
      </c>
      <c r="D68" s="11">
        <v>4.6714695491816905E-4</v>
      </c>
      <c r="E68" s="11">
        <v>4.9763512668508925E-4</v>
      </c>
      <c r="F68" s="11">
        <v>5.3011309761028978E-4</v>
      </c>
      <c r="G68" s="11">
        <v>5.6471073119363977E-4</v>
      </c>
      <c r="H68" s="11">
        <v>6.0156636642788998E-4</v>
      </c>
      <c r="I68" s="11">
        <v>6.4082737094855178E-4</v>
      </c>
      <c r="J68" s="11">
        <v>6.8265073028489997E-4</v>
      </c>
      <c r="K68" s="11">
        <v>7.2720367556822132E-4</v>
      </c>
      <c r="L68" s="11">
        <v>7.7466435220721055E-4</v>
      </c>
      <c r="M68" s="11">
        <v>8.2522253220421095E-4</v>
      </c>
      <c r="N68" s="11">
        <v>8.7908037296051454E-4</v>
      </c>
      <c r="O68" s="11">
        <v>9.3645322560480379E-4</v>
      </c>
      <c r="P68" s="11">
        <v>9.9757049607684836E-4</v>
      </c>
      <c r="Q68" s="11">
        <v>1.062676562409509E-3</v>
      </c>
      <c r="R68" s="11">
        <v>1.1320317518768081E-3</v>
      </c>
      <c r="S68" s="11">
        <v>1.2059133819152044E-3</v>
      </c>
      <c r="T68" s="11">
        <v>1.2846168689802091E-3</v>
      </c>
      <c r="U68" s="11">
        <v>1.368456909772111E-3</v>
      </c>
      <c r="V68" s="11">
        <v>1.4577687395539603E-3</v>
      </c>
      <c r="W68" s="11">
        <v>1.5529094725932101E-3</v>
      </c>
      <c r="X68" s="11">
        <v>1.654259530086773E-3</v>
      </c>
      <c r="Y68" s="11">
        <v>1.7622241612790823E-3</v>
      </c>
      <c r="Z68" s="11">
        <v>1.8772350638553491E-3</v>
      </c>
      <c r="AA68" s="11">
        <v>1.99975211008919E-3</v>
      </c>
      <c r="AB68" s="11">
        <v>2.1302651856466254E-3</v>
      </c>
      <c r="AC68" s="11">
        <v>2.269296148398939E-3</v>
      </c>
      <c r="AD68" s="11">
        <v>2.4174009150767319E-3</v>
      </c>
      <c r="AE68" s="11">
        <v>2.575171684108674E-3</v>
      </c>
      <c r="AF68" s="11">
        <v>2.7432393035329897E-3</v>
      </c>
      <c r="AG68" s="11">
        <v>2.9222757934498108E-3</v>
      </c>
      <c r="AH68" s="11">
        <v>3.1129970331004414E-3</v>
      </c>
      <c r="AI68" s="11">
        <v>3.3161656233178494E-3</v>
      </c>
      <c r="AJ68" s="11">
        <v>3.5325939357939121E-3</v>
      </c>
      <c r="AK68" s="11">
        <v>3.7631473613559652E-3</v>
      </c>
      <c r="AL68" s="11">
        <v>4.0087477702408971E-3</v>
      </c>
      <c r="AM68" s="11">
        <v>4.2703771982027525E-3</v>
      </c>
      <c r="AN68" s="11">
        <v>4.5490817731927606E-3</v>
      </c>
    </row>
    <row r="69" spans="1:40" x14ac:dyDescent="0.2">
      <c r="A69" s="6" t="s">
        <v>44</v>
      </c>
      <c r="B69" s="11">
        <v>0.75166130592060987</v>
      </c>
      <c r="C69" s="11">
        <v>0.8007182006818514</v>
      </c>
      <c r="D69" s="11">
        <v>0.85297677538146377</v>
      </c>
      <c r="E69" s="11">
        <v>0.90864598646639783</v>
      </c>
      <c r="F69" s="11">
        <v>0.96794842784817481</v>
      </c>
      <c r="G69" s="11">
        <v>1.0311212209469225</v>
      </c>
      <c r="H69" s="11">
        <v>1.0984169628238079</v>
      </c>
      <c r="I69" s="11">
        <v>1.1701047361929771</v>
      </c>
      <c r="J69" s="11">
        <v>1.2464711853515458</v>
      </c>
      <c r="K69" s="11">
        <v>1.3278216623297621</v>
      </c>
      <c r="L69" s="11">
        <v>1.414481447844234</v>
      </c>
      <c r="M69" s="11">
        <v>1.5067970519362086</v>
      </c>
      <c r="N69" s="11">
        <v>1.6051375994955253</v>
      </c>
      <c r="O69" s="11">
        <v>1.7098963062102768</v>
      </c>
      <c r="P69" s="11">
        <v>1.8214920508437682</v>
      </c>
      <c r="Q69" s="11">
        <v>1.9403710501255518</v>
      </c>
      <c r="R69" s="11">
        <v>2.0670086429535957</v>
      </c>
      <c r="S69" s="11">
        <v>2.2019111910417379</v>
      </c>
      <c r="T69" s="11">
        <v>2.3456181036122032</v>
      </c>
      <c r="U69" s="11">
        <v>2.4987039942289018</v>
      </c>
      <c r="V69" s="11">
        <v>2.6617809783956616</v>
      </c>
      <c r="W69" s="11">
        <v>2.8355011211063497</v>
      </c>
      <c r="X69" s="11">
        <v>3.0205590441334382</v>
      </c>
      <c r="Y69" s="11">
        <v>3.2176947034802845</v>
      </c>
      <c r="Z69" s="11">
        <v>3.4276963481028013</v>
      </c>
      <c r="AA69" s="11">
        <v>3.6514036717309932</v>
      </c>
      <c r="AB69" s="11">
        <v>3.8897111703929492</v>
      </c>
      <c r="AC69" s="11">
        <v>4.1435717190663803</v>
      </c>
      <c r="AD69" s="11">
        <v>4.4140003817589966</v>
      </c>
      <c r="AE69" s="11">
        <v>4.7020784702523555</v>
      </c>
      <c r="AF69" s="11">
        <v>5.0089578677381068</v>
      </c>
      <c r="AG69" s="11">
        <v>5.3358656346347519</v>
      </c>
      <c r="AH69" s="11">
        <v>5.6841089150013069</v>
      </c>
      <c r="AI69" s="11">
        <v>6.0550801631662434</v>
      </c>
      <c r="AJ69" s="11">
        <v>6.450262711470387</v>
      </c>
      <c r="AK69" s="11">
        <v>6.8712367013865157</v>
      </c>
      <c r="AL69" s="11">
        <v>7.319685401731217</v>
      </c>
      <c r="AM69" s="11">
        <v>7.797401939232552</v>
      </c>
      <c r="AN69" s="11">
        <v>8.3062964683656428</v>
      </c>
    </row>
    <row r="71" spans="1:40" x14ac:dyDescent="0.2">
      <c r="A71" s="5" t="s">
        <v>3</v>
      </c>
    </row>
    <row r="72" spans="1:40" x14ac:dyDescent="0.2">
      <c r="A72" s="5" t="s">
        <v>4</v>
      </c>
    </row>
    <row r="73" spans="1:40" x14ac:dyDescent="0.2">
      <c r="A73" s="5" t="s">
        <v>54</v>
      </c>
    </row>
    <row r="74" spans="1:40" x14ac:dyDescent="0.2">
      <c r="A74" s="5" t="s">
        <v>6</v>
      </c>
    </row>
    <row r="75" spans="1:40" x14ac:dyDescent="0.2">
      <c r="A75" s="5"/>
    </row>
    <row r="76" spans="1:40" x14ac:dyDescent="0.2">
      <c r="A76" s="6" t="s">
        <v>7</v>
      </c>
      <c r="B76" s="6">
        <v>2022</v>
      </c>
      <c r="C76" s="6">
        <v>2023</v>
      </c>
      <c r="D76" s="6">
        <v>2024</v>
      </c>
      <c r="E76" s="6">
        <v>2025</v>
      </c>
      <c r="F76" s="6">
        <v>2026</v>
      </c>
      <c r="G76" s="6">
        <v>2027</v>
      </c>
      <c r="H76" s="6">
        <v>2028</v>
      </c>
      <c r="I76" s="6">
        <v>2029</v>
      </c>
      <c r="J76" s="6">
        <v>2030</v>
      </c>
      <c r="K76" s="6">
        <v>2031</v>
      </c>
      <c r="L76" s="6">
        <v>2032</v>
      </c>
      <c r="M76" s="6">
        <v>2033</v>
      </c>
      <c r="N76" s="6">
        <v>2034</v>
      </c>
      <c r="O76" s="6">
        <v>2035</v>
      </c>
      <c r="P76" s="6">
        <v>2036</v>
      </c>
      <c r="Q76" s="6">
        <v>2037</v>
      </c>
      <c r="R76" s="6">
        <v>2038</v>
      </c>
      <c r="S76" s="6">
        <v>2039</v>
      </c>
      <c r="T76" s="6">
        <v>2040</v>
      </c>
      <c r="U76" s="6">
        <v>2041</v>
      </c>
      <c r="V76" s="6">
        <v>2042</v>
      </c>
      <c r="W76" s="6">
        <v>2043</v>
      </c>
      <c r="X76" s="6">
        <v>2044</v>
      </c>
      <c r="Y76" s="6">
        <v>2045</v>
      </c>
      <c r="Z76" s="6">
        <v>2046</v>
      </c>
      <c r="AA76" s="6">
        <v>2047</v>
      </c>
      <c r="AB76" s="6">
        <v>2048</v>
      </c>
      <c r="AC76" s="6">
        <v>2049</v>
      </c>
      <c r="AD76" s="6">
        <v>2050</v>
      </c>
      <c r="AE76" s="6">
        <v>2051</v>
      </c>
      <c r="AF76" s="6">
        <v>2052</v>
      </c>
      <c r="AG76" s="6">
        <v>2053</v>
      </c>
      <c r="AH76" s="6">
        <v>2054</v>
      </c>
      <c r="AI76" s="6">
        <v>2055</v>
      </c>
      <c r="AJ76" s="6">
        <v>2056</v>
      </c>
      <c r="AK76" s="6">
        <v>2057</v>
      </c>
      <c r="AL76" s="6">
        <v>2058</v>
      </c>
      <c r="AM76" s="6">
        <v>2059</v>
      </c>
      <c r="AN76" s="6">
        <v>2060</v>
      </c>
    </row>
    <row r="77" spans="1:40" x14ac:dyDescent="0.2">
      <c r="A77" s="6" t="s">
        <v>40</v>
      </c>
      <c r="B77" s="11">
        <v>203.44651283227503</v>
      </c>
      <c r="C77" s="11">
        <v>204.1421864827669</v>
      </c>
      <c r="D77" s="11">
        <v>204.83786013325877</v>
      </c>
      <c r="E77" s="11">
        <v>205.53353378375067</v>
      </c>
      <c r="F77" s="11">
        <v>207.39445108538297</v>
      </c>
      <c r="G77" s="11">
        <v>209.25536838701518</v>
      </c>
      <c r="H77" s="11">
        <v>211.11628568864748</v>
      </c>
      <c r="I77" s="11">
        <v>212.97720299027975</v>
      </c>
      <c r="J77" s="11">
        <v>214.83812029191202</v>
      </c>
      <c r="K77" s="11">
        <v>216.40114699761213</v>
      </c>
      <c r="L77" s="11">
        <v>217.96417370331227</v>
      </c>
      <c r="M77" s="11">
        <v>219.52720040901232</v>
      </c>
      <c r="N77" s="11">
        <v>221.09022711471241</v>
      </c>
      <c r="O77" s="11">
        <v>222.6532538204126</v>
      </c>
      <c r="P77" s="11">
        <v>223.91494621060613</v>
      </c>
      <c r="Q77" s="11">
        <v>225.17663860079969</v>
      </c>
      <c r="R77" s="11">
        <v>226.43833099099331</v>
      </c>
      <c r="S77" s="11">
        <v>227.70002338118681</v>
      </c>
      <c r="T77" s="11">
        <v>228.96171577138045</v>
      </c>
      <c r="U77" s="11">
        <v>229.92868832543849</v>
      </c>
      <c r="V77" s="11">
        <v>230.89566087949655</v>
      </c>
      <c r="W77" s="11">
        <v>231.86263343355455</v>
      </c>
      <c r="X77" s="11">
        <v>232.82960598761264</v>
      </c>
      <c r="Y77" s="11">
        <v>233.79657854167061</v>
      </c>
      <c r="Z77" s="11">
        <v>234.48077804510882</v>
      </c>
      <c r="AA77" s="11">
        <v>235.16497754854703</v>
      </c>
      <c r="AB77" s="11">
        <v>235.84917705198521</v>
      </c>
      <c r="AC77" s="11">
        <v>236.53337655542339</v>
      </c>
      <c r="AD77" s="11">
        <v>237.2175760588616</v>
      </c>
      <c r="AE77" s="11">
        <v>237.2175760588616</v>
      </c>
      <c r="AF77" s="11">
        <v>237.2175760588616</v>
      </c>
      <c r="AG77" s="11">
        <v>237.2175760588616</v>
      </c>
      <c r="AH77" s="11">
        <v>237.2175760588616</v>
      </c>
      <c r="AI77" s="11">
        <v>237.2175760588616</v>
      </c>
      <c r="AJ77" s="11">
        <v>237.2175760588616</v>
      </c>
      <c r="AK77" s="11">
        <v>237.2175760588616</v>
      </c>
      <c r="AL77" s="11">
        <v>237.2175760588616</v>
      </c>
      <c r="AM77" s="11">
        <v>237.2175760588616</v>
      </c>
      <c r="AN77" s="11">
        <v>237.2175760588616</v>
      </c>
    </row>
    <row r="78" spans="1:40" x14ac:dyDescent="0.2">
      <c r="A78" s="6" t="s">
        <v>41</v>
      </c>
      <c r="B78" s="11">
        <v>124.27801447660651</v>
      </c>
      <c r="C78" s="11">
        <v>124.70297599992396</v>
      </c>
      <c r="D78" s="11">
        <v>125.1279375232414</v>
      </c>
      <c r="E78" s="11">
        <v>125.55289904655885</v>
      </c>
      <c r="F78" s="11">
        <v>126.68966518785263</v>
      </c>
      <c r="G78" s="11">
        <v>127.82643132914639</v>
      </c>
      <c r="H78" s="11">
        <v>128.96319747044021</v>
      </c>
      <c r="I78" s="11">
        <v>130.09996361173398</v>
      </c>
      <c r="J78" s="11">
        <v>131.23672975302779</v>
      </c>
      <c r="K78" s="11">
        <v>132.19152545266437</v>
      </c>
      <c r="L78" s="11">
        <v>133.14632115230103</v>
      </c>
      <c r="M78" s="11">
        <v>134.1011168519376</v>
      </c>
      <c r="N78" s="11">
        <v>135.05591255157421</v>
      </c>
      <c r="O78" s="11">
        <v>136.01070825121084</v>
      </c>
      <c r="P78" s="11">
        <v>136.78142986718058</v>
      </c>
      <c r="Q78" s="11">
        <v>137.55215148315031</v>
      </c>
      <c r="R78" s="11">
        <v>138.32287309912007</v>
      </c>
      <c r="S78" s="11">
        <v>139.09359471508984</v>
      </c>
      <c r="T78" s="11">
        <v>139.8643163310596</v>
      </c>
      <c r="U78" s="11">
        <v>140.45500440626282</v>
      </c>
      <c r="V78" s="11">
        <v>141.04569248146606</v>
      </c>
      <c r="W78" s="11">
        <v>141.63638055666928</v>
      </c>
      <c r="X78" s="11">
        <v>142.2270686318725</v>
      </c>
      <c r="Y78" s="11">
        <v>142.81775670707574</v>
      </c>
      <c r="Z78" s="11">
        <v>143.23570909470541</v>
      </c>
      <c r="AA78" s="11">
        <v>143.65366148233508</v>
      </c>
      <c r="AB78" s="11">
        <v>144.07161386996475</v>
      </c>
      <c r="AC78" s="11">
        <v>144.48956625759439</v>
      </c>
      <c r="AD78" s="11">
        <v>144.90751864522406</v>
      </c>
      <c r="AE78" s="11">
        <v>144.90751864522406</v>
      </c>
      <c r="AF78" s="11">
        <v>144.90751864522406</v>
      </c>
      <c r="AG78" s="11">
        <v>144.90751864522406</v>
      </c>
      <c r="AH78" s="11">
        <v>144.90751864522406</v>
      </c>
      <c r="AI78" s="11">
        <v>144.90751864522406</v>
      </c>
      <c r="AJ78" s="11">
        <v>144.90751864522406</v>
      </c>
      <c r="AK78" s="11">
        <v>144.90751864522406</v>
      </c>
      <c r="AL78" s="11">
        <v>144.90751864522406</v>
      </c>
      <c r="AM78" s="11">
        <v>144.90751864522406</v>
      </c>
      <c r="AN78" s="11">
        <v>144.90751864522406</v>
      </c>
    </row>
    <row r="79" spans="1:40" x14ac:dyDescent="0.2">
      <c r="A79" s="6" t="s">
        <v>42</v>
      </c>
      <c r="B79" s="11">
        <v>96.50249035533021</v>
      </c>
      <c r="C79" s="11">
        <v>96.832475071275681</v>
      </c>
      <c r="D79" s="11">
        <v>97.162459787221124</v>
      </c>
      <c r="E79" s="11">
        <v>97.492444503166581</v>
      </c>
      <c r="F79" s="11">
        <v>98.375149010866281</v>
      </c>
      <c r="G79" s="11">
        <v>99.257853518565966</v>
      </c>
      <c r="H79" s="11">
        <v>100.14055802626569</v>
      </c>
      <c r="I79" s="11">
        <v>101.02326253396541</v>
      </c>
      <c r="J79" s="11">
        <v>101.90596704166511</v>
      </c>
      <c r="K79" s="11">
        <v>102.64737060514766</v>
      </c>
      <c r="L79" s="11">
        <v>103.38877416863023</v>
      </c>
      <c r="M79" s="11">
        <v>104.13017773211276</v>
      </c>
      <c r="N79" s="11">
        <v>104.87158129559532</v>
      </c>
      <c r="O79" s="11">
        <v>105.6129848590779</v>
      </c>
      <c r="P79" s="11">
        <v>106.21145398996158</v>
      </c>
      <c r="Q79" s="11">
        <v>106.80992312084527</v>
      </c>
      <c r="R79" s="11">
        <v>107.40839225172894</v>
      </c>
      <c r="S79" s="11">
        <v>108.00686138261264</v>
      </c>
      <c r="T79" s="11">
        <v>108.60533051349636</v>
      </c>
      <c r="U79" s="11">
        <v>109.06400271324441</v>
      </c>
      <c r="V79" s="11">
        <v>109.52267491299251</v>
      </c>
      <c r="W79" s="11">
        <v>109.98134711274056</v>
      </c>
      <c r="X79" s="11">
        <v>110.44001931248864</v>
      </c>
      <c r="Y79" s="11">
        <v>110.89869151223672</v>
      </c>
      <c r="Z79" s="11">
        <v>111.22323359979808</v>
      </c>
      <c r="AA79" s="11">
        <v>111.54777568735945</v>
      </c>
      <c r="AB79" s="11">
        <v>111.87231777492082</v>
      </c>
      <c r="AC79" s="11">
        <v>112.19685986248216</v>
      </c>
      <c r="AD79" s="11">
        <v>112.52140195004353</v>
      </c>
      <c r="AE79" s="11">
        <v>112.52140195004353</v>
      </c>
      <c r="AF79" s="11">
        <v>112.52140195004353</v>
      </c>
      <c r="AG79" s="11">
        <v>112.52140195004353</v>
      </c>
      <c r="AH79" s="11">
        <v>112.52140195004353</v>
      </c>
      <c r="AI79" s="11">
        <v>112.52140195004353</v>
      </c>
      <c r="AJ79" s="11">
        <v>112.52140195004353</v>
      </c>
      <c r="AK79" s="11">
        <v>112.52140195004353</v>
      </c>
      <c r="AL79" s="11">
        <v>112.52140195004353</v>
      </c>
      <c r="AM79" s="11">
        <v>112.52140195004353</v>
      </c>
      <c r="AN79" s="11">
        <v>112.52140195004353</v>
      </c>
    </row>
    <row r="80" spans="1:40" x14ac:dyDescent="0.2">
      <c r="A80" s="6" t="s">
        <v>43</v>
      </c>
      <c r="B80" s="11">
        <v>6.7676886961040745</v>
      </c>
      <c r="C80" s="11">
        <v>6.790830418392984</v>
      </c>
      <c r="D80" s="11">
        <v>6.8139721406818934</v>
      </c>
      <c r="E80" s="11">
        <v>6.8371138629708019</v>
      </c>
      <c r="F80" s="11">
        <v>6.8990176469743352</v>
      </c>
      <c r="G80" s="11">
        <v>6.9609214309778666</v>
      </c>
      <c r="H80" s="11">
        <v>7.0228252149814008</v>
      </c>
      <c r="I80" s="11">
        <v>7.0847289989849349</v>
      </c>
      <c r="J80" s="11">
        <v>7.1466327829884682</v>
      </c>
      <c r="K80" s="11">
        <v>7.1986271770953651</v>
      </c>
      <c r="L80" s="11">
        <v>7.2506215712022648</v>
      </c>
      <c r="M80" s="11">
        <v>7.3026159653091618</v>
      </c>
      <c r="N80" s="11">
        <v>7.3546103594160588</v>
      </c>
      <c r="O80" s="11">
        <v>7.4066047535229593</v>
      </c>
      <c r="P80" s="11">
        <v>7.4485752017169427</v>
      </c>
      <c r="Q80" s="11">
        <v>7.4905456499109242</v>
      </c>
      <c r="R80" s="11">
        <v>7.5325160981049084</v>
      </c>
      <c r="S80" s="11">
        <v>7.5744865462988917</v>
      </c>
      <c r="T80" s="11">
        <v>7.6164569944928768</v>
      </c>
      <c r="U80" s="11">
        <v>7.6486235287452295</v>
      </c>
      <c r="V80" s="11">
        <v>7.6807900629975858</v>
      </c>
      <c r="W80" s="11">
        <v>7.7129565972499385</v>
      </c>
      <c r="X80" s="11">
        <v>7.7451231315022939</v>
      </c>
      <c r="Y80" s="11">
        <v>7.7772896657546493</v>
      </c>
      <c r="Z80" s="11">
        <v>7.8000496982606666</v>
      </c>
      <c r="AA80" s="11">
        <v>7.8228097307666857</v>
      </c>
      <c r="AB80" s="11">
        <v>7.8455697632727039</v>
      </c>
      <c r="AC80" s="11">
        <v>7.8683297957787222</v>
      </c>
      <c r="AD80" s="11">
        <v>7.8910898282847413</v>
      </c>
      <c r="AE80" s="11">
        <v>7.8910898282847413</v>
      </c>
      <c r="AF80" s="11">
        <v>7.8910898282847413</v>
      </c>
      <c r="AG80" s="11">
        <v>7.8910898282847413</v>
      </c>
      <c r="AH80" s="11">
        <v>7.8910898282847413</v>
      </c>
      <c r="AI80" s="11">
        <v>7.8910898282847413</v>
      </c>
      <c r="AJ80" s="11">
        <v>7.8910898282847413</v>
      </c>
      <c r="AK80" s="11">
        <v>7.8910898282847413</v>
      </c>
      <c r="AL80" s="11">
        <v>7.8910898282847413</v>
      </c>
      <c r="AM80" s="11">
        <v>7.8910898282847413</v>
      </c>
      <c r="AN80" s="11">
        <v>7.8910898282847413</v>
      </c>
    </row>
    <row r="81" spans="1:40" x14ac:dyDescent="0.2">
      <c r="A81" s="6" t="s">
        <v>8</v>
      </c>
      <c r="B81" s="11">
        <v>5.1758736849001394</v>
      </c>
      <c r="C81" s="11">
        <v>5.1935722873029642</v>
      </c>
      <c r="D81" s="11">
        <v>5.2112708897057871</v>
      </c>
      <c r="E81" s="11">
        <v>5.228969492108611</v>
      </c>
      <c r="F81" s="11">
        <v>5.2763130064171335</v>
      </c>
      <c r="G81" s="11">
        <v>5.3236565207256543</v>
      </c>
      <c r="H81" s="11">
        <v>5.3710000350341778</v>
      </c>
      <c r="I81" s="11">
        <v>5.4183435493427003</v>
      </c>
      <c r="J81" s="11">
        <v>5.4656870636512229</v>
      </c>
      <c r="K81" s="11">
        <v>5.5054519565570006</v>
      </c>
      <c r="L81" s="11">
        <v>5.54521684946278</v>
      </c>
      <c r="M81" s="11">
        <v>5.5849817423685559</v>
      </c>
      <c r="N81" s="11">
        <v>5.6247466352743336</v>
      </c>
      <c r="O81" s="11">
        <v>5.6645115281801122</v>
      </c>
      <c r="P81" s="11">
        <v>5.6966101881666091</v>
      </c>
      <c r="Q81" s="11">
        <v>5.7287088481531061</v>
      </c>
      <c r="R81" s="11">
        <v>5.7608075081396022</v>
      </c>
      <c r="S81" s="11">
        <v>5.7929061681261</v>
      </c>
      <c r="T81" s="11">
        <v>5.8250048281125979</v>
      </c>
      <c r="U81" s="11">
        <v>5.8496055338553186</v>
      </c>
      <c r="V81" s="11">
        <v>5.8742062395980419</v>
      </c>
      <c r="W81" s="11">
        <v>5.8988069453407617</v>
      </c>
      <c r="X81" s="11">
        <v>5.9234076510834832</v>
      </c>
      <c r="Y81" s="11">
        <v>5.9480083568262057</v>
      </c>
      <c r="Z81" s="11">
        <v>5.9654150459641366</v>
      </c>
      <c r="AA81" s="11">
        <v>5.9828217351020676</v>
      </c>
      <c r="AB81" s="11">
        <v>6.0002284242399995</v>
      </c>
      <c r="AC81" s="11">
        <v>6.0176351133779287</v>
      </c>
      <c r="AD81" s="11">
        <v>6.0350418025158614</v>
      </c>
      <c r="AE81" s="11">
        <v>6.0350418025158614</v>
      </c>
      <c r="AF81" s="11">
        <v>6.0350418025158614</v>
      </c>
      <c r="AG81" s="11">
        <v>6.0350418025158614</v>
      </c>
      <c r="AH81" s="11">
        <v>6.0350418025158614</v>
      </c>
      <c r="AI81" s="11">
        <v>6.0350418025158614</v>
      </c>
      <c r="AJ81" s="11">
        <v>6.0350418025158614</v>
      </c>
      <c r="AK81" s="11">
        <v>6.0350418025158614</v>
      </c>
      <c r="AL81" s="11">
        <v>6.0350418025158614</v>
      </c>
      <c r="AM81" s="11">
        <v>6.0350418025158614</v>
      </c>
      <c r="AN81" s="11">
        <v>6.0350418025158614</v>
      </c>
    </row>
    <row r="82" spans="1:40" x14ac:dyDescent="0.2">
      <c r="A82" s="6" t="s">
        <v>9</v>
      </c>
      <c r="B82" s="11">
        <v>53.061389567524955</v>
      </c>
      <c r="C82" s="11">
        <v>53.242829937609081</v>
      </c>
      <c r="D82" s="11">
        <v>53.424270307693206</v>
      </c>
      <c r="E82" s="11">
        <v>53.605710677777331</v>
      </c>
      <c r="F82" s="11">
        <v>54.091061134367671</v>
      </c>
      <c r="G82" s="11">
        <v>54.576411590958003</v>
      </c>
      <c r="H82" s="11">
        <v>55.061762047548349</v>
      </c>
      <c r="I82" s="11">
        <v>55.547112504138688</v>
      </c>
      <c r="J82" s="11">
        <v>56.032462960729028</v>
      </c>
      <c r="K82" s="11">
        <v>56.440119832213341</v>
      </c>
      <c r="L82" s="11">
        <v>56.847776703697662</v>
      </c>
      <c r="M82" s="11">
        <v>57.255433575181968</v>
      </c>
      <c r="N82" s="11">
        <v>57.663090446666281</v>
      </c>
      <c r="O82" s="11">
        <v>58.070747318150609</v>
      </c>
      <c r="P82" s="11">
        <v>58.399812439486134</v>
      </c>
      <c r="Q82" s="11">
        <v>58.728877560821651</v>
      </c>
      <c r="R82" s="11">
        <v>59.05794268215719</v>
      </c>
      <c r="S82" s="11">
        <v>59.387007803492722</v>
      </c>
      <c r="T82" s="11">
        <v>59.716072924828261</v>
      </c>
      <c r="U82" s="11">
        <v>59.968271434783922</v>
      </c>
      <c r="V82" s="11">
        <v>60.220469944739612</v>
      </c>
      <c r="W82" s="11">
        <v>60.472668454695267</v>
      </c>
      <c r="X82" s="11">
        <v>60.724866964650957</v>
      </c>
      <c r="Y82" s="11">
        <v>60.977065474606633</v>
      </c>
      <c r="Z82" s="11">
        <v>61.155513243941321</v>
      </c>
      <c r="AA82" s="11">
        <v>61.33396101327601</v>
      </c>
      <c r="AB82" s="11">
        <v>61.512408782610706</v>
      </c>
      <c r="AC82" s="11">
        <v>61.690856551945394</v>
      </c>
      <c r="AD82" s="11">
        <v>61.86930432128009</v>
      </c>
      <c r="AE82" s="11">
        <v>61.86930432128009</v>
      </c>
      <c r="AF82" s="11">
        <v>61.86930432128009</v>
      </c>
      <c r="AG82" s="11">
        <v>61.86930432128009</v>
      </c>
      <c r="AH82" s="11">
        <v>61.86930432128009</v>
      </c>
      <c r="AI82" s="11">
        <v>61.86930432128009</v>
      </c>
      <c r="AJ82" s="11">
        <v>61.86930432128009</v>
      </c>
      <c r="AK82" s="11">
        <v>61.86930432128009</v>
      </c>
      <c r="AL82" s="11">
        <v>61.86930432128009</v>
      </c>
      <c r="AM82" s="11">
        <v>61.86930432128009</v>
      </c>
      <c r="AN82" s="11">
        <v>61.86930432128009</v>
      </c>
    </row>
    <row r="83" spans="1:40" x14ac:dyDescent="0.2">
      <c r="A83" s="6" t="s">
        <v>10</v>
      </c>
      <c r="B83" s="11">
        <v>4.6086082307208905E-2</v>
      </c>
      <c r="C83" s="11">
        <v>4.6243671015263867E-2</v>
      </c>
      <c r="D83" s="11">
        <v>4.6401259723318829E-2</v>
      </c>
      <c r="E83" s="11">
        <v>4.6558848431373798E-2</v>
      </c>
      <c r="F83" s="11">
        <v>4.6980396025068052E-2</v>
      </c>
      <c r="G83" s="11">
        <v>4.74019436187623E-2</v>
      </c>
      <c r="H83" s="11">
        <v>4.7823491212456562E-2</v>
      </c>
      <c r="I83" s="11">
        <v>4.8245038806150831E-2</v>
      </c>
      <c r="J83" s="11">
        <v>4.8666586399845085E-2</v>
      </c>
      <c r="K83" s="11">
        <v>4.9020653797729893E-2</v>
      </c>
      <c r="L83" s="11">
        <v>4.9374721195614701E-2</v>
      </c>
      <c r="M83" s="11">
        <v>4.9728788593499496E-2</v>
      </c>
      <c r="N83" s="11">
        <v>5.0082855991384297E-2</v>
      </c>
      <c r="O83" s="11">
        <v>5.0436923389269112E-2</v>
      </c>
      <c r="P83" s="11">
        <v>5.0722730496657459E-2</v>
      </c>
      <c r="Q83" s="11">
        <v>5.1008537604045813E-2</v>
      </c>
      <c r="R83" s="11">
        <v>5.1294344711434174E-2</v>
      </c>
      <c r="S83" s="11">
        <v>5.1580151818822521E-2</v>
      </c>
      <c r="T83" s="11">
        <v>5.1865958926210882E-2</v>
      </c>
      <c r="U83" s="11">
        <v>5.2085004099778787E-2</v>
      </c>
      <c r="V83" s="11">
        <v>5.2304049273346698E-2</v>
      </c>
      <c r="W83" s="11">
        <v>5.2523094446914588E-2</v>
      </c>
      <c r="X83" s="11">
        <v>5.2742139620482499E-2</v>
      </c>
      <c r="Y83" s="11">
        <v>5.2961184794050403E-2</v>
      </c>
      <c r="Z83" s="11">
        <v>5.3116174300584733E-2</v>
      </c>
      <c r="AA83" s="11">
        <v>5.3271163807119062E-2</v>
      </c>
      <c r="AB83" s="11">
        <v>5.3426153313653392E-2</v>
      </c>
      <c r="AC83" s="11">
        <v>5.3581142820187708E-2</v>
      </c>
      <c r="AD83" s="11">
        <v>5.3736132326722044E-2</v>
      </c>
      <c r="AE83" s="11">
        <v>5.3736132326722044E-2</v>
      </c>
      <c r="AF83" s="11">
        <v>5.3736132326722044E-2</v>
      </c>
      <c r="AG83" s="11">
        <v>5.3736132326722044E-2</v>
      </c>
      <c r="AH83" s="11">
        <v>5.3736132326722044E-2</v>
      </c>
      <c r="AI83" s="11">
        <v>5.3736132326722044E-2</v>
      </c>
      <c r="AJ83" s="11">
        <v>5.3736132326722044E-2</v>
      </c>
      <c r="AK83" s="11">
        <v>5.3736132326722044E-2</v>
      </c>
      <c r="AL83" s="11">
        <v>5.3736132326722044E-2</v>
      </c>
      <c r="AM83" s="11">
        <v>5.3736132326722044E-2</v>
      </c>
      <c r="AN83" s="11">
        <v>5.3736132326722044E-2</v>
      </c>
    </row>
    <row r="84" spans="1:40" x14ac:dyDescent="0.2">
      <c r="A84" s="6" t="s">
        <v>44</v>
      </c>
      <c r="B84" s="11">
        <v>84.149875013724014</v>
      </c>
      <c r="C84" s="11">
        <v>84.437620671903446</v>
      </c>
      <c r="D84" s="11">
        <v>84.725366330082878</v>
      </c>
      <c r="E84" s="11">
        <v>85.013111988262295</v>
      </c>
      <c r="F84" s="11">
        <v>85.78282760620624</v>
      </c>
      <c r="G84" s="11">
        <v>86.552543224150156</v>
      </c>
      <c r="H84" s="11">
        <v>87.322258842094087</v>
      </c>
      <c r="I84" s="11">
        <v>88.091974460038017</v>
      </c>
      <c r="J84" s="11">
        <v>88.861690077981947</v>
      </c>
      <c r="K84" s="11">
        <v>89.508191706821421</v>
      </c>
      <c r="L84" s="11">
        <v>90.154693335660909</v>
      </c>
      <c r="M84" s="11">
        <v>90.801194964500368</v>
      </c>
      <c r="N84" s="11">
        <v>91.447696593339842</v>
      </c>
      <c r="O84" s="11">
        <v>92.09419822217933</v>
      </c>
      <c r="P84" s="11">
        <v>92.616061465065613</v>
      </c>
      <c r="Q84" s="11">
        <v>93.137924707951882</v>
      </c>
      <c r="R84" s="11">
        <v>93.659787950838165</v>
      </c>
      <c r="S84" s="11">
        <v>94.181651193724448</v>
      </c>
      <c r="T84" s="11">
        <v>94.703514436610732</v>
      </c>
      <c r="U84" s="11">
        <v>95.103475185177444</v>
      </c>
      <c r="V84" s="11">
        <v>95.503435933744186</v>
      </c>
      <c r="W84" s="11">
        <v>95.90339668231087</v>
      </c>
      <c r="X84" s="11">
        <v>96.303357430877611</v>
      </c>
      <c r="Y84" s="11">
        <v>96.703318179444324</v>
      </c>
      <c r="Z84" s="11">
        <v>96.986317882399391</v>
      </c>
      <c r="AA84" s="11">
        <v>97.269317585354429</v>
      </c>
      <c r="AB84" s="11">
        <v>97.552317288309496</v>
      </c>
      <c r="AC84" s="11">
        <v>97.835316991264548</v>
      </c>
      <c r="AD84" s="11">
        <v>98.118316694219615</v>
      </c>
      <c r="AE84" s="11">
        <v>98.118316694219615</v>
      </c>
      <c r="AF84" s="11">
        <v>98.118316694219615</v>
      </c>
      <c r="AG84" s="11">
        <v>98.118316694219615</v>
      </c>
      <c r="AH84" s="11">
        <v>98.118316694219615</v>
      </c>
      <c r="AI84" s="11">
        <v>98.118316694219615</v>
      </c>
      <c r="AJ84" s="11">
        <v>98.118316694219615</v>
      </c>
      <c r="AK84" s="11">
        <v>98.118316694219615</v>
      </c>
      <c r="AL84" s="11">
        <v>98.118316694219615</v>
      </c>
      <c r="AM84" s="11">
        <v>98.118316694219615</v>
      </c>
      <c r="AN84" s="11">
        <v>98.118316694219615</v>
      </c>
    </row>
    <row r="86" spans="1:40" x14ac:dyDescent="0.2">
      <c r="A86" s="5" t="s">
        <v>3</v>
      </c>
    </row>
    <row r="87" spans="1:40" x14ac:dyDescent="0.2">
      <c r="A87" s="5" t="s">
        <v>4</v>
      </c>
    </row>
    <row r="88" spans="1:40" x14ac:dyDescent="0.2">
      <c r="A88" s="5" t="s">
        <v>56</v>
      </c>
    </row>
    <row r="89" spans="1:40" x14ac:dyDescent="0.2">
      <c r="A89" s="5" t="s">
        <v>6</v>
      </c>
    </row>
    <row r="90" spans="1:40" x14ac:dyDescent="0.2">
      <c r="A90" s="5"/>
    </row>
    <row r="91" spans="1:40" x14ac:dyDescent="0.2">
      <c r="A91" s="6" t="s">
        <v>7</v>
      </c>
      <c r="B91" s="6">
        <v>2022</v>
      </c>
      <c r="C91" s="6">
        <v>2023</v>
      </c>
      <c r="D91" s="6">
        <v>2024</v>
      </c>
      <c r="E91" s="6">
        <v>2025</v>
      </c>
      <c r="F91" s="6">
        <v>2026</v>
      </c>
      <c r="G91" s="6">
        <v>2027</v>
      </c>
      <c r="H91" s="6">
        <v>2028</v>
      </c>
      <c r="I91" s="6">
        <v>2029</v>
      </c>
      <c r="J91" s="6">
        <v>2030</v>
      </c>
      <c r="K91" s="6">
        <v>2031</v>
      </c>
      <c r="L91" s="6">
        <v>2032</v>
      </c>
      <c r="M91" s="6">
        <v>2033</v>
      </c>
      <c r="N91" s="6">
        <v>2034</v>
      </c>
      <c r="O91" s="6">
        <v>2035</v>
      </c>
      <c r="P91" s="6">
        <v>2036</v>
      </c>
      <c r="Q91" s="6">
        <v>2037</v>
      </c>
      <c r="R91" s="6">
        <v>2038</v>
      </c>
      <c r="S91" s="6">
        <v>2039</v>
      </c>
      <c r="T91" s="6">
        <v>2040</v>
      </c>
      <c r="U91" s="6">
        <v>2041</v>
      </c>
      <c r="V91" s="6">
        <v>2042</v>
      </c>
      <c r="W91" s="6">
        <v>2043</v>
      </c>
      <c r="X91" s="6">
        <v>2044</v>
      </c>
      <c r="Y91" s="6">
        <v>2045</v>
      </c>
      <c r="Z91" s="6">
        <v>2046</v>
      </c>
      <c r="AA91" s="6">
        <v>2047</v>
      </c>
      <c r="AB91" s="6">
        <v>2048</v>
      </c>
      <c r="AC91" s="6">
        <v>2049</v>
      </c>
      <c r="AD91" s="6">
        <v>2050</v>
      </c>
      <c r="AE91" s="6">
        <v>2051</v>
      </c>
      <c r="AF91" s="6">
        <v>2052</v>
      </c>
      <c r="AG91" s="6">
        <v>2053</v>
      </c>
      <c r="AH91" s="6">
        <v>2054</v>
      </c>
      <c r="AI91" s="6">
        <v>2055</v>
      </c>
      <c r="AJ91" s="6">
        <v>2056</v>
      </c>
      <c r="AK91" s="6">
        <v>2057</v>
      </c>
      <c r="AL91" s="6">
        <v>2058</v>
      </c>
      <c r="AM91" s="6">
        <v>2059</v>
      </c>
      <c r="AN91" s="6">
        <v>2060</v>
      </c>
    </row>
    <row r="92" spans="1:40" x14ac:dyDescent="0.2">
      <c r="A92" s="6" t="s">
        <v>40</v>
      </c>
      <c r="B92" s="11">
        <v>1031.2611174344561</v>
      </c>
      <c r="C92" s="11">
        <v>1034.7874555180556</v>
      </c>
      <c r="D92" s="11">
        <v>1038.3137936016549</v>
      </c>
      <c r="E92" s="11">
        <v>1041.8401316852546</v>
      </c>
      <c r="F92" s="11">
        <v>1051.2730368219304</v>
      </c>
      <c r="G92" s="11">
        <v>1060.7059419586067</v>
      </c>
      <c r="H92" s="11">
        <v>1070.1388470952829</v>
      </c>
      <c r="I92" s="11">
        <v>1079.571752231959</v>
      </c>
      <c r="J92" s="11">
        <v>1089.004657368635</v>
      </c>
      <c r="K92" s="11">
        <v>1096.9275686275223</v>
      </c>
      <c r="L92" s="11">
        <v>1104.8504798864096</v>
      </c>
      <c r="M92" s="11">
        <v>1112.7733911452967</v>
      </c>
      <c r="N92" s="11">
        <v>1120.6963024041841</v>
      </c>
      <c r="O92" s="11">
        <v>1128.6192136630712</v>
      </c>
      <c r="P92" s="11">
        <v>1135.0146749863247</v>
      </c>
      <c r="Q92" s="11">
        <v>1141.4101363095781</v>
      </c>
      <c r="R92" s="11">
        <v>1147.8055976328315</v>
      </c>
      <c r="S92" s="11">
        <v>1154.2010589560848</v>
      </c>
      <c r="T92" s="11">
        <v>1160.5965202793382</v>
      </c>
      <c r="U92" s="11">
        <v>1165.4980601619529</v>
      </c>
      <c r="V92" s="11">
        <v>1170.3996000445682</v>
      </c>
      <c r="W92" s="11">
        <v>1175.3011399271832</v>
      </c>
      <c r="X92" s="11">
        <v>1180.2026798097984</v>
      </c>
      <c r="Y92" s="11">
        <v>1185.1042196924132</v>
      </c>
      <c r="Z92" s="11">
        <v>1188.5723958466315</v>
      </c>
      <c r="AA92" s="11">
        <v>1192.0405720008498</v>
      </c>
      <c r="AB92" s="11">
        <v>1195.5087481550681</v>
      </c>
      <c r="AC92" s="11">
        <v>1198.9769243092865</v>
      </c>
      <c r="AD92" s="11">
        <v>1202.445100463505</v>
      </c>
      <c r="AE92" s="11">
        <v>1202.445100463505</v>
      </c>
      <c r="AF92" s="11">
        <v>1202.445100463505</v>
      </c>
      <c r="AG92" s="11">
        <v>1202.445100463505</v>
      </c>
      <c r="AH92" s="11">
        <v>1202.445100463505</v>
      </c>
      <c r="AI92" s="11">
        <v>1202.445100463505</v>
      </c>
      <c r="AJ92" s="11">
        <v>1202.445100463505</v>
      </c>
      <c r="AK92" s="11">
        <v>1202.445100463505</v>
      </c>
      <c r="AL92" s="11">
        <v>1202.445100463505</v>
      </c>
      <c r="AM92" s="11">
        <v>1202.445100463505</v>
      </c>
      <c r="AN92" s="11">
        <v>1202.445100463505</v>
      </c>
    </row>
    <row r="93" spans="1:40" x14ac:dyDescent="0.2">
      <c r="A93" s="6" t="s">
        <v>41</v>
      </c>
      <c r="B93" s="11">
        <v>629.95960102099855</v>
      </c>
      <c r="C93" s="11">
        <v>632.11371164793263</v>
      </c>
      <c r="D93" s="11">
        <v>634.26782227486672</v>
      </c>
      <c r="E93" s="11">
        <v>636.4219329018008</v>
      </c>
      <c r="F93" s="11">
        <v>642.18414875180065</v>
      </c>
      <c r="G93" s="11">
        <v>647.94636460180061</v>
      </c>
      <c r="H93" s="11">
        <v>653.70858045180034</v>
      </c>
      <c r="I93" s="11">
        <v>659.47079630180042</v>
      </c>
      <c r="J93" s="11">
        <v>665.23301215180004</v>
      </c>
      <c r="K93" s="11">
        <v>670.07282811227208</v>
      </c>
      <c r="L93" s="11">
        <v>674.91264407274411</v>
      </c>
      <c r="M93" s="11">
        <v>679.75246003321604</v>
      </c>
      <c r="N93" s="11">
        <v>684.59227599368796</v>
      </c>
      <c r="O93" s="11">
        <v>689.43209195415989</v>
      </c>
      <c r="P93" s="11">
        <v>693.33884475946775</v>
      </c>
      <c r="Q93" s="11">
        <v>697.24559756477561</v>
      </c>
      <c r="R93" s="11">
        <v>701.15235037008324</v>
      </c>
      <c r="S93" s="11">
        <v>705.0591031753911</v>
      </c>
      <c r="T93" s="11">
        <v>708.96585598069885</v>
      </c>
      <c r="U93" s="11">
        <v>711.96002695896891</v>
      </c>
      <c r="V93" s="11">
        <v>714.95419793723909</v>
      </c>
      <c r="W93" s="11">
        <v>717.94836891550904</v>
      </c>
      <c r="X93" s="11">
        <v>720.94253989377933</v>
      </c>
      <c r="Y93" s="11">
        <v>723.93671087204939</v>
      </c>
      <c r="Z93" s="11">
        <v>726.0552925090816</v>
      </c>
      <c r="AA93" s="11">
        <v>728.1738741461138</v>
      </c>
      <c r="AB93" s="11">
        <v>730.29245578314601</v>
      </c>
      <c r="AC93" s="11">
        <v>732.41103742017822</v>
      </c>
      <c r="AD93" s="11">
        <v>734.52961905721031</v>
      </c>
      <c r="AE93" s="11">
        <v>734.52961905721031</v>
      </c>
      <c r="AF93" s="11">
        <v>734.52961905721031</v>
      </c>
      <c r="AG93" s="11">
        <v>734.52961905721031</v>
      </c>
      <c r="AH93" s="11">
        <v>734.52961905721031</v>
      </c>
      <c r="AI93" s="11">
        <v>734.52961905721031</v>
      </c>
      <c r="AJ93" s="11">
        <v>734.52961905721031</v>
      </c>
      <c r="AK93" s="11">
        <v>734.52961905721031</v>
      </c>
      <c r="AL93" s="11">
        <v>734.52961905721031</v>
      </c>
      <c r="AM93" s="11">
        <v>734.52961905721031</v>
      </c>
      <c r="AN93" s="11">
        <v>734.52961905721031</v>
      </c>
    </row>
    <row r="94" spans="1:40" x14ac:dyDescent="0.2">
      <c r="A94" s="6" t="s">
        <v>42</v>
      </c>
      <c r="B94" s="11">
        <v>489.16673304591927</v>
      </c>
      <c r="C94" s="11">
        <v>490.83941055776143</v>
      </c>
      <c r="D94" s="11">
        <v>492.51208806960341</v>
      </c>
      <c r="E94" s="11">
        <v>494.18476558144556</v>
      </c>
      <c r="F94" s="11">
        <v>498.65915457064659</v>
      </c>
      <c r="G94" s="11">
        <v>503.13354355984774</v>
      </c>
      <c r="H94" s="11">
        <v>507.60793254904866</v>
      </c>
      <c r="I94" s="11">
        <v>512.08232153824986</v>
      </c>
      <c r="J94" s="11">
        <v>516.55671052745095</v>
      </c>
      <c r="K94" s="11">
        <v>520.31485145917179</v>
      </c>
      <c r="L94" s="11">
        <v>524.07299239089264</v>
      </c>
      <c r="M94" s="11">
        <v>527.8311333226136</v>
      </c>
      <c r="N94" s="11">
        <v>531.58927425433433</v>
      </c>
      <c r="O94" s="11">
        <v>535.34741518605529</v>
      </c>
      <c r="P94" s="11">
        <v>538.38102798200771</v>
      </c>
      <c r="Q94" s="11">
        <v>541.41464077796013</v>
      </c>
      <c r="R94" s="11">
        <v>544.44825357391255</v>
      </c>
      <c r="S94" s="11">
        <v>547.48186636986486</v>
      </c>
      <c r="T94" s="11">
        <v>550.5154791658174</v>
      </c>
      <c r="U94" s="11">
        <v>552.84046767817188</v>
      </c>
      <c r="V94" s="11">
        <v>555.16545619052658</v>
      </c>
      <c r="W94" s="11">
        <v>557.49044470288106</v>
      </c>
      <c r="X94" s="11">
        <v>559.81543321523566</v>
      </c>
      <c r="Y94" s="11">
        <v>562.14042172759025</v>
      </c>
      <c r="Z94" s="11">
        <v>563.78551080377622</v>
      </c>
      <c r="AA94" s="11">
        <v>565.43059987996219</v>
      </c>
      <c r="AB94" s="11">
        <v>567.07568895614827</v>
      </c>
      <c r="AC94" s="11">
        <v>568.72077803233412</v>
      </c>
      <c r="AD94" s="11">
        <v>570.36586710852009</v>
      </c>
      <c r="AE94" s="11">
        <v>570.36586710852009</v>
      </c>
      <c r="AF94" s="11">
        <v>570.36586710852009</v>
      </c>
      <c r="AG94" s="11">
        <v>570.36586710852009</v>
      </c>
      <c r="AH94" s="11">
        <v>570.36586710852009</v>
      </c>
      <c r="AI94" s="11">
        <v>570.36586710852009</v>
      </c>
      <c r="AJ94" s="11">
        <v>570.36586710852009</v>
      </c>
      <c r="AK94" s="11">
        <v>570.36586710852009</v>
      </c>
      <c r="AL94" s="11">
        <v>570.36586710852009</v>
      </c>
      <c r="AM94" s="11">
        <v>570.36586710852009</v>
      </c>
      <c r="AN94" s="11">
        <v>570.36586710852009</v>
      </c>
    </row>
    <row r="95" spans="1:40" x14ac:dyDescent="0.2">
      <c r="A95" s="6" t="s">
        <v>43</v>
      </c>
      <c r="B95" s="11">
        <v>34.305106093975411</v>
      </c>
      <c r="C95" s="11">
        <v>34.422410431389061</v>
      </c>
      <c r="D95" s="11">
        <v>34.539714768802703</v>
      </c>
      <c r="E95" s="11">
        <v>34.657019106216346</v>
      </c>
      <c r="F95" s="11">
        <v>34.970806570920843</v>
      </c>
      <c r="G95" s="11">
        <v>35.284594035625339</v>
      </c>
      <c r="H95" s="11">
        <v>35.598381500329829</v>
      </c>
      <c r="I95" s="11">
        <v>35.912168965034326</v>
      </c>
      <c r="J95" s="11">
        <v>36.225956429738808</v>
      </c>
      <c r="K95" s="11">
        <v>36.489513647900438</v>
      </c>
      <c r="L95" s="11">
        <v>36.753070866062075</v>
      </c>
      <c r="M95" s="11">
        <v>37.016628084223704</v>
      </c>
      <c r="N95" s="11">
        <v>37.280185302385327</v>
      </c>
      <c r="O95" s="11">
        <v>37.543742520546964</v>
      </c>
      <c r="P95" s="11">
        <v>37.756488812931124</v>
      </c>
      <c r="Q95" s="11">
        <v>37.969235105315285</v>
      </c>
      <c r="R95" s="11">
        <v>38.181981397699431</v>
      </c>
      <c r="S95" s="11">
        <v>38.394727690083592</v>
      </c>
      <c r="T95" s="11">
        <v>38.607473982467745</v>
      </c>
      <c r="U95" s="11">
        <v>38.770524681126176</v>
      </c>
      <c r="V95" s="11">
        <v>38.933575379784607</v>
      </c>
      <c r="W95" s="11">
        <v>39.096626078443016</v>
      </c>
      <c r="X95" s="11">
        <v>39.259676777101461</v>
      </c>
      <c r="Y95" s="11">
        <v>39.422727475759885</v>
      </c>
      <c r="Z95" s="11">
        <v>39.538097045029637</v>
      </c>
      <c r="AA95" s="11">
        <v>39.65346661429939</v>
      </c>
      <c r="AB95" s="11">
        <v>39.76883618356915</v>
      </c>
      <c r="AC95" s="11">
        <v>39.884205752838895</v>
      </c>
      <c r="AD95" s="11">
        <v>39.999575322108647</v>
      </c>
      <c r="AE95" s="11">
        <v>39.999575322108647</v>
      </c>
      <c r="AF95" s="11">
        <v>39.999575322108647</v>
      </c>
      <c r="AG95" s="11">
        <v>39.999575322108647</v>
      </c>
      <c r="AH95" s="11">
        <v>39.999575322108647</v>
      </c>
      <c r="AI95" s="11">
        <v>39.999575322108647</v>
      </c>
      <c r="AJ95" s="11">
        <v>39.999575322108647</v>
      </c>
      <c r="AK95" s="11">
        <v>39.999575322108647</v>
      </c>
      <c r="AL95" s="11">
        <v>39.999575322108647</v>
      </c>
      <c r="AM95" s="11">
        <v>39.999575322108647</v>
      </c>
      <c r="AN95" s="11">
        <v>39.999575322108647</v>
      </c>
    </row>
    <row r="96" spans="1:40" x14ac:dyDescent="0.2">
      <c r="A96" s="6" t="s">
        <v>8</v>
      </c>
      <c r="B96" s="11">
        <v>26.236268235154636</v>
      </c>
      <c r="C96" s="11">
        <v>26.325981645546104</v>
      </c>
      <c r="D96" s="11">
        <v>26.415695055937562</v>
      </c>
      <c r="E96" s="11">
        <v>26.505408466329026</v>
      </c>
      <c r="F96" s="11">
        <v>26.745390586491077</v>
      </c>
      <c r="G96" s="11">
        <v>26.985372706653123</v>
      </c>
      <c r="H96" s="11">
        <v>27.225354826815167</v>
      </c>
      <c r="I96" s="11">
        <v>27.465336946977217</v>
      </c>
      <c r="J96" s="11">
        <v>27.705319067139264</v>
      </c>
      <c r="K96" s="11">
        <v>27.906885500196122</v>
      </c>
      <c r="L96" s="11">
        <v>28.108451933252979</v>
      </c>
      <c r="M96" s="11">
        <v>28.310018366309841</v>
      </c>
      <c r="N96" s="11">
        <v>28.511584799366695</v>
      </c>
      <c r="O96" s="11">
        <v>28.713151232423556</v>
      </c>
      <c r="P96" s="11">
        <v>28.875857879583748</v>
      </c>
      <c r="Q96" s="11">
        <v>29.038564526743937</v>
      </c>
      <c r="R96" s="11">
        <v>29.201271173904129</v>
      </c>
      <c r="S96" s="11">
        <v>29.363977821064321</v>
      </c>
      <c r="T96" s="11">
        <v>29.526684468224509</v>
      </c>
      <c r="U96" s="11">
        <v>29.651384326438418</v>
      </c>
      <c r="V96" s="11">
        <v>29.77608418465233</v>
      </c>
      <c r="W96" s="11">
        <v>29.900784042866238</v>
      </c>
      <c r="X96" s="11">
        <v>30.02548390108015</v>
      </c>
      <c r="Y96" s="11">
        <v>30.150183759294059</v>
      </c>
      <c r="Z96" s="11">
        <v>30.238417474626225</v>
      </c>
      <c r="AA96" s="11">
        <v>30.326651189958383</v>
      </c>
      <c r="AB96" s="11">
        <v>30.414884905290549</v>
      </c>
      <c r="AC96" s="11">
        <v>30.503118620622711</v>
      </c>
      <c r="AD96" s="11">
        <v>30.591352335954873</v>
      </c>
      <c r="AE96" s="11">
        <v>30.591352335954873</v>
      </c>
      <c r="AF96" s="11">
        <v>30.591352335954873</v>
      </c>
      <c r="AG96" s="11">
        <v>30.591352335954873</v>
      </c>
      <c r="AH96" s="11">
        <v>30.591352335954873</v>
      </c>
      <c r="AI96" s="11">
        <v>30.591352335954873</v>
      </c>
      <c r="AJ96" s="11">
        <v>30.591352335954873</v>
      </c>
      <c r="AK96" s="11">
        <v>30.591352335954873</v>
      </c>
      <c r="AL96" s="11">
        <v>30.591352335954873</v>
      </c>
      <c r="AM96" s="11">
        <v>30.591352335954873</v>
      </c>
      <c r="AN96" s="11">
        <v>30.591352335954873</v>
      </c>
    </row>
    <row r="97" spans="1:40" x14ac:dyDescent="0.2">
      <c r="A97" s="6" t="s">
        <v>9</v>
      </c>
      <c r="B97" s="11">
        <v>268.96576961192767</v>
      </c>
      <c r="C97" s="11">
        <v>269.8854825929879</v>
      </c>
      <c r="D97" s="11">
        <v>270.80519557404818</v>
      </c>
      <c r="E97" s="11">
        <v>271.72490855510841</v>
      </c>
      <c r="F97" s="11">
        <v>274.18512793783293</v>
      </c>
      <c r="G97" s="11">
        <v>276.64534732055751</v>
      </c>
      <c r="H97" s="11">
        <v>279.10556670328202</v>
      </c>
      <c r="I97" s="11">
        <v>281.56578608600654</v>
      </c>
      <c r="J97" s="11">
        <v>284.02600546873106</v>
      </c>
      <c r="K97" s="11">
        <v>286.0923996033369</v>
      </c>
      <c r="L97" s="11">
        <v>288.15879373794274</v>
      </c>
      <c r="M97" s="11">
        <v>290.22518787254853</v>
      </c>
      <c r="N97" s="11">
        <v>292.29158200715437</v>
      </c>
      <c r="O97" s="11">
        <v>294.35797614176022</v>
      </c>
      <c r="P97" s="11">
        <v>296.02599227050905</v>
      </c>
      <c r="Q97" s="11">
        <v>297.69400839925783</v>
      </c>
      <c r="R97" s="11">
        <v>299.36202452800654</v>
      </c>
      <c r="S97" s="11">
        <v>301.03004065675538</v>
      </c>
      <c r="T97" s="11">
        <v>302.69805678550409</v>
      </c>
      <c r="U97" s="11">
        <v>303.9764395583278</v>
      </c>
      <c r="V97" s="11">
        <v>305.2548223311515</v>
      </c>
      <c r="W97" s="11">
        <v>306.53320510397509</v>
      </c>
      <c r="X97" s="11">
        <v>307.81158787679885</v>
      </c>
      <c r="Y97" s="11">
        <v>309.0899706496225</v>
      </c>
      <c r="Z97" s="11">
        <v>309.99451427363664</v>
      </c>
      <c r="AA97" s="11">
        <v>310.89905789765083</v>
      </c>
      <c r="AB97" s="11">
        <v>311.80360152166497</v>
      </c>
      <c r="AC97" s="11">
        <v>312.70814514567923</v>
      </c>
      <c r="AD97" s="11">
        <v>313.61268876969336</v>
      </c>
      <c r="AE97" s="11">
        <v>313.61268876969336</v>
      </c>
      <c r="AF97" s="11">
        <v>313.61268876969336</v>
      </c>
      <c r="AG97" s="11">
        <v>313.61268876969336</v>
      </c>
      <c r="AH97" s="11">
        <v>313.61268876969336</v>
      </c>
      <c r="AI97" s="11">
        <v>313.61268876969336</v>
      </c>
      <c r="AJ97" s="11">
        <v>313.61268876969336</v>
      </c>
      <c r="AK97" s="11">
        <v>313.61268876969336</v>
      </c>
      <c r="AL97" s="11">
        <v>313.61268876969336</v>
      </c>
      <c r="AM97" s="11">
        <v>313.61268876969336</v>
      </c>
      <c r="AN97" s="11">
        <v>313.61268876969336</v>
      </c>
    </row>
    <row r="98" spans="1:40" x14ac:dyDescent="0.2">
      <c r="A98" s="6" t="s">
        <v>10</v>
      </c>
      <c r="B98" s="11">
        <v>0.23360825442626704</v>
      </c>
      <c r="C98" s="11">
        <v>0.23440706441754836</v>
      </c>
      <c r="D98" s="11">
        <v>0.23520587440882962</v>
      </c>
      <c r="E98" s="11">
        <v>0.23600468440011088</v>
      </c>
      <c r="F98" s="11">
        <v>0.23814148997330026</v>
      </c>
      <c r="G98" s="11">
        <v>0.24027829554648969</v>
      </c>
      <c r="H98" s="11">
        <v>0.24241510111967907</v>
      </c>
      <c r="I98" s="11">
        <v>0.24455190669286853</v>
      </c>
      <c r="J98" s="11">
        <v>0.24668871226605787</v>
      </c>
      <c r="K98" s="11">
        <v>0.24848346379685096</v>
      </c>
      <c r="L98" s="11">
        <v>0.25027821532764405</v>
      </c>
      <c r="M98" s="11">
        <v>0.25207296685843711</v>
      </c>
      <c r="N98" s="11">
        <v>0.25386771838923022</v>
      </c>
      <c r="O98" s="11">
        <v>0.25566246992002328</v>
      </c>
      <c r="P98" s="11">
        <v>0.25711121314394392</v>
      </c>
      <c r="Q98" s="11">
        <v>0.25855995636786444</v>
      </c>
      <c r="R98" s="11">
        <v>0.26000869959178496</v>
      </c>
      <c r="S98" s="11">
        <v>0.2614574428157056</v>
      </c>
      <c r="T98" s="11">
        <v>0.26290618603962612</v>
      </c>
      <c r="U98" s="11">
        <v>0.26401651605849374</v>
      </c>
      <c r="V98" s="11">
        <v>0.26512684607736137</v>
      </c>
      <c r="W98" s="11">
        <v>0.26623717609622888</v>
      </c>
      <c r="X98" s="11">
        <v>0.26734750611509656</v>
      </c>
      <c r="Y98" s="11">
        <v>0.26845783613396412</v>
      </c>
      <c r="Z98" s="11">
        <v>0.26924347089099376</v>
      </c>
      <c r="AA98" s="11">
        <v>0.27002910564802346</v>
      </c>
      <c r="AB98" s="11">
        <v>0.2708147404050531</v>
      </c>
      <c r="AC98" s="11">
        <v>0.27160037516208274</v>
      </c>
      <c r="AD98" s="11">
        <v>0.27238600991911244</v>
      </c>
      <c r="AE98" s="11">
        <v>0.27238600991911244</v>
      </c>
      <c r="AF98" s="11">
        <v>0.27238600991911244</v>
      </c>
      <c r="AG98" s="11">
        <v>0.27238600991911244</v>
      </c>
      <c r="AH98" s="11">
        <v>0.27238600991911244</v>
      </c>
      <c r="AI98" s="11">
        <v>0.27238600991911244</v>
      </c>
      <c r="AJ98" s="11">
        <v>0.27238600991911244</v>
      </c>
      <c r="AK98" s="11">
        <v>0.27238600991911244</v>
      </c>
      <c r="AL98" s="11">
        <v>0.27238600991911244</v>
      </c>
      <c r="AM98" s="11">
        <v>0.27238600991911244</v>
      </c>
      <c r="AN98" s="11">
        <v>0.27238600991911244</v>
      </c>
    </row>
    <row r="99" spans="1:40" x14ac:dyDescent="0.2">
      <c r="A99" s="6" t="s">
        <v>44</v>
      </c>
      <c r="B99" s="11">
        <v>426.55188783079495</v>
      </c>
      <c r="C99" s="11">
        <v>428.01045748038194</v>
      </c>
      <c r="D99" s="11">
        <v>429.46902712996888</v>
      </c>
      <c r="E99" s="11">
        <v>430.92759677955576</v>
      </c>
      <c r="F99" s="11">
        <v>434.82925022673294</v>
      </c>
      <c r="G99" s="11">
        <v>438.73090367391023</v>
      </c>
      <c r="H99" s="11">
        <v>442.63255712108747</v>
      </c>
      <c r="I99" s="11">
        <v>446.53421056826471</v>
      </c>
      <c r="J99" s="11">
        <v>450.43586401544195</v>
      </c>
      <c r="K99" s="11">
        <v>453.71295135778422</v>
      </c>
      <c r="L99" s="11">
        <v>456.99003870012655</v>
      </c>
      <c r="M99" s="11">
        <v>460.26712604246887</v>
      </c>
      <c r="N99" s="11">
        <v>463.54421338481114</v>
      </c>
      <c r="O99" s="11">
        <v>466.82130072715341</v>
      </c>
      <c r="P99" s="11">
        <v>469.46660176184116</v>
      </c>
      <c r="Q99" s="11">
        <v>472.1119027965288</v>
      </c>
      <c r="R99" s="11">
        <v>474.75720383121649</v>
      </c>
      <c r="S99" s="11">
        <v>477.40250486590418</v>
      </c>
      <c r="T99" s="11">
        <v>480.04780590059187</v>
      </c>
      <c r="U99" s="11">
        <v>482.07518873783943</v>
      </c>
      <c r="V99" s="11">
        <v>484.1025715750871</v>
      </c>
      <c r="W99" s="11">
        <v>486.12995441233454</v>
      </c>
      <c r="X99" s="11">
        <v>488.15733724958221</v>
      </c>
      <c r="Y99" s="11">
        <v>490.18472008682966</v>
      </c>
      <c r="Z99" s="11">
        <v>491.61923270531361</v>
      </c>
      <c r="AA99" s="11">
        <v>493.05374532379761</v>
      </c>
      <c r="AB99" s="11">
        <v>494.48825794228151</v>
      </c>
      <c r="AC99" s="11">
        <v>495.92277056076551</v>
      </c>
      <c r="AD99" s="11">
        <v>497.35728317924941</v>
      </c>
      <c r="AE99" s="11">
        <v>497.35728317924941</v>
      </c>
      <c r="AF99" s="11">
        <v>497.35728317924941</v>
      </c>
      <c r="AG99" s="11">
        <v>497.35728317924941</v>
      </c>
      <c r="AH99" s="11">
        <v>497.35728317924941</v>
      </c>
      <c r="AI99" s="11">
        <v>497.35728317924941</v>
      </c>
      <c r="AJ99" s="11">
        <v>497.35728317924941</v>
      </c>
      <c r="AK99" s="11">
        <v>497.35728317924941</v>
      </c>
      <c r="AL99" s="11">
        <v>497.35728317924941</v>
      </c>
      <c r="AM99" s="11">
        <v>497.35728317924941</v>
      </c>
      <c r="AN99" s="11">
        <v>497.35728317924941</v>
      </c>
    </row>
    <row r="101" spans="1:40" x14ac:dyDescent="0.2">
      <c r="A101" s="5" t="s">
        <v>3</v>
      </c>
    </row>
    <row r="102" spans="1:40" x14ac:dyDescent="0.2">
      <c r="A102" s="5" t="s">
        <v>4</v>
      </c>
    </row>
    <row r="103" spans="1:40" x14ac:dyDescent="0.2">
      <c r="A103" s="5" t="s">
        <v>58</v>
      </c>
    </row>
    <row r="104" spans="1:40" x14ac:dyDescent="0.2">
      <c r="A104" s="5" t="s">
        <v>6</v>
      </c>
    </row>
    <row r="105" spans="1:40" x14ac:dyDescent="0.2">
      <c r="A105" s="5"/>
    </row>
    <row r="106" spans="1:40" x14ac:dyDescent="0.2">
      <c r="A106" s="6" t="s">
        <v>7</v>
      </c>
      <c r="B106" s="6">
        <v>2022</v>
      </c>
      <c r="C106" s="6">
        <v>2023</v>
      </c>
      <c r="D106" s="6">
        <v>2024</v>
      </c>
      <c r="E106" s="6">
        <v>2025</v>
      </c>
      <c r="F106" s="6">
        <v>2026</v>
      </c>
      <c r="G106" s="6">
        <v>2027</v>
      </c>
      <c r="H106" s="6">
        <v>2028</v>
      </c>
      <c r="I106" s="6">
        <v>2029</v>
      </c>
      <c r="J106" s="6">
        <v>2030</v>
      </c>
      <c r="K106" s="6">
        <v>2031</v>
      </c>
      <c r="L106" s="6">
        <v>2032</v>
      </c>
      <c r="M106" s="6">
        <v>2033</v>
      </c>
      <c r="N106" s="6">
        <v>2034</v>
      </c>
      <c r="O106" s="6">
        <v>2035</v>
      </c>
      <c r="P106" s="6">
        <v>2036</v>
      </c>
      <c r="Q106" s="6">
        <v>2037</v>
      </c>
      <c r="R106" s="6">
        <v>2038</v>
      </c>
      <c r="S106" s="6">
        <v>2039</v>
      </c>
      <c r="T106" s="6">
        <v>2040</v>
      </c>
      <c r="U106" s="6">
        <v>2041</v>
      </c>
      <c r="V106" s="6">
        <v>2042</v>
      </c>
      <c r="W106" s="6">
        <v>2043</v>
      </c>
      <c r="X106" s="6">
        <v>2044</v>
      </c>
      <c r="Y106" s="6">
        <v>2045</v>
      </c>
      <c r="Z106" s="6">
        <v>2046</v>
      </c>
      <c r="AA106" s="6">
        <v>2047</v>
      </c>
      <c r="AB106" s="6">
        <v>2048</v>
      </c>
      <c r="AC106" s="6">
        <v>2049</v>
      </c>
      <c r="AD106" s="6">
        <v>2050</v>
      </c>
      <c r="AE106" s="6">
        <v>2051</v>
      </c>
      <c r="AF106" s="6">
        <v>2052</v>
      </c>
      <c r="AG106" s="6">
        <v>2053</v>
      </c>
      <c r="AH106" s="6">
        <v>2054</v>
      </c>
      <c r="AI106" s="6">
        <v>2055</v>
      </c>
      <c r="AJ106" s="6">
        <v>2056</v>
      </c>
      <c r="AK106" s="6">
        <v>2057</v>
      </c>
      <c r="AL106" s="6">
        <v>2058</v>
      </c>
      <c r="AM106" s="6">
        <v>2059</v>
      </c>
      <c r="AN106" s="6">
        <v>2060</v>
      </c>
    </row>
    <row r="107" spans="1:40" x14ac:dyDescent="0.2">
      <c r="A107" s="6" t="s">
        <v>40</v>
      </c>
      <c r="B107" s="11">
        <v>664.47218850441902</v>
      </c>
      <c r="C107" s="11">
        <v>666.74431293944588</v>
      </c>
      <c r="D107" s="11">
        <v>669.0164373744725</v>
      </c>
      <c r="E107" s="11">
        <v>671.28856180949936</v>
      </c>
      <c r="F107" s="11">
        <v>677.36646294836407</v>
      </c>
      <c r="G107" s="11">
        <v>683.44436408722868</v>
      </c>
      <c r="H107" s="11">
        <v>689.52226522609351</v>
      </c>
      <c r="I107" s="11">
        <v>695.60016636495811</v>
      </c>
      <c r="J107" s="11">
        <v>701.67806750382272</v>
      </c>
      <c r="K107" s="11">
        <v>706.783034708071</v>
      </c>
      <c r="L107" s="11">
        <v>711.88800191231906</v>
      </c>
      <c r="M107" s="11">
        <v>716.992969116567</v>
      </c>
      <c r="N107" s="11">
        <v>722.09793632081505</v>
      </c>
      <c r="O107" s="11">
        <v>727.20290352506322</v>
      </c>
      <c r="P107" s="11">
        <v>731.3236893378064</v>
      </c>
      <c r="Q107" s="11">
        <v>735.44447515054958</v>
      </c>
      <c r="R107" s="11">
        <v>739.56526096329253</v>
      </c>
      <c r="S107" s="11">
        <v>743.68604677603571</v>
      </c>
      <c r="T107" s="11">
        <v>747.80683258877878</v>
      </c>
      <c r="U107" s="11">
        <v>750.96504041585683</v>
      </c>
      <c r="V107" s="11">
        <v>754.12324824293512</v>
      </c>
      <c r="W107" s="11">
        <v>757.28145607001341</v>
      </c>
      <c r="X107" s="11">
        <v>760.43966389709158</v>
      </c>
      <c r="Y107" s="11">
        <v>763.59787172416964</v>
      </c>
      <c r="Z107" s="11">
        <v>765.83252069944115</v>
      </c>
      <c r="AA107" s="11">
        <v>768.06716967471277</v>
      </c>
      <c r="AB107" s="11">
        <v>770.30181864998428</v>
      </c>
      <c r="AC107" s="11">
        <v>772.53646762525591</v>
      </c>
      <c r="AD107" s="11">
        <v>774.77111660052753</v>
      </c>
      <c r="AE107" s="11">
        <v>774.77111660052753</v>
      </c>
      <c r="AF107" s="11">
        <v>774.77111660052753</v>
      </c>
      <c r="AG107" s="11">
        <v>774.77111660052753</v>
      </c>
      <c r="AH107" s="11">
        <v>774.77111660052753</v>
      </c>
      <c r="AI107" s="11">
        <v>774.77111660052753</v>
      </c>
      <c r="AJ107" s="11">
        <v>774.77111660052753</v>
      </c>
      <c r="AK107" s="11">
        <v>774.77111660052753</v>
      </c>
      <c r="AL107" s="11">
        <v>774.77111660052753</v>
      </c>
      <c r="AM107" s="11">
        <v>774.77111660052753</v>
      </c>
      <c r="AN107" s="11">
        <v>774.77111660052753</v>
      </c>
    </row>
    <row r="108" spans="1:40" x14ac:dyDescent="0.2">
      <c r="A108" s="6" t="s">
        <v>41</v>
      </c>
      <c r="B108" s="11">
        <v>405.90169418834961</v>
      </c>
      <c r="C108" s="11">
        <v>407.28965168836157</v>
      </c>
      <c r="D108" s="11">
        <v>408.67760918837354</v>
      </c>
      <c r="E108" s="11">
        <v>410.06556668838556</v>
      </c>
      <c r="F108" s="11">
        <v>413.77833362138136</v>
      </c>
      <c r="G108" s="11">
        <v>417.491100554377</v>
      </c>
      <c r="H108" s="11">
        <v>421.20386748737269</v>
      </c>
      <c r="I108" s="11">
        <v>424.91663442036827</v>
      </c>
      <c r="J108" s="11">
        <v>428.62940135336402</v>
      </c>
      <c r="K108" s="11">
        <v>431.74783862256584</v>
      </c>
      <c r="L108" s="11">
        <v>434.8662758917676</v>
      </c>
      <c r="M108" s="11">
        <v>437.98471316096936</v>
      </c>
      <c r="N108" s="11">
        <v>441.10315043017118</v>
      </c>
      <c r="O108" s="11">
        <v>444.221587699373</v>
      </c>
      <c r="P108" s="11">
        <v>446.73882464580481</v>
      </c>
      <c r="Q108" s="11">
        <v>449.25606159223679</v>
      </c>
      <c r="R108" s="11">
        <v>451.77329853866854</v>
      </c>
      <c r="S108" s="11">
        <v>454.29053548510035</v>
      </c>
      <c r="T108" s="11">
        <v>456.80777243153216</v>
      </c>
      <c r="U108" s="11">
        <v>458.73700578363866</v>
      </c>
      <c r="V108" s="11">
        <v>460.66623913574523</v>
      </c>
      <c r="W108" s="11">
        <v>462.59547248785174</v>
      </c>
      <c r="X108" s="11">
        <v>464.5247058399583</v>
      </c>
      <c r="Y108" s="11">
        <v>466.45393919206481</v>
      </c>
      <c r="Z108" s="11">
        <v>467.81900430791347</v>
      </c>
      <c r="AA108" s="11">
        <v>469.18406942376208</v>
      </c>
      <c r="AB108" s="11">
        <v>470.54913453961075</v>
      </c>
      <c r="AC108" s="11">
        <v>471.91419965545941</v>
      </c>
      <c r="AD108" s="11">
        <v>473.27926477130808</v>
      </c>
      <c r="AE108" s="11">
        <v>473.27926477130808</v>
      </c>
      <c r="AF108" s="11">
        <v>473.27926477130808</v>
      </c>
      <c r="AG108" s="11">
        <v>473.27926477130808</v>
      </c>
      <c r="AH108" s="11">
        <v>473.27926477130808</v>
      </c>
      <c r="AI108" s="11">
        <v>473.27926477130808</v>
      </c>
      <c r="AJ108" s="11">
        <v>473.27926477130808</v>
      </c>
      <c r="AK108" s="11">
        <v>473.27926477130808</v>
      </c>
      <c r="AL108" s="11">
        <v>473.27926477130808</v>
      </c>
      <c r="AM108" s="11">
        <v>473.27926477130808</v>
      </c>
      <c r="AN108" s="11">
        <v>473.27926477130808</v>
      </c>
    </row>
    <row r="109" spans="1:40" x14ac:dyDescent="0.2">
      <c r="A109" s="6" t="s">
        <v>42</v>
      </c>
      <c r="B109" s="11">
        <v>315.18466483012747</v>
      </c>
      <c r="C109" s="11">
        <v>316.26242066535383</v>
      </c>
      <c r="D109" s="11">
        <v>317.34017650058001</v>
      </c>
      <c r="E109" s="11">
        <v>318.41793233580637</v>
      </c>
      <c r="F109" s="11">
        <v>321.30091414673132</v>
      </c>
      <c r="G109" s="11">
        <v>324.18389595765626</v>
      </c>
      <c r="H109" s="11">
        <v>327.06687776858121</v>
      </c>
      <c r="I109" s="11">
        <v>329.94985957950615</v>
      </c>
      <c r="J109" s="11">
        <v>332.83284139043104</v>
      </c>
      <c r="K109" s="11">
        <v>335.25432329001404</v>
      </c>
      <c r="L109" s="11">
        <v>337.6758051895971</v>
      </c>
      <c r="M109" s="11">
        <v>340.09728708917993</v>
      </c>
      <c r="N109" s="11">
        <v>342.51876898876287</v>
      </c>
      <c r="O109" s="11">
        <v>344.94025088834582</v>
      </c>
      <c r="P109" s="11">
        <v>346.89489777605007</v>
      </c>
      <c r="Q109" s="11">
        <v>348.84954466375439</v>
      </c>
      <c r="R109" s="11">
        <v>350.80419155145853</v>
      </c>
      <c r="S109" s="11">
        <v>352.75883843916273</v>
      </c>
      <c r="T109" s="11">
        <v>354.71348532686704</v>
      </c>
      <c r="U109" s="11">
        <v>356.211544527331</v>
      </c>
      <c r="V109" s="11">
        <v>357.70960372779507</v>
      </c>
      <c r="W109" s="11">
        <v>359.20766292825914</v>
      </c>
      <c r="X109" s="11">
        <v>360.70572212872315</v>
      </c>
      <c r="Y109" s="11">
        <v>362.20378132918717</v>
      </c>
      <c r="Z109" s="11">
        <v>363.26376111535285</v>
      </c>
      <c r="AA109" s="11">
        <v>364.32374090151859</v>
      </c>
      <c r="AB109" s="11">
        <v>365.38372068768427</v>
      </c>
      <c r="AC109" s="11">
        <v>366.44370047384996</v>
      </c>
      <c r="AD109" s="11">
        <v>367.50368026001559</v>
      </c>
      <c r="AE109" s="11">
        <v>367.50368026001559</v>
      </c>
      <c r="AF109" s="11">
        <v>367.50368026001559</v>
      </c>
      <c r="AG109" s="11">
        <v>367.50368026001559</v>
      </c>
      <c r="AH109" s="11">
        <v>367.50368026001559</v>
      </c>
      <c r="AI109" s="11">
        <v>367.50368026001559</v>
      </c>
      <c r="AJ109" s="11">
        <v>367.50368026001559</v>
      </c>
      <c r="AK109" s="11">
        <v>367.50368026001559</v>
      </c>
      <c r="AL109" s="11">
        <v>367.50368026001559</v>
      </c>
      <c r="AM109" s="11">
        <v>367.50368026001559</v>
      </c>
      <c r="AN109" s="11">
        <v>367.50368026001559</v>
      </c>
    </row>
    <row r="110" spans="1:40" x14ac:dyDescent="0.2">
      <c r="A110" s="6" t="s">
        <v>43</v>
      </c>
      <c r="B110" s="11">
        <v>22.103799454880861</v>
      </c>
      <c r="C110" s="11">
        <v>22.179382125935021</v>
      </c>
      <c r="D110" s="11">
        <v>22.254964796989174</v>
      </c>
      <c r="E110" s="11">
        <v>22.330547468043335</v>
      </c>
      <c r="F110" s="11">
        <v>22.532730057780366</v>
      </c>
      <c r="G110" s="11">
        <v>22.734912647517401</v>
      </c>
      <c r="H110" s="11">
        <v>22.937095237254432</v>
      </c>
      <c r="I110" s="11">
        <v>23.139277826991467</v>
      </c>
      <c r="J110" s="11">
        <v>23.341460416728498</v>
      </c>
      <c r="K110" s="11">
        <v>23.511278165700688</v>
      </c>
      <c r="L110" s="11">
        <v>23.681095914672877</v>
      </c>
      <c r="M110" s="11">
        <v>23.850913663645059</v>
      </c>
      <c r="N110" s="11">
        <v>24.020731412617245</v>
      </c>
      <c r="O110" s="11">
        <v>24.190549161589438</v>
      </c>
      <c r="P110" s="11">
        <v>24.327627920907268</v>
      </c>
      <c r="Q110" s="11">
        <v>24.46470668022511</v>
      </c>
      <c r="R110" s="11">
        <v>24.60178543954294</v>
      </c>
      <c r="S110" s="11">
        <v>24.738864198860774</v>
      </c>
      <c r="T110" s="11">
        <v>24.875942958178609</v>
      </c>
      <c r="U110" s="11">
        <v>24.981001369432345</v>
      </c>
      <c r="V110" s="11">
        <v>25.086059780686092</v>
      </c>
      <c r="W110" s="11">
        <v>25.191118191939836</v>
      </c>
      <c r="X110" s="11">
        <v>25.296176603193576</v>
      </c>
      <c r="Y110" s="11">
        <v>25.401235014447316</v>
      </c>
      <c r="Z110" s="11">
        <v>25.475571056882192</v>
      </c>
      <c r="AA110" s="11">
        <v>25.549907099317064</v>
      </c>
      <c r="AB110" s="11">
        <v>25.62424314175194</v>
      </c>
      <c r="AC110" s="11">
        <v>25.698579184186812</v>
      </c>
      <c r="AD110" s="11">
        <v>25.772915226621688</v>
      </c>
      <c r="AE110" s="11">
        <v>25.772915226621688</v>
      </c>
      <c r="AF110" s="11">
        <v>25.772915226621688</v>
      </c>
      <c r="AG110" s="11">
        <v>25.772915226621688</v>
      </c>
      <c r="AH110" s="11">
        <v>25.772915226621688</v>
      </c>
      <c r="AI110" s="11">
        <v>25.772915226621688</v>
      </c>
      <c r="AJ110" s="11">
        <v>25.772915226621688</v>
      </c>
      <c r="AK110" s="11">
        <v>25.772915226621688</v>
      </c>
      <c r="AL110" s="11">
        <v>25.772915226621688</v>
      </c>
      <c r="AM110" s="11">
        <v>25.772915226621688</v>
      </c>
      <c r="AN110" s="11">
        <v>25.772915226621688</v>
      </c>
    </row>
    <row r="111" spans="1:40" x14ac:dyDescent="0.2">
      <c r="A111" s="6" t="s">
        <v>8</v>
      </c>
      <c r="B111" s="11">
        <v>16.90480739400757</v>
      </c>
      <c r="C111" s="11">
        <v>16.962612410701794</v>
      </c>
      <c r="D111" s="11">
        <v>17.020417427396016</v>
      </c>
      <c r="E111" s="11">
        <v>17.07822244409024</v>
      </c>
      <c r="F111" s="11">
        <v>17.232850056637254</v>
      </c>
      <c r="G111" s="11">
        <v>17.387477669184268</v>
      </c>
      <c r="H111" s="11">
        <v>17.542105281731281</v>
      </c>
      <c r="I111" s="11">
        <v>17.696732894278291</v>
      </c>
      <c r="J111" s="11">
        <v>17.851360506825305</v>
      </c>
      <c r="K111" s="11">
        <v>17.981235750414925</v>
      </c>
      <c r="L111" s="11">
        <v>18.111110994004552</v>
      </c>
      <c r="M111" s="11">
        <v>18.240986237594164</v>
      </c>
      <c r="N111" s="11">
        <v>18.370861481183784</v>
      </c>
      <c r="O111" s="11">
        <v>18.500736724773404</v>
      </c>
      <c r="P111" s="11">
        <v>18.605573453355188</v>
      </c>
      <c r="Q111" s="11">
        <v>18.710410181936975</v>
      </c>
      <c r="R111" s="11">
        <v>18.815246910518756</v>
      </c>
      <c r="S111" s="11">
        <v>18.920083639100536</v>
      </c>
      <c r="T111" s="11">
        <v>19.02492036768232</v>
      </c>
      <c r="U111" s="11">
        <v>19.105268192543384</v>
      </c>
      <c r="V111" s="11">
        <v>19.185616017404456</v>
      </c>
      <c r="W111" s="11">
        <v>19.265963842265524</v>
      </c>
      <c r="X111" s="11">
        <v>19.346311667126596</v>
      </c>
      <c r="Y111" s="11">
        <v>19.42665949198766</v>
      </c>
      <c r="Z111" s="11">
        <v>19.48351109717705</v>
      </c>
      <c r="AA111" s="11">
        <v>19.540362702366437</v>
      </c>
      <c r="AB111" s="11">
        <v>19.597214307555827</v>
      </c>
      <c r="AC111" s="11">
        <v>19.654065912745214</v>
      </c>
      <c r="AD111" s="11">
        <v>19.710917517934607</v>
      </c>
      <c r="AE111" s="11">
        <v>19.710917517934607</v>
      </c>
      <c r="AF111" s="11">
        <v>19.710917517934607</v>
      </c>
      <c r="AG111" s="11">
        <v>19.710917517934607</v>
      </c>
      <c r="AH111" s="11">
        <v>19.710917517934607</v>
      </c>
      <c r="AI111" s="11">
        <v>19.710917517934607</v>
      </c>
      <c r="AJ111" s="11">
        <v>19.710917517934607</v>
      </c>
      <c r="AK111" s="11">
        <v>19.710917517934607</v>
      </c>
      <c r="AL111" s="11">
        <v>19.710917517934607</v>
      </c>
      <c r="AM111" s="11">
        <v>19.710917517934607</v>
      </c>
      <c r="AN111" s="11">
        <v>19.710917517934607</v>
      </c>
    </row>
    <row r="112" spans="1:40" x14ac:dyDescent="0.2">
      <c r="A112" s="6" t="s">
        <v>9</v>
      </c>
      <c r="B112" s="11">
        <v>173.30263937080937</v>
      </c>
      <c r="C112" s="11">
        <v>173.89523777956344</v>
      </c>
      <c r="D112" s="11">
        <v>174.48783618831746</v>
      </c>
      <c r="E112" s="11">
        <v>175.08043459707153</v>
      </c>
      <c r="F112" s="11">
        <v>176.66562706625658</v>
      </c>
      <c r="G112" s="11">
        <v>178.25081953544159</v>
      </c>
      <c r="H112" s="11">
        <v>179.83601200462664</v>
      </c>
      <c r="I112" s="11">
        <v>181.42120447381163</v>
      </c>
      <c r="J112" s="11">
        <v>183.00639694299667</v>
      </c>
      <c r="K112" s="11">
        <v>184.33783609982416</v>
      </c>
      <c r="L112" s="11">
        <v>185.66927525665162</v>
      </c>
      <c r="M112" s="11">
        <v>187.00071441347902</v>
      </c>
      <c r="N112" s="11">
        <v>188.3321535703065</v>
      </c>
      <c r="O112" s="11">
        <v>189.6635927271339</v>
      </c>
      <c r="P112" s="11">
        <v>190.73834509447914</v>
      </c>
      <c r="Q112" s="11">
        <v>191.81309746182436</v>
      </c>
      <c r="R112" s="11">
        <v>192.88784982916954</v>
      </c>
      <c r="S112" s="11">
        <v>193.96260219651472</v>
      </c>
      <c r="T112" s="11">
        <v>195.03735456385991</v>
      </c>
      <c r="U112" s="11">
        <v>195.86105457957629</v>
      </c>
      <c r="V112" s="11">
        <v>196.6847545952927</v>
      </c>
      <c r="W112" s="11">
        <v>197.50845461100911</v>
      </c>
      <c r="X112" s="11">
        <v>198.3321546267255</v>
      </c>
      <c r="Y112" s="11">
        <v>199.15585464244188</v>
      </c>
      <c r="Z112" s="11">
        <v>199.73867898359831</v>
      </c>
      <c r="AA112" s="11">
        <v>200.32150332475467</v>
      </c>
      <c r="AB112" s="11">
        <v>200.9043276659111</v>
      </c>
      <c r="AC112" s="11">
        <v>201.48715200706749</v>
      </c>
      <c r="AD112" s="11">
        <v>202.06997634822389</v>
      </c>
      <c r="AE112" s="11">
        <v>202.06997634822389</v>
      </c>
      <c r="AF112" s="11">
        <v>202.06997634822389</v>
      </c>
      <c r="AG112" s="11">
        <v>202.06997634822389</v>
      </c>
      <c r="AH112" s="11">
        <v>202.06997634822389</v>
      </c>
      <c r="AI112" s="11">
        <v>202.06997634822389</v>
      </c>
      <c r="AJ112" s="11">
        <v>202.06997634822389</v>
      </c>
      <c r="AK112" s="11">
        <v>202.06997634822389</v>
      </c>
      <c r="AL112" s="11">
        <v>202.06997634822389</v>
      </c>
      <c r="AM112" s="11">
        <v>202.06997634822389</v>
      </c>
      <c r="AN112" s="11">
        <v>202.06997634822389</v>
      </c>
    </row>
    <row r="113" spans="1:40" x14ac:dyDescent="0.2">
      <c r="A113" s="6" t="s">
        <v>10</v>
      </c>
      <c r="B113" s="11">
        <v>0.15052074149159378</v>
      </c>
      <c r="C113" s="11">
        <v>0.1510354385107289</v>
      </c>
      <c r="D113" s="11">
        <v>0.15155013552986399</v>
      </c>
      <c r="E113" s="11">
        <v>0.15206483254899908</v>
      </c>
      <c r="F113" s="11">
        <v>0.15344163988866161</v>
      </c>
      <c r="G113" s="11">
        <v>0.15481844722832416</v>
      </c>
      <c r="H113" s="11">
        <v>0.15619525456798672</v>
      </c>
      <c r="I113" s="11">
        <v>0.15757206190764922</v>
      </c>
      <c r="J113" s="11">
        <v>0.15894886924731177</v>
      </c>
      <c r="K113" s="11">
        <v>0.16010528100113283</v>
      </c>
      <c r="L113" s="11">
        <v>0.16126169275495383</v>
      </c>
      <c r="M113" s="11">
        <v>0.16241810450877486</v>
      </c>
      <c r="N113" s="11">
        <v>0.16357451626259589</v>
      </c>
      <c r="O113" s="11">
        <v>0.16473092801641692</v>
      </c>
      <c r="P113" s="11">
        <v>0.16566439633426813</v>
      </c>
      <c r="Q113" s="11">
        <v>0.16659786465211937</v>
      </c>
      <c r="R113" s="11">
        <v>0.16753133296997055</v>
      </c>
      <c r="S113" s="11">
        <v>0.16846480128782176</v>
      </c>
      <c r="T113" s="11">
        <v>0.16939826960567297</v>
      </c>
      <c r="U113" s="11">
        <v>0.17011368823739378</v>
      </c>
      <c r="V113" s="11">
        <v>0.17082910686911459</v>
      </c>
      <c r="W113" s="11">
        <v>0.1715445255008354</v>
      </c>
      <c r="X113" s="11">
        <v>0.17225994413255624</v>
      </c>
      <c r="Y113" s="11">
        <v>0.17297536276427702</v>
      </c>
      <c r="Z113" s="11">
        <v>0.17348157058839736</v>
      </c>
      <c r="AA113" s="11">
        <v>0.1739877784125177</v>
      </c>
      <c r="AB113" s="11">
        <v>0.17449398623663803</v>
      </c>
      <c r="AC113" s="11">
        <v>0.1750001940607584</v>
      </c>
      <c r="AD113" s="11">
        <v>0.17550640188487876</v>
      </c>
      <c r="AE113" s="11">
        <v>0.17550640188487876</v>
      </c>
      <c r="AF113" s="11">
        <v>0.17550640188487876</v>
      </c>
      <c r="AG113" s="11">
        <v>0.17550640188487876</v>
      </c>
      <c r="AH113" s="11">
        <v>0.17550640188487876</v>
      </c>
      <c r="AI113" s="11">
        <v>0.17550640188487876</v>
      </c>
      <c r="AJ113" s="11">
        <v>0.17550640188487876</v>
      </c>
      <c r="AK113" s="11">
        <v>0.17550640188487876</v>
      </c>
      <c r="AL113" s="11">
        <v>0.17550640188487876</v>
      </c>
      <c r="AM113" s="11">
        <v>0.17550640188487876</v>
      </c>
      <c r="AN113" s="11">
        <v>0.17550640188487876</v>
      </c>
    </row>
    <row r="114" spans="1:40" x14ac:dyDescent="0.2">
      <c r="A114" s="6" t="s">
        <v>44</v>
      </c>
      <c r="B114" s="11">
        <v>274.84005915483135</v>
      </c>
      <c r="C114" s="11">
        <v>275.77985893115522</v>
      </c>
      <c r="D114" s="11">
        <v>276.71965870747908</v>
      </c>
      <c r="E114" s="11">
        <v>277.65945848380295</v>
      </c>
      <c r="F114" s="11">
        <v>280.17340976339318</v>
      </c>
      <c r="G114" s="11">
        <v>282.68736104298341</v>
      </c>
      <c r="H114" s="11">
        <v>285.20131232257364</v>
      </c>
      <c r="I114" s="11">
        <v>287.71526360216382</v>
      </c>
      <c r="J114" s="11">
        <v>290.22921488175399</v>
      </c>
      <c r="K114" s="11">
        <v>292.34073965686457</v>
      </c>
      <c r="L114" s="11">
        <v>294.45226443197515</v>
      </c>
      <c r="M114" s="11">
        <v>296.56378920708573</v>
      </c>
      <c r="N114" s="11">
        <v>298.67531398219626</v>
      </c>
      <c r="O114" s="11">
        <v>300.78683875730684</v>
      </c>
      <c r="P114" s="11">
        <v>302.49128483666476</v>
      </c>
      <c r="Q114" s="11">
        <v>304.19573091602263</v>
      </c>
      <c r="R114" s="11">
        <v>305.90017699538049</v>
      </c>
      <c r="S114" s="11">
        <v>307.60462307473836</v>
      </c>
      <c r="T114" s="11">
        <v>309.30906915409622</v>
      </c>
      <c r="U114" s="11">
        <v>310.61537217329567</v>
      </c>
      <c r="V114" s="11">
        <v>311.92167519249517</v>
      </c>
      <c r="W114" s="11">
        <v>313.22797821169468</v>
      </c>
      <c r="X114" s="11">
        <v>314.53428123089418</v>
      </c>
      <c r="Y114" s="11">
        <v>315.84058425009368</v>
      </c>
      <c r="Z114" s="11">
        <v>316.76488336626329</v>
      </c>
      <c r="AA114" s="11">
        <v>317.6891824824329</v>
      </c>
      <c r="AB114" s="11">
        <v>318.6134815986025</v>
      </c>
      <c r="AC114" s="11">
        <v>319.53778071477217</v>
      </c>
      <c r="AD114" s="11">
        <v>320.46207983094178</v>
      </c>
      <c r="AE114" s="11">
        <v>320.46207983094178</v>
      </c>
      <c r="AF114" s="11">
        <v>320.46207983094178</v>
      </c>
      <c r="AG114" s="11">
        <v>320.46207983094178</v>
      </c>
      <c r="AH114" s="11">
        <v>320.46207983094178</v>
      </c>
      <c r="AI114" s="11">
        <v>320.46207983094178</v>
      </c>
      <c r="AJ114" s="11">
        <v>320.46207983094178</v>
      </c>
      <c r="AK114" s="11">
        <v>320.46207983094178</v>
      </c>
      <c r="AL114" s="11">
        <v>320.46207983094178</v>
      </c>
      <c r="AM114" s="11">
        <v>320.46207983094178</v>
      </c>
      <c r="AN114" s="11">
        <v>320.46207983094178</v>
      </c>
    </row>
    <row r="116" spans="1:40" x14ac:dyDescent="0.2">
      <c r="A116" s="5" t="s">
        <v>3</v>
      </c>
    </row>
    <row r="117" spans="1:40" x14ac:dyDescent="0.2">
      <c r="A117" s="5" t="s">
        <v>4</v>
      </c>
    </row>
    <row r="118" spans="1:40" x14ac:dyDescent="0.2">
      <c r="A118" s="5" t="s">
        <v>60</v>
      </c>
    </row>
    <row r="119" spans="1:40" x14ac:dyDescent="0.2">
      <c r="A119" s="5" t="s">
        <v>6</v>
      </c>
    </row>
    <row r="120" spans="1:40" x14ac:dyDescent="0.2">
      <c r="A120" s="5"/>
    </row>
    <row r="121" spans="1:40" x14ac:dyDescent="0.2">
      <c r="A121" s="6" t="s">
        <v>7</v>
      </c>
      <c r="B121" s="6">
        <v>2022</v>
      </c>
      <c r="C121" s="6">
        <v>2023</v>
      </c>
      <c r="D121" s="6">
        <v>2024</v>
      </c>
      <c r="E121" s="6">
        <v>2025</v>
      </c>
      <c r="F121" s="6">
        <v>2026</v>
      </c>
      <c r="G121" s="6">
        <v>2027</v>
      </c>
      <c r="H121" s="6">
        <v>2028</v>
      </c>
      <c r="I121" s="6">
        <v>2029</v>
      </c>
      <c r="J121" s="6">
        <v>2030</v>
      </c>
      <c r="K121" s="6">
        <v>2031</v>
      </c>
      <c r="L121" s="6">
        <v>2032</v>
      </c>
      <c r="M121" s="6">
        <v>2033</v>
      </c>
      <c r="N121" s="6">
        <v>2034</v>
      </c>
      <c r="O121" s="6">
        <v>2035</v>
      </c>
      <c r="P121" s="6">
        <v>2036</v>
      </c>
      <c r="Q121" s="6">
        <v>2037</v>
      </c>
      <c r="R121" s="6">
        <v>2038</v>
      </c>
      <c r="S121" s="6">
        <v>2039</v>
      </c>
      <c r="T121" s="6">
        <v>2040</v>
      </c>
      <c r="U121" s="6">
        <v>2041</v>
      </c>
      <c r="V121" s="6">
        <v>2042</v>
      </c>
      <c r="W121" s="6">
        <v>2043</v>
      </c>
      <c r="X121" s="6">
        <v>2044</v>
      </c>
      <c r="Y121" s="6">
        <v>2045</v>
      </c>
      <c r="Z121" s="6">
        <v>2046</v>
      </c>
      <c r="AA121" s="6">
        <v>2047</v>
      </c>
      <c r="AB121" s="6">
        <v>2048</v>
      </c>
      <c r="AC121" s="6">
        <v>2049</v>
      </c>
      <c r="AD121" s="6">
        <v>2050</v>
      </c>
      <c r="AE121" s="6">
        <v>2051</v>
      </c>
      <c r="AF121" s="6">
        <v>2052</v>
      </c>
      <c r="AG121" s="6">
        <v>2053</v>
      </c>
      <c r="AH121" s="6">
        <v>2054</v>
      </c>
      <c r="AI121" s="6">
        <v>2055</v>
      </c>
      <c r="AJ121" s="6">
        <v>2056</v>
      </c>
      <c r="AK121" s="6">
        <v>2057</v>
      </c>
      <c r="AL121" s="6">
        <v>2058</v>
      </c>
      <c r="AM121" s="6">
        <v>2059</v>
      </c>
      <c r="AN121" s="6">
        <v>2060</v>
      </c>
    </row>
    <row r="122" spans="1:40" x14ac:dyDescent="0.2">
      <c r="A122" s="6" t="s">
        <v>40</v>
      </c>
      <c r="B122" s="11">
        <v>157.89735921763128</v>
      </c>
      <c r="C122" s="11">
        <v>158.43728015685386</v>
      </c>
      <c r="D122" s="11">
        <v>158.97720109607639</v>
      </c>
      <c r="E122" s="11">
        <v>159.51712203529894</v>
      </c>
      <c r="F122" s="11">
        <v>160.96140300900322</v>
      </c>
      <c r="G122" s="11">
        <v>162.4056839827075</v>
      </c>
      <c r="H122" s="11">
        <v>163.84996495641178</v>
      </c>
      <c r="I122" s="11">
        <v>165.29424593011606</v>
      </c>
      <c r="J122" s="11">
        <v>166.73852690382031</v>
      </c>
      <c r="K122" s="11">
        <v>167.95161129529447</v>
      </c>
      <c r="L122" s="11">
        <v>169.16469568676862</v>
      </c>
      <c r="M122" s="11">
        <v>170.37778007824281</v>
      </c>
      <c r="N122" s="11">
        <v>171.59086446971691</v>
      </c>
      <c r="O122" s="11">
        <v>172.80394886119112</v>
      </c>
      <c r="P122" s="11">
        <v>173.78316395700739</v>
      </c>
      <c r="Q122" s="11">
        <v>174.76237905282369</v>
      </c>
      <c r="R122" s="11">
        <v>175.74159414864002</v>
      </c>
      <c r="S122" s="11">
        <v>176.72080924445632</v>
      </c>
      <c r="T122" s="11">
        <v>177.70002434027259</v>
      </c>
      <c r="U122" s="11">
        <v>178.4505037198212</v>
      </c>
      <c r="V122" s="11">
        <v>179.20098309936978</v>
      </c>
      <c r="W122" s="11">
        <v>179.95146247891836</v>
      </c>
      <c r="X122" s="11">
        <v>180.70194185846699</v>
      </c>
      <c r="Y122" s="11">
        <v>181.4524212380156</v>
      </c>
      <c r="Z122" s="11">
        <v>181.98343694955042</v>
      </c>
      <c r="AA122" s="11">
        <v>182.51445266108522</v>
      </c>
      <c r="AB122" s="11">
        <v>183.04546837262001</v>
      </c>
      <c r="AC122" s="11">
        <v>183.57648408415483</v>
      </c>
      <c r="AD122" s="11">
        <v>184.10749979568965</v>
      </c>
      <c r="AE122" s="11">
        <v>184.10749979568965</v>
      </c>
      <c r="AF122" s="11">
        <v>184.10749979568965</v>
      </c>
      <c r="AG122" s="11">
        <v>184.10749979568965</v>
      </c>
      <c r="AH122" s="11">
        <v>184.10749979568965</v>
      </c>
      <c r="AI122" s="11">
        <v>184.10749979568965</v>
      </c>
      <c r="AJ122" s="11">
        <v>184.10749979568965</v>
      </c>
      <c r="AK122" s="11">
        <v>184.10749979568965</v>
      </c>
      <c r="AL122" s="11">
        <v>184.10749979568965</v>
      </c>
      <c r="AM122" s="11">
        <v>184.10749979568965</v>
      </c>
      <c r="AN122" s="11">
        <v>184.10749979568965</v>
      </c>
    </row>
    <row r="123" spans="1:40" x14ac:dyDescent="0.2">
      <c r="A123" s="6" t="s">
        <v>41</v>
      </c>
      <c r="B123" s="11">
        <v>96.453706751154286</v>
      </c>
      <c r="C123" s="11">
        <v>96.783524654370794</v>
      </c>
      <c r="D123" s="11">
        <v>97.113342557587274</v>
      </c>
      <c r="E123" s="11">
        <v>97.443160460803767</v>
      </c>
      <c r="F123" s="11">
        <v>98.325418746782674</v>
      </c>
      <c r="G123" s="11">
        <v>99.20767703276158</v>
      </c>
      <c r="H123" s="11">
        <v>100.08993531874049</v>
      </c>
      <c r="I123" s="11">
        <v>100.97219360471939</v>
      </c>
      <c r="J123" s="11">
        <v>101.85445189069831</v>
      </c>
      <c r="K123" s="11">
        <v>102.59548066242324</v>
      </c>
      <c r="L123" s="11">
        <v>103.33650943414817</v>
      </c>
      <c r="M123" s="11">
        <v>104.0775382058731</v>
      </c>
      <c r="N123" s="11">
        <v>104.81856697759801</v>
      </c>
      <c r="O123" s="11">
        <v>105.55959574932295</v>
      </c>
      <c r="P123" s="11">
        <v>106.15776234416755</v>
      </c>
      <c r="Q123" s="11">
        <v>106.75592893901219</v>
      </c>
      <c r="R123" s="11">
        <v>107.35409553385682</v>
      </c>
      <c r="S123" s="11">
        <v>107.95226212870146</v>
      </c>
      <c r="T123" s="11">
        <v>108.55042872354606</v>
      </c>
      <c r="U123" s="11">
        <v>109.00886905691478</v>
      </c>
      <c r="V123" s="11">
        <v>109.46730939028348</v>
      </c>
      <c r="W123" s="11">
        <v>109.92574972365215</v>
      </c>
      <c r="X123" s="11">
        <v>110.38419005702087</v>
      </c>
      <c r="Y123" s="11">
        <v>110.84263039038957</v>
      </c>
      <c r="Z123" s="11">
        <v>111.16700841656062</v>
      </c>
      <c r="AA123" s="11">
        <v>111.49138644273165</v>
      </c>
      <c r="AB123" s="11">
        <v>111.81576446890269</v>
      </c>
      <c r="AC123" s="11">
        <v>112.14014249507372</v>
      </c>
      <c r="AD123" s="11">
        <v>112.46452052124475</v>
      </c>
      <c r="AE123" s="11">
        <v>112.46452052124475</v>
      </c>
      <c r="AF123" s="11">
        <v>112.46452052124475</v>
      </c>
      <c r="AG123" s="11">
        <v>112.46452052124475</v>
      </c>
      <c r="AH123" s="11">
        <v>112.46452052124475</v>
      </c>
      <c r="AI123" s="11">
        <v>112.46452052124475</v>
      </c>
      <c r="AJ123" s="11">
        <v>112.46452052124475</v>
      </c>
      <c r="AK123" s="11">
        <v>112.46452052124475</v>
      </c>
      <c r="AL123" s="11">
        <v>112.46452052124475</v>
      </c>
      <c r="AM123" s="11">
        <v>112.46452052124475</v>
      </c>
      <c r="AN123" s="11">
        <v>112.46452052124475</v>
      </c>
    </row>
    <row r="124" spans="1:40" x14ac:dyDescent="0.2">
      <c r="A124" s="6" t="s">
        <v>42</v>
      </c>
      <c r="B124" s="11">
        <v>74.896778380725806</v>
      </c>
      <c r="C124" s="11">
        <v>75.152883607111079</v>
      </c>
      <c r="D124" s="11">
        <v>75.408988833496338</v>
      </c>
      <c r="E124" s="11">
        <v>75.665094059881596</v>
      </c>
      <c r="F124" s="11">
        <v>76.350171964559749</v>
      </c>
      <c r="G124" s="11">
        <v>77.035249869237887</v>
      </c>
      <c r="H124" s="11">
        <v>77.72032777391604</v>
      </c>
      <c r="I124" s="11">
        <v>78.405405678594192</v>
      </c>
      <c r="J124" s="11">
        <v>79.090483583272331</v>
      </c>
      <c r="K124" s="11">
        <v>79.665896074497908</v>
      </c>
      <c r="L124" s="11">
        <v>80.241308565723486</v>
      </c>
      <c r="M124" s="11">
        <v>80.816721056949092</v>
      </c>
      <c r="N124" s="11">
        <v>81.392133548174641</v>
      </c>
      <c r="O124" s="11">
        <v>81.967546039400233</v>
      </c>
      <c r="P124" s="11">
        <v>82.432025346602117</v>
      </c>
      <c r="Q124" s="11">
        <v>82.896504653804016</v>
      </c>
      <c r="R124" s="11">
        <v>83.360983961005928</v>
      </c>
      <c r="S124" s="11">
        <v>83.825463268207827</v>
      </c>
      <c r="T124" s="11">
        <v>84.289942575409725</v>
      </c>
      <c r="U124" s="11">
        <v>84.645923752345581</v>
      </c>
      <c r="V124" s="11">
        <v>85.001904929281437</v>
      </c>
      <c r="W124" s="11">
        <v>85.357886106217279</v>
      </c>
      <c r="X124" s="11">
        <v>85.713867283153164</v>
      </c>
      <c r="Y124" s="11">
        <v>86.069848460088991</v>
      </c>
      <c r="Z124" s="11">
        <v>86.321729595154025</v>
      </c>
      <c r="AA124" s="11">
        <v>86.573610730219045</v>
      </c>
      <c r="AB124" s="11">
        <v>86.82549186528405</v>
      </c>
      <c r="AC124" s="11">
        <v>87.07737300034907</v>
      </c>
      <c r="AD124" s="11">
        <v>87.329254135414104</v>
      </c>
      <c r="AE124" s="11">
        <v>87.329254135414104</v>
      </c>
      <c r="AF124" s="11">
        <v>87.329254135414104</v>
      </c>
      <c r="AG124" s="11">
        <v>87.329254135414104</v>
      </c>
      <c r="AH124" s="11">
        <v>87.329254135414104</v>
      </c>
      <c r="AI124" s="11">
        <v>87.329254135414104</v>
      </c>
      <c r="AJ124" s="11">
        <v>87.329254135414104</v>
      </c>
      <c r="AK124" s="11">
        <v>87.329254135414104</v>
      </c>
      <c r="AL124" s="11">
        <v>87.329254135414104</v>
      </c>
      <c r="AM124" s="11">
        <v>87.329254135414104</v>
      </c>
      <c r="AN124" s="11">
        <v>87.329254135414104</v>
      </c>
    </row>
    <row r="125" spans="1:40" x14ac:dyDescent="0.2">
      <c r="A125" s="6" t="s">
        <v>43</v>
      </c>
      <c r="B125" s="11">
        <v>5.2524870460828845</v>
      </c>
      <c r="C125" s="11">
        <v>5.2704476234682653</v>
      </c>
      <c r="D125" s="11">
        <v>5.2884082008536444</v>
      </c>
      <c r="E125" s="11">
        <v>5.3063687782390243</v>
      </c>
      <c r="F125" s="11">
        <v>5.3544130719680263</v>
      </c>
      <c r="G125" s="11">
        <v>5.4024573656970283</v>
      </c>
      <c r="H125" s="11">
        <v>5.450501659426032</v>
      </c>
      <c r="I125" s="11">
        <v>5.498545953155034</v>
      </c>
      <c r="J125" s="11">
        <v>5.546590246884036</v>
      </c>
      <c r="K125" s="11">
        <v>5.5869437403407636</v>
      </c>
      <c r="L125" s="11">
        <v>5.6272972337974911</v>
      </c>
      <c r="M125" s="11">
        <v>5.6676507272542205</v>
      </c>
      <c r="N125" s="11">
        <v>5.708004220710948</v>
      </c>
      <c r="O125" s="11">
        <v>5.7483577141676765</v>
      </c>
      <c r="P125" s="11">
        <v>5.7809314990085925</v>
      </c>
      <c r="Q125" s="11">
        <v>5.8135052838495085</v>
      </c>
      <c r="R125" s="11">
        <v>5.8460790686904254</v>
      </c>
      <c r="S125" s="11">
        <v>5.8786528535313405</v>
      </c>
      <c r="T125" s="11">
        <v>5.9112266383722565</v>
      </c>
      <c r="U125" s="11">
        <v>5.9361914841363843</v>
      </c>
      <c r="V125" s="11">
        <v>5.9611563299005121</v>
      </c>
      <c r="W125" s="11">
        <v>5.9861211756646409</v>
      </c>
      <c r="X125" s="11">
        <v>6.0110860214287696</v>
      </c>
      <c r="Y125" s="11">
        <v>6.0360508671928983</v>
      </c>
      <c r="Z125" s="11">
        <v>6.0537152104087895</v>
      </c>
      <c r="AA125" s="11">
        <v>6.0713795536246806</v>
      </c>
      <c r="AB125" s="11">
        <v>6.0890438968405709</v>
      </c>
      <c r="AC125" s="11">
        <v>6.106708240056463</v>
      </c>
      <c r="AD125" s="11">
        <v>6.1243725832723532</v>
      </c>
      <c r="AE125" s="11">
        <v>6.1243725832723532</v>
      </c>
      <c r="AF125" s="11">
        <v>6.1243725832723532</v>
      </c>
      <c r="AG125" s="11">
        <v>6.1243725832723532</v>
      </c>
      <c r="AH125" s="11">
        <v>6.1243725832723532</v>
      </c>
      <c r="AI125" s="11">
        <v>6.1243725832723532</v>
      </c>
      <c r="AJ125" s="11">
        <v>6.1243725832723532</v>
      </c>
      <c r="AK125" s="11">
        <v>6.1243725832723532</v>
      </c>
      <c r="AL125" s="11">
        <v>6.1243725832723532</v>
      </c>
      <c r="AM125" s="11">
        <v>6.1243725832723532</v>
      </c>
      <c r="AN125" s="11">
        <v>6.1243725832723532</v>
      </c>
    </row>
    <row r="126" spans="1:40" x14ac:dyDescent="0.2">
      <c r="A126" s="6" t="s">
        <v>8</v>
      </c>
      <c r="B126" s="11">
        <v>4.0170596930540015</v>
      </c>
      <c r="C126" s="11">
        <v>4.0307957976546964</v>
      </c>
      <c r="D126" s="11">
        <v>4.0445319022553905</v>
      </c>
      <c r="E126" s="11">
        <v>4.0582680068560855</v>
      </c>
      <c r="F126" s="11">
        <v>4.0950118948708027</v>
      </c>
      <c r="G126" s="11">
        <v>4.13175578288552</v>
      </c>
      <c r="H126" s="11">
        <v>4.1684996709002364</v>
      </c>
      <c r="I126" s="11">
        <v>4.2052435589149537</v>
      </c>
      <c r="J126" s="11">
        <v>4.241987446929671</v>
      </c>
      <c r="K126" s="11">
        <v>4.2728494729788036</v>
      </c>
      <c r="L126" s="11">
        <v>4.3037114990279361</v>
      </c>
      <c r="M126" s="11">
        <v>4.3345735250770687</v>
      </c>
      <c r="N126" s="11">
        <v>4.3654355511262004</v>
      </c>
      <c r="O126" s="11">
        <v>4.3962975771753339</v>
      </c>
      <c r="P126" s="11">
        <v>4.4212097448754406</v>
      </c>
      <c r="Q126" s="11">
        <v>4.4461219125755473</v>
      </c>
      <c r="R126" s="11">
        <v>4.471034080275655</v>
      </c>
      <c r="S126" s="11">
        <v>4.4959462479757626</v>
      </c>
      <c r="T126" s="11">
        <v>4.5208584156758684</v>
      </c>
      <c r="U126" s="11">
        <v>4.5399513281918891</v>
      </c>
      <c r="V126" s="11">
        <v>4.5590442407079088</v>
      </c>
      <c r="W126" s="11">
        <v>4.5781371532239286</v>
      </c>
      <c r="X126" s="11">
        <v>4.5972300657399501</v>
      </c>
      <c r="Y126" s="11">
        <v>4.6163229782559698</v>
      </c>
      <c r="Z126" s="11">
        <v>4.6298325253551385</v>
      </c>
      <c r="AA126" s="11">
        <v>4.643342072454308</v>
      </c>
      <c r="AB126" s="11">
        <v>4.6568516195534748</v>
      </c>
      <c r="AC126" s="11">
        <v>4.6703611666526434</v>
      </c>
      <c r="AD126" s="11">
        <v>4.6838707137518112</v>
      </c>
      <c r="AE126" s="11">
        <v>4.6838707137518112</v>
      </c>
      <c r="AF126" s="11">
        <v>4.6838707137518112</v>
      </c>
      <c r="AG126" s="11">
        <v>4.6838707137518112</v>
      </c>
      <c r="AH126" s="11">
        <v>4.6838707137518112</v>
      </c>
      <c r="AI126" s="11">
        <v>4.6838707137518112</v>
      </c>
      <c r="AJ126" s="11">
        <v>4.6838707137518112</v>
      </c>
      <c r="AK126" s="11">
        <v>4.6838707137518112</v>
      </c>
      <c r="AL126" s="11">
        <v>4.6838707137518112</v>
      </c>
      <c r="AM126" s="11">
        <v>4.6838707137518112</v>
      </c>
      <c r="AN126" s="11">
        <v>4.6838707137518112</v>
      </c>
    </row>
    <row r="127" spans="1:40" x14ac:dyDescent="0.2">
      <c r="A127" s="6" t="s">
        <v>9</v>
      </c>
      <c r="B127" s="11">
        <v>41.18160184203753</v>
      </c>
      <c r="C127" s="11">
        <v>41.322419961196807</v>
      </c>
      <c r="D127" s="11">
        <v>41.463238080356071</v>
      </c>
      <c r="E127" s="11">
        <v>41.604056199515341</v>
      </c>
      <c r="F127" s="11">
        <v>41.980742702075155</v>
      </c>
      <c r="G127" s="11">
        <v>42.357429204634961</v>
      </c>
      <c r="H127" s="11">
        <v>42.734115707194782</v>
      </c>
      <c r="I127" s="11">
        <v>43.110802209754588</v>
      </c>
      <c r="J127" s="11">
        <v>43.487488712314402</v>
      </c>
      <c r="K127" s="11">
        <v>43.803876260896665</v>
      </c>
      <c r="L127" s="11">
        <v>44.120263809478928</v>
      </c>
      <c r="M127" s="11">
        <v>44.436651358061184</v>
      </c>
      <c r="N127" s="11">
        <v>44.75303890664344</v>
      </c>
      <c r="O127" s="11">
        <v>45.06942645522571</v>
      </c>
      <c r="P127" s="11">
        <v>45.324817972813015</v>
      </c>
      <c r="Q127" s="11">
        <v>45.580209490400328</v>
      </c>
      <c r="R127" s="11">
        <v>45.835601007987641</v>
      </c>
      <c r="S127" s="11">
        <v>46.090992525574954</v>
      </c>
      <c r="T127" s="11">
        <v>46.346384043162253</v>
      </c>
      <c r="U127" s="11">
        <v>46.5421184313266</v>
      </c>
      <c r="V127" s="11">
        <v>46.737852819490953</v>
      </c>
      <c r="W127" s="11">
        <v>46.933587207655293</v>
      </c>
      <c r="X127" s="11">
        <v>47.129321595819661</v>
      </c>
      <c r="Y127" s="11">
        <v>47.325055983984008</v>
      </c>
      <c r="Z127" s="11">
        <v>47.46355150862513</v>
      </c>
      <c r="AA127" s="11">
        <v>47.602047033266253</v>
      </c>
      <c r="AB127" s="11">
        <v>47.740542557907361</v>
      </c>
      <c r="AC127" s="11">
        <v>47.879038082548476</v>
      </c>
      <c r="AD127" s="11">
        <v>48.017533607189598</v>
      </c>
      <c r="AE127" s="11">
        <v>48.017533607189598</v>
      </c>
      <c r="AF127" s="11">
        <v>48.017533607189598</v>
      </c>
      <c r="AG127" s="11">
        <v>48.017533607189598</v>
      </c>
      <c r="AH127" s="11">
        <v>48.017533607189598</v>
      </c>
      <c r="AI127" s="11">
        <v>48.017533607189598</v>
      </c>
      <c r="AJ127" s="11">
        <v>48.017533607189598</v>
      </c>
      <c r="AK127" s="11">
        <v>48.017533607189598</v>
      </c>
      <c r="AL127" s="11">
        <v>48.017533607189598</v>
      </c>
      <c r="AM127" s="11">
        <v>48.017533607189598</v>
      </c>
      <c r="AN127" s="11">
        <v>48.017533607189598</v>
      </c>
    </row>
    <row r="128" spans="1:40" x14ac:dyDescent="0.2">
      <c r="A128" s="6" t="s">
        <v>10</v>
      </c>
      <c r="B128" s="11">
        <v>3.5767979458246869E-2</v>
      </c>
      <c r="C128" s="11">
        <v>3.589028600700031E-2</v>
      </c>
      <c r="D128" s="11">
        <v>3.6012592555753738E-2</v>
      </c>
      <c r="E128" s="11">
        <v>3.6134899104507179E-2</v>
      </c>
      <c r="F128" s="11">
        <v>3.6462067414701579E-2</v>
      </c>
      <c r="G128" s="11">
        <v>3.678923572489598E-2</v>
      </c>
      <c r="H128" s="11">
        <v>3.7116404035090388E-2</v>
      </c>
      <c r="I128" s="11">
        <v>3.7443572345284788E-2</v>
      </c>
      <c r="J128" s="11">
        <v>3.7770740655479196E-2</v>
      </c>
      <c r="K128" s="11">
        <v>3.8045536749665688E-2</v>
      </c>
      <c r="L128" s="11">
        <v>3.8320332843852195E-2</v>
      </c>
      <c r="M128" s="11">
        <v>3.8595128938038688E-2</v>
      </c>
      <c r="N128" s="11">
        <v>3.886992503222518E-2</v>
      </c>
      <c r="O128" s="11">
        <v>3.9144721126411687E-2</v>
      </c>
      <c r="P128" s="11">
        <v>3.9366539563438788E-2</v>
      </c>
      <c r="Q128" s="11">
        <v>3.9588358000465895E-2</v>
      </c>
      <c r="R128" s="11">
        <v>3.981017643749301E-2</v>
      </c>
      <c r="S128" s="11">
        <v>4.0031994874520117E-2</v>
      </c>
      <c r="T128" s="11">
        <v>4.0253813311547218E-2</v>
      </c>
      <c r="U128" s="11">
        <v>4.0423816984594935E-2</v>
      </c>
      <c r="V128" s="11">
        <v>4.0593820657642658E-2</v>
      </c>
      <c r="W128" s="11">
        <v>4.0763824330690368E-2</v>
      </c>
      <c r="X128" s="11">
        <v>4.0933828003738092E-2</v>
      </c>
      <c r="Y128" s="11">
        <v>4.1103831676785801E-2</v>
      </c>
      <c r="Z128" s="11">
        <v>4.1224120953036493E-2</v>
      </c>
      <c r="AA128" s="11">
        <v>4.1344410229287178E-2</v>
      </c>
      <c r="AB128" s="11">
        <v>4.1464699505537862E-2</v>
      </c>
      <c r="AC128" s="11">
        <v>4.1584988781788554E-2</v>
      </c>
      <c r="AD128" s="11">
        <v>4.1705278058039232E-2</v>
      </c>
      <c r="AE128" s="11">
        <v>4.1705278058039232E-2</v>
      </c>
      <c r="AF128" s="11">
        <v>4.1705278058039232E-2</v>
      </c>
      <c r="AG128" s="11">
        <v>4.1705278058039232E-2</v>
      </c>
      <c r="AH128" s="11">
        <v>4.1705278058039232E-2</v>
      </c>
      <c r="AI128" s="11">
        <v>4.1705278058039232E-2</v>
      </c>
      <c r="AJ128" s="11">
        <v>4.1705278058039232E-2</v>
      </c>
      <c r="AK128" s="11">
        <v>4.1705278058039232E-2</v>
      </c>
      <c r="AL128" s="11">
        <v>4.1705278058039232E-2</v>
      </c>
      <c r="AM128" s="11">
        <v>4.1705278058039232E-2</v>
      </c>
      <c r="AN128" s="11">
        <v>4.1705278058039232E-2</v>
      </c>
    </row>
    <row r="129" spans="1:40" x14ac:dyDescent="0.2">
      <c r="A129" s="6" t="s">
        <v>44</v>
      </c>
      <c r="B129" s="11">
        <v>65.309760586731954</v>
      </c>
      <c r="C129" s="11">
        <v>65.533083557116711</v>
      </c>
      <c r="D129" s="11">
        <v>65.756406527501454</v>
      </c>
      <c r="E129" s="11">
        <v>65.979729497886197</v>
      </c>
      <c r="F129" s="11">
        <v>66.577115325489487</v>
      </c>
      <c r="G129" s="11">
        <v>67.174501153092777</v>
      </c>
      <c r="H129" s="11">
        <v>67.771886980696053</v>
      </c>
      <c r="I129" s="11">
        <v>68.369272808299343</v>
      </c>
      <c r="J129" s="11">
        <v>68.966658635902633</v>
      </c>
      <c r="K129" s="11">
        <v>69.46841655998216</v>
      </c>
      <c r="L129" s="11">
        <v>69.970174484061701</v>
      </c>
      <c r="M129" s="11">
        <v>70.471932408141228</v>
      </c>
      <c r="N129" s="11">
        <v>70.973690332220741</v>
      </c>
      <c r="O129" s="11">
        <v>71.475448256300282</v>
      </c>
      <c r="P129" s="11">
        <v>71.880472784813961</v>
      </c>
      <c r="Q129" s="11">
        <v>72.285497313327653</v>
      </c>
      <c r="R129" s="11">
        <v>72.690521841841331</v>
      </c>
      <c r="S129" s="11">
        <v>73.095546370355009</v>
      </c>
      <c r="T129" s="11">
        <v>73.500570898868688</v>
      </c>
      <c r="U129" s="11">
        <v>73.810985391210139</v>
      </c>
      <c r="V129" s="11">
        <v>74.121399883551604</v>
      </c>
      <c r="W129" s="11">
        <v>74.431814375893055</v>
      </c>
      <c r="X129" s="11">
        <v>74.74222886823452</v>
      </c>
      <c r="Y129" s="11">
        <v>75.052643360575985</v>
      </c>
      <c r="Z129" s="11">
        <v>75.272282936310319</v>
      </c>
      <c r="AA129" s="11">
        <v>75.491922512044653</v>
      </c>
      <c r="AB129" s="11">
        <v>75.711562087778972</v>
      </c>
      <c r="AC129" s="11">
        <v>75.931201663513306</v>
      </c>
      <c r="AD129" s="11">
        <v>76.15084123924764</v>
      </c>
      <c r="AE129" s="11">
        <v>76.15084123924764</v>
      </c>
      <c r="AF129" s="11">
        <v>76.15084123924764</v>
      </c>
      <c r="AG129" s="11">
        <v>76.15084123924764</v>
      </c>
      <c r="AH129" s="11">
        <v>76.15084123924764</v>
      </c>
      <c r="AI129" s="11">
        <v>76.15084123924764</v>
      </c>
      <c r="AJ129" s="11">
        <v>76.15084123924764</v>
      </c>
      <c r="AK129" s="11">
        <v>76.15084123924764</v>
      </c>
      <c r="AL129" s="11">
        <v>76.15084123924764</v>
      </c>
      <c r="AM129" s="11">
        <v>76.15084123924764</v>
      </c>
      <c r="AN129" s="11">
        <v>76.15084123924764</v>
      </c>
    </row>
    <row r="131" spans="1:40" x14ac:dyDescent="0.2">
      <c r="A131" s="5" t="s">
        <v>3</v>
      </c>
    </row>
    <row r="132" spans="1:40" x14ac:dyDescent="0.2">
      <c r="A132" s="5" t="s">
        <v>4</v>
      </c>
    </row>
    <row r="133" spans="1:40" x14ac:dyDescent="0.2">
      <c r="A133" s="5" t="s">
        <v>62</v>
      </c>
    </row>
    <row r="134" spans="1:40" x14ac:dyDescent="0.2">
      <c r="A134" s="5" t="s">
        <v>6</v>
      </c>
    </row>
    <row r="135" spans="1:40" x14ac:dyDescent="0.2">
      <c r="A135" s="5"/>
    </row>
    <row r="136" spans="1:40" x14ac:dyDescent="0.2">
      <c r="A136" s="6" t="s">
        <v>7</v>
      </c>
      <c r="B136" s="6">
        <v>2022</v>
      </c>
      <c r="C136" s="6">
        <v>2023</v>
      </c>
      <c r="D136" s="6">
        <v>2024</v>
      </c>
      <c r="E136" s="6">
        <v>2025</v>
      </c>
      <c r="F136" s="6">
        <v>2026</v>
      </c>
      <c r="G136" s="6">
        <v>2027</v>
      </c>
      <c r="H136" s="6">
        <v>2028</v>
      </c>
      <c r="I136" s="6">
        <v>2029</v>
      </c>
      <c r="J136" s="6">
        <v>2030</v>
      </c>
      <c r="K136" s="6">
        <v>2031</v>
      </c>
      <c r="L136" s="6">
        <v>2032</v>
      </c>
      <c r="M136" s="6">
        <v>2033</v>
      </c>
      <c r="N136" s="6">
        <v>2034</v>
      </c>
      <c r="O136" s="6">
        <v>2035</v>
      </c>
      <c r="P136" s="6">
        <v>2036</v>
      </c>
      <c r="Q136" s="6">
        <v>2037</v>
      </c>
      <c r="R136" s="6">
        <v>2038</v>
      </c>
      <c r="S136" s="6">
        <v>2039</v>
      </c>
      <c r="T136" s="6">
        <v>2040</v>
      </c>
      <c r="U136" s="6">
        <v>2041</v>
      </c>
      <c r="V136" s="6">
        <v>2042</v>
      </c>
      <c r="W136" s="6">
        <v>2043</v>
      </c>
      <c r="X136" s="6">
        <v>2044</v>
      </c>
      <c r="Y136" s="6">
        <v>2045</v>
      </c>
      <c r="Z136" s="6">
        <v>2046</v>
      </c>
      <c r="AA136" s="6">
        <v>2047</v>
      </c>
      <c r="AB136" s="6">
        <v>2048</v>
      </c>
      <c r="AC136" s="6">
        <v>2049</v>
      </c>
      <c r="AD136" s="6">
        <v>2050</v>
      </c>
      <c r="AE136" s="6">
        <v>2051</v>
      </c>
      <c r="AF136" s="6">
        <v>2052</v>
      </c>
      <c r="AG136" s="6">
        <v>2053</v>
      </c>
      <c r="AH136" s="6">
        <v>2054</v>
      </c>
      <c r="AI136" s="6">
        <v>2055</v>
      </c>
      <c r="AJ136" s="6">
        <v>2056</v>
      </c>
      <c r="AK136" s="6">
        <v>2057</v>
      </c>
      <c r="AL136" s="6">
        <v>2058</v>
      </c>
      <c r="AM136" s="6">
        <v>2059</v>
      </c>
      <c r="AN136" s="6">
        <v>2060</v>
      </c>
    </row>
    <row r="137" spans="1:40" x14ac:dyDescent="0.2">
      <c r="A137" s="6" t="s">
        <v>40</v>
      </c>
      <c r="B137" s="11">
        <v>688.23198160573872</v>
      </c>
      <c r="C137" s="11">
        <v>690.58535128685821</v>
      </c>
      <c r="D137" s="11">
        <v>692.93872096797736</v>
      </c>
      <c r="E137" s="11">
        <v>695.29209064909674</v>
      </c>
      <c r="F137" s="11">
        <v>701.58732168686174</v>
      </c>
      <c r="G137" s="11">
        <v>707.88255272462663</v>
      </c>
      <c r="H137" s="11">
        <v>714.17778376239153</v>
      </c>
      <c r="I137" s="11">
        <v>720.47301480015665</v>
      </c>
      <c r="J137" s="11">
        <v>726.76824583792154</v>
      </c>
      <c r="K137" s="11">
        <v>732.05575336012487</v>
      </c>
      <c r="L137" s="11">
        <v>737.34326088232808</v>
      </c>
      <c r="M137" s="11">
        <v>742.63076840453118</v>
      </c>
      <c r="N137" s="11">
        <v>747.9182759267344</v>
      </c>
      <c r="O137" s="11">
        <v>753.20578344893772</v>
      </c>
      <c r="P137" s="11">
        <v>757.47391781895601</v>
      </c>
      <c r="Q137" s="11">
        <v>761.74205218897453</v>
      </c>
      <c r="R137" s="11">
        <v>766.01018655899281</v>
      </c>
      <c r="S137" s="11">
        <v>770.2783209290111</v>
      </c>
      <c r="T137" s="11">
        <v>774.54645529902939</v>
      </c>
      <c r="U137" s="11">
        <v>777.81759240417296</v>
      </c>
      <c r="V137" s="11">
        <v>781.08872950931652</v>
      </c>
      <c r="W137" s="11">
        <v>784.35986661445997</v>
      </c>
      <c r="X137" s="11">
        <v>787.63100371960388</v>
      </c>
      <c r="Y137" s="11">
        <v>790.90214082474745</v>
      </c>
      <c r="Z137" s="11">
        <v>793.21669502137365</v>
      </c>
      <c r="AA137" s="11">
        <v>795.53124921799997</v>
      </c>
      <c r="AB137" s="11">
        <v>797.84580341462618</v>
      </c>
      <c r="AC137" s="11">
        <v>800.16035761125249</v>
      </c>
      <c r="AD137" s="11">
        <v>802.47491180787893</v>
      </c>
      <c r="AE137" s="11">
        <v>802.47491180787893</v>
      </c>
      <c r="AF137" s="11">
        <v>802.47491180787893</v>
      </c>
      <c r="AG137" s="11">
        <v>802.47491180787893</v>
      </c>
      <c r="AH137" s="11">
        <v>802.47491180787893</v>
      </c>
      <c r="AI137" s="11">
        <v>802.47491180787893</v>
      </c>
      <c r="AJ137" s="11">
        <v>802.47491180787893</v>
      </c>
      <c r="AK137" s="11">
        <v>802.47491180787893</v>
      </c>
      <c r="AL137" s="11">
        <v>802.47491180787893</v>
      </c>
      <c r="AM137" s="11">
        <v>802.47491180787893</v>
      </c>
      <c r="AN137" s="11">
        <v>802.47491180787893</v>
      </c>
    </row>
    <row r="138" spans="1:40" x14ac:dyDescent="0.2">
      <c r="A138" s="6" t="s">
        <v>41</v>
      </c>
      <c r="B138" s="11">
        <v>420.41568053757089</v>
      </c>
      <c r="C138" s="11">
        <v>421.85326777920983</v>
      </c>
      <c r="D138" s="11">
        <v>423.2908550208486</v>
      </c>
      <c r="E138" s="11">
        <v>424.72844226248753</v>
      </c>
      <c r="F138" s="11">
        <v>428.57396806137342</v>
      </c>
      <c r="G138" s="11">
        <v>432.41949386025919</v>
      </c>
      <c r="H138" s="11">
        <v>436.26501965914503</v>
      </c>
      <c r="I138" s="11">
        <v>440.11054545803097</v>
      </c>
      <c r="J138" s="11">
        <v>443.95607125691686</v>
      </c>
      <c r="K138" s="11">
        <v>447.18601571272097</v>
      </c>
      <c r="L138" s="11">
        <v>450.41596016852515</v>
      </c>
      <c r="M138" s="11">
        <v>453.64590462432938</v>
      </c>
      <c r="N138" s="11">
        <v>456.87584908013349</v>
      </c>
      <c r="O138" s="11">
        <v>460.10579353593778</v>
      </c>
      <c r="P138" s="11">
        <v>462.71304031283194</v>
      </c>
      <c r="Q138" s="11">
        <v>465.32028708972621</v>
      </c>
      <c r="R138" s="11">
        <v>467.92753386662037</v>
      </c>
      <c r="S138" s="11">
        <v>470.53478064351447</v>
      </c>
      <c r="T138" s="11">
        <v>473.14202742040868</v>
      </c>
      <c r="U138" s="11">
        <v>475.14024512744112</v>
      </c>
      <c r="V138" s="11">
        <v>477.13846283447367</v>
      </c>
      <c r="W138" s="11">
        <v>479.136680541506</v>
      </c>
      <c r="X138" s="11">
        <v>481.13489824853866</v>
      </c>
      <c r="Y138" s="11">
        <v>483.13311595557116</v>
      </c>
      <c r="Z138" s="11">
        <v>484.54699224107213</v>
      </c>
      <c r="AA138" s="11">
        <v>485.96086852657322</v>
      </c>
      <c r="AB138" s="11">
        <v>487.3747448120742</v>
      </c>
      <c r="AC138" s="11">
        <v>488.78862109757529</v>
      </c>
      <c r="AD138" s="11">
        <v>490.20249738307626</v>
      </c>
      <c r="AE138" s="11">
        <v>490.20249738307626</v>
      </c>
      <c r="AF138" s="11">
        <v>490.20249738307626</v>
      </c>
      <c r="AG138" s="11">
        <v>490.20249738307626</v>
      </c>
      <c r="AH138" s="11">
        <v>490.20249738307626</v>
      </c>
      <c r="AI138" s="11">
        <v>490.20249738307626</v>
      </c>
      <c r="AJ138" s="11">
        <v>490.20249738307626</v>
      </c>
      <c r="AK138" s="11">
        <v>490.20249738307626</v>
      </c>
      <c r="AL138" s="11">
        <v>490.20249738307626</v>
      </c>
      <c r="AM138" s="11">
        <v>490.20249738307626</v>
      </c>
      <c r="AN138" s="11">
        <v>490.20249738307626</v>
      </c>
    </row>
    <row r="139" spans="1:40" x14ac:dyDescent="0.2">
      <c r="A139" s="6" t="s">
        <v>42</v>
      </c>
      <c r="B139" s="11">
        <v>326.45484671979852</v>
      </c>
      <c r="C139" s="11">
        <v>327.57114029385241</v>
      </c>
      <c r="D139" s="11">
        <v>328.68743386790624</v>
      </c>
      <c r="E139" s="11">
        <v>329.80372744196006</v>
      </c>
      <c r="F139" s="11">
        <v>332.78979716616038</v>
      </c>
      <c r="G139" s="11">
        <v>335.77586689036065</v>
      </c>
      <c r="H139" s="11">
        <v>338.76193661456102</v>
      </c>
      <c r="I139" s="11">
        <v>341.74800633876134</v>
      </c>
      <c r="J139" s="11">
        <v>344.73407606296166</v>
      </c>
      <c r="K139" s="11">
        <v>347.24214384217657</v>
      </c>
      <c r="L139" s="11">
        <v>349.75021162139166</v>
      </c>
      <c r="M139" s="11">
        <v>352.25827940060657</v>
      </c>
      <c r="N139" s="11">
        <v>354.76634717982148</v>
      </c>
      <c r="O139" s="11">
        <v>357.27441495903656</v>
      </c>
      <c r="P139" s="11">
        <v>359.29895492344355</v>
      </c>
      <c r="Q139" s="11">
        <v>361.32349488785059</v>
      </c>
      <c r="R139" s="11">
        <v>363.34803485225757</v>
      </c>
      <c r="S139" s="11">
        <v>365.3725748166645</v>
      </c>
      <c r="T139" s="11">
        <v>367.39711478107154</v>
      </c>
      <c r="U139" s="11">
        <v>368.94874067292204</v>
      </c>
      <c r="V139" s="11">
        <v>370.50036656477272</v>
      </c>
      <c r="W139" s="11">
        <v>372.05199245662322</v>
      </c>
      <c r="X139" s="11">
        <v>373.6036183484739</v>
      </c>
      <c r="Y139" s="11">
        <v>375.15524424032446</v>
      </c>
      <c r="Z139" s="11">
        <v>376.25312614014757</v>
      </c>
      <c r="AA139" s="11">
        <v>377.35100803997057</v>
      </c>
      <c r="AB139" s="11">
        <v>378.44888993979362</v>
      </c>
      <c r="AC139" s="11">
        <v>379.54677183961678</v>
      </c>
      <c r="AD139" s="11">
        <v>380.64465373943978</v>
      </c>
      <c r="AE139" s="11">
        <v>380.64465373943978</v>
      </c>
      <c r="AF139" s="11">
        <v>380.64465373943978</v>
      </c>
      <c r="AG139" s="11">
        <v>380.64465373943978</v>
      </c>
      <c r="AH139" s="11">
        <v>380.64465373943978</v>
      </c>
      <c r="AI139" s="11">
        <v>380.64465373943978</v>
      </c>
      <c r="AJ139" s="11">
        <v>380.64465373943978</v>
      </c>
      <c r="AK139" s="11">
        <v>380.64465373943978</v>
      </c>
      <c r="AL139" s="11">
        <v>380.64465373943978</v>
      </c>
      <c r="AM139" s="11">
        <v>380.64465373943978</v>
      </c>
      <c r="AN139" s="11">
        <v>380.64465373943978</v>
      </c>
    </row>
    <row r="140" spans="1:40" x14ac:dyDescent="0.2">
      <c r="A140" s="6" t="s">
        <v>43</v>
      </c>
      <c r="B140" s="11">
        <v>22.894173696100953</v>
      </c>
      <c r="C140" s="11">
        <v>22.972459006418816</v>
      </c>
      <c r="D140" s="11">
        <v>23.050744316736676</v>
      </c>
      <c r="E140" s="11">
        <v>23.129029627054539</v>
      </c>
      <c r="F140" s="11">
        <v>23.338441739086036</v>
      </c>
      <c r="G140" s="11">
        <v>23.54785385111753</v>
      </c>
      <c r="H140" s="11">
        <v>23.75726596314902</v>
      </c>
      <c r="I140" s="11">
        <v>23.966678075180514</v>
      </c>
      <c r="J140" s="11">
        <v>24.176090187212008</v>
      </c>
      <c r="K140" s="11">
        <v>24.351980176151965</v>
      </c>
      <c r="L140" s="11">
        <v>24.52787016509193</v>
      </c>
      <c r="M140" s="11">
        <v>24.703760154031887</v>
      </c>
      <c r="N140" s="11">
        <v>24.879650142971848</v>
      </c>
      <c r="O140" s="11">
        <v>25.055540131911808</v>
      </c>
      <c r="P140" s="11">
        <v>25.197520470281898</v>
      </c>
      <c r="Q140" s="11">
        <v>25.339500808651987</v>
      </c>
      <c r="R140" s="11">
        <v>25.481481147022077</v>
      </c>
      <c r="S140" s="11">
        <v>25.623461485392159</v>
      </c>
      <c r="T140" s="11">
        <v>25.765441823762245</v>
      </c>
      <c r="U140" s="11">
        <v>25.874256849902395</v>
      </c>
      <c r="V140" s="11">
        <v>25.983071876042551</v>
      </c>
      <c r="W140" s="11">
        <v>26.091886902182701</v>
      </c>
      <c r="X140" s="11">
        <v>26.200701928322861</v>
      </c>
      <c r="Y140" s="11">
        <v>26.309516954463014</v>
      </c>
      <c r="Z140" s="11">
        <v>26.386511059972278</v>
      </c>
      <c r="AA140" s="11">
        <v>26.463505165481543</v>
      </c>
      <c r="AB140" s="11">
        <v>26.540499270990804</v>
      </c>
      <c r="AC140" s="11">
        <v>26.617493376500068</v>
      </c>
      <c r="AD140" s="11">
        <v>26.694487482009333</v>
      </c>
      <c r="AE140" s="11">
        <v>26.694487482009333</v>
      </c>
      <c r="AF140" s="11">
        <v>26.694487482009333</v>
      </c>
      <c r="AG140" s="11">
        <v>26.694487482009333</v>
      </c>
      <c r="AH140" s="11">
        <v>26.694487482009333</v>
      </c>
      <c r="AI140" s="11">
        <v>26.694487482009333</v>
      </c>
      <c r="AJ140" s="11">
        <v>26.694487482009333</v>
      </c>
      <c r="AK140" s="11">
        <v>26.694487482009333</v>
      </c>
      <c r="AL140" s="11">
        <v>26.694487482009333</v>
      </c>
      <c r="AM140" s="11">
        <v>26.694487482009333</v>
      </c>
      <c r="AN140" s="11">
        <v>26.694487482009333</v>
      </c>
    </row>
    <row r="141" spans="1:40" x14ac:dyDescent="0.2">
      <c r="A141" s="6" t="s">
        <v>8</v>
      </c>
      <c r="B141" s="11">
        <v>17.509279233533785</v>
      </c>
      <c r="C141" s="11">
        <v>17.569151206920314</v>
      </c>
      <c r="D141" s="11">
        <v>17.629023180306827</v>
      </c>
      <c r="E141" s="11">
        <v>17.688895153693348</v>
      </c>
      <c r="F141" s="11">
        <v>17.849051846532099</v>
      </c>
      <c r="G141" s="11">
        <v>18.009208539370853</v>
      </c>
      <c r="H141" s="11">
        <v>18.169365232209604</v>
      </c>
      <c r="I141" s="11">
        <v>18.329521925048354</v>
      </c>
      <c r="J141" s="11">
        <v>18.489678617887108</v>
      </c>
      <c r="K141" s="11">
        <v>18.624197861586975</v>
      </c>
      <c r="L141" s="11">
        <v>18.758717105286845</v>
      </c>
      <c r="M141" s="11">
        <v>18.893236348986715</v>
      </c>
      <c r="N141" s="11">
        <v>19.027755592686582</v>
      </c>
      <c r="O141" s="11">
        <v>19.162274836386455</v>
      </c>
      <c r="P141" s="11">
        <v>19.270860253060253</v>
      </c>
      <c r="Q141" s="11">
        <v>19.379445669734061</v>
      </c>
      <c r="R141" s="11">
        <v>19.488031086407858</v>
      </c>
      <c r="S141" s="11">
        <v>19.596616503081655</v>
      </c>
      <c r="T141" s="11">
        <v>19.705201919755453</v>
      </c>
      <c r="U141" s="11">
        <v>19.788422773357023</v>
      </c>
      <c r="V141" s="11">
        <v>19.871643626958601</v>
      </c>
      <c r="W141" s="11">
        <v>19.954864480560172</v>
      </c>
      <c r="X141" s="11">
        <v>20.038085334161757</v>
      </c>
      <c r="Y141" s="11">
        <v>20.121306187763324</v>
      </c>
      <c r="Z141" s="11">
        <v>20.180190658135253</v>
      </c>
      <c r="AA141" s="11">
        <v>20.239075128507181</v>
      </c>
      <c r="AB141" s="11">
        <v>20.29795959887911</v>
      </c>
      <c r="AC141" s="11">
        <v>20.356844069251043</v>
      </c>
      <c r="AD141" s="11">
        <v>20.415728539622972</v>
      </c>
      <c r="AE141" s="11">
        <v>20.415728539622972</v>
      </c>
      <c r="AF141" s="11">
        <v>20.415728539622972</v>
      </c>
      <c r="AG141" s="11">
        <v>20.415728539622972</v>
      </c>
      <c r="AH141" s="11">
        <v>20.415728539622972</v>
      </c>
      <c r="AI141" s="11">
        <v>20.415728539622972</v>
      </c>
      <c r="AJ141" s="11">
        <v>20.415728539622972</v>
      </c>
      <c r="AK141" s="11">
        <v>20.415728539622972</v>
      </c>
      <c r="AL141" s="11">
        <v>20.415728539622972</v>
      </c>
      <c r="AM141" s="11">
        <v>20.415728539622972</v>
      </c>
      <c r="AN141" s="11">
        <v>20.415728539622972</v>
      </c>
    </row>
    <row r="142" spans="1:40" x14ac:dyDescent="0.2">
      <c r="A142" s="6" t="s">
        <v>9</v>
      </c>
      <c r="B142" s="11">
        <v>179.49948993370646</v>
      </c>
      <c r="C142" s="11">
        <v>180.11327811658165</v>
      </c>
      <c r="D142" s="11">
        <v>180.72706629945677</v>
      </c>
      <c r="E142" s="11">
        <v>181.34085448233196</v>
      </c>
      <c r="F142" s="11">
        <v>182.98272930142599</v>
      </c>
      <c r="G142" s="11">
        <v>184.62460412052002</v>
      </c>
      <c r="H142" s="11">
        <v>186.26647893961407</v>
      </c>
      <c r="I142" s="11">
        <v>187.90835375870807</v>
      </c>
      <c r="J142" s="11">
        <v>189.55022857780213</v>
      </c>
      <c r="K142" s="11">
        <v>190.92927652765431</v>
      </c>
      <c r="L142" s="11">
        <v>192.30832447750655</v>
      </c>
      <c r="M142" s="11">
        <v>193.68737242735872</v>
      </c>
      <c r="N142" s="11">
        <v>195.06642037721093</v>
      </c>
      <c r="O142" s="11">
        <v>196.44546832706317</v>
      </c>
      <c r="P142" s="11">
        <v>197.55865103705483</v>
      </c>
      <c r="Q142" s="11">
        <v>198.67183374704652</v>
      </c>
      <c r="R142" s="11">
        <v>199.78501645703815</v>
      </c>
      <c r="S142" s="11">
        <v>200.89819916702982</v>
      </c>
      <c r="T142" s="11">
        <v>202.01138187702151</v>
      </c>
      <c r="U142" s="11">
        <v>202.86453525781403</v>
      </c>
      <c r="V142" s="11">
        <v>203.7176886386066</v>
      </c>
      <c r="W142" s="11">
        <v>204.57084201939909</v>
      </c>
      <c r="X142" s="11">
        <v>205.42399540019173</v>
      </c>
      <c r="Y142" s="11">
        <v>206.27714878098428</v>
      </c>
      <c r="Z142" s="11">
        <v>206.88081340108664</v>
      </c>
      <c r="AA142" s="11">
        <v>207.48447802118906</v>
      </c>
      <c r="AB142" s="11">
        <v>208.08814264129143</v>
      </c>
      <c r="AC142" s="11">
        <v>208.69180726139382</v>
      </c>
      <c r="AD142" s="11">
        <v>209.29547188149618</v>
      </c>
      <c r="AE142" s="11">
        <v>209.29547188149618</v>
      </c>
      <c r="AF142" s="11">
        <v>209.29547188149618</v>
      </c>
      <c r="AG142" s="11">
        <v>209.29547188149618</v>
      </c>
      <c r="AH142" s="11">
        <v>209.29547188149618</v>
      </c>
      <c r="AI142" s="11">
        <v>209.29547188149618</v>
      </c>
      <c r="AJ142" s="11">
        <v>209.29547188149618</v>
      </c>
      <c r="AK142" s="11">
        <v>209.29547188149618</v>
      </c>
      <c r="AL142" s="11">
        <v>209.29547188149618</v>
      </c>
      <c r="AM142" s="11">
        <v>209.29547188149618</v>
      </c>
      <c r="AN142" s="11">
        <v>209.29547188149618</v>
      </c>
    </row>
    <row r="143" spans="1:40" x14ac:dyDescent="0.2">
      <c r="A143" s="6" t="s">
        <v>10</v>
      </c>
      <c r="B143" s="11">
        <v>0.15590297078150142</v>
      </c>
      <c r="C143" s="11">
        <v>0.15643607202416326</v>
      </c>
      <c r="D143" s="11">
        <v>0.156969173266825</v>
      </c>
      <c r="E143" s="11">
        <v>0.15750227450948684</v>
      </c>
      <c r="F143" s="11">
        <v>0.15892831289011197</v>
      </c>
      <c r="G143" s="11">
        <v>0.16035435127073708</v>
      </c>
      <c r="H143" s="11">
        <v>0.16178038965136221</v>
      </c>
      <c r="I143" s="11">
        <v>0.16320642803198737</v>
      </c>
      <c r="J143" s="11">
        <v>0.1646324664126125</v>
      </c>
      <c r="K143" s="11">
        <v>0.16583022843584441</v>
      </c>
      <c r="L143" s="11">
        <v>0.1670279904590764</v>
      </c>
      <c r="M143" s="11">
        <v>0.16822575248230831</v>
      </c>
      <c r="N143" s="11">
        <v>0.16942351450554022</v>
      </c>
      <c r="O143" s="11">
        <v>0.17062127652877221</v>
      </c>
      <c r="P143" s="11">
        <v>0.17158812324000464</v>
      </c>
      <c r="Q143" s="11">
        <v>0.17255496995123712</v>
      </c>
      <c r="R143" s="11">
        <v>0.17352181666246952</v>
      </c>
      <c r="S143" s="11">
        <v>0.17448866337370195</v>
      </c>
      <c r="T143" s="11">
        <v>0.17545551008493437</v>
      </c>
      <c r="U143" s="11">
        <v>0.17619651022174235</v>
      </c>
      <c r="V143" s="11">
        <v>0.17693751035855038</v>
      </c>
      <c r="W143" s="11">
        <v>0.17767851049535832</v>
      </c>
      <c r="X143" s="11">
        <v>0.17841951063216635</v>
      </c>
      <c r="Y143" s="11">
        <v>0.17916051076897432</v>
      </c>
      <c r="Z143" s="11">
        <v>0.17968481926514002</v>
      </c>
      <c r="AA143" s="11">
        <v>0.18020912776130568</v>
      </c>
      <c r="AB143" s="11">
        <v>0.18073343625747137</v>
      </c>
      <c r="AC143" s="11">
        <v>0.18125774475363707</v>
      </c>
      <c r="AD143" s="11">
        <v>0.18178205324980271</v>
      </c>
      <c r="AE143" s="11">
        <v>0.18178205324980271</v>
      </c>
      <c r="AF143" s="11">
        <v>0.18178205324980271</v>
      </c>
      <c r="AG143" s="11">
        <v>0.18178205324980271</v>
      </c>
      <c r="AH143" s="11">
        <v>0.18178205324980271</v>
      </c>
      <c r="AI143" s="11">
        <v>0.18178205324980271</v>
      </c>
      <c r="AJ143" s="11">
        <v>0.18178205324980271</v>
      </c>
      <c r="AK143" s="11">
        <v>0.18178205324980271</v>
      </c>
      <c r="AL143" s="11">
        <v>0.18178205324980271</v>
      </c>
      <c r="AM143" s="11">
        <v>0.18178205324980271</v>
      </c>
      <c r="AN143" s="11">
        <v>0.18178205324980271</v>
      </c>
    </row>
    <row r="144" spans="1:40" x14ac:dyDescent="0.2">
      <c r="A144" s="6" t="s">
        <v>44</v>
      </c>
      <c r="B144" s="11">
        <v>284.66762312883486</v>
      </c>
      <c r="C144" s="11">
        <v>285.64102769498805</v>
      </c>
      <c r="D144" s="11">
        <v>286.61443226114119</v>
      </c>
      <c r="E144" s="11">
        <v>287.58783682729444</v>
      </c>
      <c r="F144" s="11">
        <v>290.19168045046689</v>
      </c>
      <c r="G144" s="11">
        <v>292.79552407363923</v>
      </c>
      <c r="H144" s="11">
        <v>295.39936769681168</v>
      </c>
      <c r="I144" s="11">
        <v>298.00321131998413</v>
      </c>
      <c r="J144" s="11">
        <v>300.60705494315658</v>
      </c>
      <c r="K144" s="11">
        <v>302.79408233922385</v>
      </c>
      <c r="L144" s="11">
        <v>304.98110973529111</v>
      </c>
      <c r="M144" s="11">
        <v>307.16813713135838</v>
      </c>
      <c r="N144" s="11">
        <v>309.35516452742564</v>
      </c>
      <c r="O144" s="11">
        <v>311.54219192349302</v>
      </c>
      <c r="P144" s="11">
        <v>313.30758455095099</v>
      </c>
      <c r="Q144" s="11">
        <v>315.07297717840908</v>
      </c>
      <c r="R144" s="11">
        <v>316.8383698058671</v>
      </c>
      <c r="S144" s="11">
        <v>318.60376243332513</v>
      </c>
      <c r="T144" s="11">
        <v>320.36915506078316</v>
      </c>
      <c r="U144" s="11">
        <v>321.72216807025876</v>
      </c>
      <c r="V144" s="11">
        <v>323.07518107973448</v>
      </c>
      <c r="W144" s="11">
        <v>324.42819408921002</v>
      </c>
      <c r="X144" s="11">
        <v>325.78120709868574</v>
      </c>
      <c r="Y144" s="11">
        <v>327.1342201081614</v>
      </c>
      <c r="Z144" s="11">
        <v>328.09156975096528</v>
      </c>
      <c r="AA144" s="11">
        <v>329.04891939376921</v>
      </c>
      <c r="AB144" s="11">
        <v>330.00626903657309</v>
      </c>
      <c r="AC144" s="11">
        <v>330.96361867937702</v>
      </c>
      <c r="AD144" s="11">
        <v>331.9209683221809</v>
      </c>
      <c r="AE144" s="11">
        <v>331.9209683221809</v>
      </c>
      <c r="AF144" s="11">
        <v>331.9209683221809</v>
      </c>
      <c r="AG144" s="11">
        <v>331.9209683221809</v>
      </c>
      <c r="AH144" s="11">
        <v>331.9209683221809</v>
      </c>
      <c r="AI144" s="11">
        <v>331.9209683221809</v>
      </c>
      <c r="AJ144" s="11">
        <v>331.9209683221809</v>
      </c>
      <c r="AK144" s="11">
        <v>331.9209683221809</v>
      </c>
      <c r="AL144" s="11">
        <v>331.9209683221809</v>
      </c>
      <c r="AM144" s="11">
        <v>331.9209683221809</v>
      </c>
      <c r="AN144" s="11">
        <v>331.9209683221809</v>
      </c>
    </row>
    <row r="146" spans="1:40" x14ac:dyDescent="0.2">
      <c r="A146" s="5" t="s">
        <v>3</v>
      </c>
    </row>
    <row r="147" spans="1:40" x14ac:dyDescent="0.2">
      <c r="A147" s="5" t="s">
        <v>4</v>
      </c>
    </row>
    <row r="148" spans="1:40" x14ac:dyDescent="0.2">
      <c r="A148" s="5" t="s">
        <v>64</v>
      </c>
    </row>
    <row r="149" spans="1:40" x14ac:dyDescent="0.2">
      <c r="A149" s="5" t="s">
        <v>6</v>
      </c>
    </row>
    <row r="150" spans="1:40" x14ac:dyDescent="0.2">
      <c r="A150" s="5"/>
    </row>
    <row r="151" spans="1:40" x14ac:dyDescent="0.2">
      <c r="A151" s="6" t="s">
        <v>7</v>
      </c>
      <c r="B151" s="6">
        <v>2022</v>
      </c>
      <c r="C151" s="6">
        <v>2023</v>
      </c>
      <c r="D151" s="6">
        <v>2024</v>
      </c>
      <c r="E151" s="6">
        <v>2025</v>
      </c>
      <c r="F151" s="6">
        <v>2026</v>
      </c>
      <c r="G151" s="6">
        <v>2027</v>
      </c>
      <c r="H151" s="6">
        <v>2028</v>
      </c>
      <c r="I151" s="6">
        <v>2029</v>
      </c>
      <c r="J151" s="6">
        <v>2030</v>
      </c>
      <c r="K151" s="6">
        <v>2031</v>
      </c>
      <c r="L151" s="6">
        <v>2032</v>
      </c>
      <c r="M151" s="6">
        <v>2033</v>
      </c>
      <c r="N151" s="6">
        <v>2034</v>
      </c>
      <c r="O151" s="6">
        <v>2035</v>
      </c>
      <c r="P151" s="6">
        <v>2036</v>
      </c>
      <c r="Q151" s="6">
        <v>2037</v>
      </c>
      <c r="R151" s="6">
        <v>2038</v>
      </c>
      <c r="S151" s="6">
        <v>2039</v>
      </c>
      <c r="T151" s="6">
        <v>2040</v>
      </c>
      <c r="U151" s="6">
        <v>2041</v>
      </c>
      <c r="V151" s="6">
        <v>2042</v>
      </c>
      <c r="W151" s="6">
        <v>2043</v>
      </c>
      <c r="X151" s="6">
        <v>2044</v>
      </c>
      <c r="Y151" s="6">
        <v>2045</v>
      </c>
      <c r="Z151" s="6">
        <v>2046</v>
      </c>
      <c r="AA151" s="6">
        <v>2047</v>
      </c>
      <c r="AB151" s="6">
        <v>2048</v>
      </c>
      <c r="AC151" s="6">
        <v>2049</v>
      </c>
      <c r="AD151" s="6">
        <v>2050</v>
      </c>
      <c r="AE151" s="6">
        <v>2051</v>
      </c>
      <c r="AF151" s="6">
        <v>2052</v>
      </c>
      <c r="AG151" s="6">
        <v>2053</v>
      </c>
      <c r="AH151" s="6">
        <v>2054</v>
      </c>
      <c r="AI151" s="6">
        <v>2055</v>
      </c>
      <c r="AJ151" s="6">
        <v>2056</v>
      </c>
      <c r="AK151" s="6">
        <v>2057</v>
      </c>
      <c r="AL151" s="6">
        <v>2058</v>
      </c>
      <c r="AM151" s="6">
        <v>2059</v>
      </c>
      <c r="AN151" s="6">
        <v>2060</v>
      </c>
    </row>
    <row r="152" spans="1:40" x14ac:dyDescent="0.2">
      <c r="A152" s="6" t="s">
        <v>40</v>
      </c>
      <c r="B152" s="11">
        <v>1016.8924107920675</v>
      </c>
      <c r="C152" s="11">
        <v>1020.3696159096429</v>
      </c>
      <c r="D152" s="11">
        <v>1023.8468210272177</v>
      </c>
      <c r="E152" s="11">
        <v>1027.3240261447932</v>
      </c>
      <c r="F152" s="11">
        <v>1036.6255012833794</v>
      </c>
      <c r="G152" s="11">
        <v>1045.9269764219659</v>
      </c>
      <c r="H152" s="11">
        <v>1055.2284515605525</v>
      </c>
      <c r="I152" s="11">
        <v>1064.5299266991387</v>
      </c>
      <c r="J152" s="11">
        <v>1073.831401837725</v>
      </c>
      <c r="K152" s="11">
        <v>1081.6439220562561</v>
      </c>
      <c r="L152" s="11">
        <v>1089.4564422747872</v>
      </c>
      <c r="M152" s="11">
        <v>1097.268962493318</v>
      </c>
      <c r="N152" s="11">
        <v>1105.081482711849</v>
      </c>
      <c r="O152" s="11">
        <v>1112.8940029303799</v>
      </c>
      <c r="P152" s="11">
        <v>1119.2003553887271</v>
      </c>
      <c r="Q152" s="11">
        <v>1125.5067078470743</v>
      </c>
      <c r="R152" s="11">
        <v>1131.813060305421</v>
      </c>
      <c r="S152" s="11">
        <v>1138.1194127637682</v>
      </c>
      <c r="T152" s="11">
        <v>1144.4257652221154</v>
      </c>
      <c r="U152" s="11">
        <v>1149.2590112580228</v>
      </c>
      <c r="V152" s="11">
        <v>1154.0922572939307</v>
      </c>
      <c r="W152" s="11">
        <v>1158.9255033298384</v>
      </c>
      <c r="X152" s="11">
        <v>1163.7587493657461</v>
      </c>
      <c r="Y152" s="11">
        <v>1168.5919954016535</v>
      </c>
      <c r="Z152" s="11">
        <v>1172.0118489682156</v>
      </c>
      <c r="AA152" s="11">
        <v>1175.4317025347771</v>
      </c>
      <c r="AB152" s="11">
        <v>1178.8515561013389</v>
      </c>
      <c r="AC152" s="11">
        <v>1182.2714096679008</v>
      </c>
      <c r="AD152" s="11">
        <v>1185.6912632344624</v>
      </c>
      <c r="AE152" s="11">
        <v>1185.6912632344624</v>
      </c>
      <c r="AF152" s="11">
        <v>1185.6912632344624</v>
      </c>
      <c r="AG152" s="11">
        <v>1185.6912632344624</v>
      </c>
      <c r="AH152" s="11">
        <v>1185.6912632344624</v>
      </c>
      <c r="AI152" s="11">
        <v>1185.6912632344624</v>
      </c>
      <c r="AJ152" s="11">
        <v>1185.6912632344624</v>
      </c>
      <c r="AK152" s="11">
        <v>1185.6912632344624</v>
      </c>
      <c r="AL152" s="11">
        <v>1185.6912632344624</v>
      </c>
      <c r="AM152" s="11">
        <v>1185.6912632344624</v>
      </c>
      <c r="AN152" s="11">
        <v>1185.6912632344624</v>
      </c>
    </row>
    <row r="153" spans="1:40" x14ac:dyDescent="0.2">
      <c r="A153" s="6" t="s">
        <v>41</v>
      </c>
      <c r="B153" s="11">
        <v>621.18228496034385</v>
      </c>
      <c r="C153" s="11">
        <v>623.30638205978892</v>
      </c>
      <c r="D153" s="11">
        <v>625.43047915923398</v>
      </c>
      <c r="E153" s="11">
        <v>627.55457625867916</v>
      </c>
      <c r="F153" s="11">
        <v>633.23650634171372</v>
      </c>
      <c r="G153" s="11">
        <v>638.91843642474817</v>
      </c>
      <c r="H153" s="11">
        <v>644.60036650778272</v>
      </c>
      <c r="I153" s="11">
        <v>650.28229659081728</v>
      </c>
      <c r="J153" s="11">
        <v>655.96422667385173</v>
      </c>
      <c r="K153" s="11">
        <v>660.73660879524641</v>
      </c>
      <c r="L153" s="11">
        <v>665.50899091664098</v>
      </c>
      <c r="M153" s="11">
        <v>670.28137303803544</v>
      </c>
      <c r="N153" s="11">
        <v>675.05375515943012</v>
      </c>
      <c r="O153" s="11">
        <v>679.8261372808247</v>
      </c>
      <c r="P153" s="11">
        <v>683.67845674772889</v>
      </c>
      <c r="Q153" s="11">
        <v>687.53077621463319</v>
      </c>
      <c r="R153" s="11">
        <v>691.38309568153704</v>
      </c>
      <c r="S153" s="11">
        <v>695.23541514844123</v>
      </c>
      <c r="T153" s="11">
        <v>699.0877346153452</v>
      </c>
      <c r="U153" s="11">
        <v>702.04018738664888</v>
      </c>
      <c r="V153" s="11">
        <v>704.99264015795256</v>
      </c>
      <c r="W153" s="11">
        <v>707.94509292925613</v>
      </c>
      <c r="X153" s="11">
        <v>710.8975457005597</v>
      </c>
      <c r="Y153" s="11">
        <v>713.84999847186327</v>
      </c>
      <c r="Z153" s="11">
        <v>715.93906161183895</v>
      </c>
      <c r="AA153" s="11">
        <v>718.02812475181452</v>
      </c>
      <c r="AB153" s="11">
        <v>720.11718789179031</v>
      </c>
      <c r="AC153" s="11">
        <v>722.20625103176576</v>
      </c>
      <c r="AD153" s="11">
        <v>724.29531417174132</v>
      </c>
      <c r="AE153" s="11">
        <v>724.29531417174132</v>
      </c>
      <c r="AF153" s="11">
        <v>724.29531417174132</v>
      </c>
      <c r="AG153" s="11">
        <v>724.29531417174132</v>
      </c>
      <c r="AH153" s="11">
        <v>724.29531417174132</v>
      </c>
      <c r="AI153" s="11">
        <v>724.29531417174132</v>
      </c>
      <c r="AJ153" s="11">
        <v>724.29531417174132</v>
      </c>
      <c r="AK153" s="11">
        <v>724.29531417174132</v>
      </c>
      <c r="AL153" s="11">
        <v>724.29531417174132</v>
      </c>
      <c r="AM153" s="11">
        <v>724.29531417174132</v>
      </c>
      <c r="AN153" s="11">
        <v>724.29531417174132</v>
      </c>
    </row>
    <row r="154" spans="1:40" x14ac:dyDescent="0.2">
      <c r="A154" s="6" t="s">
        <v>42</v>
      </c>
      <c r="B154" s="11">
        <v>482.3511039419019</v>
      </c>
      <c r="C154" s="11">
        <v>484.00047580198731</v>
      </c>
      <c r="D154" s="11">
        <v>485.6498476620726</v>
      </c>
      <c r="E154" s="11">
        <v>487.29921952215801</v>
      </c>
      <c r="F154" s="11">
        <v>491.71126621831814</v>
      </c>
      <c r="G154" s="11">
        <v>496.12331291447794</v>
      </c>
      <c r="H154" s="11">
        <v>500.53535961063812</v>
      </c>
      <c r="I154" s="11">
        <v>504.94740630679803</v>
      </c>
      <c r="J154" s="11">
        <v>509.35945300295805</v>
      </c>
      <c r="K154" s="11">
        <v>513.06523122687224</v>
      </c>
      <c r="L154" s="11">
        <v>516.77100945078644</v>
      </c>
      <c r="M154" s="11">
        <v>520.47678767470052</v>
      </c>
      <c r="N154" s="11">
        <v>524.1825658986146</v>
      </c>
      <c r="O154" s="11">
        <v>527.88834412252879</v>
      </c>
      <c r="P154" s="11">
        <v>530.87968916340799</v>
      </c>
      <c r="Q154" s="11">
        <v>533.87103420428718</v>
      </c>
      <c r="R154" s="11">
        <v>536.86237924516604</v>
      </c>
      <c r="S154" s="11">
        <v>539.85372428604535</v>
      </c>
      <c r="T154" s="11">
        <v>542.84506932692443</v>
      </c>
      <c r="U154" s="11">
        <v>545.1376634463229</v>
      </c>
      <c r="V154" s="11">
        <v>547.43025756572149</v>
      </c>
      <c r="W154" s="11">
        <v>549.72285168511996</v>
      </c>
      <c r="X154" s="11">
        <v>552.01544580451855</v>
      </c>
      <c r="Y154" s="11">
        <v>554.30803992391691</v>
      </c>
      <c r="Z154" s="11">
        <v>555.93020774191245</v>
      </c>
      <c r="AA154" s="11">
        <v>557.55237555990789</v>
      </c>
      <c r="AB154" s="11">
        <v>559.17454337790355</v>
      </c>
      <c r="AC154" s="11">
        <v>560.79671119589898</v>
      </c>
      <c r="AD154" s="11">
        <v>562.41887901389453</v>
      </c>
      <c r="AE154" s="11">
        <v>562.41887901389453</v>
      </c>
      <c r="AF154" s="11">
        <v>562.41887901389453</v>
      </c>
      <c r="AG154" s="11">
        <v>562.41887901389453</v>
      </c>
      <c r="AH154" s="11">
        <v>562.41887901389453</v>
      </c>
      <c r="AI154" s="11">
        <v>562.41887901389453</v>
      </c>
      <c r="AJ154" s="11">
        <v>562.41887901389453</v>
      </c>
      <c r="AK154" s="11">
        <v>562.41887901389453</v>
      </c>
      <c r="AL154" s="11">
        <v>562.41887901389453</v>
      </c>
      <c r="AM154" s="11">
        <v>562.41887901389453</v>
      </c>
      <c r="AN154" s="11">
        <v>562.41887901389453</v>
      </c>
    </row>
    <row r="155" spans="1:40" x14ac:dyDescent="0.2">
      <c r="A155" s="6" t="s">
        <v>43</v>
      </c>
      <c r="B155" s="11">
        <v>33.827128214243842</v>
      </c>
      <c r="C155" s="11">
        <v>33.942798133786091</v>
      </c>
      <c r="D155" s="11">
        <v>34.058468053328333</v>
      </c>
      <c r="E155" s="11">
        <v>34.174137972870582</v>
      </c>
      <c r="F155" s="11">
        <v>34.483553392589855</v>
      </c>
      <c r="G155" s="11">
        <v>34.79296881230912</v>
      </c>
      <c r="H155" s="11">
        <v>35.102384232028385</v>
      </c>
      <c r="I155" s="11">
        <v>35.411799651747657</v>
      </c>
      <c r="J155" s="11">
        <v>35.721215071466922</v>
      </c>
      <c r="K155" s="11">
        <v>35.981100109750145</v>
      </c>
      <c r="L155" s="11">
        <v>36.240985148033374</v>
      </c>
      <c r="M155" s="11">
        <v>36.500870186316597</v>
      </c>
      <c r="N155" s="11">
        <v>36.760755224599819</v>
      </c>
      <c r="O155" s="11">
        <v>37.020640262883049</v>
      </c>
      <c r="P155" s="11">
        <v>37.230422331181266</v>
      </c>
      <c r="Q155" s="11">
        <v>37.440204399479484</v>
      </c>
      <c r="R155" s="11">
        <v>37.649986467777687</v>
      </c>
      <c r="S155" s="11">
        <v>37.859768536075912</v>
      </c>
      <c r="T155" s="11">
        <v>38.069550604374122</v>
      </c>
      <c r="U155" s="11">
        <v>38.230329494660353</v>
      </c>
      <c r="V155" s="11">
        <v>38.391108384946584</v>
      </c>
      <c r="W155" s="11">
        <v>38.551887275232808</v>
      </c>
      <c r="X155" s="11">
        <v>38.712666165519039</v>
      </c>
      <c r="Y155" s="11">
        <v>38.873445055805256</v>
      </c>
      <c r="Z155" s="11">
        <v>38.987207164600939</v>
      </c>
      <c r="AA155" s="11">
        <v>39.100969273396615</v>
      </c>
      <c r="AB155" s="11">
        <v>39.214731382192284</v>
      </c>
      <c r="AC155" s="11">
        <v>39.328493490987967</v>
      </c>
      <c r="AD155" s="11">
        <v>39.44225559978365</v>
      </c>
      <c r="AE155" s="11">
        <v>39.44225559978365</v>
      </c>
      <c r="AF155" s="11">
        <v>39.44225559978365</v>
      </c>
      <c r="AG155" s="11">
        <v>39.44225559978365</v>
      </c>
      <c r="AH155" s="11">
        <v>39.44225559978365</v>
      </c>
      <c r="AI155" s="11">
        <v>39.44225559978365</v>
      </c>
      <c r="AJ155" s="11">
        <v>39.44225559978365</v>
      </c>
      <c r="AK155" s="11">
        <v>39.44225559978365</v>
      </c>
      <c r="AL155" s="11">
        <v>39.44225559978365</v>
      </c>
      <c r="AM155" s="11">
        <v>39.44225559978365</v>
      </c>
      <c r="AN155" s="11">
        <v>39.44225559978365</v>
      </c>
    </row>
    <row r="156" spans="1:40" x14ac:dyDescent="0.2">
      <c r="A156" s="6" t="s">
        <v>8</v>
      </c>
      <c r="B156" s="11">
        <v>25.87071459463138</v>
      </c>
      <c r="C156" s="11">
        <v>25.959178015371936</v>
      </c>
      <c r="D156" s="11">
        <v>26.047641436112489</v>
      </c>
      <c r="E156" s="11">
        <v>26.136104856853052</v>
      </c>
      <c r="F156" s="11">
        <v>26.372743272152068</v>
      </c>
      <c r="G156" s="11">
        <v>26.60938168745108</v>
      </c>
      <c r="H156" s="11">
        <v>26.846020102750096</v>
      </c>
      <c r="I156" s="11">
        <v>27.082658518049104</v>
      </c>
      <c r="J156" s="11">
        <v>27.31929693334812</v>
      </c>
      <c r="K156" s="11">
        <v>27.518054912750262</v>
      </c>
      <c r="L156" s="11">
        <v>27.716812892152404</v>
      </c>
      <c r="M156" s="11">
        <v>27.915570871554536</v>
      </c>
      <c r="N156" s="11">
        <v>28.114328850956678</v>
      </c>
      <c r="O156" s="11">
        <v>28.313086830358813</v>
      </c>
      <c r="P156" s="11">
        <v>28.473526462763949</v>
      </c>
      <c r="Q156" s="11">
        <v>28.63396609516909</v>
      </c>
      <c r="R156" s="11">
        <v>28.794405727574212</v>
      </c>
      <c r="S156" s="11">
        <v>28.954845359979348</v>
      </c>
      <c r="T156" s="11">
        <v>29.115284992384485</v>
      </c>
      <c r="U156" s="11">
        <v>29.238247389815697</v>
      </c>
      <c r="V156" s="11">
        <v>29.361209787246917</v>
      </c>
      <c r="W156" s="11">
        <v>29.48417218467813</v>
      </c>
      <c r="X156" s="11">
        <v>29.607134582109346</v>
      </c>
      <c r="Y156" s="11">
        <v>29.730096979540559</v>
      </c>
      <c r="Z156" s="11">
        <v>29.817101322022612</v>
      </c>
      <c r="AA156" s="11">
        <v>29.904105664504662</v>
      </c>
      <c r="AB156" s="11">
        <v>29.991110006986716</v>
      </c>
      <c r="AC156" s="11">
        <v>30.078114349468766</v>
      </c>
      <c r="AD156" s="11">
        <v>30.165118691950816</v>
      </c>
      <c r="AE156" s="11">
        <v>30.165118691950816</v>
      </c>
      <c r="AF156" s="11">
        <v>30.165118691950816</v>
      </c>
      <c r="AG156" s="11">
        <v>30.165118691950816</v>
      </c>
      <c r="AH156" s="11">
        <v>30.165118691950816</v>
      </c>
      <c r="AI156" s="11">
        <v>30.165118691950816</v>
      </c>
      <c r="AJ156" s="11">
        <v>30.165118691950816</v>
      </c>
      <c r="AK156" s="11">
        <v>30.165118691950816</v>
      </c>
      <c r="AL156" s="11">
        <v>30.165118691950816</v>
      </c>
      <c r="AM156" s="11">
        <v>30.165118691950816</v>
      </c>
      <c r="AN156" s="11">
        <v>30.165118691950816</v>
      </c>
    </row>
    <row r="157" spans="1:40" x14ac:dyDescent="0.2">
      <c r="A157" s="6" t="s">
        <v>9</v>
      </c>
      <c r="B157" s="11">
        <v>265.21823154565124</v>
      </c>
      <c r="C157" s="11">
        <v>266.12513003581347</v>
      </c>
      <c r="D157" s="11">
        <v>267.0320285259757</v>
      </c>
      <c r="E157" s="11">
        <v>267.938927016138</v>
      </c>
      <c r="F157" s="11">
        <v>270.36486781463429</v>
      </c>
      <c r="G157" s="11">
        <v>272.79080861313054</v>
      </c>
      <c r="H157" s="11">
        <v>275.21674941162689</v>
      </c>
      <c r="I157" s="11">
        <v>277.64269021012319</v>
      </c>
      <c r="J157" s="11">
        <v>280.06863100861943</v>
      </c>
      <c r="K157" s="11">
        <v>282.10623378181702</v>
      </c>
      <c r="L157" s="11">
        <v>284.14383655501456</v>
      </c>
      <c r="M157" s="11">
        <v>286.18143932821198</v>
      </c>
      <c r="N157" s="11">
        <v>288.21904210140951</v>
      </c>
      <c r="O157" s="11">
        <v>290.25664487460699</v>
      </c>
      <c r="P157" s="11">
        <v>291.90142029898414</v>
      </c>
      <c r="Q157" s="11">
        <v>293.54619572336128</v>
      </c>
      <c r="R157" s="11">
        <v>295.19097114773825</v>
      </c>
      <c r="S157" s="11">
        <v>296.83574657211545</v>
      </c>
      <c r="T157" s="11">
        <v>298.4805219964926</v>
      </c>
      <c r="U157" s="11">
        <v>299.74109288153829</v>
      </c>
      <c r="V157" s="11">
        <v>301.0016637665841</v>
      </c>
      <c r="W157" s="11">
        <v>302.2622346516298</v>
      </c>
      <c r="X157" s="11">
        <v>303.52280553667561</v>
      </c>
      <c r="Y157" s="11">
        <v>304.7833764217213</v>
      </c>
      <c r="Z157" s="11">
        <v>305.67531691163225</v>
      </c>
      <c r="AA157" s="11">
        <v>306.5672574015432</v>
      </c>
      <c r="AB157" s="11">
        <v>307.45919789145415</v>
      </c>
      <c r="AC157" s="11">
        <v>308.3511383813651</v>
      </c>
      <c r="AD157" s="11">
        <v>309.243078871276</v>
      </c>
      <c r="AE157" s="11">
        <v>309.243078871276</v>
      </c>
      <c r="AF157" s="11">
        <v>309.243078871276</v>
      </c>
      <c r="AG157" s="11">
        <v>309.243078871276</v>
      </c>
      <c r="AH157" s="11">
        <v>309.243078871276</v>
      </c>
      <c r="AI157" s="11">
        <v>309.243078871276</v>
      </c>
      <c r="AJ157" s="11">
        <v>309.243078871276</v>
      </c>
      <c r="AK157" s="11">
        <v>309.243078871276</v>
      </c>
      <c r="AL157" s="11">
        <v>309.243078871276</v>
      </c>
      <c r="AM157" s="11">
        <v>309.243078871276</v>
      </c>
      <c r="AN157" s="11">
        <v>309.243078871276</v>
      </c>
    </row>
    <row r="158" spans="1:40" x14ac:dyDescent="0.2">
      <c r="A158" s="6" t="s">
        <v>10</v>
      </c>
      <c r="B158" s="11">
        <v>0.23035335765385231</v>
      </c>
      <c r="C158" s="11">
        <v>0.23114103771280831</v>
      </c>
      <c r="D158" s="11">
        <v>0.23192871777176427</v>
      </c>
      <c r="E158" s="11">
        <v>0.23271639783072032</v>
      </c>
      <c r="F158" s="11">
        <v>0.23482343099034267</v>
      </c>
      <c r="G158" s="11">
        <v>0.23693046414996499</v>
      </c>
      <c r="H158" s="11">
        <v>0.2390374973095874</v>
      </c>
      <c r="I158" s="11">
        <v>0.24114453046920975</v>
      </c>
      <c r="J158" s="11">
        <v>0.2432515636288321</v>
      </c>
      <c r="K158" s="11">
        <v>0.24502130863329671</v>
      </c>
      <c r="L158" s="11">
        <v>0.2467910536377613</v>
      </c>
      <c r="M158" s="11">
        <v>0.24856079864222586</v>
      </c>
      <c r="N158" s="11">
        <v>0.25033054364669044</v>
      </c>
      <c r="O158" s="11">
        <v>0.25210028865115502</v>
      </c>
      <c r="P158" s="11">
        <v>0.25352884633131056</v>
      </c>
      <c r="Q158" s="11">
        <v>0.2549574040114661</v>
      </c>
      <c r="R158" s="11">
        <v>0.25638596169162153</v>
      </c>
      <c r="S158" s="11">
        <v>0.25781451937177713</v>
      </c>
      <c r="T158" s="11">
        <v>0.25924307705193267</v>
      </c>
      <c r="U158" s="11">
        <v>0.26033793668597327</v>
      </c>
      <c r="V158" s="11">
        <v>0.26143279632001398</v>
      </c>
      <c r="W158" s="11">
        <v>0.26252765595405458</v>
      </c>
      <c r="X158" s="11">
        <v>0.26362251558809524</v>
      </c>
      <c r="Y158" s="11">
        <v>0.26471737522213584</v>
      </c>
      <c r="Z158" s="11">
        <v>0.26549206361923816</v>
      </c>
      <c r="AA158" s="11">
        <v>0.26626675201634042</v>
      </c>
      <c r="AB158" s="11">
        <v>0.2670414404134428</v>
      </c>
      <c r="AC158" s="11">
        <v>0.26781612881054506</v>
      </c>
      <c r="AD158" s="11">
        <v>0.26859081720764738</v>
      </c>
      <c r="AE158" s="11">
        <v>0.26859081720764738</v>
      </c>
      <c r="AF158" s="11">
        <v>0.26859081720764738</v>
      </c>
      <c r="AG158" s="11">
        <v>0.26859081720764738</v>
      </c>
      <c r="AH158" s="11">
        <v>0.26859081720764738</v>
      </c>
      <c r="AI158" s="11">
        <v>0.26859081720764738</v>
      </c>
      <c r="AJ158" s="11">
        <v>0.26859081720764738</v>
      </c>
      <c r="AK158" s="11">
        <v>0.26859081720764738</v>
      </c>
      <c r="AL158" s="11">
        <v>0.26859081720764738</v>
      </c>
      <c r="AM158" s="11">
        <v>0.26859081720764738</v>
      </c>
      <c r="AN158" s="11">
        <v>0.26859081720764738</v>
      </c>
    </row>
    <row r="159" spans="1:40" x14ac:dyDescent="0.2">
      <c r="A159" s="6" t="s">
        <v>44</v>
      </c>
      <c r="B159" s="11">
        <v>420.60868035010657</v>
      </c>
      <c r="C159" s="11">
        <v>422.04692754350498</v>
      </c>
      <c r="D159" s="11">
        <v>423.4851747369035</v>
      </c>
      <c r="E159" s="11">
        <v>424.92342193030203</v>
      </c>
      <c r="F159" s="11">
        <v>428.7707130909302</v>
      </c>
      <c r="G159" s="11">
        <v>432.61800425155826</v>
      </c>
      <c r="H159" s="11">
        <v>436.46529541218644</v>
      </c>
      <c r="I159" s="11">
        <v>440.31258657281455</v>
      </c>
      <c r="J159" s="11">
        <v>444.15987773344273</v>
      </c>
      <c r="K159" s="11">
        <v>447.39130495666819</v>
      </c>
      <c r="L159" s="11">
        <v>450.6227321798936</v>
      </c>
      <c r="M159" s="11">
        <v>453.85415940311901</v>
      </c>
      <c r="N159" s="11">
        <v>457.08558662634448</v>
      </c>
      <c r="O159" s="11">
        <v>460.31701384956983</v>
      </c>
      <c r="P159" s="11">
        <v>462.92545753267495</v>
      </c>
      <c r="Q159" s="11">
        <v>465.53390121578002</v>
      </c>
      <c r="R159" s="11">
        <v>468.14234489888486</v>
      </c>
      <c r="S159" s="11">
        <v>470.75078858198998</v>
      </c>
      <c r="T159" s="11">
        <v>473.35923226509505</v>
      </c>
      <c r="U159" s="11">
        <v>475.35836729196285</v>
      </c>
      <c r="V159" s="11">
        <v>477.35750231883077</v>
      </c>
      <c r="W159" s="11">
        <v>479.35663734569846</v>
      </c>
      <c r="X159" s="11">
        <v>481.35577237256643</v>
      </c>
      <c r="Y159" s="11">
        <v>483.35490739943424</v>
      </c>
      <c r="Z159" s="11">
        <v>484.76943275172965</v>
      </c>
      <c r="AA159" s="11">
        <v>486.18395810402507</v>
      </c>
      <c r="AB159" s="11">
        <v>487.59848345632048</v>
      </c>
      <c r="AC159" s="11">
        <v>489.01300880861578</v>
      </c>
      <c r="AD159" s="11">
        <v>490.42753416091114</v>
      </c>
      <c r="AE159" s="11">
        <v>490.42753416091114</v>
      </c>
      <c r="AF159" s="11">
        <v>490.42753416091114</v>
      </c>
      <c r="AG159" s="11">
        <v>490.42753416091114</v>
      </c>
      <c r="AH159" s="11">
        <v>490.42753416091114</v>
      </c>
      <c r="AI159" s="11">
        <v>490.42753416091114</v>
      </c>
      <c r="AJ159" s="11">
        <v>490.42753416091114</v>
      </c>
      <c r="AK159" s="11">
        <v>490.42753416091114</v>
      </c>
      <c r="AL159" s="11">
        <v>490.42753416091114</v>
      </c>
      <c r="AM159" s="11">
        <v>490.42753416091114</v>
      </c>
      <c r="AN159" s="11">
        <v>490.42753416091114</v>
      </c>
    </row>
    <row r="161" spans="1:40" x14ac:dyDescent="0.2">
      <c r="A161" s="5" t="s">
        <v>66</v>
      </c>
    </row>
    <row r="162" spans="1:40" x14ac:dyDescent="0.2">
      <c r="A162" s="5" t="s">
        <v>4</v>
      </c>
    </row>
    <row r="163" spans="1:40" x14ac:dyDescent="0.2">
      <c r="A163" s="5" t="s">
        <v>67</v>
      </c>
    </row>
    <row r="164" spans="1:40" x14ac:dyDescent="0.2">
      <c r="A164" s="5" t="s">
        <v>6</v>
      </c>
    </row>
    <row r="165" spans="1:40" x14ac:dyDescent="0.2">
      <c r="A165" s="5"/>
    </row>
    <row r="166" spans="1:40" x14ac:dyDescent="0.2">
      <c r="A166" s="6" t="s">
        <v>7</v>
      </c>
      <c r="B166" s="6">
        <v>2022</v>
      </c>
      <c r="C166" s="6">
        <v>2023</v>
      </c>
      <c r="D166" s="6">
        <v>2024</v>
      </c>
      <c r="E166" s="6">
        <v>2025</v>
      </c>
      <c r="F166" s="6">
        <v>2026</v>
      </c>
      <c r="G166" s="6">
        <v>2027</v>
      </c>
      <c r="H166" s="6">
        <v>2028</v>
      </c>
      <c r="I166" s="6">
        <v>2029</v>
      </c>
      <c r="J166" s="6">
        <v>2030</v>
      </c>
      <c r="K166" s="6">
        <v>2031</v>
      </c>
      <c r="L166" s="6">
        <v>2032</v>
      </c>
      <c r="M166" s="6">
        <v>2033</v>
      </c>
      <c r="N166" s="6">
        <v>2034</v>
      </c>
      <c r="O166" s="6">
        <v>2035</v>
      </c>
      <c r="P166" s="6">
        <v>2036</v>
      </c>
      <c r="Q166" s="6">
        <v>2037</v>
      </c>
      <c r="R166" s="6">
        <v>2038</v>
      </c>
      <c r="S166" s="6">
        <v>2039</v>
      </c>
      <c r="T166" s="6">
        <v>2040</v>
      </c>
      <c r="U166" s="6">
        <v>2041</v>
      </c>
      <c r="V166" s="6">
        <v>2042</v>
      </c>
      <c r="W166" s="6">
        <v>2043</v>
      </c>
      <c r="X166" s="6">
        <v>2044</v>
      </c>
      <c r="Y166" s="6">
        <v>2045</v>
      </c>
      <c r="Z166" s="6">
        <v>2046</v>
      </c>
      <c r="AA166" s="6">
        <v>2047</v>
      </c>
      <c r="AB166" s="6">
        <v>2048</v>
      </c>
      <c r="AC166" s="6">
        <v>2049</v>
      </c>
      <c r="AD166" s="6">
        <v>2050</v>
      </c>
      <c r="AE166" s="6">
        <v>2051</v>
      </c>
      <c r="AF166" s="6">
        <v>2052</v>
      </c>
      <c r="AG166" s="6">
        <v>2053</v>
      </c>
      <c r="AH166" s="6">
        <v>2054</v>
      </c>
      <c r="AI166" s="6">
        <v>2055</v>
      </c>
      <c r="AJ166" s="6">
        <v>2056</v>
      </c>
      <c r="AK166" s="6">
        <v>2057</v>
      </c>
      <c r="AL166" s="6">
        <v>2058</v>
      </c>
      <c r="AM166" s="6">
        <v>2059</v>
      </c>
      <c r="AN166" s="6">
        <v>2060</v>
      </c>
    </row>
    <row r="167" spans="1:40" x14ac:dyDescent="0.2">
      <c r="A167" s="6" t="s">
        <v>8</v>
      </c>
      <c r="B167" s="11">
        <v>134.21016131437409</v>
      </c>
      <c r="C167" s="11">
        <v>134.21016131437409</v>
      </c>
      <c r="D167" s="11">
        <v>134.21016131437409</v>
      </c>
      <c r="E167" s="11">
        <v>134.21016131437409</v>
      </c>
      <c r="F167" s="11">
        <v>134.21016131437409</v>
      </c>
      <c r="G167" s="11">
        <v>134.21016131437409</v>
      </c>
      <c r="H167" s="11">
        <v>134.21016131437409</v>
      </c>
      <c r="I167" s="11">
        <v>134.21016131437409</v>
      </c>
      <c r="J167" s="11">
        <v>134.21016131437409</v>
      </c>
      <c r="K167" s="11">
        <v>134.21016131437409</v>
      </c>
      <c r="L167" s="11">
        <v>134.21016131437409</v>
      </c>
      <c r="M167" s="11">
        <v>134.21016131437409</v>
      </c>
      <c r="N167" s="11">
        <v>134.21016131437409</v>
      </c>
      <c r="O167" s="11">
        <v>134.21016131437409</v>
      </c>
      <c r="P167" s="11">
        <v>134.21016131437409</v>
      </c>
      <c r="Q167" s="11">
        <v>134.21016131437409</v>
      </c>
      <c r="R167" s="11">
        <v>134.21016131437409</v>
      </c>
      <c r="S167" s="11">
        <v>134.21016131437409</v>
      </c>
      <c r="T167" s="11">
        <v>134.21016131437409</v>
      </c>
      <c r="U167" s="11">
        <v>134.21016131437409</v>
      </c>
      <c r="V167" s="11">
        <v>134.21016131437409</v>
      </c>
      <c r="W167" s="11">
        <v>134.21016131437409</v>
      </c>
      <c r="X167" s="11">
        <v>134.21016131437409</v>
      </c>
      <c r="Y167" s="11">
        <v>134.21016131437409</v>
      </c>
      <c r="Z167" s="11">
        <v>134.21016131437409</v>
      </c>
      <c r="AA167" s="11">
        <v>134.21016131437409</v>
      </c>
      <c r="AB167" s="11">
        <v>134.21016131437409</v>
      </c>
      <c r="AC167" s="11">
        <v>134.21016131437409</v>
      </c>
      <c r="AD167" s="11">
        <v>134.21016131437409</v>
      </c>
      <c r="AE167" s="11">
        <v>134.21016131437409</v>
      </c>
      <c r="AF167" s="11">
        <v>134.21016131437409</v>
      </c>
      <c r="AG167" s="11">
        <v>134.21016131437409</v>
      </c>
      <c r="AH167" s="11">
        <v>134.21016131437409</v>
      </c>
      <c r="AI167" s="11">
        <v>134.21016131437409</v>
      </c>
      <c r="AJ167" s="11">
        <v>134.21016131437409</v>
      </c>
      <c r="AK167" s="11">
        <v>134.21016131437409</v>
      </c>
      <c r="AL167" s="11">
        <v>134.21016131437409</v>
      </c>
      <c r="AM167" s="11">
        <v>134.21016131437409</v>
      </c>
      <c r="AN167" s="11">
        <v>134.21016131437409</v>
      </c>
    </row>
    <row r="168" spans="1:40" x14ac:dyDescent="0.2">
      <c r="A168" s="6" t="s">
        <v>9</v>
      </c>
      <c r="B168" s="11">
        <v>1377.0514991970265</v>
      </c>
      <c r="C168" s="11">
        <v>1377.0514991970265</v>
      </c>
      <c r="D168" s="11">
        <v>1377.0514991970265</v>
      </c>
      <c r="E168" s="11">
        <v>1377.0514991970265</v>
      </c>
      <c r="F168" s="11">
        <v>1377.0514991970265</v>
      </c>
      <c r="G168" s="11">
        <v>1377.0514991970265</v>
      </c>
      <c r="H168" s="11">
        <v>1377.0514991970265</v>
      </c>
      <c r="I168" s="11">
        <v>1377.0514991970265</v>
      </c>
      <c r="J168" s="11">
        <v>1377.0514991970265</v>
      </c>
      <c r="K168" s="11">
        <v>1377.0514991970265</v>
      </c>
      <c r="L168" s="11">
        <v>1377.0514991970265</v>
      </c>
      <c r="M168" s="11">
        <v>1377.0514991970265</v>
      </c>
      <c r="N168" s="11">
        <v>1377.0514991970265</v>
      </c>
      <c r="O168" s="11">
        <v>1377.0514991970265</v>
      </c>
      <c r="P168" s="11">
        <v>1377.0514991970265</v>
      </c>
      <c r="Q168" s="11">
        <v>1377.0514991970265</v>
      </c>
      <c r="R168" s="11">
        <v>1377.0514991970265</v>
      </c>
      <c r="S168" s="11">
        <v>1377.0514991970265</v>
      </c>
      <c r="T168" s="11">
        <v>1377.0514991970265</v>
      </c>
      <c r="U168" s="11">
        <v>1377.0514991970265</v>
      </c>
      <c r="V168" s="11">
        <v>1377.0514991970265</v>
      </c>
      <c r="W168" s="11">
        <v>1377.0514991970265</v>
      </c>
      <c r="X168" s="11">
        <v>1377.0514991970265</v>
      </c>
      <c r="Y168" s="11">
        <v>1377.0514991970265</v>
      </c>
      <c r="Z168" s="11">
        <v>1377.0514991970265</v>
      </c>
      <c r="AA168" s="11">
        <v>1377.0514991970265</v>
      </c>
      <c r="AB168" s="11">
        <v>1377.0514991970265</v>
      </c>
      <c r="AC168" s="11">
        <v>1377.0514991970265</v>
      </c>
      <c r="AD168" s="11">
        <v>1377.0514991970265</v>
      </c>
      <c r="AE168" s="11">
        <v>1377.0514991970265</v>
      </c>
      <c r="AF168" s="11">
        <v>1377.0514991970265</v>
      </c>
      <c r="AG168" s="11">
        <v>1377.0514991970265</v>
      </c>
      <c r="AH168" s="11">
        <v>1377.0514991970265</v>
      </c>
      <c r="AI168" s="11">
        <v>1377.0514991970265</v>
      </c>
      <c r="AJ168" s="11">
        <v>1377.0514991970265</v>
      </c>
      <c r="AK168" s="11">
        <v>1377.0514991970265</v>
      </c>
      <c r="AL168" s="11">
        <v>1377.0514991970265</v>
      </c>
      <c r="AM168" s="11">
        <v>1377.0514991970265</v>
      </c>
      <c r="AN168" s="11">
        <v>1377.0514991970265</v>
      </c>
    </row>
    <row r="169" spans="1:40" x14ac:dyDescent="0.2">
      <c r="A169" s="6" t="s">
        <v>10</v>
      </c>
      <c r="B169" s="11">
        <v>1.3556581952425419</v>
      </c>
      <c r="C169" s="11">
        <v>1.3556581952425419</v>
      </c>
      <c r="D169" s="11">
        <v>1.3556581952425419</v>
      </c>
      <c r="E169" s="11">
        <v>1.3556581952425419</v>
      </c>
      <c r="F169" s="11">
        <v>1.3556581952425419</v>
      </c>
      <c r="G169" s="11">
        <v>1.3556581952425419</v>
      </c>
      <c r="H169" s="11">
        <v>1.3556581952425419</v>
      </c>
      <c r="I169" s="11">
        <v>1.3556581952425419</v>
      </c>
      <c r="J169" s="11">
        <v>1.3556581952425419</v>
      </c>
      <c r="K169" s="11">
        <v>1.3556581952425419</v>
      </c>
      <c r="L169" s="11">
        <v>1.3556581952425419</v>
      </c>
      <c r="M169" s="11">
        <v>1.3556581952425419</v>
      </c>
      <c r="N169" s="11">
        <v>1.3556581952425419</v>
      </c>
      <c r="O169" s="11">
        <v>1.3556581952425419</v>
      </c>
      <c r="P169" s="11">
        <v>1.3556581952425419</v>
      </c>
      <c r="Q169" s="11">
        <v>1.3556581952425419</v>
      </c>
      <c r="R169" s="11">
        <v>1.3556581952425419</v>
      </c>
      <c r="S169" s="11">
        <v>1.3556581952425419</v>
      </c>
      <c r="T169" s="11">
        <v>1.3556581952425419</v>
      </c>
      <c r="U169" s="11">
        <v>1.3556581952425419</v>
      </c>
      <c r="V169" s="11">
        <v>1.3556581952425419</v>
      </c>
      <c r="W169" s="11">
        <v>1.3556581952425419</v>
      </c>
      <c r="X169" s="11">
        <v>1.3556581952425419</v>
      </c>
      <c r="Y169" s="11">
        <v>1.3556581952425419</v>
      </c>
      <c r="Z169" s="11">
        <v>1.3556581952425419</v>
      </c>
      <c r="AA169" s="11">
        <v>1.3556581952425419</v>
      </c>
      <c r="AB169" s="11">
        <v>1.3556581952425419</v>
      </c>
      <c r="AC169" s="11">
        <v>1.3556581952425419</v>
      </c>
      <c r="AD169" s="11">
        <v>1.3556581952425419</v>
      </c>
      <c r="AE169" s="11">
        <v>1.3556581952425419</v>
      </c>
      <c r="AF169" s="11">
        <v>1.3556581952425419</v>
      </c>
      <c r="AG169" s="11">
        <v>1.3556581952425419</v>
      </c>
      <c r="AH169" s="11">
        <v>1.3556581952425419</v>
      </c>
      <c r="AI169" s="11">
        <v>1.3556581952425419</v>
      </c>
      <c r="AJ169" s="11">
        <v>1.3556581952425419</v>
      </c>
      <c r="AK169" s="11">
        <v>1.3556581952425419</v>
      </c>
      <c r="AL169" s="11">
        <v>1.3556581952425419</v>
      </c>
      <c r="AM169" s="11">
        <v>1.3556581952425419</v>
      </c>
      <c r="AN169" s="11">
        <v>1.3556581952425419</v>
      </c>
    </row>
    <row r="171" spans="1:40" x14ac:dyDescent="0.2">
      <c r="A171" s="5" t="s">
        <v>3</v>
      </c>
    </row>
    <row r="172" spans="1:40" x14ac:dyDescent="0.2">
      <c r="A172" s="5" t="s">
        <v>4</v>
      </c>
    </row>
    <row r="173" spans="1:40" x14ac:dyDescent="0.2">
      <c r="A173" s="5" t="s">
        <v>69</v>
      </c>
    </row>
    <row r="174" spans="1:40" x14ac:dyDescent="0.2">
      <c r="A174" s="5" t="s">
        <v>6</v>
      </c>
    </row>
    <row r="175" spans="1:40" x14ac:dyDescent="0.2">
      <c r="A175" s="5"/>
    </row>
    <row r="176" spans="1:40" x14ac:dyDescent="0.2">
      <c r="A176" s="6" t="s">
        <v>7</v>
      </c>
      <c r="B176" s="6">
        <v>2022</v>
      </c>
      <c r="C176" s="6">
        <v>2023</v>
      </c>
      <c r="D176" s="6">
        <v>2024</v>
      </c>
      <c r="E176" s="6">
        <v>2025</v>
      </c>
      <c r="F176" s="6">
        <v>2026</v>
      </c>
      <c r="G176" s="6">
        <v>2027</v>
      </c>
      <c r="H176" s="6">
        <v>2028</v>
      </c>
      <c r="I176" s="6">
        <v>2029</v>
      </c>
      <c r="J176" s="6">
        <v>2030</v>
      </c>
      <c r="K176" s="6">
        <v>2031</v>
      </c>
      <c r="L176" s="6">
        <v>2032</v>
      </c>
      <c r="M176" s="6">
        <v>2033</v>
      </c>
      <c r="N176" s="6">
        <v>2034</v>
      </c>
      <c r="O176" s="6">
        <v>2035</v>
      </c>
      <c r="P176" s="6">
        <v>2036</v>
      </c>
      <c r="Q176" s="6">
        <v>2037</v>
      </c>
      <c r="R176" s="6">
        <v>2038</v>
      </c>
      <c r="S176" s="6">
        <v>2039</v>
      </c>
      <c r="T176" s="6">
        <v>2040</v>
      </c>
      <c r="U176" s="6">
        <v>2041</v>
      </c>
      <c r="V176" s="6">
        <v>2042</v>
      </c>
      <c r="W176" s="6">
        <v>2043</v>
      </c>
      <c r="X176" s="6">
        <v>2044</v>
      </c>
      <c r="Y176" s="6">
        <v>2045</v>
      </c>
      <c r="Z176" s="6">
        <v>2046</v>
      </c>
      <c r="AA176" s="6">
        <v>2047</v>
      </c>
      <c r="AB176" s="6">
        <v>2048</v>
      </c>
      <c r="AC176" s="6">
        <v>2049</v>
      </c>
      <c r="AD176" s="6">
        <v>2050</v>
      </c>
      <c r="AE176" s="6">
        <v>2051</v>
      </c>
      <c r="AF176" s="6">
        <v>2052</v>
      </c>
      <c r="AG176" s="6">
        <v>2053</v>
      </c>
      <c r="AH176" s="6">
        <v>2054</v>
      </c>
      <c r="AI176" s="6">
        <v>2055</v>
      </c>
      <c r="AJ176" s="6">
        <v>2056</v>
      </c>
      <c r="AK176" s="6">
        <v>2057</v>
      </c>
      <c r="AL176" s="6">
        <v>2058</v>
      </c>
      <c r="AM176" s="6">
        <v>2059</v>
      </c>
      <c r="AN176" s="6">
        <v>2060</v>
      </c>
    </row>
    <row r="177" spans="1:40" x14ac:dyDescent="0.2">
      <c r="A177" s="6" t="s">
        <v>8</v>
      </c>
      <c r="B177" s="11">
        <v>0.19946428015898612</v>
      </c>
      <c r="C177" s="11">
        <v>0.20943749416693544</v>
      </c>
      <c r="D177" s="11">
        <v>0.21990936887528223</v>
      </c>
      <c r="E177" s="11">
        <v>0.23090483731904632</v>
      </c>
      <c r="F177" s="11">
        <v>0.24245007918499867</v>
      </c>
      <c r="G177" s="11">
        <v>0.25457258314424863</v>
      </c>
      <c r="H177" s="11">
        <v>0.26730121230146109</v>
      </c>
      <c r="I177" s="11">
        <v>0.28066627291653418</v>
      </c>
      <c r="J177" s="11">
        <v>0.29469958656236084</v>
      </c>
      <c r="K177" s="11">
        <v>0.30943456589047891</v>
      </c>
      <c r="L177" s="11">
        <v>0.32490629418500283</v>
      </c>
      <c r="M177" s="11">
        <v>0.341151608894253</v>
      </c>
      <c r="N177" s="11">
        <v>0.35820918933896573</v>
      </c>
      <c r="O177" s="11">
        <v>0.37611964880591398</v>
      </c>
      <c r="P177" s="11">
        <v>0.39492563124620966</v>
      </c>
      <c r="Q177" s="11">
        <v>0.41467191280852017</v>
      </c>
      <c r="R177" s="11">
        <v>0.43540550844894627</v>
      </c>
      <c r="S177" s="11">
        <v>0.4571757838713934</v>
      </c>
      <c r="T177" s="11">
        <v>0.48003457306496311</v>
      </c>
      <c r="U177" s="11">
        <v>0.50403630171821134</v>
      </c>
      <c r="V177" s="11">
        <v>0.52923811680412203</v>
      </c>
      <c r="W177" s="11">
        <v>0.55570002264432805</v>
      </c>
      <c r="X177" s="11">
        <v>0.58348502377654443</v>
      </c>
      <c r="Y177" s="11">
        <v>0.61265927496537176</v>
      </c>
      <c r="Z177" s="11">
        <v>0.64329223871364027</v>
      </c>
      <c r="AA177" s="11">
        <v>0.67545685064932226</v>
      </c>
      <c r="AB177" s="11">
        <v>0.70922969318178852</v>
      </c>
      <c r="AC177" s="11">
        <v>0.7446911778408779</v>
      </c>
      <c r="AD177" s="11">
        <v>0.78192573673292165</v>
      </c>
      <c r="AE177" s="11">
        <v>0.82102202356956799</v>
      </c>
      <c r="AF177" s="11">
        <v>0.86207312474804643</v>
      </c>
      <c r="AG177" s="11">
        <v>0.90517678098544885</v>
      </c>
      <c r="AH177" s="11">
        <v>0.95043562003472115</v>
      </c>
      <c r="AI177" s="11">
        <v>0.99795740103645736</v>
      </c>
      <c r="AJ177" s="11">
        <v>1.0478552710882805</v>
      </c>
      <c r="AK177" s="11">
        <v>1.1002480346426944</v>
      </c>
      <c r="AL177" s="11">
        <v>1.1552604363748291</v>
      </c>
      <c r="AM177" s="11">
        <v>1.2130234581935708</v>
      </c>
      <c r="AN177" s="11">
        <v>1.2736746311032496</v>
      </c>
    </row>
    <row r="178" spans="1:40" x14ac:dyDescent="0.2">
      <c r="A178" s="6" t="s">
        <v>9</v>
      </c>
      <c r="B178" s="11">
        <v>2.0465856187694342</v>
      </c>
      <c r="C178" s="11">
        <v>2.1489148997079059</v>
      </c>
      <c r="D178" s="11">
        <v>2.2563606446933013</v>
      </c>
      <c r="E178" s="11">
        <v>2.3691786769279668</v>
      </c>
      <c r="F178" s="11">
        <v>2.4876376107743656</v>
      </c>
      <c r="G178" s="11">
        <v>2.6120194913130836</v>
      </c>
      <c r="H178" s="11">
        <v>2.7426204658787379</v>
      </c>
      <c r="I178" s="11">
        <v>2.879751489172675</v>
      </c>
      <c r="J178" s="11">
        <v>3.0237390636313086</v>
      </c>
      <c r="K178" s="11">
        <v>3.1749260168128743</v>
      </c>
      <c r="L178" s="11">
        <v>3.3336723176535177</v>
      </c>
      <c r="M178" s="11">
        <v>3.500355933536194</v>
      </c>
      <c r="N178" s="11">
        <v>3.6753737302130043</v>
      </c>
      <c r="O178" s="11">
        <v>3.8591424167236545</v>
      </c>
      <c r="P178" s="11">
        <v>4.0520995375598376</v>
      </c>
      <c r="Q178" s="11">
        <v>4.2547045144378295</v>
      </c>
      <c r="R178" s="11">
        <v>4.4674397401597217</v>
      </c>
      <c r="S178" s="11">
        <v>4.6908117271677066</v>
      </c>
      <c r="T178" s="11">
        <v>4.9253523135260915</v>
      </c>
      <c r="U178" s="11">
        <v>5.1716199292023974</v>
      </c>
      <c r="V178" s="11">
        <v>5.4302009256625174</v>
      </c>
      <c r="W178" s="11">
        <v>5.7017109719456442</v>
      </c>
      <c r="X178" s="11">
        <v>5.9867965205429252</v>
      </c>
      <c r="Y178" s="11">
        <v>6.2861363465700721</v>
      </c>
      <c r="Z178" s="11">
        <v>6.6004431638985759</v>
      </c>
      <c r="AA178" s="11">
        <v>6.9304653220935037</v>
      </c>
      <c r="AB178" s="11">
        <v>7.2769885881981811</v>
      </c>
      <c r="AC178" s="11">
        <v>7.6408380176080897</v>
      </c>
      <c r="AD178" s="11">
        <v>8.022879918488492</v>
      </c>
      <c r="AE178" s="11">
        <v>8.4240239144129188</v>
      </c>
      <c r="AF178" s="11">
        <v>8.8452251101335655</v>
      </c>
      <c r="AG178" s="11">
        <v>9.2874863656402447</v>
      </c>
      <c r="AH178" s="11">
        <v>9.7518606839222564</v>
      </c>
      <c r="AI178" s="11">
        <v>10.239453718118369</v>
      </c>
      <c r="AJ178" s="11">
        <v>10.75142640402429</v>
      </c>
      <c r="AK178" s="11">
        <v>11.288997724225505</v>
      </c>
      <c r="AL178" s="11">
        <v>11.853447610436779</v>
      </c>
      <c r="AM178" s="11">
        <v>12.446119990958621</v>
      </c>
      <c r="AN178" s="11">
        <v>13.068425990506553</v>
      </c>
    </row>
    <row r="179" spans="1:40" x14ac:dyDescent="0.2">
      <c r="A179" s="6" t="s">
        <v>10</v>
      </c>
      <c r="B179" s="11">
        <v>2.0147907086716776E-3</v>
      </c>
      <c r="C179" s="11">
        <v>2.1155302441052616E-3</v>
      </c>
      <c r="D179" s="11">
        <v>2.2213067563105248E-3</v>
      </c>
      <c r="E179" s="11">
        <v>2.3323720941260508E-3</v>
      </c>
      <c r="F179" s="11">
        <v>2.4489906988323538E-3</v>
      </c>
      <c r="G179" s="11">
        <v>2.5714402337739719E-3</v>
      </c>
      <c r="H179" s="11">
        <v>2.7000122454626701E-3</v>
      </c>
      <c r="I179" s="11">
        <v>2.8350128577358039E-3</v>
      </c>
      <c r="J179" s="11">
        <v>2.9767635006225945E-3</v>
      </c>
      <c r="K179" s="11">
        <v>3.1256016756537235E-3</v>
      </c>
      <c r="L179" s="11">
        <v>3.28188175943641E-3</v>
      </c>
      <c r="M179" s="11">
        <v>3.4459758474082308E-3</v>
      </c>
      <c r="N179" s="11">
        <v>3.6182746397786427E-3</v>
      </c>
      <c r="O179" s="11">
        <v>3.7991883717675753E-3</v>
      </c>
      <c r="P179" s="11">
        <v>3.9891477903559536E-3</v>
      </c>
      <c r="Q179" s="11">
        <v>4.1886051798737519E-3</v>
      </c>
      <c r="R179" s="11">
        <v>4.3980354388674396E-3</v>
      </c>
      <c r="S179" s="11">
        <v>4.6179372108108106E-3</v>
      </c>
      <c r="T179" s="11">
        <v>4.8488340713513508E-3</v>
      </c>
      <c r="U179" s="11">
        <v>5.09127577491892E-3</v>
      </c>
      <c r="V179" s="11">
        <v>5.3458395636648663E-3</v>
      </c>
      <c r="W179" s="11">
        <v>5.6131315418481093E-3</v>
      </c>
      <c r="X179" s="11">
        <v>5.8937881189405151E-3</v>
      </c>
      <c r="Y179" s="11">
        <v>6.1884775248875401E-3</v>
      </c>
      <c r="Z179" s="11">
        <v>6.497901401131918E-3</v>
      </c>
      <c r="AA179" s="11">
        <v>6.8227964711885126E-3</v>
      </c>
      <c r="AB179" s="11">
        <v>7.1639362947479397E-3</v>
      </c>
      <c r="AC179" s="11">
        <v>7.5221331094853369E-3</v>
      </c>
      <c r="AD179" s="11">
        <v>7.8982397649596022E-3</v>
      </c>
      <c r="AE179" s="11">
        <v>8.2931517532075835E-3</v>
      </c>
      <c r="AF179" s="11">
        <v>8.7078093408679644E-3</v>
      </c>
      <c r="AG179" s="11">
        <v>9.1431998079113622E-3</v>
      </c>
      <c r="AH179" s="11">
        <v>9.600359798306932E-3</v>
      </c>
      <c r="AI179" s="11">
        <v>1.0080377788222279E-2</v>
      </c>
      <c r="AJ179" s="11">
        <v>1.0584396677633393E-2</v>
      </c>
      <c r="AK179" s="11">
        <v>1.1113616511515063E-2</v>
      </c>
      <c r="AL179" s="11">
        <v>1.1669297337090816E-2</v>
      </c>
      <c r="AM179" s="11">
        <v>1.2252762203945359E-2</v>
      </c>
      <c r="AN179" s="11">
        <v>1.2865400314142628E-2</v>
      </c>
    </row>
    <row r="181" spans="1:40" x14ac:dyDescent="0.2">
      <c r="A181" s="5" t="s">
        <v>3</v>
      </c>
    </row>
    <row r="182" spans="1:40" x14ac:dyDescent="0.2">
      <c r="A182" s="5" t="s">
        <v>4</v>
      </c>
    </row>
    <row r="183" spans="1:40" x14ac:dyDescent="0.2">
      <c r="A183" s="5" t="s">
        <v>71</v>
      </c>
    </row>
    <row r="184" spans="1:40" x14ac:dyDescent="0.2">
      <c r="A184" s="5" t="s">
        <v>6</v>
      </c>
    </row>
    <row r="185" spans="1:40" x14ac:dyDescent="0.2">
      <c r="A185" s="5"/>
    </row>
    <row r="186" spans="1:40" x14ac:dyDescent="0.2">
      <c r="A186" s="6" t="s">
        <v>7</v>
      </c>
      <c r="B186" s="6">
        <v>2022</v>
      </c>
      <c r="C186" s="6">
        <v>2023</v>
      </c>
      <c r="D186" s="6">
        <v>2024</v>
      </c>
      <c r="E186" s="6">
        <v>2025</v>
      </c>
      <c r="F186" s="6">
        <v>2026</v>
      </c>
      <c r="G186" s="6">
        <v>2027</v>
      </c>
      <c r="H186" s="6">
        <v>2028</v>
      </c>
      <c r="I186" s="6">
        <v>2029</v>
      </c>
      <c r="J186" s="6">
        <v>2030</v>
      </c>
      <c r="K186" s="6">
        <v>2031</v>
      </c>
      <c r="L186" s="6">
        <v>2032</v>
      </c>
      <c r="M186" s="6">
        <v>2033</v>
      </c>
      <c r="N186" s="6">
        <v>2034</v>
      </c>
      <c r="O186" s="6">
        <v>2035</v>
      </c>
      <c r="P186" s="6">
        <v>2036</v>
      </c>
      <c r="Q186" s="6">
        <v>2037</v>
      </c>
      <c r="R186" s="6">
        <v>2038</v>
      </c>
      <c r="S186" s="6">
        <v>2039</v>
      </c>
      <c r="T186" s="6">
        <v>2040</v>
      </c>
      <c r="U186" s="6">
        <v>2041</v>
      </c>
      <c r="V186" s="6">
        <v>2042</v>
      </c>
      <c r="W186" s="6">
        <v>2043</v>
      </c>
      <c r="X186" s="6">
        <v>2044</v>
      </c>
      <c r="Y186" s="6">
        <v>2045</v>
      </c>
      <c r="Z186" s="6">
        <v>2046</v>
      </c>
      <c r="AA186" s="6">
        <v>2047</v>
      </c>
      <c r="AB186" s="6">
        <v>2048</v>
      </c>
      <c r="AC186" s="6">
        <v>2049</v>
      </c>
      <c r="AD186" s="6">
        <v>2050</v>
      </c>
      <c r="AE186" s="6">
        <v>2051</v>
      </c>
      <c r="AF186" s="6">
        <v>2052</v>
      </c>
      <c r="AG186" s="6">
        <v>2053</v>
      </c>
      <c r="AH186" s="6">
        <v>2054</v>
      </c>
      <c r="AI186" s="6">
        <v>2055</v>
      </c>
      <c r="AJ186" s="6">
        <v>2056</v>
      </c>
      <c r="AK186" s="6">
        <v>2057</v>
      </c>
      <c r="AL186" s="6">
        <v>2058</v>
      </c>
      <c r="AM186" s="6">
        <v>2059</v>
      </c>
      <c r="AN186" s="6">
        <v>2060</v>
      </c>
    </row>
    <row r="187" spans="1:40" x14ac:dyDescent="0.2">
      <c r="A187" s="6" t="s">
        <v>8</v>
      </c>
      <c r="B187" s="11">
        <v>0.21226829653032014</v>
      </c>
      <c r="C187" s="11">
        <v>0.22288171135683618</v>
      </c>
      <c r="D187" s="11">
        <v>0.23402579692467795</v>
      </c>
      <c r="E187" s="11">
        <v>0.2457270867709119</v>
      </c>
      <c r="F187" s="11">
        <v>0.25801344110945756</v>
      </c>
      <c r="G187" s="11">
        <v>0.27091411316493036</v>
      </c>
      <c r="H187" s="11">
        <v>0.28445981882317695</v>
      </c>
      <c r="I187" s="11">
        <v>0.29868280976433581</v>
      </c>
      <c r="J187" s="11">
        <v>0.3136169502525526</v>
      </c>
      <c r="K187" s="11">
        <v>0.32929779776518026</v>
      </c>
      <c r="L187" s="11">
        <v>0.3457626876534392</v>
      </c>
      <c r="M187" s="11">
        <v>0.36305082203611116</v>
      </c>
      <c r="N187" s="11">
        <v>0.38120336313791681</v>
      </c>
      <c r="O187" s="11">
        <v>0.40026353129481274</v>
      </c>
      <c r="P187" s="11">
        <v>0.42027670785955329</v>
      </c>
      <c r="Q187" s="11">
        <v>0.44129054325253103</v>
      </c>
      <c r="R187" s="11">
        <v>0.46335507041515761</v>
      </c>
      <c r="S187" s="11">
        <v>0.48652282393591545</v>
      </c>
      <c r="T187" s="11">
        <v>0.51084896513271116</v>
      </c>
      <c r="U187" s="11">
        <v>0.53639141338934693</v>
      </c>
      <c r="V187" s="11">
        <v>0.5632109840588142</v>
      </c>
      <c r="W187" s="11">
        <v>0.59137153326175496</v>
      </c>
      <c r="X187" s="11">
        <v>0.62094010992484272</v>
      </c>
      <c r="Y187" s="11">
        <v>0.65198711542108467</v>
      </c>
      <c r="Z187" s="11">
        <v>0.684586471192139</v>
      </c>
      <c r="AA187" s="11">
        <v>0.71881579475174617</v>
      </c>
      <c r="AB187" s="11">
        <v>0.75475658448933336</v>
      </c>
      <c r="AC187" s="11">
        <v>0.79249441371380003</v>
      </c>
      <c r="AD187" s="11">
        <v>0.83211913439948992</v>
      </c>
      <c r="AE187" s="11">
        <v>0.8737250911194645</v>
      </c>
      <c r="AF187" s="11">
        <v>0.91741134567543792</v>
      </c>
      <c r="AG187" s="11">
        <v>0.96328191295920973</v>
      </c>
      <c r="AH187" s="11">
        <v>1.0114460086071704</v>
      </c>
      <c r="AI187" s="11">
        <v>1.062018309037529</v>
      </c>
      <c r="AJ187" s="11">
        <v>1.1151192244894055</v>
      </c>
      <c r="AK187" s="11">
        <v>1.1708751857138757</v>
      </c>
      <c r="AL187" s="11">
        <v>1.2294189449995696</v>
      </c>
      <c r="AM187" s="11">
        <v>1.290889892249548</v>
      </c>
      <c r="AN187" s="11">
        <v>1.3554343868620258</v>
      </c>
    </row>
    <row r="188" spans="1:40" x14ac:dyDescent="0.2">
      <c r="A188" s="6" t="s">
        <v>9</v>
      </c>
      <c r="B188" s="11">
        <v>2.1779600971771669</v>
      </c>
      <c r="C188" s="11">
        <v>2.2868581020360255</v>
      </c>
      <c r="D188" s="11">
        <v>2.4012010071378262</v>
      </c>
      <c r="E188" s="11">
        <v>2.5212610574947183</v>
      </c>
      <c r="F188" s="11">
        <v>2.6473241103694547</v>
      </c>
      <c r="G188" s="11">
        <v>2.7796903158879269</v>
      </c>
      <c r="H188" s="11">
        <v>2.9186748316823241</v>
      </c>
      <c r="I188" s="11">
        <v>3.0646085732664399</v>
      </c>
      <c r="J188" s="11">
        <v>3.2178390019297622</v>
      </c>
      <c r="K188" s="11">
        <v>3.3787309520262503</v>
      </c>
      <c r="L188" s="11">
        <v>3.5476674996275626</v>
      </c>
      <c r="M188" s="11">
        <v>3.7250508746089408</v>
      </c>
      <c r="N188" s="11">
        <v>3.9113034183393882</v>
      </c>
      <c r="O188" s="11">
        <v>4.1068685892563588</v>
      </c>
      <c r="P188" s="11">
        <v>4.3122120187191761</v>
      </c>
      <c r="Q188" s="11">
        <v>4.5278226196551357</v>
      </c>
      <c r="R188" s="11">
        <v>4.7542137506378923</v>
      </c>
      <c r="S188" s="11">
        <v>4.9919244381697867</v>
      </c>
      <c r="T188" s="11">
        <v>5.241520660078276</v>
      </c>
      <c r="U188" s="11">
        <v>5.5035966930821907</v>
      </c>
      <c r="V188" s="11">
        <v>5.7787765277362997</v>
      </c>
      <c r="W188" s="11">
        <v>6.0677153541231155</v>
      </c>
      <c r="X188" s="11">
        <v>6.3711011218292706</v>
      </c>
      <c r="Y188" s="11">
        <v>6.6896561779207344</v>
      </c>
      <c r="Z188" s="11">
        <v>7.0241389868167712</v>
      </c>
      <c r="AA188" s="11">
        <v>7.3753459361576104</v>
      </c>
      <c r="AB188" s="11">
        <v>7.7441132329654909</v>
      </c>
      <c r="AC188" s="11">
        <v>8.1313188946137647</v>
      </c>
      <c r="AD188" s="11">
        <v>8.5378848393444517</v>
      </c>
      <c r="AE188" s="11">
        <v>8.9647790813116757</v>
      </c>
      <c r="AF188" s="11">
        <v>9.413018035377263</v>
      </c>
      <c r="AG188" s="11">
        <v>9.8836689371461244</v>
      </c>
      <c r="AH188" s="11">
        <v>10.377852384003432</v>
      </c>
      <c r="AI188" s="11">
        <v>10.896745003203604</v>
      </c>
      <c r="AJ188" s="11">
        <v>11.441582253363785</v>
      </c>
      <c r="AK188" s="11">
        <v>12.013661366031975</v>
      </c>
      <c r="AL188" s="11">
        <v>12.614344434333574</v>
      </c>
      <c r="AM188" s="11">
        <v>13.245061656050252</v>
      </c>
      <c r="AN188" s="11">
        <v>13.907314738852767</v>
      </c>
    </row>
    <row r="189" spans="1:40" x14ac:dyDescent="0.2">
      <c r="A189" s="6" t="s">
        <v>10</v>
      </c>
      <c r="B189" s="11">
        <v>2.144124207467069E-3</v>
      </c>
      <c r="C189" s="11">
        <v>2.251330417840423E-3</v>
      </c>
      <c r="D189" s="11">
        <v>2.3638969387324441E-3</v>
      </c>
      <c r="E189" s="11">
        <v>2.4820917856690659E-3</v>
      </c>
      <c r="F189" s="11">
        <v>2.6061963749525198E-3</v>
      </c>
      <c r="G189" s="11">
        <v>2.7365061937001459E-3</v>
      </c>
      <c r="H189" s="11">
        <v>2.8733315033851532E-3</v>
      </c>
      <c r="I189" s="11">
        <v>3.0169980785544116E-3</v>
      </c>
      <c r="J189" s="11">
        <v>3.1678479824821322E-3</v>
      </c>
      <c r="K189" s="11">
        <v>3.3262403816062386E-3</v>
      </c>
      <c r="L189" s="11">
        <v>3.4925524006865502E-3</v>
      </c>
      <c r="M189" s="11">
        <v>3.6671800207208776E-3</v>
      </c>
      <c r="N189" s="11">
        <v>3.8505390217569223E-3</v>
      </c>
      <c r="O189" s="11">
        <v>4.0430659728447685E-3</v>
      </c>
      <c r="P189" s="11">
        <v>4.2452192714870071E-3</v>
      </c>
      <c r="Q189" s="11">
        <v>4.4574802350613582E-3</v>
      </c>
      <c r="R189" s="11">
        <v>4.680354246814426E-3</v>
      </c>
      <c r="S189" s="11">
        <v>4.9143719591551475E-3</v>
      </c>
      <c r="T189" s="11">
        <v>5.1600905571129035E-3</v>
      </c>
      <c r="U189" s="11">
        <v>5.4180950849685508E-3</v>
      </c>
      <c r="V189" s="11">
        <v>5.6889998392169773E-3</v>
      </c>
      <c r="W189" s="11">
        <v>5.9734498311778267E-3</v>
      </c>
      <c r="X189" s="11">
        <v>6.2721223227367191E-3</v>
      </c>
      <c r="Y189" s="11">
        <v>6.5857284388735537E-3</v>
      </c>
      <c r="Z189" s="11">
        <v>6.9150148608172306E-3</v>
      </c>
      <c r="AA189" s="11">
        <v>7.2607656038580944E-3</v>
      </c>
      <c r="AB189" s="11">
        <v>7.6238038840509992E-3</v>
      </c>
      <c r="AC189" s="11">
        <v>8.0049940782535491E-3</v>
      </c>
      <c r="AD189" s="11">
        <v>8.4052437821662256E-3</v>
      </c>
      <c r="AE189" s="11">
        <v>8.8255059712745373E-3</v>
      </c>
      <c r="AF189" s="11">
        <v>9.2667812698382663E-3</v>
      </c>
      <c r="AG189" s="11">
        <v>9.7301203333301795E-3</v>
      </c>
      <c r="AH189" s="11">
        <v>1.0216626349996689E-2</v>
      </c>
      <c r="AI189" s="11">
        <v>1.0727457667496524E-2</v>
      </c>
      <c r="AJ189" s="11">
        <v>1.1263830550871351E-2</v>
      </c>
      <c r="AK189" s="11">
        <v>1.182702207841492E-2</v>
      </c>
      <c r="AL189" s="11">
        <v>1.2418373182335666E-2</v>
      </c>
      <c r="AM189" s="11">
        <v>1.3039291841452449E-2</v>
      </c>
      <c r="AN189" s="11">
        <v>1.3691256433525072E-2</v>
      </c>
    </row>
    <row r="191" spans="1:40" x14ac:dyDescent="0.2">
      <c r="A191" s="5" t="s">
        <v>3</v>
      </c>
    </row>
    <row r="192" spans="1:40" x14ac:dyDescent="0.2">
      <c r="A192" s="5" t="s">
        <v>4</v>
      </c>
    </row>
    <row r="193" spans="1:40" x14ac:dyDescent="0.2">
      <c r="A193" s="5" t="s">
        <v>73</v>
      </c>
    </row>
    <row r="194" spans="1:40" x14ac:dyDescent="0.2">
      <c r="A194" s="5" t="s">
        <v>6</v>
      </c>
    </row>
    <row r="195" spans="1:40" x14ac:dyDescent="0.2">
      <c r="A195" s="5"/>
    </row>
    <row r="196" spans="1:40" x14ac:dyDescent="0.2">
      <c r="A196" s="6" t="s">
        <v>7</v>
      </c>
      <c r="B196" s="6">
        <v>2022</v>
      </c>
      <c r="C196" s="6">
        <v>2023</v>
      </c>
      <c r="D196" s="6">
        <v>2024</v>
      </c>
      <c r="E196" s="6">
        <v>2025</v>
      </c>
      <c r="F196" s="6">
        <v>2026</v>
      </c>
      <c r="G196" s="6">
        <v>2027</v>
      </c>
      <c r="H196" s="6">
        <v>2028</v>
      </c>
      <c r="I196" s="6">
        <v>2029</v>
      </c>
      <c r="J196" s="6">
        <v>2030</v>
      </c>
      <c r="K196" s="6">
        <v>2031</v>
      </c>
      <c r="L196" s="6">
        <v>2032</v>
      </c>
      <c r="M196" s="6">
        <v>2033</v>
      </c>
      <c r="N196" s="6">
        <v>2034</v>
      </c>
      <c r="O196" s="6">
        <v>2035</v>
      </c>
      <c r="P196" s="6">
        <v>2036</v>
      </c>
      <c r="Q196" s="6">
        <v>2037</v>
      </c>
      <c r="R196" s="6">
        <v>2038</v>
      </c>
      <c r="S196" s="6">
        <v>2039</v>
      </c>
      <c r="T196" s="6">
        <v>2040</v>
      </c>
      <c r="U196" s="6">
        <v>2041</v>
      </c>
      <c r="V196" s="6">
        <v>2042</v>
      </c>
      <c r="W196" s="6">
        <v>2043</v>
      </c>
      <c r="X196" s="6">
        <v>2044</v>
      </c>
      <c r="Y196" s="6">
        <v>2045</v>
      </c>
      <c r="Z196" s="6">
        <v>2046</v>
      </c>
      <c r="AA196" s="6">
        <v>2047</v>
      </c>
      <c r="AB196" s="6">
        <v>2048</v>
      </c>
      <c r="AC196" s="6">
        <v>2049</v>
      </c>
      <c r="AD196" s="6">
        <v>2050</v>
      </c>
      <c r="AE196" s="6">
        <v>2051</v>
      </c>
      <c r="AF196" s="6">
        <v>2052</v>
      </c>
      <c r="AG196" s="6">
        <v>2053</v>
      </c>
      <c r="AH196" s="6">
        <v>2054</v>
      </c>
      <c r="AI196" s="6">
        <v>2055</v>
      </c>
      <c r="AJ196" s="6">
        <v>2056</v>
      </c>
      <c r="AK196" s="6">
        <v>2057</v>
      </c>
      <c r="AL196" s="6">
        <v>2058</v>
      </c>
      <c r="AM196" s="6">
        <v>2059</v>
      </c>
      <c r="AN196" s="6">
        <v>2060</v>
      </c>
    </row>
    <row r="197" spans="1:40" x14ac:dyDescent="0.2">
      <c r="A197" s="6" t="s">
        <v>8</v>
      </c>
      <c r="B197" s="11">
        <v>0.50881988603167849</v>
      </c>
      <c r="C197" s="11">
        <v>0.53426088033326236</v>
      </c>
      <c r="D197" s="11">
        <v>0.56097392434992543</v>
      </c>
      <c r="E197" s="11">
        <v>0.58902262056742183</v>
      </c>
      <c r="F197" s="11">
        <v>0.61847375159579288</v>
      </c>
      <c r="G197" s="11">
        <v>0.64939743917558257</v>
      </c>
      <c r="H197" s="11">
        <v>0.68186731113436183</v>
      </c>
      <c r="I197" s="11">
        <v>0.71596067669107999</v>
      </c>
      <c r="J197" s="11">
        <v>0.75175871052563381</v>
      </c>
      <c r="K197" s="11">
        <v>0.78934664605191562</v>
      </c>
      <c r="L197" s="11">
        <v>0.82881397835451154</v>
      </c>
      <c r="M197" s="11">
        <v>0.87025467727223693</v>
      </c>
      <c r="N197" s="11">
        <v>0.91376741113584903</v>
      </c>
      <c r="O197" s="11">
        <v>0.95945578169264145</v>
      </c>
      <c r="P197" s="11">
        <v>1.0074285707772737</v>
      </c>
      <c r="Q197" s="11">
        <v>1.0577999993161373</v>
      </c>
      <c r="R197" s="11">
        <v>1.1106899992819441</v>
      </c>
      <c r="S197" s="11">
        <v>1.1662244992460413</v>
      </c>
      <c r="T197" s="11">
        <v>1.2245357242083437</v>
      </c>
      <c r="U197" s="11">
        <v>1.2857625104187604</v>
      </c>
      <c r="V197" s="11">
        <v>1.3500506359396987</v>
      </c>
      <c r="W197" s="11">
        <v>1.4175531677366837</v>
      </c>
      <c r="X197" s="11">
        <v>1.488430826123518</v>
      </c>
      <c r="Y197" s="11">
        <v>1.5628523674296939</v>
      </c>
      <c r="Z197" s="11">
        <v>1.6409949858011788</v>
      </c>
      <c r="AA197" s="11">
        <v>1.7230447350912375</v>
      </c>
      <c r="AB197" s="11">
        <v>1.8091969718457996</v>
      </c>
      <c r="AC197" s="11">
        <v>1.8996568204380895</v>
      </c>
      <c r="AD197" s="11">
        <v>1.9946396614599937</v>
      </c>
      <c r="AE197" s="11">
        <v>2.0943716445329938</v>
      </c>
      <c r="AF197" s="11">
        <v>2.1990902267596435</v>
      </c>
      <c r="AG197" s="11">
        <v>2.3090447380976258</v>
      </c>
      <c r="AH197" s="11">
        <v>2.4244969750025076</v>
      </c>
      <c r="AI197" s="11">
        <v>2.5457218237526322</v>
      </c>
      <c r="AJ197" s="11">
        <v>2.6730079149402646</v>
      </c>
      <c r="AK197" s="11">
        <v>2.8066583106872782</v>
      </c>
      <c r="AL197" s="11">
        <v>2.946991226221642</v>
      </c>
      <c r="AM197" s="11">
        <v>3.0943407875327242</v>
      </c>
      <c r="AN197" s="11">
        <v>3.2490578269093606</v>
      </c>
    </row>
    <row r="198" spans="1:40" x14ac:dyDescent="0.2">
      <c r="A198" s="6" t="s">
        <v>9</v>
      </c>
      <c r="B198" s="11">
        <v>5.2207014732835386</v>
      </c>
      <c r="C198" s="11">
        <v>5.4817365469477153</v>
      </c>
      <c r="D198" s="11">
        <v>5.755823374295101</v>
      </c>
      <c r="E198" s="11">
        <v>6.0436145430098565</v>
      </c>
      <c r="F198" s="11">
        <v>6.3457952701603499</v>
      </c>
      <c r="G198" s="11">
        <v>6.6630850336683674</v>
      </c>
      <c r="H198" s="11">
        <v>6.9962392853517867</v>
      </c>
      <c r="I198" s="11">
        <v>7.3460512496193759</v>
      </c>
      <c r="J198" s="11">
        <v>7.713353812100344</v>
      </c>
      <c r="K198" s="11">
        <v>8.0990215027053623</v>
      </c>
      <c r="L198" s="11">
        <v>8.5039725778406314</v>
      </c>
      <c r="M198" s="11">
        <v>8.9291712067326614</v>
      </c>
      <c r="N198" s="11">
        <v>9.3756297670692952</v>
      </c>
      <c r="O198" s="11">
        <v>9.8444112554227612</v>
      </c>
      <c r="P198" s="11">
        <v>10.336631818193901</v>
      </c>
      <c r="Q198" s="11">
        <v>10.853463409103597</v>
      </c>
      <c r="R198" s="11">
        <v>11.396136579558775</v>
      </c>
      <c r="S198" s="11">
        <v>11.965943408536713</v>
      </c>
      <c r="T198" s="11">
        <v>12.564240578963551</v>
      </c>
      <c r="U198" s="11">
        <v>13.192452607911727</v>
      </c>
      <c r="V198" s="11">
        <v>13.852075238307314</v>
      </c>
      <c r="W198" s="11">
        <v>14.544679000222681</v>
      </c>
      <c r="X198" s="11">
        <v>15.271912950233819</v>
      </c>
      <c r="Y198" s="11">
        <v>16.035508597745508</v>
      </c>
      <c r="Z198" s="11">
        <v>16.837284027632784</v>
      </c>
      <c r="AA198" s="11">
        <v>17.67914822901442</v>
      </c>
      <c r="AB198" s="11">
        <v>18.563105640465146</v>
      </c>
      <c r="AC198" s="11">
        <v>19.491260922488404</v>
      </c>
      <c r="AD198" s="11">
        <v>20.46582396861282</v>
      </c>
      <c r="AE198" s="11">
        <v>21.489115167043465</v>
      </c>
      <c r="AF198" s="11">
        <v>22.563570925395638</v>
      </c>
      <c r="AG198" s="11">
        <v>23.691749471665421</v>
      </c>
      <c r="AH198" s="11">
        <v>24.876336945248699</v>
      </c>
      <c r="AI198" s="11">
        <v>26.120153792511129</v>
      </c>
      <c r="AJ198" s="11">
        <v>27.426161482136685</v>
      </c>
      <c r="AK198" s="11">
        <v>28.797469556243527</v>
      </c>
      <c r="AL198" s="11">
        <v>30.237343034055698</v>
      </c>
      <c r="AM198" s="11">
        <v>31.749210185758486</v>
      </c>
      <c r="AN198" s="11">
        <v>33.336670695046415</v>
      </c>
    </row>
    <row r="199" spans="1:40" x14ac:dyDescent="0.2">
      <c r="A199" s="6" t="s">
        <v>10</v>
      </c>
      <c r="B199" s="11">
        <v>5.1395948086167629E-3</v>
      </c>
      <c r="C199" s="11">
        <v>5.3965745490476003E-3</v>
      </c>
      <c r="D199" s="11">
        <v>5.6664032764999813E-3</v>
      </c>
      <c r="E199" s="11">
        <v>5.949723440324981E-3</v>
      </c>
      <c r="F199" s="11">
        <v>6.247209612341229E-3</v>
      </c>
      <c r="G199" s="11">
        <v>6.559570092958291E-3</v>
      </c>
      <c r="H199" s="11">
        <v>6.8875485976062079E-3</v>
      </c>
      <c r="I199" s="11">
        <v>7.2319260274865179E-3</v>
      </c>
      <c r="J199" s="11">
        <v>7.5935223288608423E-3</v>
      </c>
      <c r="K199" s="11">
        <v>7.9731984453038848E-3</v>
      </c>
      <c r="L199" s="11">
        <v>8.3718583675690805E-3</v>
      </c>
      <c r="M199" s="11">
        <v>8.7904512859475342E-3</v>
      </c>
      <c r="N199" s="11">
        <v>9.2299738502449116E-3</v>
      </c>
      <c r="O199" s="11">
        <v>9.6914725427571582E-3</v>
      </c>
      <c r="P199" s="11">
        <v>1.0176046169895019E-2</v>
      </c>
      <c r="Q199" s="11">
        <v>1.0684848478389769E-2</v>
      </c>
      <c r="R199" s="11">
        <v>1.1219090902309256E-2</v>
      </c>
      <c r="S199" s="11">
        <v>1.1780045447424718E-2</v>
      </c>
      <c r="T199" s="11">
        <v>1.2369047719795955E-2</v>
      </c>
      <c r="U199" s="11">
        <v>1.2987500105785752E-2</v>
      </c>
      <c r="V199" s="11">
        <v>1.3636875111075039E-2</v>
      </c>
      <c r="W199" s="11">
        <v>1.4318718866628792E-2</v>
      </c>
      <c r="X199" s="11">
        <v>1.5034654809960236E-2</v>
      </c>
      <c r="Y199" s="11">
        <v>1.5786387550458244E-2</v>
      </c>
      <c r="Z199" s="11">
        <v>1.657570692798116E-2</v>
      </c>
      <c r="AA199" s="11">
        <v>1.7404492274380214E-2</v>
      </c>
      <c r="AB199" s="11">
        <v>1.8274716888099226E-2</v>
      </c>
      <c r="AC199" s="11">
        <v>1.9188452732504191E-2</v>
      </c>
      <c r="AD199" s="11">
        <v>2.0147875369129396E-2</v>
      </c>
      <c r="AE199" s="11">
        <v>2.1155269137585871E-2</v>
      </c>
      <c r="AF199" s="11">
        <v>2.2213032594465162E-2</v>
      </c>
      <c r="AG199" s="11">
        <v>2.3323684224188422E-2</v>
      </c>
      <c r="AH199" s="11">
        <v>2.4489868435397851E-2</v>
      </c>
      <c r="AI199" s="11">
        <v>2.5714361857167738E-2</v>
      </c>
      <c r="AJ199" s="11">
        <v>2.7000079950026127E-2</v>
      </c>
      <c r="AK199" s="11">
        <v>2.8350083947527437E-2</v>
      </c>
      <c r="AL199" s="11">
        <v>2.9767588144903809E-2</v>
      </c>
      <c r="AM199" s="11">
        <v>3.1255967552148996E-2</v>
      </c>
      <c r="AN199" s="11">
        <v>3.2818765929756452E-2</v>
      </c>
    </row>
    <row r="201" spans="1:40" x14ac:dyDescent="0.2">
      <c r="A201" s="5" t="s">
        <v>3</v>
      </c>
    </row>
    <row r="202" spans="1:40" x14ac:dyDescent="0.2">
      <c r="A202" s="5" t="s">
        <v>4</v>
      </c>
    </row>
    <row r="203" spans="1:40" x14ac:dyDescent="0.2">
      <c r="A203" s="5" t="s">
        <v>75</v>
      </c>
    </row>
    <row r="204" spans="1:40" x14ac:dyDescent="0.2">
      <c r="A204" s="5" t="s">
        <v>6</v>
      </c>
    </row>
    <row r="205" spans="1:40" x14ac:dyDescent="0.2">
      <c r="A205" s="5"/>
    </row>
    <row r="206" spans="1:40" x14ac:dyDescent="0.2">
      <c r="A206" s="6" t="s">
        <v>7</v>
      </c>
      <c r="B206" s="6">
        <v>2022</v>
      </c>
      <c r="C206" s="6">
        <v>2023</v>
      </c>
      <c r="D206" s="6">
        <v>2024</v>
      </c>
      <c r="E206" s="6">
        <v>2025</v>
      </c>
      <c r="F206" s="6">
        <v>2026</v>
      </c>
      <c r="G206" s="6">
        <v>2027</v>
      </c>
      <c r="H206" s="6">
        <v>2028</v>
      </c>
      <c r="I206" s="6">
        <v>2029</v>
      </c>
      <c r="J206" s="6">
        <v>2030</v>
      </c>
      <c r="K206" s="6">
        <v>2031</v>
      </c>
      <c r="L206" s="6">
        <v>2032</v>
      </c>
      <c r="M206" s="6">
        <v>2033</v>
      </c>
      <c r="N206" s="6">
        <v>2034</v>
      </c>
      <c r="O206" s="6">
        <v>2035</v>
      </c>
      <c r="P206" s="6">
        <v>2036</v>
      </c>
      <c r="Q206" s="6">
        <v>2037</v>
      </c>
      <c r="R206" s="6">
        <v>2038</v>
      </c>
      <c r="S206" s="6">
        <v>2039</v>
      </c>
      <c r="T206" s="6">
        <v>2040</v>
      </c>
      <c r="U206" s="6">
        <v>2041</v>
      </c>
      <c r="V206" s="6">
        <v>2042</v>
      </c>
      <c r="W206" s="6">
        <v>2043</v>
      </c>
      <c r="X206" s="6">
        <v>2044</v>
      </c>
      <c r="Y206" s="6">
        <v>2045</v>
      </c>
      <c r="Z206" s="6">
        <v>2046</v>
      </c>
      <c r="AA206" s="6">
        <v>2047</v>
      </c>
      <c r="AB206" s="6">
        <v>2048</v>
      </c>
      <c r="AC206" s="6">
        <v>2049</v>
      </c>
      <c r="AD206" s="6">
        <v>2050</v>
      </c>
      <c r="AE206" s="6">
        <v>2051</v>
      </c>
      <c r="AF206" s="6">
        <v>2052</v>
      </c>
      <c r="AG206" s="6">
        <v>2053</v>
      </c>
      <c r="AH206" s="6">
        <v>2054</v>
      </c>
      <c r="AI206" s="6">
        <v>2055</v>
      </c>
      <c r="AJ206" s="6">
        <v>2056</v>
      </c>
      <c r="AK206" s="6">
        <v>2057</v>
      </c>
      <c r="AL206" s="6">
        <v>2058</v>
      </c>
      <c r="AM206" s="6">
        <v>2059</v>
      </c>
      <c r="AN206" s="6">
        <v>2060</v>
      </c>
    </row>
    <row r="207" spans="1:40" x14ac:dyDescent="0.2">
      <c r="A207" s="6" t="s">
        <v>43</v>
      </c>
      <c r="B207" s="11">
        <v>571.86994739845784</v>
      </c>
      <c r="C207" s="11">
        <v>573.82542379554525</v>
      </c>
      <c r="D207" s="11">
        <v>575.78090019263288</v>
      </c>
      <c r="E207" s="11">
        <v>577.73637658972041</v>
      </c>
      <c r="F207" s="11">
        <v>582.96724864833698</v>
      </c>
      <c r="G207" s="11">
        <v>588.19812070695355</v>
      </c>
      <c r="H207" s="11">
        <v>593.42899276557023</v>
      </c>
      <c r="I207" s="11">
        <v>598.65986482418668</v>
      </c>
      <c r="J207" s="11">
        <v>603.89073688280337</v>
      </c>
      <c r="K207" s="11">
        <v>608.28426512532474</v>
      </c>
      <c r="L207" s="11">
        <v>612.67779336784633</v>
      </c>
      <c r="M207" s="11">
        <v>617.0713216103677</v>
      </c>
      <c r="N207" s="11">
        <v>621.46484985288919</v>
      </c>
      <c r="O207" s="11">
        <v>625.85837809541067</v>
      </c>
      <c r="P207" s="11">
        <v>629.40488253418596</v>
      </c>
      <c r="Q207" s="11">
        <v>632.95138697296147</v>
      </c>
      <c r="R207" s="11">
        <v>636.49789141173676</v>
      </c>
      <c r="S207" s="11">
        <v>640.04439585051205</v>
      </c>
      <c r="T207" s="11">
        <v>643.59090028928745</v>
      </c>
      <c r="U207" s="11">
        <v>646.30897363410224</v>
      </c>
      <c r="V207" s="11">
        <v>649.02704697891693</v>
      </c>
      <c r="W207" s="11">
        <v>651.74512032373184</v>
      </c>
      <c r="X207" s="11">
        <v>654.46319366854664</v>
      </c>
      <c r="Y207" s="11">
        <v>657.18126701336132</v>
      </c>
      <c r="Z207" s="11">
        <v>659.10449060954954</v>
      </c>
      <c r="AA207" s="11">
        <v>661.02771420573788</v>
      </c>
      <c r="AB207" s="11">
        <v>662.95093780192622</v>
      </c>
      <c r="AC207" s="11">
        <v>664.87416139811432</v>
      </c>
      <c r="AD207" s="11">
        <v>666.79738499430266</v>
      </c>
      <c r="AE207" s="11">
        <v>666.79738499430266</v>
      </c>
      <c r="AF207" s="11">
        <v>666.79738499430266</v>
      </c>
      <c r="AG207" s="11">
        <v>666.79738499430266</v>
      </c>
      <c r="AH207" s="11">
        <v>666.79738499430266</v>
      </c>
      <c r="AI207" s="11">
        <v>666.79738499430266</v>
      </c>
      <c r="AJ207" s="11">
        <v>666.79738499430266</v>
      </c>
      <c r="AK207" s="11">
        <v>666.79738499430266</v>
      </c>
      <c r="AL207" s="11">
        <v>666.79738499430266</v>
      </c>
      <c r="AM207" s="11">
        <v>666.79738499430266</v>
      </c>
      <c r="AN207" s="11">
        <v>666.79738499430266</v>
      </c>
    </row>
    <row r="208" spans="1:40" x14ac:dyDescent="0.2">
      <c r="A208" s="6" t="s">
        <v>8</v>
      </c>
      <c r="B208" s="11">
        <v>437.3615194551079</v>
      </c>
      <c r="C208" s="11">
        <v>438.85705201837595</v>
      </c>
      <c r="D208" s="11">
        <v>440.35258458164412</v>
      </c>
      <c r="E208" s="11">
        <v>441.84811714491224</v>
      </c>
      <c r="F208" s="11">
        <v>445.84864587008718</v>
      </c>
      <c r="G208" s="11">
        <v>449.84917459526207</v>
      </c>
      <c r="H208" s="11">
        <v>453.84970332043713</v>
      </c>
      <c r="I208" s="11">
        <v>457.85023204561196</v>
      </c>
      <c r="J208" s="11">
        <v>461.85076077078691</v>
      </c>
      <c r="K208" s="11">
        <v>465.21089570471668</v>
      </c>
      <c r="L208" s="11">
        <v>468.5710306386465</v>
      </c>
      <c r="M208" s="11">
        <v>471.93116557257611</v>
      </c>
      <c r="N208" s="11">
        <v>475.29130050650588</v>
      </c>
      <c r="O208" s="11">
        <v>478.65143544043565</v>
      </c>
      <c r="P208" s="11">
        <v>481.36377340670458</v>
      </c>
      <c r="Q208" s="11">
        <v>484.07611137297363</v>
      </c>
      <c r="R208" s="11">
        <v>486.78844933924256</v>
      </c>
      <c r="S208" s="11">
        <v>489.50078730551149</v>
      </c>
      <c r="T208" s="11">
        <v>492.2131252717806</v>
      </c>
      <c r="U208" s="11">
        <v>494.29188582474649</v>
      </c>
      <c r="V208" s="11">
        <v>496.37064637771238</v>
      </c>
      <c r="W208" s="11">
        <v>498.44940693067832</v>
      </c>
      <c r="X208" s="11">
        <v>500.52816748364421</v>
      </c>
      <c r="Y208" s="11">
        <v>502.60692803661021</v>
      </c>
      <c r="Z208" s="11">
        <v>504.07779391810527</v>
      </c>
      <c r="AA208" s="11">
        <v>505.54865979960044</v>
      </c>
      <c r="AB208" s="11">
        <v>507.01952568109567</v>
      </c>
      <c r="AC208" s="11">
        <v>508.49039156259073</v>
      </c>
      <c r="AD208" s="11">
        <v>509.9612574440859</v>
      </c>
      <c r="AE208" s="11">
        <v>509.9612574440859</v>
      </c>
      <c r="AF208" s="11">
        <v>509.9612574440859</v>
      </c>
      <c r="AG208" s="11">
        <v>509.9612574440859</v>
      </c>
      <c r="AH208" s="11">
        <v>509.9612574440859</v>
      </c>
      <c r="AI208" s="11">
        <v>509.9612574440859</v>
      </c>
      <c r="AJ208" s="11">
        <v>509.9612574440859</v>
      </c>
      <c r="AK208" s="11">
        <v>509.9612574440859</v>
      </c>
      <c r="AL208" s="11">
        <v>509.9612574440859</v>
      </c>
      <c r="AM208" s="11">
        <v>509.9612574440859</v>
      </c>
      <c r="AN208" s="11">
        <v>509.9612574440859</v>
      </c>
    </row>
    <row r="209" spans="1:40" x14ac:dyDescent="0.2">
      <c r="A209" s="6" t="s">
        <v>9</v>
      </c>
      <c r="B209" s="11">
        <v>4483.6893976312422</v>
      </c>
      <c r="C209" s="11">
        <v>4499.0211156710257</v>
      </c>
      <c r="D209" s="11">
        <v>4514.35283371081</v>
      </c>
      <c r="E209" s="11">
        <v>4529.6845517505953</v>
      </c>
      <c r="F209" s="11">
        <v>4570.6966834359191</v>
      </c>
      <c r="G209" s="11">
        <v>4611.7088151212429</v>
      </c>
      <c r="H209" s="11">
        <v>4652.7209468065676</v>
      </c>
      <c r="I209" s="11">
        <v>4693.7330784918895</v>
      </c>
      <c r="J209" s="11">
        <v>4734.7452101772133</v>
      </c>
      <c r="K209" s="11">
        <v>4769.1922310231284</v>
      </c>
      <c r="L209" s="11">
        <v>4803.6392518690445</v>
      </c>
      <c r="M209" s="11">
        <v>4838.0862727149579</v>
      </c>
      <c r="N209" s="11">
        <v>4872.5332935608731</v>
      </c>
      <c r="O209" s="11">
        <v>4906.9803144067882</v>
      </c>
      <c r="P209" s="11">
        <v>4934.7863294336794</v>
      </c>
      <c r="Q209" s="11">
        <v>4962.5923444605723</v>
      </c>
      <c r="R209" s="11">
        <v>4990.3983594874635</v>
      </c>
      <c r="S209" s="11">
        <v>5018.2043745143546</v>
      </c>
      <c r="T209" s="11">
        <v>5046.0103895412467</v>
      </c>
      <c r="U209" s="11">
        <v>5067.3211730394369</v>
      </c>
      <c r="V209" s="11">
        <v>5088.631956537627</v>
      </c>
      <c r="W209" s="11">
        <v>5109.9427400358181</v>
      </c>
      <c r="X209" s="11">
        <v>5131.2535235340083</v>
      </c>
      <c r="Y209" s="11">
        <v>5152.5643070321994</v>
      </c>
      <c r="Z209" s="11">
        <v>5167.6431501970319</v>
      </c>
      <c r="AA209" s="11">
        <v>5182.7219933618671</v>
      </c>
      <c r="AB209" s="11">
        <v>5197.8008365267033</v>
      </c>
      <c r="AC209" s="11">
        <v>5212.8796796915367</v>
      </c>
      <c r="AD209" s="11">
        <v>5227.9585228563719</v>
      </c>
      <c r="AE209" s="11">
        <v>5227.9585228563719</v>
      </c>
      <c r="AF209" s="11">
        <v>5227.9585228563719</v>
      </c>
      <c r="AG209" s="11">
        <v>5227.9585228563719</v>
      </c>
      <c r="AH209" s="11">
        <v>5227.9585228563719</v>
      </c>
      <c r="AI209" s="11">
        <v>5227.9585228563719</v>
      </c>
      <c r="AJ209" s="11">
        <v>5227.9585228563719</v>
      </c>
      <c r="AK209" s="11">
        <v>5227.9585228563719</v>
      </c>
      <c r="AL209" s="11">
        <v>5227.9585228563719</v>
      </c>
      <c r="AM209" s="11">
        <v>5227.9585228563719</v>
      </c>
      <c r="AN209" s="11">
        <v>5227.9585228563719</v>
      </c>
    </row>
    <row r="210" spans="1:40" x14ac:dyDescent="0.2">
      <c r="A210" s="6" t="s">
        <v>10</v>
      </c>
      <c r="B210" s="11">
        <v>3.8942756739220519</v>
      </c>
      <c r="C210" s="11">
        <v>3.9075919256305904</v>
      </c>
      <c r="D210" s="11">
        <v>3.920908177339129</v>
      </c>
      <c r="E210" s="11">
        <v>3.9342244290476684</v>
      </c>
      <c r="F210" s="11">
        <v>3.9698452164381197</v>
      </c>
      <c r="G210" s="11">
        <v>4.0054660038285714</v>
      </c>
      <c r="H210" s="11">
        <v>4.0410867912190236</v>
      </c>
      <c r="I210" s="11">
        <v>4.076707578609474</v>
      </c>
      <c r="J210" s="11">
        <v>4.1123283659999252</v>
      </c>
      <c r="K210" s="11">
        <v>4.1422470743275364</v>
      </c>
      <c r="L210" s="11">
        <v>4.1721657826551493</v>
      </c>
      <c r="M210" s="11">
        <v>4.2020844909827595</v>
      </c>
      <c r="N210" s="11">
        <v>4.2320031993103706</v>
      </c>
      <c r="O210" s="11">
        <v>4.2619219076379826</v>
      </c>
      <c r="P210" s="11">
        <v>4.2860726188726055</v>
      </c>
      <c r="Q210" s="11">
        <v>4.3102233301072292</v>
      </c>
      <c r="R210" s="11">
        <v>4.3343740413418521</v>
      </c>
      <c r="S210" s="11">
        <v>4.3585247525764759</v>
      </c>
      <c r="T210" s="11">
        <v>4.3826754638110996</v>
      </c>
      <c r="U210" s="11">
        <v>4.4011847891477442</v>
      </c>
      <c r="V210" s="11">
        <v>4.4196941144843889</v>
      </c>
      <c r="W210" s="11">
        <v>4.4382034398210344</v>
      </c>
      <c r="X210" s="11">
        <v>4.456712765157679</v>
      </c>
      <c r="Y210" s="11">
        <v>4.4752220904943254</v>
      </c>
      <c r="Z210" s="11">
        <v>4.4883187095774222</v>
      </c>
      <c r="AA210" s="11">
        <v>4.5014153286605199</v>
      </c>
      <c r="AB210" s="11">
        <v>4.5145119477436184</v>
      </c>
      <c r="AC210" s="11">
        <v>4.5276085668267161</v>
      </c>
      <c r="AD210" s="11">
        <v>4.5407051859098138</v>
      </c>
      <c r="AE210" s="11">
        <v>4.5407051859098138</v>
      </c>
      <c r="AF210" s="11">
        <v>4.5407051859098138</v>
      </c>
      <c r="AG210" s="11">
        <v>4.5407051859098138</v>
      </c>
      <c r="AH210" s="11">
        <v>4.5407051859098138</v>
      </c>
      <c r="AI210" s="11">
        <v>4.5407051859098138</v>
      </c>
      <c r="AJ210" s="11">
        <v>4.5407051859098138</v>
      </c>
      <c r="AK210" s="11">
        <v>4.5407051859098138</v>
      </c>
      <c r="AL210" s="11">
        <v>4.5407051859098138</v>
      </c>
      <c r="AM210" s="11">
        <v>4.5407051859098138</v>
      </c>
      <c r="AN210" s="11">
        <v>4.5407051859098138</v>
      </c>
    </row>
    <row r="211" spans="1:40" x14ac:dyDescent="0.2">
      <c r="A211" s="6" t="s">
        <v>44</v>
      </c>
      <c r="B211" s="11">
        <v>7110.6675769762023</v>
      </c>
      <c r="C211" s="11">
        <v>7134.982095823656</v>
      </c>
      <c r="D211" s="11">
        <v>7159.2966146711105</v>
      </c>
      <c r="E211" s="11">
        <v>7183.611133518566</v>
      </c>
      <c r="F211" s="11">
        <v>7248.6521319408857</v>
      </c>
      <c r="G211" s="11">
        <v>7313.6931303632064</v>
      </c>
      <c r="H211" s="11">
        <v>7378.7341287855288</v>
      </c>
      <c r="I211" s="11">
        <v>7443.7751272078476</v>
      </c>
      <c r="J211" s="11">
        <v>7508.8161256301682</v>
      </c>
      <c r="K211" s="11">
        <v>7563.4455373779756</v>
      </c>
      <c r="L211" s="11">
        <v>7618.074949125782</v>
      </c>
      <c r="M211" s="11">
        <v>7672.7043608735867</v>
      </c>
      <c r="N211" s="11">
        <v>7727.333772621394</v>
      </c>
      <c r="O211" s="11">
        <v>7781.9631843691996</v>
      </c>
      <c r="P211" s="11">
        <v>7826.0606478556501</v>
      </c>
      <c r="Q211" s="11">
        <v>7870.1581113421034</v>
      </c>
      <c r="R211" s="11">
        <v>7914.2555748285531</v>
      </c>
      <c r="S211" s="11">
        <v>7958.3530383150046</v>
      </c>
      <c r="T211" s="11">
        <v>8002.4505018014552</v>
      </c>
      <c r="U211" s="11">
        <v>8036.2471999716281</v>
      </c>
      <c r="V211" s="11">
        <v>8070.0438981417983</v>
      </c>
      <c r="W211" s="11">
        <v>8103.8405963119703</v>
      </c>
      <c r="X211" s="11">
        <v>8137.6372944821414</v>
      </c>
      <c r="Y211" s="11">
        <v>8171.4339926523135</v>
      </c>
      <c r="Z211" s="11">
        <v>8195.3474781063105</v>
      </c>
      <c r="AA211" s="11">
        <v>8219.2609635603076</v>
      </c>
      <c r="AB211" s="11">
        <v>8243.1744490143083</v>
      </c>
      <c r="AC211" s="11">
        <v>8267.0879344683053</v>
      </c>
      <c r="AD211" s="11">
        <v>8291.0014199223024</v>
      </c>
      <c r="AE211" s="11">
        <v>8291.0014199223024</v>
      </c>
      <c r="AF211" s="11">
        <v>8291.0014199223024</v>
      </c>
      <c r="AG211" s="11">
        <v>8291.0014199223024</v>
      </c>
      <c r="AH211" s="11">
        <v>8291.0014199223024</v>
      </c>
      <c r="AI211" s="11">
        <v>8291.0014199223024</v>
      </c>
      <c r="AJ211" s="11">
        <v>8291.0014199223024</v>
      </c>
      <c r="AK211" s="11">
        <v>8291.0014199223024</v>
      </c>
      <c r="AL211" s="11">
        <v>8291.0014199223024</v>
      </c>
      <c r="AM211" s="11">
        <v>8291.0014199223024</v>
      </c>
      <c r="AN211" s="11">
        <v>8291.0014199223024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E10C8-8D15-3542-BC62-1529E315E94D}">
  <sheetPr>
    <tabColor theme="4" tint="0.79998168889431442"/>
  </sheetPr>
  <dimension ref="A1:AN226"/>
  <sheetViews>
    <sheetView topLeftCell="A70" zoomScale="106" workbookViewId="0">
      <selection activeCell="AK233" sqref="AK233"/>
    </sheetView>
  </sheetViews>
  <sheetFormatPr baseColWidth="10" defaultRowHeight="16" x14ac:dyDescent="0.2"/>
  <sheetData>
    <row r="1" spans="1:40" x14ac:dyDescent="0.2">
      <c r="A1" s="5" t="s">
        <v>66</v>
      </c>
    </row>
    <row r="2" spans="1:40" x14ac:dyDescent="0.2">
      <c r="A2" s="5" t="s">
        <v>4</v>
      </c>
    </row>
    <row r="3" spans="1:40" x14ac:dyDescent="0.2">
      <c r="A3" s="5" t="s">
        <v>5</v>
      </c>
    </row>
    <row r="4" spans="1:40" x14ac:dyDescent="0.2">
      <c r="A4" s="5" t="s">
        <v>6</v>
      </c>
    </row>
    <row r="5" spans="1:40" x14ac:dyDescent="0.2">
      <c r="A5" s="5"/>
    </row>
    <row r="6" spans="1:40" x14ac:dyDescent="0.2">
      <c r="A6" s="6" t="s">
        <v>7</v>
      </c>
      <c r="B6" s="6">
        <v>2022</v>
      </c>
      <c r="C6" s="6">
        <v>2023</v>
      </c>
      <c r="D6" s="6">
        <v>2024</v>
      </c>
      <c r="E6" s="6">
        <v>2025</v>
      </c>
      <c r="F6" s="6">
        <v>2026</v>
      </c>
      <c r="G6" s="6">
        <v>2027</v>
      </c>
      <c r="H6" s="6">
        <v>2028</v>
      </c>
      <c r="I6" s="6">
        <v>2029</v>
      </c>
      <c r="J6" s="6">
        <v>2030</v>
      </c>
      <c r="K6" s="6">
        <v>2031</v>
      </c>
      <c r="L6" s="6">
        <v>2032</v>
      </c>
      <c r="M6" s="6">
        <v>2033</v>
      </c>
      <c r="N6" s="6">
        <v>2034</v>
      </c>
      <c r="O6" s="6">
        <v>2035</v>
      </c>
      <c r="P6" s="6">
        <v>2036</v>
      </c>
      <c r="Q6" s="6">
        <v>2037</v>
      </c>
      <c r="R6" s="6">
        <v>2038</v>
      </c>
      <c r="S6" s="6">
        <v>2039</v>
      </c>
      <c r="T6" s="6">
        <v>2040</v>
      </c>
      <c r="U6" s="6">
        <v>2041</v>
      </c>
      <c r="V6" s="6">
        <v>2042</v>
      </c>
      <c r="W6" s="6">
        <v>2043</v>
      </c>
      <c r="X6" s="6">
        <v>2044</v>
      </c>
      <c r="Y6" s="6">
        <v>2045</v>
      </c>
      <c r="Z6" s="6">
        <v>2046</v>
      </c>
      <c r="AA6" s="6">
        <v>2047</v>
      </c>
      <c r="AB6" s="6">
        <v>2048</v>
      </c>
      <c r="AC6" s="6">
        <v>2049</v>
      </c>
      <c r="AD6" s="6">
        <v>2050</v>
      </c>
      <c r="AE6" s="6">
        <v>2051</v>
      </c>
      <c r="AF6" s="6">
        <v>2052</v>
      </c>
      <c r="AG6" s="6">
        <v>2053</v>
      </c>
      <c r="AH6" s="6">
        <v>2054</v>
      </c>
      <c r="AI6" s="6">
        <v>2055</v>
      </c>
      <c r="AJ6" s="6">
        <v>2056</v>
      </c>
      <c r="AK6" s="6">
        <v>2057</v>
      </c>
      <c r="AL6" s="6">
        <v>2058</v>
      </c>
      <c r="AM6" s="6">
        <v>2059</v>
      </c>
      <c r="AN6" s="6">
        <v>2060</v>
      </c>
    </row>
    <row r="7" spans="1:40" x14ac:dyDescent="0.2">
      <c r="A7" s="6" t="s">
        <v>8</v>
      </c>
      <c r="B7" s="11">
        <f>Commercial!B7*Commercial!$B$5</f>
        <v>328187.75145973923</v>
      </c>
      <c r="C7" s="11">
        <f>Commercial!C7*Commercial!$B$5</f>
        <v>344625.01470578666</v>
      </c>
      <c r="D7" s="11">
        <f>Commercial!D7*Commercial!$B$5</f>
        <v>347973.80247837579</v>
      </c>
      <c r="E7" s="11">
        <f>Commercial!E7*Commercial!$B$5</f>
        <v>351337.35956758552</v>
      </c>
      <c r="F7" s="11">
        <f>Commercial!F7*Commercial!$B$5</f>
        <v>356719.91324162285</v>
      </c>
      <c r="G7" s="11">
        <f>Commercial!G7*Commercial!$B$5</f>
        <v>362141.9746314027</v>
      </c>
      <c r="H7" s="11">
        <f>Commercial!H7*Commercial!$B$5</f>
        <v>367603.54373692482</v>
      </c>
      <c r="I7" s="11">
        <f>Commercial!I7*Commercial!$B$5</f>
        <v>373104.62055818917</v>
      </c>
      <c r="J7" s="11">
        <f>Commercial!J7*Commercial!$B$5</f>
        <v>378645.20509519568</v>
      </c>
      <c r="K7" s="11">
        <f>Commercial!K7*Commercial!$B$5</f>
        <v>383697.1127096077</v>
      </c>
      <c r="L7" s="11">
        <f>Commercial!L7*Commercial!$B$5</f>
        <v>388782.20375174773</v>
      </c>
      <c r="M7" s="11">
        <f>Commercial!M7*Commercial!$B$5</f>
        <v>393900.47822161583</v>
      </c>
      <c r="N7" s="11">
        <f>Commercial!N7*Commercial!$B$5</f>
        <v>399051.93611921178</v>
      </c>
      <c r="O7" s="11">
        <f>Commercial!O7*Commercial!$B$5</f>
        <v>404236.57744453562</v>
      </c>
      <c r="P7" s="11">
        <f>Commercial!P7*Commercial!$B$5</f>
        <v>408904.11806243035</v>
      </c>
      <c r="Q7" s="11">
        <f>Commercial!Q7*Commercial!$B$5</f>
        <v>413598.44470905547</v>
      </c>
      <c r="R7" s="11">
        <f>Commercial!R7*Commercial!$B$5</f>
        <v>418319.5573844107</v>
      </c>
      <c r="S7" s="11">
        <f>Commercial!S7*Commercial!$B$5</f>
        <v>423067.4560884962</v>
      </c>
      <c r="T7" s="11">
        <f>Commercial!T7*Commercial!$B$5</f>
        <v>427842.14082131168</v>
      </c>
      <c r="U7" s="11">
        <f>Commercial!U7*Commercial!$B$5</f>
        <v>432089.76410344988</v>
      </c>
      <c r="V7" s="11">
        <f>Commercial!V7*Commercial!$B$5</f>
        <v>436357.91644228681</v>
      </c>
      <c r="W7" s="11">
        <f>Commercial!W7*Commercial!$B$5</f>
        <v>440646.59783782205</v>
      </c>
      <c r="X7" s="11">
        <f>Commercial!X7*Commercial!$B$5</f>
        <v>444955.80829005595</v>
      </c>
      <c r="Y7" s="11">
        <f>Commercial!Y7*Commercial!$B$5</f>
        <v>449285.54779898789</v>
      </c>
      <c r="Z7" s="11">
        <f>Commercial!Z7*Commercial!$B$5</f>
        <v>453089.41134107363</v>
      </c>
      <c r="AA7" s="11">
        <f>Commercial!AA7*Commercial!$B$5</f>
        <v>456907.80060091673</v>
      </c>
      <c r="AB7" s="11">
        <f>Commercial!AB7*Commercial!$B$5</f>
        <v>460740.71557851712</v>
      </c>
      <c r="AC7" s="11">
        <f>Commercial!AC7*Commercial!$B$5</f>
        <v>464588.1562738744</v>
      </c>
      <c r="AD7" s="11">
        <f>Commercial!AD7*Commercial!$B$5</f>
        <v>468450.12268698891</v>
      </c>
      <c r="AE7" s="11">
        <f>Commercial!AE7*Commercial!$B$5</f>
        <v>470968.21539206675</v>
      </c>
      <c r="AF7" s="11">
        <f>Commercial!AF7*Commercial!$B$5</f>
        <v>473486.30809714488</v>
      </c>
      <c r="AG7" s="11">
        <f>Commercial!AG7*Commercial!$B$5</f>
        <v>476004.40080222313</v>
      </c>
      <c r="AH7" s="11">
        <f>Commercial!AH7*Commercial!$B$5</f>
        <v>478522.49350730167</v>
      </c>
      <c r="AI7" s="11">
        <f>Commercial!AI7*Commercial!$B$5</f>
        <v>481040.58621237963</v>
      </c>
      <c r="AJ7" s="11">
        <f>Commercial!AJ7*Commercial!$B$5</f>
        <v>483558.67891745752</v>
      </c>
      <c r="AK7" s="11">
        <f>Commercial!AK7*Commercial!$B$5</f>
        <v>486076.7716225356</v>
      </c>
      <c r="AL7" s="11">
        <f>Commercial!AL7*Commercial!$B$5</f>
        <v>488594.86432761414</v>
      </c>
      <c r="AM7" s="11">
        <f>Commercial!AM7*Commercial!$B$5</f>
        <v>491112.95703269239</v>
      </c>
      <c r="AN7" s="11">
        <f>Commercial!AN7*Commercial!$B$5</f>
        <v>493631.04973777063</v>
      </c>
    </row>
    <row r="8" spans="1:40" x14ac:dyDescent="0.2">
      <c r="A8" s="6" t="s">
        <v>9</v>
      </c>
      <c r="B8" s="11">
        <f>Commercial!B8*Commercial!$B$5</f>
        <v>3364475.0994228884</v>
      </c>
      <c r="C8" s="11">
        <f>Commercial!C8*Commercial!$B$5</f>
        <v>3532984.6268138587</v>
      </c>
      <c r="D8" s="11">
        <f>Commercial!D8*Commercial!$B$5</f>
        <v>3567315.3202172951</v>
      </c>
      <c r="E8" s="11">
        <f>Commercial!E8*Commercial!$B$5</f>
        <v>3601797.4238966638</v>
      </c>
      <c r="F8" s="11">
        <f>Commercial!F8*Commercial!$B$5</f>
        <v>3656977.630126352</v>
      </c>
      <c r="G8" s="11">
        <f>Commercial!G8*Commercial!$B$5</f>
        <v>3712562.856730077</v>
      </c>
      <c r="H8" s="11">
        <f>Commercial!H8*Commercial!$B$5</f>
        <v>3768553.1037078369</v>
      </c>
      <c r="I8" s="11">
        <f>Commercial!I8*Commercial!$B$5</f>
        <v>3824948.3710596315</v>
      </c>
      <c r="J8" s="11">
        <f>Commercial!J8*Commercial!$B$5</f>
        <v>3881748.6587854591</v>
      </c>
      <c r="K8" s="11">
        <f>Commercial!K8*Commercial!$B$5</f>
        <v>3933539.1881323759</v>
      </c>
      <c r="L8" s="11">
        <f>Commercial!L8*Commercial!$B$5</f>
        <v>3985669.9032900296</v>
      </c>
      <c r="M8" s="11">
        <f>Commercial!M8*Commercial!$B$5</f>
        <v>4038140.8042584215</v>
      </c>
      <c r="N8" s="11">
        <f>Commercial!N8*Commercial!$B$5</f>
        <v>4090951.8910375484</v>
      </c>
      <c r="O8" s="11">
        <f>Commercial!O8*Commercial!$B$5</f>
        <v>4144103.1636274122</v>
      </c>
      <c r="P8" s="11">
        <f>Commercial!P8*Commercial!$B$5</f>
        <v>4191953.2863532086</v>
      </c>
      <c r="Q8" s="11">
        <f>Commercial!Q8*Commercial!$B$5</f>
        <v>4240078.0108161969</v>
      </c>
      <c r="R8" s="11">
        <f>Commercial!R8*Commercial!$B$5</f>
        <v>4288477.3370163739</v>
      </c>
      <c r="S8" s="11">
        <f>Commercial!S8*Commercial!$B$5</f>
        <v>4337151.2649537409</v>
      </c>
      <c r="T8" s="11">
        <f>Commercial!T8*Commercial!$B$5</f>
        <v>4386099.7946282951</v>
      </c>
      <c r="U8" s="11">
        <f>Commercial!U8*Commercial!$B$5</f>
        <v>4429645.0601079427</v>
      </c>
      <c r="V8" s="11">
        <f>Commercial!V8*Commercial!$B$5</f>
        <v>4473400.78286325</v>
      </c>
      <c r="W8" s="11">
        <f>Commercial!W8*Commercial!$B$5</f>
        <v>4517366.9628942162</v>
      </c>
      <c r="X8" s="11">
        <f>Commercial!X8*Commercial!$B$5</f>
        <v>4561543.6002008412</v>
      </c>
      <c r="Y8" s="11">
        <f>Commercial!Y8*Commercial!$B$5</f>
        <v>4605930.6947831204</v>
      </c>
      <c r="Z8" s="11">
        <f>Commercial!Z8*Commercial!$B$5</f>
        <v>4644926.6783688152</v>
      </c>
      <c r="AA8" s="11">
        <f>Commercial!AA8*Commercial!$B$5</f>
        <v>4684071.5749333715</v>
      </c>
      <c r="AB8" s="11">
        <f>Commercial!AB8*Commercial!$B$5</f>
        <v>4723365.3844767883</v>
      </c>
      <c r="AC8" s="11">
        <f>Commercial!AC8*Commercial!$B$5</f>
        <v>4762808.1069990648</v>
      </c>
      <c r="AD8" s="11">
        <f>Commercial!AD8*Commercial!$B$5</f>
        <v>4802399.7425001999</v>
      </c>
      <c r="AE8" s="11">
        <f>Commercial!AE8*Commercial!$B$5</f>
        <v>4828214.4176871637</v>
      </c>
      <c r="AF8" s="11">
        <f>Commercial!AF8*Commercial!$B$5</f>
        <v>4854029.0928741284</v>
      </c>
      <c r="AG8" s="11">
        <f>Commercial!AG8*Commercial!$B$5</f>
        <v>4879843.7680610958</v>
      </c>
      <c r="AH8" s="11">
        <f>Commercial!AH8*Commercial!$B$5</f>
        <v>4905658.4432480652</v>
      </c>
      <c r="AI8" s="11">
        <f>Commercial!AI8*Commercial!$B$5</f>
        <v>4931473.1184350299</v>
      </c>
      <c r="AJ8" s="11">
        <f>Commercial!AJ8*Commercial!$B$5</f>
        <v>4957287.7936219927</v>
      </c>
      <c r="AK8" s="11">
        <f>Commercial!AK8*Commercial!$B$5</f>
        <v>4983102.4688089583</v>
      </c>
      <c r="AL8" s="11">
        <f>Commercial!AL8*Commercial!$B$5</f>
        <v>5008917.1439959276</v>
      </c>
      <c r="AM8" s="11">
        <f>Commercial!AM8*Commercial!$B$5</f>
        <v>5034731.8191828942</v>
      </c>
      <c r="AN8" s="11">
        <f>Commercial!AN8*Commercial!$B$5</f>
        <v>5060546.4943698617</v>
      </c>
    </row>
    <row r="9" spans="1:40" x14ac:dyDescent="0.2">
      <c r="A9" s="6" t="s">
        <v>10</v>
      </c>
      <c r="B9" s="11">
        <f>Commercial!B9*Commercial!$B$5</f>
        <v>2922.1902708338789</v>
      </c>
      <c r="C9" s="11">
        <f>Commercial!C9*Commercial!$B$5</f>
        <v>3068.5479899233064</v>
      </c>
      <c r="D9" s="11">
        <f>Commercial!D9*Commercial!$B$5</f>
        <v>3098.3656629005004</v>
      </c>
      <c r="E9" s="11">
        <f>Commercial!E9*Commercial!$B$5</f>
        <v>3128.3148421668352</v>
      </c>
      <c r="F9" s="11">
        <f>Commercial!F9*Commercial!$B$5</f>
        <v>3176.2412072080451</v>
      </c>
      <c r="G9" s="11">
        <f>Commercial!G9*Commercial!$B$5</f>
        <v>3224.5193497365372</v>
      </c>
      <c r="H9" s="11">
        <f>Commercial!H9*Commercial!$B$5</f>
        <v>3273.1492697523104</v>
      </c>
      <c r="I9" s="11">
        <f>Commercial!I9*Commercial!$B$5</f>
        <v>3322.1309672553652</v>
      </c>
      <c r="J9" s="11">
        <f>Commercial!J9*Commercial!$B$5</f>
        <v>3371.4644422456981</v>
      </c>
      <c r="K9" s="11">
        <f>Commercial!K9*Commercial!$B$5</f>
        <v>3416.4467281912403</v>
      </c>
      <c r="L9" s="11">
        <f>Commercial!L9*Commercial!$B$5</f>
        <v>3461.7244800377134</v>
      </c>
      <c r="M9" s="11">
        <f>Commercial!M9*Commercial!$B$5</f>
        <v>3507.2976977851185</v>
      </c>
      <c r="N9" s="11">
        <f>Commercial!N9*Commercial!$B$5</f>
        <v>3553.1663814334543</v>
      </c>
      <c r="O9" s="11">
        <f>Commercial!O9*Commercial!$B$5</f>
        <v>3599.3305309827192</v>
      </c>
      <c r="P9" s="11">
        <f>Commercial!P9*Commercial!$B$5</f>
        <v>3640.8904055413141</v>
      </c>
      <c r="Q9" s="11">
        <f>Commercial!Q9*Commercial!$B$5</f>
        <v>3682.688783432839</v>
      </c>
      <c r="R9" s="11">
        <f>Commercial!R9*Commercial!$B$5</f>
        <v>3724.7256646572937</v>
      </c>
      <c r="S9" s="11">
        <f>Commercial!S9*Commercial!$B$5</f>
        <v>3767.0010492146762</v>
      </c>
      <c r="T9" s="11">
        <f>Commercial!T9*Commercial!$B$5</f>
        <v>3809.514937104987</v>
      </c>
      <c r="U9" s="11">
        <f>Commercial!U9*Commercial!$B$5</f>
        <v>3847.3358593484982</v>
      </c>
      <c r="V9" s="11">
        <f>Commercial!V9*Commercial!$B$5</f>
        <v>3885.3395727214402</v>
      </c>
      <c r="W9" s="11">
        <f>Commercial!W9*Commercial!$B$5</f>
        <v>3923.5260772238084</v>
      </c>
      <c r="X9" s="11">
        <f>Commercial!X9*Commercial!$B$5</f>
        <v>3961.8953728556057</v>
      </c>
      <c r="Y9" s="11">
        <f>Commercial!Y9*Commercial!$B$5</f>
        <v>4000.4474596168266</v>
      </c>
      <c r="Z9" s="11">
        <f>Commercial!Z9*Commercial!$B$5</f>
        <v>4034.3171363028755</v>
      </c>
      <c r="AA9" s="11">
        <f>Commercial!AA9*Commercial!$B$5</f>
        <v>4068.3161502689372</v>
      </c>
      <c r="AB9" s="11">
        <f>Commercial!AB9*Commercial!$B$5</f>
        <v>4102.4445015150104</v>
      </c>
      <c r="AC9" s="11">
        <f>Commercial!AC9*Commercial!$B$5</f>
        <v>4136.7021900410955</v>
      </c>
      <c r="AD9" s="11">
        <f>Commercial!AD9*Commercial!$B$5</f>
        <v>4171.0892158471888</v>
      </c>
      <c r="AE9" s="11">
        <f>Commercial!AE9*Commercial!$B$5</f>
        <v>4193.5103634101542</v>
      </c>
      <c r="AF9" s="11">
        <f>Commercial!AF9*Commercial!$B$5</f>
        <v>4215.9315109731215</v>
      </c>
      <c r="AG9" s="11">
        <f>Commercial!AG9*Commercial!$B$5</f>
        <v>4238.3526585360887</v>
      </c>
      <c r="AH9" s="11">
        <f>Commercial!AH9*Commercial!$B$5</f>
        <v>4260.7738060990587</v>
      </c>
      <c r="AI9" s="11">
        <f>Commercial!AI9*Commercial!$B$5</f>
        <v>4283.194953662025</v>
      </c>
      <c r="AJ9" s="11">
        <f>Commercial!AJ9*Commercial!$B$5</f>
        <v>4305.6161012249886</v>
      </c>
      <c r="AK9" s="11">
        <f>Commercial!AK9*Commercial!$B$5</f>
        <v>4328.0372487879558</v>
      </c>
      <c r="AL9" s="11">
        <f>Commercial!AL9*Commercial!$B$5</f>
        <v>4350.4583963509258</v>
      </c>
      <c r="AM9" s="11">
        <f>Commercial!AM9*Commercial!$B$5</f>
        <v>4372.8795439138939</v>
      </c>
      <c r="AN9" s="11">
        <f>Commercial!AN9*Commercial!$B$5</f>
        <v>4395.3006914768612</v>
      </c>
    </row>
    <row r="11" spans="1:40" x14ac:dyDescent="0.2">
      <c r="A11" s="5" t="s">
        <v>66</v>
      </c>
    </row>
    <row r="12" spans="1:40" x14ac:dyDescent="0.2">
      <c r="A12" s="5" t="s">
        <v>4</v>
      </c>
    </row>
    <row r="13" spans="1:40" x14ac:dyDescent="0.2">
      <c r="A13" s="5" t="s">
        <v>39</v>
      </c>
    </row>
    <row r="14" spans="1:40" x14ac:dyDescent="0.2">
      <c r="A14" s="5" t="s">
        <v>6</v>
      </c>
    </row>
    <row r="15" spans="1:40" x14ac:dyDescent="0.2">
      <c r="A15" s="5"/>
    </row>
    <row r="16" spans="1:40" x14ac:dyDescent="0.2">
      <c r="A16" s="6" t="s">
        <v>7</v>
      </c>
      <c r="B16" s="6">
        <v>2022</v>
      </c>
      <c r="C16" s="6">
        <v>2023</v>
      </c>
      <c r="D16" s="6">
        <v>2024</v>
      </c>
      <c r="E16" s="6">
        <v>2025</v>
      </c>
      <c r="F16" s="6">
        <v>2026</v>
      </c>
      <c r="G16" s="6">
        <v>2027</v>
      </c>
      <c r="H16" s="6">
        <v>2028</v>
      </c>
      <c r="I16" s="6">
        <v>2029</v>
      </c>
      <c r="J16" s="6">
        <v>2030</v>
      </c>
      <c r="K16" s="6">
        <v>2031</v>
      </c>
      <c r="L16" s="6">
        <v>2032</v>
      </c>
      <c r="M16" s="6">
        <v>2033</v>
      </c>
      <c r="N16" s="6">
        <v>2034</v>
      </c>
      <c r="O16" s="6">
        <v>2035</v>
      </c>
      <c r="P16" s="6">
        <v>2036</v>
      </c>
      <c r="Q16" s="6">
        <v>2037</v>
      </c>
      <c r="R16" s="6">
        <v>2038</v>
      </c>
      <c r="S16" s="6">
        <v>2039</v>
      </c>
      <c r="T16" s="6">
        <v>2040</v>
      </c>
      <c r="U16" s="6">
        <v>2041</v>
      </c>
      <c r="V16" s="6">
        <v>2042</v>
      </c>
      <c r="W16" s="6">
        <v>2043</v>
      </c>
      <c r="X16" s="6">
        <v>2044</v>
      </c>
      <c r="Y16" s="6">
        <v>2045</v>
      </c>
      <c r="Z16" s="6">
        <v>2046</v>
      </c>
      <c r="AA16" s="6">
        <v>2047</v>
      </c>
      <c r="AB16" s="6">
        <v>2048</v>
      </c>
      <c r="AC16" s="6">
        <v>2049</v>
      </c>
      <c r="AD16" s="6">
        <v>2050</v>
      </c>
      <c r="AE16" s="6">
        <v>2051</v>
      </c>
      <c r="AF16" s="6">
        <v>2052</v>
      </c>
      <c r="AG16" s="6">
        <v>2053</v>
      </c>
      <c r="AH16" s="6">
        <v>2054</v>
      </c>
      <c r="AI16" s="6">
        <v>2055</v>
      </c>
      <c r="AJ16" s="6">
        <v>2056</v>
      </c>
      <c r="AK16" s="6">
        <v>2057</v>
      </c>
      <c r="AL16" s="6">
        <v>2058</v>
      </c>
      <c r="AM16" s="6">
        <v>2059</v>
      </c>
      <c r="AN16" s="6">
        <v>2060</v>
      </c>
    </row>
    <row r="17" spans="1:40" x14ac:dyDescent="0.2">
      <c r="A17" s="6" t="s">
        <v>40</v>
      </c>
      <c r="B17" s="11">
        <f>Commercial!B17*Commercial!$B$5</f>
        <v>660230.83142148168</v>
      </c>
      <c r="C17" s="11">
        <f>Commercial!C17*Commercial!$B$5</f>
        <v>703320.55036810448</v>
      </c>
      <c r="D17" s="11">
        <f>Commercial!D17*Commercial!$B$5</f>
        <v>749222.50374931376</v>
      </c>
      <c r="E17" s="11">
        <f>Commercial!E17*Commercial!$B$5</f>
        <v>798120.23099651898</v>
      </c>
      <c r="F17" s="11">
        <f>Commercial!F17*Commercial!$B$5</f>
        <v>850209.25017366081</v>
      </c>
      <c r="G17" s="11">
        <f>Commercial!G17*Commercial!$B$5</f>
        <v>905697.83975819463</v>
      </c>
      <c r="H17" s="11">
        <f>Commercial!H17*Commercial!$B$5</f>
        <v>964807.87144471903</v>
      </c>
      <c r="I17" s="11">
        <f>Commercial!I17*Commercial!$B$5</f>
        <v>1027775.6973012226</v>
      </c>
      <c r="J17" s="11">
        <f>Commercial!J17*Commercial!$B$5</f>
        <v>1094853.0948252524</v>
      </c>
      <c r="K17" s="11">
        <f>Commercial!K17*Commercial!$B$5</f>
        <v>1166308.273678818</v>
      </c>
      <c r="L17" s="11">
        <f>Commercial!L17*Commercial!$B$5</f>
        <v>1242426.9481274802</v>
      </c>
      <c r="M17" s="11">
        <f>Commercial!M17*Commercial!$B$5</f>
        <v>1323513.4794717696</v>
      </c>
      <c r="N17" s="11">
        <f>Commercial!N17*Commercial!$B$5</f>
        <v>1409892.0930389664</v>
      </c>
      <c r="O17" s="11">
        <f>Commercial!O17*Commercial!$B$5</f>
        <v>1501908.1746014042</v>
      </c>
      <c r="P17" s="11">
        <f>Commercial!P17*Commercial!$B$5</f>
        <v>1599929.6514050169</v>
      </c>
      <c r="Q17" s="11">
        <f>Commercial!Q17*Commercial!$B$5</f>
        <v>1704348.4633302051</v>
      </c>
      <c r="R17" s="11">
        <f>Commercial!R17*Commercial!$B$5</f>
        <v>1815582.1300674747</v>
      </c>
      <c r="S17" s="11">
        <f>Commercial!S17*Commercial!$B$5</f>
        <v>1934075.4205741945</v>
      </c>
      <c r="T17" s="11">
        <f>Commercial!T17*Commercial!$B$5</f>
        <v>2060302.1314878375</v>
      </c>
      <c r="U17" s="11">
        <f>Commercial!U17*Commercial!$B$5</f>
        <v>2194766.9816066963</v>
      </c>
      <c r="V17" s="11">
        <f>Commercial!V17*Commercial!$B$5</f>
        <v>2338007.6300131739</v>
      </c>
      <c r="W17" s="11">
        <f>Commercial!W17*Commercial!$B$5</f>
        <v>2490596.8259091387</v>
      </c>
      <c r="X17" s="11">
        <f>Commercial!X17*Commercial!$B$5</f>
        <v>2653144.6987594827</v>
      </c>
      <c r="Y17" s="11">
        <f>Commercial!Y17*Commercial!$B$5</f>
        <v>2826301.1979010478</v>
      </c>
      <c r="Z17" s="11">
        <f>Commercial!Z17*Commercial!$B$5</f>
        <v>3010758.6913717152</v>
      </c>
      <c r="AA17" s="11">
        <f>Commercial!AA17*Commercial!$B$5</f>
        <v>3207254.7343510971</v>
      </c>
      <c r="AB17" s="11">
        <f>Commercial!AB17*Commercial!$B$5</f>
        <v>3416575.0182825075</v>
      </c>
      <c r="AC17" s="11">
        <f>Commercial!AC17*Commercial!$B$5</f>
        <v>3639556.5124682342</v>
      </c>
      <c r="AD17" s="11">
        <f>Commercial!AD17*Commercial!$B$5</f>
        <v>3877090.8106998946</v>
      </c>
      <c r="AE17" s="11">
        <f>Commercial!AE17*Commercial!$B$5</f>
        <v>4130127.6963053523</v>
      </c>
      <c r="AF17" s="11">
        <f>Commercial!AF17*Commercial!$B$5</f>
        <v>4399678.9398670923</v>
      </c>
      <c r="AG17" s="11">
        <f>Commercial!AG17*Commercial!$B$5</f>
        <v>4686822.3447972741</v>
      </c>
      <c r="AH17" s="11">
        <f>Commercial!AH17*Commercial!$B$5</f>
        <v>4992706.0569457328</v>
      </c>
      <c r="AI17" s="11">
        <f>Commercial!AI17*Commercial!$B$5</f>
        <v>5318553.1554729389</v>
      </c>
      <c r="AJ17" s="11">
        <f>Commercial!AJ17*Commercial!$B$5</f>
        <v>5665666.5433445554</v>
      </c>
      <c r="AK17" s="11">
        <f>Commercial!AK17*Commercial!$B$5</f>
        <v>6035434.1570023187</v>
      </c>
      <c r="AL17" s="11">
        <f>Commercial!AL17*Commercial!$B$5</f>
        <v>6429334.5160421347</v>
      </c>
      <c r="AM17" s="11">
        <f>Commercial!AM17*Commercial!$B$5</f>
        <v>6848942.6350898501</v>
      </c>
      <c r="AN17" s="11">
        <f>Commercial!AN17*Commercial!$B$5</f>
        <v>7295936.3215133883</v>
      </c>
    </row>
    <row r="18" spans="1:40" x14ac:dyDescent="0.2">
      <c r="A18" s="6" t="s">
        <v>41</v>
      </c>
      <c r="B18" s="11">
        <f>Commercial!B18*Commercial!$B$5</f>
        <v>403310.80465792737</v>
      </c>
      <c r="C18" s="11">
        <f>Commercial!C18*Commercial!$B$5</f>
        <v>429632.73388899677</v>
      </c>
      <c r="D18" s="11">
        <f>Commercial!D18*Commercial!$B$5</f>
        <v>457672.55401325261</v>
      </c>
      <c r="E18" s="11">
        <f>Commercial!E18*Commercial!$B$5</f>
        <v>487542.38253906503</v>
      </c>
      <c r="F18" s="11">
        <f>Commercial!F18*Commercial!$B$5</f>
        <v>519361.65428216849</v>
      </c>
      <c r="G18" s="11">
        <f>Commercial!G18*Commercial!$B$5</f>
        <v>553257.59892699728</v>
      </c>
      <c r="H18" s="11">
        <f>Commercial!H18*Commercial!$B$5</f>
        <v>589365.74975588336</v>
      </c>
      <c r="I18" s="11">
        <f>Commercial!I18*Commercial!$B$5</f>
        <v>627830.48558027658</v>
      </c>
      <c r="J18" s="11">
        <f>Commercial!J18*Commercial!$B$5</f>
        <v>668805.60804090241</v>
      </c>
      <c r="K18" s="11">
        <f>Commercial!K18*Commercial!$B$5</f>
        <v>712454.95658520004</v>
      </c>
      <c r="L18" s="11">
        <f>Commercial!L18*Commercial!$B$5</f>
        <v>758953.06358103454</v>
      </c>
      <c r="M18" s="11">
        <f>Commercial!M18*Commercial!$B$5</f>
        <v>808485.85218615842</v>
      </c>
      <c r="N18" s="11">
        <f>Commercial!N18*Commercial!$B$5</f>
        <v>861251.37976386503</v>
      </c>
      <c r="O18" s="11">
        <f>Commercial!O18*Commercial!$B$5</f>
        <v>917460.62981738953</v>
      </c>
      <c r="P18" s="11">
        <f>Commercial!P18*Commercial!$B$5</f>
        <v>977338.35560960684</v>
      </c>
      <c r="Q18" s="11">
        <f>Commercial!Q18*Commercial!$B$5</f>
        <v>1041123.9788412614</v>
      </c>
      <c r="R18" s="11">
        <f>Commercial!R18*Commercial!$B$5</f>
        <v>1109072.5469810925</v>
      </c>
      <c r="S18" s="11">
        <f>Commercial!S18*Commercial!$B$5</f>
        <v>1181455.7530757538</v>
      </c>
      <c r="T18" s="11">
        <f>Commercial!T18*Commercial!$B$5</f>
        <v>1258563.0221172471</v>
      </c>
      <c r="U18" s="11">
        <f>Commercial!U18*Commercial!$B$5</f>
        <v>1340702.6683117219</v>
      </c>
      <c r="V18" s="11">
        <f>Commercial!V18*Commercial!$B$5</f>
        <v>1428203.1278769916</v>
      </c>
      <c r="W18" s="11">
        <f>Commercial!W18*Commercial!$B$5</f>
        <v>1521414.2722981176</v>
      </c>
      <c r="X18" s="11">
        <f>Commercial!X18*Commercial!$B$5</f>
        <v>1620708.8072921305</v>
      </c>
      <c r="Y18" s="11">
        <f>Commercial!Y18*Commercial!$B$5</f>
        <v>1726483.763075666</v>
      </c>
      <c r="Z18" s="11">
        <f>Commercial!Z18*Commercial!$B$5</f>
        <v>1839162.0818943575</v>
      </c>
      <c r="AA18" s="11">
        <f>Commercial!AA18*Commercial!$B$5</f>
        <v>1959194.3091617359</v>
      </c>
      <c r="AB18" s="11">
        <f>Commercial!AB18*Commercial!$B$5</f>
        <v>2087060.3949697001</v>
      </c>
      <c r="AC18" s="11">
        <f>Commercial!AC18*Commercial!$B$5</f>
        <v>2223271.6131738708</v>
      </c>
      <c r="AD18" s="11">
        <f>Commercial!AD18*Commercial!$B$5</f>
        <v>2368372.6057273517</v>
      </c>
      <c r="AE18" s="11">
        <f>Commercial!AE18*Commercial!$B$5</f>
        <v>2522943.5604371661</v>
      </c>
      <c r="AF18" s="11">
        <f>Commercial!AF18*Commercial!$B$5</f>
        <v>2687602.5308511509</v>
      </c>
      <c r="AG18" s="11">
        <f>Commercial!AG18*Commercial!$B$5</f>
        <v>2863007.9075514083</v>
      </c>
      <c r="AH18" s="11">
        <f>Commercial!AH18*Commercial!$B$5</f>
        <v>3049861.0507358001</v>
      </c>
      <c r="AI18" s="11">
        <f>Commercial!AI18*Commercial!$B$5</f>
        <v>3248909.0946139018</v>
      </c>
      <c r="AJ18" s="11">
        <f>Commercial!AJ18*Commercial!$B$5</f>
        <v>3460947.9348307867</v>
      </c>
      <c r="AK18" s="11">
        <f>Commercial!AK18*Commercial!$B$5</f>
        <v>3686825.4108639392</v>
      </c>
      <c r="AL18" s="11">
        <f>Commercial!AL18*Commercial!$B$5</f>
        <v>3927444.6961180968</v>
      </c>
      <c r="AM18" s="11">
        <f>Commercial!AM18*Commercial!$B$5</f>
        <v>4183767.9092733734</v>
      </c>
      <c r="AN18" s="11">
        <f>Commercial!AN18*Commercial!$B$5</f>
        <v>4456819.9613266699</v>
      </c>
    </row>
    <row r="19" spans="1:40" x14ac:dyDescent="0.2">
      <c r="A19" s="6" t="s">
        <v>42</v>
      </c>
      <c r="B19" s="11">
        <f>Commercial!B19*Commercial!$B$5</f>
        <v>313172.82632367685</v>
      </c>
      <c r="C19" s="11">
        <f>Commercial!C19*Commercial!$B$5</f>
        <v>333611.9340202274</v>
      </c>
      <c r="D19" s="11">
        <f>Commercial!D19*Commercial!$B$5</f>
        <v>355384.99245680624</v>
      </c>
      <c r="E19" s="11">
        <f>Commercial!E19*Commercial!$B$5</f>
        <v>378579.06143089762</v>
      </c>
      <c r="F19" s="11">
        <f>Commercial!F19*Commercial!$B$5</f>
        <v>403286.88266519533</v>
      </c>
      <c r="G19" s="11">
        <f>Commercial!G19*Commercial!$B$5</f>
        <v>429607.25063633214</v>
      </c>
      <c r="H19" s="11">
        <f>Commercial!H19*Commercial!$B$5</f>
        <v>457645.40760560794</v>
      </c>
      <c r="I19" s="11">
        <f>Commercial!I19*Commercial!$B$5</f>
        <v>487513.46443125099</v>
      </c>
      <c r="J19" s="11">
        <f>Commercial!J19*Commercial!$B$5</f>
        <v>519330.84884483449</v>
      </c>
      <c r="K19" s="11">
        <f>Commercial!K19*Commercial!$B$5</f>
        <v>553224.78298428596</v>
      </c>
      <c r="L19" s="11">
        <f>Commercial!L19*Commercial!$B$5</f>
        <v>589330.79209291155</v>
      </c>
      <c r="M19" s="11">
        <f>Commercial!M19*Commercial!$B$5</f>
        <v>627793.24641847028</v>
      </c>
      <c r="N19" s="11">
        <f>Commercial!N19*Commercial!$B$5</f>
        <v>668765.93847909069</v>
      </c>
      <c r="O19" s="11">
        <f>Commercial!O19*Commercial!$B$5</f>
        <v>712412.69800423377</v>
      </c>
      <c r="P19" s="11">
        <f>Commercial!P19*Commercial!$B$5</f>
        <v>758908.0470095441</v>
      </c>
      <c r="Q19" s="11">
        <f>Commercial!Q19*Commercial!$B$5</f>
        <v>808437.89762492036</v>
      </c>
      <c r="R19" s="11">
        <f>Commercial!R19*Commercial!$B$5</f>
        <v>861200.2954660753</v>
      </c>
      <c r="S19" s="11">
        <f>Commercial!S19*Commercial!$B$5</f>
        <v>917406.21152195882</v>
      </c>
      <c r="T19" s="11">
        <f>Commercial!T19*Commercial!$B$5</f>
        <v>977280.38572442264</v>
      </c>
      <c r="U19" s="11">
        <f>Commercial!U19*Commercial!$B$5</f>
        <v>1041062.2255731432</v>
      </c>
      <c r="V19" s="11">
        <f>Commercial!V19*Commercial!$B$5</f>
        <v>1109006.7634089647</v>
      </c>
      <c r="W19" s="11">
        <f>Commercial!W19*Commercial!$B$5</f>
        <v>1181385.6761633283</v>
      </c>
      <c r="X19" s="11">
        <f>Commercial!X19*Commercial!$B$5</f>
        <v>1258488.371661271</v>
      </c>
      <c r="Y19" s="11">
        <f>Commercial!Y19*Commercial!$B$5</f>
        <v>1340623.1458215809</v>
      </c>
      <c r="Z19" s="11">
        <f>Commercial!Z19*Commercial!$B$5</f>
        <v>1428118.4153811943</v>
      </c>
      <c r="AA19" s="11">
        <f>Commercial!AA19*Commercial!$B$5</f>
        <v>1521324.0310728787</v>
      </c>
      <c r="AB19" s="11">
        <f>Commercial!AB19*Commercial!$B$5</f>
        <v>1620612.6765069873</v>
      </c>
      <c r="AC19" s="11">
        <f>Commercial!AC19*Commercial!$B$5</f>
        <v>1726381.3583506877</v>
      </c>
      <c r="AD19" s="11">
        <f>Commercial!AD19*Commercial!$B$5</f>
        <v>1839052.9937631991</v>
      </c>
      <c r="AE19" s="11">
        <f>Commercial!AE19*Commercial!$B$5</f>
        <v>1959078.1014343882</v>
      </c>
      <c r="AF19" s="11">
        <f>Commercial!AF19*Commercial!$B$5</f>
        <v>2086936.6029883726</v>
      </c>
      <c r="AG19" s="11">
        <f>Commercial!AG19*Commercial!$B$5</f>
        <v>2223139.7419550563</v>
      </c>
      <c r="AH19" s="11">
        <f>Commercial!AH19*Commercial!$B$5</f>
        <v>2368232.1279826285</v>
      </c>
      <c r="AI19" s="11">
        <f>Commercial!AI19*Commercial!$B$5</f>
        <v>2522793.9144648318</v>
      </c>
      <c r="AJ19" s="11">
        <f>Commercial!AJ19*Commercial!$B$5</f>
        <v>2687443.1182902502</v>
      </c>
      <c r="AK19" s="11">
        <f>Commercial!AK19*Commercial!$B$5</f>
        <v>2862838.0909891808</v>
      </c>
      <c r="AL19" s="11">
        <f>Commercial!AL19*Commercial!$B$5</f>
        <v>3049680.1511589824</v>
      </c>
      <c r="AM19" s="11">
        <f>Commercial!AM19*Commercial!$B$5</f>
        <v>3248716.3886936773</v>
      </c>
      <c r="AN19" s="11">
        <f>Commercial!AN19*Commercial!$B$5</f>
        <v>3460742.6520305574</v>
      </c>
    </row>
    <row r="20" spans="1:40" x14ac:dyDescent="0.2">
      <c r="A20" s="6" t="s">
        <v>43</v>
      </c>
      <c r="B20" s="11">
        <f>Commercial!B20*Commercial!$B$5</f>
        <v>21962.709867912006</v>
      </c>
      <c r="C20" s="11">
        <f>Commercial!C20*Commercial!$B$5</f>
        <v>23396.097935350503</v>
      </c>
      <c r="D20" s="11">
        <f>Commercial!D20*Commercial!$B$5</f>
        <v>24923.035540356632</v>
      </c>
      <c r="E20" s="11">
        <f>Commercial!E20*Commercial!$B$5</f>
        <v>26549.628158605756</v>
      </c>
      <c r="F20" s="11">
        <f>Commercial!F20*Commercial!$B$5</f>
        <v>28282.379737365864</v>
      </c>
      <c r="G20" s="11">
        <f>Commercial!G20*Commercial!$B$5</f>
        <v>30128.218701597409</v>
      </c>
      <c r="H20" s="11">
        <f>Commercial!H20*Commercial!$B$5</f>
        <v>32094.525657331593</v>
      </c>
      <c r="I20" s="11">
        <f>Commercial!I20*Commercial!$B$5</f>
        <v>34189.16290309927</v>
      </c>
      <c r="J20" s="11">
        <f>Commercial!J20*Commercial!$B$5</f>
        <v>36420.505867412299</v>
      </c>
      <c r="K20" s="11">
        <f>Commercial!K20*Commercial!$B$5</f>
        <v>38797.47659800027</v>
      </c>
      <c r="L20" s="11">
        <f>Commercial!L20*Commercial!$B$5</f>
        <v>41329.579436709988</v>
      </c>
      <c r="M20" s="11">
        <f>Commercial!M20*Commercial!$B$5</f>
        <v>44026.93902271377</v>
      </c>
      <c r="N20" s="11">
        <f>Commercial!N20*Commercial!$B$5</f>
        <v>46900.340775982928</v>
      </c>
      <c r="O20" s="11">
        <f>Commercial!O20*Commercial!$B$5</f>
        <v>49961.274022900354</v>
      </c>
      <c r="P20" s="11">
        <f>Commercial!P20*Commercial!$B$5</f>
        <v>53221.977936449766</v>
      </c>
      <c r="Q20" s="11">
        <f>Commercial!Q20*Commercial!$B$5</f>
        <v>56695.490474674385</v>
      </c>
      <c r="R20" s="11">
        <f>Commercial!R20*Commercial!$B$5</f>
        <v>60395.700513086078</v>
      </c>
      <c r="S20" s="11">
        <f>Commercial!S20*Commercial!$B$5</f>
        <v>64337.403379476367</v>
      </c>
      <c r="T20" s="11">
        <f>Commercial!T20*Commercial!$B$5</f>
        <v>68536.360013186437</v>
      </c>
      <c r="U20" s="11">
        <f>Commercial!U20*Commercial!$B$5</f>
        <v>73009.35998538477</v>
      </c>
      <c r="V20" s="11">
        <f>Commercial!V20*Commercial!$B$5</f>
        <v>77774.288632339667</v>
      </c>
      <c r="W20" s="11">
        <f>Commercial!W20*Commercial!$B$5</f>
        <v>82850.198570119668</v>
      </c>
      <c r="X20" s="11">
        <f>Commercial!X20*Commercial!$B$5</f>
        <v>88257.385876674496</v>
      </c>
      <c r="Y20" s="11">
        <f>Commercial!Y20*Commercial!$B$5</f>
        <v>94017.471245910696</v>
      </c>
      <c r="Z20" s="11">
        <f>Commercial!Z20*Commercial!$B$5</f>
        <v>100153.48643825838</v>
      </c>
      <c r="AA20" s="11">
        <f>Commercial!AA20*Commercial!$B$5</f>
        <v>106689.96637340084</v>
      </c>
      <c r="AB20" s="11">
        <f>Commercial!AB20*Commercial!$B$5</f>
        <v>113653.04723340344</v>
      </c>
      <c r="AC20" s="11">
        <f>Commercial!AC20*Commercial!$B$5</f>
        <v>121070.57096850492</v>
      </c>
      <c r="AD20" s="11">
        <f>Commercial!AD20*Commercial!$B$5</f>
        <v>128972.19662344141</v>
      </c>
      <c r="AE20" s="11">
        <f>Commercial!AE20*Commercial!$B$5</f>
        <v>137389.51892944105</v>
      </c>
      <c r="AF20" s="11">
        <f>Commercial!AF20*Commercial!$B$5</f>
        <v>146356.19463608053</v>
      </c>
      <c r="AG20" s="11">
        <f>Commercial!AG20*Commercial!$B$5</f>
        <v>155908.07708814373</v>
      </c>
      <c r="AH20" s="11">
        <f>Commercial!AH20*Commercial!$B$5</f>
        <v>166083.35958558865</v>
      </c>
      <c r="AI20" s="11">
        <f>Commercial!AI20*Commercial!$B$5</f>
        <v>176922.72809984902</v>
      </c>
      <c r="AJ20" s="11">
        <f>Commercial!AJ20*Commercial!$B$5</f>
        <v>188469.52395710815</v>
      </c>
      <c r="AK20" s="11">
        <f>Commercial!AK20*Commercial!$B$5</f>
        <v>200769.91713903644</v>
      </c>
      <c r="AL20" s="11">
        <f>Commercial!AL20*Commercial!$B$5</f>
        <v>213873.09089393661</v>
      </c>
      <c r="AM20" s="11">
        <f>Commercial!AM20*Commercial!$B$5</f>
        <v>227831.43839646646</v>
      </c>
      <c r="AN20" s="11">
        <f>Commercial!AN20*Commercial!$B$5</f>
        <v>242700.77224228537</v>
      </c>
    </row>
    <row r="21" spans="1:40" x14ac:dyDescent="0.2">
      <c r="A21" s="6" t="s">
        <v>8</v>
      </c>
      <c r="B21" s="11">
        <f>Commercial!B21*Commercial!$B$5</f>
        <v>16796.90321783426</v>
      </c>
      <c r="C21" s="11">
        <f>Commercial!C21*Commercial!$B$5</f>
        <v>17893.146841101312</v>
      </c>
      <c r="D21" s="11">
        <f>Commercial!D21*Commercial!$B$5</f>
        <v>19060.936395542027</v>
      </c>
      <c r="E21" s="11">
        <f>Commercial!E21*Commercial!$B$5</f>
        <v>20304.941299667804</v>
      </c>
      <c r="F21" s="11">
        <f>Commercial!F21*Commercial!$B$5</f>
        <v>21630.135719847523</v>
      </c>
      <c r="G21" s="11">
        <f>Commercial!G21*Commercial!$B$5</f>
        <v>23041.81845956275</v>
      </c>
      <c r="H21" s="11">
        <f>Commercial!H21*Commercial!$B$5</f>
        <v>24545.634146727829</v>
      </c>
      <c r="I21" s="11">
        <f>Commercial!I21*Commercial!$B$5</f>
        <v>26147.595803792487</v>
      </c>
      <c r="J21" s="11">
        <f>Commercial!J21*Commercial!$B$5</f>
        <v>27854.10889087378</v>
      </c>
      <c r="K21" s="11">
        <f>Commercial!K21*Commercial!$B$5</f>
        <v>29671.996918054043</v>
      </c>
      <c r="L21" s="11">
        <f>Commercial!L21*Commercial!$B$5</f>
        <v>31608.528729255991</v>
      </c>
      <c r="M21" s="11">
        <f>Commercial!M21*Commercial!$B$5</f>
        <v>33671.447566789691</v>
      </c>
      <c r="N21" s="11">
        <f>Commercial!N21*Commercial!$B$5</f>
        <v>35869.002032786273</v>
      </c>
      <c r="O21" s="11">
        <f>Commercial!O21*Commercial!$B$5</f>
        <v>38209.979071318325</v>
      </c>
      <c r="P21" s="11">
        <f>Commercial!P21*Commercial!$B$5</f>
        <v>40703.739103085747</v>
      </c>
      <c r="Q21" s="11">
        <f>Commercial!Q21*Commercial!$B$5</f>
        <v>43360.253453153942</v>
      </c>
      <c r="R21" s="11">
        <f>Commercial!R21*Commercial!$B$5</f>
        <v>46190.144221399511</v>
      </c>
      <c r="S21" s="11">
        <f>Commercial!S21*Commercial!$B$5</f>
        <v>49204.726755085372</v>
      </c>
      <c r="T21" s="11">
        <f>Commercial!T21*Commercial!$B$5</f>
        <v>52416.054893392939</v>
      </c>
      <c r="U21" s="11">
        <f>Commercial!U21*Commercial!$B$5</f>
        <v>55836.969164821756</v>
      </c>
      <c r="V21" s="11">
        <f>Commercial!V21*Commercial!$B$5</f>
        <v>59481.148130174377</v>
      </c>
      <c r="W21" s="11">
        <f>Commercial!W21*Commercial!$B$5</f>
        <v>63363.163076421974</v>
      </c>
      <c r="X21" s="11">
        <f>Commercial!X21*Commercial!$B$5</f>
        <v>67498.536280144835</v>
      </c>
      <c r="Y21" s="11">
        <f>Commercial!Y21*Commercial!$B$5</f>
        <v>71903.803073514442</v>
      </c>
      <c r="Z21" s="11">
        <f>Commercial!Z21*Commercial!$B$5</f>
        <v>76596.577960988885</v>
      </c>
      <c r="AA21" s="11">
        <f>Commercial!AA21*Commercial!$B$5</f>
        <v>81595.625051089213</v>
      </c>
      <c r="AB21" s="11">
        <f>Commercial!AB21*Commercial!$B$5</f>
        <v>86920.933084880453</v>
      </c>
      <c r="AC21" s="11">
        <f>Commercial!AC21*Commercial!$B$5</f>
        <v>92593.795361157157</v>
      </c>
      <c r="AD21" s="11">
        <f>Commercial!AD21*Commercial!$B$5</f>
        <v>98636.894877917424</v>
      </c>
      <c r="AE21" s="11">
        <f>Commercial!AE21*Commercial!$B$5</f>
        <v>105074.39503056294</v>
      </c>
      <c r="AF21" s="11">
        <f>Commercial!AF21*Commercial!$B$5</f>
        <v>111932.03622948335</v>
      </c>
      <c r="AG21" s="11">
        <f>Commercial!AG21*Commercial!$B$5</f>
        <v>119237.23882335109</v>
      </c>
      <c r="AH21" s="11">
        <f>Commercial!AH21*Commercial!$B$5</f>
        <v>127019.21273966698</v>
      </c>
      <c r="AI21" s="11">
        <f>Commercial!AI21*Commercial!$B$5</f>
        <v>135309.07428095504</v>
      </c>
      <c r="AJ21" s="11">
        <f>Commercial!AJ21*Commercial!$B$5</f>
        <v>144139.97054361689</v>
      </c>
      <c r="AK21" s="11">
        <f>Commercial!AK21*Commercial!$B$5</f>
        <v>153547.2119569371</v>
      </c>
      <c r="AL21" s="11">
        <f>Commercial!AL21*Commercial!$B$5</f>
        <v>163568.41347219658</v>
      </c>
      <c r="AM21" s="11">
        <f>Commercial!AM21*Commercial!$B$5</f>
        <v>174243.64496644126</v>
      </c>
      <c r="AN21" s="11">
        <f>Commercial!AN21*Commercial!$B$5</f>
        <v>185615.59146229649</v>
      </c>
    </row>
    <row r="22" spans="1:40" x14ac:dyDescent="0.2">
      <c r="A22" s="6" t="s">
        <v>9</v>
      </c>
      <c r="B22" s="11">
        <f>Commercial!B22*Commercial!$B$5</f>
        <v>172196.44058614271</v>
      </c>
      <c r="C22" s="11">
        <f>Commercial!C22*Commercial!$B$5</f>
        <v>183434.77705172499</v>
      </c>
      <c r="D22" s="11">
        <f>Commercial!D22*Commercial!$B$5</f>
        <v>195406.57935483404</v>
      </c>
      <c r="E22" s="11">
        <f>Commercial!E22*Commercial!$B$5</f>
        <v>208159.71686977323</v>
      </c>
      <c r="F22" s="11">
        <f>Commercial!F22*Commercial!$B$5</f>
        <v>221745.18314770464</v>
      </c>
      <c r="G22" s="11">
        <f>Commercial!G22*Commercial!$B$5</f>
        <v>236217.29981488627</v>
      </c>
      <c r="H22" s="11">
        <f>Commercial!H22*Commercial!$B$5</f>
        <v>251633.93377825205</v>
      </c>
      <c r="I22" s="11">
        <f>Commercial!I22*Commercial!$B$5</f>
        <v>268056.72860683239</v>
      </c>
      <c r="J22" s="11">
        <f>Commercial!J22*Commercial!$B$5</f>
        <v>285551.35101419763</v>
      </c>
      <c r="K22" s="11">
        <f>Commercial!K22*Commercial!$B$5</f>
        <v>304187.75342748535</v>
      </c>
      <c r="L22" s="11">
        <f>Commercial!L22*Commercial!$B$5</f>
        <v>324040.45369289821</v>
      </c>
      <c r="M22" s="11">
        <f>Commercial!M22*Commercial!$B$5</f>
        <v>345188.83303607616</v>
      </c>
      <c r="N22" s="11">
        <f>Commercial!N22*Commercial!$B$5</f>
        <v>367717.45346874086</v>
      </c>
      <c r="O22" s="11">
        <f>Commercial!O22*Commercial!$B$5</f>
        <v>391716.39591076825</v>
      </c>
      <c r="P22" s="11">
        <f>Commercial!P22*Commercial!$B$5</f>
        <v>417281.62037966913</v>
      </c>
      <c r="Q22" s="11">
        <f>Commercial!Q22*Commercial!$B$5</f>
        <v>444515.34968770377</v>
      </c>
      <c r="R22" s="11">
        <f>Commercial!R22*Commercial!$B$5</f>
        <v>473526.47818084649</v>
      </c>
      <c r="S22" s="11">
        <f>Commercial!S22*Commercial!$B$5</f>
        <v>504431.00715394318</v>
      </c>
      <c r="T22" s="11">
        <f>Commercial!T22*Commercial!$B$5</f>
        <v>537352.50868307974</v>
      </c>
      <c r="U22" s="11">
        <f>Commercial!U22*Commercial!$B$5</f>
        <v>572422.61972979514</v>
      </c>
      <c r="V22" s="11">
        <f>Commercial!V22*Commercial!$B$5</f>
        <v>609781.56849282328</v>
      </c>
      <c r="W22" s="11">
        <f>Commercial!W22*Commercial!$B$5</f>
        <v>649578.73511198245</v>
      </c>
      <c r="X22" s="11">
        <f>Commercial!X22*Commercial!$B$5</f>
        <v>691973.24896619795</v>
      </c>
      <c r="Y22" s="11">
        <f>Commercial!Y22*Commercial!$B$5</f>
        <v>737134.62495395483</v>
      </c>
      <c r="Z22" s="11">
        <f>Commercial!Z22*Commercial!$B$5</f>
        <v>785243.44130036037</v>
      </c>
      <c r="AA22" s="11">
        <f>Commercial!AA22*Commercial!$B$5</f>
        <v>836492.06160102459</v>
      </c>
      <c r="AB22" s="11">
        <f>Commercial!AB22*Commercial!$B$5</f>
        <v>891085.40398987685</v>
      </c>
      <c r="AC22" s="11">
        <f>Commercial!AC22*Commercial!$B$5</f>
        <v>949241.76050642075</v>
      </c>
      <c r="AD22" s="11">
        <f>Commercial!AD22*Commercial!$B$5</f>
        <v>1011193.6699386956</v>
      </c>
      <c r="AE22" s="11">
        <f>Commercial!AE22*Commercial!$B$5</f>
        <v>1077188.847632006</v>
      </c>
      <c r="AF22" s="11">
        <f>Commercial!AF22*Commercial!$B$5</f>
        <v>1147491.1759812695</v>
      </c>
      <c r="AG22" s="11">
        <f>Commercial!AG22*Commercial!$B$5</f>
        <v>1222381.7595674787</v>
      </c>
      <c r="AH22" s="11">
        <f>Commercial!AH22*Commercial!$B$5</f>
        <v>1302160.0491572532</v>
      </c>
      <c r="AI22" s="11">
        <f>Commercial!AI22*Commercial!$B$5</f>
        <v>1387145.0390598036</v>
      </c>
      <c r="AJ22" s="11">
        <f>Commercial!AJ22*Commercial!$B$5</f>
        <v>1477676.5426289428</v>
      </c>
      <c r="AK22" s="11">
        <f>Commercial!AK22*Commercial!$B$5</f>
        <v>1574116.5510102708</v>
      </c>
      <c r="AL22" s="11">
        <f>Commercial!AL22*Commercial!$B$5</f>
        <v>1676850.6805664827</v>
      </c>
      <c r="AM22" s="11">
        <f>Commercial!AM22*Commercial!$B$5</f>
        <v>1786289.7147683501</v>
      </c>
      <c r="AN22" s="11">
        <f>Commercial!AN22*Commercial!$B$5</f>
        <v>1902871.2467166435</v>
      </c>
    </row>
    <row r="23" spans="1:40" x14ac:dyDescent="0.2">
      <c r="A23" s="6" t="s">
        <v>10</v>
      </c>
      <c r="B23" s="11">
        <f>Commercial!B23*Commercial!$B$5</f>
        <v>149.55996056827513</v>
      </c>
      <c r="C23" s="11">
        <f>Commercial!C23*Commercial!$B$5</f>
        <v>159.32093560889831</v>
      </c>
      <c r="D23" s="11">
        <f>Commercial!D23*Commercial!$B$5</f>
        <v>169.71895704470415</v>
      </c>
      <c r="E23" s="11">
        <f>Commercial!E23*Commercial!$B$5</f>
        <v>180.79560147105587</v>
      </c>
      <c r="F23" s="11">
        <f>Commercial!F23*Commercial!$B$5</f>
        <v>192.59515896430497</v>
      </c>
      <c r="G23" s="11">
        <f>Commercial!G23*Commercial!$B$5</f>
        <v>205.16481017611611</v>
      </c>
      <c r="H23" s="11">
        <f>Commercial!H23*Commercial!$B$5</f>
        <v>218.55481498578612</v>
      </c>
      <c r="I23" s="11">
        <f>Commercial!I23*Commercial!$B$5</f>
        <v>232.81871346488751</v>
      </c>
      <c r="J23" s="11">
        <f>Commercial!J23*Commercial!$B$5</f>
        <v>248.01353995779334</v>
      </c>
      <c r="K23" s="11">
        <f>Commercial!K23*Commercial!$B$5</f>
        <v>264.20005113408837</v>
      </c>
      <c r="L23" s="11">
        <f>Commercial!L23*Commercial!$B$5</f>
        <v>281.44296892473557</v>
      </c>
      <c r="M23" s="11">
        <f>Commercial!M23*Commercial!$B$5</f>
        <v>299.81123931338124</v>
      </c>
      <c r="N23" s="11">
        <f>Commercial!N23*Commercial!$B$5</f>
        <v>319.37830801757673</v>
      </c>
      <c r="O23" s="11">
        <f>Commercial!O23*Commercial!$B$5</f>
        <v>340.22241416223517</v>
      </c>
      <c r="P23" s="11">
        <f>Commercial!P23*Commercial!$B$5</f>
        <v>362.42690311957307</v>
      </c>
      <c r="Q23" s="11">
        <f>Commercial!Q23*Commercial!$B$5</f>
        <v>386.0805597664372</v>
      </c>
      <c r="R23" s="11">
        <f>Commercial!R23*Commercial!$B$5</f>
        <v>411.27796349154494</v>
      </c>
      <c r="S23" s="11">
        <f>Commercial!S23*Commercial!$B$5</f>
        <v>438.11986637214045</v>
      </c>
      <c r="T23" s="11">
        <f>Commercial!T23*Commercial!$B$5</f>
        <v>466.7135960322081</v>
      </c>
      <c r="U23" s="11">
        <f>Commercial!U23*Commercial!$B$5</f>
        <v>497.17348479307884</v>
      </c>
      <c r="V23" s="11">
        <f>Commercial!V23*Commercial!$B$5</f>
        <v>529.62132683238951</v>
      </c>
      <c r="W23" s="11">
        <f>Commercial!W23*Commercial!$B$5</f>
        <v>564.18686517935055</v>
      </c>
      <c r="X23" s="11">
        <f>Commercial!X23*Commercial!$B$5</f>
        <v>601.00831049358032</v>
      </c>
      <c r="Y23" s="11">
        <f>Commercial!Y23*Commercial!$B$5</f>
        <v>640.23289370184386</v>
      </c>
      <c r="Z23" s="11">
        <f>Commercial!Z23*Commercial!$B$5</f>
        <v>682.01745470242588</v>
      </c>
      <c r="AA23" s="11">
        <f>Commercial!AA23*Commercial!$B$5</f>
        <v>726.52906949106909</v>
      </c>
      <c r="AB23" s="11">
        <f>Commercial!AB23*Commercial!$B$5</f>
        <v>773.94571821606121</v>
      </c>
      <c r="AC23" s="11">
        <f>Commercial!AC23*Commercial!$B$5</f>
        <v>824.45699683367957</v>
      </c>
      <c r="AD23" s="11">
        <f>Commercial!AD23*Commercial!$B$5</f>
        <v>878.26487520956982</v>
      </c>
      <c r="AE23" s="11">
        <f>Commercial!AE23*Commercial!$B$5</f>
        <v>935.58450469732429</v>
      </c>
      <c r="AF23" s="11">
        <f>Commercial!AF23*Commercial!$B$5</f>
        <v>996.64507842337559</v>
      </c>
      <c r="AG23" s="11">
        <f>Commercial!AG23*Commercial!$B$5</f>
        <v>1061.690747718063</v>
      </c>
      <c r="AH23" s="11">
        <f>Commercial!AH23*Commercial!$B$5</f>
        <v>1130.9815983572332</v>
      </c>
      <c r="AI23" s="11">
        <f>Commercial!AI23*Commercial!$B$5</f>
        <v>1204.7946905178824</v>
      </c>
      <c r="AJ23" s="11">
        <f>Commercial!AJ23*Commercial!$B$5</f>
        <v>1283.4251666061127</v>
      </c>
      <c r="AK23" s="11">
        <f>Commercial!AK23*Commercial!$B$5</f>
        <v>1367.187431387074</v>
      </c>
      <c r="AL23" s="11">
        <f>Commercial!AL23*Commercial!$B$5</f>
        <v>1456.4164091356397</v>
      </c>
      <c r="AM23" s="11">
        <f>Commercial!AM23*Commercial!$B$5</f>
        <v>1551.4688828345566</v>
      </c>
      <c r="AN23" s="11">
        <f>Commercial!AN23*Commercial!$B$5</f>
        <v>1652.7249207748609</v>
      </c>
    </row>
    <row r="24" spans="1:40" x14ac:dyDescent="0.2">
      <c r="A24" s="6" t="s">
        <v>44</v>
      </c>
      <c r="B24" s="11">
        <f>Commercial!B24*Commercial!$B$5</f>
        <v>273085.74223023519</v>
      </c>
      <c r="C24" s="11">
        <f>Commercial!C24*Commercial!$B$5</f>
        <v>290908.58133590961</v>
      </c>
      <c r="D24" s="11">
        <f>Commercial!D24*Commercial!$B$5</f>
        <v>309894.621387897</v>
      </c>
      <c r="E24" s="11">
        <f>Commercial!E24*Commercial!$B$5</f>
        <v>330119.77826208447</v>
      </c>
      <c r="F24" s="11">
        <f>Commercial!F24*Commercial!$B$5</f>
        <v>351664.92245568219</v>
      </c>
      <c r="G24" s="11">
        <f>Commercial!G24*Commercial!$B$5</f>
        <v>374616.20244873618</v>
      </c>
      <c r="H24" s="11">
        <f>Commercial!H24*Commercial!$B$5</f>
        <v>399065.38916970952</v>
      </c>
      <c r="I24" s="11">
        <f>Commercial!I24*Commercial!$B$5</f>
        <v>425110.24294248055</v>
      </c>
      <c r="J24" s="11">
        <f>Commercial!J24*Commercial!$B$5</f>
        <v>452854.90438200108</v>
      </c>
      <c r="K24" s="11">
        <f>Commercial!K24*Commercial!$B$5</f>
        <v>482410.31080161309</v>
      </c>
      <c r="L24" s="11">
        <f>Commercial!L24*Commercial!$B$5</f>
        <v>513894.63979703444</v>
      </c>
      <c r="M24" s="11">
        <f>Commercial!M24*Commercial!$B$5</f>
        <v>547433.78178068763</v>
      </c>
      <c r="N24" s="11">
        <f>Commercial!N24*Commercial!$B$5</f>
        <v>583161.8433558034</v>
      </c>
      <c r="O24" s="11">
        <f>Commercial!O24*Commercial!$B$5</f>
        <v>621221.68354305264</v>
      </c>
      <c r="P24" s="11">
        <f>Commercial!P24*Commercial!$B$5</f>
        <v>661765.48500380234</v>
      </c>
      <c r="Q24" s="11">
        <f>Commercial!Q24*Commercial!$B$5</f>
        <v>704955.36254404951</v>
      </c>
      <c r="R24" s="11">
        <f>Commercial!R24*Commercial!$B$5</f>
        <v>750964.01133213693</v>
      </c>
      <c r="S24" s="11">
        <f>Commercial!S24*Commercial!$B$5</f>
        <v>799975.39742215292</v>
      </c>
      <c r="T24" s="11">
        <f>Commercial!T24*Commercial!$B$5</f>
        <v>852185.49334408646</v>
      </c>
      <c r="U24" s="11">
        <f>Commercial!U24*Commercial!$B$5</f>
        <v>907803.06170199951</v>
      </c>
      <c r="V24" s="11">
        <f>Commercial!V24*Commercial!$B$5</f>
        <v>967050.4899134388</v>
      </c>
      <c r="W24" s="11">
        <f>Commercial!W24*Commercial!$B$5</f>
        <v>1030164.6794278068</v>
      </c>
      <c r="X24" s="11">
        <f>Commercial!X24*Commercial!$B$5</f>
        <v>1097397.9929792373</v>
      </c>
      <c r="Y24" s="11">
        <f>Commercial!Y24*Commercial!$B$5</f>
        <v>1169019.2636615757</v>
      </c>
      <c r="Z24" s="11">
        <f>Commercial!Z24*Commercial!$B$5</f>
        <v>1245314.8698602642</v>
      </c>
      <c r="AA24" s="11">
        <f>Commercial!AA24*Commercial!$B$5</f>
        <v>1326589.8803392476</v>
      </c>
      <c r="AB24" s="11">
        <f>Commercial!AB24*Commercial!$B$5</f>
        <v>1413169.2740615639</v>
      </c>
      <c r="AC24" s="11">
        <f>Commercial!AC24*Commercial!$B$5</f>
        <v>1505399.2396210528</v>
      </c>
      <c r="AD24" s="11">
        <f>Commercial!AD24*Commercial!$B$5</f>
        <v>1603648.5594810047</v>
      </c>
      <c r="AE24" s="11">
        <f>Commercial!AE24*Commercial!$B$5</f>
        <v>1708310.0845546203</v>
      </c>
      <c r="AF24" s="11">
        <f>Commercial!AF24*Commercial!$B$5</f>
        <v>1819802.3050234171</v>
      </c>
      <c r="AG24" s="11">
        <f>Commercial!AG24*Commercial!$B$5</f>
        <v>1938571.0236745111</v>
      </c>
      <c r="AH24" s="11">
        <f>Commercial!AH24*Commercial!$B$5</f>
        <v>2065091.1384476358</v>
      </c>
      <c r="AI24" s="11">
        <f>Commercial!AI24*Commercial!$B$5</f>
        <v>2199868.5413194261</v>
      </c>
      <c r="AJ24" s="11">
        <f>Commercial!AJ24*Commercial!$B$5</f>
        <v>2343442.1411176734</v>
      </c>
      <c r="AK24" s="11">
        <f>Commercial!AK24*Commercial!$B$5</f>
        <v>2496386.0183538008</v>
      </c>
      <c r="AL24" s="11">
        <f>Commercial!AL24*Commercial!$B$5</f>
        <v>2659311.7206896772</v>
      </c>
      <c r="AM24" s="11">
        <f>Commercial!AM24*Commercial!$B$5</f>
        <v>2832870.7082172171</v>
      </c>
      <c r="AN24" s="11">
        <f>Commercial!AN24*Commercial!$B$5</f>
        <v>3017756.9583282401</v>
      </c>
    </row>
    <row r="26" spans="1:40" x14ac:dyDescent="0.2">
      <c r="A26" s="5" t="s">
        <v>66</v>
      </c>
    </row>
    <row r="27" spans="1:40" x14ac:dyDescent="0.2">
      <c r="A27" s="5" t="s">
        <v>4</v>
      </c>
    </row>
    <row r="28" spans="1:40" x14ac:dyDescent="0.2">
      <c r="A28" s="5" t="s">
        <v>47</v>
      </c>
    </row>
    <row r="29" spans="1:40" x14ac:dyDescent="0.2">
      <c r="A29" s="5" t="s">
        <v>6</v>
      </c>
    </row>
    <row r="30" spans="1:40" x14ac:dyDescent="0.2">
      <c r="A30" s="5"/>
    </row>
    <row r="31" spans="1:40" x14ac:dyDescent="0.2">
      <c r="A31" s="6" t="s">
        <v>7</v>
      </c>
      <c r="B31" s="6">
        <v>2022</v>
      </c>
      <c r="C31" s="6">
        <v>2023</v>
      </c>
      <c r="D31" s="6">
        <v>2024</v>
      </c>
      <c r="E31" s="6">
        <v>2025</v>
      </c>
      <c r="F31" s="6">
        <v>2026</v>
      </c>
      <c r="G31" s="6">
        <v>2027</v>
      </c>
      <c r="H31" s="6">
        <v>2028</v>
      </c>
      <c r="I31" s="6">
        <v>2029</v>
      </c>
      <c r="J31" s="6">
        <v>2030</v>
      </c>
      <c r="K31" s="6">
        <v>2031</v>
      </c>
      <c r="L31" s="6">
        <v>2032</v>
      </c>
      <c r="M31" s="6">
        <v>2033</v>
      </c>
      <c r="N31" s="6">
        <v>2034</v>
      </c>
      <c r="O31" s="6">
        <v>2035</v>
      </c>
      <c r="P31" s="6">
        <v>2036</v>
      </c>
      <c r="Q31" s="6">
        <v>2037</v>
      </c>
      <c r="R31" s="6">
        <v>2038</v>
      </c>
      <c r="S31" s="6">
        <v>2039</v>
      </c>
      <c r="T31" s="6">
        <v>2040</v>
      </c>
      <c r="U31" s="6">
        <v>2041</v>
      </c>
      <c r="V31" s="6">
        <v>2042</v>
      </c>
      <c r="W31" s="6">
        <v>2043</v>
      </c>
      <c r="X31" s="6">
        <v>2044</v>
      </c>
      <c r="Y31" s="6">
        <v>2045</v>
      </c>
      <c r="Z31" s="6">
        <v>2046</v>
      </c>
      <c r="AA31" s="6">
        <v>2047</v>
      </c>
      <c r="AB31" s="6">
        <v>2048</v>
      </c>
      <c r="AC31" s="6">
        <v>2049</v>
      </c>
      <c r="AD31" s="6">
        <v>2050</v>
      </c>
      <c r="AE31" s="6">
        <v>2051</v>
      </c>
      <c r="AF31" s="6">
        <v>2052</v>
      </c>
      <c r="AG31" s="6">
        <v>2053</v>
      </c>
      <c r="AH31" s="6">
        <v>2054</v>
      </c>
      <c r="AI31" s="6">
        <v>2055</v>
      </c>
      <c r="AJ31" s="6">
        <v>2056</v>
      </c>
      <c r="AK31" s="6">
        <v>2057</v>
      </c>
      <c r="AL31" s="6">
        <v>2058</v>
      </c>
      <c r="AM31" s="6">
        <v>2059</v>
      </c>
      <c r="AN31" s="6">
        <v>2060</v>
      </c>
    </row>
    <row r="32" spans="1:40" x14ac:dyDescent="0.2">
      <c r="A32" s="6" t="s">
        <v>40</v>
      </c>
      <c r="B32" s="11">
        <f>Commercial!B32*Commercial!$B$30</f>
        <v>1447119.2500736064</v>
      </c>
      <c r="C32" s="11">
        <f>Commercial!C32*Commercial!$B$30</f>
        <v>1541564.9481541798</v>
      </c>
      <c r="D32" s="11">
        <f>Commercial!D32*Commercial!$B$30</f>
        <v>1642174.6094917376</v>
      </c>
      <c r="E32" s="11">
        <f>Commercial!E32*Commercial!$B$30</f>
        <v>1749350.5228490867</v>
      </c>
      <c r="F32" s="11">
        <f>Commercial!F32*Commercial!$B$30</f>
        <v>1863521.2322150876</v>
      </c>
      <c r="G32" s="11">
        <f>Commercial!G32*Commercial!$B$30</f>
        <v>1985143.2503421865</v>
      </c>
      <c r="H32" s="11">
        <f>Commercial!H32*Commercial!$B$30</f>
        <v>2114702.8841173369</v>
      </c>
      <c r="I32" s="11">
        <f>Commercial!I32*Commercial!$B$30</f>
        <v>2252718.179065079</v>
      </c>
      <c r="J32" s="11">
        <f>Commercial!J32*Commercial!$B$30</f>
        <v>2399740.9907578812</v>
      </c>
      <c r="K32" s="11">
        <f>Commercial!K32*Commercial!$B$30</f>
        <v>2556359.1914163055</v>
      </c>
      <c r="L32" s="11">
        <f>Commercial!L32*Commercial!$B$30</f>
        <v>2723199.020522113</v>
      </c>
      <c r="M32" s="11">
        <f>Commercial!M32*Commercial!$B$30</f>
        <v>2900927.5888432553</v>
      </c>
      <c r="N32" s="11">
        <f>Commercial!N32*Commercial!$B$30</f>
        <v>3090255.5458831191</v>
      </c>
      <c r="O32" s="11">
        <f>Commercial!O32*Commercial!$B$30</f>
        <v>3291939.9214198645</v>
      </c>
      <c r="P32" s="11">
        <f>Commercial!P32*Commercial!$B$30</f>
        <v>3506787.1524977419</v>
      </c>
      <c r="Q32" s="11">
        <f>Commercial!Q32*Commercial!$B$30</f>
        <v>3735656.3079738994</v>
      </c>
      <c r="R32" s="11">
        <f>Commercial!R32*Commercial!$B$30</f>
        <v>3979462.5235140147</v>
      </c>
      <c r="S32" s="11">
        <f>Commercial!S32*Commercial!$B$30</f>
        <v>4239180.6607716354</v>
      </c>
      <c r="T32" s="11">
        <f>Commercial!T32*Commercial!$B$30</f>
        <v>4515849.2053825101</v>
      </c>
      <c r="U32" s="11">
        <f>Commercial!U32*Commercial!$B$30</f>
        <v>4810574.4193600472</v>
      </c>
      <c r="V32" s="11">
        <f>Commercial!V32*Commercial!$B$30</f>
        <v>5124534.7644953234</v>
      </c>
      <c r="W32" s="11">
        <f>Commercial!W32*Commercial!$B$30</f>
        <v>5458985.6144486452</v>
      </c>
      <c r="X32" s="11">
        <f>Commercial!X32*Commercial!$B$30</f>
        <v>5815264.2743740035</v>
      </c>
      <c r="Y32" s="11">
        <f>Commercial!Y32*Commercial!$B$30</f>
        <v>6194795.3281474486</v>
      </c>
      <c r="Z32" s="11">
        <f>Commercial!Z32*Commercial!$B$30</f>
        <v>6599096.3345803367</v>
      </c>
      <c r="AA32" s="11">
        <f>Commercial!AA32*Commercial!$B$30</f>
        <v>7029783.8953937907</v>
      </c>
      <c r="AB32" s="11">
        <f>Commercial!AB32*Commercial!$B$30</f>
        <v>7488580.1192172756</v>
      </c>
      <c r="AC32" s="11">
        <f>Commercial!AC32*Commercial!$B$30</f>
        <v>7977319.5074576074</v>
      </c>
      <c r="AD32" s="11">
        <f>Commercial!AD32*Commercial!$B$30</f>
        <v>8497956.2895716541</v>
      </c>
      <c r="AE32" s="11">
        <f>Commercial!AE32*Commercial!$B$30</f>
        <v>9052572.2370728552</v>
      </c>
      <c r="AF32" s="11">
        <f>Commercial!AF32*Commercial!$B$30</f>
        <v>9643384.9875159748</v>
      </c>
      <c r="AG32" s="11">
        <f>Commercial!AG32*Commercial!$B$30</f>
        <v>10272756.911743606</v>
      </c>
      <c r="AH32" s="11">
        <f>Commercial!AH32*Commercial!$B$30</f>
        <v>10943204.559850223</v>
      </c>
      <c r="AI32" s="11">
        <f>Commercial!AI32*Commercial!$B$30</f>
        <v>11657408.72363355</v>
      </c>
      <c r="AJ32" s="11">
        <f>Commercial!AJ32*Commercial!$B$30</f>
        <v>12418225.155768042</v>
      </c>
      <c r="AK32" s="11">
        <f>Commercial!AK32*Commercial!$B$30</f>
        <v>13228695.988561265</v>
      </c>
      <c r="AL32" s="11">
        <f>Commercial!AL32*Commercial!$B$30</f>
        <v>14092061.897951117</v>
      </c>
      <c r="AM32" s="11">
        <f>Commercial!AM32*Commercial!$B$30</f>
        <v>15011775.061381809</v>
      </c>
      <c r="AN32" s="11">
        <f>Commercial!AN32*Commercial!$B$30</f>
        <v>15991512.961370798</v>
      </c>
    </row>
    <row r="33" spans="1:40" x14ac:dyDescent="0.2">
      <c r="A33" s="6" t="s">
        <v>41</v>
      </c>
      <c r="B33" s="11">
        <f>Commercial!B33*Commercial!$B$30</f>
        <v>883992.08515874215</v>
      </c>
      <c r="C33" s="11">
        <f>Commercial!C33*Commercial!$B$30</f>
        <v>941685.49886757974</v>
      </c>
      <c r="D33" s="11">
        <f>Commercial!D33*Commercial!$B$30</f>
        <v>1003144.2517024815</v>
      </c>
      <c r="E33" s="11">
        <f>Commercial!E33*Commercial!$B$30</f>
        <v>1068614.0871170382</v>
      </c>
      <c r="F33" s="11">
        <f>Commercial!F33*Commercial!$B$30</f>
        <v>1138356.7869196776</v>
      </c>
      <c r="G33" s="11">
        <f>Commercial!G33*Commercial!$B$30</f>
        <v>1212651.2180109092</v>
      </c>
      <c r="H33" s="11">
        <f>Commercial!H33*Commercial!$B$30</f>
        <v>1291794.4474354873</v>
      </c>
      <c r="I33" s="11">
        <f>Commercial!I33*Commercial!$B$30</f>
        <v>1376102.9302080353</v>
      </c>
      <c r="J33" s="11">
        <f>Commercial!J33*Commercial!$B$30</f>
        <v>1465913.77466167</v>
      </c>
      <c r="K33" s="11">
        <f>Commercial!K33*Commercial!$B$30</f>
        <v>1561586.0903791261</v>
      </c>
      <c r="L33" s="11">
        <f>Commercial!L33*Commercial!$B$30</f>
        <v>1663502.4240961086</v>
      </c>
      <c r="M33" s="11">
        <f>Commercial!M33*Commercial!$B$30</f>
        <v>1772070.2893183376</v>
      </c>
      <c r="N33" s="11">
        <f>Commercial!N33*Commercial!$B$30</f>
        <v>1887723.7957684807</v>
      </c>
      <c r="O33" s="11">
        <f>Commercial!O33*Commercial!$B$30</f>
        <v>2010925.3851783362</v>
      </c>
      <c r="P33" s="11">
        <f>Commercial!P33*Commercial!$B$30</f>
        <v>2142167.6803668318</v>
      </c>
      <c r="Q33" s="11">
        <f>Commercial!Q33*Commercial!$B$30</f>
        <v>2281975.4549974287</v>
      </c>
      <c r="R33" s="11">
        <f>Commercial!R33*Commercial!$B$30</f>
        <v>2430907.7318909923</v>
      </c>
      <c r="S33" s="11">
        <f>Commercial!S33*Commercial!$B$30</f>
        <v>2589560.0182842738</v>
      </c>
      <c r="T33" s="11">
        <f>Commercial!T33*Commercial!$B$30</f>
        <v>2758566.6869717105</v>
      </c>
      <c r="U33" s="11">
        <f>Commercial!U33*Commercial!$B$30</f>
        <v>2938603.5128515461</v>
      </c>
      <c r="V33" s="11">
        <f>Commercial!V33*Commercial!$B$30</f>
        <v>3130390.3750186921</v>
      </c>
      <c r="W33" s="11">
        <f>Commercial!W33*Commercial!$B$30</f>
        <v>3334694.1352086775</v>
      </c>
      <c r="X33" s="11">
        <f>Commercial!X33*Commercial!$B$30</f>
        <v>3552331.7041021604</v>
      </c>
      <c r="Y33" s="11">
        <f>Commercial!Y33*Commercial!$B$30</f>
        <v>3784173.3077506628</v>
      </c>
      <c r="Z33" s="11">
        <f>Commercial!Z33*Commercial!$B$30</f>
        <v>4031145.9671843667</v>
      </c>
      <c r="AA33" s="11">
        <f>Commercial!AA33*Commercial!$B$30</f>
        <v>4294237.2051152103</v>
      </c>
      <c r="AB33" s="11">
        <f>Commercial!AB33*Commercial!$B$30</f>
        <v>4574498.9945565788</v>
      </c>
      <c r="AC33" s="11">
        <f>Commercial!AC33*Commercial!$B$30</f>
        <v>4873051.9651481891</v>
      </c>
      <c r="AD33" s="11">
        <f>Commercial!AD33*Commercial!$B$30</f>
        <v>5191089.8840052029</v>
      </c>
      <c r="AE33" s="11">
        <f>Commercial!AE33*Commercial!$B$30</f>
        <v>5529884.429008279</v>
      </c>
      <c r="AF33" s="11">
        <f>Commercial!AF33*Commercial!$B$30</f>
        <v>5890790.2736206129</v>
      </c>
      <c r="AG33" s="11">
        <f>Commercial!AG33*Commercial!$B$30</f>
        <v>6275250.5035636919</v>
      </c>
      <c r="AH33" s="11">
        <f>Commercial!AH33*Commercial!$B$30</f>
        <v>6684802.3870103378</v>
      </c>
      <c r="AI33" s="11">
        <f>Commercial!AI33*Commercial!$B$30</f>
        <v>7121083.5213672798</v>
      </c>
      <c r="AJ33" s="11">
        <f>Commercial!AJ33*Commercial!$B$30</f>
        <v>7585838.3812251622</v>
      </c>
      <c r="AK33" s="11">
        <f>Commercial!AK33*Commercial!$B$30</f>
        <v>8080925.2936581103</v>
      </c>
      <c r="AL33" s="11">
        <f>Commercial!AL33*Commercial!$B$30</f>
        <v>8608323.8687635735</v>
      </c>
      <c r="AM33" s="11">
        <f>Commercial!AM33*Commercial!$B$30</f>
        <v>9170142.9151536264</v>
      </c>
      <c r="AN33" s="11">
        <f>Commercial!AN33*Commercial!$B$30</f>
        <v>9768628.8720478229</v>
      </c>
    </row>
    <row r="34" spans="1:40" x14ac:dyDescent="0.2">
      <c r="A34" s="6" t="s">
        <v>42</v>
      </c>
      <c r="B34" s="11">
        <f>Commercial!B34*Commercial!$B$30</f>
        <v>686424.20813891094</v>
      </c>
      <c r="C34" s="11">
        <f>Commercial!C34*Commercial!$B$30</f>
        <v>731223.42804686737</v>
      </c>
      <c r="D34" s="11">
        <f>Commercial!D34*Commercial!$B$30</f>
        <v>778946.45233200782</v>
      </c>
      <c r="E34" s="11">
        <f>Commercial!E34*Commercial!$B$30</f>
        <v>829784.10199642973</v>
      </c>
      <c r="F34" s="11">
        <f>Commercial!F34*Commercial!$B$30</f>
        <v>883939.65190375678</v>
      </c>
      <c r="G34" s="11">
        <f>Commercial!G34*Commercial!$B$30</f>
        <v>941629.64357576566</v>
      </c>
      <c r="H34" s="11">
        <f>Commercial!H34*Commercial!$B$30</f>
        <v>1003084.7510358811</v>
      </c>
      <c r="I34" s="11">
        <f>Commercial!I34*Commercial!$B$30</f>
        <v>1068550.7031616257</v>
      </c>
      <c r="J34" s="11">
        <f>Commercial!J34*Commercial!$B$30</f>
        <v>1138289.266234057</v>
      </c>
      <c r="K34" s="11">
        <f>Commercial!K34*Commercial!$B$30</f>
        <v>1212579.2906129269</v>
      </c>
      <c r="L34" s="11">
        <f>Commercial!L34*Commercial!$B$30</f>
        <v>1291717.8257227044</v>
      </c>
      <c r="M34" s="11">
        <f>Commercial!M34*Commercial!$B$30</f>
        <v>1376021.3078077482</v>
      </c>
      <c r="N34" s="11">
        <f>Commercial!N34*Commercial!$B$30</f>
        <v>1465826.825205873</v>
      </c>
      <c r="O34" s="11">
        <f>Commercial!O34*Commercial!$B$30</f>
        <v>1561493.4661995296</v>
      </c>
      <c r="P34" s="11">
        <f>Commercial!P34*Commercial!$B$30</f>
        <v>1663403.7548339791</v>
      </c>
      <c r="Q34" s="11">
        <f>Commercial!Q34*Commercial!$B$30</f>
        <v>1771965.1804436182</v>
      </c>
      <c r="R34" s="11">
        <f>Commercial!R34*Commercial!$B$30</f>
        <v>1887611.8270022594</v>
      </c>
      <c r="S34" s="11">
        <f>Commercial!S34*Commercial!$B$30</f>
        <v>2010806.1088123503</v>
      </c>
      <c r="T34" s="11">
        <f>Commercial!T34*Commercial!$B$30</f>
        <v>2142040.6194733102</v>
      </c>
      <c r="U34" s="11">
        <f>Commercial!U34*Commercial!$B$30</f>
        <v>2281840.1015220853</v>
      </c>
      <c r="V34" s="11">
        <f>Commercial!V34*Commercial!$B$30</f>
        <v>2430763.5446215668</v>
      </c>
      <c r="W34" s="11">
        <f>Commercial!W34*Commercial!$B$30</f>
        <v>2589406.4206864918</v>
      </c>
      <c r="X34" s="11">
        <f>Commercial!X34*Commercial!$B$30</f>
        <v>2758403.0648840019</v>
      </c>
      <c r="Y34" s="11">
        <f>Commercial!Y34*Commercial!$B$30</f>
        <v>2938429.2120293127</v>
      </c>
      <c r="Z34" s="11">
        <f>Commercial!Z34*Commercial!$B$30</f>
        <v>3130204.6985183111</v>
      </c>
      <c r="AA34" s="11">
        <f>Commercial!AA34*Commercial!$B$30</f>
        <v>3334496.3406007569</v>
      </c>
      <c r="AB34" s="11">
        <f>Commercial!AB34*Commercial!$B$30</f>
        <v>3552121.000502931</v>
      </c>
      <c r="AC34" s="11">
        <f>Commercial!AC34*Commercial!$B$30</f>
        <v>3783948.8526596222</v>
      </c>
      <c r="AD34" s="11">
        <f>Commercial!AD34*Commercial!$B$30</f>
        <v>4030906.8631155319</v>
      </c>
      <c r="AE34" s="11">
        <f>Commercial!AE34*Commercial!$B$30</f>
        <v>4293982.4960085079</v>
      </c>
      <c r="AF34" s="11">
        <f>Commercial!AF34*Commercial!$B$30</f>
        <v>4574227.6619550334</v>
      </c>
      <c r="AG34" s="11">
        <f>Commercial!AG34*Commercial!$B$30</f>
        <v>4872762.9241256127</v>
      </c>
      <c r="AH34" s="11">
        <f>Commercial!AH34*Commercial!$B$30</f>
        <v>5190781.9788280986</v>
      </c>
      <c r="AI34" s="11">
        <f>Commercial!AI34*Commercial!$B$30</f>
        <v>5529556.428514638</v>
      </c>
      <c r="AJ34" s="11">
        <f>Commercial!AJ34*Commercial!$B$30</f>
        <v>5890440.8662970988</v>
      </c>
      <c r="AK34" s="11">
        <f>Commercial!AK34*Commercial!$B$30</f>
        <v>6274878.2923015384</v>
      </c>
      <c r="AL34" s="11">
        <f>Commercial!AL34*Commercial!$B$30</f>
        <v>6684405.8835189976</v>
      </c>
      <c r="AM34" s="11">
        <f>Commercial!AM34*Commercial!$B$30</f>
        <v>7120661.1402234705</v>
      </c>
      <c r="AN34" s="11">
        <f>Commercial!AN34*Commercial!$B$30</f>
        <v>7585388.4335335512</v>
      </c>
    </row>
    <row r="35" spans="1:40" x14ac:dyDescent="0.2">
      <c r="A35" s="6" t="s">
        <v>43</v>
      </c>
      <c r="B35" s="11">
        <f>Commercial!B35*Commercial!$B$30</f>
        <v>48138.709563875731</v>
      </c>
      <c r="C35" s="11">
        <f>Commercial!C35*Commercial!$B$30</f>
        <v>51280.464487823418</v>
      </c>
      <c r="D35" s="11">
        <f>Commercial!D35*Commercial!$B$30</f>
        <v>54627.264875007982</v>
      </c>
      <c r="E35" s="11">
        <f>Commercial!E35*Commercial!$B$30</f>
        <v>58192.492941105585</v>
      </c>
      <c r="F35" s="11">
        <f>Commercial!F35*Commercial!$B$30</f>
        <v>61990.404287106983</v>
      </c>
      <c r="G35" s="11">
        <f>Commercial!G35*Commercial!$B$30</f>
        <v>66036.184900484237</v>
      </c>
      <c r="H35" s="11">
        <f>Commercial!H35*Commercial!$B$30</f>
        <v>70346.011876517397</v>
      </c>
      <c r="I35" s="11">
        <f>Commercial!I35*Commercial!$B$30</f>
        <v>74937.118102575856</v>
      </c>
      <c r="J35" s="11">
        <f>Commercial!J35*Commercial!$B$30</f>
        <v>79827.861163995447</v>
      </c>
      <c r="K35" s="11">
        <f>Commercial!K35*Commercial!$B$30</f>
        <v>85037.796747071407</v>
      </c>
      <c r="L35" s="11">
        <f>Commercial!L35*Commercial!$B$30</f>
        <v>90587.756832670842</v>
      </c>
      <c r="M35" s="11">
        <f>Commercial!M35*Commercial!$B$30</f>
        <v>96499.932993121853</v>
      </c>
      <c r="N35" s="11">
        <f>Commercial!N35*Commercial!$B$30</f>
        <v>102797.96512544295</v>
      </c>
      <c r="O35" s="11">
        <f>Commercial!O35*Commercial!$B$30</f>
        <v>109507.03597571405</v>
      </c>
      <c r="P35" s="11">
        <f>Commercial!P35*Commercial!$B$30</f>
        <v>116653.97183254464</v>
      </c>
      <c r="Q35" s="11">
        <f>Commercial!Q35*Commercial!$B$30</f>
        <v>124267.34979226418</v>
      </c>
      <c r="R35" s="11">
        <f>Commercial!R35*Commercial!$B$30</f>
        <v>132377.61202473487</v>
      </c>
      <c r="S35" s="11">
        <f>Commercial!S35*Commercial!$B$30</f>
        <v>141017.18749667989</v>
      </c>
      <c r="T35" s="11">
        <f>Commercial!T35*Commercial!$B$30</f>
        <v>150220.62163923981</v>
      </c>
      <c r="U35" s="11">
        <f>Commercial!U35*Commercial!$B$30</f>
        <v>160024.71447823296</v>
      </c>
      <c r="V35" s="11">
        <f>Commercial!V35*Commercial!$B$30</f>
        <v>170468.66777943639</v>
      </c>
      <c r="W35" s="11">
        <f>Commercial!W35*Commercial!$B$30</f>
        <v>181594.24179724822</v>
      </c>
      <c r="X35" s="11">
        <f>Commercial!X35*Commercial!$B$30</f>
        <v>193445.92225349354</v>
      </c>
      <c r="Y35" s="11">
        <f>Commercial!Y35*Commercial!$B$30</f>
        <v>206071.09821403879</v>
      </c>
      <c r="Z35" s="11">
        <f>Commercial!Z35*Commercial!$B$30</f>
        <v>219520.25157445847</v>
      </c>
      <c r="AA35" s="11">
        <f>Commercial!AA35*Commercial!$B$30</f>
        <v>233847.15891241172</v>
      </c>
      <c r="AB35" s="11">
        <f>Commercial!AB35*Commercial!$B$30</f>
        <v>249109.10651384006</v>
      </c>
      <c r="AC35" s="11">
        <f>Commercial!AC35*Commercial!$B$30</f>
        <v>265367.11943276913</v>
      </c>
      <c r="AD35" s="11">
        <f>Commercial!AD35*Commercial!$B$30</f>
        <v>282686.20550061332</v>
      </c>
      <c r="AE35" s="11">
        <f>Commercial!AE35*Commercial!$B$30</f>
        <v>301135.61526065634</v>
      </c>
      <c r="AF35" s="11">
        <f>Commercial!AF35*Commercial!$B$30</f>
        <v>320789.1188670586</v>
      </c>
      <c r="AG35" s="11">
        <f>Commercial!AG35*Commercial!$B$30</f>
        <v>341725.30105557595</v>
      </c>
      <c r="AH35" s="11">
        <f>Commercial!AH35*Commercial!$B$30</f>
        <v>364027.87536543078</v>
      </c>
      <c r="AI35" s="11">
        <f>Commercial!AI35*Commercial!$B$30</f>
        <v>387786.01886875828</v>
      </c>
      <c r="AJ35" s="11">
        <f>Commercial!AJ35*Commercial!$B$30</f>
        <v>413094.72874604276</v>
      </c>
      <c r="AK35" s="11">
        <f>Commercial!AK35*Commercial!$B$30</f>
        <v>440055.20213331963</v>
      </c>
      <c r="AL35" s="11">
        <f>Commercial!AL35*Commercial!$B$30</f>
        <v>468775.24075996049</v>
      </c>
      <c r="AM35" s="11">
        <f>Commercial!AM35*Commercial!$B$30</f>
        <v>499369.68199499452</v>
      </c>
      <c r="AN35" s="11">
        <f>Commercial!AN35*Commercial!$B$30</f>
        <v>531960.85802550649</v>
      </c>
    </row>
    <row r="36" spans="1:40" x14ac:dyDescent="0.2">
      <c r="A36" s="6" t="s">
        <v>8</v>
      </c>
      <c r="B36" s="11">
        <f>Commercial!B36*Commercial!$B$30</f>
        <v>36816.09646793257</v>
      </c>
      <c r="C36" s="11">
        <f>Commercial!C36*Commercial!$B$30</f>
        <v>39218.885271508203</v>
      </c>
      <c r="D36" s="11">
        <f>Commercial!D36*Commercial!$B$30</f>
        <v>41778.491190108994</v>
      </c>
      <c r="E36" s="11">
        <f>Commercial!E36*Commercial!$B$30</f>
        <v>44505.148834254258</v>
      </c>
      <c r="F36" s="11">
        <f>Commercial!F36*Commercial!$B$30</f>
        <v>47409.760772501359</v>
      </c>
      <c r="G36" s="11">
        <f>Commercial!G36*Commercial!$B$30</f>
        <v>50503.941125477904</v>
      </c>
      <c r="H36" s="11">
        <f>Commercial!H36*Commercial!$B$30</f>
        <v>53800.06200506218</v>
      </c>
      <c r="I36" s="11">
        <f>Commercial!I36*Commercial!$B$30</f>
        <v>57311.30298439943</v>
      </c>
      <c r="J36" s="11">
        <f>Commercial!J36*Commercial!$B$30</f>
        <v>61051.703796560265</v>
      </c>
      <c r="K36" s="11">
        <f>Commercial!K36*Commercial!$B$30</f>
        <v>65036.220472557274</v>
      </c>
      <c r="L36" s="11">
        <f>Commercial!L36*Commercial!$B$30</f>
        <v>69280.785143188492</v>
      </c>
      <c r="M36" s="11">
        <f>Commercial!M36*Commercial!$B$30</f>
        <v>73802.369743825868</v>
      </c>
      <c r="N36" s="11">
        <f>Commercial!N36*Commercial!$B$30</f>
        <v>78619.053876872742</v>
      </c>
      <c r="O36" s="11">
        <f>Commercial!O36*Commercial!$B$30</f>
        <v>83750.097103239808</v>
      </c>
      <c r="P36" s="11">
        <f>Commercial!P36*Commercial!$B$30</f>
        <v>89216.015951896537</v>
      </c>
      <c r="Q36" s="11">
        <f>Commercial!Q36*Commercial!$B$30</f>
        <v>95038.66595542313</v>
      </c>
      <c r="R36" s="11">
        <f>Commercial!R36*Commercial!$B$30</f>
        <v>101241.32903958144</v>
      </c>
      <c r="S36" s="11">
        <f>Commercial!S36*Commercial!$B$30</f>
        <v>107848.806616334</v>
      </c>
      <c r="T36" s="11">
        <f>Commercial!T36*Commercial!$B$30</f>
        <v>114887.5187525442</v>
      </c>
      <c r="U36" s="11">
        <f>Commercial!U36*Commercial!$B$30</f>
        <v>122385.60981088453</v>
      </c>
      <c r="V36" s="11">
        <f>Commercial!V36*Commercial!$B$30</f>
        <v>130373.06098535948</v>
      </c>
      <c r="W36" s="11">
        <f>Commercial!W36*Commercial!$B$30</f>
        <v>138881.81018141721</v>
      </c>
      <c r="X36" s="11">
        <f>Commercial!X36*Commercial!$B$30</f>
        <v>147945.87971999228</v>
      </c>
      <c r="Y36" s="11">
        <f>Commercial!Y36*Commercial!$B$30</f>
        <v>157601.51237610442</v>
      </c>
      <c r="Z36" s="11">
        <f>Commercial!Z36*Commercial!$B$30</f>
        <v>167887.31629596686</v>
      </c>
      <c r="AA36" s="11">
        <f>Commercial!AA36*Commercial!$B$30</f>
        <v>178844.41937205417</v>
      </c>
      <c r="AB36" s="11">
        <f>Commercial!AB36*Commercial!$B$30</f>
        <v>190516.63369340292</v>
      </c>
      <c r="AC36" s="11">
        <f>Commercial!AC36*Commercial!$B$30</f>
        <v>202950.63072869851</v>
      </c>
      <c r="AD36" s="11">
        <f>Commercial!AD36*Commercial!$B$30</f>
        <v>216196.12794262182</v>
      </c>
      <c r="AE36" s="11">
        <f>Commercial!AE36*Commercial!$B$30</f>
        <v>230306.08759164138</v>
      </c>
      <c r="AF36" s="11">
        <f>Commercial!AF36*Commercial!$B$30</f>
        <v>245336.92849413925</v>
      </c>
      <c r="AG36" s="11">
        <f>Commercial!AG36*Commercial!$B$30</f>
        <v>261348.75162163502</v>
      </c>
      <c r="AH36" s="11">
        <f>Commercial!AH36*Commercial!$B$30</f>
        <v>278405.58041313657</v>
      </c>
      <c r="AI36" s="11">
        <f>Commercial!AI36*Commercial!$B$30</f>
        <v>296575.61677351856</v>
      </c>
      <c r="AJ36" s="11">
        <f>Commercial!AJ36*Commercial!$B$30</f>
        <v>315931.51377953723</v>
      </c>
      <c r="AK36" s="11">
        <f>Commercial!AK36*Commercial!$B$30</f>
        <v>336550.66618390422</v>
      </c>
      <c r="AL36" s="11">
        <f>Commercial!AL36*Commercial!$B$30</f>
        <v>358515.51987899834</v>
      </c>
      <c r="AM36" s="11">
        <f>Commercial!AM36*Commercial!$B$30</f>
        <v>381913.90155761229</v>
      </c>
      <c r="AN36" s="11">
        <f>Commercial!AN36*Commercial!$B$30</f>
        <v>406839.36988888466</v>
      </c>
    </row>
    <row r="37" spans="1:40" x14ac:dyDescent="0.2">
      <c r="A37" s="6" t="s">
        <v>9</v>
      </c>
      <c r="B37" s="11">
        <f>Commercial!B37*Commercial!$B$30</f>
        <v>377426.76066855958</v>
      </c>
      <c r="C37" s="11">
        <f>Commercial!C37*Commercial!$B$30</f>
        <v>402059.37742341141</v>
      </c>
      <c r="D37" s="11">
        <f>Commercial!D37*Commercial!$B$30</f>
        <v>428299.63272280281</v>
      </c>
      <c r="E37" s="11">
        <f>Commercial!E37*Commercial!$B$30</f>
        <v>456252.44849669369</v>
      </c>
      <c r="F37" s="11">
        <f>Commercial!F37*Commercial!$B$30</f>
        <v>486029.59436566714</v>
      </c>
      <c r="G37" s="11">
        <f>Commercial!G37*Commercial!$B$30</f>
        <v>517750.13455290388</v>
      </c>
      <c r="H37" s="11">
        <f>Commercial!H37*Commercial!$B$30</f>
        <v>551540.90396369912</v>
      </c>
      <c r="I37" s="11">
        <f>Commercial!I37*Commercial!$B$30</f>
        <v>587537.01533613261</v>
      </c>
      <c r="J37" s="11">
        <f>Commercial!J37*Commercial!$B$30</f>
        <v>625882.39949073864</v>
      </c>
      <c r="K37" s="11">
        <f>Commercial!K37*Commercial!$B$30</f>
        <v>666730.38083936693</v>
      </c>
      <c r="L37" s="11">
        <f>Commercial!L37*Commercial!$B$30</f>
        <v>710244.29045441642</v>
      </c>
      <c r="M37" s="11">
        <f>Commercial!M37*Commercial!$B$30</f>
        <v>756598.11914980365</v>
      </c>
      <c r="N37" s="11">
        <f>Commercial!N37*Commercial!$B$30</f>
        <v>805977.21318501711</v>
      </c>
      <c r="O37" s="11">
        <f>Commercial!O37*Commercial!$B$30</f>
        <v>858579.01537403744</v>
      </c>
      <c r="P37" s="11">
        <f>Commercial!P37*Commercial!$B$30</f>
        <v>914613.85456245136</v>
      </c>
      <c r="Q37" s="11">
        <f>Commercial!Q37*Commercial!$B$30</f>
        <v>974305.78662950208</v>
      </c>
      <c r="R37" s="11">
        <f>Commercial!R37*Commercial!$B$30</f>
        <v>1037893.4903778184</v>
      </c>
      <c r="S37" s="11">
        <f>Commercial!S37*Commercial!$B$30</f>
        <v>1105631.2218930547</v>
      </c>
      <c r="T37" s="11">
        <f>Commercial!T37*Commercial!$B$30</f>
        <v>1177789.8311894597</v>
      </c>
      <c r="U37" s="11">
        <f>Commercial!U37*Commercial!$B$30</f>
        <v>1254657.845206433</v>
      </c>
      <c r="V37" s="11">
        <f>Commercial!V37*Commercial!$B$30</f>
        <v>1336542.621486455</v>
      </c>
      <c r="W37" s="11">
        <f>Commercial!W37*Commercial!$B$30</f>
        <v>1423771.5771473704</v>
      </c>
      <c r="X37" s="11">
        <f>Commercial!X37*Commercial!$B$30</f>
        <v>1516693.4980630958</v>
      </c>
      <c r="Y37" s="11">
        <f>Commercial!Y37*Commercial!$B$30</f>
        <v>1615679.9334875094</v>
      </c>
      <c r="Z37" s="11">
        <f>Commercial!Z37*Commercial!$B$30</f>
        <v>1721126.6816979572</v>
      </c>
      <c r="AA37" s="11">
        <f>Commercial!AA37*Commercial!$B$30</f>
        <v>1833455.3725987221</v>
      </c>
      <c r="AB37" s="11">
        <f>Commercial!AB37*Commercial!$B$30</f>
        <v>1953115.1536125245</v>
      </c>
      <c r="AC37" s="11">
        <f>Commercial!AC37*Commercial!$B$30</f>
        <v>2080584.4856010941</v>
      </c>
      <c r="AD37" s="11">
        <f>Commercial!AD37*Commercial!$B$30</f>
        <v>2216373.0559958364</v>
      </c>
      <c r="AE37" s="11">
        <f>Commercial!AE37*Commercial!$B$30</f>
        <v>2361023.8167882552</v>
      </c>
      <c r="AF37" s="11">
        <f>Commercial!AF37*Commercial!$B$30</f>
        <v>2515115.1555290585</v>
      </c>
      <c r="AG37" s="11">
        <f>Commercial!AG37*Commercial!$B$30</f>
        <v>2679263.2080167099</v>
      </c>
      <c r="AH37" s="11">
        <f>Commercial!AH37*Commercial!$B$30</f>
        <v>2854124.3219227437</v>
      </c>
      <c r="AI37" s="11">
        <f>Commercial!AI37*Commercial!$B$30</f>
        <v>3040397.6812046603</v>
      </c>
      <c r="AJ37" s="11">
        <f>Commercial!AJ37*Commercial!$B$30</f>
        <v>3238828.1018001474</v>
      </c>
      <c r="AK37" s="11">
        <f>Commercial!AK37*Commercial!$B$30</f>
        <v>3450209.0097812545</v>
      </c>
      <c r="AL37" s="11">
        <f>Commercial!AL37*Commercial!$B$30</f>
        <v>3675385.6138766678</v>
      </c>
      <c r="AM37" s="11">
        <f>Commercial!AM37*Commercial!$B$30</f>
        <v>3915258.2850474953</v>
      </c>
      <c r="AN37" s="11">
        <f>Commercial!AN37*Commercial!$B$30</f>
        <v>4170786.1566297798</v>
      </c>
    </row>
    <row r="38" spans="1:40" x14ac:dyDescent="0.2">
      <c r="A38" s="6" t="s">
        <v>10</v>
      </c>
      <c r="B38" s="11">
        <f>Commercial!B38*Commercial!$B$30</f>
        <v>327.81125585794052</v>
      </c>
      <c r="C38" s="11">
        <f>Commercial!C38*Commercial!$B$30</f>
        <v>349.20573519791054</v>
      </c>
      <c r="D38" s="11">
        <f>Commercial!D38*Commercial!$B$30</f>
        <v>371.99651725186311</v>
      </c>
      <c r="E38" s="11">
        <f>Commercial!E38*Commercial!$B$30</f>
        <v>396.27473119560517</v>
      </c>
      <c r="F38" s="11">
        <f>Commercial!F38*Commercial!$B$30</f>
        <v>422.13745371661167</v>
      </c>
      <c r="G38" s="11">
        <f>Commercial!G38*Commercial!$B$30</f>
        <v>449.68809717615619</v>
      </c>
      <c r="H38" s="11">
        <f>Commercial!H38*Commercial!$B$30</f>
        <v>479.03682310469787</v>
      </c>
      <c r="I38" s="11">
        <f>Commercial!I38*Commercial!$B$30</f>
        <v>510.30098268389082</v>
      </c>
      <c r="J38" s="11">
        <f>Commercial!J38*Commercial!$B$30</f>
        <v>543.60558597648867</v>
      </c>
      <c r="K38" s="11">
        <f>Commercial!K38*Commercial!$B$30</f>
        <v>579.08380178036077</v>
      </c>
      <c r="L38" s="11">
        <f>Commercial!L38*Commercial!$B$30</f>
        <v>616.87749010529797</v>
      </c>
      <c r="M38" s="11">
        <f>Commercial!M38*Commercial!$B$30</f>
        <v>657.1377694017167</v>
      </c>
      <c r="N38" s="11">
        <f>Commercial!N38*Commercial!$B$30</f>
        <v>700.02562080933171</v>
      </c>
      <c r="O38" s="11">
        <f>Commercial!O38*Commercial!$B$30</f>
        <v>745.71253184189675</v>
      </c>
      <c r="P38" s="11">
        <f>Commercial!P38*Commercial!$B$30</f>
        <v>794.38118208178389</v>
      </c>
      <c r="Q38" s="11">
        <f>Commercial!Q38*Commercial!$B$30</f>
        <v>846.22617362617075</v>
      </c>
      <c r="R38" s="11">
        <f>Commercial!R38*Commercial!$B$30</f>
        <v>901.45480920552029</v>
      </c>
      <c r="S38" s="11">
        <f>Commercial!S38*Commercial!$B$30</f>
        <v>960.28792108567461</v>
      </c>
      <c r="T38" s="11">
        <f>Commercial!T38*Commercial!$B$30</f>
        <v>1022.9607540679368</v>
      </c>
      <c r="U38" s="11">
        <f>Commercial!U38*Commercial!$B$30</f>
        <v>1089.72390611782</v>
      </c>
      <c r="V38" s="11">
        <f>Commercial!V38*Commercial!$B$30</f>
        <v>1160.8443303835827</v>
      </c>
      <c r="W38" s="11">
        <f>Commercial!W38*Commercial!$B$30</f>
        <v>1236.6064026111321</v>
      </c>
      <c r="X38" s="11">
        <f>Commercial!X38*Commercial!$B$30</f>
        <v>1317.3130582233596</v>
      </c>
      <c r="Y38" s="11">
        <f>Commercial!Y38*Commercial!$B$30</f>
        <v>1403.2870036105367</v>
      </c>
      <c r="Z38" s="11">
        <f>Commercial!Z38*Commercial!$B$30</f>
        <v>1494.8720064751267</v>
      </c>
      <c r="AA38" s="11">
        <f>Commercial!AA38*Commercial!$B$30</f>
        <v>1592.4342703904676</v>
      </c>
      <c r="AB38" s="11">
        <f>Commercial!AB38*Commercial!$B$30</f>
        <v>1696.363899069519</v>
      </c>
      <c r="AC38" s="11">
        <f>Commercial!AC38*Commercial!$B$30</f>
        <v>1807.076456198557</v>
      </c>
      <c r="AD38" s="11">
        <f>Commercial!AD38*Commercial!$B$30</f>
        <v>1925.014627072838</v>
      </c>
      <c r="AE38" s="11">
        <f>Commercial!AE38*Commercial!$B$30</f>
        <v>2050.6499886782917</v>
      </c>
      <c r="AF38" s="11">
        <f>Commercial!AF38*Commercial!$B$30</f>
        <v>2184.4848952969355</v>
      </c>
      <c r="AG38" s="11">
        <f>Commercial!AG38*Commercial!$B$30</f>
        <v>2327.0544871756242</v>
      </c>
      <c r="AH38" s="11">
        <f>Commercial!AH38*Commercial!$B$30</f>
        <v>2478.9288302898176</v>
      </c>
      <c r="AI38" s="11">
        <f>Commercial!AI38*Commercial!$B$30</f>
        <v>2640.7151957582296</v>
      </c>
      <c r="AJ38" s="11">
        <f>Commercial!AJ38*Commercial!$B$30</f>
        <v>2813.0604880226233</v>
      </c>
      <c r="AK38" s="11">
        <f>Commercial!AK38*Commercial!$B$30</f>
        <v>2996.6538315018588</v>
      </c>
      <c r="AL38" s="11">
        <f>Commercial!AL38*Commercial!$B$30</f>
        <v>3192.2293260629494</v>
      </c>
      <c r="AM38" s="11">
        <f>Commercial!AM38*Commercial!$B$30</f>
        <v>3400.5689823269095</v>
      </c>
      <c r="AN38" s="11">
        <f>Commercial!AN38*Commercial!$B$30</f>
        <v>3622.505848546245</v>
      </c>
    </row>
    <row r="39" spans="1:40" x14ac:dyDescent="0.2">
      <c r="A39" s="6" t="s">
        <v>44</v>
      </c>
      <c r="B39" s="11">
        <f>Commercial!B39*Commercial!$B$30</f>
        <v>598559.8001958637</v>
      </c>
      <c r="C39" s="11">
        <f>Commercial!C39*Commercial!$B$30</f>
        <v>637624.58229284128</v>
      </c>
      <c r="D39" s="11">
        <f>Commercial!D39*Commercial!$B$30</f>
        <v>679238.91282221465</v>
      </c>
      <c r="E39" s="11">
        <f>Commercial!E39*Commercial!$B$30</f>
        <v>723569.18711144209</v>
      </c>
      <c r="F39" s="11">
        <f>Commercial!F39*Commercial!$B$30</f>
        <v>770792.66021696373</v>
      </c>
      <c r="G39" s="11">
        <f>Commercial!G39*Commercial!$B$30</f>
        <v>821098.15568036202</v>
      </c>
      <c r="H39" s="11">
        <f>Commercial!H39*Commercial!$B$30</f>
        <v>874686.82054122875</v>
      </c>
      <c r="I39" s="11">
        <f>Commercial!I39*Commercial!$B$30</f>
        <v>931772.92962566798</v>
      </c>
      <c r="J39" s="11">
        <f>Commercial!J39*Commercial!$B$30</f>
        <v>992584.74232638453</v>
      </c>
      <c r="K39" s="11">
        <f>Commercial!K39*Commercial!$B$30</f>
        <v>1057365.4153002077</v>
      </c>
      <c r="L39" s="11">
        <f>Commercial!L39*Commercial!$B$30</f>
        <v>1126373.9747324761</v>
      </c>
      <c r="M39" s="11">
        <f>Commercial!M39*Commercial!$B$30</f>
        <v>1199886.3520558989</v>
      </c>
      <c r="N39" s="11">
        <f>Commercial!N39*Commercial!$B$30</f>
        <v>1278196.4872652176</v>
      </c>
      <c r="O39" s="11">
        <f>Commercial!O39*Commercial!$B$30</f>
        <v>1361617.504239293</v>
      </c>
      <c r="P39" s="11">
        <f>Commercial!P39*Commercial!$B$30</f>
        <v>1450482.9627701417</v>
      </c>
      <c r="Q39" s="11">
        <f>Commercial!Q39*Commercial!$B$30</f>
        <v>1545148.1923051903</v>
      </c>
      <c r="R39" s="11">
        <f>Commercial!R39*Commercial!$B$30</f>
        <v>1645991.712735713</v>
      </c>
      <c r="S39" s="11">
        <f>Commercial!S39*Commercial!$B$30</f>
        <v>1753416.7479125005</v>
      </c>
      <c r="T39" s="11">
        <f>Commercial!T39*Commercial!$B$30</f>
        <v>1867852.8379405634</v>
      </c>
      <c r="U39" s="11">
        <f>Commercial!U39*Commercial!$B$30</f>
        <v>1989757.5566996466</v>
      </c>
      <c r="V39" s="11">
        <f>Commercial!V39*Commercial!$B$30</f>
        <v>2119618.3414580803</v>
      </c>
      <c r="W39" s="11">
        <f>Commercial!W39*Commercial!$B$30</f>
        <v>2257954.4418957005</v>
      </c>
      <c r="X39" s="11">
        <f>Commercial!X39*Commercial!$B$30</f>
        <v>2405318.9963290184</v>
      </c>
      <c r="Y39" s="11">
        <f>Commercial!Y39*Commercial!$B$30</f>
        <v>2562301.2434404455</v>
      </c>
      <c r="Z39" s="11">
        <f>Commercial!Z39*Commercial!$B$30</f>
        <v>2729528.8783552232</v>
      </c>
      <c r="AA39" s="11">
        <f>Commercial!AA39*Commercial!$B$30</f>
        <v>2907670.5624868064</v>
      </c>
      <c r="AB39" s="11">
        <f>Commercial!AB39*Commercial!$B$30</f>
        <v>3097438.5971863889</v>
      </c>
      <c r="AC39" s="11">
        <f>Commercial!AC39*Commercial!$B$30</f>
        <v>3299591.7718871622</v>
      </c>
      <c r="AD39" s="11">
        <f>Commercial!AD39*Commercial!$B$30</f>
        <v>3514938.3981316471</v>
      </c>
      <c r="AE39" s="11">
        <f>Commercial!AE39*Commercial!$B$30</f>
        <v>3744339.5416136887</v>
      </c>
      <c r="AF39" s="11">
        <f>Commercial!AF39*Commercial!$B$30</f>
        <v>3988712.4651584583</v>
      </c>
      <c r="AG39" s="11">
        <f>Commercial!AG39*Commercial!$B$30</f>
        <v>4249034.2964072758</v>
      </c>
      <c r="AH39" s="11">
        <f>Commercial!AH39*Commercial!$B$30</f>
        <v>4526345.9348725034</v>
      </c>
      <c r="AI39" s="11">
        <f>Commercial!AI39*Commercial!$B$30</f>
        <v>4821756.2139849253</v>
      </c>
      <c r="AJ39" s="11">
        <f>Commercial!AJ39*Commercial!$B$30</f>
        <v>5136446.3347755847</v>
      </c>
      <c r="AK39" s="11">
        <f>Commercial!AK39*Commercial!$B$30</f>
        <v>5471674.5889202328</v>
      </c>
      <c r="AL39" s="11">
        <f>Commercial!AL39*Commercial!$B$30</f>
        <v>5828781.3900314914</v>
      </c>
      <c r="AM39" s="11">
        <f>Commercial!AM39*Commercial!$B$30</f>
        <v>6209194.6333164386</v>
      </c>
      <c r="AN39" s="11">
        <f>Commercial!AN39*Commercial!$B$30</f>
        <v>6614435.4050302394</v>
      </c>
    </row>
    <row r="41" spans="1:40" x14ac:dyDescent="0.2">
      <c r="A41" s="5" t="s">
        <v>66</v>
      </c>
    </row>
    <row r="42" spans="1:40" x14ac:dyDescent="0.2">
      <c r="A42" s="5" t="s">
        <v>4</v>
      </c>
    </row>
    <row r="43" spans="1:40" x14ac:dyDescent="0.2">
      <c r="A43" s="5" t="s">
        <v>49</v>
      </c>
    </row>
    <row r="44" spans="1:40" x14ac:dyDescent="0.2">
      <c r="A44" s="5" t="s">
        <v>6</v>
      </c>
    </row>
    <row r="45" spans="1:40" x14ac:dyDescent="0.2">
      <c r="A45" s="5"/>
    </row>
    <row r="46" spans="1:40" x14ac:dyDescent="0.2">
      <c r="A46" s="6" t="s">
        <v>7</v>
      </c>
      <c r="B46" s="6">
        <v>2022</v>
      </c>
      <c r="C46" s="6">
        <v>2023</v>
      </c>
      <c r="D46" s="6">
        <v>2024</v>
      </c>
      <c r="E46" s="6">
        <v>2025</v>
      </c>
      <c r="F46" s="6">
        <v>2026</v>
      </c>
      <c r="G46" s="6">
        <v>2027</v>
      </c>
      <c r="H46" s="6">
        <v>2028</v>
      </c>
      <c r="I46" s="6">
        <v>2029</v>
      </c>
      <c r="J46" s="6">
        <v>2030</v>
      </c>
      <c r="K46" s="6">
        <v>2031</v>
      </c>
      <c r="L46" s="6">
        <v>2032</v>
      </c>
      <c r="M46" s="6">
        <v>2033</v>
      </c>
      <c r="N46" s="6">
        <v>2034</v>
      </c>
      <c r="O46" s="6">
        <v>2035</v>
      </c>
      <c r="P46" s="6">
        <v>2036</v>
      </c>
      <c r="Q46" s="6">
        <v>2037</v>
      </c>
      <c r="R46" s="6">
        <v>2038</v>
      </c>
      <c r="S46" s="6">
        <v>2039</v>
      </c>
      <c r="T46" s="6">
        <v>2040</v>
      </c>
      <c r="U46" s="6">
        <v>2041</v>
      </c>
      <c r="V46" s="6">
        <v>2042</v>
      </c>
      <c r="W46" s="6">
        <v>2043</v>
      </c>
      <c r="X46" s="6">
        <v>2044</v>
      </c>
      <c r="Y46" s="6">
        <v>2045</v>
      </c>
      <c r="Z46" s="6">
        <v>2046</v>
      </c>
      <c r="AA46" s="6">
        <v>2047</v>
      </c>
      <c r="AB46" s="6">
        <v>2048</v>
      </c>
      <c r="AC46" s="6">
        <v>2049</v>
      </c>
      <c r="AD46" s="6">
        <v>2050</v>
      </c>
      <c r="AE46" s="6">
        <v>2051</v>
      </c>
      <c r="AF46" s="6">
        <v>2052</v>
      </c>
      <c r="AG46" s="6">
        <v>2053</v>
      </c>
      <c r="AH46" s="6">
        <v>2054</v>
      </c>
      <c r="AI46" s="6">
        <v>2055</v>
      </c>
      <c r="AJ46" s="6">
        <v>2056</v>
      </c>
      <c r="AK46" s="6">
        <v>2057</v>
      </c>
      <c r="AL46" s="6">
        <v>2058</v>
      </c>
      <c r="AM46" s="6">
        <v>2059</v>
      </c>
      <c r="AN46" s="6">
        <v>2060</v>
      </c>
    </row>
    <row r="47" spans="1:40" x14ac:dyDescent="0.2">
      <c r="A47" s="6" t="s">
        <v>40</v>
      </c>
      <c r="B47" s="11">
        <f>Commercial!B47*Commercial!$B$30</f>
        <v>1086472.7286844754</v>
      </c>
      <c r="C47" s="11">
        <f>Commercial!C47*Commercial!$B$30</f>
        <v>1157380.96606774</v>
      </c>
      <c r="D47" s="11">
        <f>Commercial!D47*Commercial!$B$30</f>
        <v>1232917.003115051</v>
      </c>
      <c r="E47" s="11">
        <f>Commercial!E47*Commercial!$B$30</f>
        <v>1313382.8714453126</v>
      </c>
      <c r="F47" s="11">
        <f>Commercial!F47*Commercial!$B$30</f>
        <v>1399100.3146583806</v>
      </c>
      <c r="G47" s="11">
        <f>Commercial!G47*Commercial!$B$30</f>
        <v>1490412.0748301425</v>
      </c>
      <c r="H47" s="11">
        <f>Commercial!H47*Commercial!$B$30</f>
        <v>1587683.2629702282</v>
      </c>
      <c r="I47" s="11">
        <f>Commercial!I47*Commercial!$B$30</f>
        <v>1691302.8189221232</v>
      </c>
      <c r="J47" s="11">
        <f>Commercial!J47*Commercial!$B$30</f>
        <v>1801685.0665431246</v>
      </c>
      <c r="K47" s="11">
        <f>Commercial!K47*Commercial!$B$30</f>
        <v>1919271.370382532</v>
      </c>
      <c r="L47" s="11">
        <f>Commercial!L47*Commercial!$B$30</f>
        <v>2044531.900482327</v>
      </c>
      <c r="M47" s="11">
        <f>Commercial!M47*Commercial!$B$30</f>
        <v>2177967.5123569081</v>
      </c>
      <c r="N47" s="11">
        <f>Commercial!N47*Commercial!$B$30</f>
        <v>2320111.7496689996</v>
      </c>
      <c r="O47" s="11">
        <f>Commercial!O47*Commercial!$B$30</f>
        <v>2471532.9776094649</v>
      </c>
      <c r="P47" s="11">
        <f>Commercial!P47*Commercial!$B$30</f>
        <v>2632836.6555113476</v>
      </c>
      <c r="Q47" s="11">
        <f>Commercial!Q47*Commercial!$B$30</f>
        <v>2804667.7577852234</v>
      </c>
      <c r="R47" s="11">
        <f>Commercial!R47*Commercial!$B$30</f>
        <v>2987713.3528560032</v>
      </c>
      <c r="S47" s="11">
        <f>Commercial!S47*Commercial!$B$30</f>
        <v>3182705.3504130691</v>
      </c>
      <c r="T47" s="11">
        <f>Commercial!T47*Commercial!$B$30</f>
        <v>3390423.4279586836</v>
      </c>
      <c r="U47" s="11">
        <f>Commercial!U47*Commercial!$B$30</f>
        <v>3611698.1483564693</v>
      </c>
      <c r="V47" s="11">
        <f>Commercial!V47*Commercial!$B$30</f>
        <v>3847414.2808455452</v>
      </c>
      <c r="W47" s="11">
        <f>Commercial!W47*Commercial!$B$30</f>
        <v>4098514.3387994054</v>
      </c>
      <c r="X47" s="11">
        <f>Commercial!X47*Commercial!$B$30</f>
        <v>4366002.3483752999</v>
      </c>
      <c r="Y47" s="11">
        <f>Commercial!Y47*Commercial!$B$30</f>
        <v>4650947.8631231394</v>
      </c>
      <c r="Z47" s="11">
        <f>Commercial!Z47*Commercial!$B$30</f>
        <v>4954490.2406063164</v>
      </c>
      <c r="AA47" s="11">
        <f>Commercial!AA47*Commercial!$B$30</f>
        <v>5277843.1981346318</v>
      </c>
      <c r="AB47" s="11">
        <f>Commercial!AB47*Commercial!$B$30</f>
        <v>5622299.6658253772</v>
      </c>
      <c r="AC47" s="11">
        <f>Commercial!AC47*Commercial!$B$30</f>
        <v>5989236.9563976964</v>
      </c>
      <c r="AD47" s="11">
        <f>Commercial!AD47*Commercial!$B$30</f>
        <v>6380122.2723716078</v>
      </c>
      <c r="AE47" s="11">
        <f>Commercial!AE47*Commercial!$B$30</f>
        <v>6796518.5726923347</v>
      </c>
      <c r="AF47" s="11">
        <f>Commercial!AF47*Commercial!$B$30</f>
        <v>7240090.8222376741</v>
      </c>
      <c r="AG47" s="11">
        <f>Commercial!AG47*Commercial!$B$30</f>
        <v>7712612.6491971435</v>
      </c>
      <c r="AH47" s="11">
        <f>Commercial!AH47*Commercial!$B$30</f>
        <v>8215973.4369424731</v>
      </c>
      <c r="AI47" s="11">
        <f>Commercial!AI47*Commercial!$B$30</f>
        <v>8752185.8787464369</v>
      </c>
      <c r="AJ47" s="11">
        <f>Commercial!AJ47*Commercial!$B$30</f>
        <v>9323394.0255574901</v>
      </c>
      <c r="AK47" s="11">
        <f>Commercial!AK47*Commercial!$B$30</f>
        <v>9931881.8590095304</v>
      </c>
      <c r="AL47" s="11">
        <f>Commercial!AL47*Commercial!$B$30</f>
        <v>10580082.423945859</v>
      </c>
      <c r="AM47" s="11">
        <f>Commercial!AM47*Commercial!$B$30</f>
        <v>11270587.556973945</v>
      </c>
      <c r="AN47" s="11">
        <f>Commercial!AN47*Commercial!$B$30</f>
        <v>12006158.249950688</v>
      </c>
    </row>
    <row r="48" spans="1:40" x14ac:dyDescent="0.2">
      <c r="A48" s="6" t="s">
        <v>41</v>
      </c>
      <c r="B48" s="11">
        <f>Commercial!B48*Commercial!$B$30</f>
        <v>663686.34958816296</v>
      </c>
      <c r="C48" s="11">
        <f>Commercial!C48*Commercial!$B$30</f>
        <v>707001.59163902618</v>
      </c>
      <c r="D48" s="11">
        <f>Commercial!D48*Commercial!$B$30</f>
        <v>753143.78680575371</v>
      </c>
      <c r="E48" s="11">
        <f>Commercial!E48*Commercial!$B$30</f>
        <v>802297.43512899883</v>
      </c>
      <c r="F48" s="11">
        <f>Commercial!F48*Commercial!$B$30</f>
        <v>854659.07797575009</v>
      </c>
      <c r="G48" s="11">
        <f>Commercial!G48*Commercial!$B$30</f>
        <v>910438.08391200111</v>
      </c>
      <c r="H48" s="11">
        <f>Commercial!H48*Commercial!$B$30</f>
        <v>969857.48586511298</v>
      </c>
      <c r="I48" s="11">
        <f>Commercial!I48*Commercial!$B$30</f>
        <v>1033154.8729232574</v>
      </c>
      <c r="J48" s="11">
        <f>Commercial!J48*Commercial!$B$30</f>
        <v>1100583.3403378262</v>
      </c>
      <c r="K48" s="11">
        <f>Commercial!K48*Commercial!$B$30</f>
        <v>1172412.501527389</v>
      </c>
      <c r="L48" s="11">
        <f>Commercial!L48*Commercial!$B$30</f>
        <v>1248929.5661297112</v>
      </c>
      <c r="M48" s="11">
        <f>Commercial!M48*Commercial!$B$30</f>
        <v>1330440.4884124389</v>
      </c>
      <c r="N48" s="11">
        <f>Commercial!N48*Commercial!$B$30</f>
        <v>1417271.1906343747</v>
      </c>
      <c r="O48" s="11">
        <f>Commercial!O48*Commercial!$B$30</f>
        <v>1509768.8662489736</v>
      </c>
      <c r="P48" s="11">
        <f>Commercial!P48*Commercial!$B$30</f>
        <v>1608303.3681609265</v>
      </c>
      <c r="Q48" s="11">
        <f>Commercial!Q48*Commercial!$B$30</f>
        <v>1713268.687586793</v>
      </c>
      <c r="R48" s="11">
        <f>Commercial!R48*Commercial!$B$30</f>
        <v>1825084.5294329252</v>
      </c>
      <c r="S48" s="11">
        <f>Commercial!S48*Commercial!$B$30</f>
        <v>1944197.9904898356</v>
      </c>
      <c r="T48" s="11">
        <f>Commercial!T48*Commercial!$B$30</f>
        <v>2071085.3471533044</v>
      </c>
      <c r="U48" s="11">
        <f>Commercial!U48*Commercial!$B$30</f>
        <v>2206253.9598204312</v>
      </c>
      <c r="V48" s="11">
        <f>Commercial!V48*Commercial!$B$30</f>
        <v>2350244.3015753846</v>
      </c>
      <c r="W48" s="11">
        <f>Commercial!W48*Commercial!$B$30</f>
        <v>2503632.1192765785</v>
      </c>
      <c r="X48" s="11">
        <f>Commercial!X48*Commercial!$B$30</f>
        <v>2667030.7356863851</v>
      </c>
      <c r="Y48" s="11">
        <f>Commercial!Y48*Commercial!$B$30</f>
        <v>2841093.5018484928</v>
      </c>
      <c r="Z48" s="11">
        <f>Commercial!Z48*Commercial!$B$30</f>
        <v>3026516.4095187583</v>
      </c>
      <c r="AA48" s="11">
        <f>Commercial!AA48*Commercial!$B$30</f>
        <v>3224040.8740953812</v>
      </c>
      <c r="AB48" s="11">
        <f>Commercial!AB48*Commercial!$B$30</f>
        <v>3434456.6991759706</v>
      </c>
      <c r="AC48" s="11">
        <f>Commercial!AC48*Commercial!$B$30</f>
        <v>3658605.234595343</v>
      </c>
      <c r="AD48" s="11">
        <f>Commercial!AD48*Commercial!$B$30</f>
        <v>3897382.740571456</v>
      </c>
      <c r="AE48" s="11">
        <f>Commercial!AE48*Commercial!$B$30</f>
        <v>4151743.9714110899</v>
      </c>
      <c r="AF48" s="11">
        <f>Commercial!AF48*Commercial!$B$30</f>
        <v>4422705.9931047354</v>
      </c>
      <c r="AG48" s="11">
        <f>Commercial!AG48*Commercial!$B$30</f>
        <v>4711352.2500753822</v>
      </c>
      <c r="AH48" s="11">
        <f>Commercial!AH48*Commercial!$B$30</f>
        <v>5018836.8973421613</v>
      </c>
      <c r="AI48" s="11">
        <f>Commercial!AI48*Commercial!$B$30</f>
        <v>5346389.4154210379</v>
      </c>
      <c r="AJ48" s="11">
        <f>Commercial!AJ48*Commercial!$B$30</f>
        <v>5695319.5264152391</v>
      </c>
      <c r="AK48" s="11">
        <f>Commercial!AK48*Commercial!$B$30</f>
        <v>6067022.430952548</v>
      </c>
      <c r="AL48" s="11">
        <f>Commercial!AL48*Commercial!$B$30</f>
        <v>6462984.3869093023</v>
      </c>
      <c r="AM48" s="11">
        <f>Commercial!AM48*Commercial!$B$30</f>
        <v>6884788.652227764</v>
      </c>
      <c r="AN48" s="11">
        <f>Commercial!AN48*Commercial!$B$30</f>
        <v>7334121.8155892398</v>
      </c>
    </row>
    <row r="49" spans="1:40" x14ac:dyDescent="0.2">
      <c r="A49" s="6" t="s">
        <v>42</v>
      </c>
      <c r="B49" s="11">
        <f>Commercial!B49*Commercial!$B$30</f>
        <v>515355.71950114466</v>
      </c>
      <c r="C49" s="11">
        <f>Commercial!C49*Commercial!$B$30</f>
        <v>548990.21830670349</v>
      </c>
      <c r="D49" s="11">
        <f>Commercial!D49*Commercial!$B$30</f>
        <v>584819.86013113928</v>
      </c>
      <c r="E49" s="11">
        <f>Commercial!E49*Commercial!$B$30</f>
        <v>622987.91016479034</v>
      </c>
      <c r="F49" s="11">
        <f>Commercial!F49*Commercial!$B$30</f>
        <v>663646.98374720511</v>
      </c>
      <c r="G49" s="11">
        <f>Commercial!G49*Commercial!$B$30</f>
        <v>706959.65660114144</v>
      </c>
      <c r="H49" s="11">
        <f>Commercial!H49*Commercial!$B$30</f>
        <v>753099.11489326332</v>
      </c>
      <c r="I49" s="11">
        <f>Commercial!I49*Commercial!$B$30</f>
        <v>802249.8477208023</v>
      </c>
      <c r="J49" s="11">
        <f>Commercial!J49*Commercial!$B$30</f>
        <v>854608.38479310751</v>
      </c>
      <c r="K49" s="11">
        <f>Commercial!K49*Commercial!$B$30</f>
        <v>910384.08225770225</v>
      </c>
      <c r="L49" s="11">
        <f>Commercial!L49*Commercial!$B$30</f>
        <v>969799.95981298876</v>
      </c>
      <c r="M49" s="11">
        <f>Commercial!M49*Commercial!$B$30</f>
        <v>1033093.5924547989</v>
      </c>
      <c r="N49" s="11">
        <f>Commercial!N49*Commercial!$B$30</f>
        <v>1100518.0604224512</v>
      </c>
      <c r="O49" s="11">
        <f>Commercial!O49*Commercial!$B$30</f>
        <v>1172342.9611426864</v>
      </c>
      <c r="P49" s="11">
        <f>Commercial!P49*Commercial!$B$30</f>
        <v>1248855.4872177399</v>
      </c>
      <c r="Q49" s="11">
        <f>Commercial!Q49*Commercial!$B$30</f>
        <v>1330361.574767909</v>
      </c>
      <c r="R49" s="11">
        <f>Commercial!R49*Commercial!$B$30</f>
        <v>1417187.1267202697</v>
      </c>
      <c r="S49" s="11">
        <f>Commercial!S49*Commercial!$B$30</f>
        <v>1509679.3159348697</v>
      </c>
      <c r="T49" s="11">
        <f>Commercial!T49*Commercial!$B$30</f>
        <v>1608207.9733789742</v>
      </c>
      <c r="U49" s="11">
        <f>Commercial!U49*Commercial!$B$30</f>
        <v>1713167.0668999797</v>
      </c>
      <c r="V49" s="11">
        <f>Commercial!V49*Commercial!$B$30</f>
        <v>1824976.276509891</v>
      </c>
      <c r="W49" s="11">
        <f>Commercial!W49*Commercial!$B$30</f>
        <v>1944082.6724801587</v>
      </c>
      <c r="X49" s="11">
        <f>Commercial!X49*Commercial!$B$30</f>
        <v>2070962.5029567401</v>
      </c>
      <c r="Y49" s="11">
        <f>Commercial!Y49*Commercial!$B$30</f>
        <v>2206123.0982431984</v>
      </c>
      <c r="Z49" s="11">
        <f>Commercial!Z49*Commercial!$B$30</f>
        <v>2350104.8993661241</v>
      </c>
      <c r="AA49" s="11">
        <f>Commercial!AA49*Commercial!$B$30</f>
        <v>2503483.6190341292</v>
      </c>
      <c r="AB49" s="11">
        <f>Commercial!AB49*Commercial!$B$30</f>
        <v>2666872.5436310023</v>
      </c>
      <c r="AC49" s="11">
        <f>Commercial!AC49*Commercial!$B$30</f>
        <v>2840924.9854476214</v>
      </c>
      <c r="AD49" s="11">
        <f>Commercial!AD49*Commercial!$B$30</f>
        <v>3026336.8949578409</v>
      </c>
      <c r="AE49" s="11">
        <f>Commercial!AE49*Commercial!$B$30</f>
        <v>3223849.6435836032</v>
      </c>
      <c r="AF49" s="11">
        <f>Commercial!AF49*Commercial!$B$30</f>
        <v>3434252.9880761709</v>
      </c>
      <c r="AG49" s="11">
        <f>Commercial!AG49*Commercial!$B$30</f>
        <v>3658388.2283665999</v>
      </c>
      <c r="AH49" s="11">
        <f>Commercial!AH49*Commercial!$B$30</f>
        <v>3897151.5715121352</v>
      </c>
      <c r="AI49" s="11">
        <f>Commercial!AI49*Commercial!$B$30</f>
        <v>4151497.7151893415</v>
      </c>
      <c r="AJ49" s="11">
        <f>Commercial!AJ49*Commercial!$B$30</f>
        <v>4422443.6650625253</v>
      </c>
      <c r="AK49" s="11">
        <f>Commercial!AK49*Commercial!$B$30</f>
        <v>4711072.8012913447</v>
      </c>
      <c r="AL49" s="11">
        <f>Commercial!AL49*Commercial!$B$30</f>
        <v>5018539.210437472</v>
      </c>
      <c r="AM49" s="11">
        <f>Commercial!AM49*Commercial!$B$30</f>
        <v>5346072.3000915498</v>
      </c>
      <c r="AN49" s="11">
        <f>Commercial!AN49*Commercial!$B$30</f>
        <v>5694981.714672056</v>
      </c>
    </row>
    <row r="50" spans="1:40" x14ac:dyDescent="0.2">
      <c r="A50" s="6" t="s">
        <v>43</v>
      </c>
      <c r="B50" s="11">
        <f>Commercial!B50*Commercial!$B$30</f>
        <v>36141.731313385033</v>
      </c>
      <c r="C50" s="11">
        <f>Commercial!C50*Commercial!$B$30</f>
        <v>38500.507926687329</v>
      </c>
      <c r="D50" s="11">
        <f>Commercial!D50*Commercial!$B$30</f>
        <v>41013.229215833126</v>
      </c>
      <c r="E50" s="11">
        <f>Commercial!E50*Commercial!$B$30</f>
        <v>43689.942322669987</v>
      </c>
      <c r="F50" s="11">
        <f>Commercial!F50*Commercial!$B$30</f>
        <v>46541.350112010572</v>
      </c>
      <c r="G50" s="11">
        <f>Commercial!G50*Commercial!$B$30</f>
        <v>49578.853967147348</v>
      </c>
      <c r="H50" s="11">
        <f>Commercial!H50*Commercial!$B$30</f>
        <v>52814.599378400708</v>
      </c>
      <c r="I50" s="11">
        <f>Commercial!I50*Commercial!$B$30</f>
        <v>56261.524506986461</v>
      </c>
      <c r="J50" s="11">
        <f>Commercial!J50*Commercial!$B$30</f>
        <v>59933.411918386308</v>
      </c>
      <c r="K50" s="11">
        <f>Commercial!K50*Commercial!$B$30</f>
        <v>63844.943692077162</v>
      </c>
      <c r="L50" s="11">
        <f>Commercial!L50*Commercial!$B$30</f>
        <v>68011.76012797658</v>
      </c>
      <c r="M50" s="11">
        <f>Commercial!M50*Commercial!$B$30</f>
        <v>72450.522284342471</v>
      </c>
      <c r="N50" s="11">
        <f>Commercial!N50*Commercial!$B$30</f>
        <v>77178.978597185269</v>
      </c>
      <c r="O50" s="11">
        <f>Commercial!O50*Commercial!$B$30</f>
        <v>82216.035847571577</v>
      </c>
      <c r="P50" s="11">
        <f>Commercial!P50*Commercial!$B$30</f>
        <v>87581.834760582016</v>
      </c>
      <c r="Q50" s="11">
        <f>Commercial!Q50*Commercial!$B$30</f>
        <v>93297.830538207025</v>
      </c>
      <c r="R50" s="11">
        <f>Commercial!R50*Commercial!$B$30</f>
        <v>99386.87864819236</v>
      </c>
      <c r="S50" s="11">
        <f>Commercial!S50*Commercial!$B$30</f>
        <v>105873.32621186088</v>
      </c>
      <c r="T50" s="11">
        <f>Commercial!T50*Commercial!$B$30</f>
        <v>112783.10935632735</v>
      </c>
      <c r="U50" s="11">
        <f>Commercial!U50*Commercial!$B$30</f>
        <v>120143.8569203683</v>
      </c>
      <c r="V50" s="11">
        <f>Commercial!V50*Commercial!$B$30</f>
        <v>127985.0009286175</v>
      </c>
      <c r="W50" s="11">
        <f>Commercial!W50*Commercial!$B$30</f>
        <v>136337.89427581843</v>
      </c>
      <c r="X50" s="11">
        <f>Commercial!X50*Commercial!$B$30</f>
        <v>145235.93609169521</v>
      </c>
      <c r="Y50" s="11">
        <f>Commercial!Y50*Commercial!$B$30</f>
        <v>154714.70528771554</v>
      </c>
      <c r="Z50" s="11">
        <f>Commercial!Z50*Commercial!$B$30</f>
        <v>164812.10281973318</v>
      </c>
      <c r="AA50" s="11">
        <f>Commercial!AA50*Commercial!$B$30</f>
        <v>175568.50323534885</v>
      </c>
      <c r="AB50" s="11">
        <f>Commercial!AB50*Commercial!$B$30</f>
        <v>187026.91611195222</v>
      </c>
      <c r="AC50" s="11">
        <f>Commercial!AC50*Commercial!$B$30</f>
        <v>199233.15803095914</v>
      </c>
      <c r="AD50" s="11">
        <f>Commercial!AD50*Commercial!$B$30</f>
        <v>212236.03577588178</v>
      </c>
      <c r="AE50" s="11">
        <f>Commercial!AE50*Commercial!$B$30</f>
        <v>226087.54148675333</v>
      </c>
      <c r="AF50" s="11">
        <f>Commercial!AF50*Commercial!$B$30</f>
        <v>240843.06055123344</v>
      </c>
      <c r="AG50" s="11">
        <f>Commercial!AG50*Commercial!$B$30</f>
        <v>256561.59306364824</v>
      </c>
      <c r="AH50" s="11">
        <f>Commercial!AH50*Commercial!$B$30</f>
        <v>273305.9897374729</v>
      </c>
      <c r="AI50" s="11">
        <f>Commercial!AI50*Commercial!$B$30</f>
        <v>291143.20321455505</v>
      </c>
      <c r="AJ50" s="11">
        <f>Commercial!AJ50*Commercial!$B$30</f>
        <v>310144.55577593815</v>
      </c>
      <c r="AK50" s="11">
        <f>Commercial!AK50*Commercial!$B$30</f>
        <v>330386.02452473552</v>
      </c>
      <c r="AL50" s="11">
        <f>Commercial!AL50*Commercial!$B$30</f>
        <v>351948.54518135544</v>
      </c>
      <c r="AM50" s="11">
        <f>Commercial!AM50*Commercial!$B$30</f>
        <v>374918.33570580941</v>
      </c>
      <c r="AN50" s="11">
        <f>Commercial!AN50*Commercial!$B$30</f>
        <v>399387.24104110972</v>
      </c>
    </row>
    <row r="51" spans="1:40" x14ac:dyDescent="0.2">
      <c r="A51" s="6" t="s">
        <v>8</v>
      </c>
      <c r="B51" s="11">
        <f>Commercial!B51*Commercial!$B$30</f>
        <v>27640.904367156061</v>
      </c>
      <c r="C51" s="11">
        <f>Commercial!C51*Commercial!$B$30</f>
        <v>29444.877680621175</v>
      </c>
      <c r="D51" s="11">
        <f>Commercial!D51*Commercial!$B$30</f>
        <v>31366.586639507554</v>
      </c>
      <c r="E51" s="11">
        <f>Commercial!E51*Commercial!$B$30</f>
        <v>33413.715216798199</v>
      </c>
      <c r="F51" s="11">
        <f>Commercial!F51*Commercial!$B$30</f>
        <v>35594.44887710677</v>
      </c>
      <c r="G51" s="11">
        <f>Commercial!G51*Commercial!$B$30</f>
        <v>37917.507306341715</v>
      </c>
      <c r="H51" s="11">
        <f>Commercial!H51*Commercial!$B$30</f>
        <v>40392.179277459887</v>
      </c>
      <c r="I51" s="11">
        <f>Commercial!I51*Commercial!$B$30</f>
        <v>43028.359791720432</v>
      </c>
      <c r="J51" s="11">
        <f>Commercial!J51*Commercial!$B$30</f>
        <v>45836.589643948879</v>
      </c>
      <c r="K51" s="11">
        <f>Commercial!K51*Commercial!$B$30</f>
        <v>48828.097570013277</v>
      </c>
      <c r="L51" s="11">
        <f>Commercial!L51*Commercial!$B$30</f>
        <v>52014.845145039813</v>
      </c>
      <c r="M51" s="11">
        <f>Commercial!M51*Commercial!$B$30</f>
        <v>55409.574611893608</v>
      </c>
      <c r="N51" s="11">
        <f>Commercial!N51*Commercial!$B$30</f>
        <v>59025.859831167516</v>
      </c>
      <c r="O51" s="11">
        <f>Commercial!O51*Commercial!$B$30</f>
        <v>62878.160556402967</v>
      </c>
      <c r="P51" s="11">
        <f>Commercial!P51*Commercial!$B$30</f>
        <v>66981.880251562761</v>
      </c>
      <c r="Q51" s="11">
        <f>Commercial!Q51*Commercial!$B$30</f>
        <v>71353.427681939662</v>
      </c>
      <c r="R51" s="11">
        <f>Commercial!R51*Commercial!$B$30</f>
        <v>76010.282524772963</v>
      </c>
      <c r="S51" s="11">
        <f>Commercial!S51*Commercial!$B$30</f>
        <v>80971.065261916898</v>
      </c>
      <c r="T51" s="11">
        <f>Commercial!T51*Commercial!$B$30</f>
        <v>86255.611634028552</v>
      </c>
      <c r="U51" s="11">
        <f>Commercial!U51*Commercial!$B$30</f>
        <v>91885.051953980335</v>
      </c>
      <c r="V51" s="11">
        <f>Commercial!V51*Commercial!$B$30</f>
        <v>97881.895596632487</v>
      </c>
      <c r="W51" s="11">
        <f>Commercial!W51*Commercial!$B$30</f>
        <v>104270.12100279967</v>
      </c>
      <c r="X51" s="11">
        <f>Commercial!X51*Commercial!$B$30</f>
        <v>111075.27155729229</v>
      </c>
      <c r="Y51" s="11">
        <f>Commercial!Y51*Commercial!$B$30</f>
        <v>118324.55772440271</v>
      </c>
      <c r="Z51" s="11">
        <f>Commercial!Z51*Commercial!$B$30</f>
        <v>126046.96584922582</v>
      </c>
      <c r="AA51" s="11">
        <f>Commercial!AA51*Commercial!$B$30</f>
        <v>134273.37405985736</v>
      </c>
      <c r="AB51" s="11">
        <f>Commercial!AB51*Commercial!$B$30</f>
        <v>143036.67573390543</v>
      </c>
      <c r="AC51" s="11">
        <f>Commercial!AC51*Commercial!$B$30</f>
        <v>152371.91102299877</v>
      </c>
      <c r="AD51" s="11">
        <f>Commercial!AD51*Commercial!$B$30</f>
        <v>162316.406961192</v>
      </c>
      <c r="AE51" s="11">
        <f>Commercial!AE51*Commercial!$B$30</f>
        <v>172909.92671749441</v>
      </c>
      <c r="AF51" s="11">
        <f>Commercial!AF51*Commercial!$B$30</f>
        <v>184194.82858930909</v>
      </c>
      <c r="AG51" s="11">
        <f>Commercial!AG51*Commercial!$B$30</f>
        <v>196216.23537251938</v>
      </c>
      <c r="AH51" s="11">
        <f>Commercial!AH51*Commercial!$B$30</f>
        <v>209022.21478545095</v>
      </c>
      <c r="AI51" s="11">
        <f>Commercial!AI51*Commercial!$B$30</f>
        <v>222663.97166813747</v>
      </c>
      <c r="AJ51" s="11">
        <f>Commercial!AJ51*Commercial!$B$30</f>
        <v>237196.05272539702</v>
      </c>
      <c r="AK51" s="11">
        <f>Commercial!AK51*Commercial!$B$30</f>
        <v>252676.5646323924</v>
      </c>
      <c r="AL51" s="11">
        <f>Commercial!AL51*Commercial!$B$30</f>
        <v>269167.40637476696</v>
      </c>
      <c r="AM51" s="11">
        <f>Commercial!AM51*Commercial!$B$30</f>
        <v>286734.51675237366</v>
      </c>
      <c r="AN51" s="11">
        <f>Commercial!AN51*Commercial!$B$30</f>
        <v>305448.13803624257</v>
      </c>
    </row>
    <row r="52" spans="1:40" x14ac:dyDescent="0.2">
      <c r="A52" s="6" t="s">
        <v>9</v>
      </c>
      <c r="B52" s="11">
        <f>Commercial!B52*Commercial!$B$30</f>
        <v>283365.64685053233</v>
      </c>
      <c r="C52" s="11">
        <f>Commercial!C52*Commercial!$B$30</f>
        <v>301859.40009684605</v>
      </c>
      <c r="D52" s="11">
        <f>Commercial!D52*Commercial!$B$30</f>
        <v>321560.14125061053</v>
      </c>
      <c r="E52" s="11">
        <f>Commercial!E52*Commercial!$B$30</f>
        <v>342546.64392739901</v>
      </c>
      <c r="F52" s="11">
        <f>Commercial!F52*Commercial!$B$30</f>
        <v>364902.82287342264</v>
      </c>
      <c r="G52" s="11">
        <f>Commercial!G52*Commercial!$B$30</f>
        <v>388718.06949950353</v>
      </c>
      <c r="H52" s="11">
        <f>Commercial!H52*Commercial!$B$30</f>
        <v>414087.60931354889</v>
      </c>
      <c r="I52" s="11">
        <f>Commercial!I52*Commercial!$B$30</f>
        <v>441112.88268071937</v>
      </c>
      <c r="J52" s="11">
        <f>Commercial!J52*Commercial!$B$30</f>
        <v>469901.95043377148</v>
      </c>
      <c r="K52" s="11">
        <f>Commercial!K52*Commercial!$B$30</f>
        <v>500569.92595540418</v>
      </c>
      <c r="L52" s="11">
        <f>Commercial!L52*Commercial!$B$30</f>
        <v>533239.43546030123</v>
      </c>
      <c r="M52" s="11">
        <f>Commercial!M52*Commercial!$B$30</f>
        <v>568041.10831730859</v>
      </c>
      <c r="N52" s="11">
        <f>Commercial!N52*Commercial!$B$30</f>
        <v>605114.09937230428</v>
      </c>
      <c r="O52" s="11">
        <f>Commercial!O52*Commercial!$B$30</f>
        <v>644606.6453602789</v>
      </c>
      <c r="P52" s="11">
        <f>Commercial!P52*Commercial!$B$30</f>
        <v>686676.65763143916</v>
      </c>
      <c r="Q52" s="11">
        <f>Commercial!Q52*Commercial!$B$30</f>
        <v>731492.35356136167</v>
      </c>
      <c r="R52" s="11">
        <f>Commercial!R52*Commercial!$B$30</f>
        <v>779232.92916989641</v>
      </c>
      <c r="S52" s="11">
        <f>Commercial!S52*Commercial!$B$30</f>
        <v>830089.27563828719</v>
      </c>
      <c r="T52" s="11">
        <f>Commercial!T52*Commercial!$B$30</f>
        <v>884264.74258952029</v>
      </c>
      <c r="U52" s="11">
        <f>Commercial!U52*Commercial!$B$30</f>
        <v>941975.9511838766</v>
      </c>
      <c r="V52" s="11">
        <f>Commercial!V52*Commercial!$B$30</f>
        <v>1003453.6602808628</v>
      </c>
      <c r="W52" s="11">
        <f>Commercial!W52*Commercial!$B$30</f>
        <v>1068943.6891308783</v>
      </c>
      <c r="X52" s="11">
        <f>Commercial!X52*Commercial!$B$30</f>
        <v>1138707.9002860093</v>
      </c>
      <c r="Y52" s="11">
        <f>Commercial!Y52*Commercial!$B$30</f>
        <v>1213025.2466601289</v>
      </c>
      <c r="Z52" s="11">
        <f>Commercial!Z52*Commercial!$B$30</f>
        <v>1292192.8869249853</v>
      </c>
      <c r="AA52" s="11">
        <f>Commercial!AA52*Commercial!$B$30</f>
        <v>1376527.3737021985</v>
      </c>
      <c r="AB52" s="11">
        <f>Commercial!AB52*Commercial!$B$30</f>
        <v>1466365.9193021625</v>
      </c>
      <c r="AC52" s="11">
        <f>Commercial!AC52*Commercial!$B$30</f>
        <v>1562067.7440709306</v>
      </c>
      <c r="AD52" s="11">
        <f>Commercial!AD52*Commercial!$B$30</f>
        <v>1664015.5127364513</v>
      </c>
      <c r="AE52" s="11">
        <f>Commercial!AE52*Commercial!$B$30</f>
        <v>1772616.8644974097</v>
      </c>
      <c r="AF52" s="11">
        <f>Commercial!AF52*Commercial!$B$30</f>
        <v>1888306.0429727435</v>
      </c>
      <c r="AG52" s="11">
        <f>Commercial!AG52*Commercial!$B$30</f>
        <v>2011545.6325292068</v>
      </c>
      <c r="AH52" s="11">
        <f>Commercial!AH52*Commercial!$B$30</f>
        <v>2142828.4079297031</v>
      </c>
      <c r="AI52" s="11">
        <f>Commercial!AI52*Commercial!$B$30</f>
        <v>2282679.3046982405</v>
      </c>
      <c r="AJ52" s="11">
        <f>Commercial!AJ52*Commercial!$B$30</f>
        <v>2431657.5180799905</v>
      </c>
      <c r="AK52" s="11">
        <f>Commercial!AK52*Commercial!$B$30</f>
        <v>2590358.7389892279</v>
      </c>
      <c r="AL52" s="11">
        <f>Commercial!AL52*Commercial!$B$30</f>
        <v>2759417.535885551</v>
      </c>
      <c r="AM52" s="11">
        <f>Commercial!AM52*Commercial!$B$30</f>
        <v>2939509.8921023812</v>
      </c>
      <c r="AN52" s="11">
        <f>Commercial!AN52*Commercial!$B$30</f>
        <v>3131355.9087732532</v>
      </c>
    </row>
    <row r="53" spans="1:40" x14ac:dyDescent="0.2">
      <c r="A53" s="6" t="s">
        <v>10</v>
      </c>
      <c r="B53" s="11">
        <f>Commercial!B53*Commercial!$B$30</f>
        <v>246.11516263808468</v>
      </c>
      <c r="C53" s="11">
        <f>Commercial!C53*Commercial!$B$30</f>
        <v>262.17777692670364</v>
      </c>
      <c r="D53" s="11">
        <f>Commercial!D53*Commercial!$B$30</f>
        <v>279.28871174551421</v>
      </c>
      <c r="E53" s="11">
        <f>Commercial!E53*Commercial!$B$30</f>
        <v>297.51638534289577</v>
      </c>
      <c r="F53" s="11">
        <f>Commercial!F53*Commercial!$B$30</f>
        <v>316.93368125868824</v>
      </c>
      <c r="G53" s="11">
        <f>Commercial!G53*Commercial!$B$30</f>
        <v>337.61823974977347</v>
      </c>
      <c r="H53" s="11">
        <f>Commercial!H53*Commercial!$B$30</f>
        <v>359.65276823543905</v>
      </c>
      <c r="I53" s="11">
        <f>Commercial!I53*Commercial!$B$30</f>
        <v>383.12537200384247</v>
      </c>
      <c r="J53" s="11">
        <f>Commercial!J53*Commercial!$B$30</f>
        <v>408.12990650190955</v>
      </c>
      <c r="K53" s="11">
        <f>Commercial!K53*Commercial!$B$30</f>
        <v>434.76635261730172</v>
      </c>
      <c r="L53" s="11">
        <f>Commercial!L53*Commercial!$B$30</f>
        <v>463.14121645302049</v>
      </c>
      <c r="M53" s="11">
        <f>Commercial!M53*Commercial!$B$30</f>
        <v>493.36795519315331</v>
      </c>
      <c r="N53" s="11">
        <f>Commercial!N53*Commercial!$B$30</f>
        <v>525.56743076258704</v>
      </c>
      <c r="O53" s="11">
        <f>Commercial!O53*Commercial!$B$30</f>
        <v>559.86839309465586</v>
      </c>
      <c r="P53" s="11">
        <f>Commercial!P53*Commercial!$B$30</f>
        <v>596.40799493906832</v>
      </c>
      <c r="Q53" s="11">
        <f>Commercial!Q53*Commercial!$B$30</f>
        <v>635.3323402685844</v>
      </c>
      <c r="R53" s="11">
        <f>Commercial!R53*Commercial!$B$30</f>
        <v>676.79706847725095</v>
      </c>
      <c r="S53" s="11">
        <f>Commercial!S53*Commercial!$B$30</f>
        <v>720.96797670611215</v>
      </c>
      <c r="T53" s="11">
        <f>Commercial!T53*Commercial!$B$30</f>
        <v>768.02168278478132</v>
      </c>
      <c r="U53" s="11">
        <f>Commercial!U53*Commercial!$B$30</f>
        <v>818.14633143964272</v>
      </c>
      <c r="V53" s="11">
        <f>Commercial!V53*Commercial!$B$30</f>
        <v>871.54234659246947</v>
      </c>
      <c r="W53" s="11">
        <f>Commercial!W53*Commercial!$B$30</f>
        <v>928.42323275753199</v>
      </c>
      <c r="X53" s="11">
        <f>Commercial!X53*Commercial!$B$30</f>
        <v>989.01642874158688</v>
      </c>
      <c r="Y53" s="11">
        <f>Commercial!Y53*Commercial!$B$30</f>
        <v>1053.5642170602787</v>
      </c>
      <c r="Z53" s="11">
        <f>Commercial!Z53*Commercial!$B$30</f>
        <v>1122.3246927072646</v>
      </c>
      <c r="AA53" s="11">
        <f>Commercial!AA53*Commercial!$B$30</f>
        <v>1195.5727951496949</v>
      </c>
      <c r="AB53" s="11">
        <f>Commercial!AB53*Commercial!$B$30</f>
        <v>1273.601407676487</v>
      </c>
      <c r="AC53" s="11">
        <f>Commercial!AC53*Commercial!$B$30</f>
        <v>1356.7225284951685</v>
      </c>
      <c r="AD53" s="11">
        <f>Commercial!AD53*Commercial!$B$30</f>
        <v>1445.2685182599025</v>
      </c>
      <c r="AE53" s="11">
        <f>Commercial!AE53*Commercial!$B$30</f>
        <v>1539.593429018978</v>
      </c>
      <c r="AF53" s="11">
        <f>Commercial!AF53*Commercial!$B$30</f>
        <v>1640.0744198955531</v>
      </c>
      <c r="AG53" s="11">
        <f>Commercial!AG53*Commercial!$B$30</f>
        <v>1747.1132651622788</v>
      </c>
      <c r="AH53" s="11">
        <f>Commercial!AH53*Commercial!$B$30</f>
        <v>1861.1379607398462</v>
      </c>
      <c r="AI53" s="11">
        <f>Commercial!AI53*Commercial!$B$30</f>
        <v>1982.604435543074</v>
      </c>
      <c r="AJ53" s="11">
        <f>Commercial!AJ53*Commercial!$B$30</f>
        <v>2111.9983745173381</v>
      </c>
      <c r="AK53" s="11">
        <f>Commercial!AK53*Commercial!$B$30</f>
        <v>2249.8371606548189</v>
      </c>
      <c r="AL53" s="11">
        <f>Commercial!AL53*Commercial!$B$30</f>
        <v>2396.6719437556958</v>
      </c>
      <c r="AM53" s="11">
        <f>Commercial!AM53*Commercial!$B$30</f>
        <v>2553.0898442062771</v>
      </c>
      <c r="AN53" s="11">
        <f>Commercial!AN53*Commercial!$B$30</f>
        <v>2719.7163005858879</v>
      </c>
    </row>
    <row r="54" spans="1:40" x14ac:dyDescent="0.2">
      <c r="A54" s="6" t="s">
        <v>44</v>
      </c>
      <c r="B54" s="11">
        <f>Commercial!B54*Commercial!$B$30</f>
        <v>449388.60361157142</v>
      </c>
      <c r="C54" s="11">
        <f>Commercial!C54*Commercial!$B$30</f>
        <v>478717.78320433153</v>
      </c>
      <c r="D54" s="11">
        <f>Commercial!D54*Commercial!$B$30</f>
        <v>509961.12076342927</v>
      </c>
      <c r="E54" s="11">
        <f>Commercial!E54*Commercial!$B$30</f>
        <v>543243.54309455643</v>
      </c>
      <c r="F54" s="11">
        <f>Commercial!F54*Commercial!$B$30</f>
        <v>578698.13030478125</v>
      </c>
      <c r="G54" s="11">
        <f>Commercial!G54*Commercial!$B$30</f>
        <v>616466.64792472031</v>
      </c>
      <c r="H54" s="11">
        <f>Commercial!H54*Commercial!$B$30</f>
        <v>656700.11375946761</v>
      </c>
      <c r="I54" s="11">
        <f>Commercial!I54*Commercial!$B$30</f>
        <v>699559.40173483687</v>
      </c>
      <c r="J54" s="11">
        <f>Commercial!J54*Commercial!$B$30</f>
        <v>745215.88515340432</v>
      </c>
      <c r="K54" s="11">
        <f>Commercial!K54*Commercial!$B$30</f>
        <v>793852.12193241634</v>
      </c>
      <c r="L54" s="11">
        <f>Commercial!L54*Commercial!$B$30</f>
        <v>845662.58456349419</v>
      </c>
      <c r="M54" s="11">
        <f>Commercial!M54*Commercial!$B$30</f>
        <v>900854.43771288684</v>
      </c>
      <c r="N54" s="11">
        <f>Commercial!N54*Commercial!$B$30</f>
        <v>959648.36657151312</v>
      </c>
      <c r="O54" s="11">
        <f>Commercial!O54*Commercial!$B$30</f>
        <v>1022279.4592669624</v>
      </c>
      <c r="P54" s="11">
        <f>Commercial!P54*Commercial!$B$30</f>
        <v>1088998.146865783</v>
      </c>
      <c r="Q54" s="11">
        <f>Commercial!Q54*Commercial!$B$30</f>
        <v>1160071.2047246695</v>
      </c>
      <c r="R54" s="11">
        <f>Commercial!R54*Commercial!$B$30</f>
        <v>1235782.8191944661</v>
      </c>
      <c r="S54" s="11">
        <f>Commercial!S54*Commercial!$B$30</f>
        <v>1316435.7239422014</v>
      </c>
      <c r="T54" s="11">
        <f>Commercial!T54*Commercial!$B$30</f>
        <v>1402352.4104347643</v>
      </c>
      <c r="U54" s="11">
        <f>Commercial!U54*Commercial!$B$30</f>
        <v>1493876.4174243407</v>
      </c>
      <c r="V54" s="11">
        <f>Commercial!V54*Commercial!$B$30</f>
        <v>1591373.7045916368</v>
      </c>
      <c r="W54" s="11">
        <f>Commercial!W54*Commercial!$B$30</f>
        <v>1695234.1158394185</v>
      </c>
      <c r="X54" s="11">
        <f>Commercial!X54*Commercial!$B$30</f>
        <v>1805872.9380873539</v>
      </c>
      <c r="Y54" s="11">
        <f>Commercial!Y54*Commercial!$B$30</f>
        <v>1923732.5618010194</v>
      </c>
      <c r="Z54" s="11">
        <f>Commercial!Z54*Commercial!$B$30</f>
        <v>2049284.2498947165</v>
      </c>
      <c r="AA54" s="11">
        <f>Commercial!AA54*Commercial!$B$30</f>
        <v>2183030.0220810724</v>
      </c>
      <c r="AB54" s="11">
        <f>Commercial!AB54*Commercial!$B$30</f>
        <v>2325504.662201995</v>
      </c>
      <c r="AC54" s="11">
        <f>Commercial!AC54*Commercial!$B$30</f>
        <v>2477277.8565673702</v>
      </c>
      <c r="AD54" s="11">
        <f>Commercial!AD54*Commercial!$B$30</f>
        <v>2638956.4718515994</v>
      </c>
      <c r="AE54" s="11">
        <f>Commercial!AE54*Commercial!$B$30</f>
        <v>2811186.9816562301</v>
      </c>
      <c r="AF54" s="11">
        <f>Commercial!AF54*Commercial!$B$30</f>
        <v>2994658.0514412806</v>
      </c>
      <c r="AG54" s="11">
        <f>Commercial!AG54*Commercial!$B$30</f>
        <v>3190103.2921611443</v>
      </c>
      <c r="AH54" s="11">
        <f>Commercial!AH54*Commercial!$B$30</f>
        <v>3398304.1936155125</v>
      </c>
      <c r="AI54" s="11">
        <f>Commercial!AI54*Commercial!$B$30</f>
        <v>3620093.2492443668</v>
      </c>
      <c r="AJ54" s="11">
        <f>Commercial!AJ54*Commercial!$B$30</f>
        <v>3856357.2848615181</v>
      </c>
      <c r="AK54" s="11">
        <f>Commercial!AK54*Commercial!$B$30</f>
        <v>4108041.0046367389</v>
      </c>
      <c r="AL54" s="11">
        <f>Commercial!AL54*Commercial!$B$30</f>
        <v>4376150.768505062</v>
      </c>
      <c r="AM54" s="11">
        <f>Commercial!AM54*Commercial!$B$30</f>
        <v>4661758.6161073102</v>
      </c>
      <c r="AN54" s="11">
        <f>Commercial!AN54*Commercial!$B$30</f>
        <v>4966006.5533515885</v>
      </c>
    </row>
    <row r="56" spans="1:40" x14ac:dyDescent="0.2">
      <c r="A56" s="5" t="s">
        <v>66</v>
      </c>
    </row>
    <row r="57" spans="1:40" x14ac:dyDescent="0.2">
      <c r="A57" s="5" t="s">
        <v>4</v>
      </c>
    </row>
    <row r="58" spans="1:40" x14ac:dyDescent="0.2">
      <c r="A58" s="5" t="s">
        <v>51</v>
      </c>
    </row>
    <row r="59" spans="1:40" x14ac:dyDescent="0.2">
      <c r="A59" s="5" t="s">
        <v>6</v>
      </c>
    </row>
    <row r="60" spans="1:40" x14ac:dyDescent="0.2">
      <c r="A60" s="5"/>
    </row>
    <row r="61" spans="1:40" x14ac:dyDescent="0.2">
      <c r="A61" s="6" t="s">
        <v>7</v>
      </c>
      <c r="B61" s="6">
        <v>2022</v>
      </c>
      <c r="C61" s="6">
        <v>2023</v>
      </c>
      <c r="D61" s="6">
        <v>2024</v>
      </c>
      <c r="E61" s="6">
        <v>2025</v>
      </c>
      <c r="F61" s="6">
        <v>2026</v>
      </c>
      <c r="G61" s="6">
        <v>2027</v>
      </c>
      <c r="H61" s="6">
        <v>2028</v>
      </c>
      <c r="I61" s="6">
        <v>2029</v>
      </c>
      <c r="J61" s="6">
        <v>2030</v>
      </c>
      <c r="K61" s="6">
        <v>2031</v>
      </c>
      <c r="L61" s="6">
        <v>2032</v>
      </c>
      <c r="M61" s="6">
        <v>2033</v>
      </c>
      <c r="N61" s="6">
        <v>2034</v>
      </c>
      <c r="O61" s="6">
        <v>2035</v>
      </c>
      <c r="P61" s="6">
        <v>2036</v>
      </c>
      <c r="Q61" s="6">
        <v>2037</v>
      </c>
      <c r="R61" s="6">
        <v>2038</v>
      </c>
      <c r="S61" s="6">
        <v>2039</v>
      </c>
      <c r="T61" s="6">
        <v>2040</v>
      </c>
      <c r="U61" s="6">
        <v>2041</v>
      </c>
      <c r="V61" s="6">
        <v>2042</v>
      </c>
      <c r="W61" s="6">
        <v>2043</v>
      </c>
      <c r="X61" s="6">
        <v>2044</v>
      </c>
      <c r="Y61" s="6">
        <v>2045</v>
      </c>
      <c r="Z61" s="6">
        <v>2046</v>
      </c>
      <c r="AA61" s="6">
        <v>2047</v>
      </c>
      <c r="AB61" s="6">
        <v>2048</v>
      </c>
      <c r="AC61" s="6">
        <v>2049</v>
      </c>
      <c r="AD61" s="6">
        <v>2050</v>
      </c>
      <c r="AE61" s="6">
        <v>2051</v>
      </c>
      <c r="AF61" s="6">
        <v>2052</v>
      </c>
      <c r="AG61" s="6">
        <v>2053</v>
      </c>
      <c r="AH61" s="6">
        <v>2054</v>
      </c>
      <c r="AI61" s="6">
        <v>2055</v>
      </c>
      <c r="AJ61" s="6">
        <v>2056</v>
      </c>
      <c r="AK61" s="6">
        <v>2057</v>
      </c>
      <c r="AL61" s="6">
        <v>2058</v>
      </c>
      <c r="AM61" s="6">
        <v>2059</v>
      </c>
      <c r="AN61" s="6">
        <v>2060</v>
      </c>
    </row>
    <row r="62" spans="1:40" x14ac:dyDescent="0.2">
      <c r="A62" s="6" t="s">
        <v>40</v>
      </c>
      <c r="B62" s="11">
        <f>Commercial!B62*Commercial!$B$30</f>
        <v>1817267.9576636606</v>
      </c>
      <c r="C62" s="11">
        <f>Commercial!C62*Commercial!$B$30</f>
        <v>1935871.2730796309</v>
      </c>
      <c r="D62" s="11">
        <f>Commercial!D62*Commercial!$B$30</f>
        <v>2062215.1896371888</v>
      </c>
      <c r="E62" s="11">
        <f>Commercial!E62*Commercial!$B$30</f>
        <v>2196804.8947825944</v>
      </c>
      <c r="F62" s="11">
        <f>Commercial!F62*Commercial!$B$30</f>
        <v>2340178.5468323561</v>
      </c>
      <c r="G62" s="11">
        <f>Commercial!G62*Commercial!$B$30</f>
        <v>2492909.4268047716</v>
      </c>
      <c r="H62" s="11">
        <f>Commercial!H62*Commercial!$B$30</f>
        <v>2655608.2306899694</v>
      </c>
      <c r="I62" s="11">
        <f>Commercial!I62*Commercial!$B$30</f>
        <v>2828925.5113240811</v>
      </c>
      <c r="J62" s="11">
        <f>Commercial!J62*Commercial!$B$30</f>
        <v>3013554.2796314331</v>
      </c>
      <c r="K62" s="11">
        <f>Commercial!K62*Commercial!$B$30</f>
        <v>3210232.7756358311</v>
      </c>
      <c r="L62" s="11">
        <f>Commercial!L62*Commercial!$B$30</f>
        <v>3419747.4203208792</v>
      </c>
      <c r="M62" s="11">
        <f>Commercial!M62*Commercial!$B$30</f>
        <v>3642935.9601423349</v>
      </c>
      <c r="N62" s="11">
        <f>Commercial!N62*Commercial!$B$30</f>
        <v>3880690.8167659119</v>
      </c>
      <c r="O62" s="11">
        <f>Commercial!O62*Commercial!$B$30</f>
        <v>4133962.6554244664</v>
      </c>
      <c r="P62" s="11">
        <f>Commercial!P62*Commercial!$B$30</f>
        <v>4403764.1861626739</v>
      </c>
      <c r="Q62" s="11">
        <f>Commercial!Q62*Commercial!$B$30</f>
        <v>4691174.213168541</v>
      </c>
      <c r="R62" s="11">
        <f>Commercial!R62*Commercial!$B$30</f>
        <v>4997341.9483830053</v>
      </c>
      <c r="S62" s="11">
        <f>Commercial!S62*Commercial!$B$30</f>
        <v>5323491.6066356748</v>
      </c>
      <c r="T62" s="11">
        <f>Commercial!T62*Commercial!$B$30</f>
        <v>5670927.300680384</v>
      </c>
      <c r="U62" s="11">
        <f>Commercial!U62*Commercial!$B$30</f>
        <v>6041038.2557034092</v>
      </c>
      <c r="V62" s="11">
        <f>Commercial!V62*Commercial!$B$30</f>
        <v>6435304.3641546229</v>
      </c>
      <c r="W62" s="11">
        <f>Commercial!W62*Commercial!$B$30</f>
        <v>6855302.1031126482</v>
      </c>
      <c r="X62" s="11">
        <f>Commercial!X62*Commercial!$B$30</f>
        <v>7302710.8378446121</v>
      </c>
      <c r="Y62" s="11">
        <f>Commercial!Y62*Commercial!$B$30</f>
        <v>7779319.5367654003</v>
      </c>
      <c r="Z62" s="11">
        <f>Commercial!Z62*Commercial!$B$30</f>
        <v>8287033.9246462062</v>
      </c>
      <c r="AA62" s="11">
        <f>Commercial!AA62*Commercial!$B$30</f>
        <v>8827884.1026745886</v>
      </c>
      <c r="AB62" s="11">
        <f>Commercial!AB62*Commercial!$B$30</f>
        <v>9404032.6658348795</v>
      </c>
      <c r="AC62" s="11">
        <f>Commercial!AC62*Commercial!$B$30</f>
        <v>10017783.350066412</v>
      </c>
      <c r="AD62" s="11">
        <f>Commercial!AD62*Commercial!$B$30</f>
        <v>10671590.243775306</v>
      </c>
      <c r="AE62" s="11">
        <f>Commercial!AE62*Commercial!$B$30</f>
        <v>11368067.600532146</v>
      </c>
      <c r="AF62" s="11">
        <f>Commercial!AF62*Commercial!$B$30</f>
        <v>12110000.292191666</v>
      </c>
      <c r="AG62" s="11">
        <f>Commercial!AG62*Commercial!$B$30</f>
        <v>12900354.944231449</v>
      </c>
      <c r="AH62" s="11">
        <f>Commercial!AH62*Commercial!$B$30</f>
        <v>13742291.79783432</v>
      </c>
      <c r="AI62" s="11">
        <f>Commercial!AI62*Commercial!$B$30</f>
        <v>14639177.346145142</v>
      </c>
      <c r="AJ62" s="11">
        <f>Commercial!AJ62*Commercial!$B$30</f>
        <v>15594597.795228153</v>
      </c>
      <c r="AK62" s="11">
        <f>Commercial!AK62*Commercial!$B$30</f>
        <v>16612373.403548751</v>
      </c>
      <c r="AL62" s="11">
        <f>Commercial!AL62*Commercial!$B$30</f>
        <v>17696573.757316079</v>
      </c>
      <c r="AM62" s="11">
        <f>Commercial!AM62*Commercial!$B$30</f>
        <v>18851534.042765308</v>
      </c>
      <c r="AN62" s="11">
        <f>Commercial!AN62*Commercial!$B$30</f>
        <v>20081872.380444195</v>
      </c>
    </row>
    <row r="63" spans="1:40" x14ac:dyDescent="0.2">
      <c r="A63" s="6" t="s">
        <v>41</v>
      </c>
      <c r="B63" s="11">
        <f>Commercial!B63*Commercial!$B$30</f>
        <v>1110102.3578387995</v>
      </c>
      <c r="C63" s="11">
        <f>Commercial!C63*Commercial!$B$30</f>
        <v>1182552.774154969</v>
      </c>
      <c r="D63" s="11">
        <f>Commercial!D63*Commercial!$B$30</f>
        <v>1259731.6398680087</v>
      </c>
      <c r="E63" s="11">
        <f>Commercial!E63*Commercial!$B$30</f>
        <v>1341947.5554640929</v>
      </c>
      <c r="F63" s="11">
        <f>Commercial!F63*Commercial!$B$30</f>
        <v>1429529.2621250194</v>
      </c>
      <c r="G63" s="11">
        <f>Commercial!G63*Commercial!$B$30</f>
        <v>1522826.9562031939</v>
      </c>
      <c r="H63" s="11">
        <f>Commercial!H63*Commercial!$B$30</f>
        <v>1622213.6894853411</v>
      </c>
      <c r="I63" s="11">
        <f>Commercial!I63*Commercial!$B$30</f>
        <v>1728086.8608438962</v>
      </c>
      <c r="J63" s="11">
        <f>Commercial!J63*Commercial!$B$30</f>
        <v>1840869.8052404749</v>
      </c>
      <c r="K63" s="11">
        <f>Commercial!K63*Commercial!$B$30</f>
        <v>1961013.4864350567</v>
      </c>
      <c r="L63" s="11">
        <f>Commercial!L63*Commercial!$B$30</f>
        <v>2088998.3001692109</v>
      </c>
      <c r="M63" s="11">
        <f>Commercial!M63*Commercial!$B$30</f>
        <v>2225335.995033389</v>
      </c>
      <c r="N63" s="11">
        <f>Commercial!N63*Commercial!$B$30</f>
        <v>2370571.7186989179</v>
      </c>
      <c r="O63" s="11">
        <f>Commercial!O63*Commercial!$B$30</f>
        <v>2525286.1976965521</v>
      </c>
      <c r="P63" s="11">
        <f>Commercial!P63*Commercial!$B$30</f>
        <v>2690098.059457466</v>
      </c>
      <c r="Q63" s="11">
        <f>Commercial!Q63*Commercial!$B$30</f>
        <v>2865666.3059013817</v>
      </c>
      <c r="R63" s="11">
        <f>Commercial!R63*Commercial!$B$30</f>
        <v>3052692.9484625049</v>
      </c>
      <c r="S63" s="11">
        <f>Commercial!S63*Commercial!$B$30</f>
        <v>3251925.8150894404</v>
      </c>
      <c r="T63" s="11">
        <f>Commercial!T63*Commercial!$B$30</f>
        <v>3464161.540442924</v>
      </c>
      <c r="U63" s="11">
        <f>Commercial!U63*Commercial!$B$30</f>
        <v>3690248.7512476784</v>
      </c>
      <c r="V63" s="11">
        <f>Commercial!V63*Commercial!$B$30</f>
        <v>3931091.459535074</v>
      </c>
      <c r="W63" s="11">
        <f>Commercial!W63*Commercial!$B$30</f>
        <v>4187652.6773445173</v>
      </c>
      <c r="X63" s="11">
        <f>Commercial!X63*Commercial!$B$30</f>
        <v>4460958.26733696</v>
      </c>
      <c r="Y63" s="11">
        <f>Commercial!Y63*Commercial!$B$30</f>
        <v>4752101.0447172737</v>
      </c>
      <c r="Z63" s="11">
        <f>Commercial!Z63*Commercial!$B$30</f>
        <v>5062245.1468670573</v>
      </c>
      <c r="AA63" s="11">
        <f>Commercial!AA63*Commercial!$B$30</f>
        <v>5392630.6881598979</v>
      </c>
      <c r="AB63" s="11">
        <f>Commercial!AB63*Commercial!$B$30</f>
        <v>5744578.7185714087</v>
      </c>
      <c r="AC63" s="11">
        <f>Commercial!AC63*Commercial!$B$30</f>
        <v>6119496.5059111118</v>
      </c>
      <c r="AD63" s="11">
        <f>Commercial!AD63*Commercial!$B$30</f>
        <v>6518883.1627972033</v>
      </c>
      <c r="AE63" s="11">
        <f>Commercial!AE63*Commercial!$B$30</f>
        <v>6944335.6408737451</v>
      </c>
      <c r="AF63" s="11">
        <f>Commercial!AF63*Commercial!$B$30</f>
        <v>7397555.1162381778</v>
      </c>
      <c r="AG63" s="11">
        <f>Commercial!AG63*Commercial!$B$30</f>
        <v>7880353.791611406</v>
      </c>
      <c r="AH63" s="11">
        <f>Commercial!AH63*Commercial!$B$30</f>
        <v>8394662.1424489599</v>
      </c>
      <c r="AI63" s="11">
        <f>Commercial!AI63*Commercial!$B$30</f>
        <v>8942536.6359669156</v>
      </c>
      <c r="AJ63" s="11">
        <f>Commercial!AJ63*Commercial!$B$30</f>
        <v>9526167.9539471325</v>
      </c>
      <c r="AK63" s="11">
        <f>Commercial!AK63*Commercial!$B$30</f>
        <v>10147889.752200849</v>
      </c>
      <c r="AL63" s="11">
        <f>Commercial!AL63*Commercial!$B$30</f>
        <v>10810187.99171536</v>
      </c>
      <c r="AM63" s="11">
        <f>Commercial!AM63*Commercial!$B$30</f>
        <v>11515710.878794549</v>
      </c>
      <c r="AN63" s="11">
        <f>Commercial!AN63*Commercial!$B$30</f>
        <v>12267279.45393892</v>
      </c>
    </row>
    <row r="64" spans="1:40" x14ac:dyDescent="0.2">
      <c r="A64" s="6" t="s">
        <v>42</v>
      </c>
      <c r="B64" s="11">
        <f>Commercial!B64*Commercial!$B$30</f>
        <v>861999.94825379865</v>
      </c>
      <c r="C64" s="11">
        <f>Commercial!C64*Commercial!$B$30</f>
        <v>918258.05335060216</v>
      </c>
      <c r="D64" s="11">
        <f>Commercial!D64*Commercial!$B$30</f>
        <v>978187.82269227551</v>
      </c>
      <c r="E64" s="11">
        <f>Commercial!E64*Commercial!$B$30</f>
        <v>1042028.886076229</v>
      </c>
      <c r="F64" s="11">
        <f>Commercial!F64*Commercial!$B$30</f>
        <v>1110036.5126492204</v>
      </c>
      <c r="G64" s="11">
        <f>Commercial!G64*Commercial!$B$30</f>
        <v>1182482.6316036524</v>
      </c>
      <c r="H64" s="11">
        <f>Commercial!H64*Commercial!$B$30</f>
        <v>1259656.9194892433</v>
      </c>
      <c r="I64" s="11">
        <f>Commercial!I64*Commercial!$B$30</f>
        <v>1341867.9584876783</v>
      </c>
      <c r="J64" s="11">
        <f>Commercial!J64*Commercial!$B$30</f>
        <v>1429444.4702816291</v>
      </c>
      <c r="K64" s="11">
        <f>Commercial!K64*Commercial!$B$30</f>
        <v>1522736.6304517714</v>
      </c>
      <c r="L64" s="11">
        <f>Commercial!L64*Commercial!$B$30</f>
        <v>1622117.4686574435</v>
      </c>
      <c r="M64" s="11">
        <f>Commercial!M64*Commercial!$B$30</f>
        <v>1727984.3601995565</v>
      </c>
      <c r="N64" s="11">
        <f>Commercial!N64*Commercial!$B$30</f>
        <v>1840760.6149298144</v>
      </c>
      <c r="O64" s="11">
        <f>Commercial!O64*Commercial!$B$30</f>
        <v>1960897.1698595001</v>
      </c>
      <c r="P64" s="11">
        <f>Commercial!P64*Commercial!$B$30</f>
        <v>2088874.3922357364</v>
      </c>
      <c r="Q64" s="11">
        <f>Commercial!Q64*Commercial!$B$30</f>
        <v>2225204.0002948535</v>
      </c>
      <c r="R64" s="11">
        <f>Commercial!R64*Commercial!$B$30</f>
        <v>2370431.1093730065</v>
      </c>
      <c r="S64" s="11">
        <f>Commercial!S64*Commercial!$B$30</f>
        <v>2525136.4115554318</v>
      </c>
      <c r="T64" s="11">
        <f>Commercial!T64*Commercial!$B$30</f>
        <v>2689938.4975797157</v>
      </c>
      <c r="U64" s="11">
        <f>Commercial!U64*Commercial!$B$30</f>
        <v>2865496.3302771975</v>
      </c>
      <c r="V64" s="11">
        <f>Commercial!V64*Commercial!$B$30</f>
        <v>3052511.8794426075</v>
      </c>
      <c r="W64" s="11">
        <f>Commercial!W64*Commercial!$B$30</f>
        <v>3251732.9286674988</v>
      </c>
      <c r="X64" s="11">
        <f>Commercial!X64*Commercial!$B$30</f>
        <v>3463956.065360602</v>
      </c>
      <c r="Y64" s="11">
        <f>Commercial!Y64*Commercial!$B$30</f>
        <v>3690029.8659107503</v>
      </c>
      <c r="Z64" s="11">
        <f>Commercial!Z64*Commercial!$B$30</f>
        <v>3930858.2887282753</v>
      </c>
      <c r="AA64" s="11">
        <f>Commercial!AA64*Commercial!$B$30</f>
        <v>4187404.2887319848</v>
      </c>
      <c r="AB64" s="11">
        <f>Commercial!AB64*Commercial!$B$30</f>
        <v>4460693.6677342821</v>
      </c>
      <c r="AC64" s="11">
        <f>Commercial!AC64*Commercial!$B$30</f>
        <v>4751819.1761202225</v>
      </c>
      <c r="AD64" s="11">
        <f>Commercial!AD64*Commercial!$B$30</f>
        <v>5061944.8822211558</v>
      </c>
      <c r="AE64" s="11">
        <f>Commercial!AE64*Commercial!$B$30</f>
        <v>5392310.8268538807</v>
      </c>
      <c r="AF64" s="11">
        <f>Commercial!AF64*Commercial!$B$30</f>
        <v>5744237.9816365615</v>
      </c>
      <c r="AG64" s="11">
        <f>Commercial!AG64*Commercial!$B$30</f>
        <v>6119133.5309073059</v>
      </c>
      <c r="AH64" s="11">
        <f>Commercial!AH64*Commercial!$B$30</f>
        <v>6518496.4983651638</v>
      </c>
      <c r="AI64" s="11">
        <f>Commercial!AI64*Commercial!$B$30</f>
        <v>6943923.7409317754</v>
      </c>
      <c r="AJ64" s="11">
        <f>Commercial!AJ64*Commercial!$B$30</f>
        <v>7397116.3338001333</v>
      </c>
      <c r="AK64" s="11">
        <f>Commercial!AK64*Commercial!$B$30</f>
        <v>7879886.3722012099</v>
      </c>
      <c r="AL64" s="11">
        <f>Commercial!AL64*Commercial!$B$30</f>
        <v>8394164.2170853056</v>
      </c>
      <c r="AM64" s="11">
        <f>Commercial!AM64*Commercial!$B$30</f>
        <v>8942006.2136901282</v>
      </c>
      <c r="AN64" s="11">
        <f>Commercial!AN64*Commercial!$B$30</f>
        <v>9525602.9138582982</v>
      </c>
    </row>
    <row r="65" spans="1:40" x14ac:dyDescent="0.2">
      <c r="A65" s="6" t="s">
        <v>43</v>
      </c>
      <c r="B65" s="11">
        <f>Commercial!B65*Commercial!$B$30</f>
        <v>60451.779913740364</v>
      </c>
      <c r="C65" s="11">
        <f>Commercial!C65*Commercial!$B$30</f>
        <v>64397.142781296716</v>
      </c>
      <c r="D65" s="11">
        <f>Commercial!D65*Commercial!$B$30</f>
        <v>68599.998284783811</v>
      </c>
      <c r="E65" s="11">
        <f>Commercial!E65*Commercial!$B$30</f>
        <v>73077.151585040861</v>
      </c>
      <c r="F65" s="11">
        <f>Commercial!F65*Commercial!$B$30</f>
        <v>77846.504625461064</v>
      </c>
      <c r="G65" s="11">
        <f>Commercial!G65*Commercial!$B$30</f>
        <v>82927.127713095528</v>
      </c>
      <c r="H65" s="11">
        <f>Commercial!H65*Commercial!$B$30</f>
        <v>88339.335771472091</v>
      </c>
      <c r="I65" s="11">
        <f>Commercial!I65*Commercial!$B$30</f>
        <v>94104.769570025019</v>
      </c>
      <c r="J65" s="11">
        <f>Commercial!J65*Commercial!$B$30</f>
        <v>100246.4822549337</v>
      </c>
      <c r="K65" s="11">
        <f>Commercial!K65*Commercial!$B$30</f>
        <v>106789.03152736403</v>
      </c>
      <c r="L65" s="11">
        <f>Commercial!L65*Commercial!$B$30</f>
        <v>113758.57783768873</v>
      </c>
      <c r="M65" s="11">
        <f>Commercial!M65*Commercial!$B$30</f>
        <v>121182.98898831598</v>
      </c>
      <c r="N65" s="11">
        <f>Commercial!N65*Commercial!$B$30</f>
        <v>129091.95156338354</v>
      </c>
      <c r="O65" s="11">
        <f>Commercial!O65*Commercial!$B$30</f>
        <v>137517.08963086989</v>
      </c>
      <c r="P65" s="11">
        <f>Commercial!P65*Commercial!$B$30</f>
        <v>146492.09119175421</v>
      </c>
      <c r="Q65" s="11">
        <f>Commercial!Q65*Commercial!$B$30</f>
        <v>156052.84288183408</v>
      </c>
      <c r="R65" s="11">
        <f>Commercial!R65*Commercial!$B$30</f>
        <v>166237.57346480666</v>
      </c>
      <c r="S65" s="11">
        <f>Commercial!S65*Commercial!$B$30</f>
        <v>177087.00669037231</v>
      </c>
      <c r="T65" s="11">
        <f>Commercial!T65*Commercial!$B$30</f>
        <v>188644.52412856603</v>
      </c>
      <c r="U65" s="11">
        <f>Commercial!U65*Commercial!$B$30</f>
        <v>200956.33863140942</v>
      </c>
      <c r="V65" s="11">
        <f>Commercial!V65*Commercial!$B$30</f>
        <v>214071.67911547411</v>
      </c>
      <c r="W65" s="11">
        <f>Commercial!W65*Commercial!$B$30</f>
        <v>228042.98740420924</v>
      </c>
      <c r="X65" s="11">
        <f>Commercial!X65*Commercial!$B$30</f>
        <v>242926.12791711075</v>
      </c>
      <c r="Y65" s="11">
        <f>Commercial!Y65*Commercial!$B$30</f>
        <v>258780.61104417531</v>
      </c>
      <c r="Z65" s="11">
        <f>Commercial!Z65*Commercial!$B$30</f>
        <v>275669.83109880553</v>
      </c>
      <c r="AA65" s="11">
        <f>Commercial!AA65*Commercial!$B$30</f>
        <v>293661.31980062212</v>
      </c>
      <c r="AB65" s="11">
        <f>Commercial!AB65*Commercial!$B$30</f>
        <v>312827.01630173763</v>
      </c>
      <c r="AC65" s="11">
        <f>Commercial!AC65*Commercial!$B$30</f>
        <v>333243.55483619357</v>
      </c>
      <c r="AD65" s="11">
        <f>Commercial!AD65*Commercial!$B$30</f>
        <v>354992.5711427317</v>
      </c>
      <c r="AE65" s="11">
        <f>Commercial!AE65*Commercial!$B$30</f>
        <v>378161.02888613316</v>
      </c>
      <c r="AF65" s="11">
        <f>Commercial!AF65*Commercial!$B$30</f>
        <v>402841.56738232297</v>
      </c>
      <c r="AG65" s="11">
        <f>Commercial!AG65*Commercial!$B$30</f>
        <v>429132.87201762572</v>
      </c>
      <c r="AH65" s="11">
        <f>Commercial!AH65*Commercial!$B$30</f>
        <v>457140.06884329487</v>
      </c>
      <c r="AI65" s="11">
        <f>Commercial!AI65*Commercial!$B$30</f>
        <v>486975.14492310694</v>
      </c>
      <c r="AJ65" s="11">
        <f>Commercial!AJ65*Commercial!$B$30</f>
        <v>518757.39611478453</v>
      </c>
      <c r="AK65" s="11">
        <f>Commercial!AK65*Commercial!$B$30</f>
        <v>552613.90407570743</v>
      </c>
      <c r="AL65" s="11">
        <f>Commercial!AL65*Commercial!$B$30</f>
        <v>588680.04440022225</v>
      </c>
      <c r="AM65" s="11">
        <f>Commercial!AM65*Commercial!$B$30</f>
        <v>627100.02792034647</v>
      </c>
      <c r="AN65" s="11">
        <f>Commercial!AN65*Commercial!$B$30</f>
        <v>668027.47733425768</v>
      </c>
    </row>
    <row r="66" spans="1:40" x14ac:dyDescent="0.2">
      <c r="A66" s="6" t="s">
        <v>8</v>
      </c>
      <c r="B66" s="11">
        <f>Commercial!B66*Commercial!$B$30</f>
        <v>46233.033290382125</v>
      </c>
      <c r="C66" s="11">
        <f>Commercial!C66*Commercial!$B$30</f>
        <v>49250.414963157491</v>
      </c>
      <c r="D66" s="11">
        <f>Commercial!D66*Commercial!$B$30</f>
        <v>52464.724925323193</v>
      </c>
      <c r="E66" s="11">
        <f>Commercial!E66*Commercial!$B$30</f>
        <v>55888.815628232027</v>
      </c>
      <c r="F66" s="11">
        <f>Commercial!F66*Commercial!$B$30</f>
        <v>59536.37833368039</v>
      </c>
      <c r="G66" s="11">
        <f>Commercial!G66*Commercial!$B$30</f>
        <v>63421.997858558927</v>
      </c>
      <c r="H66" s="11">
        <f>Commercial!H66*Commercial!$B$30</f>
        <v>67561.210892392584</v>
      </c>
      <c r="I66" s="11">
        <f>Commercial!I66*Commercial!$B$30</f>
        <v>71970.568120952928</v>
      </c>
      <c r="J66" s="11">
        <f>Commercial!J66*Commercial!$B$30</f>
        <v>76667.700404345072</v>
      </c>
      <c r="K66" s="11">
        <f>Commercial!K66*Commercial!$B$30</f>
        <v>81671.389274182366</v>
      </c>
      <c r="L66" s="11">
        <f>Commercial!L66*Commercial!$B$30</f>
        <v>87001.642031733703</v>
      </c>
      <c r="M66" s="11">
        <f>Commercial!M66*Commercial!$B$30</f>
        <v>92679.77174732236</v>
      </c>
      <c r="N66" s="11">
        <f>Commercial!N66*Commercial!$B$30</f>
        <v>98728.482480856517</v>
      </c>
      <c r="O66" s="11">
        <f>Commercial!O66*Commercial!$B$30</f>
        <v>105171.96006424569</v>
      </c>
      <c r="P66" s="11">
        <f>Commercial!P66*Commercial!$B$30</f>
        <v>112035.96880869759</v>
      </c>
      <c r="Q66" s="11">
        <f>Commercial!Q66*Commercial!$B$30</f>
        <v>119347.95452358088</v>
      </c>
      <c r="R66" s="11">
        <f>Commercial!R66*Commercial!$B$30</f>
        <v>127137.15425877542</v>
      </c>
      <c r="S66" s="11">
        <f>Commercial!S66*Commercial!$B$30</f>
        <v>135434.71320931584</v>
      </c>
      <c r="T66" s="11">
        <f>Commercial!T66*Commercial!$B$30</f>
        <v>144273.80924977385</v>
      </c>
      <c r="U66" s="11">
        <f>Commercial!U66*Commercial!$B$30</f>
        <v>153689.78559632952</v>
      </c>
      <c r="V66" s="11">
        <f>Commercial!V66*Commercial!$B$30</f>
        <v>163720.29212698396</v>
      </c>
      <c r="W66" s="11">
        <f>Commercial!W66*Commercial!$B$30</f>
        <v>174405.43592498268</v>
      </c>
      <c r="X66" s="11">
        <f>Commercial!X66*Commercial!$B$30</f>
        <v>185787.9416473991</v>
      </c>
      <c r="Y66" s="11">
        <f>Commercial!Y66*Commercial!$B$30</f>
        <v>197913.3223601144</v>
      </c>
      <c r="Z66" s="11">
        <f>Commercial!Z66*Commercial!$B$30</f>
        <v>210830.06152227803</v>
      </c>
      <c r="AA66" s="11">
        <f>Commercial!AA66*Commercial!$B$30</f>
        <v>224589.80684791657</v>
      </c>
      <c r="AB66" s="11">
        <f>Commercial!AB66*Commercial!$B$30</f>
        <v>239247.57681984807</v>
      </c>
      <c r="AC66" s="11">
        <f>Commercial!AC66*Commercial!$B$30</f>
        <v>254861.98068164938</v>
      </c>
      <c r="AD66" s="11">
        <f>Commercial!AD66*Commercial!$B$30</f>
        <v>271495.45278731844</v>
      </c>
      <c r="AE66" s="11">
        <f>Commercial!AE66*Commercial!$B$30</f>
        <v>289214.50224567892</v>
      </c>
      <c r="AF66" s="11">
        <f>Commercial!AF66*Commercial!$B$30</f>
        <v>308089.97885773395</v>
      </c>
      <c r="AG66" s="11">
        <f>Commercial!AG66*Commercial!$B$30</f>
        <v>328197.3564103219</v>
      </c>
      <c r="AH66" s="11">
        <f>Commercial!AH66*Commercial!$B$30</f>
        <v>349617.03445882763</v>
      </c>
      <c r="AI66" s="11">
        <f>Commercial!AI66*Commercial!$B$30</f>
        <v>372434.65980562929</v>
      </c>
      <c r="AJ66" s="11">
        <f>Commercial!AJ66*Commercial!$B$30</f>
        <v>396741.46895971557</v>
      </c>
      <c r="AK66" s="11">
        <f>Commercial!AK66*Commercial!$B$30</f>
        <v>422634.65294680366</v>
      </c>
      <c r="AL66" s="11">
        <f>Commercial!AL66*Commercial!$B$30</f>
        <v>450217.7459286513</v>
      </c>
      <c r="AM66" s="11">
        <f>Commercial!AM66*Commercial!$B$30</f>
        <v>479601.03918546566</v>
      </c>
      <c r="AN66" s="11">
        <f>Commercial!AN66*Commercial!$B$30</f>
        <v>510902.02211671765</v>
      </c>
    </row>
    <row r="67" spans="1:40" x14ac:dyDescent="0.2">
      <c r="A67" s="6" t="s">
        <v>9</v>
      </c>
      <c r="B67" s="11">
        <f>Commercial!B67*Commercial!$B$30</f>
        <v>473966.16293688986</v>
      </c>
      <c r="C67" s="11">
        <f>Commercial!C67*Commercial!$B$30</f>
        <v>504899.38777158718</v>
      </c>
      <c r="D67" s="11">
        <f>Commercial!D67*Commercial!$B$30</f>
        <v>537851.45798702829</v>
      </c>
      <c r="E67" s="11">
        <f>Commercial!E67*Commercial!$B$30</f>
        <v>572954.13277395803</v>
      </c>
      <c r="F67" s="11">
        <f>Commercial!F67*Commercial!$B$30</f>
        <v>610347.77053755906</v>
      </c>
      <c r="G67" s="11">
        <f>Commercial!G67*Commercial!$B$30</f>
        <v>650181.8901219744</v>
      </c>
      <c r="H67" s="11">
        <f>Commercial!H67*Commercial!$B$30</f>
        <v>692615.76866294025</v>
      </c>
      <c r="I67" s="11">
        <f>Commercial!I67*Commercial!$B$30</f>
        <v>737819.0784590455</v>
      </c>
      <c r="J67" s="11">
        <f>Commercial!J67*Commercial!$B$30</f>
        <v>785972.5654081594</v>
      </c>
      <c r="K67" s="11">
        <f>Commercial!K67*Commercial!$B$30</f>
        <v>837268.77172175574</v>
      </c>
      <c r="L67" s="11">
        <f>Commercial!L67*Commercial!$B$30</f>
        <v>891912.80580692459</v>
      </c>
      <c r="M67" s="11">
        <f>Commercial!M67*Commercial!$B$30</f>
        <v>950123.16239443712</v>
      </c>
      <c r="N67" s="11">
        <f>Commercial!N67*Commercial!$B$30</f>
        <v>1012132.5961921707</v>
      </c>
      <c r="O67" s="11">
        <f>Commercial!O67*Commercial!$B$30</f>
        <v>1078189.0525571948</v>
      </c>
      <c r="P67" s="11">
        <f>Commercial!P67*Commercial!$B$30</f>
        <v>1148556.6589078235</v>
      </c>
      <c r="Q67" s="11">
        <f>Commercial!Q67*Commercial!$B$30</f>
        <v>1223516.7808398092</v>
      </c>
      <c r="R67" s="11">
        <f>Commercial!R67*Commercial!$B$30</f>
        <v>1303369.1471695607</v>
      </c>
      <c r="S67" s="11">
        <f>Commercial!S67*Commercial!$B$30</f>
        <v>1388433.0484028899</v>
      </c>
      <c r="T67" s="11">
        <f>Commercial!T67*Commercial!$B$30</f>
        <v>1479048.6134213777</v>
      </c>
      <c r="U67" s="11">
        <f>Commercial!U67*Commercial!$B$30</f>
        <v>1575578.1694911919</v>
      </c>
      <c r="V67" s="11">
        <f>Commercial!V67*Commercial!$B$30</f>
        <v>1678407.6910323775</v>
      </c>
      <c r="W67" s="11">
        <f>Commercial!W67*Commercial!$B$30</f>
        <v>1787948.3429415373</v>
      </c>
      <c r="X67" s="11">
        <f>Commercial!X67*Commercial!$B$30</f>
        <v>1904638.1246388848</v>
      </c>
      <c r="Y67" s="11">
        <f>Commercial!Y67*Commercial!$B$30</f>
        <v>2028943.621413422</v>
      </c>
      <c r="Z67" s="11">
        <f>Commercial!Z67*Commercial!$B$30</f>
        <v>2161361.8700689981</v>
      </c>
      <c r="AA67" s="11">
        <f>Commercial!AA67*Commercial!$B$30</f>
        <v>2302422.3463310739</v>
      </c>
      <c r="AB67" s="11">
        <f>Commercial!AB67*Commercial!$B$30</f>
        <v>2452689.0819608378</v>
      </c>
      <c r="AC67" s="11">
        <f>Commercial!AC67*Commercial!$B$30</f>
        <v>2612762.9200419849</v>
      </c>
      <c r="AD67" s="11">
        <f>Commercial!AD67*Commercial!$B$30</f>
        <v>2783283.9174579559</v>
      </c>
      <c r="AE67" s="11">
        <f>Commercial!AE67*Commercial!$B$30</f>
        <v>2964933.9041659497</v>
      </c>
      <c r="AF67" s="11">
        <f>Commercial!AF67*Commercial!$B$30</f>
        <v>3158439.209500995</v>
      </c>
      <c r="AG67" s="11">
        <f>Commercial!AG67*Commercial!$B$30</f>
        <v>3364573.5664112526</v>
      </c>
      <c r="AH67" s="11">
        <f>Commercial!AH67*Commercial!$B$30</f>
        <v>3584161.2052371423</v>
      </c>
      <c r="AI67" s="11">
        <f>Commercial!AI67*Commercial!$B$30</f>
        <v>3818080.1494048163</v>
      </c>
      <c r="AJ67" s="11">
        <f>Commercial!AJ67*Commercial!$B$30</f>
        <v>4067265.7262118268</v>
      </c>
      <c r="AK67" s="11">
        <f>Commercial!AK67*Commercial!$B$30</f>
        <v>4332714.306742928</v>
      </c>
      <c r="AL67" s="11">
        <f>Commercial!AL67*Commercial!$B$30</f>
        <v>4615487.2898700684</v>
      </c>
      <c r="AM67" s="11">
        <f>Commercial!AM67*Commercial!$B$30</f>
        <v>4916715.3462666823</v>
      </c>
      <c r="AN67" s="11">
        <f>Commercial!AN67*Commercial!$B$30</f>
        <v>5237602.9394059535</v>
      </c>
    </row>
    <row r="68" spans="1:40" x14ac:dyDescent="0.2">
      <c r="A68" s="6" t="s">
        <v>10</v>
      </c>
      <c r="B68" s="11">
        <f>Commercial!B68*Commercial!$B$30</f>
        <v>411.65984857394733</v>
      </c>
      <c r="C68" s="11">
        <f>Commercial!C68*Commercial!$B$30</f>
        <v>438.52667504200241</v>
      </c>
      <c r="D68" s="11">
        <f>Commercial!D68*Commercial!$B$30</f>
        <v>467.14695491816906</v>
      </c>
      <c r="E68" s="11">
        <f>Commercial!E68*Commercial!$B$30</f>
        <v>497.63512668508923</v>
      </c>
      <c r="F68" s="11">
        <f>Commercial!F68*Commercial!$B$30</f>
        <v>530.11309761028974</v>
      </c>
      <c r="G68" s="11">
        <f>Commercial!G68*Commercial!$B$30</f>
        <v>564.71073119363973</v>
      </c>
      <c r="H68" s="11">
        <f>Commercial!H68*Commercial!$B$30</f>
        <v>601.56636642788999</v>
      </c>
      <c r="I68" s="11">
        <f>Commercial!I68*Commercial!$B$30</f>
        <v>640.82737094855179</v>
      </c>
      <c r="J68" s="11">
        <f>Commercial!J68*Commercial!$B$30</f>
        <v>682.65073028489996</v>
      </c>
      <c r="K68" s="11">
        <f>Commercial!K68*Commercial!$B$30</f>
        <v>727.20367556822134</v>
      </c>
      <c r="L68" s="11">
        <f>Commercial!L68*Commercial!$B$30</f>
        <v>774.66435220721053</v>
      </c>
      <c r="M68" s="11">
        <f>Commercial!M68*Commercial!$B$30</f>
        <v>825.22253220421101</v>
      </c>
      <c r="N68" s="11">
        <f>Commercial!N68*Commercial!$B$30</f>
        <v>879.08037296051452</v>
      </c>
      <c r="O68" s="11">
        <f>Commercial!O68*Commercial!$B$30</f>
        <v>936.45322560480383</v>
      </c>
      <c r="P68" s="11">
        <f>Commercial!P68*Commercial!$B$30</f>
        <v>997.57049607684837</v>
      </c>
      <c r="Q68" s="11">
        <f>Commercial!Q68*Commercial!$B$30</f>
        <v>1062.676562409509</v>
      </c>
      <c r="R68" s="11">
        <f>Commercial!R68*Commercial!$B$30</f>
        <v>1132.0317518768081</v>
      </c>
      <c r="S68" s="11">
        <f>Commercial!S68*Commercial!$B$30</f>
        <v>1205.9133819152044</v>
      </c>
      <c r="T68" s="11">
        <f>Commercial!T68*Commercial!$B$30</f>
        <v>1284.6168689802091</v>
      </c>
      <c r="U68" s="11">
        <f>Commercial!U68*Commercial!$B$30</f>
        <v>1368.456909772111</v>
      </c>
      <c r="V68" s="11">
        <f>Commercial!V68*Commercial!$B$30</f>
        <v>1457.7687395539604</v>
      </c>
      <c r="W68" s="11">
        <f>Commercial!W68*Commercial!$B$30</f>
        <v>1552.90947259321</v>
      </c>
      <c r="X68" s="11">
        <f>Commercial!X68*Commercial!$B$30</f>
        <v>1654.2595300867731</v>
      </c>
      <c r="Y68" s="11">
        <f>Commercial!Y68*Commercial!$B$30</f>
        <v>1762.2241612790822</v>
      </c>
      <c r="Z68" s="11">
        <f>Commercial!Z68*Commercial!$B$30</f>
        <v>1877.2350638553492</v>
      </c>
      <c r="AA68" s="11">
        <f>Commercial!AA68*Commercial!$B$30</f>
        <v>1999.75211008919</v>
      </c>
      <c r="AB68" s="11">
        <f>Commercial!AB68*Commercial!$B$30</f>
        <v>2130.2651856466255</v>
      </c>
      <c r="AC68" s="11">
        <f>Commercial!AC68*Commercial!$B$30</f>
        <v>2269.2961483989388</v>
      </c>
      <c r="AD68" s="11">
        <f>Commercial!AD68*Commercial!$B$30</f>
        <v>2417.400915076732</v>
      </c>
      <c r="AE68" s="11">
        <f>Commercial!AE68*Commercial!$B$30</f>
        <v>2575.1716841086741</v>
      </c>
      <c r="AF68" s="11">
        <f>Commercial!AF68*Commercial!$B$30</f>
        <v>2743.2393035329897</v>
      </c>
      <c r="AG68" s="11">
        <f>Commercial!AG68*Commercial!$B$30</f>
        <v>2922.2757934498109</v>
      </c>
      <c r="AH68" s="11">
        <f>Commercial!AH68*Commercial!$B$30</f>
        <v>3112.9970331004415</v>
      </c>
      <c r="AI68" s="11">
        <f>Commercial!AI68*Commercial!$B$30</f>
        <v>3316.1656233178496</v>
      </c>
      <c r="AJ68" s="11">
        <f>Commercial!AJ68*Commercial!$B$30</f>
        <v>3532.5939357939119</v>
      </c>
      <c r="AK68" s="11">
        <f>Commercial!AK68*Commercial!$B$30</f>
        <v>3763.1473613559651</v>
      </c>
      <c r="AL68" s="11">
        <f>Commercial!AL68*Commercial!$B$30</f>
        <v>4008.7477702408969</v>
      </c>
      <c r="AM68" s="11">
        <f>Commercial!AM68*Commercial!$B$30</f>
        <v>4270.3771982027529</v>
      </c>
      <c r="AN68" s="11">
        <f>Commercial!AN68*Commercial!$B$30</f>
        <v>4549.0817731927609</v>
      </c>
    </row>
    <row r="69" spans="1:40" x14ac:dyDescent="0.2">
      <c r="A69" s="6" t="s">
        <v>44</v>
      </c>
      <c r="B69" s="11">
        <f>Commercial!B69*Commercial!$B$30</f>
        <v>751661.30592060986</v>
      </c>
      <c r="C69" s="11">
        <f>Commercial!C69*Commercial!$B$30</f>
        <v>800718.20068185136</v>
      </c>
      <c r="D69" s="11">
        <f>Commercial!D69*Commercial!$B$30</f>
        <v>852976.77538146381</v>
      </c>
      <c r="E69" s="11">
        <f>Commercial!E69*Commercial!$B$30</f>
        <v>908645.98646639788</v>
      </c>
      <c r="F69" s="11">
        <f>Commercial!F69*Commercial!$B$30</f>
        <v>967948.42784817482</v>
      </c>
      <c r="G69" s="11">
        <f>Commercial!G69*Commercial!$B$30</f>
        <v>1031121.2209469224</v>
      </c>
      <c r="H69" s="11">
        <f>Commercial!H69*Commercial!$B$30</f>
        <v>1098416.962823808</v>
      </c>
      <c r="I69" s="11">
        <f>Commercial!I69*Commercial!$B$30</f>
        <v>1170104.7361929771</v>
      </c>
      <c r="J69" s="11">
        <f>Commercial!J69*Commercial!$B$30</f>
        <v>1246471.1853515457</v>
      </c>
      <c r="K69" s="11">
        <f>Commercial!K69*Commercial!$B$30</f>
        <v>1327821.662329762</v>
      </c>
      <c r="L69" s="11">
        <f>Commercial!L69*Commercial!$B$30</f>
        <v>1414481.4478442341</v>
      </c>
      <c r="M69" s="11">
        <f>Commercial!M69*Commercial!$B$30</f>
        <v>1506797.0519362085</v>
      </c>
      <c r="N69" s="11">
        <f>Commercial!N69*Commercial!$B$30</f>
        <v>1605137.5994955252</v>
      </c>
      <c r="O69" s="11">
        <f>Commercial!O69*Commercial!$B$30</f>
        <v>1709896.3062102767</v>
      </c>
      <c r="P69" s="11">
        <f>Commercial!P69*Commercial!$B$30</f>
        <v>1821492.0508437683</v>
      </c>
      <c r="Q69" s="11">
        <f>Commercial!Q69*Commercial!$B$30</f>
        <v>1940371.0501255519</v>
      </c>
      <c r="R69" s="11">
        <f>Commercial!R69*Commercial!$B$30</f>
        <v>2067008.6429535956</v>
      </c>
      <c r="S69" s="11">
        <f>Commercial!S69*Commercial!$B$30</f>
        <v>2201911.1910417378</v>
      </c>
      <c r="T69" s="11">
        <f>Commercial!T69*Commercial!$B$30</f>
        <v>2345618.1036122032</v>
      </c>
      <c r="U69" s="11">
        <f>Commercial!U69*Commercial!$B$30</f>
        <v>2498703.9942289018</v>
      </c>
      <c r="V69" s="11">
        <f>Commercial!V69*Commercial!$B$30</f>
        <v>2661780.9783956618</v>
      </c>
      <c r="W69" s="11">
        <f>Commercial!W69*Commercial!$B$30</f>
        <v>2835501.1211063499</v>
      </c>
      <c r="X69" s="11">
        <f>Commercial!X69*Commercial!$B$30</f>
        <v>3020559.0441334383</v>
      </c>
      <c r="Y69" s="11">
        <f>Commercial!Y69*Commercial!$B$30</f>
        <v>3217694.7034802847</v>
      </c>
      <c r="Z69" s="11">
        <f>Commercial!Z69*Commercial!$B$30</f>
        <v>3427696.3481028015</v>
      </c>
      <c r="AA69" s="11">
        <f>Commercial!AA69*Commercial!$B$30</f>
        <v>3651403.6717309933</v>
      </c>
      <c r="AB69" s="11">
        <f>Commercial!AB69*Commercial!$B$30</f>
        <v>3889711.1703929491</v>
      </c>
      <c r="AC69" s="11">
        <f>Commercial!AC69*Commercial!$B$30</f>
        <v>4143571.7190663805</v>
      </c>
      <c r="AD69" s="11">
        <f>Commercial!AD69*Commercial!$B$30</f>
        <v>4414000.3817589963</v>
      </c>
      <c r="AE69" s="11">
        <f>Commercial!AE69*Commercial!$B$30</f>
        <v>4702078.4702523556</v>
      </c>
      <c r="AF69" s="11">
        <f>Commercial!AF69*Commercial!$B$30</f>
        <v>5008957.8677381072</v>
      </c>
      <c r="AG69" s="11">
        <f>Commercial!AG69*Commercial!$B$30</f>
        <v>5335865.6346347518</v>
      </c>
      <c r="AH69" s="11">
        <f>Commercial!AH69*Commercial!$B$30</f>
        <v>5684108.9150013067</v>
      </c>
      <c r="AI69" s="11">
        <f>Commercial!AI69*Commercial!$B$30</f>
        <v>6055080.1631662436</v>
      </c>
      <c r="AJ69" s="11">
        <f>Commercial!AJ69*Commercial!$B$30</f>
        <v>6450262.7114703869</v>
      </c>
      <c r="AK69" s="11">
        <f>Commercial!AK69*Commercial!$B$30</f>
        <v>6871236.701386516</v>
      </c>
      <c r="AL69" s="11">
        <f>Commercial!AL69*Commercial!$B$30</f>
        <v>7319685.4017312173</v>
      </c>
      <c r="AM69" s="11">
        <f>Commercial!AM69*Commercial!$B$30</f>
        <v>7797401.9392325524</v>
      </c>
      <c r="AN69" s="11">
        <f>Commercial!AN69*Commercial!$B$30</f>
        <v>8306296.4683656432</v>
      </c>
    </row>
    <row r="71" spans="1:40" x14ac:dyDescent="0.2">
      <c r="A71" s="5" t="s">
        <v>66</v>
      </c>
    </row>
    <row r="72" spans="1:40" x14ac:dyDescent="0.2">
      <c r="A72" s="5" t="s">
        <v>4</v>
      </c>
    </row>
    <row r="73" spans="1:40" x14ac:dyDescent="0.2">
      <c r="A73" s="5" t="s">
        <v>54</v>
      </c>
    </row>
    <row r="74" spans="1:40" x14ac:dyDescent="0.2">
      <c r="A74" s="5" t="s">
        <v>6</v>
      </c>
    </row>
    <row r="75" spans="1:40" x14ac:dyDescent="0.2">
      <c r="A75" s="5"/>
    </row>
    <row r="76" spans="1:40" x14ac:dyDescent="0.2">
      <c r="A76" s="6" t="s">
        <v>7</v>
      </c>
      <c r="B76" s="6">
        <v>2022</v>
      </c>
      <c r="C76" s="6">
        <v>2023</v>
      </c>
      <c r="D76" s="6">
        <v>2024</v>
      </c>
      <c r="E76" s="6">
        <v>2025</v>
      </c>
      <c r="F76" s="6">
        <v>2026</v>
      </c>
      <c r="G76" s="6">
        <v>2027</v>
      </c>
      <c r="H76" s="6">
        <v>2028</v>
      </c>
      <c r="I76" s="6">
        <v>2029</v>
      </c>
      <c r="J76" s="6">
        <v>2030</v>
      </c>
      <c r="K76" s="6">
        <v>2031</v>
      </c>
      <c r="L76" s="6">
        <v>2032</v>
      </c>
      <c r="M76" s="6">
        <v>2033</v>
      </c>
      <c r="N76" s="6">
        <v>2034</v>
      </c>
      <c r="O76" s="6">
        <v>2035</v>
      </c>
      <c r="P76" s="6">
        <v>2036</v>
      </c>
      <c r="Q76" s="6">
        <v>2037</v>
      </c>
      <c r="R76" s="6">
        <v>2038</v>
      </c>
      <c r="S76" s="6">
        <v>2039</v>
      </c>
      <c r="T76" s="6">
        <v>2040</v>
      </c>
      <c r="U76" s="6">
        <v>2041</v>
      </c>
      <c r="V76" s="6">
        <v>2042</v>
      </c>
      <c r="W76" s="6">
        <v>2043</v>
      </c>
      <c r="X76" s="6">
        <v>2044</v>
      </c>
      <c r="Y76" s="6">
        <v>2045</v>
      </c>
      <c r="Z76" s="6">
        <v>2046</v>
      </c>
      <c r="AA76" s="6">
        <v>2047</v>
      </c>
      <c r="AB76" s="6">
        <v>2048</v>
      </c>
      <c r="AC76" s="6">
        <v>2049</v>
      </c>
      <c r="AD76" s="6">
        <v>2050</v>
      </c>
      <c r="AE76" s="6">
        <v>2051</v>
      </c>
      <c r="AF76" s="6">
        <v>2052</v>
      </c>
      <c r="AG76" s="6">
        <v>2053</v>
      </c>
      <c r="AH76" s="6">
        <v>2054</v>
      </c>
      <c r="AI76" s="6">
        <v>2055</v>
      </c>
      <c r="AJ76" s="6">
        <v>2056</v>
      </c>
      <c r="AK76" s="6">
        <v>2057</v>
      </c>
      <c r="AL76" s="6">
        <v>2058</v>
      </c>
      <c r="AM76" s="6">
        <v>2059</v>
      </c>
      <c r="AN76" s="6">
        <v>2060</v>
      </c>
    </row>
    <row r="77" spans="1:40" x14ac:dyDescent="0.2">
      <c r="A77" s="6" t="s">
        <v>40</v>
      </c>
      <c r="B77" s="11">
        <f>Commercial!B77*Commercial!$B$5</f>
        <v>203446.51283227504</v>
      </c>
      <c r="C77" s="11">
        <f>Commercial!C77*Commercial!$B$5</f>
        <v>204142.18648276691</v>
      </c>
      <c r="D77" s="11">
        <f>Commercial!D77*Commercial!$B$5</f>
        <v>204837.86013325877</v>
      </c>
      <c r="E77" s="11">
        <f>Commercial!E77*Commercial!$B$5</f>
        <v>205533.53378375067</v>
      </c>
      <c r="F77" s="11">
        <f>Commercial!F77*Commercial!$B$5</f>
        <v>207394.45108538296</v>
      </c>
      <c r="G77" s="11">
        <f>Commercial!G77*Commercial!$B$5</f>
        <v>209255.36838701519</v>
      </c>
      <c r="H77" s="11">
        <f>Commercial!H77*Commercial!$B$5</f>
        <v>211116.28568864748</v>
      </c>
      <c r="I77" s="11">
        <f>Commercial!I77*Commercial!$B$5</f>
        <v>212977.20299027974</v>
      </c>
      <c r="J77" s="11">
        <f>Commercial!J77*Commercial!$B$5</f>
        <v>214838.12029191203</v>
      </c>
      <c r="K77" s="11">
        <f>Commercial!K77*Commercial!$B$5</f>
        <v>216401.14699761214</v>
      </c>
      <c r="L77" s="11">
        <f>Commercial!L77*Commercial!$B$5</f>
        <v>217964.17370331226</v>
      </c>
      <c r="M77" s="11">
        <f>Commercial!M77*Commercial!$B$5</f>
        <v>219527.20040901232</v>
      </c>
      <c r="N77" s="11">
        <f>Commercial!N77*Commercial!$B$5</f>
        <v>221090.22711471241</v>
      </c>
      <c r="O77" s="11">
        <f>Commercial!O77*Commercial!$B$5</f>
        <v>222653.25382041259</v>
      </c>
      <c r="P77" s="11">
        <f>Commercial!P77*Commercial!$B$5</f>
        <v>223914.94621060614</v>
      </c>
      <c r="Q77" s="11">
        <f>Commercial!Q77*Commercial!$B$5</f>
        <v>225176.63860079969</v>
      </c>
      <c r="R77" s="11">
        <f>Commercial!R77*Commercial!$B$5</f>
        <v>226438.3309909933</v>
      </c>
      <c r="S77" s="11">
        <f>Commercial!S77*Commercial!$B$5</f>
        <v>227700.02338118682</v>
      </c>
      <c r="T77" s="11">
        <f>Commercial!T77*Commercial!$B$5</f>
        <v>228961.71577138046</v>
      </c>
      <c r="U77" s="11">
        <f>Commercial!U77*Commercial!$B$5</f>
        <v>229928.68832543847</v>
      </c>
      <c r="V77" s="11">
        <f>Commercial!V77*Commercial!$B$5</f>
        <v>230895.66087949654</v>
      </c>
      <c r="W77" s="11">
        <f>Commercial!W77*Commercial!$B$5</f>
        <v>231862.63343355455</v>
      </c>
      <c r="X77" s="11">
        <f>Commercial!X77*Commercial!$B$5</f>
        <v>232829.60598761262</v>
      </c>
      <c r="Y77" s="11">
        <f>Commercial!Y77*Commercial!$B$5</f>
        <v>233796.57854167061</v>
      </c>
      <c r="Z77" s="11">
        <f>Commercial!Z77*Commercial!$B$5</f>
        <v>234480.77804510883</v>
      </c>
      <c r="AA77" s="11">
        <f>Commercial!AA77*Commercial!$B$5</f>
        <v>235164.97754854703</v>
      </c>
      <c r="AB77" s="11">
        <f>Commercial!AB77*Commercial!$B$5</f>
        <v>235849.1770519852</v>
      </c>
      <c r="AC77" s="11">
        <f>Commercial!AC77*Commercial!$B$5</f>
        <v>236533.3765554234</v>
      </c>
      <c r="AD77" s="11">
        <f>Commercial!AD77*Commercial!$B$5</f>
        <v>237217.5760588616</v>
      </c>
      <c r="AE77" s="11">
        <f>Commercial!AE77*Commercial!$B$5</f>
        <v>237217.5760588616</v>
      </c>
      <c r="AF77" s="11">
        <f>Commercial!AF77*Commercial!$B$5</f>
        <v>237217.5760588616</v>
      </c>
      <c r="AG77" s="11">
        <f>Commercial!AG77*Commercial!$B$5</f>
        <v>237217.5760588616</v>
      </c>
      <c r="AH77" s="11">
        <f>Commercial!AH77*Commercial!$B$5</f>
        <v>237217.5760588616</v>
      </c>
      <c r="AI77" s="11">
        <f>Commercial!AI77*Commercial!$B$5</f>
        <v>237217.5760588616</v>
      </c>
      <c r="AJ77" s="11">
        <f>Commercial!AJ77*Commercial!$B$5</f>
        <v>237217.5760588616</v>
      </c>
      <c r="AK77" s="11">
        <f>Commercial!AK77*Commercial!$B$5</f>
        <v>237217.5760588616</v>
      </c>
      <c r="AL77" s="11">
        <f>Commercial!AL77*Commercial!$B$5</f>
        <v>237217.5760588616</v>
      </c>
      <c r="AM77" s="11">
        <f>Commercial!AM77*Commercial!$B$5</f>
        <v>237217.5760588616</v>
      </c>
      <c r="AN77" s="11">
        <f>Commercial!AN77*Commercial!$B$5</f>
        <v>237217.5760588616</v>
      </c>
    </row>
    <row r="78" spans="1:40" x14ac:dyDescent="0.2">
      <c r="A78" s="6" t="s">
        <v>41</v>
      </c>
      <c r="B78" s="11">
        <f>Commercial!B78*Commercial!$B$5</f>
        <v>124278.01447660652</v>
      </c>
      <c r="C78" s="11">
        <f>Commercial!C78*Commercial!$B$5</f>
        <v>124702.97599992396</v>
      </c>
      <c r="D78" s="11">
        <f>Commercial!D78*Commercial!$B$5</f>
        <v>125127.9375232414</v>
      </c>
      <c r="E78" s="11">
        <f>Commercial!E78*Commercial!$B$5</f>
        <v>125552.89904655884</v>
      </c>
      <c r="F78" s="11">
        <f>Commercial!F78*Commercial!$B$5</f>
        <v>126689.66518785263</v>
      </c>
      <c r="G78" s="11">
        <f>Commercial!G78*Commercial!$B$5</f>
        <v>127826.43132914639</v>
      </c>
      <c r="H78" s="11">
        <f>Commercial!H78*Commercial!$B$5</f>
        <v>128963.19747044021</v>
      </c>
      <c r="I78" s="11">
        <f>Commercial!I78*Commercial!$B$5</f>
        <v>130099.96361173398</v>
      </c>
      <c r="J78" s="11">
        <f>Commercial!J78*Commercial!$B$5</f>
        <v>131236.72975302779</v>
      </c>
      <c r="K78" s="11">
        <f>Commercial!K78*Commercial!$B$5</f>
        <v>132191.52545266435</v>
      </c>
      <c r="L78" s="11">
        <f>Commercial!L78*Commercial!$B$5</f>
        <v>133146.32115230104</v>
      </c>
      <c r="M78" s="11">
        <f>Commercial!M78*Commercial!$B$5</f>
        <v>134101.11685193761</v>
      </c>
      <c r="N78" s="11">
        <f>Commercial!N78*Commercial!$B$5</f>
        <v>135055.91255157421</v>
      </c>
      <c r="O78" s="11">
        <f>Commercial!O78*Commercial!$B$5</f>
        <v>136010.70825121083</v>
      </c>
      <c r="P78" s="11">
        <f>Commercial!P78*Commercial!$B$5</f>
        <v>136781.42986718059</v>
      </c>
      <c r="Q78" s="11">
        <f>Commercial!Q78*Commercial!$B$5</f>
        <v>137552.15148315032</v>
      </c>
      <c r="R78" s="11">
        <f>Commercial!R78*Commercial!$B$5</f>
        <v>138322.87309912007</v>
      </c>
      <c r="S78" s="11">
        <f>Commercial!S78*Commercial!$B$5</f>
        <v>139093.59471508983</v>
      </c>
      <c r="T78" s="11">
        <f>Commercial!T78*Commercial!$B$5</f>
        <v>139864.31633105958</v>
      </c>
      <c r="U78" s="11">
        <f>Commercial!U78*Commercial!$B$5</f>
        <v>140455.00440626283</v>
      </c>
      <c r="V78" s="11">
        <f>Commercial!V78*Commercial!$B$5</f>
        <v>141045.69248146607</v>
      </c>
      <c r="W78" s="11">
        <f>Commercial!W78*Commercial!$B$5</f>
        <v>141636.38055666929</v>
      </c>
      <c r="X78" s="11">
        <f>Commercial!X78*Commercial!$B$5</f>
        <v>142227.06863187251</v>
      </c>
      <c r="Y78" s="11">
        <f>Commercial!Y78*Commercial!$B$5</f>
        <v>142817.75670707575</v>
      </c>
      <c r="Z78" s="11">
        <f>Commercial!Z78*Commercial!$B$5</f>
        <v>143235.70909470541</v>
      </c>
      <c r="AA78" s="11">
        <f>Commercial!AA78*Commercial!$B$5</f>
        <v>143653.66148233507</v>
      </c>
      <c r="AB78" s="11">
        <f>Commercial!AB78*Commercial!$B$5</f>
        <v>144071.61386996476</v>
      </c>
      <c r="AC78" s="11">
        <f>Commercial!AC78*Commercial!$B$5</f>
        <v>144489.56625759439</v>
      </c>
      <c r="AD78" s="11">
        <f>Commercial!AD78*Commercial!$B$5</f>
        <v>144907.51864522405</v>
      </c>
      <c r="AE78" s="11">
        <f>Commercial!AE78*Commercial!$B$5</f>
        <v>144907.51864522405</v>
      </c>
      <c r="AF78" s="11">
        <f>Commercial!AF78*Commercial!$B$5</f>
        <v>144907.51864522405</v>
      </c>
      <c r="AG78" s="11">
        <f>Commercial!AG78*Commercial!$B$5</f>
        <v>144907.51864522405</v>
      </c>
      <c r="AH78" s="11">
        <f>Commercial!AH78*Commercial!$B$5</f>
        <v>144907.51864522405</v>
      </c>
      <c r="AI78" s="11">
        <f>Commercial!AI78*Commercial!$B$5</f>
        <v>144907.51864522405</v>
      </c>
      <c r="AJ78" s="11">
        <f>Commercial!AJ78*Commercial!$B$5</f>
        <v>144907.51864522405</v>
      </c>
      <c r="AK78" s="11">
        <f>Commercial!AK78*Commercial!$B$5</f>
        <v>144907.51864522405</v>
      </c>
      <c r="AL78" s="11">
        <f>Commercial!AL78*Commercial!$B$5</f>
        <v>144907.51864522405</v>
      </c>
      <c r="AM78" s="11">
        <f>Commercial!AM78*Commercial!$B$5</f>
        <v>144907.51864522405</v>
      </c>
      <c r="AN78" s="11">
        <f>Commercial!AN78*Commercial!$B$5</f>
        <v>144907.51864522405</v>
      </c>
    </row>
    <row r="79" spans="1:40" x14ac:dyDescent="0.2">
      <c r="A79" s="6" t="s">
        <v>42</v>
      </c>
      <c r="B79" s="11">
        <f>Commercial!B79*Commercial!$B$5</f>
        <v>96502.490355330214</v>
      </c>
      <c r="C79" s="11">
        <f>Commercial!C79*Commercial!$B$5</f>
        <v>96832.47507127568</v>
      </c>
      <c r="D79" s="11">
        <f>Commercial!D79*Commercial!$B$5</f>
        <v>97162.459787221131</v>
      </c>
      <c r="E79" s="11">
        <f>Commercial!E79*Commercial!$B$5</f>
        <v>97492.444503166582</v>
      </c>
      <c r="F79" s="11">
        <f>Commercial!F79*Commercial!$B$5</f>
        <v>98375.149010866284</v>
      </c>
      <c r="G79" s="11">
        <f>Commercial!G79*Commercial!$B$5</f>
        <v>99257.853518565971</v>
      </c>
      <c r="H79" s="11">
        <f>Commercial!H79*Commercial!$B$5</f>
        <v>100140.55802626569</v>
      </c>
      <c r="I79" s="11">
        <f>Commercial!I79*Commercial!$B$5</f>
        <v>101023.2625339654</v>
      </c>
      <c r="J79" s="11">
        <f>Commercial!J79*Commercial!$B$5</f>
        <v>101905.96704166511</v>
      </c>
      <c r="K79" s="11">
        <f>Commercial!K79*Commercial!$B$5</f>
        <v>102647.37060514766</v>
      </c>
      <c r="L79" s="11">
        <f>Commercial!L79*Commercial!$B$5</f>
        <v>103388.77416863023</v>
      </c>
      <c r="M79" s="11">
        <f>Commercial!M79*Commercial!$B$5</f>
        <v>104130.17773211276</v>
      </c>
      <c r="N79" s="11">
        <f>Commercial!N79*Commercial!$B$5</f>
        <v>104871.58129559532</v>
      </c>
      <c r="O79" s="11">
        <f>Commercial!O79*Commercial!$B$5</f>
        <v>105612.9848590779</v>
      </c>
      <c r="P79" s="11">
        <f>Commercial!P79*Commercial!$B$5</f>
        <v>106211.45398996158</v>
      </c>
      <c r="Q79" s="11">
        <f>Commercial!Q79*Commercial!$B$5</f>
        <v>106809.92312084527</v>
      </c>
      <c r="R79" s="11">
        <f>Commercial!R79*Commercial!$B$5</f>
        <v>107408.39225172895</v>
      </c>
      <c r="S79" s="11">
        <f>Commercial!S79*Commercial!$B$5</f>
        <v>108006.86138261264</v>
      </c>
      <c r="T79" s="11">
        <f>Commercial!T79*Commercial!$B$5</f>
        <v>108605.33051349636</v>
      </c>
      <c r="U79" s="11">
        <f>Commercial!U79*Commercial!$B$5</f>
        <v>109064.00271324441</v>
      </c>
      <c r="V79" s="11">
        <f>Commercial!V79*Commercial!$B$5</f>
        <v>109522.67491299252</v>
      </c>
      <c r="W79" s="11">
        <f>Commercial!W79*Commercial!$B$5</f>
        <v>109981.34711274056</v>
      </c>
      <c r="X79" s="11">
        <f>Commercial!X79*Commercial!$B$5</f>
        <v>110440.01931248864</v>
      </c>
      <c r="Y79" s="11">
        <f>Commercial!Y79*Commercial!$B$5</f>
        <v>110898.69151223672</v>
      </c>
      <c r="Z79" s="11">
        <f>Commercial!Z79*Commercial!$B$5</f>
        <v>111223.23359979808</v>
      </c>
      <c r="AA79" s="11">
        <f>Commercial!AA79*Commercial!$B$5</f>
        <v>111547.77568735945</v>
      </c>
      <c r="AB79" s="11">
        <f>Commercial!AB79*Commercial!$B$5</f>
        <v>111872.31777492081</v>
      </c>
      <c r="AC79" s="11">
        <f>Commercial!AC79*Commercial!$B$5</f>
        <v>112196.85986248216</v>
      </c>
      <c r="AD79" s="11">
        <f>Commercial!AD79*Commercial!$B$5</f>
        <v>112521.40195004352</v>
      </c>
      <c r="AE79" s="11">
        <f>Commercial!AE79*Commercial!$B$5</f>
        <v>112521.40195004352</v>
      </c>
      <c r="AF79" s="11">
        <f>Commercial!AF79*Commercial!$B$5</f>
        <v>112521.40195004352</v>
      </c>
      <c r="AG79" s="11">
        <f>Commercial!AG79*Commercial!$B$5</f>
        <v>112521.40195004352</v>
      </c>
      <c r="AH79" s="11">
        <f>Commercial!AH79*Commercial!$B$5</f>
        <v>112521.40195004352</v>
      </c>
      <c r="AI79" s="11">
        <f>Commercial!AI79*Commercial!$B$5</f>
        <v>112521.40195004352</v>
      </c>
      <c r="AJ79" s="11">
        <f>Commercial!AJ79*Commercial!$B$5</f>
        <v>112521.40195004352</v>
      </c>
      <c r="AK79" s="11">
        <f>Commercial!AK79*Commercial!$B$5</f>
        <v>112521.40195004352</v>
      </c>
      <c r="AL79" s="11">
        <f>Commercial!AL79*Commercial!$B$5</f>
        <v>112521.40195004352</v>
      </c>
      <c r="AM79" s="11">
        <f>Commercial!AM79*Commercial!$B$5</f>
        <v>112521.40195004352</v>
      </c>
      <c r="AN79" s="11">
        <f>Commercial!AN79*Commercial!$B$5</f>
        <v>112521.40195004352</v>
      </c>
    </row>
    <row r="80" spans="1:40" x14ac:dyDescent="0.2">
      <c r="A80" s="6" t="s">
        <v>43</v>
      </c>
      <c r="B80" s="11">
        <f>Commercial!B80*Commercial!$B$5</f>
        <v>6767.6886961040746</v>
      </c>
      <c r="C80" s="11">
        <f>Commercial!C80*Commercial!$B$5</f>
        <v>6790.830418392984</v>
      </c>
      <c r="D80" s="11">
        <f>Commercial!D80*Commercial!$B$5</f>
        <v>6813.9721406818935</v>
      </c>
      <c r="E80" s="11">
        <f>Commercial!E80*Commercial!$B$5</f>
        <v>6837.1138629708021</v>
      </c>
      <c r="F80" s="11">
        <f>Commercial!F80*Commercial!$B$5</f>
        <v>6899.0176469743355</v>
      </c>
      <c r="G80" s="11">
        <f>Commercial!G80*Commercial!$B$5</f>
        <v>6960.9214309778663</v>
      </c>
      <c r="H80" s="11">
        <f>Commercial!H80*Commercial!$B$5</f>
        <v>7022.8252149814007</v>
      </c>
      <c r="I80" s="11">
        <f>Commercial!I80*Commercial!$B$5</f>
        <v>7084.7289989849351</v>
      </c>
      <c r="J80" s="11">
        <f>Commercial!J80*Commercial!$B$5</f>
        <v>7146.6327829884685</v>
      </c>
      <c r="K80" s="11">
        <f>Commercial!K80*Commercial!$B$5</f>
        <v>7198.6271770953654</v>
      </c>
      <c r="L80" s="11">
        <f>Commercial!L80*Commercial!$B$5</f>
        <v>7250.6215712022649</v>
      </c>
      <c r="M80" s="11">
        <f>Commercial!M80*Commercial!$B$5</f>
        <v>7302.6159653091618</v>
      </c>
      <c r="N80" s="11">
        <f>Commercial!N80*Commercial!$B$5</f>
        <v>7354.6103594160586</v>
      </c>
      <c r="O80" s="11">
        <f>Commercial!O80*Commercial!$B$5</f>
        <v>7406.6047535229591</v>
      </c>
      <c r="P80" s="11">
        <f>Commercial!P80*Commercial!$B$5</f>
        <v>7448.5752017169425</v>
      </c>
      <c r="Q80" s="11">
        <f>Commercial!Q80*Commercial!$B$5</f>
        <v>7490.5456499109241</v>
      </c>
      <c r="R80" s="11">
        <f>Commercial!R80*Commercial!$B$5</f>
        <v>7532.5160981049085</v>
      </c>
      <c r="S80" s="11">
        <f>Commercial!S80*Commercial!$B$5</f>
        <v>7574.4865462988919</v>
      </c>
      <c r="T80" s="11">
        <f>Commercial!T80*Commercial!$B$5</f>
        <v>7616.4569944928771</v>
      </c>
      <c r="U80" s="11">
        <f>Commercial!U80*Commercial!$B$5</f>
        <v>7648.6235287452291</v>
      </c>
      <c r="V80" s="11">
        <f>Commercial!V80*Commercial!$B$5</f>
        <v>7680.7900629975857</v>
      </c>
      <c r="W80" s="11">
        <f>Commercial!W80*Commercial!$B$5</f>
        <v>7712.9565972499386</v>
      </c>
      <c r="X80" s="11">
        <f>Commercial!X80*Commercial!$B$5</f>
        <v>7745.1231315022942</v>
      </c>
      <c r="Y80" s="11">
        <f>Commercial!Y80*Commercial!$B$5</f>
        <v>7777.2896657546489</v>
      </c>
      <c r="Z80" s="11">
        <f>Commercial!Z80*Commercial!$B$5</f>
        <v>7800.0496982606664</v>
      </c>
      <c r="AA80" s="11">
        <f>Commercial!AA80*Commercial!$B$5</f>
        <v>7822.8097307666858</v>
      </c>
      <c r="AB80" s="11">
        <f>Commercial!AB80*Commercial!$B$5</f>
        <v>7845.5697632727042</v>
      </c>
      <c r="AC80" s="11">
        <f>Commercial!AC80*Commercial!$B$5</f>
        <v>7868.3297957787217</v>
      </c>
      <c r="AD80" s="11">
        <f>Commercial!AD80*Commercial!$B$5</f>
        <v>7891.0898282847411</v>
      </c>
      <c r="AE80" s="11">
        <f>Commercial!AE80*Commercial!$B$5</f>
        <v>7891.0898282847411</v>
      </c>
      <c r="AF80" s="11">
        <f>Commercial!AF80*Commercial!$B$5</f>
        <v>7891.0898282847411</v>
      </c>
      <c r="AG80" s="11">
        <f>Commercial!AG80*Commercial!$B$5</f>
        <v>7891.0898282847411</v>
      </c>
      <c r="AH80" s="11">
        <f>Commercial!AH80*Commercial!$B$5</f>
        <v>7891.0898282847411</v>
      </c>
      <c r="AI80" s="11">
        <f>Commercial!AI80*Commercial!$B$5</f>
        <v>7891.0898282847411</v>
      </c>
      <c r="AJ80" s="11">
        <f>Commercial!AJ80*Commercial!$B$5</f>
        <v>7891.0898282847411</v>
      </c>
      <c r="AK80" s="11">
        <f>Commercial!AK80*Commercial!$B$5</f>
        <v>7891.0898282847411</v>
      </c>
      <c r="AL80" s="11">
        <f>Commercial!AL80*Commercial!$B$5</f>
        <v>7891.0898282847411</v>
      </c>
      <c r="AM80" s="11">
        <f>Commercial!AM80*Commercial!$B$5</f>
        <v>7891.0898282847411</v>
      </c>
      <c r="AN80" s="11">
        <f>Commercial!AN80*Commercial!$B$5</f>
        <v>7891.0898282847411</v>
      </c>
    </row>
    <row r="81" spans="1:40" x14ac:dyDescent="0.2">
      <c r="A81" s="6" t="s">
        <v>8</v>
      </c>
      <c r="B81" s="11">
        <f>Commercial!B81*Commercial!$B$5</f>
        <v>5175.8736849001398</v>
      </c>
      <c r="C81" s="11">
        <f>Commercial!C81*Commercial!$B$5</f>
        <v>5193.5722873029645</v>
      </c>
      <c r="D81" s="11">
        <f>Commercial!D81*Commercial!$B$5</f>
        <v>5211.2708897057873</v>
      </c>
      <c r="E81" s="11">
        <f>Commercial!E81*Commercial!$B$5</f>
        <v>5228.9694921086111</v>
      </c>
      <c r="F81" s="11">
        <f>Commercial!F81*Commercial!$B$5</f>
        <v>5276.3130064171337</v>
      </c>
      <c r="G81" s="11">
        <f>Commercial!G81*Commercial!$B$5</f>
        <v>5323.6565207256544</v>
      </c>
      <c r="H81" s="11">
        <f>Commercial!H81*Commercial!$B$5</f>
        <v>5371.0000350341779</v>
      </c>
      <c r="I81" s="11">
        <f>Commercial!I81*Commercial!$B$5</f>
        <v>5418.3435493427005</v>
      </c>
      <c r="J81" s="11">
        <f>Commercial!J81*Commercial!$B$5</f>
        <v>5465.6870636512231</v>
      </c>
      <c r="K81" s="11">
        <f>Commercial!K81*Commercial!$B$5</f>
        <v>5505.4519565570008</v>
      </c>
      <c r="L81" s="11">
        <f>Commercial!L81*Commercial!$B$5</f>
        <v>5545.2168494627804</v>
      </c>
      <c r="M81" s="11">
        <f>Commercial!M81*Commercial!$B$5</f>
        <v>5584.9817423685563</v>
      </c>
      <c r="N81" s="11">
        <f>Commercial!N81*Commercial!$B$5</f>
        <v>5624.746635274334</v>
      </c>
      <c r="O81" s="11">
        <f>Commercial!O81*Commercial!$B$5</f>
        <v>5664.5115281801118</v>
      </c>
      <c r="P81" s="11">
        <f>Commercial!P81*Commercial!$B$5</f>
        <v>5696.6101881666091</v>
      </c>
      <c r="Q81" s="11">
        <f>Commercial!Q81*Commercial!$B$5</f>
        <v>5728.7088481531064</v>
      </c>
      <c r="R81" s="11">
        <f>Commercial!R81*Commercial!$B$5</f>
        <v>5760.8075081396019</v>
      </c>
      <c r="S81" s="11">
        <f>Commercial!S81*Commercial!$B$5</f>
        <v>5792.9061681261001</v>
      </c>
      <c r="T81" s="11">
        <f>Commercial!T81*Commercial!$B$5</f>
        <v>5825.0048281125983</v>
      </c>
      <c r="U81" s="11">
        <f>Commercial!U81*Commercial!$B$5</f>
        <v>5849.6055338553188</v>
      </c>
      <c r="V81" s="11">
        <f>Commercial!V81*Commercial!$B$5</f>
        <v>5874.206239598042</v>
      </c>
      <c r="W81" s="11">
        <f>Commercial!W81*Commercial!$B$5</f>
        <v>5898.8069453407616</v>
      </c>
      <c r="X81" s="11">
        <f>Commercial!X81*Commercial!$B$5</f>
        <v>5923.407651083483</v>
      </c>
      <c r="Y81" s="11">
        <f>Commercial!Y81*Commercial!$B$5</f>
        <v>5948.0083568262053</v>
      </c>
      <c r="Z81" s="11">
        <f>Commercial!Z81*Commercial!$B$5</f>
        <v>5965.4150459641369</v>
      </c>
      <c r="AA81" s="11">
        <f>Commercial!AA81*Commercial!$B$5</f>
        <v>5982.8217351020676</v>
      </c>
      <c r="AB81" s="11">
        <f>Commercial!AB81*Commercial!$B$5</f>
        <v>6000.2284242399992</v>
      </c>
      <c r="AC81" s="11">
        <f>Commercial!AC81*Commercial!$B$5</f>
        <v>6017.635113377929</v>
      </c>
      <c r="AD81" s="11">
        <f>Commercial!AD81*Commercial!$B$5</f>
        <v>6035.0418025158615</v>
      </c>
      <c r="AE81" s="11">
        <f>Commercial!AE81*Commercial!$B$5</f>
        <v>6035.0418025158615</v>
      </c>
      <c r="AF81" s="11">
        <f>Commercial!AF81*Commercial!$B$5</f>
        <v>6035.0418025158615</v>
      </c>
      <c r="AG81" s="11">
        <f>Commercial!AG81*Commercial!$B$5</f>
        <v>6035.0418025158615</v>
      </c>
      <c r="AH81" s="11">
        <f>Commercial!AH81*Commercial!$B$5</f>
        <v>6035.0418025158615</v>
      </c>
      <c r="AI81" s="11">
        <f>Commercial!AI81*Commercial!$B$5</f>
        <v>6035.0418025158615</v>
      </c>
      <c r="AJ81" s="11">
        <f>Commercial!AJ81*Commercial!$B$5</f>
        <v>6035.0418025158615</v>
      </c>
      <c r="AK81" s="11">
        <f>Commercial!AK81*Commercial!$B$5</f>
        <v>6035.0418025158615</v>
      </c>
      <c r="AL81" s="11">
        <f>Commercial!AL81*Commercial!$B$5</f>
        <v>6035.0418025158615</v>
      </c>
      <c r="AM81" s="11">
        <f>Commercial!AM81*Commercial!$B$5</f>
        <v>6035.0418025158615</v>
      </c>
      <c r="AN81" s="11">
        <f>Commercial!AN81*Commercial!$B$5</f>
        <v>6035.0418025158615</v>
      </c>
    </row>
    <row r="82" spans="1:40" x14ac:dyDescent="0.2">
      <c r="A82" s="6" t="s">
        <v>9</v>
      </c>
      <c r="B82" s="11">
        <f>Commercial!B82*Commercial!$B$5</f>
        <v>53061.389567524959</v>
      </c>
      <c r="C82" s="11">
        <f>Commercial!C82*Commercial!$B$5</f>
        <v>53242.82993760908</v>
      </c>
      <c r="D82" s="11">
        <f>Commercial!D82*Commercial!$B$5</f>
        <v>53424.270307693208</v>
      </c>
      <c r="E82" s="11">
        <f>Commercial!E82*Commercial!$B$5</f>
        <v>53605.71067777733</v>
      </c>
      <c r="F82" s="11">
        <f>Commercial!F82*Commercial!$B$5</f>
        <v>54091.061134367672</v>
      </c>
      <c r="G82" s="11">
        <f>Commercial!G82*Commercial!$B$5</f>
        <v>54576.411590958</v>
      </c>
      <c r="H82" s="11">
        <f>Commercial!H82*Commercial!$B$5</f>
        <v>55061.762047548349</v>
      </c>
      <c r="I82" s="11">
        <f>Commercial!I82*Commercial!$B$5</f>
        <v>55547.112504138691</v>
      </c>
      <c r="J82" s="11">
        <f>Commercial!J82*Commercial!$B$5</f>
        <v>56032.462960729026</v>
      </c>
      <c r="K82" s="11">
        <f>Commercial!K82*Commercial!$B$5</f>
        <v>56440.119832213342</v>
      </c>
      <c r="L82" s="11">
        <f>Commercial!L82*Commercial!$B$5</f>
        <v>56847.776703697658</v>
      </c>
      <c r="M82" s="11">
        <f>Commercial!M82*Commercial!$B$5</f>
        <v>57255.433575181967</v>
      </c>
      <c r="N82" s="11">
        <f>Commercial!N82*Commercial!$B$5</f>
        <v>57663.090446666283</v>
      </c>
      <c r="O82" s="11">
        <f>Commercial!O82*Commercial!$B$5</f>
        <v>58070.747318150607</v>
      </c>
      <c r="P82" s="11">
        <f>Commercial!P82*Commercial!$B$5</f>
        <v>58399.812439486137</v>
      </c>
      <c r="Q82" s="11">
        <f>Commercial!Q82*Commercial!$B$5</f>
        <v>58728.877560821653</v>
      </c>
      <c r="R82" s="11">
        <f>Commercial!R82*Commercial!$B$5</f>
        <v>59057.942682157191</v>
      </c>
      <c r="S82" s="11">
        <f>Commercial!S82*Commercial!$B$5</f>
        <v>59387.007803492721</v>
      </c>
      <c r="T82" s="11">
        <f>Commercial!T82*Commercial!$B$5</f>
        <v>59716.072924828259</v>
      </c>
      <c r="U82" s="11">
        <f>Commercial!U82*Commercial!$B$5</f>
        <v>59968.271434783921</v>
      </c>
      <c r="V82" s="11">
        <f>Commercial!V82*Commercial!$B$5</f>
        <v>60220.469944739612</v>
      </c>
      <c r="W82" s="11">
        <f>Commercial!W82*Commercial!$B$5</f>
        <v>60472.668454695267</v>
      </c>
      <c r="X82" s="11">
        <f>Commercial!X82*Commercial!$B$5</f>
        <v>60724.866964650959</v>
      </c>
      <c r="Y82" s="11">
        <f>Commercial!Y82*Commercial!$B$5</f>
        <v>60977.065474606636</v>
      </c>
      <c r="Z82" s="11">
        <f>Commercial!Z82*Commercial!$B$5</f>
        <v>61155.513243941321</v>
      </c>
      <c r="AA82" s="11">
        <f>Commercial!AA82*Commercial!$B$5</f>
        <v>61333.961013276014</v>
      </c>
      <c r="AB82" s="11">
        <f>Commercial!AB82*Commercial!$B$5</f>
        <v>61512.408782610706</v>
      </c>
      <c r="AC82" s="11">
        <f>Commercial!AC82*Commercial!$B$5</f>
        <v>61690.856551945391</v>
      </c>
      <c r="AD82" s="11">
        <f>Commercial!AD82*Commercial!$B$5</f>
        <v>61869.304321280091</v>
      </c>
      <c r="AE82" s="11">
        <f>Commercial!AE82*Commercial!$B$5</f>
        <v>61869.304321280091</v>
      </c>
      <c r="AF82" s="11">
        <f>Commercial!AF82*Commercial!$B$5</f>
        <v>61869.304321280091</v>
      </c>
      <c r="AG82" s="11">
        <f>Commercial!AG82*Commercial!$B$5</f>
        <v>61869.304321280091</v>
      </c>
      <c r="AH82" s="11">
        <f>Commercial!AH82*Commercial!$B$5</f>
        <v>61869.304321280091</v>
      </c>
      <c r="AI82" s="11">
        <f>Commercial!AI82*Commercial!$B$5</f>
        <v>61869.304321280091</v>
      </c>
      <c r="AJ82" s="11">
        <f>Commercial!AJ82*Commercial!$B$5</f>
        <v>61869.304321280091</v>
      </c>
      <c r="AK82" s="11">
        <f>Commercial!AK82*Commercial!$B$5</f>
        <v>61869.304321280091</v>
      </c>
      <c r="AL82" s="11">
        <f>Commercial!AL82*Commercial!$B$5</f>
        <v>61869.304321280091</v>
      </c>
      <c r="AM82" s="11">
        <f>Commercial!AM82*Commercial!$B$5</f>
        <v>61869.304321280091</v>
      </c>
      <c r="AN82" s="11">
        <f>Commercial!AN82*Commercial!$B$5</f>
        <v>61869.304321280091</v>
      </c>
    </row>
    <row r="83" spans="1:40" x14ac:dyDescent="0.2">
      <c r="A83" s="6" t="s">
        <v>10</v>
      </c>
      <c r="B83" s="11">
        <f>Commercial!B83*Commercial!$B$5</f>
        <v>46.086082307208905</v>
      </c>
      <c r="C83" s="11">
        <f>Commercial!C83*Commercial!$B$5</f>
        <v>46.243671015263864</v>
      </c>
      <c r="D83" s="11">
        <f>Commercial!D83*Commercial!$B$5</f>
        <v>46.40125972331883</v>
      </c>
      <c r="E83" s="11">
        <f>Commercial!E83*Commercial!$B$5</f>
        <v>46.558848431373796</v>
      </c>
      <c r="F83" s="11">
        <f>Commercial!F83*Commercial!$B$5</f>
        <v>46.980396025068053</v>
      </c>
      <c r="G83" s="11">
        <f>Commercial!G83*Commercial!$B$5</f>
        <v>47.401943618762303</v>
      </c>
      <c r="H83" s="11">
        <f>Commercial!H83*Commercial!$B$5</f>
        <v>47.82349121245656</v>
      </c>
      <c r="I83" s="11">
        <f>Commercial!I83*Commercial!$B$5</f>
        <v>48.245038806150831</v>
      </c>
      <c r="J83" s="11">
        <f>Commercial!J83*Commercial!$B$5</f>
        <v>48.666586399845087</v>
      </c>
      <c r="K83" s="11">
        <f>Commercial!K83*Commercial!$B$5</f>
        <v>49.020653797729892</v>
      </c>
      <c r="L83" s="11">
        <f>Commercial!L83*Commercial!$B$5</f>
        <v>49.374721195614704</v>
      </c>
      <c r="M83" s="11">
        <f>Commercial!M83*Commercial!$B$5</f>
        <v>49.728788593499495</v>
      </c>
      <c r="N83" s="11">
        <f>Commercial!N83*Commercial!$B$5</f>
        <v>50.082855991384299</v>
      </c>
      <c r="O83" s="11">
        <f>Commercial!O83*Commercial!$B$5</f>
        <v>50.436923389269111</v>
      </c>
      <c r="P83" s="11">
        <f>Commercial!P83*Commercial!$B$5</f>
        <v>50.722730496657462</v>
      </c>
      <c r="Q83" s="11">
        <f>Commercial!Q83*Commercial!$B$5</f>
        <v>51.008537604045813</v>
      </c>
      <c r="R83" s="11">
        <f>Commercial!R83*Commercial!$B$5</f>
        <v>51.294344711434171</v>
      </c>
      <c r="S83" s="11">
        <f>Commercial!S83*Commercial!$B$5</f>
        <v>51.580151818822522</v>
      </c>
      <c r="T83" s="11">
        <f>Commercial!T83*Commercial!$B$5</f>
        <v>51.86595892621088</v>
      </c>
      <c r="U83" s="11">
        <f>Commercial!U83*Commercial!$B$5</f>
        <v>52.085004099778786</v>
      </c>
      <c r="V83" s="11">
        <f>Commercial!V83*Commercial!$B$5</f>
        <v>52.304049273346699</v>
      </c>
      <c r="W83" s="11">
        <f>Commercial!W83*Commercial!$B$5</f>
        <v>52.523094446914591</v>
      </c>
      <c r="X83" s="11">
        <f>Commercial!X83*Commercial!$B$5</f>
        <v>52.742139620482497</v>
      </c>
      <c r="Y83" s="11">
        <f>Commercial!Y83*Commercial!$B$5</f>
        <v>52.961184794050403</v>
      </c>
      <c r="Z83" s="11">
        <f>Commercial!Z83*Commercial!$B$5</f>
        <v>53.116174300584731</v>
      </c>
      <c r="AA83" s="11">
        <f>Commercial!AA83*Commercial!$B$5</f>
        <v>53.271163807119059</v>
      </c>
      <c r="AB83" s="11">
        <f>Commercial!AB83*Commercial!$B$5</f>
        <v>53.426153313653394</v>
      </c>
      <c r="AC83" s="11">
        <f>Commercial!AC83*Commercial!$B$5</f>
        <v>53.581142820187708</v>
      </c>
      <c r="AD83" s="11">
        <f>Commercial!AD83*Commercial!$B$5</f>
        <v>53.736132326722043</v>
      </c>
      <c r="AE83" s="11">
        <f>Commercial!AE83*Commercial!$B$5</f>
        <v>53.736132326722043</v>
      </c>
      <c r="AF83" s="11">
        <f>Commercial!AF83*Commercial!$B$5</f>
        <v>53.736132326722043</v>
      </c>
      <c r="AG83" s="11">
        <f>Commercial!AG83*Commercial!$B$5</f>
        <v>53.736132326722043</v>
      </c>
      <c r="AH83" s="11">
        <f>Commercial!AH83*Commercial!$B$5</f>
        <v>53.736132326722043</v>
      </c>
      <c r="AI83" s="11">
        <f>Commercial!AI83*Commercial!$B$5</f>
        <v>53.736132326722043</v>
      </c>
      <c r="AJ83" s="11">
        <f>Commercial!AJ83*Commercial!$B$5</f>
        <v>53.736132326722043</v>
      </c>
      <c r="AK83" s="11">
        <f>Commercial!AK83*Commercial!$B$5</f>
        <v>53.736132326722043</v>
      </c>
      <c r="AL83" s="11">
        <f>Commercial!AL83*Commercial!$B$5</f>
        <v>53.736132326722043</v>
      </c>
      <c r="AM83" s="11">
        <f>Commercial!AM83*Commercial!$B$5</f>
        <v>53.736132326722043</v>
      </c>
      <c r="AN83" s="11">
        <f>Commercial!AN83*Commercial!$B$5</f>
        <v>53.736132326722043</v>
      </c>
    </row>
    <row r="84" spans="1:40" x14ac:dyDescent="0.2">
      <c r="A84" s="6" t="s">
        <v>44</v>
      </c>
      <c r="B84" s="11">
        <f>Commercial!B84*Commercial!$B$5</f>
        <v>84149.875013724013</v>
      </c>
      <c r="C84" s="11">
        <f>Commercial!C84*Commercial!$B$5</f>
        <v>84437.620671903453</v>
      </c>
      <c r="D84" s="11">
        <f>Commercial!D84*Commercial!$B$5</f>
        <v>84725.366330082878</v>
      </c>
      <c r="E84" s="11">
        <f>Commercial!E84*Commercial!$B$5</f>
        <v>85013.111988262302</v>
      </c>
      <c r="F84" s="11">
        <f>Commercial!F84*Commercial!$B$5</f>
        <v>85782.827606206236</v>
      </c>
      <c r="G84" s="11">
        <f>Commercial!G84*Commercial!$B$5</f>
        <v>86552.543224150155</v>
      </c>
      <c r="H84" s="11">
        <f>Commercial!H84*Commercial!$B$5</f>
        <v>87322.258842094088</v>
      </c>
      <c r="I84" s="11">
        <f>Commercial!I84*Commercial!$B$5</f>
        <v>88091.974460038022</v>
      </c>
      <c r="J84" s="11">
        <f>Commercial!J84*Commercial!$B$5</f>
        <v>88861.690077981941</v>
      </c>
      <c r="K84" s="11">
        <f>Commercial!K84*Commercial!$B$5</f>
        <v>89508.191706821424</v>
      </c>
      <c r="L84" s="11">
        <f>Commercial!L84*Commercial!$B$5</f>
        <v>90154.693335660908</v>
      </c>
      <c r="M84" s="11">
        <f>Commercial!M84*Commercial!$B$5</f>
        <v>90801.194964500362</v>
      </c>
      <c r="N84" s="11">
        <f>Commercial!N84*Commercial!$B$5</f>
        <v>91447.696593339846</v>
      </c>
      <c r="O84" s="11">
        <f>Commercial!O84*Commercial!$B$5</f>
        <v>92094.19822217933</v>
      </c>
      <c r="P84" s="11">
        <f>Commercial!P84*Commercial!$B$5</f>
        <v>92616.061465065606</v>
      </c>
      <c r="Q84" s="11">
        <f>Commercial!Q84*Commercial!$B$5</f>
        <v>93137.924707951883</v>
      </c>
      <c r="R84" s="11">
        <f>Commercial!R84*Commercial!$B$5</f>
        <v>93659.787950838159</v>
      </c>
      <c r="S84" s="11">
        <f>Commercial!S84*Commercial!$B$5</f>
        <v>94181.65119372445</v>
      </c>
      <c r="T84" s="11">
        <f>Commercial!T84*Commercial!$B$5</f>
        <v>94703.514436610727</v>
      </c>
      <c r="U84" s="11">
        <f>Commercial!U84*Commercial!$B$5</f>
        <v>95103.475185177449</v>
      </c>
      <c r="V84" s="11">
        <f>Commercial!V84*Commercial!$B$5</f>
        <v>95503.435933744186</v>
      </c>
      <c r="W84" s="11">
        <f>Commercial!W84*Commercial!$B$5</f>
        <v>95903.396682310864</v>
      </c>
      <c r="X84" s="11">
        <f>Commercial!X84*Commercial!$B$5</f>
        <v>96303.357430877615</v>
      </c>
      <c r="Y84" s="11">
        <f>Commercial!Y84*Commercial!$B$5</f>
        <v>96703.318179444323</v>
      </c>
      <c r="Z84" s="11">
        <f>Commercial!Z84*Commercial!$B$5</f>
        <v>96986.317882399395</v>
      </c>
      <c r="AA84" s="11">
        <f>Commercial!AA84*Commercial!$B$5</f>
        <v>97269.317585354423</v>
      </c>
      <c r="AB84" s="11">
        <f>Commercial!AB84*Commercial!$B$5</f>
        <v>97552.317288309496</v>
      </c>
      <c r="AC84" s="11">
        <f>Commercial!AC84*Commercial!$B$5</f>
        <v>97835.316991264554</v>
      </c>
      <c r="AD84" s="11">
        <f>Commercial!AD84*Commercial!$B$5</f>
        <v>98118.316694219611</v>
      </c>
      <c r="AE84" s="11">
        <f>Commercial!AE84*Commercial!$B$5</f>
        <v>98118.316694219611</v>
      </c>
      <c r="AF84" s="11">
        <f>Commercial!AF84*Commercial!$B$5</f>
        <v>98118.316694219611</v>
      </c>
      <c r="AG84" s="11">
        <f>Commercial!AG84*Commercial!$B$5</f>
        <v>98118.316694219611</v>
      </c>
      <c r="AH84" s="11">
        <f>Commercial!AH84*Commercial!$B$5</f>
        <v>98118.316694219611</v>
      </c>
      <c r="AI84" s="11">
        <f>Commercial!AI84*Commercial!$B$5</f>
        <v>98118.316694219611</v>
      </c>
      <c r="AJ84" s="11">
        <f>Commercial!AJ84*Commercial!$B$5</f>
        <v>98118.316694219611</v>
      </c>
      <c r="AK84" s="11">
        <f>Commercial!AK84*Commercial!$B$5</f>
        <v>98118.316694219611</v>
      </c>
      <c r="AL84" s="11">
        <f>Commercial!AL84*Commercial!$B$5</f>
        <v>98118.316694219611</v>
      </c>
      <c r="AM84" s="11">
        <f>Commercial!AM84*Commercial!$B$5</f>
        <v>98118.316694219611</v>
      </c>
      <c r="AN84" s="11">
        <f>Commercial!AN84*Commercial!$B$5</f>
        <v>98118.316694219611</v>
      </c>
    </row>
    <row r="86" spans="1:40" x14ac:dyDescent="0.2">
      <c r="A86" s="5" t="s">
        <v>66</v>
      </c>
    </row>
    <row r="87" spans="1:40" x14ac:dyDescent="0.2">
      <c r="A87" s="5" t="s">
        <v>4</v>
      </c>
    </row>
    <row r="88" spans="1:40" x14ac:dyDescent="0.2">
      <c r="A88" s="5" t="s">
        <v>56</v>
      </c>
    </row>
    <row r="89" spans="1:40" x14ac:dyDescent="0.2">
      <c r="A89" s="5" t="s">
        <v>6</v>
      </c>
    </row>
    <row r="90" spans="1:40" x14ac:dyDescent="0.2">
      <c r="A90" s="5"/>
    </row>
    <row r="91" spans="1:40" x14ac:dyDescent="0.2">
      <c r="A91" s="6" t="s">
        <v>7</v>
      </c>
      <c r="B91" s="6">
        <v>2022</v>
      </c>
      <c r="C91" s="6">
        <v>2023</v>
      </c>
      <c r="D91" s="6">
        <v>2024</v>
      </c>
      <c r="E91" s="6">
        <v>2025</v>
      </c>
      <c r="F91" s="6">
        <v>2026</v>
      </c>
      <c r="G91" s="6">
        <v>2027</v>
      </c>
      <c r="H91" s="6">
        <v>2028</v>
      </c>
      <c r="I91" s="6">
        <v>2029</v>
      </c>
      <c r="J91" s="6">
        <v>2030</v>
      </c>
      <c r="K91" s="6">
        <v>2031</v>
      </c>
      <c r="L91" s="6">
        <v>2032</v>
      </c>
      <c r="M91" s="6">
        <v>2033</v>
      </c>
      <c r="N91" s="6">
        <v>2034</v>
      </c>
      <c r="O91" s="6">
        <v>2035</v>
      </c>
      <c r="P91" s="6">
        <v>2036</v>
      </c>
      <c r="Q91" s="6">
        <v>2037</v>
      </c>
      <c r="R91" s="6">
        <v>2038</v>
      </c>
      <c r="S91" s="6">
        <v>2039</v>
      </c>
      <c r="T91" s="6">
        <v>2040</v>
      </c>
      <c r="U91" s="6">
        <v>2041</v>
      </c>
      <c r="V91" s="6">
        <v>2042</v>
      </c>
      <c r="W91" s="6">
        <v>2043</v>
      </c>
      <c r="X91" s="6">
        <v>2044</v>
      </c>
      <c r="Y91" s="6">
        <v>2045</v>
      </c>
      <c r="Z91" s="6">
        <v>2046</v>
      </c>
      <c r="AA91" s="6">
        <v>2047</v>
      </c>
      <c r="AB91" s="6">
        <v>2048</v>
      </c>
      <c r="AC91" s="6">
        <v>2049</v>
      </c>
      <c r="AD91" s="6">
        <v>2050</v>
      </c>
      <c r="AE91" s="6">
        <v>2051</v>
      </c>
      <c r="AF91" s="6">
        <v>2052</v>
      </c>
      <c r="AG91" s="6">
        <v>2053</v>
      </c>
      <c r="AH91" s="6">
        <v>2054</v>
      </c>
      <c r="AI91" s="6">
        <v>2055</v>
      </c>
      <c r="AJ91" s="6">
        <v>2056</v>
      </c>
      <c r="AK91" s="6">
        <v>2057</v>
      </c>
      <c r="AL91" s="6">
        <v>2058</v>
      </c>
      <c r="AM91" s="6">
        <v>2059</v>
      </c>
      <c r="AN91" s="6">
        <v>2060</v>
      </c>
    </row>
    <row r="92" spans="1:40" x14ac:dyDescent="0.2">
      <c r="A92" s="6" t="s">
        <v>40</v>
      </c>
      <c r="B92" s="11">
        <f>Commercial!B92*Commercial!$B$5</f>
        <v>1031261.1174344561</v>
      </c>
      <c r="C92" s="11">
        <f>Commercial!C92*Commercial!$B$5</f>
        <v>1034787.4555180556</v>
      </c>
      <c r="D92" s="11">
        <f>Commercial!D92*Commercial!$B$5</f>
        <v>1038313.7936016549</v>
      </c>
      <c r="E92" s="11">
        <f>Commercial!E92*Commercial!$B$5</f>
        <v>1041840.1316852546</v>
      </c>
      <c r="F92" s="11">
        <f>Commercial!F92*Commercial!$B$5</f>
        <v>1051273.0368219304</v>
      </c>
      <c r="G92" s="11">
        <f>Commercial!G92*Commercial!$B$5</f>
        <v>1060705.9419586067</v>
      </c>
      <c r="H92" s="11">
        <f>Commercial!H92*Commercial!$B$5</f>
        <v>1070138.847095283</v>
      </c>
      <c r="I92" s="11">
        <f>Commercial!I92*Commercial!$B$5</f>
        <v>1079571.752231959</v>
      </c>
      <c r="J92" s="11">
        <f>Commercial!J92*Commercial!$B$5</f>
        <v>1089004.6573686351</v>
      </c>
      <c r="K92" s="11">
        <f>Commercial!K92*Commercial!$B$5</f>
        <v>1096927.5686275223</v>
      </c>
      <c r="L92" s="11">
        <f>Commercial!L92*Commercial!$B$5</f>
        <v>1104850.4798864096</v>
      </c>
      <c r="M92" s="11">
        <f>Commercial!M92*Commercial!$B$5</f>
        <v>1112773.3911452966</v>
      </c>
      <c r="N92" s="11">
        <f>Commercial!N92*Commercial!$B$5</f>
        <v>1120696.3024041841</v>
      </c>
      <c r="O92" s="11">
        <f>Commercial!O92*Commercial!$B$5</f>
        <v>1128619.2136630712</v>
      </c>
      <c r="P92" s="11">
        <f>Commercial!P92*Commercial!$B$5</f>
        <v>1135014.6749863247</v>
      </c>
      <c r="Q92" s="11">
        <f>Commercial!Q92*Commercial!$B$5</f>
        <v>1141410.1363095781</v>
      </c>
      <c r="R92" s="11">
        <f>Commercial!R92*Commercial!$B$5</f>
        <v>1147805.5976328314</v>
      </c>
      <c r="S92" s="11">
        <f>Commercial!S92*Commercial!$B$5</f>
        <v>1154201.0589560848</v>
      </c>
      <c r="T92" s="11">
        <f>Commercial!T92*Commercial!$B$5</f>
        <v>1160596.5202793381</v>
      </c>
      <c r="U92" s="11">
        <f>Commercial!U92*Commercial!$B$5</f>
        <v>1165498.0601619529</v>
      </c>
      <c r="V92" s="11">
        <f>Commercial!V92*Commercial!$B$5</f>
        <v>1170399.6000445681</v>
      </c>
      <c r="W92" s="11">
        <f>Commercial!W92*Commercial!$B$5</f>
        <v>1175301.139927183</v>
      </c>
      <c r="X92" s="11">
        <f>Commercial!X92*Commercial!$B$5</f>
        <v>1180202.6798097985</v>
      </c>
      <c r="Y92" s="11">
        <f>Commercial!Y92*Commercial!$B$5</f>
        <v>1185104.2196924132</v>
      </c>
      <c r="Z92" s="11">
        <f>Commercial!Z92*Commercial!$B$5</f>
        <v>1188572.3958466314</v>
      </c>
      <c r="AA92" s="11">
        <f>Commercial!AA92*Commercial!$B$5</f>
        <v>1192040.5720008498</v>
      </c>
      <c r="AB92" s="11">
        <f>Commercial!AB92*Commercial!$B$5</f>
        <v>1195508.7481550681</v>
      </c>
      <c r="AC92" s="11">
        <f>Commercial!AC92*Commercial!$B$5</f>
        <v>1198976.9243092865</v>
      </c>
      <c r="AD92" s="11">
        <f>Commercial!AD92*Commercial!$B$5</f>
        <v>1202445.1004635049</v>
      </c>
      <c r="AE92" s="11">
        <f>Commercial!AE92*Commercial!$B$5</f>
        <v>1202445.1004635049</v>
      </c>
      <c r="AF92" s="11">
        <f>Commercial!AF92*Commercial!$B$5</f>
        <v>1202445.1004635049</v>
      </c>
      <c r="AG92" s="11">
        <f>Commercial!AG92*Commercial!$B$5</f>
        <v>1202445.1004635049</v>
      </c>
      <c r="AH92" s="11">
        <f>Commercial!AH92*Commercial!$B$5</f>
        <v>1202445.1004635049</v>
      </c>
      <c r="AI92" s="11">
        <f>Commercial!AI92*Commercial!$B$5</f>
        <v>1202445.1004635049</v>
      </c>
      <c r="AJ92" s="11">
        <f>Commercial!AJ92*Commercial!$B$5</f>
        <v>1202445.1004635049</v>
      </c>
      <c r="AK92" s="11">
        <f>Commercial!AK92*Commercial!$B$5</f>
        <v>1202445.1004635049</v>
      </c>
      <c r="AL92" s="11">
        <f>Commercial!AL92*Commercial!$B$5</f>
        <v>1202445.1004635049</v>
      </c>
      <c r="AM92" s="11">
        <f>Commercial!AM92*Commercial!$B$5</f>
        <v>1202445.1004635049</v>
      </c>
      <c r="AN92" s="11">
        <f>Commercial!AN92*Commercial!$B$5</f>
        <v>1202445.1004635049</v>
      </c>
    </row>
    <row r="93" spans="1:40" x14ac:dyDescent="0.2">
      <c r="A93" s="6" t="s">
        <v>41</v>
      </c>
      <c r="B93" s="11">
        <f>Commercial!B93*Commercial!$B$5</f>
        <v>629959.60102099855</v>
      </c>
      <c r="C93" s="11">
        <f>Commercial!C93*Commercial!$B$5</f>
        <v>632113.71164793265</v>
      </c>
      <c r="D93" s="11">
        <f>Commercial!D93*Commercial!$B$5</f>
        <v>634267.82227486675</v>
      </c>
      <c r="E93" s="11">
        <f>Commercial!E93*Commercial!$B$5</f>
        <v>636421.93290180084</v>
      </c>
      <c r="F93" s="11">
        <f>Commercial!F93*Commercial!$B$5</f>
        <v>642184.14875180065</v>
      </c>
      <c r="G93" s="11">
        <f>Commercial!G93*Commercial!$B$5</f>
        <v>647946.36460180057</v>
      </c>
      <c r="H93" s="11">
        <f>Commercial!H93*Commercial!$B$5</f>
        <v>653708.58045180037</v>
      </c>
      <c r="I93" s="11">
        <f>Commercial!I93*Commercial!$B$5</f>
        <v>659470.79630180041</v>
      </c>
      <c r="J93" s="11">
        <f>Commercial!J93*Commercial!$B$5</f>
        <v>665233.0121518001</v>
      </c>
      <c r="K93" s="11">
        <f>Commercial!K93*Commercial!$B$5</f>
        <v>670072.82811227208</v>
      </c>
      <c r="L93" s="11">
        <f>Commercial!L93*Commercial!$B$5</f>
        <v>674912.64407274406</v>
      </c>
      <c r="M93" s="11">
        <f>Commercial!M93*Commercial!$B$5</f>
        <v>679752.46003321605</v>
      </c>
      <c r="N93" s="11">
        <f>Commercial!N93*Commercial!$B$5</f>
        <v>684592.27599368792</v>
      </c>
      <c r="O93" s="11">
        <f>Commercial!O93*Commercial!$B$5</f>
        <v>689432.0919541599</v>
      </c>
      <c r="P93" s="11">
        <f>Commercial!P93*Commercial!$B$5</f>
        <v>693338.84475946776</v>
      </c>
      <c r="Q93" s="11">
        <f>Commercial!Q93*Commercial!$B$5</f>
        <v>697245.59756477561</v>
      </c>
      <c r="R93" s="11">
        <f>Commercial!R93*Commercial!$B$5</f>
        <v>701152.35037008324</v>
      </c>
      <c r="S93" s="11">
        <f>Commercial!S93*Commercial!$B$5</f>
        <v>705059.10317539109</v>
      </c>
      <c r="T93" s="11">
        <f>Commercial!T93*Commercial!$B$5</f>
        <v>708965.85598069883</v>
      </c>
      <c r="U93" s="11">
        <f>Commercial!U93*Commercial!$B$5</f>
        <v>711960.02695896896</v>
      </c>
      <c r="V93" s="11">
        <f>Commercial!V93*Commercial!$B$5</f>
        <v>714954.19793723908</v>
      </c>
      <c r="W93" s="11">
        <f>Commercial!W93*Commercial!$B$5</f>
        <v>717948.36891550908</v>
      </c>
      <c r="X93" s="11">
        <f>Commercial!X93*Commercial!$B$5</f>
        <v>720942.53989377932</v>
      </c>
      <c r="Y93" s="11">
        <f>Commercial!Y93*Commercial!$B$5</f>
        <v>723936.71087204944</v>
      </c>
      <c r="Z93" s="11">
        <f>Commercial!Z93*Commercial!$B$5</f>
        <v>726055.29250908154</v>
      </c>
      <c r="AA93" s="11">
        <f>Commercial!AA93*Commercial!$B$5</f>
        <v>728173.87414611375</v>
      </c>
      <c r="AB93" s="11">
        <f>Commercial!AB93*Commercial!$B$5</f>
        <v>730292.45578314597</v>
      </c>
      <c r="AC93" s="11">
        <f>Commercial!AC93*Commercial!$B$5</f>
        <v>732411.03742017818</v>
      </c>
      <c r="AD93" s="11">
        <f>Commercial!AD93*Commercial!$B$5</f>
        <v>734529.61905721028</v>
      </c>
      <c r="AE93" s="11">
        <f>Commercial!AE93*Commercial!$B$5</f>
        <v>734529.61905721028</v>
      </c>
      <c r="AF93" s="11">
        <f>Commercial!AF93*Commercial!$B$5</f>
        <v>734529.61905721028</v>
      </c>
      <c r="AG93" s="11">
        <f>Commercial!AG93*Commercial!$B$5</f>
        <v>734529.61905721028</v>
      </c>
      <c r="AH93" s="11">
        <f>Commercial!AH93*Commercial!$B$5</f>
        <v>734529.61905721028</v>
      </c>
      <c r="AI93" s="11">
        <f>Commercial!AI93*Commercial!$B$5</f>
        <v>734529.61905721028</v>
      </c>
      <c r="AJ93" s="11">
        <f>Commercial!AJ93*Commercial!$B$5</f>
        <v>734529.61905721028</v>
      </c>
      <c r="AK93" s="11">
        <f>Commercial!AK93*Commercial!$B$5</f>
        <v>734529.61905721028</v>
      </c>
      <c r="AL93" s="11">
        <f>Commercial!AL93*Commercial!$B$5</f>
        <v>734529.61905721028</v>
      </c>
      <c r="AM93" s="11">
        <f>Commercial!AM93*Commercial!$B$5</f>
        <v>734529.61905721028</v>
      </c>
      <c r="AN93" s="11">
        <f>Commercial!AN93*Commercial!$B$5</f>
        <v>734529.61905721028</v>
      </c>
    </row>
    <row r="94" spans="1:40" x14ac:dyDescent="0.2">
      <c r="A94" s="6" t="s">
        <v>42</v>
      </c>
      <c r="B94" s="11">
        <f>Commercial!B94*Commercial!$B$5</f>
        <v>489166.73304591927</v>
      </c>
      <c r="C94" s="11">
        <f>Commercial!C94*Commercial!$B$5</f>
        <v>490839.41055776144</v>
      </c>
      <c r="D94" s="11">
        <f>Commercial!D94*Commercial!$B$5</f>
        <v>492512.08806960343</v>
      </c>
      <c r="E94" s="11">
        <f>Commercial!E94*Commercial!$B$5</f>
        <v>494184.76558144554</v>
      </c>
      <c r="F94" s="11">
        <f>Commercial!F94*Commercial!$B$5</f>
        <v>498659.15457064658</v>
      </c>
      <c r="G94" s="11">
        <f>Commercial!G94*Commercial!$B$5</f>
        <v>503133.54355984775</v>
      </c>
      <c r="H94" s="11">
        <f>Commercial!H94*Commercial!$B$5</f>
        <v>507607.93254904868</v>
      </c>
      <c r="I94" s="11">
        <f>Commercial!I94*Commercial!$B$5</f>
        <v>512082.32153824985</v>
      </c>
      <c r="J94" s="11">
        <f>Commercial!J94*Commercial!$B$5</f>
        <v>516556.71052745095</v>
      </c>
      <c r="K94" s="11">
        <f>Commercial!K94*Commercial!$B$5</f>
        <v>520314.8514591718</v>
      </c>
      <c r="L94" s="11">
        <f>Commercial!L94*Commercial!$B$5</f>
        <v>524072.99239089264</v>
      </c>
      <c r="M94" s="11">
        <f>Commercial!M94*Commercial!$B$5</f>
        <v>527831.13332261355</v>
      </c>
      <c r="N94" s="11">
        <f>Commercial!N94*Commercial!$B$5</f>
        <v>531589.27425433428</v>
      </c>
      <c r="O94" s="11">
        <f>Commercial!O94*Commercial!$B$5</f>
        <v>535347.41518605524</v>
      </c>
      <c r="P94" s="11">
        <f>Commercial!P94*Commercial!$B$5</f>
        <v>538381.02798200771</v>
      </c>
      <c r="Q94" s="11">
        <f>Commercial!Q94*Commercial!$B$5</f>
        <v>541414.64077796019</v>
      </c>
      <c r="R94" s="11">
        <f>Commercial!R94*Commercial!$B$5</f>
        <v>544448.25357391255</v>
      </c>
      <c r="S94" s="11">
        <f>Commercial!S94*Commercial!$B$5</f>
        <v>547481.8663698649</v>
      </c>
      <c r="T94" s="11">
        <f>Commercial!T94*Commercial!$B$5</f>
        <v>550515.47916581738</v>
      </c>
      <c r="U94" s="11">
        <f>Commercial!U94*Commercial!$B$5</f>
        <v>552840.46767817193</v>
      </c>
      <c r="V94" s="11">
        <f>Commercial!V94*Commercial!$B$5</f>
        <v>555165.4561905266</v>
      </c>
      <c r="W94" s="11">
        <f>Commercial!W94*Commercial!$B$5</f>
        <v>557490.44470288104</v>
      </c>
      <c r="X94" s="11">
        <f>Commercial!X94*Commercial!$B$5</f>
        <v>559815.43321523571</v>
      </c>
      <c r="Y94" s="11">
        <f>Commercial!Y94*Commercial!$B$5</f>
        <v>562140.42172759026</v>
      </c>
      <c r="Z94" s="11">
        <f>Commercial!Z94*Commercial!$B$5</f>
        <v>563785.51080377621</v>
      </c>
      <c r="AA94" s="11">
        <f>Commercial!AA94*Commercial!$B$5</f>
        <v>565430.59987996216</v>
      </c>
      <c r="AB94" s="11">
        <f>Commercial!AB94*Commercial!$B$5</f>
        <v>567075.68895614822</v>
      </c>
      <c r="AC94" s="11">
        <f>Commercial!AC94*Commercial!$B$5</f>
        <v>568720.77803233417</v>
      </c>
      <c r="AD94" s="11">
        <f>Commercial!AD94*Commercial!$B$5</f>
        <v>570365.86710852012</v>
      </c>
      <c r="AE94" s="11">
        <f>Commercial!AE94*Commercial!$B$5</f>
        <v>570365.86710852012</v>
      </c>
      <c r="AF94" s="11">
        <f>Commercial!AF94*Commercial!$B$5</f>
        <v>570365.86710852012</v>
      </c>
      <c r="AG94" s="11">
        <f>Commercial!AG94*Commercial!$B$5</f>
        <v>570365.86710852012</v>
      </c>
      <c r="AH94" s="11">
        <f>Commercial!AH94*Commercial!$B$5</f>
        <v>570365.86710852012</v>
      </c>
      <c r="AI94" s="11">
        <f>Commercial!AI94*Commercial!$B$5</f>
        <v>570365.86710852012</v>
      </c>
      <c r="AJ94" s="11">
        <f>Commercial!AJ94*Commercial!$B$5</f>
        <v>570365.86710852012</v>
      </c>
      <c r="AK94" s="11">
        <f>Commercial!AK94*Commercial!$B$5</f>
        <v>570365.86710852012</v>
      </c>
      <c r="AL94" s="11">
        <f>Commercial!AL94*Commercial!$B$5</f>
        <v>570365.86710852012</v>
      </c>
      <c r="AM94" s="11">
        <f>Commercial!AM94*Commercial!$B$5</f>
        <v>570365.86710852012</v>
      </c>
      <c r="AN94" s="11">
        <f>Commercial!AN94*Commercial!$B$5</f>
        <v>570365.86710852012</v>
      </c>
    </row>
    <row r="95" spans="1:40" x14ac:dyDescent="0.2">
      <c r="A95" s="6" t="s">
        <v>43</v>
      </c>
      <c r="B95" s="11">
        <f>Commercial!B95*Commercial!$B$5</f>
        <v>34305.10609397541</v>
      </c>
      <c r="C95" s="11">
        <f>Commercial!C95*Commercial!$B$5</f>
        <v>34422.410431389064</v>
      </c>
      <c r="D95" s="11">
        <f>Commercial!D95*Commercial!$B$5</f>
        <v>34539.714768802703</v>
      </c>
      <c r="E95" s="11">
        <f>Commercial!E95*Commercial!$B$5</f>
        <v>34657.019106216343</v>
      </c>
      <c r="F95" s="11">
        <f>Commercial!F95*Commercial!$B$5</f>
        <v>34970.806570920846</v>
      </c>
      <c r="G95" s="11">
        <f>Commercial!G95*Commercial!$B$5</f>
        <v>35284.594035625341</v>
      </c>
      <c r="H95" s="11">
        <f>Commercial!H95*Commercial!$B$5</f>
        <v>35598.38150032983</v>
      </c>
      <c r="I95" s="11">
        <f>Commercial!I95*Commercial!$B$5</f>
        <v>35912.168965034325</v>
      </c>
      <c r="J95" s="11">
        <f>Commercial!J95*Commercial!$B$5</f>
        <v>36225.956429738806</v>
      </c>
      <c r="K95" s="11">
        <f>Commercial!K95*Commercial!$B$5</f>
        <v>36489.513647900436</v>
      </c>
      <c r="L95" s="11">
        <f>Commercial!L95*Commercial!$B$5</f>
        <v>36753.070866062073</v>
      </c>
      <c r="M95" s="11">
        <f>Commercial!M95*Commercial!$B$5</f>
        <v>37016.628084223703</v>
      </c>
      <c r="N95" s="11">
        <f>Commercial!N95*Commercial!$B$5</f>
        <v>37280.185302385325</v>
      </c>
      <c r="O95" s="11">
        <f>Commercial!O95*Commercial!$B$5</f>
        <v>37543.742520546963</v>
      </c>
      <c r="P95" s="11">
        <f>Commercial!P95*Commercial!$B$5</f>
        <v>37756.488812931122</v>
      </c>
      <c r="Q95" s="11">
        <f>Commercial!Q95*Commercial!$B$5</f>
        <v>37969.235105315282</v>
      </c>
      <c r="R95" s="11">
        <f>Commercial!R95*Commercial!$B$5</f>
        <v>38181.981397699434</v>
      </c>
      <c r="S95" s="11">
        <f>Commercial!S95*Commercial!$B$5</f>
        <v>38394.727690083593</v>
      </c>
      <c r="T95" s="11">
        <f>Commercial!T95*Commercial!$B$5</f>
        <v>38607.473982467745</v>
      </c>
      <c r="U95" s="11">
        <f>Commercial!U95*Commercial!$B$5</f>
        <v>38770.524681126175</v>
      </c>
      <c r="V95" s="11">
        <f>Commercial!V95*Commercial!$B$5</f>
        <v>38933.575379784605</v>
      </c>
      <c r="W95" s="11">
        <f>Commercial!W95*Commercial!$B$5</f>
        <v>39096.62607844302</v>
      </c>
      <c r="X95" s="11">
        <f>Commercial!X95*Commercial!$B$5</f>
        <v>39259.676777101464</v>
      </c>
      <c r="Y95" s="11">
        <f>Commercial!Y95*Commercial!$B$5</f>
        <v>39422.727475759886</v>
      </c>
      <c r="Z95" s="11">
        <f>Commercial!Z95*Commercial!$B$5</f>
        <v>39538.097045029637</v>
      </c>
      <c r="AA95" s="11">
        <f>Commercial!AA95*Commercial!$B$5</f>
        <v>39653.466614299388</v>
      </c>
      <c r="AB95" s="11">
        <f>Commercial!AB95*Commercial!$B$5</f>
        <v>39768.836183569147</v>
      </c>
      <c r="AC95" s="11">
        <f>Commercial!AC95*Commercial!$B$5</f>
        <v>39884.205752838898</v>
      </c>
      <c r="AD95" s="11">
        <f>Commercial!AD95*Commercial!$B$5</f>
        <v>39999.575322108649</v>
      </c>
      <c r="AE95" s="11">
        <f>Commercial!AE95*Commercial!$B$5</f>
        <v>39999.575322108649</v>
      </c>
      <c r="AF95" s="11">
        <f>Commercial!AF95*Commercial!$B$5</f>
        <v>39999.575322108649</v>
      </c>
      <c r="AG95" s="11">
        <f>Commercial!AG95*Commercial!$B$5</f>
        <v>39999.575322108649</v>
      </c>
      <c r="AH95" s="11">
        <f>Commercial!AH95*Commercial!$B$5</f>
        <v>39999.575322108649</v>
      </c>
      <c r="AI95" s="11">
        <f>Commercial!AI95*Commercial!$B$5</f>
        <v>39999.575322108649</v>
      </c>
      <c r="AJ95" s="11">
        <f>Commercial!AJ95*Commercial!$B$5</f>
        <v>39999.575322108649</v>
      </c>
      <c r="AK95" s="11">
        <f>Commercial!AK95*Commercial!$B$5</f>
        <v>39999.575322108649</v>
      </c>
      <c r="AL95" s="11">
        <f>Commercial!AL95*Commercial!$B$5</f>
        <v>39999.575322108649</v>
      </c>
      <c r="AM95" s="11">
        <f>Commercial!AM95*Commercial!$B$5</f>
        <v>39999.575322108649</v>
      </c>
      <c r="AN95" s="11">
        <f>Commercial!AN95*Commercial!$B$5</f>
        <v>39999.575322108649</v>
      </c>
    </row>
    <row r="96" spans="1:40" x14ac:dyDescent="0.2">
      <c r="A96" s="6" t="s">
        <v>8</v>
      </c>
      <c r="B96" s="11">
        <f>Commercial!B96*Commercial!$B$5</f>
        <v>26236.268235154635</v>
      </c>
      <c r="C96" s="11">
        <f>Commercial!C96*Commercial!$B$5</f>
        <v>26325.981645546104</v>
      </c>
      <c r="D96" s="11">
        <f>Commercial!D96*Commercial!$B$5</f>
        <v>26415.695055937562</v>
      </c>
      <c r="E96" s="11">
        <f>Commercial!E96*Commercial!$B$5</f>
        <v>26505.408466329027</v>
      </c>
      <c r="F96" s="11">
        <f>Commercial!F96*Commercial!$B$5</f>
        <v>26745.390586491078</v>
      </c>
      <c r="G96" s="11">
        <f>Commercial!G96*Commercial!$B$5</f>
        <v>26985.372706653125</v>
      </c>
      <c r="H96" s="11">
        <f>Commercial!H96*Commercial!$B$5</f>
        <v>27225.354826815168</v>
      </c>
      <c r="I96" s="11">
        <f>Commercial!I96*Commercial!$B$5</f>
        <v>27465.336946977219</v>
      </c>
      <c r="J96" s="11">
        <f>Commercial!J96*Commercial!$B$5</f>
        <v>27705.319067139266</v>
      </c>
      <c r="K96" s="11">
        <f>Commercial!K96*Commercial!$B$5</f>
        <v>27906.88550019612</v>
      </c>
      <c r="L96" s="11">
        <f>Commercial!L96*Commercial!$B$5</f>
        <v>28108.451933252978</v>
      </c>
      <c r="M96" s="11">
        <f>Commercial!M96*Commercial!$B$5</f>
        <v>28310.01836630984</v>
      </c>
      <c r="N96" s="11">
        <f>Commercial!N96*Commercial!$B$5</f>
        <v>28511.584799366694</v>
      </c>
      <c r="O96" s="11">
        <f>Commercial!O96*Commercial!$B$5</f>
        <v>28713.151232423555</v>
      </c>
      <c r="P96" s="11">
        <f>Commercial!P96*Commercial!$B$5</f>
        <v>28875.857879583749</v>
      </c>
      <c r="Q96" s="11">
        <f>Commercial!Q96*Commercial!$B$5</f>
        <v>29038.564526743936</v>
      </c>
      <c r="R96" s="11">
        <f>Commercial!R96*Commercial!$B$5</f>
        <v>29201.27117390413</v>
      </c>
      <c r="S96" s="11">
        <f>Commercial!S96*Commercial!$B$5</f>
        <v>29363.97782106432</v>
      </c>
      <c r="T96" s="11">
        <f>Commercial!T96*Commercial!$B$5</f>
        <v>29526.68446822451</v>
      </c>
      <c r="U96" s="11">
        <f>Commercial!U96*Commercial!$B$5</f>
        <v>29651.38432643842</v>
      </c>
      <c r="V96" s="11">
        <f>Commercial!V96*Commercial!$B$5</f>
        <v>29776.084184652329</v>
      </c>
      <c r="W96" s="11">
        <f>Commercial!W96*Commercial!$B$5</f>
        <v>29900.784042866238</v>
      </c>
      <c r="X96" s="11">
        <f>Commercial!X96*Commercial!$B$5</f>
        <v>30025.483901080152</v>
      </c>
      <c r="Y96" s="11">
        <f>Commercial!Y96*Commercial!$B$5</f>
        <v>30150.183759294057</v>
      </c>
      <c r="Z96" s="11">
        <f>Commercial!Z96*Commercial!$B$5</f>
        <v>30238.417474626225</v>
      </c>
      <c r="AA96" s="11">
        <f>Commercial!AA96*Commercial!$B$5</f>
        <v>30326.651189958382</v>
      </c>
      <c r="AB96" s="11">
        <f>Commercial!AB96*Commercial!$B$5</f>
        <v>30414.88490529055</v>
      </c>
      <c r="AC96" s="11">
        <f>Commercial!AC96*Commercial!$B$5</f>
        <v>30503.11862062271</v>
      </c>
      <c r="AD96" s="11">
        <f>Commercial!AD96*Commercial!$B$5</f>
        <v>30591.352335954874</v>
      </c>
      <c r="AE96" s="11">
        <f>Commercial!AE96*Commercial!$B$5</f>
        <v>30591.352335954874</v>
      </c>
      <c r="AF96" s="11">
        <f>Commercial!AF96*Commercial!$B$5</f>
        <v>30591.352335954874</v>
      </c>
      <c r="AG96" s="11">
        <f>Commercial!AG96*Commercial!$B$5</f>
        <v>30591.352335954874</v>
      </c>
      <c r="AH96" s="11">
        <f>Commercial!AH96*Commercial!$B$5</f>
        <v>30591.352335954874</v>
      </c>
      <c r="AI96" s="11">
        <f>Commercial!AI96*Commercial!$B$5</f>
        <v>30591.352335954874</v>
      </c>
      <c r="AJ96" s="11">
        <f>Commercial!AJ96*Commercial!$B$5</f>
        <v>30591.352335954874</v>
      </c>
      <c r="AK96" s="11">
        <f>Commercial!AK96*Commercial!$B$5</f>
        <v>30591.352335954874</v>
      </c>
      <c r="AL96" s="11">
        <f>Commercial!AL96*Commercial!$B$5</f>
        <v>30591.352335954874</v>
      </c>
      <c r="AM96" s="11">
        <f>Commercial!AM96*Commercial!$B$5</f>
        <v>30591.352335954874</v>
      </c>
      <c r="AN96" s="11">
        <f>Commercial!AN96*Commercial!$B$5</f>
        <v>30591.352335954874</v>
      </c>
    </row>
    <row r="97" spans="1:40" x14ac:dyDescent="0.2">
      <c r="A97" s="6" t="s">
        <v>9</v>
      </c>
      <c r="B97" s="11">
        <f>Commercial!B97*Commercial!$B$5</f>
        <v>268965.76961192768</v>
      </c>
      <c r="C97" s="11">
        <f>Commercial!C97*Commercial!$B$5</f>
        <v>269885.48259298789</v>
      </c>
      <c r="D97" s="11">
        <f>Commercial!D97*Commercial!$B$5</f>
        <v>270805.19557404821</v>
      </c>
      <c r="E97" s="11">
        <f>Commercial!E97*Commercial!$B$5</f>
        <v>271724.90855510841</v>
      </c>
      <c r="F97" s="11">
        <f>Commercial!F97*Commercial!$B$5</f>
        <v>274185.12793783291</v>
      </c>
      <c r="G97" s="11">
        <f>Commercial!G97*Commercial!$B$5</f>
        <v>276645.34732055751</v>
      </c>
      <c r="H97" s="11">
        <f>Commercial!H97*Commercial!$B$5</f>
        <v>279105.56670328201</v>
      </c>
      <c r="I97" s="11">
        <f>Commercial!I97*Commercial!$B$5</f>
        <v>281565.78608600656</v>
      </c>
      <c r="J97" s="11">
        <f>Commercial!J97*Commercial!$B$5</f>
        <v>284026.00546873105</v>
      </c>
      <c r="K97" s="11">
        <f>Commercial!K97*Commercial!$B$5</f>
        <v>286092.39960333687</v>
      </c>
      <c r="L97" s="11">
        <f>Commercial!L97*Commercial!$B$5</f>
        <v>288158.79373794276</v>
      </c>
      <c r="M97" s="11">
        <f>Commercial!M97*Commercial!$B$5</f>
        <v>290225.18787254853</v>
      </c>
      <c r="N97" s="11">
        <f>Commercial!N97*Commercial!$B$5</f>
        <v>292291.58200715436</v>
      </c>
      <c r="O97" s="11">
        <f>Commercial!O97*Commercial!$B$5</f>
        <v>294357.97614176024</v>
      </c>
      <c r="P97" s="11">
        <f>Commercial!P97*Commercial!$B$5</f>
        <v>296025.99227050907</v>
      </c>
      <c r="Q97" s="11">
        <f>Commercial!Q97*Commercial!$B$5</f>
        <v>297694.00839925784</v>
      </c>
      <c r="R97" s="11">
        <f>Commercial!R97*Commercial!$B$5</f>
        <v>299362.02452800656</v>
      </c>
      <c r="S97" s="11">
        <f>Commercial!S97*Commercial!$B$5</f>
        <v>301030.04065675539</v>
      </c>
      <c r="T97" s="11">
        <f>Commercial!T97*Commercial!$B$5</f>
        <v>302698.0567855041</v>
      </c>
      <c r="U97" s="11">
        <f>Commercial!U97*Commercial!$B$5</f>
        <v>303976.43955832778</v>
      </c>
      <c r="V97" s="11">
        <f>Commercial!V97*Commercial!$B$5</f>
        <v>305254.82233115152</v>
      </c>
      <c r="W97" s="11">
        <f>Commercial!W97*Commercial!$B$5</f>
        <v>306533.20510397508</v>
      </c>
      <c r="X97" s="11">
        <f>Commercial!X97*Commercial!$B$5</f>
        <v>307811.58787679888</v>
      </c>
      <c r="Y97" s="11">
        <f>Commercial!Y97*Commercial!$B$5</f>
        <v>309089.9706496225</v>
      </c>
      <c r="Z97" s="11">
        <f>Commercial!Z97*Commercial!$B$5</f>
        <v>309994.51427363663</v>
      </c>
      <c r="AA97" s="11">
        <f>Commercial!AA97*Commercial!$B$5</f>
        <v>310899.05789765081</v>
      </c>
      <c r="AB97" s="11">
        <f>Commercial!AB97*Commercial!$B$5</f>
        <v>311803.601521665</v>
      </c>
      <c r="AC97" s="11">
        <f>Commercial!AC97*Commercial!$B$5</f>
        <v>312708.14514567924</v>
      </c>
      <c r="AD97" s="11">
        <f>Commercial!AD97*Commercial!$B$5</f>
        <v>313612.68876969337</v>
      </c>
      <c r="AE97" s="11">
        <f>Commercial!AE97*Commercial!$B$5</f>
        <v>313612.68876969337</v>
      </c>
      <c r="AF97" s="11">
        <f>Commercial!AF97*Commercial!$B$5</f>
        <v>313612.68876969337</v>
      </c>
      <c r="AG97" s="11">
        <f>Commercial!AG97*Commercial!$B$5</f>
        <v>313612.68876969337</v>
      </c>
      <c r="AH97" s="11">
        <f>Commercial!AH97*Commercial!$B$5</f>
        <v>313612.68876969337</v>
      </c>
      <c r="AI97" s="11">
        <f>Commercial!AI97*Commercial!$B$5</f>
        <v>313612.68876969337</v>
      </c>
      <c r="AJ97" s="11">
        <f>Commercial!AJ97*Commercial!$B$5</f>
        <v>313612.68876969337</v>
      </c>
      <c r="AK97" s="11">
        <f>Commercial!AK97*Commercial!$B$5</f>
        <v>313612.68876969337</v>
      </c>
      <c r="AL97" s="11">
        <f>Commercial!AL97*Commercial!$B$5</f>
        <v>313612.68876969337</v>
      </c>
      <c r="AM97" s="11">
        <f>Commercial!AM97*Commercial!$B$5</f>
        <v>313612.68876969337</v>
      </c>
      <c r="AN97" s="11">
        <f>Commercial!AN97*Commercial!$B$5</f>
        <v>313612.68876969337</v>
      </c>
    </row>
    <row r="98" spans="1:40" x14ac:dyDescent="0.2">
      <c r="A98" s="6" t="s">
        <v>10</v>
      </c>
      <c r="B98" s="11">
        <f>Commercial!B98*Commercial!$B$5</f>
        <v>233.60825442626702</v>
      </c>
      <c r="C98" s="11">
        <f>Commercial!C98*Commercial!$B$5</f>
        <v>234.40706441754836</v>
      </c>
      <c r="D98" s="11">
        <f>Commercial!D98*Commercial!$B$5</f>
        <v>235.20587440882963</v>
      </c>
      <c r="E98" s="11">
        <f>Commercial!E98*Commercial!$B$5</f>
        <v>236.00468440011088</v>
      </c>
      <c r="F98" s="11">
        <f>Commercial!F98*Commercial!$B$5</f>
        <v>238.14148997330025</v>
      </c>
      <c r="G98" s="11">
        <f>Commercial!G98*Commercial!$B$5</f>
        <v>240.27829554648969</v>
      </c>
      <c r="H98" s="11">
        <f>Commercial!H98*Commercial!$B$5</f>
        <v>242.41510111967906</v>
      </c>
      <c r="I98" s="11">
        <f>Commercial!I98*Commercial!$B$5</f>
        <v>244.55190669286853</v>
      </c>
      <c r="J98" s="11">
        <f>Commercial!J98*Commercial!$B$5</f>
        <v>246.68871226605788</v>
      </c>
      <c r="K98" s="11">
        <f>Commercial!K98*Commercial!$B$5</f>
        <v>248.48346379685097</v>
      </c>
      <c r="L98" s="11">
        <f>Commercial!L98*Commercial!$B$5</f>
        <v>250.27821532764406</v>
      </c>
      <c r="M98" s="11">
        <f>Commercial!M98*Commercial!$B$5</f>
        <v>252.0729668584371</v>
      </c>
      <c r="N98" s="11">
        <f>Commercial!N98*Commercial!$B$5</f>
        <v>253.86771838923022</v>
      </c>
      <c r="O98" s="11">
        <f>Commercial!O98*Commercial!$B$5</f>
        <v>255.66246992002328</v>
      </c>
      <c r="P98" s="11">
        <f>Commercial!P98*Commercial!$B$5</f>
        <v>257.11121314394393</v>
      </c>
      <c r="Q98" s="11">
        <f>Commercial!Q98*Commercial!$B$5</f>
        <v>258.55995636786446</v>
      </c>
      <c r="R98" s="11">
        <f>Commercial!R98*Commercial!$B$5</f>
        <v>260.00869959178499</v>
      </c>
      <c r="S98" s="11">
        <f>Commercial!S98*Commercial!$B$5</f>
        <v>261.45744281570558</v>
      </c>
      <c r="T98" s="11">
        <f>Commercial!T98*Commercial!$B$5</f>
        <v>262.90618603962611</v>
      </c>
      <c r="U98" s="11">
        <f>Commercial!U98*Commercial!$B$5</f>
        <v>264.01651605849372</v>
      </c>
      <c r="V98" s="11">
        <f>Commercial!V98*Commercial!$B$5</f>
        <v>265.12684607736139</v>
      </c>
      <c r="W98" s="11">
        <f>Commercial!W98*Commercial!$B$5</f>
        <v>266.23717609622889</v>
      </c>
      <c r="X98" s="11">
        <f>Commercial!X98*Commercial!$B$5</f>
        <v>267.34750611509656</v>
      </c>
      <c r="Y98" s="11">
        <f>Commercial!Y98*Commercial!$B$5</f>
        <v>268.45783613396412</v>
      </c>
      <c r="Z98" s="11">
        <f>Commercial!Z98*Commercial!$B$5</f>
        <v>269.24347089099376</v>
      </c>
      <c r="AA98" s="11">
        <f>Commercial!AA98*Commercial!$B$5</f>
        <v>270.02910564802346</v>
      </c>
      <c r="AB98" s="11">
        <f>Commercial!AB98*Commercial!$B$5</f>
        <v>270.8147404050531</v>
      </c>
      <c r="AC98" s="11">
        <f>Commercial!AC98*Commercial!$B$5</f>
        <v>271.60037516208274</v>
      </c>
      <c r="AD98" s="11">
        <f>Commercial!AD98*Commercial!$B$5</f>
        <v>272.38600991911244</v>
      </c>
      <c r="AE98" s="11">
        <f>Commercial!AE98*Commercial!$B$5</f>
        <v>272.38600991911244</v>
      </c>
      <c r="AF98" s="11">
        <f>Commercial!AF98*Commercial!$B$5</f>
        <v>272.38600991911244</v>
      </c>
      <c r="AG98" s="11">
        <f>Commercial!AG98*Commercial!$B$5</f>
        <v>272.38600991911244</v>
      </c>
      <c r="AH98" s="11">
        <f>Commercial!AH98*Commercial!$B$5</f>
        <v>272.38600991911244</v>
      </c>
      <c r="AI98" s="11">
        <f>Commercial!AI98*Commercial!$B$5</f>
        <v>272.38600991911244</v>
      </c>
      <c r="AJ98" s="11">
        <f>Commercial!AJ98*Commercial!$B$5</f>
        <v>272.38600991911244</v>
      </c>
      <c r="AK98" s="11">
        <f>Commercial!AK98*Commercial!$B$5</f>
        <v>272.38600991911244</v>
      </c>
      <c r="AL98" s="11">
        <f>Commercial!AL98*Commercial!$B$5</f>
        <v>272.38600991911244</v>
      </c>
      <c r="AM98" s="11">
        <f>Commercial!AM98*Commercial!$B$5</f>
        <v>272.38600991911244</v>
      </c>
      <c r="AN98" s="11">
        <f>Commercial!AN98*Commercial!$B$5</f>
        <v>272.38600991911244</v>
      </c>
    </row>
    <row r="99" spans="1:40" x14ac:dyDescent="0.2">
      <c r="A99" s="6" t="s">
        <v>44</v>
      </c>
      <c r="B99" s="11">
        <f>Commercial!B99*Commercial!$B$5</f>
        <v>426551.88783079496</v>
      </c>
      <c r="C99" s="11">
        <f>Commercial!C99*Commercial!$B$5</f>
        <v>428010.45748038194</v>
      </c>
      <c r="D99" s="11">
        <f>Commercial!D99*Commercial!$B$5</f>
        <v>429469.02712996886</v>
      </c>
      <c r="E99" s="11">
        <f>Commercial!E99*Commercial!$B$5</f>
        <v>430927.59677955578</v>
      </c>
      <c r="F99" s="11">
        <f>Commercial!F99*Commercial!$B$5</f>
        <v>434829.25022673293</v>
      </c>
      <c r="G99" s="11">
        <f>Commercial!G99*Commercial!$B$5</f>
        <v>438730.90367391024</v>
      </c>
      <c r="H99" s="11">
        <f>Commercial!H99*Commercial!$B$5</f>
        <v>442632.55712108745</v>
      </c>
      <c r="I99" s="11">
        <f>Commercial!I99*Commercial!$B$5</f>
        <v>446534.21056826471</v>
      </c>
      <c r="J99" s="11">
        <f>Commercial!J99*Commercial!$B$5</f>
        <v>450435.86401544197</v>
      </c>
      <c r="K99" s="11">
        <f>Commercial!K99*Commercial!$B$5</f>
        <v>453712.95135778422</v>
      </c>
      <c r="L99" s="11">
        <f>Commercial!L99*Commercial!$B$5</f>
        <v>456990.03870012652</v>
      </c>
      <c r="M99" s="11">
        <f>Commercial!M99*Commercial!$B$5</f>
        <v>460267.12604246888</v>
      </c>
      <c r="N99" s="11">
        <f>Commercial!N99*Commercial!$B$5</f>
        <v>463544.21338481113</v>
      </c>
      <c r="O99" s="11">
        <f>Commercial!O99*Commercial!$B$5</f>
        <v>466821.30072715343</v>
      </c>
      <c r="P99" s="11">
        <f>Commercial!P99*Commercial!$B$5</f>
        <v>469466.60176184116</v>
      </c>
      <c r="Q99" s="11">
        <f>Commercial!Q99*Commercial!$B$5</f>
        <v>472111.90279652877</v>
      </c>
      <c r="R99" s="11">
        <f>Commercial!R99*Commercial!$B$5</f>
        <v>474757.2038312165</v>
      </c>
      <c r="S99" s="11">
        <f>Commercial!S99*Commercial!$B$5</f>
        <v>477402.50486590416</v>
      </c>
      <c r="T99" s="11">
        <f>Commercial!T99*Commercial!$B$5</f>
        <v>480047.80590059189</v>
      </c>
      <c r="U99" s="11">
        <f>Commercial!U99*Commercial!$B$5</f>
        <v>482075.1887378394</v>
      </c>
      <c r="V99" s="11">
        <f>Commercial!V99*Commercial!$B$5</f>
        <v>484102.57157508709</v>
      </c>
      <c r="W99" s="11">
        <f>Commercial!W99*Commercial!$B$5</f>
        <v>486129.95441233454</v>
      </c>
      <c r="X99" s="11">
        <f>Commercial!X99*Commercial!$B$5</f>
        <v>488157.33724958223</v>
      </c>
      <c r="Y99" s="11">
        <f>Commercial!Y99*Commercial!$B$5</f>
        <v>490184.72008682968</v>
      </c>
      <c r="Z99" s="11">
        <f>Commercial!Z99*Commercial!$B$5</f>
        <v>491619.2327053136</v>
      </c>
      <c r="AA99" s="11">
        <f>Commercial!AA99*Commercial!$B$5</f>
        <v>493053.74532379763</v>
      </c>
      <c r="AB99" s="11">
        <f>Commercial!AB99*Commercial!$B$5</f>
        <v>494488.25794228149</v>
      </c>
      <c r="AC99" s="11">
        <f>Commercial!AC99*Commercial!$B$5</f>
        <v>495922.77056076552</v>
      </c>
      <c r="AD99" s="11">
        <f>Commercial!AD99*Commercial!$B$5</f>
        <v>497357.28317924938</v>
      </c>
      <c r="AE99" s="11">
        <f>Commercial!AE99*Commercial!$B$5</f>
        <v>497357.28317924938</v>
      </c>
      <c r="AF99" s="11">
        <f>Commercial!AF99*Commercial!$B$5</f>
        <v>497357.28317924938</v>
      </c>
      <c r="AG99" s="11">
        <f>Commercial!AG99*Commercial!$B$5</f>
        <v>497357.28317924938</v>
      </c>
      <c r="AH99" s="11">
        <f>Commercial!AH99*Commercial!$B$5</f>
        <v>497357.28317924938</v>
      </c>
      <c r="AI99" s="11">
        <f>Commercial!AI99*Commercial!$B$5</f>
        <v>497357.28317924938</v>
      </c>
      <c r="AJ99" s="11">
        <f>Commercial!AJ99*Commercial!$B$5</f>
        <v>497357.28317924938</v>
      </c>
      <c r="AK99" s="11">
        <f>Commercial!AK99*Commercial!$B$5</f>
        <v>497357.28317924938</v>
      </c>
      <c r="AL99" s="11">
        <f>Commercial!AL99*Commercial!$B$5</f>
        <v>497357.28317924938</v>
      </c>
      <c r="AM99" s="11">
        <f>Commercial!AM99*Commercial!$B$5</f>
        <v>497357.28317924938</v>
      </c>
      <c r="AN99" s="11">
        <f>Commercial!AN99*Commercial!$B$5</f>
        <v>497357.28317924938</v>
      </c>
    </row>
    <row r="101" spans="1:40" x14ac:dyDescent="0.2">
      <c r="A101" s="5" t="s">
        <v>66</v>
      </c>
    </row>
    <row r="102" spans="1:40" x14ac:dyDescent="0.2">
      <c r="A102" s="5" t="s">
        <v>4</v>
      </c>
    </row>
    <row r="103" spans="1:40" x14ac:dyDescent="0.2">
      <c r="A103" s="5" t="s">
        <v>58</v>
      </c>
    </row>
    <row r="104" spans="1:40" x14ac:dyDescent="0.2">
      <c r="A104" s="5" t="s">
        <v>6</v>
      </c>
    </row>
    <row r="105" spans="1:40" x14ac:dyDescent="0.2">
      <c r="A105" s="5"/>
    </row>
    <row r="106" spans="1:40" x14ac:dyDescent="0.2">
      <c r="A106" s="6" t="s">
        <v>7</v>
      </c>
      <c r="B106" s="6">
        <v>2022</v>
      </c>
      <c r="C106" s="6">
        <v>2023</v>
      </c>
      <c r="D106" s="6">
        <v>2024</v>
      </c>
      <c r="E106" s="6">
        <v>2025</v>
      </c>
      <c r="F106" s="6">
        <v>2026</v>
      </c>
      <c r="G106" s="6">
        <v>2027</v>
      </c>
      <c r="H106" s="6">
        <v>2028</v>
      </c>
      <c r="I106" s="6">
        <v>2029</v>
      </c>
      <c r="J106" s="6">
        <v>2030</v>
      </c>
      <c r="K106" s="6">
        <v>2031</v>
      </c>
      <c r="L106" s="6">
        <v>2032</v>
      </c>
      <c r="M106" s="6">
        <v>2033</v>
      </c>
      <c r="N106" s="6">
        <v>2034</v>
      </c>
      <c r="O106" s="6">
        <v>2035</v>
      </c>
      <c r="P106" s="6">
        <v>2036</v>
      </c>
      <c r="Q106" s="6">
        <v>2037</v>
      </c>
      <c r="R106" s="6">
        <v>2038</v>
      </c>
      <c r="S106" s="6">
        <v>2039</v>
      </c>
      <c r="T106" s="6">
        <v>2040</v>
      </c>
      <c r="U106" s="6">
        <v>2041</v>
      </c>
      <c r="V106" s="6">
        <v>2042</v>
      </c>
      <c r="W106" s="6">
        <v>2043</v>
      </c>
      <c r="X106" s="6">
        <v>2044</v>
      </c>
      <c r="Y106" s="6">
        <v>2045</v>
      </c>
      <c r="Z106" s="6">
        <v>2046</v>
      </c>
      <c r="AA106" s="6">
        <v>2047</v>
      </c>
      <c r="AB106" s="6">
        <v>2048</v>
      </c>
      <c r="AC106" s="6">
        <v>2049</v>
      </c>
      <c r="AD106" s="6">
        <v>2050</v>
      </c>
      <c r="AE106" s="6">
        <v>2051</v>
      </c>
      <c r="AF106" s="6">
        <v>2052</v>
      </c>
      <c r="AG106" s="6">
        <v>2053</v>
      </c>
      <c r="AH106" s="6">
        <v>2054</v>
      </c>
      <c r="AI106" s="6">
        <v>2055</v>
      </c>
      <c r="AJ106" s="6">
        <v>2056</v>
      </c>
      <c r="AK106" s="6">
        <v>2057</v>
      </c>
      <c r="AL106" s="6">
        <v>2058</v>
      </c>
      <c r="AM106" s="6">
        <v>2059</v>
      </c>
      <c r="AN106" s="6">
        <v>2060</v>
      </c>
    </row>
    <row r="107" spans="1:40" x14ac:dyDescent="0.2">
      <c r="A107" s="6" t="s">
        <v>40</v>
      </c>
      <c r="B107" s="11">
        <f>Commercial!B107*Commercial!$B$5</f>
        <v>664472.18850441906</v>
      </c>
      <c r="C107" s="11">
        <f>Commercial!C107*Commercial!$B$5</f>
        <v>666744.31293944584</v>
      </c>
      <c r="D107" s="11">
        <f>Commercial!D107*Commercial!$B$5</f>
        <v>669016.4373744725</v>
      </c>
      <c r="E107" s="11">
        <f>Commercial!E107*Commercial!$B$5</f>
        <v>671288.5618094994</v>
      </c>
      <c r="F107" s="11">
        <f>Commercial!F107*Commercial!$B$5</f>
        <v>677366.46294836409</v>
      </c>
      <c r="G107" s="11">
        <f>Commercial!G107*Commercial!$B$5</f>
        <v>683444.36408722866</v>
      </c>
      <c r="H107" s="11">
        <f>Commercial!H107*Commercial!$B$5</f>
        <v>689522.26522609347</v>
      </c>
      <c r="I107" s="11">
        <f>Commercial!I107*Commercial!$B$5</f>
        <v>695600.16636495816</v>
      </c>
      <c r="J107" s="11">
        <f>Commercial!J107*Commercial!$B$5</f>
        <v>701678.06750382273</v>
      </c>
      <c r="K107" s="11">
        <f>Commercial!K107*Commercial!$B$5</f>
        <v>706783.03470807103</v>
      </c>
      <c r="L107" s="11">
        <f>Commercial!L107*Commercial!$B$5</f>
        <v>711888.0019123191</v>
      </c>
      <c r="M107" s="11">
        <f>Commercial!M107*Commercial!$B$5</f>
        <v>716992.96911656705</v>
      </c>
      <c r="N107" s="11">
        <f>Commercial!N107*Commercial!$B$5</f>
        <v>722097.936320815</v>
      </c>
      <c r="O107" s="11">
        <f>Commercial!O107*Commercial!$B$5</f>
        <v>727202.90352506319</v>
      </c>
      <c r="P107" s="11">
        <f>Commercial!P107*Commercial!$B$5</f>
        <v>731323.68933780643</v>
      </c>
      <c r="Q107" s="11">
        <f>Commercial!Q107*Commercial!$B$5</f>
        <v>735444.47515054955</v>
      </c>
      <c r="R107" s="11">
        <f>Commercial!R107*Commercial!$B$5</f>
        <v>739565.26096329256</v>
      </c>
      <c r="S107" s="11">
        <f>Commercial!S107*Commercial!$B$5</f>
        <v>743686.04677603568</v>
      </c>
      <c r="T107" s="11">
        <f>Commercial!T107*Commercial!$B$5</f>
        <v>747806.83258877881</v>
      </c>
      <c r="U107" s="11">
        <f>Commercial!U107*Commercial!$B$5</f>
        <v>750965.04041585687</v>
      </c>
      <c r="V107" s="11">
        <f>Commercial!V107*Commercial!$B$5</f>
        <v>754123.24824293517</v>
      </c>
      <c r="W107" s="11">
        <f>Commercial!W107*Commercial!$B$5</f>
        <v>757281.45607001346</v>
      </c>
      <c r="X107" s="11">
        <f>Commercial!X107*Commercial!$B$5</f>
        <v>760439.66389709152</v>
      </c>
      <c r="Y107" s="11">
        <f>Commercial!Y107*Commercial!$B$5</f>
        <v>763597.87172416958</v>
      </c>
      <c r="Z107" s="11">
        <f>Commercial!Z107*Commercial!$B$5</f>
        <v>765832.5206994412</v>
      </c>
      <c r="AA107" s="11">
        <f>Commercial!AA107*Commercial!$B$5</f>
        <v>768067.16967471282</v>
      </c>
      <c r="AB107" s="11">
        <f>Commercial!AB107*Commercial!$B$5</f>
        <v>770301.81864998431</v>
      </c>
      <c r="AC107" s="11">
        <f>Commercial!AC107*Commercial!$B$5</f>
        <v>772536.46762525593</v>
      </c>
      <c r="AD107" s="11">
        <f>Commercial!AD107*Commercial!$B$5</f>
        <v>774771.11660052754</v>
      </c>
      <c r="AE107" s="11">
        <f>Commercial!AE107*Commercial!$B$5</f>
        <v>774771.11660052754</v>
      </c>
      <c r="AF107" s="11">
        <f>Commercial!AF107*Commercial!$B$5</f>
        <v>774771.11660052754</v>
      </c>
      <c r="AG107" s="11">
        <f>Commercial!AG107*Commercial!$B$5</f>
        <v>774771.11660052754</v>
      </c>
      <c r="AH107" s="11">
        <f>Commercial!AH107*Commercial!$B$5</f>
        <v>774771.11660052754</v>
      </c>
      <c r="AI107" s="11">
        <f>Commercial!AI107*Commercial!$B$5</f>
        <v>774771.11660052754</v>
      </c>
      <c r="AJ107" s="11">
        <f>Commercial!AJ107*Commercial!$B$5</f>
        <v>774771.11660052754</v>
      </c>
      <c r="AK107" s="11">
        <f>Commercial!AK107*Commercial!$B$5</f>
        <v>774771.11660052754</v>
      </c>
      <c r="AL107" s="11">
        <f>Commercial!AL107*Commercial!$B$5</f>
        <v>774771.11660052754</v>
      </c>
      <c r="AM107" s="11">
        <f>Commercial!AM107*Commercial!$B$5</f>
        <v>774771.11660052754</v>
      </c>
      <c r="AN107" s="11">
        <f>Commercial!AN107*Commercial!$B$5</f>
        <v>774771.11660052754</v>
      </c>
    </row>
    <row r="108" spans="1:40" x14ac:dyDescent="0.2">
      <c r="A108" s="6" t="s">
        <v>41</v>
      </c>
      <c r="B108" s="11">
        <f>Commercial!B108*Commercial!$B$5</f>
        <v>405901.69418834959</v>
      </c>
      <c r="C108" s="11">
        <f>Commercial!C108*Commercial!$B$5</f>
        <v>407289.6516883616</v>
      </c>
      <c r="D108" s="11">
        <f>Commercial!D108*Commercial!$B$5</f>
        <v>408677.60918837355</v>
      </c>
      <c r="E108" s="11">
        <f>Commercial!E108*Commercial!$B$5</f>
        <v>410065.56668838556</v>
      </c>
      <c r="F108" s="11">
        <f>Commercial!F108*Commercial!$B$5</f>
        <v>413778.33362138137</v>
      </c>
      <c r="G108" s="11">
        <f>Commercial!G108*Commercial!$B$5</f>
        <v>417491.10055437702</v>
      </c>
      <c r="H108" s="11">
        <f>Commercial!H108*Commercial!$B$5</f>
        <v>421203.86748737271</v>
      </c>
      <c r="I108" s="11">
        <f>Commercial!I108*Commercial!$B$5</f>
        <v>424916.6344203683</v>
      </c>
      <c r="J108" s="11">
        <f>Commercial!J108*Commercial!$B$5</f>
        <v>428629.401353364</v>
      </c>
      <c r="K108" s="11">
        <f>Commercial!K108*Commercial!$B$5</f>
        <v>431747.83862256585</v>
      </c>
      <c r="L108" s="11">
        <f>Commercial!L108*Commercial!$B$5</f>
        <v>434866.27589176758</v>
      </c>
      <c r="M108" s="11">
        <f>Commercial!M108*Commercial!$B$5</f>
        <v>437984.71316096938</v>
      </c>
      <c r="N108" s="11">
        <f>Commercial!N108*Commercial!$B$5</f>
        <v>441103.15043017117</v>
      </c>
      <c r="O108" s="11">
        <f>Commercial!O108*Commercial!$B$5</f>
        <v>444221.58769937302</v>
      </c>
      <c r="P108" s="11">
        <f>Commercial!P108*Commercial!$B$5</f>
        <v>446738.82464580482</v>
      </c>
      <c r="Q108" s="11">
        <f>Commercial!Q108*Commercial!$B$5</f>
        <v>449256.0615922368</v>
      </c>
      <c r="R108" s="11">
        <f>Commercial!R108*Commercial!$B$5</f>
        <v>451773.29853866855</v>
      </c>
      <c r="S108" s="11">
        <f>Commercial!S108*Commercial!$B$5</f>
        <v>454290.53548510035</v>
      </c>
      <c r="T108" s="11">
        <f>Commercial!T108*Commercial!$B$5</f>
        <v>456807.77243153215</v>
      </c>
      <c r="U108" s="11">
        <f>Commercial!U108*Commercial!$B$5</f>
        <v>458737.00578363868</v>
      </c>
      <c r="V108" s="11">
        <f>Commercial!V108*Commercial!$B$5</f>
        <v>460666.23913574521</v>
      </c>
      <c r="W108" s="11">
        <f>Commercial!W108*Commercial!$B$5</f>
        <v>462595.47248785174</v>
      </c>
      <c r="X108" s="11">
        <f>Commercial!X108*Commercial!$B$5</f>
        <v>464524.70583995827</v>
      </c>
      <c r="Y108" s="11">
        <f>Commercial!Y108*Commercial!$B$5</f>
        <v>466453.9391920648</v>
      </c>
      <c r="Z108" s="11">
        <f>Commercial!Z108*Commercial!$B$5</f>
        <v>467819.00430791348</v>
      </c>
      <c r="AA108" s="11">
        <f>Commercial!AA108*Commercial!$B$5</f>
        <v>469184.06942376209</v>
      </c>
      <c r="AB108" s="11">
        <f>Commercial!AB108*Commercial!$B$5</f>
        <v>470549.13453961076</v>
      </c>
      <c r="AC108" s="11">
        <f>Commercial!AC108*Commercial!$B$5</f>
        <v>471914.19965545944</v>
      </c>
      <c r="AD108" s="11">
        <f>Commercial!AD108*Commercial!$B$5</f>
        <v>473279.26477130805</v>
      </c>
      <c r="AE108" s="11">
        <f>Commercial!AE108*Commercial!$B$5</f>
        <v>473279.26477130805</v>
      </c>
      <c r="AF108" s="11">
        <f>Commercial!AF108*Commercial!$B$5</f>
        <v>473279.26477130805</v>
      </c>
      <c r="AG108" s="11">
        <f>Commercial!AG108*Commercial!$B$5</f>
        <v>473279.26477130805</v>
      </c>
      <c r="AH108" s="11">
        <f>Commercial!AH108*Commercial!$B$5</f>
        <v>473279.26477130805</v>
      </c>
      <c r="AI108" s="11">
        <f>Commercial!AI108*Commercial!$B$5</f>
        <v>473279.26477130805</v>
      </c>
      <c r="AJ108" s="11">
        <f>Commercial!AJ108*Commercial!$B$5</f>
        <v>473279.26477130805</v>
      </c>
      <c r="AK108" s="11">
        <f>Commercial!AK108*Commercial!$B$5</f>
        <v>473279.26477130805</v>
      </c>
      <c r="AL108" s="11">
        <f>Commercial!AL108*Commercial!$B$5</f>
        <v>473279.26477130805</v>
      </c>
      <c r="AM108" s="11">
        <f>Commercial!AM108*Commercial!$B$5</f>
        <v>473279.26477130805</v>
      </c>
      <c r="AN108" s="11">
        <f>Commercial!AN108*Commercial!$B$5</f>
        <v>473279.26477130805</v>
      </c>
    </row>
    <row r="109" spans="1:40" x14ac:dyDescent="0.2">
      <c r="A109" s="6" t="s">
        <v>42</v>
      </c>
      <c r="B109" s="11">
        <f>Commercial!B109*Commercial!$B$5</f>
        <v>315184.6648301275</v>
      </c>
      <c r="C109" s="11">
        <f>Commercial!C109*Commercial!$B$5</f>
        <v>316262.42066535383</v>
      </c>
      <c r="D109" s="11">
        <f>Commercial!D109*Commercial!$B$5</f>
        <v>317340.17650058004</v>
      </c>
      <c r="E109" s="11">
        <f>Commercial!E109*Commercial!$B$5</f>
        <v>318417.93233580637</v>
      </c>
      <c r="F109" s="11">
        <f>Commercial!F109*Commercial!$B$5</f>
        <v>321300.91414673132</v>
      </c>
      <c r="G109" s="11">
        <f>Commercial!G109*Commercial!$B$5</f>
        <v>324183.89595765626</v>
      </c>
      <c r="H109" s="11">
        <f>Commercial!H109*Commercial!$B$5</f>
        <v>327066.87776858121</v>
      </c>
      <c r="I109" s="11">
        <f>Commercial!I109*Commercial!$B$5</f>
        <v>329949.85957950616</v>
      </c>
      <c r="J109" s="11">
        <f>Commercial!J109*Commercial!$B$5</f>
        <v>332832.84139043104</v>
      </c>
      <c r="K109" s="11">
        <f>Commercial!K109*Commercial!$B$5</f>
        <v>335254.32329001406</v>
      </c>
      <c r="L109" s="11">
        <f>Commercial!L109*Commercial!$B$5</f>
        <v>337675.80518959707</v>
      </c>
      <c r="M109" s="11">
        <f>Commercial!M109*Commercial!$B$5</f>
        <v>340097.28708917991</v>
      </c>
      <c r="N109" s="11">
        <f>Commercial!N109*Commercial!$B$5</f>
        <v>342518.76898876287</v>
      </c>
      <c r="O109" s="11">
        <f>Commercial!O109*Commercial!$B$5</f>
        <v>344940.25088834582</v>
      </c>
      <c r="P109" s="11">
        <f>Commercial!P109*Commercial!$B$5</f>
        <v>346894.89777605009</v>
      </c>
      <c r="Q109" s="11">
        <f>Commercial!Q109*Commercial!$B$5</f>
        <v>348849.54466375441</v>
      </c>
      <c r="R109" s="11">
        <f>Commercial!R109*Commercial!$B$5</f>
        <v>350804.19155145856</v>
      </c>
      <c r="S109" s="11">
        <f>Commercial!S109*Commercial!$B$5</f>
        <v>352758.8384391627</v>
      </c>
      <c r="T109" s="11">
        <f>Commercial!T109*Commercial!$B$5</f>
        <v>354713.48532686703</v>
      </c>
      <c r="U109" s="11">
        <f>Commercial!U109*Commercial!$B$5</f>
        <v>356211.54452733102</v>
      </c>
      <c r="V109" s="11">
        <f>Commercial!V109*Commercial!$B$5</f>
        <v>357709.60372779507</v>
      </c>
      <c r="W109" s="11">
        <f>Commercial!W109*Commercial!$B$5</f>
        <v>359207.66292825912</v>
      </c>
      <c r="X109" s="11">
        <f>Commercial!X109*Commercial!$B$5</f>
        <v>360705.72212872317</v>
      </c>
      <c r="Y109" s="11">
        <f>Commercial!Y109*Commercial!$B$5</f>
        <v>362203.78132918716</v>
      </c>
      <c r="Z109" s="11">
        <f>Commercial!Z109*Commercial!$B$5</f>
        <v>363263.76111535286</v>
      </c>
      <c r="AA109" s="11">
        <f>Commercial!AA109*Commercial!$B$5</f>
        <v>364323.74090151861</v>
      </c>
      <c r="AB109" s="11">
        <f>Commercial!AB109*Commercial!$B$5</f>
        <v>365383.72068768425</v>
      </c>
      <c r="AC109" s="11">
        <f>Commercial!AC109*Commercial!$B$5</f>
        <v>366443.70047384995</v>
      </c>
      <c r="AD109" s="11">
        <f>Commercial!AD109*Commercial!$B$5</f>
        <v>367503.68026001559</v>
      </c>
      <c r="AE109" s="11">
        <f>Commercial!AE109*Commercial!$B$5</f>
        <v>367503.68026001559</v>
      </c>
      <c r="AF109" s="11">
        <f>Commercial!AF109*Commercial!$B$5</f>
        <v>367503.68026001559</v>
      </c>
      <c r="AG109" s="11">
        <f>Commercial!AG109*Commercial!$B$5</f>
        <v>367503.68026001559</v>
      </c>
      <c r="AH109" s="11">
        <f>Commercial!AH109*Commercial!$B$5</f>
        <v>367503.68026001559</v>
      </c>
      <c r="AI109" s="11">
        <f>Commercial!AI109*Commercial!$B$5</f>
        <v>367503.68026001559</v>
      </c>
      <c r="AJ109" s="11">
        <f>Commercial!AJ109*Commercial!$B$5</f>
        <v>367503.68026001559</v>
      </c>
      <c r="AK109" s="11">
        <f>Commercial!AK109*Commercial!$B$5</f>
        <v>367503.68026001559</v>
      </c>
      <c r="AL109" s="11">
        <f>Commercial!AL109*Commercial!$B$5</f>
        <v>367503.68026001559</v>
      </c>
      <c r="AM109" s="11">
        <f>Commercial!AM109*Commercial!$B$5</f>
        <v>367503.68026001559</v>
      </c>
      <c r="AN109" s="11">
        <f>Commercial!AN109*Commercial!$B$5</f>
        <v>367503.68026001559</v>
      </c>
    </row>
    <row r="110" spans="1:40" x14ac:dyDescent="0.2">
      <c r="A110" s="6" t="s">
        <v>43</v>
      </c>
      <c r="B110" s="11">
        <f>Commercial!B110*Commercial!$B$5</f>
        <v>22103.79945488086</v>
      </c>
      <c r="C110" s="11">
        <f>Commercial!C110*Commercial!$B$5</f>
        <v>22179.382125935022</v>
      </c>
      <c r="D110" s="11">
        <f>Commercial!D110*Commercial!$B$5</f>
        <v>22254.964796989174</v>
      </c>
      <c r="E110" s="11">
        <f>Commercial!E110*Commercial!$B$5</f>
        <v>22330.547468043336</v>
      </c>
      <c r="F110" s="11">
        <f>Commercial!F110*Commercial!$B$5</f>
        <v>22532.730057780365</v>
      </c>
      <c r="G110" s="11">
        <f>Commercial!G110*Commercial!$B$5</f>
        <v>22734.912647517402</v>
      </c>
      <c r="H110" s="11">
        <f>Commercial!H110*Commercial!$B$5</f>
        <v>22937.095237254431</v>
      </c>
      <c r="I110" s="11">
        <f>Commercial!I110*Commercial!$B$5</f>
        <v>23139.277826991467</v>
      </c>
      <c r="J110" s="11">
        <f>Commercial!J110*Commercial!$B$5</f>
        <v>23341.4604167285</v>
      </c>
      <c r="K110" s="11">
        <f>Commercial!K110*Commercial!$B$5</f>
        <v>23511.278165700689</v>
      </c>
      <c r="L110" s="11">
        <f>Commercial!L110*Commercial!$B$5</f>
        <v>23681.095914672878</v>
      </c>
      <c r="M110" s="11">
        <f>Commercial!M110*Commercial!$B$5</f>
        <v>23850.91366364506</v>
      </c>
      <c r="N110" s="11">
        <f>Commercial!N110*Commercial!$B$5</f>
        <v>24020.731412617246</v>
      </c>
      <c r="O110" s="11">
        <f>Commercial!O110*Commercial!$B$5</f>
        <v>24190.549161589439</v>
      </c>
      <c r="P110" s="11">
        <f>Commercial!P110*Commercial!$B$5</f>
        <v>24327.627920907267</v>
      </c>
      <c r="Q110" s="11">
        <f>Commercial!Q110*Commercial!$B$5</f>
        <v>24464.70668022511</v>
      </c>
      <c r="R110" s="11">
        <f>Commercial!R110*Commercial!$B$5</f>
        <v>24601.785439542939</v>
      </c>
      <c r="S110" s="11">
        <f>Commercial!S110*Commercial!$B$5</f>
        <v>24738.864198860774</v>
      </c>
      <c r="T110" s="11">
        <f>Commercial!T110*Commercial!$B$5</f>
        <v>24875.94295817861</v>
      </c>
      <c r="U110" s="11">
        <f>Commercial!U110*Commercial!$B$5</f>
        <v>24981.001369432346</v>
      </c>
      <c r="V110" s="11">
        <f>Commercial!V110*Commercial!$B$5</f>
        <v>25086.059780686093</v>
      </c>
      <c r="W110" s="11">
        <f>Commercial!W110*Commercial!$B$5</f>
        <v>25191.118191939837</v>
      </c>
      <c r="X110" s="11">
        <f>Commercial!X110*Commercial!$B$5</f>
        <v>25296.176603193577</v>
      </c>
      <c r="Y110" s="11">
        <f>Commercial!Y110*Commercial!$B$5</f>
        <v>25401.235014447317</v>
      </c>
      <c r="Z110" s="11">
        <f>Commercial!Z110*Commercial!$B$5</f>
        <v>25475.571056882192</v>
      </c>
      <c r="AA110" s="11">
        <f>Commercial!AA110*Commercial!$B$5</f>
        <v>25549.907099317064</v>
      </c>
      <c r="AB110" s="11">
        <f>Commercial!AB110*Commercial!$B$5</f>
        <v>25624.24314175194</v>
      </c>
      <c r="AC110" s="11">
        <f>Commercial!AC110*Commercial!$B$5</f>
        <v>25698.579184186812</v>
      </c>
      <c r="AD110" s="11">
        <f>Commercial!AD110*Commercial!$B$5</f>
        <v>25772.915226621688</v>
      </c>
      <c r="AE110" s="11">
        <f>Commercial!AE110*Commercial!$B$5</f>
        <v>25772.915226621688</v>
      </c>
      <c r="AF110" s="11">
        <f>Commercial!AF110*Commercial!$B$5</f>
        <v>25772.915226621688</v>
      </c>
      <c r="AG110" s="11">
        <f>Commercial!AG110*Commercial!$B$5</f>
        <v>25772.915226621688</v>
      </c>
      <c r="AH110" s="11">
        <f>Commercial!AH110*Commercial!$B$5</f>
        <v>25772.915226621688</v>
      </c>
      <c r="AI110" s="11">
        <f>Commercial!AI110*Commercial!$B$5</f>
        <v>25772.915226621688</v>
      </c>
      <c r="AJ110" s="11">
        <f>Commercial!AJ110*Commercial!$B$5</f>
        <v>25772.915226621688</v>
      </c>
      <c r="AK110" s="11">
        <f>Commercial!AK110*Commercial!$B$5</f>
        <v>25772.915226621688</v>
      </c>
      <c r="AL110" s="11">
        <f>Commercial!AL110*Commercial!$B$5</f>
        <v>25772.915226621688</v>
      </c>
      <c r="AM110" s="11">
        <f>Commercial!AM110*Commercial!$B$5</f>
        <v>25772.915226621688</v>
      </c>
      <c r="AN110" s="11">
        <f>Commercial!AN110*Commercial!$B$5</f>
        <v>25772.915226621688</v>
      </c>
    </row>
    <row r="111" spans="1:40" x14ac:dyDescent="0.2">
      <c r="A111" s="6" t="s">
        <v>8</v>
      </c>
      <c r="B111" s="11">
        <f>Commercial!B111*Commercial!$B$5</f>
        <v>16904.80739400757</v>
      </c>
      <c r="C111" s="11">
        <f>Commercial!C111*Commercial!$B$5</f>
        <v>16962.612410701793</v>
      </c>
      <c r="D111" s="11">
        <f>Commercial!D111*Commercial!$B$5</f>
        <v>17020.417427396016</v>
      </c>
      <c r="E111" s="11">
        <f>Commercial!E111*Commercial!$B$5</f>
        <v>17078.222444090239</v>
      </c>
      <c r="F111" s="11">
        <f>Commercial!F111*Commercial!$B$5</f>
        <v>17232.850056637253</v>
      </c>
      <c r="G111" s="11">
        <f>Commercial!G111*Commercial!$B$5</f>
        <v>17387.477669184267</v>
      </c>
      <c r="H111" s="11">
        <f>Commercial!H111*Commercial!$B$5</f>
        <v>17542.105281731281</v>
      </c>
      <c r="I111" s="11">
        <f>Commercial!I111*Commercial!$B$5</f>
        <v>17696.732894278291</v>
      </c>
      <c r="J111" s="11">
        <f>Commercial!J111*Commercial!$B$5</f>
        <v>17851.360506825305</v>
      </c>
      <c r="K111" s="11">
        <f>Commercial!K111*Commercial!$B$5</f>
        <v>17981.235750414926</v>
      </c>
      <c r="L111" s="11">
        <f>Commercial!L111*Commercial!$B$5</f>
        <v>18111.11099400455</v>
      </c>
      <c r="M111" s="11">
        <f>Commercial!M111*Commercial!$B$5</f>
        <v>18240.986237594163</v>
      </c>
      <c r="N111" s="11">
        <f>Commercial!N111*Commercial!$B$5</f>
        <v>18370.861481183783</v>
      </c>
      <c r="O111" s="11">
        <f>Commercial!O111*Commercial!$B$5</f>
        <v>18500.736724773404</v>
      </c>
      <c r="P111" s="11">
        <f>Commercial!P111*Commercial!$B$5</f>
        <v>18605.573453355188</v>
      </c>
      <c r="Q111" s="11">
        <f>Commercial!Q111*Commercial!$B$5</f>
        <v>18710.410181936975</v>
      </c>
      <c r="R111" s="11">
        <f>Commercial!R111*Commercial!$B$5</f>
        <v>18815.246910518756</v>
      </c>
      <c r="S111" s="11">
        <f>Commercial!S111*Commercial!$B$5</f>
        <v>18920.083639100536</v>
      </c>
      <c r="T111" s="11">
        <f>Commercial!T111*Commercial!$B$5</f>
        <v>19024.92036768232</v>
      </c>
      <c r="U111" s="11">
        <f>Commercial!U111*Commercial!$B$5</f>
        <v>19105.268192543386</v>
      </c>
      <c r="V111" s="11">
        <f>Commercial!V111*Commercial!$B$5</f>
        <v>19185.616017404456</v>
      </c>
      <c r="W111" s="11">
        <f>Commercial!W111*Commercial!$B$5</f>
        <v>19265.963842265523</v>
      </c>
      <c r="X111" s="11">
        <f>Commercial!X111*Commercial!$B$5</f>
        <v>19346.311667126596</v>
      </c>
      <c r="Y111" s="11">
        <f>Commercial!Y111*Commercial!$B$5</f>
        <v>19426.659491987659</v>
      </c>
      <c r="Z111" s="11">
        <f>Commercial!Z111*Commercial!$B$5</f>
        <v>19483.511097177052</v>
      </c>
      <c r="AA111" s="11">
        <f>Commercial!AA111*Commercial!$B$5</f>
        <v>19540.362702366438</v>
      </c>
      <c r="AB111" s="11">
        <f>Commercial!AB111*Commercial!$B$5</f>
        <v>19597.214307555827</v>
      </c>
      <c r="AC111" s="11">
        <f>Commercial!AC111*Commercial!$B$5</f>
        <v>19654.065912745213</v>
      </c>
      <c r="AD111" s="11">
        <f>Commercial!AD111*Commercial!$B$5</f>
        <v>19710.917517934606</v>
      </c>
      <c r="AE111" s="11">
        <f>Commercial!AE111*Commercial!$B$5</f>
        <v>19710.917517934606</v>
      </c>
      <c r="AF111" s="11">
        <f>Commercial!AF111*Commercial!$B$5</f>
        <v>19710.917517934606</v>
      </c>
      <c r="AG111" s="11">
        <f>Commercial!AG111*Commercial!$B$5</f>
        <v>19710.917517934606</v>
      </c>
      <c r="AH111" s="11">
        <f>Commercial!AH111*Commercial!$B$5</f>
        <v>19710.917517934606</v>
      </c>
      <c r="AI111" s="11">
        <f>Commercial!AI111*Commercial!$B$5</f>
        <v>19710.917517934606</v>
      </c>
      <c r="AJ111" s="11">
        <f>Commercial!AJ111*Commercial!$B$5</f>
        <v>19710.917517934606</v>
      </c>
      <c r="AK111" s="11">
        <f>Commercial!AK111*Commercial!$B$5</f>
        <v>19710.917517934606</v>
      </c>
      <c r="AL111" s="11">
        <f>Commercial!AL111*Commercial!$B$5</f>
        <v>19710.917517934606</v>
      </c>
      <c r="AM111" s="11">
        <f>Commercial!AM111*Commercial!$B$5</f>
        <v>19710.917517934606</v>
      </c>
      <c r="AN111" s="11">
        <f>Commercial!AN111*Commercial!$B$5</f>
        <v>19710.917517934606</v>
      </c>
    </row>
    <row r="112" spans="1:40" x14ac:dyDescent="0.2">
      <c r="A112" s="6" t="s">
        <v>9</v>
      </c>
      <c r="B112" s="11">
        <f>Commercial!B112*Commercial!$B$5</f>
        <v>173302.63937080937</v>
      </c>
      <c r="C112" s="11">
        <f>Commercial!C112*Commercial!$B$5</f>
        <v>173895.23777956344</v>
      </c>
      <c r="D112" s="11">
        <f>Commercial!D112*Commercial!$B$5</f>
        <v>174487.83618831745</v>
      </c>
      <c r="E112" s="11">
        <f>Commercial!E112*Commercial!$B$5</f>
        <v>175080.43459707152</v>
      </c>
      <c r="F112" s="11">
        <f>Commercial!F112*Commercial!$B$5</f>
        <v>176665.62706625657</v>
      </c>
      <c r="G112" s="11">
        <f>Commercial!G112*Commercial!$B$5</f>
        <v>178250.81953544158</v>
      </c>
      <c r="H112" s="11">
        <f>Commercial!H112*Commercial!$B$5</f>
        <v>179836.01200462665</v>
      </c>
      <c r="I112" s="11">
        <f>Commercial!I112*Commercial!$B$5</f>
        <v>181421.20447381164</v>
      </c>
      <c r="J112" s="11">
        <f>Commercial!J112*Commercial!$B$5</f>
        <v>183006.39694299668</v>
      </c>
      <c r="K112" s="11">
        <f>Commercial!K112*Commercial!$B$5</f>
        <v>184337.83609982417</v>
      </c>
      <c r="L112" s="11">
        <f>Commercial!L112*Commercial!$B$5</f>
        <v>185669.27525665163</v>
      </c>
      <c r="M112" s="11">
        <f>Commercial!M112*Commercial!$B$5</f>
        <v>187000.71441347903</v>
      </c>
      <c r="N112" s="11">
        <f>Commercial!N112*Commercial!$B$5</f>
        <v>188332.15357030652</v>
      </c>
      <c r="O112" s="11">
        <f>Commercial!O112*Commercial!$B$5</f>
        <v>189663.59272713392</v>
      </c>
      <c r="P112" s="11">
        <f>Commercial!P112*Commercial!$B$5</f>
        <v>190738.34509447915</v>
      </c>
      <c r="Q112" s="11">
        <f>Commercial!Q112*Commercial!$B$5</f>
        <v>191813.09746182436</v>
      </c>
      <c r="R112" s="11">
        <f>Commercial!R112*Commercial!$B$5</f>
        <v>192887.84982916954</v>
      </c>
      <c r="S112" s="11">
        <f>Commercial!S112*Commercial!$B$5</f>
        <v>193962.60219651472</v>
      </c>
      <c r="T112" s="11">
        <f>Commercial!T112*Commercial!$B$5</f>
        <v>195037.3545638599</v>
      </c>
      <c r="U112" s="11">
        <f>Commercial!U112*Commercial!$B$5</f>
        <v>195861.0545795763</v>
      </c>
      <c r="V112" s="11">
        <f>Commercial!V112*Commercial!$B$5</f>
        <v>196684.7545952927</v>
      </c>
      <c r="W112" s="11">
        <f>Commercial!W112*Commercial!$B$5</f>
        <v>197508.4546110091</v>
      </c>
      <c r="X112" s="11">
        <f>Commercial!X112*Commercial!$B$5</f>
        <v>198332.1546267255</v>
      </c>
      <c r="Y112" s="11">
        <f>Commercial!Y112*Commercial!$B$5</f>
        <v>199155.85464244187</v>
      </c>
      <c r="Z112" s="11">
        <f>Commercial!Z112*Commercial!$B$5</f>
        <v>199738.67898359831</v>
      </c>
      <c r="AA112" s="11">
        <f>Commercial!AA112*Commercial!$B$5</f>
        <v>200321.50332475468</v>
      </c>
      <c r="AB112" s="11">
        <f>Commercial!AB112*Commercial!$B$5</f>
        <v>200904.32766591109</v>
      </c>
      <c r="AC112" s="11">
        <f>Commercial!AC112*Commercial!$B$5</f>
        <v>201487.15200706749</v>
      </c>
      <c r="AD112" s="11">
        <f>Commercial!AD112*Commercial!$B$5</f>
        <v>202069.97634822389</v>
      </c>
      <c r="AE112" s="11">
        <f>Commercial!AE112*Commercial!$B$5</f>
        <v>202069.97634822389</v>
      </c>
      <c r="AF112" s="11">
        <f>Commercial!AF112*Commercial!$B$5</f>
        <v>202069.97634822389</v>
      </c>
      <c r="AG112" s="11">
        <f>Commercial!AG112*Commercial!$B$5</f>
        <v>202069.97634822389</v>
      </c>
      <c r="AH112" s="11">
        <f>Commercial!AH112*Commercial!$B$5</f>
        <v>202069.97634822389</v>
      </c>
      <c r="AI112" s="11">
        <f>Commercial!AI112*Commercial!$B$5</f>
        <v>202069.97634822389</v>
      </c>
      <c r="AJ112" s="11">
        <f>Commercial!AJ112*Commercial!$B$5</f>
        <v>202069.97634822389</v>
      </c>
      <c r="AK112" s="11">
        <f>Commercial!AK112*Commercial!$B$5</f>
        <v>202069.97634822389</v>
      </c>
      <c r="AL112" s="11">
        <f>Commercial!AL112*Commercial!$B$5</f>
        <v>202069.97634822389</v>
      </c>
      <c r="AM112" s="11">
        <f>Commercial!AM112*Commercial!$B$5</f>
        <v>202069.97634822389</v>
      </c>
      <c r="AN112" s="11">
        <f>Commercial!AN112*Commercial!$B$5</f>
        <v>202069.97634822389</v>
      </c>
    </row>
    <row r="113" spans="1:40" x14ac:dyDescent="0.2">
      <c r="A113" s="6" t="s">
        <v>10</v>
      </c>
      <c r="B113" s="11">
        <f>Commercial!B113*Commercial!$B$5</f>
        <v>150.52074149159378</v>
      </c>
      <c r="C113" s="11">
        <f>Commercial!C113*Commercial!$B$5</f>
        <v>151.03543851072891</v>
      </c>
      <c r="D113" s="11">
        <f>Commercial!D113*Commercial!$B$5</f>
        <v>151.55013552986398</v>
      </c>
      <c r="E113" s="11">
        <f>Commercial!E113*Commercial!$B$5</f>
        <v>152.06483254899908</v>
      </c>
      <c r="F113" s="11">
        <f>Commercial!F113*Commercial!$B$5</f>
        <v>153.4416398886616</v>
      </c>
      <c r="G113" s="11">
        <f>Commercial!G113*Commercial!$B$5</f>
        <v>154.81844722832417</v>
      </c>
      <c r="H113" s="11">
        <f>Commercial!H113*Commercial!$B$5</f>
        <v>156.19525456798672</v>
      </c>
      <c r="I113" s="11">
        <f>Commercial!I113*Commercial!$B$5</f>
        <v>157.57206190764921</v>
      </c>
      <c r="J113" s="11">
        <f>Commercial!J113*Commercial!$B$5</f>
        <v>158.94886924731176</v>
      </c>
      <c r="K113" s="11">
        <f>Commercial!K113*Commercial!$B$5</f>
        <v>160.10528100113282</v>
      </c>
      <c r="L113" s="11">
        <f>Commercial!L113*Commercial!$B$5</f>
        <v>161.26169275495383</v>
      </c>
      <c r="M113" s="11">
        <f>Commercial!M113*Commercial!$B$5</f>
        <v>162.41810450877486</v>
      </c>
      <c r="N113" s="11">
        <f>Commercial!N113*Commercial!$B$5</f>
        <v>163.57451626259589</v>
      </c>
      <c r="O113" s="11">
        <f>Commercial!O113*Commercial!$B$5</f>
        <v>164.73092801641693</v>
      </c>
      <c r="P113" s="11">
        <f>Commercial!P113*Commercial!$B$5</f>
        <v>165.66439633426813</v>
      </c>
      <c r="Q113" s="11">
        <f>Commercial!Q113*Commercial!$B$5</f>
        <v>166.59786465211937</v>
      </c>
      <c r="R113" s="11">
        <f>Commercial!R113*Commercial!$B$5</f>
        <v>167.53133296997055</v>
      </c>
      <c r="S113" s="11">
        <f>Commercial!S113*Commercial!$B$5</f>
        <v>168.46480128782176</v>
      </c>
      <c r="T113" s="11">
        <f>Commercial!T113*Commercial!$B$5</f>
        <v>169.39826960567297</v>
      </c>
      <c r="U113" s="11">
        <f>Commercial!U113*Commercial!$B$5</f>
        <v>170.11368823739377</v>
      </c>
      <c r="V113" s="11">
        <f>Commercial!V113*Commercial!$B$5</f>
        <v>170.82910686911458</v>
      </c>
      <c r="W113" s="11">
        <f>Commercial!W113*Commercial!$B$5</f>
        <v>171.54452550083539</v>
      </c>
      <c r="X113" s="11">
        <f>Commercial!X113*Commercial!$B$5</f>
        <v>172.25994413255623</v>
      </c>
      <c r="Y113" s="11">
        <f>Commercial!Y113*Commercial!$B$5</f>
        <v>172.97536276427704</v>
      </c>
      <c r="Z113" s="11">
        <f>Commercial!Z113*Commercial!$B$5</f>
        <v>173.48157058839735</v>
      </c>
      <c r="AA113" s="11">
        <f>Commercial!AA113*Commercial!$B$5</f>
        <v>173.98777841251768</v>
      </c>
      <c r="AB113" s="11">
        <f>Commercial!AB113*Commercial!$B$5</f>
        <v>174.49398623663802</v>
      </c>
      <c r="AC113" s="11">
        <f>Commercial!AC113*Commercial!$B$5</f>
        <v>175.00019406075839</v>
      </c>
      <c r="AD113" s="11">
        <f>Commercial!AD113*Commercial!$B$5</f>
        <v>175.50640188487876</v>
      </c>
      <c r="AE113" s="11">
        <f>Commercial!AE113*Commercial!$B$5</f>
        <v>175.50640188487876</v>
      </c>
      <c r="AF113" s="11">
        <f>Commercial!AF113*Commercial!$B$5</f>
        <v>175.50640188487876</v>
      </c>
      <c r="AG113" s="11">
        <f>Commercial!AG113*Commercial!$B$5</f>
        <v>175.50640188487876</v>
      </c>
      <c r="AH113" s="11">
        <f>Commercial!AH113*Commercial!$B$5</f>
        <v>175.50640188487876</v>
      </c>
      <c r="AI113" s="11">
        <f>Commercial!AI113*Commercial!$B$5</f>
        <v>175.50640188487876</v>
      </c>
      <c r="AJ113" s="11">
        <f>Commercial!AJ113*Commercial!$B$5</f>
        <v>175.50640188487876</v>
      </c>
      <c r="AK113" s="11">
        <f>Commercial!AK113*Commercial!$B$5</f>
        <v>175.50640188487876</v>
      </c>
      <c r="AL113" s="11">
        <f>Commercial!AL113*Commercial!$B$5</f>
        <v>175.50640188487876</v>
      </c>
      <c r="AM113" s="11">
        <f>Commercial!AM113*Commercial!$B$5</f>
        <v>175.50640188487876</v>
      </c>
      <c r="AN113" s="11">
        <f>Commercial!AN113*Commercial!$B$5</f>
        <v>175.50640188487876</v>
      </c>
    </row>
    <row r="114" spans="1:40" x14ac:dyDescent="0.2">
      <c r="A114" s="6" t="s">
        <v>44</v>
      </c>
      <c r="B114" s="11">
        <f>Commercial!B114*Commercial!$B$5</f>
        <v>274840.05915483134</v>
      </c>
      <c r="C114" s="11">
        <f>Commercial!C114*Commercial!$B$5</f>
        <v>275779.85893115524</v>
      </c>
      <c r="D114" s="11">
        <f>Commercial!D114*Commercial!$B$5</f>
        <v>276719.65870747907</v>
      </c>
      <c r="E114" s="11">
        <f>Commercial!E114*Commercial!$B$5</f>
        <v>277659.45848380297</v>
      </c>
      <c r="F114" s="11">
        <f>Commercial!F114*Commercial!$B$5</f>
        <v>280173.40976339317</v>
      </c>
      <c r="G114" s="11">
        <f>Commercial!G114*Commercial!$B$5</f>
        <v>282687.36104298342</v>
      </c>
      <c r="H114" s="11">
        <f>Commercial!H114*Commercial!$B$5</f>
        <v>285201.31232257362</v>
      </c>
      <c r="I114" s="11">
        <f>Commercial!I114*Commercial!$B$5</f>
        <v>287715.26360216382</v>
      </c>
      <c r="J114" s="11">
        <f>Commercial!J114*Commercial!$B$5</f>
        <v>290229.21488175401</v>
      </c>
      <c r="K114" s="11">
        <f>Commercial!K114*Commercial!$B$5</f>
        <v>292340.73965686455</v>
      </c>
      <c r="L114" s="11">
        <f>Commercial!L114*Commercial!$B$5</f>
        <v>294452.26443197514</v>
      </c>
      <c r="M114" s="11">
        <f>Commercial!M114*Commercial!$B$5</f>
        <v>296563.78920708573</v>
      </c>
      <c r="N114" s="11">
        <f>Commercial!N114*Commercial!$B$5</f>
        <v>298675.31398219627</v>
      </c>
      <c r="O114" s="11">
        <f>Commercial!O114*Commercial!$B$5</f>
        <v>300786.83875730686</v>
      </c>
      <c r="P114" s="11">
        <f>Commercial!P114*Commercial!$B$5</f>
        <v>302491.28483666474</v>
      </c>
      <c r="Q114" s="11">
        <f>Commercial!Q114*Commercial!$B$5</f>
        <v>304195.73091602261</v>
      </c>
      <c r="R114" s="11">
        <f>Commercial!R114*Commercial!$B$5</f>
        <v>305900.17699538049</v>
      </c>
      <c r="S114" s="11">
        <f>Commercial!S114*Commercial!$B$5</f>
        <v>307604.62307473837</v>
      </c>
      <c r="T114" s="11">
        <f>Commercial!T114*Commercial!$B$5</f>
        <v>309309.06915409624</v>
      </c>
      <c r="U114" s="11">
        <f>Commercial!U114*Commercial!$B$5</f>
        <v>310615.37217329565</v>
      </c>
      <c r="V114" s="11">
        <f>Commercial!V114*Commercial!$B$5</f>
        <v>311921.67519249517</v>
      </c>
      <c r="W114" s="11">
        <f>Commercial!W114*Commercial!$B$5</f>
        <v>313227.97821169469</v>
      </c>
      <c r="X114" s="11">
        <f>Commercial!X114*Commercial!$B$5</f>
        <v>314534.28123089421</v>
      </c>
      <c r="Y114" s="11">
        <f>Commercial!Y114*Commercial!$B$5</f>
        <v>315840.58425009367</v>
      </c>
      <c r="Z114" s="11">
        <f>Commercial!Z114*Commercial!$B$5</f>
        <v>316764.8833662633</v>
      </c>
      <c r="AA114" s="11">
        <f>Commercial!AA114*Commercial!$B$5</f>
        <v>317689.18248243292</v>
      </c>
      <c r="AB114" s="11">
        <f>Commercial!AB114*Commercial!$B$5</f>
        <v>318613.48159860249</v>
      </c>
      <c r="AC114" s="11">
        <f>Commercial!AC114*Commercial!$B$5</f>
        <v>319537.78071477218</v>
      </c>
      <c r="AD114" s="11">
        <f>Commercial!AD114*Commercial!$B$5</f>
        <v>320462.0798309418</v>
      </c>
      <c r="AE114" s="11">
        <f>Commercial!AE114*Commercial!$B$5</f>
        <v>320462.0798309418</v>
      </c>
      <c r="AF114" s="11">
        <f>Commercial!AF114*Commercial!$B$5</f>
        <v>320462.0798309418</v>
      </c>
      <c r="AG114" s="11">
        <f>Commercial!AG114*Commercial!$B$5</f>
        <v>320462.0798309418</v>
      </c>
      <c r="AH114" s="11">
        <f>Commercial!AH114*Commercial!$B$5</f>
        <v>320462.0798309418</v>
      </c>
      <c r="AI114" s="11">
        <f>Commercial!AI114*Commercial!$B$5</f>
        <v>320462.0798309418</v>
      </c>
      <c r="AJ114" s="11">
        <f>Commercial!AJ114*Commercial!$B$5</f>
        <v>320462.0798309418</v>
      </c>
      <c r="AK114" s="11">
        <f>Commercial!AK114*Commercial!$B$5</f>
        <v>320462.0798309418</v>
      </c>
      <c r="AL114" s="11">
        <f>Commercial!AL114*Commercial!$B$5</f>
        <v>320462.0798309418</v>
      </c>
      <c r="AM114" s="11">
        <f>Commercial!AM114*Commercial!$B$5</f>
        <v>320462.0798309418</v>
      </c>
      <c r="AN114" s="11">
        <f>Commercial!AN114*Commercial!$B$5</f>
        <v>320462.0798309418</v>
      </c>
    </row>
    <row r="116" spans="1:40" x14ac:dyDescent="0.2">
      <c r="A116" s="5" t="s">
        <v>66</v>
      </c>
    </row>
    <row r="117" spans="1:40" x14ac:dyDescent="0.2">
      <c r="A117" s="5" t="s">
        <v>4</v>
      </c>
    </row>
    <row r="118" spans="1:40" x14ac:dyDescent="0.2">
      <c r="A118" s="5" t="s">
        <v>60</v>
      </c>
    </row>
    <row r="119" spans="1:40" x14ac:dyDescent="0.2">
      <c r="A119" s="5" t="s">
        <v>6</v>
      </c>
    </row>
    <row r="120" spans="1:40" x14ac:dyDescent="0.2">
      <c r="A120" s="5"/>
    </row>
    <row r="121" spans="1:40" x14ac:dyDescent="0.2">
      <c r="A121" s="6" t="s">
        <v>7</v>
      </c>
      <c r="B121" s="6">
        <v>2022</v>
      </c>
      <c r="C121" s="6">
        <v>2023</v>
      </c>
      <c r="D121" s="6">
        <v>2024</v>
      </c>
      <c r="E121" s="6">
        <v>2025</v>
      </c>
      <c r="F121" s="6">
        <v>2026</v>
      </c>
      <c r="G121" s="6">
        <v>2027</v>
      </c>
      <c r="H121" s="6">
        <v>2028</v>
      </c>
      <c r="I121" s="6">
        <v>2029</v>
      </c>
      <c r="J121" s="6">
        <v>2030</v>
      </c>
      <c r="K121" s="6">
        <v>2031</v>
      </c>
      <c r="L121" s="6">
        <v>2032</v>
      </c>
      <c r="M121" s="6">
        <v>2033</v>
      </c>
      <c r="N121" s="6">
        <v>2034</v>
      </c>
      <c r="O121" s="6">
        <v>2035</v>
      </c>
      <c r="P121" s="6">
        <v>2036</v>
      </c>
      <c r="Q121" s="6">
        <v>2037</v>
      </c>
      <c r="R121" s="6">
        <v>2038</v>
      </c>
      <c r="S121" s="6">
        <v>2039</v>
      </c>
      <c r="T121" s="6">
        <v>2040</v>
      </c>
      <c r="U121" s="6">
        <v>2041</v>
      </c>
      <c r="V121" s="6">
        <v>2042</v>
      </c>
      <c r="W121" s="6">
        <v>2043</v>
      </c>
      <c r="X121" s="6">
        <v>2044</v>
      </c>
      <c r="Y121" s="6">
        <v>2045</v>
      </c>
      <c r="Z121" s="6">
        <v>2046</v>
      </c>
      <c r="AA121" s="6">
        <v>2047</v>
      </c>
      <c r="AB121" s="6">
        <v>2048</v>
      </c>
      <c r="AC121" s="6">
        <v>2049</v>
      </c>
      <c r="AD121" s="6">
        <v>2050</v>
      </c>
      <c r="AE121" s="6">
        <v>2051</v>
      </c>
      <c r="AF121" s="6">
        <v>2052</v>
      </c>
      <c r="AG121" s="6">
        <v>2053</v>
      </c>
      <c r="AH121" s="6">
        <v>2054</v>
      </c>
      <c r="AI121" s="6">
        <v>2055</v>
      </c>
      <c r="AJ121" s="6">
        <v>2056</v>
      </c>
      <c r="AK121" s="6">
        <v>2057</v>
      </c>
      <c r="AL121" s="6">
        <v>2058</v>
      </c>
      <c r="AM121" s="6">
        <v>2059</v>
      </c>
      <c r="AN121" s="6">
        <v>2060</v>
      </c>
    </row>
    <row r="122" spans="1:40" x14ac:dyDescent="0.2">
      <c r="A122" s="6" t="s">
        <v>40</v>
      </c>
      <c r="B122" s="11">
        <f>Commercial!B122*Commercial!$B$5</f>
        <v>157897.35921763128</v>
      </c>
      <c r="C122" s="11">
        <f>Commercial!C122*Commercial!$B$5</f>
        <v>158437.28015685387</v>
      </c>
      <c r="D122" s="11">
        <f>Commercial!D122*Commercial!$B$5</f>
        <v>158977.20109607637</v>
      </c>
      <c r="E122" s="11">
        <f>Commercial!E122*Commercial!$B$5</f>
        <v>159517.12203529893</v>
      </c>
      <c r="F122" s="11">
        <f>Commercial!F122*Commercial!$B$5</f>
        <v>160961.40300900323</v>
      </c>
      <c r="G122" s="11">
        <f>Commercial!G122*Commercial!$B$5</f>
        <v>162405.6839827075</v>
      </c>
      <c r="H122" s="11">
        <f>Commercial!H122*Commercial!$B$5</f>
        <v>163849.96495641177</v>
      </c>
      <c r="I122" s="11">
        <f>Commercial!I122*Commercial!$B$5</f>
        <v>165294.24593011607</v>
      </c>
      <c r="J122" s="11">
        <f>Commercial!J122*Commercial!$B$5</f>
        <v>166738.52690382031</v>
      </c>
      <c r="K122" s="11">
        <f>Commercial!K122*Commercial!$B$5</f>
        <v>167951.61129529448</v>
      </c>
      <c r="L122" s="11">
        <f>Commercial!L122*Commercial!$B$5</f>
        <v>169164.69568676862</v>
      </c>
      <c r="M122" s="11">
        <f>Commercial!M122*Commercial!$B$5</f>
        <v>170377.78007824279</v>
      </c>
      <c r="N122" s="11">
        <f>Commercial!N122*Commercial!$B$5</f>
        <v>171590.86446971691</v>
      </c>
      <c r="O122" s="11">
        <f>Commercial!O122*Commercial!$B$5</f>
        <v>172803.94886119111</v>
      </c>
      <c r="P122" s="11">
        <f>Commercial!P122*Commercial!$B$5</f>
        <v>173783.16395700737</v>
      </c>
      <c r="Q122" s="11">
        <f>Commercial!Q122*Commercial!$B$5</f>
        <v>174762.3790528237</v>
      </c>
      <c r="R122" s="11">
        <f>Commercial!R122*Commercial!$B$5</f>
        <v>175741.59414864003</v>
      </c>
      <c r="S122" s="11">
        <f>Commercial!S122*Commercial!$B$5</f>
        <v>176720.80924445632</v>
      </c>
      <c r="T122" s="11">
        <f>Commercial!T122*Commercial!$B$5</f>
        <v>177700.02434027259</v>
      </c>
      <c r="U122" s="11">
        <f>Commercial!U122*Commercial!$B$5</f>
        <v>178450.50371982119</v>
      </c>
      <c r="V122" s="11">
        <f>Commercial!V122*Commercial!$B$5</f>
        <v>179200.98309936977</v>
      </c>
      <c r="W122" s="11">
        <f>Commercial!W122*Commercial!$B$5</f>
        <v>179951.46247891837</v>
      </c>
      <c r="X122" s="11">
        <f>Commercial!X122*Commercial!$B$5</f>
        <v>180701.94185846701</v>
      </c>
      <c r="Y122" s="11">
        <f>Commercial!Y122*Commercial!$B$5</f>
        <v>181452.42123801561</v>
      </c>
      <c r="Z122" s="11">
        <f>Commercial!Z122*Commercial!$B$5</f>
        <v>181983.43694955044</v>
      </c>
      <c r="AA122" s="11">
        <f>Commercial!AA122*Commercial!$B$5</f>
        <v>182514.4526610852</v>
      </c>
      <c r="AB122" s="11">
        <f>Commercial!AB122*Commercial!$B$5</f>
        <v>183045.46837262</v>
      </c>
      <c r="AC122" s="11">
        <f>Commercial!AC122*Commercial!$B$5</f>
        <v>183576.48408415483</v>
      </c>
      <c r="AD122" s="11">
        <f>Commercial!AD122*Commercial!$B$5</f>
        <v>184107.49979568966</v>
      </c>
      <c r="AE122" s="11">
        <f>Commercial!AE122*Commercial!$B$5</f>
        <v>184107.49979568966</v>
      </c>
      <c r="AF122" s="11">
        <f>Commercial!AF122*Commercial!$B$5</f>
        <v>184107.49979568966</v>
      </c>
      <c r="AG122" s="11">
        <f>Commercial!AG122*Commercial!$B$5</f>
        <v>184107.49979568966</v>
      </c>
      <c r="AH122" s="11">
        <f>Commercial!AH122*Commercial!$B$5</f>
        <v>184107.49979568966</v>
      </c>
      <c r="AI122" s="11">
        <f>Commercial!AI122*Commercial!$B$5</f>
        <v>184107.49979568966</v>
      </c>
      <c r="AJ122" s="11">
        <f>Commercial!AJ122*Commercial!$B$5</f>
        <v>184107.49979568966</v>
      </c>
      <c r="AK122" s="11">
        <f>Commercial!AK122*Commercial!$B$5</f>
        <v>184107.49979568966</v>
      </c>
      <c r="AL122" s="11">
        <f>Commercial!AL122*Commercial!$B$5</f>
        <v>184107.49979568966</v>
      </c>
      <c r="AM122" s="11">
        <f>Commercial!AM122*Commercial!$B$5</f>
        <v>184107.49979568966</v>
      </c>
      <c r="AN122" s="11">
        <f>Commercial!AN122*Commercial!$B$5</f>
        <v>184107.49979568966</v>
      </c>
    </row>
    <row r="123" spans="1:40" x14ac:dyDescent="0.2">
      <c r="A123" s="6" t="s">
        <v>41</v>
      </c>
      <c r="B123" s="11">
        <f>Commercial!B123*Commercial!$B$5</f>
        <v>96453.706751154285</v>
      </c>
      <c r="C123" s="11">
        <f>Commercial!C123*Commercial!$B$5</f>
        <v>96783.524654370791</v>
      </c>
      <c r="D123" s="11">
        <f>Commercial!D123*Commercial!$B$5</f>
        <v>97113.342557587268</v>
      </c>
      <c r="E123" s="11">
        <f>Commercial!E123*Commercial!$B$5</f>
        <v>97443.160460803774</v>
      </c>
      <c r="F123" s="11">
        <f>Commercial!F123*Commercial!$B$5</f>
        <v>98325.41874678267</v>
      </c>
      <c r="G123" s="11">
        <f>Commercial!G123*Commercial!$B$5</f>
        <v>99207.677032761581</v>
      </c>
      <c r="H123" s="11">
        <f>Commercial!H123*Commercial!$B$5</f>
        <v>100089.93531874049</v>
      </c>
      <c r="I123" s="11">
        <f>Commercial!I123*Commercial!$B$5</f>
        <v>100972.19360471939</v>
      </c>
      <c r="J123" s="11">
        <f>Commercial!J123*Commercial!$B$5</f>
        <v>101854.45189069831</v>
      </c>
      <c r="K123" s="11">
        <f>Commercial!K123*Commercial!$B$5</f>
        <v>102595.48066242324</v>
      </c>
      <c r="L123" s="11">
        <f>Commercial!L123*Commercial!$B$5</f>
        <v>103336.50943414817</v>
      </c>
      <c r="M123" s="11">
        <f>Commercial!M123*Commercial!$B$5</f>
        <v>104077.53820587309</v>
      </c>
      <c r="N123" s="11">
        <f>Commercial!N123*Commercial!$B$5</f>
        <v>104818.56697759801</v>
      </c>
      <c r="O123" s="11">
        <f>Commercial!O123*Commercial!$B$5</f>
        <v>105559.59574932295</v>
      </c>
      <c r="P123" s="11">
        <f>Commercial!P123*Commercial!$B$5</f>
        <v>106157.76234416755</v>
      </c>
      <c r="Q123" s="11">
        <f>Commercial!Q123*Commercial!$B$5</f>
        <v>106755.9289390122</v>
      </c>
      <c r="R123" s="11">
        <f>Commercial!R123*Commercial!$B$5</f>
        <v>107354.09553385682</v>
      </c>
      <c r="S123" s="11">
        <f>Commercial!S123*Commercial!$B$5</f>
        <v>107952.26212870146</v>
      </c>
      <c r="T123" s="11">
        <f>Commercial!T123*Commercial!$B$5</f>
        <v>108550.42872354607</v>
      </c>
      <c r="U123" s="11">
        <f>Commercial!U123*Commercial!$B$5</f>
        <v>109008.86905691477</v>
      </c>
      <c r="V123" s="11">
        <f>Commercial!V123*Commercial!$B$5</f>
        <v>109467.30939028348</v>
      </c>
      <c r="W123" s="11">
        <f>Commercial!W123*Commercial!$B$5</f>
        <v>109925.74972365214</v>
      </c>
      <c r="X123" s="11">
        <f>Commercial!X123*Commercial!$B$5</f>
        <v>110384.19005702087</v>
      </c>
      <c r="Y123" s="11">
        <f>Commercial!Y123*Commercial!$B$5</f>
        <v>110842.63039038958</v>
      </c>
      <c r="Z123" s="11">
        <f>Commercial!Z123*Commercial!$B$5</f>
        <v>111167.00841656062</v>
      </c>
      <c r="AA123" s="11">
        <f>Commercial!AA123*Commercial!$B$5</f>
        <v>111491.38644273166</v>
      </c>
      <c r="AB123" s="11">
        <f>Commercial!AB123*Commercial!$B$5</f>
        <v>111815.76446890268</v>
      </c>
      <c r="AC123" s="11">
        <f>Commercial!AC123*Commercial!$B$5</f>
        <v>112140.14249507371</v>
      </c>
      <c r="AD123" s="11">
        <f>Commercial!AD123*Commercial!$B$5</f>
        <v>112464.52052124475</v>
      </c>
      <c r="AE123" s="11">
        <f>Commercial!AE123*Commercial!$B$5</f>
        <v>112464.52052124475</v>
      </c>
      <c r="AF123" s="11">
        <f>Commercial!AF123*Commercial!$B$5</f>
        <v>112464.52052124475</v>
      </c>
      <c r="AG123" s="11">
        <f>Commercial!AG123*Commercial!$B$5</f>
        <v>112464.52052124475</v>
      </c>
      <c r="AH123" s="11">
        <f>Commercial!AH123*Commercial!$B$5</f>
        <v>112464.52052124475</v>
      </c>
      <c r="AI123" s="11">
        <f>Commercial!AI123*Commercial!$B$5</f>
        <v>112464.52052124475</v>
      </c>
      <c r="AJ123" s="11">
        <f>Commercial!AJ123*Commercial!$B$5</f>
        <v>112464.52052124475</v>
      </c>
      <c r="AK123" s="11">
        <f>Commercial!AK123*Commercial!$B$5</f>
        <v>112464.52052124475</v>
      </c>
      <c r="AL123" s="11">
        <f>Commercial!AL123*Commercial!$B$5</f>
        <v>112464.52052124475</v>
      </c>
      <c r="AM123" s="11">
        <f>Commercial!AM123*Commercial!$B$5</f>
        <v>112464.52052124475</v>
      </c>
      <c r="AN123" s="11">
        <f>Commercial!AN123*Commercial!$B$5</f>
        <v>112464.52052124475</v>
      </c>
    </row>
    <row r="124" spans="1:40" x14ac:dyDescent="0.2">
      <c r="A124" s="6" t="s">
        <v>42</v>
      </c>
      <c r="B124" s="11">
        <f>Commercial!B124*Commercial!$B$5</f>
        <v>74896.778380725809</v>
      </c>
      <c r="C124" s="11">
        <f>Commercial!C124*Commercial!$B$5</f>
        <v>75152.883607111085</v>
      </c>
      <c r="D124" s="11">
        <f>Commercial!D124*Commercial!$B$5</f>
        <v>75408.988833496333</v>
      </c>
      <c r="E124" s="11">
        <f>Commercial!E124*Commercial!$B$5</f>
        <v>75665.094059881594</v>
      </c>
      <c r="F124" s="11">
        <f>Commercial!F124*Commercial!$B$5</f>
        <v>76350.171964559748</v>
      </c>
      <c r="G124" s="11">
        <f>Commercial!G124*Commercial!$B$5</f>
        <v>77035.249869237887</v>
      </c>
      <c r="H124" s="11">
        <f>Commercial!H124*Commercial!$B$5</f>
        <v>77720.32777391604</v>
      </c>
      <c r="I124" s="11">
        <f>Commercial!I124*Commercial!$B$5</f>
        <v>78405.405678594194</v>
      </c>
      <c r="J124" s="11">
        <f>Commercial!J124*Commercial!$B$5</f>
        <v>79090.483583272333</v>
      </c>
      <c r="K124" s="11">
        <f>Commercial!K124*Commercial!$B$5</f>
        <v>79665.896074497912</v>
      </c>
      <c r="L124" s="11">
        <f>Commercial!L124*Commercial!$B$5</f>
        <v>80241.308565723491</v>
      </c>
      <c r="M124" s="11">
        <f>Commercial!M124*Commercial!$B$5</f>
        <v>80816.721056949085</v>
      </c>
      <c r="N124" s="11">
        <f>Commercial!N124*Commercial!$B$5</f>
        <v>81392.133548174636</v>
      </c>
      <c r="O124" s="11">
        <f>Commercial!O124*Commercial!$B$5</f>
        <v>81967.546039400229</v>
      </c>
      <c r="P124" s="11">
        <f>Commercial!P124*Commercial!$B$5</f>
        <v>82432.025346602124</v>
      </c>
      <c r="Q124" s="11">
        <f>Commercial!Q124*Commercial!$B$5</f>
        <v>82896.504653804019</v>
      </c>
      <c r="R124" s="11">
        <f>Commercial!R124*Commercial!$B$5</f>
        <v>83360.983961005928</v>
      </c>
      <c r="S124" s="11">
        <f>Commercial!S124*Commercial!$B$5</f>
        <v>83825.463268207823</v>
      </c>
      <c r="T124" s="11">
        <f>Commercial!T124*Commercial!$B$5</f>
        <v>84289.942575409732</v>
      </c>
      <c r="U124" s="11">
        <f>Commercial!U124*Commercial!$B$5</f>
        <v>84645.923752345581</v>
      </c>
      <c r="V124" s="11">
        <f>Commercial!V124*Commercial!$B$5</f>
        <v>85001.904929281431</v>
      </c>
      <c r="W124" s="11">
        <f>Commercial!W124*Commercial!$B$5</f>
        <v>85357.88610621728</v>
      </c>
      <c r="X124" s="11">
        <f>Commercial!X124*Commercial!$B$5</f>
        <v>85713.867283153158</v>
      </c>
      <c r="Y124" s="11">
        <f>Commercial!Y124*Commercial!$B$5</f>
        <v>86069.848460088993</v>
      </c>
      <c r="Z124" s="11">
        <f>Commercial!Z124*Commercial!$B$5</f>
        <v>86321.729595154029</v>
      </c>
      <c r="AA124" s="11">
        <f>Commercial!AA124*Commercial!$B$5</f>
        <v>86573.61073021905</v>
      </c>
      <c r="AB124" s="11">
        <f>Commercial!AB124*Commercial!$B$5</f>
        <v>86825.491865284057</v>
      </c>
      <c r="AC124" s="11">
        <f>Commercial!AC124*Commercial!$B$5</f>
        <v>87077.373000349064</v>
      </c>
      <c r="AD124" s="11">
        <f>Commercial!AD124*Commercial!$B$5</f>
        <v>87329.254135414099</v>
      </c>
      <c r="AE124" s="11">
        <f>Commercial!AE124*Commercial!$B$5</f>
        <v>87329.254135414099</v>
      </c>
      <c r="AF124" s="11">
        <f>Commercial!AF124*Commercial!$B$5</f>
        <v>87329.254135414099</v>
      </c>
      <c r="AG124" s="11">
        <f>Commercial!AG124*Commercial!$B$5</f>
        <v>87329.254135414099</v>
      </c>
      <c r="AH124" s="11">
        <f>Commercial!AH124*Commercial!$B$5</f>
        <v>87329.254135414099</v>
      </c>
      <c r="AI124" s="11">
        <f>Commercial!AI124*Commercial!$B$5</f>
        <v>87329.254135414099</v>
      </c>
      <c r="AJ124" s="11">
        <f>Commercial!AJ124*Commercial!$B$5</f>
        <v>87329.254135414099</v>
      </c>
      <c r="AK124" s="11">
        <f>Commercial!AK124*Commercial!$B$5</f>
        <v>87329.254135414099</v>
      </c>
      <c r="AL124" s="11">
        <f>Commercial!AL124*Commercial!$B$5</f>
        <v>87329.254135414099</v>
      </c>
      <c r="AM124" s="11">
        <f>Commercial!AM124*Commercial!$B$5</f>
        <v>87329.254135414099</v>
      </c>
      <c r="AN124" s="11">
        <f>Commercial!AN124*Commercial!$B$5</f>
        <v>87329.254135414099</v>
      </c>
    </row>
    <row r="125" spans="1:40" x14ac:dyDescent="0.2">
      <c r="A125" s="6" t="s">
        <v>43</v>
      </c>
      <c r="B125" s="11">
        <f>Commercial!B125*Commercial!$B$5</f>
        <v>5252.4870460828843</v>
      </c>
      <c r="C125" s="11">
        <f>Commercial!C125*Commercial!$B$5</f>
        <v>5270.4476234682652</v>
      </c>
      <c r="D125" s="11">
        <f>Commercial!D125*Commercial!$B$5</f>
        <v>5288.4082008536443</v>
      </c>
      <c r="E125" s="11">
        <f>Commercial!E125*Commercial!$B$5</f>
        <v>5306.3687782390243</v>
      </c>
      <c r="F125" s="11">
        <f>Commercial!F125*Commercial!$B$5</f>
        <v>5354.4130719680261</v>
      </c>
      <c r="G125" s="11">
        <f>Commercial!G125*Commercial!$B$5</f>
        <v>5402.4573656970279</v>
      </c>
      <c r="H125" s="11">
        <f>Commercial!H125*Commercial!$B$5</f>
        <v>5450.5016594260323</v>
      </c>
      <c r="I125" s="11">
        <f>Commercial!I125*Commercial!$B$5</f>
        <v>5498.5459531550341</v>
      </c>
      <c r="J125" s="11">
        <f>Commercial!J125*Commercial!$B$5</f>
        <v>5546.5902468840359</v>
      </c>
      <c r="K125" s="11">
        <f>Commercial!K125*Commercial!$B$5</f>
        <v>5586.9437403407637</v>
      </c>
      <c r="L125" s="11">
        <f>Commercial!L125*Commercial!$B$5</f>
        <v>5627.2972337974916</v>
      </c>
      <c r="M125" s="11">
        <f>Commercial!M125*Commercial!$B$5</f>
        <v>5667.6507272542203</v>
      </c>
      <c r="N125" s="11">
        <f>Commercial!N125*Commercial!$B$5</f>
        <v>5708.0042207109482</v>
      </c>
      <c r="O125" s="11">
        <f>Commercial!O125*Commercial!$B$5</f>
        <v>5748.3577141676769</v>
      </c>
      <c r="P125" s="11">
        <f>Commercial!P125*Commercial!$B$5</f>
        <v>5780.9314990085923</v>
      </c>
      <c r="Q125" s="11">
        <f>Commercial!Q125*Commercial!$B$5</f>
        <v>5813.5052838495085</v>
      </c>
      <c r="R125" s="11">
        <f>Commercial!R125*Commercial!$B$5</f>
        <v>5846.0790686904256</v>
      </c>
      <c r="S125" s="11">
        <f>Commercial!S125*Commercial!$B$5</f>
        <v>5878.65285353134</v>
      </c>
      <c r="T125" s="11">
        <f>Commercial!T125*Commercial!$B$5</f>
        <v>5911.2266383722563</v>
      </c>
      <c r="U125" s="11">
        <f>Commercial!U125*Commercial!$B$5</f>
        <v>5936.1914841363841</v>
      </c>
      <c r="V125" s="11">
        <f>Commercial!V125*Commercial!$B$5</f>
        <v>5961.156329900512</v>
      </c>
      <c r="W125" s="11">
        <f>Commercial!W125*Commercial!$B$5</f>
        <v>5986.1211756646408</v>
      </c>
      <c r="X125" s="11">
        <f>Commercial!X125*Commercial!$B$5</f>
        <v>6011.0860214287695</v>
      </c>
      <c r="Y125" s="11">
        <f>Commercial!Y125*Commercial!$B$5</f>
        <v>6036.0508671928983</v>
      </c>
      <c r="Z125" s="11">
        <f>Commercial!Z125*Commercial!$B$5</f>
        <v>6053.7152104087891</v>
      </c>
      <c r="AA125" s="11">
        <f>Commercial!AA125*Commercial!$B$5</f>
        <v>6071.3795536246807</v>
      </c>
      <c r="AB125" s="11">
        <f>Commercial!AB125*Commercial!$B$5</f>
        <v>6089.0438968405706</v>
      </c>
      <c r="AC125" s="11">
        <f>Commercial!AC125*Commercial!$B$5</f>
        <v>6106.7082400564632</v>
      </c>
      <c r="AD125" s="11">
        <f>Commercial!AD125*Commercial!$B$5</f>
        <v>6124.372583272353</v>
      </c>
      <c r="AE125" s="11">
        <f>Commercial!AE125*Commercial!$B$5</f>
        <v>6124.372583272353</v>
      </c>
      <c r="AF125" s="11">
        <f>Commercial!AF125*Commercial!$B$5</f>
        <v>6124.372583272353</v>
      </c>
      <c r="AG125" s="11">
        <f>Commercial!AG125*Commercial!$B$5</f>
        <v>6124.372583272353</v>
      </c>
      <c r="AH125" s="11">
        <f>Commercial!AH125*Commercial!$B$5</f>
        <v>6124.372583272353</v>
      </c>
      <c r="AI125" s="11">
        <f>Commercial!AI125*Commercial!$B$5</f>
        <v>6124.372583272353</v>
      </c>
      <c r="AJ125" s="11">
        <f>Commercial!AJ125*Commercial!$B$5</f>
        <v>6124.372583272353</v>
      </c>
      <c r="AK125" s="11">
        <f>Commercial!AK125*Commercial!$B$5</f>
        <v>6124.372583272353</v>
      </c>
      <c r="AL125" s="11">
        <f>Commercial!AL125*Commercial!$B$5</f>
        <v>6124.372583272353</v>
      </c>
      <c r="AM125" s="11">
        <f>Commercial!AM125*Commercial!$B$5</f>
        <v>6124.372583272353</v>
      </c>
      <c r="AN125" s="11">
        <f>Commercial!AN125*Commercial!$B$5</f>
        <v>6124.372583272353</v>
      </c>
    </row>
    <row r="126" spans="1:40" x14ac:dyDescent="0.2">
      <c r="A126" s="6" t="s">
        <v>8</v>
      </c>
      <c r="B126" s="11">
        <f>Commercial!B126*Commercial!$B$5</f>
        <v>4017.0596930540014</v>
      </c>
      <c r="C126" s="11">
        <f>Commercial!C126*Commercial!$B$5</f>
        <v>4030.7957976546963</v>
      </c>
      <c r="D126" s="11">
        <f>Commercial!D126*Commercial!$B$5</f>
        <v>4044.5319022553904</v>
      </c>
      <c r="E126" s="11">
        <f>Commercial!E126*Commercial!$B$5</f>
        <v>4058.2680068560853</v>
      </c>
      <c r="F126" s="11">
        <f>Commercial!F126*Commercial!$B$5</f>
        <v>4095.0118948708027</v>
      </c>
      <c r="G126" s="11">
        <f>Commercial!G126*Commercial!$B$5</f>
        <v>4131.7557828855197</v>
      </c>
      <c r="H126" s="11">
        <f>Commercial!H126*Commercial!$B$5</f>
        <v>4168.4996709002362</v>
      </c>
      <c r="I126" s="11">
        <f>Commercial!I126*Commercial!$B$5</f>
        <v>4205.2435589149536</v>
      </c>
      <c r="J126" s="11">
        <f>Commercial!J126*Commercial!$B$5</f>
        <v>4241.987446929671</v>
      </c>
      <c r="K126" s="11">
        <f>Commercial!K126*Commercial!$B$5</f>
        <v>4272.8494729788035</v>
      </c>
      <c r="L126" s="11">
        <f>Commercial!L126*Commercial!$B$5</f>
        <v>4303.711499027936</v>
      </c>
      <c r="M126" s="11">
        <f>Commercial!M126*Commercial!$B$5</f>
        <v>4334.5735250770686</v>
      </c>
      <c r="N126" s="11">
        <f>Commercial!N126*Commercial!$B$5</f>
        <v>4365.4355511262002</v>
      </c>
      <c r="O126" s="11">
        <f>Commercial!O126*Commercial!$B$5</f>
        <v>4396.2975771753336</v>
      </c>
      <c r="P126" s="11">
        <f>Commercial!P126*Commercial!$B$5</f>
        <v>4421.2097448754403</v>
      </c>
      <c r="Q126" s="11">
        <f>Commercial!Q126*Commercial!$B$5</f>
        <v>4446.121912575547</v>
      </c>
      <c r="R126" s="11">
        <f>Commercial!R126*Commercial!$B$5</f>
        <v>4471.0340802756546</v>
      </c>
      <c r="S126" s="11">
        <f>Commercial!S126*Commercial!$B$5</f>
        <v>4495.9462479757622</v>
      </c>
      <c r="T126" s="11">
        <f>Commercial!T126*Commercial!$B$5</f>
        <v>4520.8584156758689</v>
      </c>
      <c r="U126" s="11">
        <f>Commercial!U126*Commercial!$B$5</f>
        <v>4539.9513281918889</v>
      </c>
      <c r="V126" s="11">
        <f>Commercial!V126*Commercial!$B$5</f>
        <v>4559.044240707909</v>
      </c>
      <c r="W126" s="11">
        <f>Commercial!W126*Commercial!$B$5</f>
        <v>4578.1371532239282</v>
      </c>
      <c r="X126" s="11">
        <f>Commercial!X126*Commercial!$B$5</f>
        <v>4597.2300657399501</v>
      </c>
      <c r="Y126" s="11">
        <f>Commercial!Y126*Commercial!$B$5</f>
        <v>4616.3229782559702</v>
      </c>
      <c r="Z126" s="11">
        <f>Commercial!Z126*Commercial!$B$5</f>
        <v>4629.8325253551384</v>
      </c>
      <c r="AA126" s="11">
        <f>Commercial!AA126*Commercial!$B$5</f>
        <v>4643.3420724543075</v>
      </c>
      <c r="AB126" s="11">
        <f>Commercial!AB126*Commercial!$B$5</f>
        <v>4656.8516195534748</v>
      </c>
      <c r="AC126" s="11">
        <f>Commercial!AC126*Commercial!$B$5</f>
        <v>4670.3611666526431</v>
      </c>
      <c r="AD126" s="11">
        <f>Commercial!AD126*Commercial!$B$5</f>
        <v>4683.8707137518113</v>
      </c>
      <c r="AE126" s="11">
        <f>Commercial!AE126*Commercial!$B$5</f>
        <v>4683.8707137518113</v>
      </c>
      <c r="AF126" s="11">
        <f>Commercial!AF126*Commercial!$B$5</f>
        <v>4683.8707137518113</v>
      </c>
      <c r="AG126" s="11">
        <f>Commercial!AG126*Commercial!$B$5</f>
        <v>4683.8707137518113</v>
      </c>
      <c r="AH126" s="11">
        <f>Commercial!AH126*Commercial!$B$5</f>
        <v>4683.8707137518113</v>
      </c>
      <c r="AI126" s="11">
        <f>Commercial!AI126*Commercial!$B$5</f>
        <v>4683.8707137518113</v>
      </c>
      <c r="AJ126" s="11">
        <f>Commercial!AJ126*Commercial!$B$5</f>
        <v>4683.8707137518113</v>
      </c>
      <c r="AK126" s="11">
        <f>Commercial!AK126*Commercial!$B$5</f>
        <v>4683.8707137518113</v>
      </c>
      <c r="AL126" s="11">
        <f>Commercial!AL126*Commercial!$B$5</f>
        <v>4683.8707137518113</v>
      </c>
      <c r="AM126" s="11">
        <f>Commercial!AM126*Commercial!$B$5</f>
        <v>4683.8707137518113</v>
      </c>
      <c r="AN126" s="11">
        <f>Commercial!AN126*Commercial!$B$5</f>
        <v>4683.8707137518113</v>
      </c>
    </row>
    <row r="127" spans="1:40" x14ac:dyDescent="0.2">
      <c r="A127" s="6" t="s">
        <v>9</v>
      </c>
      <c r="B127" s="11">
        <f>Commercial!B127*Commercial!$B$5</f>
        <v>41181.601842037533</v>
      </c>
      <c r="C127" s="11">
        <f>Commercial!C127*Commercial!$B$5</f>
        <v>41322.419961196807</v>
      </c>
      <c r="D127" s="11">
        <f>Commercial!D127*Commercial!$B$5</f>
        <v>41463.238080356074</v>
      </c>
      <c r="E127" s="11">
        <f>Commercial!E127*Commercial!$B$5</f>
        <v>41604.05619951534</v>
      </c>
      <c r="F127" s="11">
        <f>Commercial!F127*Commercial!$B$5</f>
        <v>41980.742702075157</v>
      </c>
      <c r="G127" s="11">
        <f>Commercial!G127*Commercial!$B$5</f>
        <v>42357.429204634958</v>
      </c>
      <c r="H127" s="11">
        <f>Commercial!H127*Commercial!$B$5</f>
        <v>42734.115707194782</v>
      </c>
      <c r="I127" s="11">
        <f>Commercial!I127*Commercial!$B$5</f>
        <v>43110.802209754591</v>
      </c>
      <c r="J127" s="11">
        <f>Commercial!J127*Commercial!$B$5</f>
        <v>43487.4887123144</v>
      </c>
      <c r="K127" s="11">
        <f>Commercial!K127*Commercial!$B$5</f>
        <v>43803.876260896664</v>
      </c>
      <c r="L127" s="11">
        <f>Commercial!L127*Commercial!$B$5</f>
        <v>44120.263809478929</v>
      </c>
      <c r="M127" s="11">
        <f>Commercial!M127*Commercial!$B$5</f>
        <v>44436.651358061186</v>
      </c>
      <c r="N127" s="11">
        <f>Commercial!N127*Commercial!$B$5</f>
        <v>44753.038906643436</v>
      </c>
      <c r="O127" s="11">
        <f>Commercial!O127*Commercial!$B$5</f>
        <v>45069.426455225708</v>
      </c>
      <c r="P127" s="11">
        <f>Commercial!P127*Commercial!$B$5</f>
        <v>45324.817972813013</v>
      </c>
      <c r="Q127" s="11">
        <f>Commercial!Q127*Commercial!$B$5</f>
        <v>45580.209490400332</v>
      </c>
      <c r="R127" s="11">
        <f>Commercial!R127*Commercial!$B$5</f>
        <v>45835.601007987643</v>
      </c>
      <c r="S127" s="11">
        <f>Commercial!S127*Commercial!$B$5</f>
        <v>46090.992525574955</v>
      </c>
      <c r="T127" s="11">
        <f>Commercial!T127*Commercial!$B$5</f>
        <v>46346.384043162252</v>
      </c>
      <c r="U127" s="11">
        <f>Commercial!U127*Commercial!$B$5</f>
        <v>46542.118431326599</v>
      </c>
      <c r="V127" s="11">
        <f>Commercial!V127*Commercial!$B$5</f>
        <v>46737.852819490952</v>
      </c>
      <c r="W127" s="11">
        <f>Commercial!W127*Commercial!$B$5</f>
        <v>46933.587207655291</v>
      </c>
      <c r="X127" s="11">
        <f>Commercial!X127*Commercial!$B$5</f>
        <v>47129.32159581966</v>
      </c>
      <c r="Y127" s="11">
        <f>Commercial!Y127*Commercial!$B$5</f>
        <v>47325.055983984006</v>
      </c>
      <c r="Z127" s="11">
        <f>Commercial!Z127*Commercial!$B$5</f>
        <v>47463.551508625133</v>
      </c>
      <c r="AA127" s="11">
        <f>Commercial!AA127*Commercial!$B$5</f>
        <v>47602.047033266252</v>
      </c>
      <c r="AB127" s="11">
        <f>Commercial!AB127*Commercial!$B$5</f>
        <v>47740.542557907364</v>
      </c>
      <c r="AC127" s="11">
        <f>Commercial!AC127*Commercial!$B$5</f>
        <v>47879.038082548475</v>
      </c>
      <c r="AD127" s="11">
        <f>Commercial!AD127*Commercial!$B$5</f>
        <v>48017.533607189602</v>
      </c>
      <c r="AE127" s="11">
        <f>Commercial!AE127*Commercial!$B$5</f>
        <v>48017.533607189602</v>
      </c>
      <c r="AF127" s="11">
        <f>Commercial!AF127*Commercial!$B$5</f>
        <v>48017.533607189602</v>
      </c>
      <c r="AG127" s="11">
        <f>Commercial!AG127*Commercial!$B$5</f>
        <v>48017.533607189602</v>
      </c>
      <c r="AH127" s="11">
        <f>Commercial!AH127*Commercial!$B$5</f>
        <v>48017.533607189602</v>
      </c>
      <c r="AI127" s="11">
        <f>Commercial!AI127*Commercial!$B$5</f>
        <v>48017.533607189602</v>
      </c>
      <c r="AJ127" s="11">
        <f>Commercial!AJ127*Commercial!$B$5</f>
        <v>48017.533607189602</v>
      </c>
      <c r="AK127" s="11">
        <f>Commercial!AK127*Commercial!$B$5</f>
        <v>48017.533607189602</v>
      </c>
      <c r="AL127" s="11">
        <f>Commercial!AL127*Commercial!$B$5</f>
        <v>48017.533607189602</v>
      </c>
      <c r="AM127" s="11">
        <f>Commercial!AM127*Commercial!$B$5</f>
        <v>48017.533607189602</v>
      </c>
      <c r="AN127" s="11">
        <f>Commercial!AN127*Commercial!$B$5</f>
        <v>48017.533607189602</v>
      </c>
    </row>
    <row r="128" spans="1:40" x14ac:dyDescent="0.2">
      <c r="A128" s="6" t="s">
        <v>10</v>
      </c>
      <c r="B128" s="11">
        <f>Commercial!B128*Commercial!$B$5</f>
        <v>35.76797945824687</v>
      </c>
      <c r="C128" s="11">
        <f>Commercial!C128*Commercial!$B$5</f>
        <v>35.890286007000313</v>
      </c>
      <c r="D128" s="11">
        <f>Commercial!D128*Commercial!$B$5</f>
        <v>36.012592555753734</v>
      </c>
      <c r="E128" s="11">
        <f>Commercial!E128*Commercial!$B$5</f>
        <v>36.134899104507177</v>
      </c>
      <c r="F128" s="11">
        <f>Commercial!F128*Commercial!$B$5</f>
        <v>36.462067414701579</v>
      </c>
      <c r="G128" s="11">
        <f>Commercial!G128*Commercial!$B$5</f>
        <v>36.789235724895981</v>
      </c>
      <c r="H128" s="11">
        <f>Commercial!H128*Commercial!$B$5</f>
        <v>37.11640403509039</v>
      </c>
      <c r="I128" s="11">
        <f>Commercial!I128*Commercial!$B$5</f>
        <v>37.443572345284785</v>
      </c>
      <c r="J128" s="11">
        <f>Commercial!J128*Commercial!$B$5</f>
        <v>37.770740655479194</v>
      </c>
      <c r="K128" s="11">
        <f>Commercial!K128*Commercial!$B$5</f>
        <v>38.045536749665686</v>
      </c>
      <c r="L128" s="11">
        <f>Commercial!L128*Commercial!$B$5</f>
        <v>38.320332843852192</v>
      </c>
      <c r="M128" s="11">
        <f>Commercial!M128*Commercial!$B$5</f>
        <v>38.595128938038691</v>
      </c>
      <c r="N128" s="11">
        <f>Commercial!N128*Commercial!$B$5</f>
        <v>38.869925032225183</v>
      </c>
      <c r="O128" s="11">
        <f>Commercial!O128*Commercial!$B$5</f>
        <v>39.144721126411689</v>
      </c>
      <c r="P128" s="11">
        <f>Commercial!P128*Commercial!$B$5</f>
        <v>39.366539563438785</v>
      </c>
      <c r="Q128" s="11">
        <f>Commercial!Q128*Commercial!$B$5</f>
        <v>39.588358000465895</v>
      </c>
      <c r="R128" s="11">
        <f>Commercial!R128*Commercial!$B$5</f>
        <v>39.810176437493013</v>
      </c>
      <c r="S128" s="11">
        <f>Commercial!S128*Commercial!$B$5</f>
        <v>40.031994874520116</v>
      </c>
      <c r="T128" s="11">
        <f>Commercial!T128*Commercial!$B$5</f>
        <v>40.253813311547219</v>
      </c>
      <c r="U128" s="11">
        <f>Commercial!U128*Commercial!$B$5</f>
        <v>40.423816984594936</v>
      </c>
      <c r="V128" s="11">
        <f>Commercial!V128*Commercial!$B$5</f>
        <v>40.593820657642659</v>
      </c>
      <c r="W128" s="11">
        <f>Commercial!W128*Commercial!$B$5</f>
        <v>40.763824330690369</v>
      </c>
      <c r="X128" s="11">
        <f>Commercial!X128*Commercial!$B$5</f>
        <v>40.933828003738093</v>
      </c>
      <c r="Y128" s="11">
        <f>Commercial!Y128*Commercial!$B$5</f>
        <v>41.103831676785802</v>
      </c>
      <c r="Z128" s="11">
        <f>Commercial!Z128*Commercial!$B$5</f>
        <v>41.22412095303649</v>
      </c>
      <c r="AA128" s="11">
        <f>Commercial!AA128*Commercial!$B$5</f>
        <v>41.344410229287178</v>
      </c>
      <c r="AB128" s="11">
        <f>Commercial!AB128*Commercial!$B$5</f>
        <v>41.464699505537865</v>
      </c>
      <c r="AC128" s="11">
        <f>Commercial!AC128*Commercial!$B$5</f>
        <v>41.584988781788553</v>
      </c>
      <c r="AD128" s="11">
        <f>Commercial!AD128*Commercial!$B$5</f>
        <v>41.705278058039234</v>
      </c>
      <c r="AE128" s="11">
        <f>Commercial!AE128*Commercial!$B$5</f>
        <v>41.705278058039234</v>
      </c>
      <c r="AF128" s="11">
        <f>Commercial!AF128*Commercial!$B$5</f>
        <v>41.705278058039234</v>
      </c>
      <c r="AG128" s="11">
        <f>Commercial!AG128*Commercial!$B$5</f>
        <v>41.705278058039234</v>
      </c>
      <c r="AH128" s="11">
        <f>Commercial!AH128*Commercial!$B$5</f>
        <v>41.705278058039234</v>
      </c>
      <c r="AI128" s="11">
        <f>Commercial!AI128*Commercial!$B$5</f>
        <v>41.705278058039234</v>
      </c>
      <c r="AJ128" s="11">
        <f>Commercial!AJ128*Commercial!$B$5</f>
        <v>41.705278058039234</v>
      </c>
      <c r="AK128" s="11">
        <f>Commercial!AK128*Commercial!$B$5</f>
        <v>41.705278058039234</v>
      </c>
      <c r="AL128" s="11">
        <f>Commercial!AL128*Commercial!$B$5</f>
        <v>41.705278058039234</v>
      </c>
      <c r="AM128" s="11">
        <f>Commercial!AM128*Commercial!$B$5</f>
        <v>41.705278058039234</v>
      </c>
      <c r="AN128" s="11">
        <f>Commercial!AN128*Commercial!$B$5</f>
        <v>41.705278058039234</v>
      </c>
    </row>
    <row r="129" spans="1:40" x14ac:dyDescent="0.2">
      <c r="A129" s="6" t="s">
        <v>44</v>
      </c>
      <c r="B129" s="11">
        <f>Commercial!B129*Commercial!$B$5</f>
        <v>65309.760586731951</v>
      </c>
      <c r="C129" s="11">
        <f>Commercial!C129*Commercial!$B$5</f>
        <v>65533.083557116712</v>
      </c>
      <c r="D129" s="11">
        <f>Commercial!D129*Commercial!$B$5</f>
        <v>65756.406527501458</v>
      </c>
      <c r="E129" s="11">
        <f>Commercial!E129*Commercial!$B$5</f>
        <v>65979.72949788619</v>
      </c>
      <c r="F129" s="11">
        <f>Commercial!F129*Commercial!$B$5</f>
        <v>66577.115325489489</v>
      </c>
      <c r="G129" s="11">
        <f>Commercial!G129*Commercial!$B$5</f>
        <v>67174.501153092773</v>
      </c>
      <c r="H129" s="11">
        <f>Commercial!H129*Commercial!$B$5</f>
        <v>67771.886980696057</v>
      </c>
      <c r="I129" s="11">
        <f>Commercial!I129*Commercial!$B$5</f>
        <v>68369.272808299342</v>
      </c>
      <c r="J129" s="11">
        <f>Commercial!J129*Commercial!$B$5</f>
        <v>68966.658635902626</v>
      </c>
      <c r="K129" s="11">
        <f>Commercial!K129*Commercial!$B$5</f>
        <v>69468.416559982157</v>
      </c>
      <c r="L129" s="11">
        <f>Commercial!L129*Commercial!$B$5</f>
        <v>69970.174484061703</v>
      </c>
      <c r="M129" s="11">
        <f>Commercial!M129*Commercial!$B$5</f>
        <v>70471.932408141234</v>
      </c>
      <c r="N129" s="11">
        <f>Commercial!N129*Commercial!$B$5</f>
        <v>70973.690332220736</v>
      </c>
      <c r="O129" s="11">
        <f>Commercial!O129*Commercial!$B$5</f>
        <v>71475.448256300282</v>
      </c>
      <c r="P129" s="11">
        <f>Commercial!P129*Commercial!$B$5</f>
        <v>71880.472784813959</v>
      </c>
      <c r="Q129" s="11">
        <f>Commercial!Q129*Commercial!$B$5</f>
        <v>72285.497313327651</v>
      </c>
      <c r="R129" s="11">
        <f>Commercial!R129*Commercial!$B$5</f>
        <v>72690.521841841328</v>
      </c>
      <c r="S129" s="11">
        <f>Commercial!S129*Commercial!$B$5</f>
        <v>73095.546370355005</v>
      </c>
      <c r="T129" s="11">
        <f>Commercial!T129*Commercial!$B$5</f>
        <v>73500.570898868682</v>
      </c>
      <c r="U129" s="11">
        <f>Commercial!U129*Commercial!$B$5</f>
        <v>73810.985391210139</v>
      </c>
      <c r="V129" s="11">
        <f>Commercial!V129*Commercial!$B$5</f>
        <v>74121.39988355161</v>
      </c>
      <c r="W129" s="11">
        <f>Commercial!W129*Commercial!$B$5</f>
        <v>74431.814375893053</v>
      </c>
      <c r="X129" s="11">
        <f>Commercial!X129*Commercial!$B$5</f>
        <v>74742.228868234524</v>
      </c>
      <c r="Y129" s="11">
        <f>Commercial!Y129*Commercial!$B$5</f>
        <v>75052.643360575981</v>
      </c>
      <c r="Z129" s="11">
        <f>Commercial!Z129*Commercial!$B$5</f>
        <v>75272.282936310323</v>
      </c>
      <c r="AA129" s="11">
        <f>Commercial!AA129*Commercial!$B$5</f>
        <v>75491.92251204465</v>
      </c>
      <c r="AB129" s="11">
        <f>Commercial!AB129*Commercial!$B$5</f>
        <v>75711.562087778977</v>
      </c>
      <c r="AC129" s="11">
        <f>Commercial!AC129*Commercial!$B$5</f>
        <v>75931.201663513304</v>
      </c>
      <c r="AD129" s="11">
        <f>Commercial!AD129*Commercial!$B$5</f>
        <v>76150.841239247646</v>
      </c>
      <c r="AE129" s="11">
        <f>Commercial!AE129*Commercial!$B$5</f>
        <v>76150.841239247646</v>
      </c>
      <c r="AF129" s="11">
        <f>Commercial!AF129*Commercial!$B$5</f>
        <v>76150.841239247646</v>
      </c>
      <c r="AG129" s="11">
        <f>Commercial!AG129*Commercial!$B$5</f>
        <v>76150.841239247646</v>
      </c>
      <c r="AH129" s="11">
        <f>Commercial!AH129*Commercial!$B$5</f>
        <v>76150.841239247646</v>
      </c>
      <c r="AI129" s="11">
        <f>Commercial!AI129*Commercial!$B$5</f>
        <v>76150.841239247646</v>
      </c>
      <c r="AJ129" s="11">
        <f>Commercial!AJ129*Commercial!$B$5</f>
        <v>76150.841239247646</v>
      </c>
      <c r="AK129" s="11">
        <f>Commercial!AK129*Commercial!$B$5</f>
        <v>76150.841239247646</v>
      </c>
      <c r="AL129" s="11">
        <f>Commercial!AL129*Commercial!$B$5</f>
        <v>76150.841239247646</v>
      </c>
      <c r="AM129" s="11">
        <f>Commercial!AM129*Commercial!$B$5</f>
        <v>76150.841239247646</v>
      </c>
      <c r="AN129" s="11">
        <f>Commercial!AN129*Commercial!$B$5</f>
        <v>76150.841239247646</v>
      </c>
    </row>
    <row r="131" spans="1:40" x14ac:dyDescent="0.2">
      <c r="A131" s="5" t="s">
        <v>66</v>
      </c>
    </row>
    <row r="132" spans="1:40" x14ac:dyDescent="0.2">
      <c r="A132" s="5" t="s">
        <v>4</v>
      </c>
    </row>
    <row r="133" spans="1:40" x14ac:dyDescent="0.2">
      <c r="A133" s="5" t="s">
        <v>62</v>
      </c>
    </row>
    <row r="134" spans="1:40" x14ac:dyDescent="0.2">
      <c r="A134" s="5" t="s">
        <v>6</v>
      </c>
    </row>
    <row r="135" spans="1:40" x14ac:dyDescent="0.2">
      <c r="A135" s="5"/>
    </row>
    <row r="136" spans="1:40" x14ac:dyDescent="0.2">
      <c r="A136" s="6" t="s">
        <v>7</v>
      </c>
      <c r="B136" s="6">
        <v>2022</v>
      </c>
      <c r="C136" s="6">
        <v>2023</v>
      </c>
      <c r="D136" s="6">
        <v>2024</v>
      </c>
      <c r="E136" s="6">
        <v>2025</v>
      </c>
      <c r="F136" s="6">
        <v>2026</v>
      </c>
      <c r="G136" s="6">
        <v>2027</v>
      </c>
      <c r="H136" s="6">
        <v>2028</v>
      </c>
      <c r="I136" s="6">
        <v>2029</v>
      </c>
      <c r="J136" s="6">
        <v>2030</v>
      </c>
      <c r="K136" s="6">
        <v>2031</v>
      </c>
      <c r="L136" s="6">
        <v>2032</v>
      </c>
      <c r="M136" s="6">
        <v>2033</v>
      </c>
      <c r="N136" s="6">
        <v>2034</v>
      </c>
      <c r="O136" s="6">
        <v>2035</v>
      </c>
      <c r="P136" s="6">
        <v>2036</v>
      </c>
      <c r="Q136" s="6">
        <v>2037</v>
      </c>
      <c r="R136" s="6">
        <v>2038</v>
      </c>
      <c r="S136" s="6">
        <v>2039</v>
      </c>
      <c r="T136" s="6">
        <v>2040</v>
      </c>
      <c r="U136" s="6">
        <v>2041</v>
      </c>
      <c r="V136" s="6">
        <v>2042</v>
      </c>
      <c r="W136" s="6">
        <v>2043</v>
      </c>
      <c r="X136" s="6">
        <v>2044</v>
      </c>
      <c r="Y136" s="6">
        <v>2045</v>
      </c>
      <c r="Z136" s="6">
        <v>2046</v>
      </c>
      <c r="AA136" s="6">
        <v>2047</v>
      </c>
      <c r="AB136" s="6">
        <v>2048</v>
      </c>
      <c r="AC136" s="6">
        <v>2049</v>
      </c>
      <c r="AD136" s="6">
        <v>2050</v>
      </c>
      <c r="AE136" s="6">
        <v>2051</v>
      </c>
      <c r="AF136" s="6">
        <v>2052</v>
      </c>
      <c r="AG136" s="6">
        <v>2053</v>
      </c>
      <c r="AH136" s="6">
        <v>2054</v>
      </c>
      <c r="AI136" s="6">
        <v>2055</v>
      </c>
      <c r="AJ136" s="6">
        <v>2056</v>
      </c>
      <c r="AK136" s="6">
        <v>2057</v>
      </c>
      <c r="AL136" s="6">
        <v>2058</v>
      </c>
      <c r="AM136" s="6">
        <v>2059</v>
      </c>
      <c r="AN136" s="6">
        <v>2060</v>
      </c>
    </row>
    <row r="137" spans="1:40" x14ac:dyDescent="0.2">
      <c r="A137" s="6" t="s">
        <v>40</v>
      </c>
      <c r="B137" s="11">
        <f>Commercial!B137*Commercial!$B$5</f>
        <v>688231.98160573875</v>
      </c>
      <c r="C137" s="11">
        <f>Commercial!C137*Commercial!$B$5</f>
        <v>690585.3512868582</v>
      </c>
      <c r="D137" s="11">
        <f>Commercial!D137*Commercial!$B$5</f>
        <v>692938.72096797731</v>
      </c>
      <c r="E137" s="11">
        <f>Commercial!E137*Commercial!$B$5</f>
        <v>695292.09064909676</v>
      </c>
      <c r="F137" s="11">
        <f>Commercial!F137*Commercial!$B$5</f>
        <v>701587.32168686169</v>
      </c>
      <c r="G137" s="11">
        <f>Commercial!G137*Commercial!$B$5</f>
        <v>707882.55272462661</v>
      </c>
      <c r="H137" s="11">
        <f>Commercial!H137*Commercial!$B$5</f>
        <v>714177.78376239154</v>
      </c>
      <c r="I137" s="11">
        <f>Commercial!I137*Commercial!$B$5</f>
        <v>720473.0148001567</v>
      </c>
      <c r="J137" s="11">
        <f>Commercial!J137*Commercial!$B$5</f>
        <v>726768.24583792151</v>
      </c>
      <c r="K137" s="11">
        <f>Commercial!K137*Commercial!$B$5</f>
        <v>732055.75336012489</v>
      </c>
      <c r="L137" s="11">
        <f>Commercial!L137*Commercial!$B$5</f>
        <v>737343.26088232803</v>
      </c>
      <c r="M137" s="11">
        <f>Commercial!M137*Commercial!$B$5</f>
        <v>742630.76840453118</v>
      </c>
      <c r="N137" s="11">
        <f>Commercial!N137*Commercial!$B$5</f>
        <v>747918.27592673444</v>
      </c>
      <c r="O137" s="11">
        <f>Commercial!O137*Commercial!$B$5</f>
        <v>753205.7834489377</v>
      </c>
      <c r="P137" s="11">
        <f>Commercial!P137*Commercial!$B$5</f>
        <v>757473.91781895596</v>
      </c>
      <c r="Q137" s="11">
        <f>Commercial!Q137*Commercial!$B$5</f>
        <v>761742.05218897457</v>
      </c>
      <c r="R137" s="11">
        <f>Commercial!R137*Commercial!$B$5</f>
        <v>766010.18655899283</v>
      </c>
      <c r="S137" s="11">
        <f>Commercial!S137*Commercial!$B$5</f>
        <v>770278.3209290111</v>
      </c>
      <c r="T137" s="11">
        <f>Commercial!T137*Commercial!$B$5</f>
        <v>774546.45529902936</v>
      </c>
      <c r="U137" s="11">
        <f>Commercial!U137*Commercial!$B$5</f>
        <v>777817.59240417299</v>
      </c>
      <c r="V137" s="11">
        <f>Commercial!V137*Commercial!$B$5</f>
        <v>781088.7295093165</v>
      </c>
      <c r="W137" s="11">
        <f>Commercial!W137*Commercial!$B$5</f>
        <v>784359.86661446001</v>
      </c>
      <c r="X137" s="11">
        <f>Commercial!X137*Commercial!$B$5</f>
        <v>787631.00371960388</v>
      </c>
      <c r="Y137" s="11">
        <f>Commercial!Y137*Commercial!$B$5</f>
        <v>790902.1408247475</v>
      </c>
      <c r="Z137" s="11">
        <f>Commercial!Z137*Commercial!$B$5</f>
        <v>793216.69502137369</v>
      </c>
      <c r="AA137" s="11">
        <f>Commercial!AA137*Commercial!$B$5</f>
        <v>795531.24921799998</v>
      </c>
      <c r="AB137" s="11">
        <f>Commercial!AB137*Commercial!$B$5</f>
        <v>797845.80341462616</v>
      </c>
      <c r="AC137" s="11">
        <f>Commercial!AC137*Commercial!$B$5</f>
        <v>800160.35761125246</v>
      </c>
      <c r="AD137" s="11">
        <f>Commercial!AD137*Commercial!$B$5</f>
        <v>802474.91180787887</v>
      </c>
      <c r="AE137" s="11">
        <f>Commercial!AE137*Commercial!$B$5</f>
        <v>802474.91180787887</v>
      </c>
      <c r="AF137" s="11">
        <f>Commercial!AF137*Commercial!$B$5</f>
        <v>802474.91180787887</v>
      </c>
      <c r="AG137" s="11">
        <f>Commercial!AG137*Commercial!$B$5</f>
        <v>802474.91180787887</v>
      </c>
      <c r="AH137" s="11">
        <f>Commercial!AH137*Commercial!$B$5</f>
        <v>802474.91180787887</v>
      </c>
      <c r="AI137" s="11">
        <f>Commercial!AI137*Commercial!$B$5</f>
        <v>802474.91180787887</v>
      </c>
      <c r="AJ137" s="11">
        <f>Commercial!AJ137*Commercial!$B$5</f>
        <v>802474.91180787887</v>
      </c>
      <c r="AK137" s="11">
        <f>Commercial!AK137*Commercial!$B$5</f>
        <v>802474.91180787887</v>
      </c>
      <c r="AL137" s="11">
        <f>Commercial!AL137*Commercial!$B$5</f>
        <v>802474.91180787887</v>
      </c>
      <c r="AM137" s="11">
        <f>Commercial!AM137*Commercial!$B$5</f>
        <v>802474.91180787887</v>
      </c>
      <c r="AN137" s="11">
        <f>Commercial!AN137*Commercial!$B$5</f>
        <v>802474.91180787887</v>
      </c>
    </row>
    <row r="138" spans="1:40" x14ac:dyDescent="0.2">
      <c r="A138" s="6" t="s">
        <v>41</v>
      </c>
      <c r="B138" s="11">
        <f>Commercial!B138*Commercial!$B$5</f>
        <v>420415.68053757091</v>
      </c>
      <c r="C138" s="11">
        <f>Commercial!C138*Commercial!$B$5</f>
        <v>421853.26777920983</v>
      </c>
      <c r="D138" s="11">
        <f>Commercial!D138*Commercial!$B$5</f>
        <v>423290.85502084857</v>
      </c>
      <c r="E138" s="11">
        <f>Commercial!E138*Commercial!$B$5</f>
        <v>424728.44226248754</v>
      </c>
      <c r="F138" s="11">
        <f>Commercial!F138*Commercial!$B$5</f>
        <v>428573.96806137339</v>
      </c>
      <c r="G138" s="11">
        <f>Commercial!G138*Commercial!$B$5</f>
        <v>432419.49386025919</v>
      </c>
      <c r="H138" s="11">
        <f>Commercial!H138*Commercial!$B$5</f>
        <v>436265.01965914504</v>
      </c>
      <c r="I138" s="11">
        <f>Commercial!I138*Commercial!$B$5</f>
        <v>440110.54545803095</v>
      </c>
      <c r="J138" s="11">
        <f>Commercial!J138*Commercial!$B$5</f>
        <v>443956.07125691685</v>
      </c>
      <c r="K138" s="11">
        <f>Commercial!K138*Commercial!$B$5</f>
        <v>447186.01571272098</v>
      </c>
      <c r="L138" s="11">
        <f>Commercial!L138*Commercial!$B$5</f>
        <v>450415.96016852517</v>
      </c>
      <c r="M138" s="11">
        <f>Commercial!M138*Commercial!$B$5</f>
        <v>453645.90462432936</v>
      </c>
      <c r="N138" s="11">
        <f>Commercial!N138*Commercial!$B$5</f>
        <v>456875.84908013348</v>
      </c>
      <c r="O138" s="11">
        <f>Commercial!O138*Commercial!$B$5</f>
        <v>460105.79353593779</v>
      </c>
      <c r="P138" s="11">
        <f>Commercial!P138*Commercial!$B$5</f>
        <v>462713.04031283193</v>
      </c>
      <c r="Q138" s="11">
        <f>Commercial!Q138*Commercial!$B$5</f>
        <v>465320.28708972619</v>
      </c>
      <c r="R138" s="11">
        <f>Commercial!R138*Commercial!$B$5</f>
        <v>467927.53386662039</v>
      </c>
      <c r="S138" s="11">
        <f>Commercial!S138*Commercial!$B$5</f>
        <v>470534.78064351447</v>
      </c>
      <c r="T138" s="11">
        <f>Commercial!T138*Commercial!$B$5</f>
        <v>473142.02742040867</v>
      </c>
      <c r="U138" s="11">
        <f>Commercial!U138*Commercial!$B$5</f>
        <v>475140.24512744113</v>
      </c>
      <c r="V138" s="11">
        <f>Commercial!V138*Commercial!$B$5</f>
        <v>477138.4628344737</v>
      </c>
      <c r="W138" s="11">
        <f>Commercial!W138*Commercial!$B$5</f>
        <v>479136.68054150598</v>
      </c>
      <c r="X138" s="11">
        <f>Commercial!X138*Commercial!$B$5</f>
        <v>481134.89824853867</v>
      </c>
      <c r="Y138" s="11">
        <f>Commercial!Y138*Commercial!$B$5</f>
        <v>483133.11595557118</v>
      </c>
      <c r="Z138" s="11">
        <f>Commercial!Z138*Commercial!$B$5</f>
        <v>484546.99224107212</v>
      </c>
      <c r="AA138" s="11">
        <f>Commercial!AA138*Commercial!$B$5</f>
        <v>485960.86852657323</v>
      </c>
      <c r="AB138" s="11">
        <f>Commercial!AB138*Commercial!$B$5</f>
        <v>487374.74481207418</v>
      </c>
      <c r="AC138" s="11">
        <f>Commercial!AC138*Commercial!$B$5</f>
        <v>488788.62109757529</v>
      </c>
      <c r="AD138" s="11">
        <f>Commercial!AD138*Commercial!$B$5</f>
        <v>490202.49738307629</v>
      </c>
      <c r="AE138" s="11">
        <f>Commercial!AE138*Commercial!$B$5</f>
        <v>490202.49738307629</v>
      </c>
      <c r="AF138" s="11">
        <f>Commercial!AF138*Commercial!$B$5</f>
        <v>490202.49738307629</v>
      </c>
      <c r="AG138" s="11">
        <f>Commercial!AG138*Commercial!$B$5</f>
        <v>490202.49738307629</v>
      </c>
      <c r="AH138" s="11">
        <f>Commercial!AH138*Commercial!$B$5</f>
        <v>490202.49738307629</v>
      </c>
      <c r="AI138" s="11">
        <f>Commercial!AI138*Commercial!$B$5</f>
        <v>490202.49738307629</v>
      </c>
      <c r="AJ138" s="11">
        <f>Commercial!AJ138*Commercial!$B$5</f>
        <v>490202.49738307629</v>
      </c>
      <c r="AK138" s="11">
        <f>Commercial!AK138*Commercial!$B$5</f>
        <v>490202.49738307629</v>
      </c>
      <c r="AL138" s="11">
        <f>Commercial!AL138*Commercial!$B$5</f>
        <v>490202.49738307629</v>
      </c>
      <c r="AM138" s="11">
        <f>Commercial!AM138*Commercial!$B$5</f>
        <v>490202.49738307629</v>
      </c>
      <c r="AN138" s="11">
        <f>Commercial!AN138*Commercial!$B$5</f>
        <v>490202.49738307629</v>
      </c>
    </row>
    <row r="139" spans="1:40" x14ac:dyDescent="0.2">
      <c r="A139" s="6" t="s">
        <v>42</v>
      </c>
      <c r="B139" s="11">
        <f>Commercial!B139*Commercial!$B$5</f>
        <v>326454.84671979852</v>
      </c>
      <c r="C139" s="11">
        <f>Commercial!C139*Commercial!$B$5</f>
        <v>327571.14029385243</v>
      </c>
      <c r="D139" s="11">
        <f>Commercial!D139*Commercial!$B$5</f>
        <v>328687.43386790622</v>
      </c>
      <c r="E139" s="11">
        <f>Commercial!E139*Commercial!$B$5</f>
        <v>329803.72744196007</v>
      </c>
      <c r="F139" s="11">
        <f>Commercial!F139*Commercial!$B$5</f>
        <v>332789.79716616037</v>
      </c>
      <c r="G139" s="11">
        <f>Commercial!G139*Commercial!$B$5</f>
        <v>335775.86689036066</v>
      </c>
      <c r="H139" s="11">
        <f>Commercial!H139*Commercial!$B$5</f>
        <v>338761.93661456101</v>
      </c>
      <c r="I139" s="11">
        <f>Commercial!I139*Commercial!$B$5</f>
        <v>341748.00633876136</v>
      </c>
      <c r="J139" s="11">
        <f>Commercial!J139*Commercial!$B$5</f>
        <v>344734.07606296166</v>
      </c>
      <c r="K139" s="11">
        <f>Commercial!K139*Commercial!$B$5</f>
        <v>347242.14384217659</v>
      </c>
      <c r="L139" s="11">
        <f>Commercial!L139*Commercial!$B$5</f>
        <v>349750.21162139165</v>
      </c>
      <c r="M139" s="11">
        <f>Commercial!M139*Commercial!$B$5</f>
        <v>352258.27940060658</v>
      </c>
      <c r="N139" s="11">
        <f>Commercial!N139*Commercial!$B$5</f>
        <v>354766.34717982146</v>
      </c>
      <c r="O139" s="11">
        <f>Commercial!O139*Commercial!$B$5</f>
        <v>357274.41495903657</v>
      </c>
      <c r="P139" s="11">
        <f>Commercial!P139*Commercial!$B$5</f>
        <v>359298.95492344355</v>
      </c>
      <c r="Q139" s="11">
        <f>Commercial!Q139*Commercial!$B$5</f>
        <v>361323.4948878506</v>
      </c>
      <c r="R139" s="11">
        <f>Commercial!R139*Commercial!$B$5</f>
        <v>363348.03485225758</v>
      </c>
      <c r="S139" s="11">
        <f>Commercial!S139*Commercial!$B$5</f>
        <v>365372.57481666451</v>
      </c>
      <c r="T139" s="11">
        <f>Commercial!T139*Commercial!$B$5</f>
        <v>367397.11478107155</v>
      </c>
      <c r="U139" s="11">
        <f>Commercial!U139*Commercial!$B$5</f>
        <v>368948.74067292205</v>
      </c>
      <c r="V139" s="11">
        <f>Commercial!V139*Commercial!$B$5</f>
        <v>370500.36656477273</v>
      </c>
      <c r="W139" s="11">
        <f>Commercial!W139*Commercial!$B$5</f>
        <v>372051.99245662324</v>
      </c>
      <c r="X139" s="11">
        <f>Commercial!X139*Commercial!$B$5</f>
        <v>373603.61834847392</v>
      </c>
      <c r="Y139" s="11">
        <f>Commercial!Y139*Commercial!$B$5</f>
        <v>375155.24424032448</v>
      </c>
      <c r="Z139" s="11">
        <f>Commercial!Z139*Commercial!$B$5</f>
        <v>376253.12614014756</v>
      </c>
      <c r="AA139" s="11">
        <f>Commercial!AA139*Commercial!$B$5</f>
        <v>377351.00803997059</v>
      </c>
      <c r="AB139" s="11">
        <f>Commercial!AB139*Commercial!$B$5</f>
        <v>378448.88993979362</v>
      </c>
      <c r="AC139" s="11">
        <f>Commercial!AC139*Commercial!$B$5</f>
        <v>379546.77183961676</v>
      </c>
      <c r="AD139" s="11">
        <f>Commercial!AD139*Commercial!$B$5</f>
        <v>380644.65373943979</v>
      </c>
      <c r="AE139" s="11">
        <f>Commercial!AE139*Commercial!$B$5</f>
        <v>380644.65373943979</v>
      </c>
      <c r="AF139" s="11">
        <f>Commercial!AF139*Commercial!$B$5</f>
        <v>380644.65373943979</v>
      </c>
      <c r="AG139" s="11">
        <f>Commercial!AG139*Commercial!$B$5</f>
        <v>380644.65373943979</v>
      </c>
      <c r="AH139" s="11">
        <f>Commercial!AH139*Commercial!$B$5</f>
        <v>380644.65373943979</v>
      </c>
      <c r="AI139" s="11">
        <f>Commercial!AI139*Commercial!$B$5</f>
        <v>380644.65373943979</v>
      </c>
      <c r="AJ139" s="11">
        <f>Commercial!AJ139*Commercial!$B$5</f>
        <v>380644.65373943979</v>
      </c>
      <c r="AK139" s="11">
        <f>Commercial!AK139*Commercial!$B$5</f>
        <v>380644.65373943979</v>
      </c>
      <c r="AL139" s="11">
        <f>Commercial!AL139*Commercial!$B$5</f>
        <v>380644.65373943979</v>
      </c>
      <c r="AM139" s="11">
        <f>Commercial!AM139*Commercial!$B$5</f>
        <v>380644.65373943979</v>
      </c>
      <c r="AN139" s="11">
        <f>Commercial!AN139*Commercial!$B$5</f>
        <v>380644.65373943979</v>
      </c>
    </row>
    <row r="140" spans="1:40" x14ac:dyDescent="0.2">
      <c r="A140" s="6" t="s">
        <v>43</v>
      </c>
      <c r="B140" s="11">
        <f>Commercial!B140*Commercial!$B$5</f>
        <v>22894.173696100952</v>
      </c>
      <c r="C140" s="11">
        <f>Commercial!C140*Commercial!$B$5</f>
        <v>22972.459006418816</v>
      </c>
      <c r="D140" s="11">
        <f>Commercial!D140*Commercial!$B$5</f>
        <v>23050.744316736676</v>
      </c>
      <c r="E140" s="11">
        <f>Commercial!E140*Commercial!$B$5</f>
        <v>23129.02962705454</v>
      </c>
      <c r="F140" s="11">
        <f>Commercial!F140*Commercial!$B$5</f>
        <v>23338.441739086036</v>
      </c>
      <c r="G140" s="11">
        <f>Commercial!G140*Commercial!$B$5</f>
        <v>23547.853851117528</v>
      </c>
      <c r="H140" s="11">
        <f>Commercial!H140*Commercial!$B$5</f>
        <v>23757.265963149021</v>
      </c>
      <c r="I140" s="11">
        <f>Commercial!I140*Commercial!$B$5</f>
        <v>23966.678075180513</v>
      </c>
      <c r="J140" s="11">
        <f>Commercial!J140*Commercial!$B$5</f>
        <v>24176.090187212008</v>
      </c>
      <c r="K140" s="11">
        <f>Commercial!K140*Commercial!$B$5</f>
        <v>24351.980176151967</v>
      </c>
      <c r="L140" s="11">
        <f>Commercial!L140*Commercial!$B$5</f>
        <v>24527.870165091928</v>
      </c>
      <c r="M140" s="11">
        <f>Commercial!M140*Commercial!$B$5</f>
        <v>24703.760154031886</v>
      </c>
      <c r="N140" s="11">
        <f>Commercial!N140*Commercial!$B$5</f>
        <v>24879.650142971848</v>
      </c>
      <c r="O140" s="11">
        <f>Commercial!O140*Commercial!$B$5</f>
        <v>25055.54013191181</v>
      </c>
      <c r="P140" s="11">
        <f>Commercial!P140*Commercial!$B$5</f>
        <v>25197.520470281899</v>
      </c>
      <c r="Q140" s="11">
        <f>Commercial!Q140*Commercial!$B$5</f>
        <v>25339.500808651988</v>
      </c>
      <c r="R140" s="11">
        <f>Commercial!R140*Commercial!$B$5</f>
        <v>25481.481147022077</v>
      </c>
      <c r="S140" s="11">
        <f>Commercial!S140*Commercial!$B$5</f>
        <v>25623.461485392159</v>
      </c>
      <c r="T140" s="11">
        <f>Commercial!T140*Commercial!$B$5</f>
        <v>25765.441823762245</v>
      </c>
      <c r="U140" s="11">
        <f>Commercial!U140*Commercial!$B$5</f>
        <v>25874.256849902395</v>
      </c>
      <c r="V140" s="11">
        <f>Commercial!V140*Commercial!$B$5</f>
        <v>25983.071876042552</v>
      </c>
      <c r="W140" s="11">
        <f>Commercial!W140*Commercial!$B$5</f>
        <v>26091.886902182701</v>
      </c>
      <c r="X140" s="11">
        <f>Commercial!X140*Commercial!$B$5</f>
        <v>26200.701928322862</v>
      </c>
      <c r="Y140" s="11">
        <f>Commercial!Y140*Commercial!$B$5</f>
        <v>26309.516954463015</v>
      </c>
      <c r="Z140" s="11">
        <f>Commercial!Z140*Commercial!$B$5</f>
        <v>26386.511059972279</v>
      </c>
      <c r="AA140" s="11">
        <f>Commercial!AA140*Commercial!$B$5</f>
        <v>26463.505165481543</v>
      </c>
      <c r="AB140" s="11">
        <f>Commercial!AB140*Commercial!$B$5</f>
        <v>26540.499270990804</v>
      </c>
      <c r="AC140" s="11">
        <f>Commercial!AC140*Commercial!$B$5</f>
        <v>26617.493376500068</v>
      </c>
      <c r="AD140" s="11">
        <f>Commercial!AD140*Commercial!$B$5</f>
        <v>26694.487482009332</v>
      </c>
      <c r="AE140" s="11">
        <f>Commercial!AE140*Commercial!$B$5</f>
        <v>26694.487482009332</v>
      </c>
      <c r="AF140" s="11">
        <f>Commercial!AF140*Commercial!$B$5</f>
        <v>26694.487482009332</v>
      </c>
      <c r="AG140" s="11">
        <f>Commercial!AG140*Commercial!$B$5</f>
        <v>26694.487482009332</v>
      </c>
      <c r="AH140" s="11">
        <f>Commercial!AH140*Commercial!$B$5</f>
        <v>26694.487482009332</v>
      </c>
      <c r="AI140" s="11">
        <f>Commercial!AI140*Commercial!$B$5</f>
        <v>26694.487482009332</v>
      </c>
      <c r="AJ140" s="11">
        <f>Commercial!AJ140*Commercial!$B$5</f>
        <v>26694.487482009332</v>
      </c>
      <c r="AK140" s="11">
        <f>Commercial!AK140*Commercial!$B$5</f>
        <v>26694.487482009332</v>
      </c>
      <c r="AL140" s="11">
        <f>Commercial!AL140*Commercial!$B$5</f>
        <v>26694.487482009332</v>
      </c>
      <c r="AM140" s="11">
        <f>Commercial!AM140*Commercial!$B$5</f>
        <v>26694.487482009332</v>
      </c>
      <c r="AN140" s="11">
        <f>Commercial!AN140*Commercial!$B$5</f>
        <v>26694.487482009332</v>
      </c>
    </row>
    <row r="141" spans="1:40" x14ac:dyDescent="0.2">
      <c r="A141" s="6" t="s">
        <v>8</v>
      </c>
      <c r="B141" s="11">
        <f>Commercial!B141*Commercial!$B$5</f>
        <v>17509.279233533787</v>
      </c>
      <c r="C141" s="11">
        <f>Commercial!C141*Commercial!$B$5</f>
        <v>17569.151206920313</v>
      </c>
      <c r="D141" s="11">
        <f>Commercial!D141*Commercial!$B$5</f>
        <v>17629.023180306827</v>
      </c>
      <c r="E141" s="11">
        <f>Commercial!E141*Commercial!$B$5</f>
        <v>17688.895153693349</v>
      </c>
      <c r="F141" s="11">
        <f>Commercial!F141*Commercial!$B$5</f>
        <v>17849.0518465321</v>
      </c>
      <c r="G141" s="11">
        <f>Commercial!G141*Commercial!$B$5</f>
        <v>18009.208539370851</v>
      </c>
      <c r="H141" s="11">
        <f>Commercial!H141*Commercial!$B$5</f>
        <v>18169.365232209602</v>
      </c>
      <c r="I141" s="11">
        <f>Commercial!I141*Commercial!$B$5</f>
        <v>18329.521925048353</v>
      </c>
      <c r="J141" s="11">
        <f>Commercial!J141*Commercial!$B$5</f>
        <v>18489.678617887108</v>
      </c>
      <c r="K141" s="11">
        <f>Commercial!K141*Commercial!$B$5</f>
        <v>18624.197861586974</v>
      </c>
      <c r="L141" s="11">
        <f>Commercial!L141*Commercial!$B$5</f>
        <v>18758.717105286843</v>
      </c>
      <c r="M141" s="11">
        <f>Commercial!M141*Commercial!$B$5</f>
        <v>18893.236348986717</v>
      </c>
      <c r="N141" s="11">
        <f>Commercial!N141*Commercial!$B$5</f>
        <v>19027.755592686583</v>
      </c>
      <c r="O141" s="11">
        <f>Commercial!O141*Commercial!$B$5</f>
        <v>19162.274836386456</v>
      </c>
      <c r="P141" s="11">
        <f>Commercial!P141*Commercial!$B$5</f>
        <v>19270.860253060251</v>
      </c>
      <c r="Q141" s="11">
        <f>Commercial!Q141*Commercial!$B$5</f>
        <v>19379.445669734061</v>
      </c>
      <c r="R141" s="11">
        <f>Commercial!R141*Commercial!$B$5</f>
        <v>19488.031086407856</v>
      </c>
      <c r="S141" s="11">
        <f>Commercial!S141*Commercial!$B$5</f>
        <v>19596.616503081656</v>
      </c>
      <c r="T141" s="11">
        <f>Commercial!T141*Commercial!$B$5</f>
        <v>19705.201919755455</v>
      </c>
      <c r="U141" s="11">
        <f>Commercial!U141*Commercial!$B$5</f>
        <v>19788.422773357022</v>
      </c>
      <c r="V141" s="11">
        <f>Commercial!V141*Commercial!$B$5</f>
        <v>19871.643626958601</v>
      </c>
      <c r="W141" s="11">
        <f>Commercial!W141*Commercial!$B$5</f>
        <v>19954.864480560173</v>
      </c>
      <c r="X141" s="11">
        <f>Commercial!X141*Commercial!$B$5</f>
        <v>20038.085334161755</v>
      </c>
      <c r="Y141" s="11">
        <f>Commercial!Y141*Commercial!$B$5</f>
        <v>20121.306187763323</v>
      </c>
      <c r="Z141" s="11">
        <f>Commercial!Z141*Commercial!$B$5</f>
        <v>20180.190658135252</v>
      </c>
      <c r="AA141" s="11">
        <f>Commercial!AA141*Commercial!$B$5</f>
        <v>20239.075128507182</v>
      </c>
      <c r="AB141" s="11">
        <f>Commercial!AB141*Commercial!$B$5</f>
        <v>20297.959598879112</v>
      </c>
      <c r="AC141" s="11">
        <f>Commercial!AC141*Commercial!$B$5</f>
        <v>20356.844069251041</v>
      </c>
      <c r="AD141" s="11">
        <f>Commercial!AD141*Commercial!$B$5</f>
        <v>20415.728539622971</v>
      </c>
      <c r="AE141" s="11">
        <f>Commercial!AE141*Commercial!$B$5</f>
        <v>20415.728539622971</v>
      </c>
      <c r="AF141" s="11">
        <f>Commercial!AF141*Commercial!$B$5</f>
        <v>20415.728539622971</v>
      </c>
      <c r="AG141" s="11">
        <f>Commercial!AG141*Commercial!$B$5</f>
        <v>20415.728539622971</v>
      </c>
      <c r="AH141" s="11">
        <f>Commercial!AH141*Commercial!$B$5</f>
        <v>20415.728539622971</v>
      </c>
      <c r="AI141" s="11">
        <f>Commercial!AI141*Commercial!$B$5</f>
        <v>20415.728539622971</v>
      </c>
      <c r="AJ141" s="11">
        <f>Commercial!AJ141*Commercial!$B$5</f>
        <v>20415.728539622971</v>
      </c>
      <c r="AK141" s="11">
        <f>Commercial!AK141*Commercial!$B$5</f>
        <v>20415.728539622971</v>
      </c>
      <c r="AL141" s="11">
        <f>Commercial!AL141*Commercial!$B$5</f>
        <v>20415.728539622971</v>
      </c>
      <c r="AM141" s="11">
        <f>Commercial!AM141*Commercial!$B$5</f>
        <v>20415.728539622971</v>
      </c>
      <c r="AN141" s="11">
        <f>Commercial!AN141*Commercial!$B$5</f>
        <v>20415.728539622971</v>
      </c>
    </row>
    <row r="142" spans="1:40" x14ac:dyDescent="0.2">
      <c r="A142" s="6" t="s">
        <v>9</v>
      </c>
      <c r="B142" s="11">
        <f>Commercial!B142*Commercial!$B$5</f>
        <v>179499.48993370647</v>
      </c>
      <c r="C142" s="11">
        <f>Commercial!C142*Commercial!$B$5</f>
        <v>180113.27811658164</v>
      </c>
      <c r="D142" s="11">
        <f>Commercial!D142*Commercial!$B$5</f>
        <v>180727.06629945675</v>
      </c>
      <c r="E142" s="11">
        <f>Commercial!E142*Commercial!$B$5</f>
        <v>181340.85448233195</v>
      </c>
      <c r="F142" s="11">
        <f>Commercial!F142*Commercial!$B$5</f>
        <v>182982.72930142598</v>
      </c>
      <c r="G142" s="11">
        <f>Commercial!G142*Commercial!$B$5</f>
        <v>184624.60412052003</v>
      </c>
      <c r="H142" s="11">
        <f>Commercial!H142*Commercial!$B$5</f>
        <v>186266.47893961408</v>
      </c>
      <c r="I142" s="11">
        <f>Commercial!I142*Commercial!$B$5</f>
        <v>187908.35375870808</v>
      </c>
      <c r="J142" s="11">
        <f>Commercial!J142*Commercial!$B$5</f>
        <v>189550.22857780213</v>
      </c>
      <c r="K142" s="11">
        <f>Commercial!K142*Commercial!$B$5</f>
        <v>190929.27652765432</v>
      </c>
      <c r="L142" s="11">
        <f>Commercial!L142*Commercial!$B$5</f>
        <v>192308.32447750654</v>
      </c>
      <c r="M142" s="11">
        <f>Commercial!M142*Commercial!$B$5</f>
        <v>193687.37242735873</v>
      </c>
      <c r="N142" s="11">
        <f>Commercial!N142*Commercial!$B$5</f>
        <v>195066.42037721092</v>
      </c>
      <c r="O142" s="11">
        <f>Commercial!O142*Commercial!$B$5</f>
        <v>196445.46832706316</v>
      </c>
      <c r="P142" s="11">
        <f>Commercial!P142*Commercial!$B$5</f>
        <v>197558.65103705483</v>
      </c>
      <c r="Q142" s="11">
        <f>Commercial!Q142*Commercial!$B$5</f>
        <v>198671.83374704653</v>
      </c>
      <c r="R142" s="11">
        <f>Commercial!R142*Commercial!$B$5</f>
        <v>199785.01645703815</v>
      </c>
      <c r="S142" s="11">
        <f>Commercial!S142*Commercial!$B$5</f>
        <v>200898.19916702982</v>
      </c>
      <c r="T142" s="11">
        <f>Commercial!T142*Commercial!$B$5</f>
        <v>202011.38187702151</v>
      </c>
      <c r="U142" s="11">
        <f>Commercial!U142*Commercial!$B$5</f>
        <v>202864.53525781402</v>
      </c>
      <c r="V142" s="11">
        <f>Commercial!V142*Commercial!$B$5</f>
        <v>203717.6886386066</v>
      </c>
      <c r="W142" s="11">
        <f>Commercial!W142*Commercial!$B$5</f>
        <v>204570.8420193991</v>
      </c>
      <c r="X142" s="11">
        <f>Commercial!X142*Commercial!$B$5</f>
        <v>205423.99540019172</v>
      </c>
      <c r="Y142" s="11">
        <f>Commercial!Y142*Commercial!$B$5</f>
        <v>206277.14878098428</v>
      </c>
      <c r="Z142" s="11">
        <f>Commercial!Z142*Commercial!$B$5</f>
        <v>206880.81340108663</v>
      </c>
      <c r="AA142" s="11">
        <f>Commercial!AA142*Commercial!$B$5</f>
        <v>207484.47802118908</v>
      </c>
      <c r="AB142" s="11">
        <f>Commercial!AB142*Commercial!$B$5</f>
        <v>208088.14264129143</v>
      </c>
      <c r="AC142" s="11">
        <f>Commercial!AC142*Commercial!$B$5</f>
        <v>208691.80726139381</v>
      </c>
      <c r="AD142" s="11">
        <f>Commercial!AD142*Commercial!$B$5</f>
        <v>209295.4718814962</v>
      </c>
      <c r="AE142" s="11">
        <f>Commercial!AE142*Commercial!$B$5</f>
        <v>209295.4718814962</v>
      </c>
      <c r="AF142" s="11">
        <f>Commercial!AF142*Commercial!$B$5</f>
        <v>209295.4718814962</v>
      </c>
      <c r="AG142" s="11">
        <f>Commercial!AG142*Commercial!$B$5</f>
        <v>209295.4718814962</v>
      </c>
      <c r="AH142" s="11">
        <f>Commercial!AH142*Commercial!$B$5</f>
        <v>209295.4718814962</v>
      </c>
      <c r="AI142" s="11">
        <f>Commercial!AI142*Commercial!$B$5</f>
        <v>209295.4718814962</v>
      </c>
      <c r="AJ142" s="11">
        <f>Commercial!AJ142*Commercial!$B$5</f>
        <v>209295.4718814962</v>
      </c>
      <c r="AK142" s="11">
        <f>Commercial!AK142*Commercial!$B$5</f>
        <v>209295.4718814962</v>
      </c>
      <c r="AL142" s="11">
        <f>Commercial!AL142*Commercial!$B$5</f>
        <v>209295.4718814962</v>
      </c>
      <c r="AM142" s="11">
        <f>Commercial!AM142*Commercial!$B$5</f>
        <v>209295.4718814962</v>
      </c>
      <c r="AN142" s="11">
        <f>Commercial!AN142*Commercial!$B$5</f>
        <v>209295.4718814962</v>
      </c>
    </row>
    <row r="143" spans="1:40" x14ac:dyDescent="0.2">
      <c r="A143" s="6" t="s">
        <v>10</v>
      </c>
      <c r="B143" s="11">
        <f>Commercial!B143*Commercial!$B$5</f>
        <v>155.90297078150141</v>
      </c>
      <c r="C143" s="11">
        <f>Commercial!C143*Commercial!$B$5</f>
        <v>156.43607202416325</v>
      </c>
      <c r="D143" s="11">
        <f>Commercial!D143*Commercial!$B$5</f>
        <v>156.96917326682501</v>
      </c>
      <c r="E143" s="11">
        <f>Commercial!E143*Commercial!$B$5</f>
        <v>157.50227450948685</v>
      </c>
      <c r="F143" s="11">
        <f>Commercial!F143*Commercial!$B$5</f>
        <v>158.92831289011198</v>
      </c>
      <c r="G143" s="11">
        <f>Commercial!G143*Commercial!$B$5</f>
        <v>160.35435127073708</v>
      </c>
      <c r="H143" s="11">
        <f>Commercial!H143*Commercial!$B$5</f>
        <v>161.78038965136221</v>
      </c>
      <c r="I143" s="11">
        <f>Commercial!I143*Commercial!$B$5</f>
        <v>163.20642803198737</v>
      </c>
      <c r="J143" s="11">
        <f>Commercial!J143*Commercial!$B$5</f>
        <v>164.6324664126125</v>
      </c>
      <c r="K143" s="11">
        <f>Commercial!K143*Commercial!$B$5</f>
        <v>165.83022843584442</v>
      </c>
      <c r="L143" s="11">
        <f>Commercial!L143*Commercial!$B$5</f>
        <v>167.02799045907639</v>
      </c>
      <c r="M143" s="11">
        <f>Commercial!M143*Commercial!$B$5</f>
        <v>168.22575248230831</v>
      </c>
      <c r="N143" s="11">
        <f>Commercial!N143*Commercial!$B$5</f>
        <v>169.42351450554023</v>
      </c>
      <c r="O143" s="11">
        <f>Commercial!O143*Commercial!$B$5</f>
        <v>170.6212765287722</v>
      </c>
      <c r="P143" s="11">
        <f>Commercial!P143*Commercial!$B$5</f>
        <v>171.58812324000465</v>
      </c>
      <c r="Q143" s="11">
        <f>Commercial!Q143*Commercial!$B$5</f>
        <v>172.55496995123713</v>
      </c>
      <c r="R143" s="11">
        <f>Commercial!R143*Commercial!$B$5</f>
        <v>173.52181666246952</v>
      </c>
      <c r="S143" s="11">
        <f>Commercial!S143*Commercial!$B$5</f>
        <v>174.48866337370194</v>
      </c>
      <c r="T143" s="11">
        <f>Commercial!T143*Commercial!$B$5</f>
        <v>175.45551008493436</v>
      </c>
      <c r="U143" s="11">
        <f>Commercial!U143*Commercial!$B$5</f>
        <v>176.19651022174236</v>
      </c>
      <c r="V143" s="11">
        <f>Commercial!V143*Commercial!$B$5</f>
        <v>176.93751035855038</v>
      </c>
      <c r="W143" s="11">
        <f>Commercial!W143*Commercial!$B$5</f>
        <v>177.67851049535832</v>
      </c>
      <c r="X143" s="11">
        <f>Commercial!X143*Commercial!$B$5</f>
        <v>178.41951063216635</v>
      </c>
      <c r="Y143" s="11">
        <f>Commercial!Y143*Commercial!$B$5</f>
        <v>179.16051076897432</v>
      </c>
      <c r="Z143" s="11">
        <f>Commercial!Z143*Commercial!$B$5</f>
        <v>179.68481926514002</v>
      </c>
      <c r="AA143" s="11">
        <f>Commercial!AA143*Commercial!$B$5</f>
        <v>180.20912776130569</v>
      </c>
      <c r="AB143" s="11">
        <f>Commercial!AB143*Commercial!$B$5</f>
        <v>180.73343625747137</v>
      </c>
      <c r="AC143" s="11">
        <f>Commercial!AC143*Commercial!$B$5</f>
        <v>181.25774475363707</v>
      </c>
      <c r="AD143" s="11">
        <f>Commercial!AD143*Commercial!$B$5</f>
        <v>181.78205324980271</v>
      </c>
      <c r="AE143" s="11">
        <f>Commercial!AE143*Commercial!$B$5</f>
        <v>181.78205324980271</v>
      </c>
      <c r="AF143" s="11">
        <f>Commercial!AF143*Commercial!$B$5</f>
        <v>181.78205324980271</v>
      </c>
      <c r="AG143" s="11">
        <f>Commercial!AG143*Commercial!$B$5</f>
        <v>181.78205324980271</v>
      </c>
      <c r="AH143" s="11">
        <f>Commercial!AH143*Commercial!$B$5</f>
        <v>181.78205324980271</v>
      </c>
      <c r="AI143" s="11">
        <f>Commercial!AI143*Commercial!$B$5</f>
        <v>181.78205324980271</v>
      </c>
      <c r="AJ143" s="11">
        <f>Commercial!AJ143*Commercial!$B$5</f>
        <v>181.78205324980271</v>
      </c>
      <c r="AK143" s="11">
        <f>Commercial!AK143*Commercial!$B$5</f>
        <v>181.78205324980271</v>
      </c>
      <c r="AL143" s="11">
        <f>Commercial!AL143*Commercial!$B$5</f>
        <v>181.78205324980271</v>
      </c>
      <c r="AM143" s="11">
        <f>Commercial!AM143*Commercial!$B$5</f>
        <v>181.78205324980271</v>
      </c>
      <c r="AN143" s="11">
        <f>Commercial!AN143*Commercial!$B$5</f>
        <v>181.78205324980271</v>
      </c>
    </row>
    <row r="144" spans="1:40" x14ac:dyDescent="0.2">
      <c r="A144" s="6" t="s">
        <v>44</v>
      </c>
      <c r="B144" s="11">
        <f>Commercial!B144*Commercial!$B$5</f>
        <v>284667.62312883488</v>
      </c>
      <c r="C144" s="11">
        <f>Commercial!C144*Commercial!$B$5</f>
        <v>285641.02769498806</v>
      </c>
      <c r="D144" s="11">
        <f>Commercial!D144*Commercial!$B$5</f>
        <v>286614.43226114119</v>
      </c>
      <c r="E144" s="11">
        <f>Commercial!E144*Commercial!$B$5</f>
        <v>287587.83682729444</v>
      </c>
      <c r="F144" s="11">
        <f>Commercial!F144*Commercial!$B$5</f>
        <v>290191.68045046687</v>
      </c>
      <c r="G144" s="11">
        <f>Commercial!G144*Commercial!$B$5</f>
        <v>292795.52407363924</v>
      </c>
      <c r="H144" s="11">
        <f>Commercial!H144*Commercial!$B$5</f>
        <v>295399.36769681168</v>
      </c>
      <c r="I144" s="11">
        <f>Commercial!I144*Commercial!$B$5</f>
        <v>298003.21131998411</v>
      </c>
      <c r="J144" s="11">
        <f>Commercial!J144*Commercial!$B$5</f>
        <v>300607.0549431566</v>
      </c>
      <c r="K144" s="11">
        <f>Commercial!K144*Commercial!$B$5</f>
        <v>302794.08233922382</v>
      </c>
      <c r="L144" s="11">
        <f>Commercial!L144*Commercial!$B$5</f>
        <v>304981.1097352911</v>
      </c>
      <c r="M144" s="11">
        <f>Commercial!M144*Commercial!$B$5</f>
        <v>307168.13713135838</v>
      </c>
      <c r="N144" s="11">
        <f>Commercial!N144*Commercial!$B$5</f>
        <v>309355.16452742566</v>
      </c>
      <c r="O144" s="11">
        <f>Commercial!O144*Commercial!$B$5</f>
        <v>311542.191923493</v>
      </c>
      <c r="P144" s="11">
        <f>Commercial!P144*Commercial!$B$5</f>
        <v>313307.58455095097</v>
      </c>
      <c r="Q144" s="11">
        <f>Commercial!Q144*Commercial!$B$5</f>
        <v>315072.97717840906</v>
      </c>
      <c r="R144" s="11">
        <f>Commercial!R144*Commercial!$B$5</f>
        <v>316838.36980586709</v>
      </c>
      <c r="S144" s="11">
        <f>Commercial!S144*Commercial!$B$5</f>
        <v>318603.76243332512</v>
      </c>
      <c r="T144" s="11">
        <f>Commercial!T144*Commercial!$B$5</f>
        <v>320369.15506078315</v>
      </c>
      <c r="U144" s="11">
        <f>Commercial!U144*Commercial!$B$5</f>
        <v>321722.16807025875</v>
      </c>
      <c r="V144" s="11">
        <f>Commercial!V144*Commercial!$B$5</f>
        <v>323075.18107973447</v>
      </c>
      <c r="W144" s="11">
        <f>Commercial!W144*Commercial!$B$5</f>
        <v>324428.19408921001</v>
      </c>
      <c r="X144" s="11">
        <f>Commercial!X144*Commercial!$B$5</f>
        <v>325781.20709868573</v>
      </c>
      <c r="Y144" s="11">
        <f>Commercial!Y144*Commercial!$B$5</f>
        <v>327134.22010816139</v>
      </c>
      <c r="Z144" s="11">
        <f>Commercial!Z144*Commercial!$B$5</f>
        <v>328091.56975096528</v>
      </c>
      <c r="AA144" s="11">
        <f>Commercial!AA144*Commercial!$B$5</f>
        <v>329048.91939376923</v>
      </c>
      <c r="AB144" s="11">
        <f>Commercial!AB144*Commercial!$B$5</f>
        <v>330006.26903657307</v>
      </c>
      <c r="AC144" s="11">
        <f>Commercial!AC144*Commercial!$B$5</f>
        <v>330963.61867937702</v>
      </c>
      <c r="AD144" s="11">
        <f>Commercial!AD144*Commercial!$B$5</f>
        <v>331920.96832218091</v>
      </c>
      <c r="AE144" s="11">
        <f>Commercial!AE144*Commercial!$B$5</f>
        <v>331920.96832218091</v>
      </c>
      <c r="AF144" s="11">
        <f>Commercial!AF144*Commercial!$B$5</f>
        <v>331920.96832218091</v>
      </c>
      <c r="AG144" s="11">
        <f>Commercial!AG144*Commercial!$B$5</f>
        <v>331920.96832218091</v>
      </c>
      <c r="AH144" s="11">
        <f>Commercial!AH144*Commercial!$B$5</f>
        <v>331920.96832218091</v>
      </c>
      <c r="AI144" s="11">
        <f>Commercial!AI144*Commercial!$B$5</f>
        <v>331920.96832218091</v>
      </c>
      <c r="AJ144" s="11">
        <f>Commercial!AJ144*Commercial!$B$5</f>
        <v>331920.96832218091</v>
      </c>
      <c r="AK144" s="11">
        <f>Commercial!AK144*Commercial!$B$5</f>
        <v>331920.96832218091</v>
      </c>
      <c r="AL144" s="11">
        <f>Commercial!AL144*Commercial!$B$5</f>
        <v>331920.96832218091</v>
      </c>
      <c r="AM144" s="11">
        <f>Commercial!AM144*Commercial!$B$5</f>
        <v>331920.96832218091</v>
      </c>
      <c r="AN144" s="11">
        <f>Commercial!AN144*Commercial!$B$5</f>
        <v>331920.96832218091</v>
      </c>
    </row>
    <row r="146" spans="1:40" x14ac:dyDescent="0.2">
      <c r="A146" s="5" t="s">
        <v>66</v>
      </c>
    </row>
    <row r="147" spans="1:40" x14ac:dyDescent="0.2">
      <c r="A147" s="5" t="s">
        <v>4</v>
      </c>
    </row>
    <row r="148" spans="1:40" x14ac:dyDescent="0.2">
      <c r="A148" s="5" t="s">
        <v>64</v>
      </c>
    </row>
    <row r="149" spans="1:40" x14ac:dyDescent="0.2">
      <c r="A149" s="5" t="s">
        <v>6</v>
      </c>
    </row>
    <row r="150" spans="1:40" x14ac:dyDescent="0.2">
      <c r="A150" s="5"/>
    </row>
    <row r="151" spans="1:40" x14ac:dyDescent="0.2">
      <c r="A151" s="6" t="s">
        <v>7</v>
      </c>
      <c r="B151" s="6">
        <v>2022</v>
      </c>
      <c r="C151" s="6">
        <v>2023</v>
      </c>
      <c r="D151" s="6">
        <v>2024</v>
      </c>
      <c r="E151" s="6">
        <v>2025</v>
      </c>
      <c r="F151" s="6">
        <v>2026</v>
      </c>
      <c r="G151" s="6">
        <v>2027</v>
      </c>
      <c r="H151" s="6">
        <v>2028</v>
      </c>
      <c r="I151" s="6">
        <v>2029</v>
      </c>
      <c r="J151" s="6">
        <v>2030</v>
      </c>
      <c r="K151" s="6">
        <v>2031</v>
      </c>
      <c r="L151" s="6">
        <v>2032</v>
      </c>
      <c r="M151" s="6">
        <v>2033</v>
      </c>
      <c r="N151" s="6">
        <v>2034</v>
      </c>
      <c r="O151" s="6">
        <v>2035</v>
      </c>
      <c r="P151" s="6">
        <v>2036</v>
      </c>
      <c r="Q151" s="6">
        <v>2037</v>
      </c>
      <c r="R151" s="6">
        <v>2038</v>
      </c>
      <c r="S151" s="6">
        <v>2039</v>
      </c>
      <c r="T151" s="6">
        <v>2040</v>
      </c>
      <c r="U151" s="6">
        <v>2041</v>
      </c>
      <c r="V151" s="6">
        <v>2042</v>
      </c>
      <c r="W151" s="6">
        <v>2043</v>
      </c>
      <c r="X151" s="6">
        <v>2044</v>
      </c>
      <c r="Y151" s="6">
        <v>2045</v>
      </c>
      <c r="Z151" s="6">
        <v>2046</v>
      </c>
      <c r="AA151" s="6">
        <v>2047</v>
      </c>
      <c r="AB151" s="6">
        <v>2048</v>
      </c>
      <c r="AC151" s="6">
        <v>2049</v>
      </c>
      <c r="AD151" s="6">
        <v>2050</v>
      </c>
      <c r="AE151" s="6">
        <v>2051</v>
      </c>
      <c r="AF151" s="6">
        <v>2052</v>
      </c>
      <c r="AG151" s="6">
        <v>2053</v>
      </c>
      <c r="AH151" s="6">
        <v>2054</v>
      </c>
      <c r="AI151" s="6">
        <v>2055</v>
      </c>
      <c r="AJ151" s="6">
        <v>2056</v>
      </c>
      <c r="AK151" s="6">
        <v>2057</v>
      </c>
      <c r="AL151" s="6">
        <v>2058</v>
      </c>
      <c r="AM151" s="6">
        <v>2059</v>
      </c>
      <c r="AN151" s="6">
        <v>2060</v>
      </c>
    </row>
    <row r="152" spans="1:40" x14ac:dyDescent="0.2">
      <c r="A152" s="6" t="s">
        <v>40</v>
      </c>
      <c r="B152" s="11">
        <f>Commercial!B152*Commercial!$B$5</f>
        <v>1016892.4107920675</v>
      </c>
      <c r="C152" s="11">
        <f>Commercial!C152*Commercial!$B$5</f>
        <v>1020369.6159096429</v>
      </c>
      <c r="D152" s="11">
        <f>Commercial!D152*Commercial!$B$5</f>
        <v>1023846.8210272178</v>
      </c>
      <c r="E152" s="11">
        <f>Commercial!E152*Commercial!$B$5</f>
        <v>1027324.0261447931</v>
      </c>
      <c r="F152" s="11">
        <f>Commercial!F152*Commercial!$B$5</f>
        <v>1036625.5012833794</v>
      </c>
      <c r="G152" s="11">
        <f>Commercial!G152*Commercial!$B$5</f>
        <v>1045926.976421966</v>
      </c>
      <c r="H152" s="11">
        <f>Commercial!H152*Commercial!$B$5</f>
        <v>1055228.4515605525</v>
      </c>
      <c r="I152" s="11">
        <f>Commercial!I152*Commercial!$B$5</f>
        <v>1064529.9266991387</v>
      </c>
      <c r="J152" s="11">
        <f>Commercial!J152*Commercial!$B$5</f>
        <v>1073831.401837725</v>
      </c>
      <c r="K152" s="11">
        <f>Commercial!K152*Commercial!$B$5</f>
        <v>1081643.9220562561</v>
      </c>
      <c r="L152" s="11">
        <f>Commercial!L152*Commercial!$B$5</f>
        <v>1089456.4422747872</v>
      </c>
      <c r="M152" s="11">
        <f>Commercial!M152*Commercial!$B$5</f>
        <v>1097268.9624933179</v>
      </c>
      <c r="N152" s="11">
        <f>Commercial!N152*Commercial!$B$5</f>
        <v>1105081.482711849</v>
      </c>
      <c r="O152" s="11">
        <f>Commercial!O152*Commercial!$B$5</f>
        <v>1112894.0029303799</v>
      </c>
      <c r="P152" s="11">
        <f>Commercial!P152*Commercial!$B$5</f>
        <v>1119200.355388727</v>
      </c>
      <c r="Q152" s="11">
        <f>Commercial!Q152*Commercial!$B$5</f>
        <v>1125506.7078470744</v>
      </c>
      <c r="R152" s="11">
        <f>Commercial!R152*Commercial!$B$5</f>
        <v>1131813.060305421</v>
      </c>
      <c r="S152" s="11">
        <f>Commercial!S152*Commercial!$B$5</f>
        <v>1138119.4127637681</v>
      </c>
      <c r="T152" s="11">
        <f>Commercial!T152*Commercial!$B$5</f>
        <v>1144425.7652221154</v>
      </c>
      <c r="U152" s="11">
        <f>Commercial!U152*Commercial!$B$5</f>
        <v>1149259.0112580229</v>
      </c>
      <c r="V152" s="11">
        <f>Commercial!V152*Commercial!$B$5</f>
        <v>1154092.2572939307</v>
      </c>
      <c r="W152" s="11">
        <f>Commercial!W152*Commercial!$B$5</f>
        <v>1158925.5033298384</v>
      </c>
      <c r="X152" s="11">
        <f>Commercial!X152*Commercial!$B$5</f>
        <v>1163758.749365746</v>
      </c>
      <c r="Y152" s="11">
        <f>Commercial!Y152*Commercial!$B$5</f>
        <v>1168591.9954016535</v>
      </c>
      <c r="Z152" s="11">
        <f>Commercial!Z152*Commercial!$B$5</f>
        <v>1172011.8489682158</v>
      </c>
      <c r="AA152" s="11">
        <f>Commercial!AA152*Commercial!$B$5</f>
        <v>1175431.7025347771</v>
      </c>
      <c r="AB152" s="11">
        <f>Commercial!AB152*Commercial!$B$5</f>
        <v>1178851.5561013389</v>
      </c>
      <c r="AC152" s="11">
        <f>Commercial!AC152*Commercial!$B$5</f>
        <v>1182271.4096679008</v>
      </c>
      <c r="AD152" s="11">
        <f>Commercial!AD152*Commercial!$B$5</f>
        <v>1185691.2632344624</v>
      </c>
      <c r="AE152" s="11">
        <f>Commercial!AE152*Commercial!$B$5</f>
        <v>1185691.2632344624</v>
      </c>
      <c r="AF152" s="11">
        <f>Commercial!AF152*Commercial!$B$5</f>
        <v>1185691.2632344624</v>
      </c>
      <c r="AG152" s="11">
        <f>Commercial!AG152*Commercial!$B$5</f>
        <v>1185691.2632344624</v>
      </c>
      <c r="AH152" s="11">
        <f>Commercial!AH152*Commercial!$B$5</f>
        <v>1185691.2632344624</v>
      </c>
      <c r="AI152" s="11">
        <f>Commercial!AI152*Commercial!$B$5</f>
        <v>1185691.2632344624</v>
      </c>
      <c r="AJ152" s="11">
        <f>Commercial!AJ152*Commercial!$B$5</f>
        <v>1185691.2632344624</v>
      </c>
      <c r="AK152" s="11">
        <f>Commercial!AK152*Commercial!$B$5</f>
        <v>1185691.2632344624</v>
      </c>
      <c r="AL152" s="11">
        <f>Commercial!AL152*Commercial!$B$5</f>
        <v>1185691.2632344624</v>
      </c>
      <c r="AM152" s="11">
        <f>Commercial!AM152*Commercial!$B$5</f>
        <v>1185691.2632344624</v>
      </c>
      <c r="AN152" s="11">
        <f>Commercial!AN152*Commercial!$B$5</f>
        <v>1185691.2632344624</v>
      </c>
    </row>
    <row r="153" spans="1:40" x14ac:dyDescent="0.2">
      <c r="A153" s="6" t="s">
        <v>41</v>
      </c>
      <c r="B153" s="11">
        <f>Commercial!B153*Commercial!$B$5</f>
        <v>621182.28496034385</v>
      </c>
      <c r="C153" s="11">
        <f>Commercial!C153*Commercial!$B$5</f>
        <v>623306.38205978891</v>
      </c>
      <c r="D153" s="11">
        <f>Commercial!D153*Commercial!$B$5</f>
        <v>625430.47915923398</v>
      </c>
      <c r="E153" s="11">
        <f>Commercial!E153*Commercial!$B$5</f>
        <v>627554.57625867915</v>
      </c>
      <c r="F153" s="11">
        <f>Commercial!F153*Commercial!$B$5</f>
        <v>633236.50634171371</v>
      </c>
      <c r="G153" s="11">
        <f>Commercial!G153*Commercial!$B$5</f>
        <v>638918.43642474816</v>
      </c>
      <c r="H153" s="11">
        <f>Commercial!H153*Commercial!$B$5</f>
        <v>644600.36650778272</v>
      </c>
      <c r="I153" s="11">
        <f>Commercial!I153*Commercial!$B$5</f>
        <v>650282.29659081728</v>
      </c>
      <c r="J153" s="11">
        <f>Commercial!J153*Commercial!$B$5</f>
        <v>655964.22667385172</v>
      </c>
      <c r="K153" s="11">
        <f>Commercial!K153*Commercial!$B$5</f>
        <v>660736.60879524646</v>
      </c>
      <c r="L153" s="11">
        <f>Commercial!L153*Commercial!$B$5</f>
        <v>665508.99091664096</v>
      </c>
      <c r="M153" s="11">
        <f>Commercial!M153*Commercial!$B$5</f>
        <v>670281.37303803547</v>
      </c>
      <c r="N153" s="11">
        <f>Commercial!N153*Commercial!$B$5</f>
        <v>675053.75515943009</v>
      </c>
      <c r="O153" s="11">
        <f>Commercial!O153*Commercial!$B$5</f>
        <v>679826.13728082471</v>
      </c>
      <c r="P153" s="11">
        <f>Commercial!P153*Commercial!$B$5</f>
        <v>683678.45674772887</v>
      </c>
      <c r="Q153" s="11">
        <f>Commercial!Q153*Commercial!$B$5</f>
        <v>687530.77621463314</v>
      </c>
      <c r="R153" s="11">
        <f>Commercial!R153*Commercial!$B$5</f>
        <v>691383.09568153706</v>
      </c>
      <c r="S153" s="11">
        <f>Commercial!S153*Commercial!$B$5</f>
        <v>695235.41514844121</v>
      </c>
      <c r="T153" s="11">
        <f>Commercial!T153*Commercial!$B$5</f>
        <v>699087.73461534525</v>
      </c>
      <c r="U153" s="11">
        <f>Commercial!U153*Commercial!$B$5</f>
        <v>702040.18738664885</v>
      </c>
      <c r="V153" s="11">
        <f>Commercial!V153*Commercial!$B$5</f>
        <v>704992.64015795256</v>
      </c>
      <c r="W153" s="11">
        <f>Commercial!W153*Commercial!$B$5</f>
        <v>707945.09292925615</v>
      </c>
      <c r="X153" s="11">
        <f>Commercial!X153*Commercial!$B$5</f>
        <v>710897.54570055974</v>
      </c>
      <c r="Y153" s="11">
        <f>Commercial!Y153*Commercial!$B$5</f>
        <v>713849.99847186322</v>
      </c>
      <c r="Z153" s="11">
        <f>Commercial!Z153*Commercial!$B$5</f>
        <v>715939.06161183899</v>
      </c>
      <c r="AA153" s="11">
        <f>Commercial!AA153*Commercial!$B$5</f>
        <v>718028.12475181452</v>
      </c>
      <c r="AB153" s="11">
        <f>Commercial!AB153*Commercial!$B$5</f>
        <v>720117.18789179029</v>
      </c>
      <c r="AC153" s="11">
        <f>Commercial!AC153*Commercial!$B$5</f>
        <v>722206.25103176571</v>
      </c>
      <c r="AD153" s="11">
        <f>Commercial!AD153*Commercial!$B$5</f>
        <v>724295.31417174137</v>
      </c>
      <c r="AE153" s="11">
        <f>Commercial!AE153*Commercial!$B$5</f>
        <v>724295.31417174137</v>
      </c>
      <c r="AF153" s="11">
        <f>Commercial!AF153*Commercial!$B$5</f>
        <v>724295.31417174137</v>
      </c>
      <c r="AG153" s="11">
        <f>Commercial!AG153*Commercial!$B$5</f>
        <v>724295.31417174137</v>
      </c>
      <c r="AH153" s="11">
        <f>Commercial!AH153*Commercial!$B$5</f>
        <v>724295.31417174137</v>
      </c>
      <c r="AI153" s="11">
        <f>Commercial!AI153*Commercial!$B$5</f>
        <v>724295.31417174137</v>
      </c>
      <c r="AJ153" s="11">
        <f>Commercial!AJ153*Commercial!$B$5</f>
        <v>724295.31417174137</v>
      </c>
      <c r="AK153" s="11">
        <f>Commercial!AK153*Commercial!$B$5</f>
        <v>724295.31417174137</v>
      </c>
      <c r="AL153" s="11">
        <f>Commercial!AL153*Commercial!$B$5</f>
        <v>724295.31417174137</v>
      </c>
      <c r="AM153" s="11">
        <f>Commercial!AM153*Commercial!$B$5</f>
        <v>724295.31417174137</v>
      </c>
      <c r="AN153" s="11">
        <f>Commercial!AN153*Commercial!$B$5</f>
        <v>724295.31417174137</v>
      </c>
    </row>
    <row r="154" spans="1:40" x14ac:dyDescent="0.2">
      <c r="A154" s="6" t="s">
        <v>42</v>
      </c>
      <c r="B154" s="11">
        <f>Commercial!B154*Commercial!$B$5</f>
        <v>482351.10394190188</v>
      </c>
      <c r="C154" s="11">
        <f>Commercial!C154*Commercial!$B$5</f>
        <v>484000.47580198728</v>
      </c>
      <c r="D154" s="11">
        <f>Commercial!D154*Commercial!$B$5</f>
        <v>485649.84766207263</v>
      </c>
      <c r="E154" s="11">
        <f>Commercial!E154*Commercial!$B$5</f>
        <v>487299.21952215803</v>
      </c>
      <c r="F154" s="11">
        <f>Commercial!F154*Commercial!$B$5</f>
        <v>491711.26621831814</v>
      </c>
      <c r="G154" s="11">
        <f>Commercial!G154*Commercial!$B$5</f>
        <v>496123.31291447795</v>
      </c>
      <c r="H154" s="11">
        <f>Commercial!H154*Commercial!$B$5</f>
        <v>500535.35961063812</v>
      </c>
      <c r="I154" s="11">
        <f>Commercial!I154*Commercial!$B$5</f>
        <v>504947.40630679805</v>
      </c>
      <c r="J154" s="11">
        <f>Commercial!J154*Commercial!$B$5</f>
        <v>509359.45300295803</v>
      </c>
      <c r="K154" s="11">
        <f>Commercial!K154*Commercial!$B$5</f>
        <v>513065.23122687225</v>
      </c>
      <c r="L154" s="11">
        <f>Commercial!L154*Commercial!$B$5</f>
        <v>516771.00945078646</v>
      </c>
      <c r="M154" s="11">
        <f>Commercial!M154*Commercial!$B$5</f>
        <v>520476.78767470049</v>
      </c>
      <c r="N154" s="11">
        <f>Commercial!N154*Commercial!$B$5</f>
        <v>524182.56589861459</v>
      </c>
      <c r="O154" s="11">
        <f>Commercial!O154*Commercial!$B$5</f>
        <v>527888.3441225288</v>
      </c>
      <c r="P154" s="11">
        <f>Commercial!P154*Commercial!$B$5</f>
        <v>530879.68916340801</v>
      </c>
      <c r="Q154" s="11">
        <f>Commercial!Q154*Commercial!$B$5</f>
        <v>533871.03420428722</v>
      </c>
      <c r="R154" s="11">
        <f>Commercial!R154*Commercial!$B$5</f>
        <v>536862.37924516608</v>
      </c>
      <c r="S154" s="11">
        <f>Commercial!S154*Commercial!$B$5</f>
        <v>539853.7242860453</v>
      </c>
      <c r="T154" s="11">
        <f>Commercial!T154*Commercial!$B$5</f>
        <v>542845.06932692439</v>
      </c>
      <c r="U154" s="11">
        <f>Commercial!U154*Commercial!$B$5</f>
        <v>545137.6634463229</v>
      </c>
      <c r="V154" s="11">
        <f>Commercial!V154*Commercial!$B$5</f>
        <v>547430.25756572152</v>
      </c>
      <c r="W154" s="11">
        <f>Commercial!W154*Commercial!$B$5</f>
        <v>549722.85168511991</v>
      </c>
      <c r="X154" s="11">
        <f>Commercial!X154*Commercial!$B$5</f>
        <v>552015.44580451853</v>
      </c>
      <c r="Y154" s="11">
        <f>Commercial!Y154*Commercial!$B$5</f>
        <v>554308.03992391692</v>
      </c>
      <c r="Z154" s="11">
        <f>Commercial!Z154*Commercial!$B$5</f>
        <v>555930.20774191245</v>
      </c>
      <c r="AA154" s="11">
        <f>Commercial!AA154*Commercial!$B$5</f>
        <v>557552.37555990787</v>
      </c>
      <c r="AB154" s="11">
        <f>Commercial!AB154*Commercial!$B$5</f>
        <v>559174.54337790352</v>
      </c>
      <c r="AC154" s="11">
        <f>Commercial!AC154*Commercial!$B$5</f>
        <v>560796.71119589894</v>
      </c>
      <c r="AD154" s="11">
        <f>Commercial!AD154*Commercial!$B$5</f>
        <v>562418.87901389448</v>
      </c>
      <c r="AE154" s="11">
        <f>Commercial!AE154*Commercial!$B$5</f>
        <v>562418.87901389448</v>
      </c>
      <c r="AF154" s="11">
        <f>Commercial!AF154*Commercial!$B$5</f>
        <v>562418.87901389448</v>
      </c>
      <c r="AG154" s="11">
        <f>Commercial!AG154*Commercial!$B$5</f>
        <v>562418.87901389448</v>
      </c>
      <c r="AH154" s="11">
        <f>Commercial!AH154*Commercial!$B$5</f>
        <v>562418.87901389448</v>
      </c>
      <c r="AI154" s="11">
        <f>Commercial!AI154*Commercial!$B$5</f>
        <v>562418.87901389448</v>
      </c>
      <c r="AJ154" s="11">
        <f>Commercial!AJ154*Commercial!$B$5</f>
        <v>562418.87901389448</v>
      </c>
      <c r="AK154" s="11">
        <f>Commercial!AK154*Commercial!$B$5</f>
        <v>562418.87901389448</v>
      </c>
      <c r="AL154" s="11">
        <f>Commercial!AL154*Commercial!$B$5</f>
        <v>562418.87901389448</v>
      </c>
      <c r="AM154" s="11">
        <f>Commercial!AM154*Commercial!$B$5</f>
        <v>562418.87901389448</v>
      </c>
      <c r="AN154" s="11">
        <f>Commercial!AN154*Commercial!$B$5</f>
        <v>562418.87901389448</v>
      </c>
    </row>
    <row r="155" spans="1:40" x14ac:dyDescent="0.2">
      <c r="A155" s="6" t="s">
        <v>43</v>
      </c>
      <c r="B155" s="11">
        <f>Commercial!B155*Commercial!$B$5</f>
        <v>33827.128214243843</v>
      </c>
      <c r="C155" s="11">
        <f>Commercial!C155*Commercial!$B$5</f>
        <v>33942.798133786091</v>
      </c>
      <c r="D155" s="11">
        <f>Commercial!D155*Commercial!$B$5</f>
        <v>34058.468053328332</v>
      </c>
      <c r="E155" s="11">
        <f>Commercial!E155*Commercial!$B$5</f>
        <v>34174.13797287058</v>
      </c>
      <c r="F155" s="11">
        <f>Commercial!F155*Commercial!$B$5</f>
        <v>34483.553392589856</v>
      </c>
      <c r="G155" s="11">
        <f>Commercial!G155*Commercial!$B$5</f>
        <v>34792.968812309118</v>
      </c>
      <c r="H155" s="11">
        <f>Commercial!H155*Commercial!$B$5</f>
        <v>35102.384232028387</v>
      </c>
      <c r="I155" s="11">
        <f>Commercial!I155*Commercial!$B$5</f>
        <v>35411.799651747657</v>
      </c>
      <c r="J155" s="11">
        <f>Commercial!J155*Commercial!$B$5</f>
        <v>35721.215071466919</v>
      </c>
      <c r="K155" s="11">
        <f>Commercial!K155*Commercial!$B$5</f>
        <v>35981.100109750143</v>
      </c>
      <c r="L155" s="11">
        <f>Commercial!L155*Commercial!$B$5</f>
        <v>36240.985148033375</v>
      </c>
      <c r="M155" s="11">
        <f>Commercial!M155*Commercial!$B$5</f>
        <v>36500.870186316599</v>
      </c>
      <c r="N155" s="11">
        <f>Commercial!N155*Commercial!$B$5</f>
        <v>36760.755224599816</v>
      </c>
      <c r="O155" s="11">
        <f>Commercial!O155*Commercial!$B$5</f>
        <v>37020.640262883047</v>
      </c>
      <c r="P155" s="11">
        <f>Commercial!P155*Commercial!$B$5</f>
        <v>37230.422331181268</v>
      </c>
      <c r="Q155" s="11">
        <f>Commercial!Q155*Commercial!$B$5</f>
        <v>37440.20439947948</v>
      </c>
      <c r="R155" s="11">
        <f>Commercial!R155*Commercial!$B$5</f>
        <v>37649.986467777686</v>
      </c>
      <c r="S155" s="11">
        <f>Commercial!S155*Commercial!$B$5</f>
        <v>37859.768536075913</v>
      </c>
      <c r="T155" s="11">
        <f>Commercial!T155*Commercial!$B$5</f>
        <v>38069.550604374119</v>
      </c>
      <c r="U155" s="11">
        <f>Commercial!U155*Commercial!$B$5</f>
        <v>38230.329494660356</v>
      </c>
      <c r="V155" s="11">
        <f>Commercial!V155*Commercial!$B$5</f>
        <v>38391.108384946587</v>
      </c>
      <c r="W155" s="11">
        <f>Commercial!W155*Commercial!$B$5</f>
        <v>38551.88727523281</v>
      </c>
      <c r="X155" s="11">
        <f>Commercial!X155*Commercial!$B$5</f>
        <v>38712.66616551904</v>
      </c>
      <c r="Y155" s="11">
        <f>Commercial!Y155*Commercial!$B$5</f>
        <v>38873.445055805256</v>
      </c>
      <c r="Z155" s="11">
        <f>Commercial!Z155*Commercial!$B$5</f>
        <v>38987.207164600935</v>
      </c>
      <c r="AA155" s="11">
        <f>Commercial!AA155*Commercial!$B$5</f>
        <v>39100.969273396615</v>
      </c>
      <c r="AB155" s="11">
        <f>Commercial!AB155*Commercial!$B$5</f>
        <v>39214.731382192287</v>
      </c>
      <c r="AC155" s="11">
        <f>Commercial!AC155*Commercial!$B$5</f>
        <v>39328.493490987967</v>
      </c>
      <c r="AD155" s="11">
        <f>Commercial!AD155*Commercial!$B$5</f>
        <v>39442.255599783646</v>
      </c>
      <c r="AE155" s="11">
        <f>Commercial!AE155*Commercial!$B$5</f>
        <v>39442.255599783646</v>
      </c>
      <c r="AF155" s="11">
        <f>Commercial!AF155*Commercial!$B$5</f>
        <v>39442.255599783646</v>
      </c>
      <c r="AG155" s="11">
        <f>Commercial!AG155*Commercial!$B$5</f>
        <v>39442.255599783646</v>
      </c>
      <c r="AH155" s="11">
        <f>Commercial!AH155*Commercial!$B$5</f>
        <v>39442.255599783646</v>
      </c>
      <c r="AI155" s="11">
        <f>Commercial!AI155*Commercial!$B$5</f>
        <v>39442.255599783646</v>
      </c>
      <c r="AJ155" s="11">
        <f>Commercial!AJ155*Commercial!$B$5</f>
        <v>39442.255599783646</v>
      </c>
      <c r="AK155" s="11">
        <f>Commercial!AK155*Commercial!$B$5</f>
        <v>39442.255599783646</v>
      </c>
      <c r="AL155" s="11">
        <f>Commercial!AL155*Commercial!$B$5</f>
        <v>39442.255599783646</v>
      </c>
      <c r="AM155" s="11">
        <f>Commercial!AM155*Commercial!$B$5</f>
        <v>39442.255599783646</v>
      </c>
      <c r="AN155" s="11">
        <f>Commercial!AN155*Commercial!$B$5</f>
        <v>39442.255599783646</v>
      </c>
    </row>
    <row r="156" spans="1:40" x14ac:dyDescent="0.2">
      <c r="A156" s="6" t="s">
        <v>8</v>
      </c>
      <c r="B156" s="11">
        <f>Commercial!B156*Commercial!$B$5</f>
        <v>25870.714594631379</v>
      </c>
      <c r="C156" s="11">
        <f>Commercial!C156*Commercial!$B$5</f>
        <v>25959.178015371937</v>
      </c>
      <c r="D156" s="11">
        <f>Commercial!D156*Commercial!$B$5</f>
        <v>26047.641436112488</v>
      </c>
      <c r="E156" s="11">
        <f>Commercial!E156*Commercial!$B$5</f>
        <v>26136.104856853053</v>
      </c>
      <c r="F156" s="11">
        <f>Commercial!F156*Commercial!$B$5</f>
        <v>26372.743272152067</v>
      </c>
      <c r="G156" s="11">
        <f>Commercial!G156*Commercial!$B$5</f>
        <v>26609.381687451081</v>
      </c>
      <c r="H156" s="11">
        <f>Commercial!H156*Commercial!$B$5</f>
        <v>26846.020102750095</v>
      </c>
      <c r="I156" s="11">
        <f>Commercial!I156*Commercial!$B$5</f>
        <v>27082.658518049106</v>
      </c>
      <c r="J156" s="11">
        <f>Commercial!J156*Commercial!$B$5</f>
        <v>27319.29693334812</v>
      </c>
      <c r="K156" s="11">
        <f>Commercial!K156*Commercial!$B$5</f>
        <v>27518.054912750264</v>
      </c>
      <c r="L156" s="11">
        <f>Commercial!L156*Commercial!$B$5</f>
        <v>27716.812892152404</v>
      </c>
      <c r="M156" s="11">
        <f>Commercial!M156*Commercial!$B$5</f>
        <v>27915.570871554537</v>
      </c>
      <c r="N156" s="11">
        <f>Commercial!N156*Commercial!$B$5</f>
        <v>28114.328850956677</v>
      </c>
      <c r="O156" s="11">
        <f>Commercial!O156*Commercial!$B$5</f>
        <v>28313.086830358814</v>
      </c>
      <c r="P156" s="11">
        <f>Commercial!P156*Commercial!$B$5</f>
        <v>28473.526462763948</v>
      </c>
      <c r="Q156" s="11">
        <f>Commercial!Q156*Commercial!$B$5</f>
        <v>28633.966095169089</v>
      </c>
      <c r="R156" s="11">
        <f>Commercial!R156*Commercial!$B$5</f>
        <v>28794.405727574213</v>
      </c>
      <c r="S156" s="11">
        <f>Commercial!S156*Commercial!$B$5</f>
        <v>28954.845359979347</v>
      </c>
      <c r="T156" s="11">
        <f>Commercial!T156*Commercial!$B$5</f>
        <v>29115.284992384484</v>
      </c>
      <c r="U156" s="11">
        <f>Commercial!U156*Commercial!$B$5</f>
        <v>29238.247389815697</v>
      </c>
      <c r="V156" s="11">
        <f>Commercial!V156*Commercial!$B$5</f>
        <v>29361.209787246917</v>
      </c>
      <c r="W156" s="11">
        <f>Commercial!W156*Commercial!$B$5</f>
        <v>29484.172184678129</v>
      </c>
      <c r="X156" s="11">
        <f>Commercial!X156*Commercial!$B$5</f>
        <v>29607.134582109346</v>
      </c>
      <c r="Y156" s="11">
        <f>Commercial!Y156*Commercial!$B$5</f>
        <v>29730.096979540558</v>
      </c>
      <c r="Z156" s="11">
        <f>Commercial!Z156*Commercial!$B$5</f>
        <v>29817.101322022612</v>
      </c>
      <c r="AA156" s="11">
        <f>Commercial!AA156*Commercial!$B$5</f>
        <v>29904.105664504663</v>
      </c>
      <c r="AB156" s="11">
        <f>Commercial!AB156*Commercial!$B$5</f>
        <v>29991.110006986717</v>
      </c>
      <c r="AC156" s="11">
        <f>Commercial!AC156*Commercial!$B$5</f>
        <v>30078.114349468768</v>
      </c>
      <c r="AD156" s="11">
        <f>Commercial!AD156*Commercial!$B$5</f>
        <v>30165.118691950815</v>
      </c>
      <c r="AE156" s="11">
        <f>Commercial!AE156*Commercial!$B$5</f>
        <v>30165.118691950815</v>
      </c>
      <c r="AF156" s="11">
        <f>Commercial!AF156*Commercial!$B$5</f>
        <v>30165.118691950815</v>
      </c>
      <c r="AG156" s="11">
        <f>Commercial!AG156*Commercial!$B$5</f>
        <v>30165.118691950815</v>
      </c>
      <c r="AH156" s="11">
        <f>Commercial!AH156*Commercial!$B$5</f>
        <v>30165.118691950815</v>
      </c>
      <c r="AI156" s="11">
        <f>Commercial!AI156*Commercial!$B$5</f>
        <v>30165.118691950815</v>
      </c>
      <c r="AJ156" s="11">
        <f>Commercial!AJ156*Commercial!$B$5</f>
        <v>30165.118691950815</v>
      </c>
      <c r="AK156" s="11">
        <f>Commercial!AK156*Commercial!$B$5</f>
        <v>30165.118691950815</v>
      </c>
      <c r="AL156" s="11">
        <f>Commercial!AL156*Commercial!$B$5</f>
        <v>30165.118691950815</v>
      </c>
      <c r="AM156" s="11">
        <f>Commercial!AM156*Commercial!$B$5</f>
        <v>30165.118691950815</v>
      </c>
      <c r="AN156" s="11">
        <f>Commercial!AN156*Commercial!$B$5</f>
        <v>30165.118691950815</v>
      </c>
    </row>
    <row r="157" spans="1:40" x14ac:dyDescent="0.2">
      <c r="A157" s="6" t="s">
        <v>9</v>
      </c>
      <c r="B157" s="11">
        <f>Commercial!B157*Commercial!$B$5</f>
        <v>265218.23154565122</v>
      </c>
      <c r="C157" s="11">
        <f>Commercial!C157*Commercial!$B$5</f>
        <v>266125.13003581349</v>
      </c>
      <c r="D157" s="11">
        <f>Commercial!D157*Commercial!$B$5</f>
        <v>267032.02852597571</v>
      </c>
      <c r="E157" s="11">
        <f>Commercial!E157*Commercial!$B$5</f>
        <v>267938.92701613798</v>
      </c>
      <c r="F157" s="11">
        <f>Commercial!F157*Commercial!$B$5</f>
        <v>270364.86781463429</v>
      </c>
      <c r="G157" s="11">
        <f>Commercial!G157*Commercial!$B$5</f>
        <v>272790.80861313053</v>
      </c>
      <c r="H157" s="11">
        <f>Commercial!H157*Commercial!$B$5</f>
        <v>275216.74941162689</v>
      </c>
      <c r="I157" s="11">
        <f>Commercial!I157*Commercial!$B$5</f>
        <v>277642.6902101232</v>
      </c>
      <c r="J157" s="11">
        <f>Commercial!J157*Commercial!$B$5</f>
        <v>280068.63100861944</v>
      </c>
      <c r="K157" s="11">
        <f>Commercial!K157*Commercial!$B$5</f>
        <v>282106.23378181702</v>
      </c>
      <c r="L157" s="11">
        <f>Commercial!L157*Commercial!$B$5</f>
        <v>284143.83655501454</v>
      </c>
      <c r="M157" s="11">
        <f>Commercial!M157*Commercial!$B$5</f>
        <v>286181.439328212</v>
      </c>
      <c r="N157" s="11">
        <f>Commercial!N157*Commercial!$B$5</f>
        <v>288219.04210140952</v>
      </c>
      <c r="O157" s="11">
        <f>Commercial!O157*Commercial!$B$5</f>
        <v>290256.64487460698</v>
      </c>
      <c r="P157" s="11">
        <f>Commercial!P157*Commercial!$B$5</f>
        <v>291901.42029898416</v>
      </c>
      <c r="Q157" s="11">
        <f>Commercial!Q157*Commercial!$B$5</f>
        <v>293546.19572336128</v>
      </c>
      <c r="R157" s="11">
        <f>Commercial!R157*Commercial!$B$5</f>
        <v>295190.97114773828</v>
      </c>
      <c r="S157" s="11">
        <f>Commercial!S157*Commercial!$B$5</f>
        <v>296835.74657211546</v>
      </c>
      <c r="T157" s="11">
        <f>Commercial!T157*Commercial!$B$5</f>
        <v>298480.52199649258</v>
      </c>
      <c r="U157" s="11">
        <f>Commercial!U157*Commercial!$B$5</f>
        <v>299741.09288153826</v>
      </c>
      <c r="V157" s="11">
        <f>Commercial!V157*Commercial!$B$5</f>
        <v>301001.66376658413</v>
      </c>
      <c r="W157" s="11">
        <f>Commercial!W157*Commercial!$B$5</f>
        <v>302262.23465162981</v>
      </c>
      <c r="X157" s="11">
        <f>Commercial!X157*Commercial!$B$5</f>
        <v>303522.80553667562</v>
      </c>
      <c r="Y157" s="11">
        <f>Commercial!Y157*Commercial!$B$5</f>
        <v>304783.3764217213</v>
      </c>
      <c r="Z157" s="11">
        <f>Commercial!Z157*Commercial!$B$5</f>
        <v>305675.31691163225</v>
      </c>
      <c r="AA157" s="11">
        <f>Commercial!AA157*Commercial!$B$5</f>
        <v>306567.2574015432</v>
      </c>
      <c r="AB157" s="11">
        <f>Commercial!AB157*Commercial!$B$5</f>
        <v>307459.19789145415</v>
      </c>
      <c r="AC157" s="11">
        <f>Commercial!AC157*Commercial!$B$5</f>
        <v>308351.1383813651</v>
      </c>
      <c r="AD157" s="11">
        <f>Commercial!AD157*Commercial!$B$5</f>
        <v>309243.078871276</v>
      </c>
      <c r="AE157" s="11">
        <f>Commercial!AE157*Commercial!$B$5</f>
        <v>309243.078871276</v>
      </c>
      <c r="AF157" s="11">
        <f>Commercial!AF157*Commercial!$B$5</f>
        <v>309243.078871276</v>
      </c>
      <c r="AG157" s="11">
        <f>Commercial!AG157*Commercial!$B$5</f>
        <v>309243.078871276</v>
      </c>
      <c r="AH157" s="11">
        <f>Commercial!AH157*Commercial!$B$5</f>
        <v>309243.078871276</v>
      </c>
      <c r="AI157" s="11">
        <f>Commercial!AI157*Commercial!$B$5</f>
        <v>309243.078871276</v>
      </c>
      <c r="AJ157" s="11">
        <f>Commercial!AJ157*Commercial!$B$5</f>
        <v>309243.078871276</v>
      </c>
      <c r="AK157" s="11">
        <f>Commercial!AK157*Commercial!$B$5</f>
        <v>309243.078871276</v>
      </c>
      <c r="AL157" s="11">
        <f>Commercial!AL157*Commercial!$B$5</f>
        <v>309243.078871276</v>
      </c>
      <c r="AM157" s="11">
        <f>Commercial!AM157*Commercial!$B$5</f>
        <v>309243.078871276</v>
      </c>
      <c r="AN157" s="11">
        <f>Commercial!AN157*Commercial!$B$5</f>
        <v>309243.078871276</v>
      </c>
    </row>
    <row r="158" spans="1:40" x14ac:dyDescent="0.2">
      <c r="A158" s="6" t="s">
        <v>10</v>
      </c>
      <c r="B158" s="11">
        <f>Commercial!B158*Commercial!$B$5</f>
        <v>230.35335765385233</v>
      </c>
      <c r="C158" s="11">
        <f>Commercial!C158*Commercial!$B$5</f>
        <v>231.1410377128083</v>
      </c>
      <c r="D158" s="11">
        <f>Commercial!D158*Commercial!$B$5</f>
        <v>231.92871777176427</v>
      </c>
      <c r="E158" s="11">
        <f>Commercial!E158*Commercial!$B$5</f>
        <v>232.71639783072033</v>
      </c>
      <c r="F158" s="11">
        <f>Commercial!F158*Commercial!$B$5</f>
        <v>234.82343099034267</v>
      </c>
      <c r="G158" s="11">
        <f>Commercial!G158*Commercial!$B$5</f>
        <v>236.93046414996499</v>
      </c>
      <c r="H158" s="11">
        <f>Commercial!H158*Commercial!$B$5</f>
        <v>239.03749730958739</v>
      </c>
      <c r="I158" s="11">
        <f>Commercial!I158*Commercial!$B$5</f>
        <v>241.14453046920974</v>
      </c>
      <c r="J158" s="11">
        <f>Commercial!J158*Commercial!$B$5</f>
        <v>243.25156362883209</v>
      </c>
      <c r="K158" s="11">
        <f>Commercial!K158*Commercial!$B$5</f>
        <v>245.02130863329671</v>
      </c>
      <c r="L158" s="11">
        <f>Commercial!L158*Commercial!$B$5</f>
        <v>246.79105363776131</v>
      </c>
      <c r="M158" s="11">
        <f>Commercial!M158*Commercial!$B$5</f>
        <v>248.56079864222585</v>
      </c>
      <c r="N158" s="11">
        <f>Commercial!N158*Commercial!$B$5</f>
        <v>250.33054364669044</v>
      </c>
      <c r="O158" s="11">
        <f>Commercial!O158*Commercial!$B$5</f>
        <v>252.10028865115501</v>
      </c>
      <c r="P158" s="11">
        <f>Commercial!P158*Commercial!$B$5</f>
        <v>253.52884633131058</v>
      </c>
      <c r="Q158" s="11">
        <f>Commercial!Q158*Commercial!$B$5</f>
        <v>254.95740401146611</v>
      </c>
      <c r="R158" s="11">
        <f>Commercial!R158*Commercial!$B$5</f>
        <v>256.38596169162156</v>
      </c>
      <c r="S158" s="11">
        <f>Commercial!S158*Commercial!$B$5</f>
        <v>257.81451937177712</v>
      </c>
      <c r="T158" s="11">
        <f>Commercial!T158*Commercial!$B$5</f>
        <v>259.24307705193269</v>
      </c>
      <c r="U158" s="11">
        <f>Commercial!U158*Commercial!$B$5</f>
        <v>260.33793668597326</v>
      </c>
      <c r="V158" s="11">
        <f>Commercial!V158*Commercial!$B$5</f>
        <v>261.43279632001401</v>
      </c>
      <c r="W158" s="11">
        <f>Commercial!W158*Commercial!$B$5</f>
        <v>262.52765595405458</v>
      </c>
      <c r="X158" s="11">
        <f>Commercial!X158*Commercial!$B$5</f>
        <v>263.62251558809527</v>
      </c>
      <c r="Y158" s="11">
        <f>Commercial!Y158*Commercial!$B$5</f>
        <v>264.71737522213584</v>
      </c>
      <c r="Z158" s="11">
        <f>Commercial!Z158*Commercial!$B$5</f>
        <v>265.49206361923814</v>
      </c>
      <c r="AA158" s="11">
        <f>Commercial!AA158*Commercial!$B$5</f>
        <v>266.26675201634043</v>
      </c>
      <c r="AB158" s="11">
        <f>Commercial!AB158*Commercial!$B$5</f>
        <v>267.04144041344279</v>
      </c>
      <c r="AC158" s="11">
        <f>Commercial!AC158*Commercial!$B$5</f>
        <v>267.81612881054508</v>
      </c>
      <c r="AD158" s="11">
        <f>Commercial!AD158*Commercial!$B$5</f>
        <v>268.59081720764738</v>
      </c>
      <c r="AE158" s="11">
        <f>Commercial!AE158*Commercial!$B$5</f>
        <v>268.59081720764738</v>
      </c>
      <c r="AF158" s="11">
        <f>Commercial!AF158*Commercial!$B$5</f>
        <v>268.59081720764738</v>
      </c>
      <c r="AG158" s="11">
        <f>Commercial!AG158*Commercial!$B$5</f>
        <v>268.59081720764738</v>
      </c>
      <c r="AH158" s="11">
        <f>Commercial!AH158*Commercial!$B$5</f>
        <v>268.59081720764738</v>
      </c>
      <c r="AI158" s="11">
        <f>Commercial!AI158*Commercial!$B$5</f>
        <v>268.59081720764738</v>
      </c>
      <c r="AJ158" s="11">
        <f>Commercial!AJ158*Commercial!$B$5</f>
        <v>268.59081720764738</v>
      </c>
      <c r="AK158" s="11">
        <f>Commercial!AK158*Commercial!$B$5</f>
        <v>268.59081720764738</v>
      </c>
      <c r="AL158" s="11">
        <f>Commercial!AL158*Commercial!$B$5</f>
        <v>268.59081720764738</v>
      </c>
      <c r="AM158" s="11">
        <f>Commercial!AM158*Commercial!$B$5</f>
        <v>268.59081720764738</v>
      </c>
      <c r="AN158" s="11">
        <f>Commercial!AN158*Commercial!$B$5</f>
        <v>268.59081720764738</v>
      </c>
    </row>
    <row r="159" spans="1:40" x14ac:dyDescent="0.2">
      <c r="A159" s="6" t="s">
        <v>44</v>
      </c>
      <c r="B159" s="11">
        <f>Commercial!B159*Commercial!$B$5</f>
        <v>420608.68035010656</v>
      </c>
      <c r="C159" s="11">
        <f>Commercial!C159*Commercial!$B$5</f>
        <v>422046.92754350498</v>
      </c>
      <c r="D159" s="11">
        <f>Commercial!D159*Commercial!$B$5</f>
        <v>423485.17473690351</v>
      </c>
      <c r="E159" s="11">
        <f>Commercial!E159*Commercial!$B$5</f>
        <v>424923.42193030205</v>
      </c>
      <c r="F159" s="11">
        <f>Commercial!F159*Commercial!$B$5</f>
        <v>428770.71309093019</v>
      </c>
      <c r="G159" s="11">
        <f>Commercial!G159*Commercial!$B$5</f>
        <v>432618.00425155828</v>
      </c>
      <c r="H159" s="11">
        <f>Commercial!H159*Commercial!$B$5</f>
        <v>436465.29541218642</v>
      </c>
      <c r="I159" s="11">
        <f>Commercial!I159*Commercial!$B$5</f>
        <v>440312.58657281456</v>
      </c>
      <c r="J159" s="11">
        <f>Commercial!J159*Commercial!$B$5</f>
        <v>444159.8777334427</v>
      </c>
      <c r="K159" s="11">
        <f>Commercial!K159*Commercial!$B$5</f>
        <v>447391.30495666817</v>
      </c>
      <c r="L159" s="11">
        <f>Commercial!L159*Commercial!$B$5</f>
        <v>450622.73217989359</v>
      </c>
      <c r="M159" s="11">
        <f>Commercial!M159*Commercial!$B$5</f>
        <v>453854.159403119</v>
      </c>
      <c r="N159" s="11">
        <f>Commercial!N159*Commercial!$B$5</f>
        <v>457085.58662634448</v>
      </c>
      <c r="O159" s="11">
        <f>Commercial!O159*Commercial!$B$5</f>
        <v>460317.01384956983</v>
      </c>
      <c r="P159" s="11">
        <f>Commercial!P159*Commercial!$B$5</f>
        <v>462925.45753267495</v>
      </c>
      <c r="Q159" s="11">
        <f>Commercial!Q159*Commercial!$B$5</f>
        <v>465533.90121578</v>
      </c>
      <c r="R159" s="11">
        <f>Commercial!R159*Commercial!$B$5</f>
        <v>468142.34489888488</v>
      </c>
      <c r="S159" s="11">
        <f>Commercial!S159*Commercial!$B$5</f>
        <v>470750.78858199</v>
      </c>
      <c r="T159" s="11">
        <f>Commercial!T159*Commercial!$B$5</f>
        <v>473359.23226509505</v>
      </c>
      <c r="U159" s="11">
        <f>Commercial!U159*Commercial!$B$5</f>
        <v>475358.36729196284</v>
      </c>
      <c r="V159" s="11">
        <f>Commercial!V159*Commercial!$B$5</f>
        <v>477357.50231883075</v>
      </c>
      <c r="W159" s="11">
        <f>Commercial!W159*Commercial!$B$5</f>
        <v>479356.63734569849</v>
      </c>
      <c r="X159" s="11">
        <f>Commercial!X159*Commercial!$B$5</f>
        <v>481355.77237256645</v>
      </c>
      <c r="Y159" s="11">
        <f>Commercial!Y159*Commercial!$B$5</f>
        <v>483354.90739943425</v>
      </c>
      <c r="Z159" s="11">
        <f>Commercial!Z159*Commercial!$B$5</f>
        <v>484769.43275172968</v>
      </c>
      <c r="AA159" s="11">
        <f>Commercial!AA159*Commercial!$B$5</f>
        <v>486183.95810402505</v>
      </c>
      <c r="AB159" s="11">
        <f>Commercial!AB159*Commercial!$B$5</f>
        <v>487598.48345632048</v>
      </c>
      <c r="AC159" s="11">
        <f>Commercial!AC159*Commercial!$B$5</f>
        <v>489013.00880861579</v>
      </c>
      <c r="AD159" s="11">
        <f>Commercial!AD159*Commercial!$B$5</f>
        <v>490427.53416091116</v>
      </c>
      <c r="AE159" s="11">
        <f>Commercial!AE159*Commercial!$B$5</f>
        <v>490427.53416091116</v>
      </c>
      <c r="AF159" s="11">
        <f>Commercial!AF159*Commercial!$B$5</f>
        <v>490427.53416091116</v>
      </c>
      <c r="AG159" s="11">
        <f>Commercial!AG159*Commercial!$B$5</f>
        <v>490427.53416091116</v>
      </c>
      <c r="AH159" s="11">
        <f>Commercial!AH159*Commercial!$B$5</f>
        <v>490427.53416091116</v>
      </c>
      <c r="AI159" s="11">
        <f>Commercial!AI159*Commercial!$B$5</f>
        <v>490427.53416091116</v>
      </c>
      <c r="AJ159" s="11">
        <f>Commercial!AJ159*Commercial!$B$5</f>
        <v>490427.53416091116</v>
      </c>
      <c r="AK159" s="11">
        <f>Commercial!AK159*Commercial!$B$5</f>
        <v>490427.53416091116</v>
      </c>
      <c r="AL159" s="11">
        <f>Commercial!AL159*Commercial!$B$5</f>
        <v>490427.53416091116</v>
      </c>
      <c r="AM159" s="11">
        <f>Commercial!AM159*Commercial!$B$5</f>
        <v>490427.53416091116</v>
      </c>
      <c r="AN159" s="11">
        <f>Commercial!AN159*Commercial!$B$5</f>
        <v>490427.53416091116</v>
      </c>
    </row>
    <row r="161" spans="1:40" x14ac:dyDescent="0.2">
      <c r="A161" s="5" t="s">
        <v>66</v>
      </c>
    </row>
    <row r="162" spans="1:40" x14ac:dyDescent="0.2">
      <c r="A162" s="5" t="s">
        <v>4</v>
      </c>
    </row>
    <row r="163" spans="1:40" x14ac:dyDescent="0.2">
      <c r="A163" s="5" t="s">
        <v>67</v>
      </c>
    </row>
    <row r="164" spans="1:40" x14ac:dyDescent="0.2">
      <c r="A164" s="5" t="s">
        <v>6</v>
      </c>
    </row>
    <row r="165" spans="1:40" x14ac:dyDescent="0.2">
      <c r="A165" s="5"/>
    </row>
    <row r="166" spans="1:40" x14ac:dyDescent="0.2">
      <c r="A166" s="6" t="s">
        <v>7</v>
      </c>
      <c r="B166" s="6">
        <v>2022</v>
      </c>
      <c r="C166" s="6">
        <v>2023</v>
      </c>
      <c r="D166" s="6">
        <v>2024</v>
      </c>
      <c r="E166" s="6">
        <v>2025</v>
      </c>
      <c r="F166" s="6">
        <v>2026</v>
      </c>
      <c r="G166" s="6">
        <v>2027</v>
      </c>
      <c r="H166" s="6">
        <v>2028</v>
      </c>
      <c r="I166" s="6">
        <v>2029</v>
      </c>
      <c r="J166" s="6">
        <v>2030</v>
      </c>
      <c r="K166" s="6">
        <v>2031</v>
      </c>
      <c r="L166" s="6">
        <v>2032</v>
      </c>
      <c r="M166" s="6">
        <v>2033</v>
      </c>
      <c r="N166" s="6">
        <v>2034</v>
      </c>
      <c r="O166" s="6">
        <v>2035</v>
      </c>
      <c r="P166" s="6">
        <v>2036</v>
      </c>
      <c r="Q166" s="6">
        <v>2037</v>
      </c>
      <c r="R166" s="6">
        <v>2038</v>
      </c>
      <c r="S166" s="6">
        <v>2039</v>
      </c>
      <c r="T166" s="6">
        <v>2040</v>
      </c>
      <c r="U166" s="6">
        <v>2041</v>
      </c>
      <c r="V166" s="6">
        <v>2042</v>
      </c>
      <c r="W166" s="6">
        <v>2043</v>
      </c>
      <c r="X166" s="6">
        <v>2044</v>
      </c>
      <c r="Y166" s="6">
        <v>2045</v>
      </c>
      <c r="Z166" s="6">
        <v>2046</v>
      </c>
      <c r="AA166" s="6">
        <v>2047</v>
      </c>
      <c r="AB166" s="6">
        <v>2048</v>
      </c>
      <c r="AC166" s="6">
        <v>2049</v>
      </c>
      <c r="AD166" s="6">
        <v>2050</v>
      </c>
      <c r="AE166" s="6">
        <v>2051</v>
      </c>
      <c r="AF166" s="6">
        <v>2052</v>
      </c>
      <c r="AG166" s="6">
        <v>2053</v>
      </c>
      <c r="AH166" s="6">
        <v>2054</v>
      </c>
      <c r="AI166" s="6">
        <v>2055</v>
      </c>
      <c r="AJ166" s="6">
        <v>2056</v>
      </c>
      <c r="AK166" s="6">
        <v>2057</v>
      </c>
      <c r="AL166" s="6">
        <v>2058</v>
      </c>
      <c r="AM166" s="6">
        <v>2059</v>
      </c>
      <c r="AN166" s="6">
        <v>2060</v>
      </c>
    </row>
    <row r="167" spans="1:40" x14ac:dyDescent="0.2">
      <c r="A167" s="6" t="s">
        <v>8</v>
      </c>
      <c r="B167" s="11">
        <v>134.21016131437409</v>
      </c>
      <c r="C167" s="11">
        <v>134.21016131437409</v>
      </c>
      <c r="D167" s="11">
        <v>134.21016131437409</v>
      </c>
      <c r="E167" s="11">
        <v>134.21016131437409</v>
      </c>
      <c r="F167" s="11">
        <v>134.21016131437409</v>
      </c>
      <c r="G167" s="11">
        <v>134.21016131437409</v>
      </c>
      <c r="H167" s="11">
        <v>134.21016131437409</v>
      </c>
      <c r="I167" s="11">
        <v>134.21016131437409</v>
      </c>
      <c r="J167" s="11">
        <v>134.21016131437409</v>
      </c>
      <c r="K167" s="11">
        <v>134.21016131437409</v>
      </c>
      <c r="L167" s="11">
        <v>134.21016131437409</v>
      </c>
      <c r="M167" s="11">
        <v>134.21016131437409</v>
      </c>
      <c r="N167" s="11">
        <v>134.21016131437409</v>
      </c>
      <c r="O167" s="11">
        <v>134.21016131437409</v>
      </c>
      <c r="P167" s="11">
        <v>134.21016131437409</v>
      </c>
      <c r="Q167" s="11">
        <v>134.21016131437409</v>
      </c>
      <c r="R167" s="11">
        <v>134.21016131437409</v>
      </c>
      <c r="S167" s="11">
        <v>134.21016131437409</v>
      </c>
      <c r="T167" s="11">
        <v>134.21016131437409</v>
      </c>
      <c r="U167" s="11">
        <v>134.21016131437409</v>
      </c>
      <c r="V167" s="11">
        <v>134.21016131437409</v>
      </c>
      <c r="W167" s="11">
        <v>134.21016131437409</v>
      </c>
      <c r="X167" s="11">
        <v>134.21016131437409</v>
      </c>
      <c r="Y167" s="11">
        <v>134.21016131437409</v>
      </c>
      <c r="Z167" s="11">
        <v>134.21016131437409</v>
      </c>
      <c r="AA167" s="11">
        <v>134.21016131437409</v>
      </c>
      <c r="AB167" s="11">
        <v>134.21016131437409</v>
      </c>
      <c r="AC167" s="11">
        <v>134.21016131437409</v>
      </c>
      <c r="AD167" s="11">
        <v>134.21016131437409</v>
      </c>
      <c r="AE167" s="11">
        <v>134.21016131437409</v>
      </c>
      <c r="AF167" s="11">
        <v>134.21016131437409</v>
      </c>
      <c r="AG167" s="11">
        <v>134.21016131437409</v>
      </c>
      <c r="AH167" s="11">
        <v>134.21016131437409</v>
      </c>
      <c r="AI167" s="11">
        <v>134.21016131437409</v>
      </c>
      <c r="AJ167" s="11">
        <v>134.21016131437409</v>
      </c>
      <c r="AK167" s="11">
        <v>134.21016131437409</v>
      </c>
      <c r="AL167" s="11">
        <v>134.21016131437409</v>
      </c>
      <c r="AM167" s="11">
        <v>134.21016131437409</v>
      </c>
      <c r="AN167" s="11">
        <v>134.21016131437409</v>
      </c>
    </row>
    <row r="168" spans="1:40" x14ac:dyDescent="0.2">
      <c r="A168" s="6" t="s">
        <v>9</v>
      </c>
      <c r="B168" s="11">
        <v>1377.0514991970265</v>
      </c>
      <c r="C168" s="11">
        <v>1377.0514991970265</v>
      </c>
      <c r="D168" s="11">
        <v>1377.0514991970265</v>
      </c>
      <c r="E168" s="11">
        <v>1377.0514991970265</v>
      </c>
      <c r="F168" s="11">
        <v>1377.0514991970265</v>
      </c>
      <c r="G168" s="11">
        <v>1377.0514991970265</v>
      </c>
      <c r="H168" s="11">
        <v>1377.0514991970265</v>
      </c>
      <c r="I168" s="11">
        <v>1377.0514991970265</v>
      </c>
      <c r="J168" s="11">
        <v>1377.0514991970265</v>
      </c>
      <c r="K168" s="11">
        <v>1377.0514991970265</v>
      </c>
      <c r="L168" s="11">
        <v>1377.0514991970265</v>
      </c>
      <c r="M168" s="11">
        <v>1377.0514991970265</v>
      </c>
      <c r="N168" s="11">
        <v>1377.0514991970265</v>
      </c>
      <c r="O168" s="11">
        <v>1377.0514991970265</v>
      </c>
      <c r="P168" s="11">
        <v>1377.0514991970265</v>
      </c>
      <c r="Q168" s="11">
        <v>1377.0514991970265</v>
      </c>
      <c r="R168" s="11">
        <v>1377.0514991970265</v>
      </c>
      <c r="S168" s="11">
        <v>1377.0514991970265</v>
      </c>
      <c r="T168" s="11">
        <v>1377.0514991970265</v>
      </c>
      <c r="U168" s="11">
        <v>1377.0514991970265</v>
      </c>
      <c r="V168" s="11">
        <v>1377.0514991970265</v>
      </c>
      <c r="W168" s="11">
        <v>1377.0514991970265</v>
      </c>
      <c r="X168" s="11">
        <v>1377.0514991970265</v>
      </c>
      <c r="Y168" s="11">
        <v>1377.0514991970265</v>
      </c>
      <c r="Z168" s="11">
        <v>1377.0514991970265</v>
      </c>
      <c r="AA168" s="11">
        <v>1377.0514991970265</v>
      </c>
      <c r="AB168" s="11">
        <v>1377.0514991970265</v>
      </c>
      <c r="AC168" s="11">
        <v>1377.0514991970265</v>
      </c>
      <c r="AD168" s="11">
        <v>1377.0514991970265</v>
      </c>
      <c r="AE168" s="11">
        <v>1377.0514991970265</v>
      </c>
      <c r="AF168" s="11">
        <v>1377.0514991970265</v>
      </c>
      <c r="AG168" s="11">
        <v>1377.0514991970265</v>
      </c>
      <c r="AH168" s="11">
        <v>1377.0514991970265</v>
      </c>
      <c r="AI168" s="11">
        <v>1377.0514991970265</v>
      </c>
      <c r="AJ168" s="11">
        <v>1377.0514991970265</v>
      </c>
      <c r="AK168" s="11">
        <v>1377.0514991970265</v>
      </c>
      <c r="AL168" s="11">
        <v>1377.0514991970265</v>
      </c>
      <c r="AM168" s="11">
        <v>1377.0514991970265</v>
      </c>
      <c r="AN168" s="11">
        <v>1377.0514991970265</v>
      </c>
    </row>
    <row r="169" spans="1:40" x14ac:dyDescent="0.2">
      <c r="A169" s="6" t="s">
        <v>10</v>
      </c>
      <c r="B169" s="11">
        <v>1.3556581952425419</v>
      </c>
      <c r="C169" s="11">
        <v>1.3556581952425419</v>
      </c>
      <c r="D169" s="11">
        <v>1.3556581952425419</v>
      </c>
      <c r="E169" s="11">
        <v>1.3556581952425419</v>
      </c>
      <c r="F169" s="11">
        <v>1.3556581952425419</v>
      </c>
      <c r="G169" s="11">
        <v>1.3556581952425419</v>
      </c>
      <c r="H169" s="11">
        <v>1.3556581952425419</v>
      </c>
      <c r="I169" s="11">
        <v>1.3556581952425419</v>
      </c>
      <c r="J169" s="11">
        <v>1.3556581952425419</v>
      </c>
      <c r="K169" s="11">
        <v>1.3556581952425419</v>
      </c>
      <c r="L169" s="11">
        <v>1.3556581952425419</v>
      </c>
      <c r="M169" s="11">
        <v>1.3556581952425419</v>
      </c>
      <c r="N169" s="11">
        <v>1.3556581952425419</v>
      </c>
      <c r="O169" s="11">
        <v>1.3556581952425419</v>
      </c>
      <c r="P169" s="11">
        <v>1.3556581952425419</v>
      </c>
      <c r="Q169" s="11">
        <v>1.3556581952425419</v>
      </c>
      <c r="R169" s="11">
        <v>1.3556581952425419</v>
      </c>
      <c r="S169" s="11">
        <v>1.3556581952425419</v>
      </c>
      <c r="T169" s="11">
        <v>1.3556581952425419</v>
      </c>
      <c r="U169" s="11">
        <v>1.3556581952425419</v>
      </c>
      <c r="V169" s="11">
        <v>1.3556581952425419</v>
      </c>
      <c r="W169" s="11">
        <v>1.3556581952425419</v>
      </c>
      <c r="X169" s="11">
        <v>1.3556581952425419</v>
      </c>
      <c r="Y169" s="11">
        <v>1.3556581952425419</v>
      </c>
      <c r="Z169" s="11">
        <v>1.3556581952425419</v>
      </c>
      <c r="AA169" s="11">
        <v>1.3556581952425419</v>
      </c>
      <c r="AB169" s="11">
        <v>1.3556581952425419</v>
      </c>
      <c r="AC169" s="11">
        <v>1.3556581952425419</v>
      </c>
      <c r="AD169" s="11">
        <v>1.3556581952425419</v>
      </c>
      <c r="AE169" s="11">
        <v>1.3556581952425419</v>
      </c>
      <c r="AF169" s="11">
        <v>1.3556581952425419</v>
      </c>
      <c r="AG169" s="11">
        <v>1.3556581952425419</v>
      </c>
      <c r="AH169" s="11">
        <v>1.3556581952425419</v>
      </c>
      <c r="AI169" s="11">
        <v>1.3556581952425419</v>
      </c>
      <c r="AJ169" s="11">
        <v>1.3556581952425419</v>
      </c>
      <c r="AK169" s="11">
        <v>1.3556581952425419</v>
      </c>
      <c r="AL169" s="11">
        <v>1.3556581952425419</v>
      </c>
      <c r="AM169" s="11">
        <v>1.3556581952425419</v>
      </c>
      <c r="AN169" s="11">
        <v>1.3556581952425419</v>
      </c>
    </row>
    <row r="171" spans="1:40" x14ac:dyDescent="0.2">
      <c r="A171" s="5" t="s">
        <v>66</v>
      </c>
    </row>
    <row r="172" spans="1:40" x14ac:dyDescent="0.2">
      <c r="A172" s="5" t="s">
        <v>4</v>
      </c>
    </row>
    <row r="173" spans="1:40" x14ac:dyDescent="0.2">
      <c r="A173" s="5" t="s">
        <v>69</v>
      </c>
    </row>
    <row r="174" spans="1:40" x14ac:dyDescent="0.2">
      <c r="A174" s="5" t="s">
        <v>6</v>
      </c>
    </row>
    <row r="175" spans="1:40" x14ac:dyDescent="0.2">
      <c r="A175" s="5"/>
    </row>
    <row r="176" spans="1:40" x14ac:dyDescent="0.2">
      <c r="A176" s="6" t="s">
        <v>7</v>
      </c>
      <c r="B176" s="6">
        <v>2022</v>
      </c>
      <c r="C176" s="6">
        <v>2023</v>
      </c>
      <c r="D176" s="6">
        <v>2024</v>
      </c>
      <c r="E176" s="6">
        <v>2025</v>
      </c>
      <c r="F176" s="6">
        <v>2026</v>
      </c>
      <c r="G176" s="6">
        <v>2027</v>
      </c>
      <c r="H176" s="6">
        <v>2028</v>
      </c>
      <c r="I176" s="6">
        <v>2029</v>
      </c>
      <c r="J176" s="6">
        <v>2030</v>
      </c>
      <c r="K176" s="6">
        <v>2031</v>
      </c>
      <c r="L176" s="6">
        <v>2032</v>
      </c>
      <c r="M176" s="6">
        <v>2033</v>
      </c>
      <c r="N176" s="6">
        <v>2034</v>
      </c>
      <c r="O176" s="6">
        <v>2035</v>
      </c>
      <c r="P176" s="6">
        <v>2036</v>
      </c>
      <c r="Q176" s="6">
        <v>2037</v>
      </c>
      <c r="R176" s="6">
        <v>2038</v>
      </c>
      <c r="S176" s="6">
        <v>2039</v>
      </c>
      <c r="T176" s="6">
        <v>2040</v>
      </c>
      <c r="U176" s="6">
        <v>2041</v>
      </c>
      <c r="V176" s="6">
        <v>2042</v>
      </c>
      <c r="W176" s="6">
        <v>2043</v>
      </c>
      <c r="X176" s="6">
        <v>2044</v>
      </c>
      <c r="Y176" s="6">
        <v>2045</v>
      </c>
      <c r="Z176" s="6">
        <v>2046</v>
      </c>
      <c r="AA176" s="6">
        <v>2047</v>
      </c>
      <c r="AB176" s="6">
        <v>2048</v>
      </c>
      <c r="AC176" s="6">
        <v>2049</v>
      </c>
      <c r="AD176" s="6">
        <v>2050</v>
      </c>
      <c r="AE176" s="6">
        <v>2051</v>
      </c>
      <c r="AF176" s="6">
        <v>2052</v>
      </c>
      <c r="AG176" s="6">
        <v>2053</v>
      </c>
      <c r="AH176" s="6">
        <v>2054</v>
      </c>
      <c r="AI176" s="6">
        <v>2055</v>
      </c>
      <c r="AJ176" s="6">
        <v>2056</v>
      </c>
      <c r="AK176" s="6">
        <v>2057</v>
      </c>
      <c r="AL176" s="6">
        <v>2058</v>
      </c>
      <c r="AM176" s="6">
        <v>2059</v>
      </c>
      <c r="AN176" s="6">
        <v>2060</v>
      </c>
    </row>
    <row r="177" spans="1:40" x14ac:dyDescent="0.2">
      <c r="A177" s="6" t="s">
        <v>8</v>
      </c>
      <c r="B177" s="11">
        <f>Commercial!B177*Commercial!$B$5</f>
        <v>199.46428015898613</v>
      </c>
      <c r="C177" s="11">
        <f>Commercial!C177*Commercial!$B$5</f>
        <v>209.43749416693544</v>
      </c>
      <c r="D177" s="11">
        <f>Commercial!D177*Commercial!$B$5</f>
        <v>219.90936887528224</v>
      </c>
      <c r="E177" s="11">
        <f>Commercial!E177*Commercial!$B$5</f>
        <v>230.90483731904632</v>
      </c>
      <c r="F177" s="11">
        <f>Commercial!F177*Commercial!$B$5</f>
        <v>242.45007918499866</v>
      </c>
      <c r="G177" s="11">
        <f>Commercial!G177*Commercial!$B$5</f>
        <v>254.57258314424863</v>
      </c>
      <c r="H177" s="11">
        <f>Commercial!H177*Commercial!$B$5</f>
        <v>267.30121230146108</v>
      </c>
      <c r="I177" s="11">
        <f>Commercial!I177*Commercial!$B$5</f>
        <v>280.66627291653418</v>
      </c>
      <c r="J177" s="11">
        <f>Commercial!J177*Commercial!$B$5</f>
        <v>294.69958656236082</v>
      </c>
      <c r="K177" s="11">
        <f>Commercial!K177*Commercial!$B$5</f>
        <v>309.43456589047889</v>
      </c>
      <c r="L177" s="11">
        <f>Commercial!L177*Commercial!$B$5</f>
        <v>324.90629418500282</v>
      </c>
      <c r="M177" s="11">
        <f>Commercial!M177*Commercial!$B$5</f>
        <v>341.151608894253</v>
      </c>
      <c r="N177" s="11">
        <f>Commercial!N177*Commercial!$B$5</f>
        <v>358.2091893389657</v>
      </c>
      <c r="O177" s="11">
        <f>Commercial!O177*Commercial!$B$5</f>
        <v>376.11964880591398</v>
      </c>
      <c r="P177" s="11">
        <f>Commercial!P177*Commercial!$B$5</f>
        <v>394.92563124620966</v>
      </c>
      <c r="Q177" s="11">
        <f>Commercial!Q177*Commercial!$B$5</f>
        <v>414.67191280852018</v>
      </c>
      <c r="R177" s="11">
        <f>Commercial!R177*Commercial!$B$5</f>
        <v>435.40550844894625</v>
      </c>
      <c r="S177" s="11">
        <f>Commercial!S177*Commercial!$B$5</f>
        <v>457.17578387139338</v>
      </c>
      <c r="T177" s="11">
        <f>Commercial!T177*Commercial!$B$5</f>
        <v>480.03457306496313</v>
      </c>
      <c r="U177" s="11">
        <f>Commercial!U177*Commercial!$B$5</f>
        <v>504.03630171821135</v>
      </c>
      <c r="V177" s="11">
        <f>Commercial!V177*Commercial!$B$5</f>
        <v>529.238116804122</v>
      </c>
      <c r="W177" s="11">
        <f>Commercial!W177*Commercial!$B$5</f>
        <v>555.7000226443281</v>
      </c>
      <c r="X177" s="11">
        <f>Commercial!X177*Commercial!$B$5</f>
        <v>583.48502377654438</v>
      </c>
      <c r="Y177" s="11">
        <f>Commercial!Y177*Commercial!$B$5</f>
        <v>612.65927496537176</v>
      </c>
      <c r="Z177" s="11">
        <f>Commercial!Z177*Commercial!$B$5</f>
        <v>643.29223871364024</v>
      </c>
      <c r="AA177" s="11">
        <f>Commercial!AA177*Commercial!$B$5</f>
        <v>675.45685064932229</v>
      </c>
      <c r="AB177" s="11">
        <f>Commercial!AB177*Commercial!$B$5</f>
        <v>709.22969318178855</v>
      </c>
      <c r="AC177" s="11">
        <f>Commercial!AC177*Commercial!$B$5</f>
        <v>744.69117784087791</v>
      </c>
      <c r="AD177" s="11">
        <f>Commercial!AD177*Commercial!$B$5</f>
        <v>781.92573673292168</v>
      </c>
      <c r="AE177" s="11">
        <f>Commercial!AE177*Commercial!$B$5</f>
        <v>821.02202356956798</v>
      </c>
      <c r="AF177" s="11">
        <f>Commercial!AF177*Commercial!$B$5</f>
        <v>862.07312474804644</v>
      </c>
      <c r="AG177" s="11">
        <f>Commercial!AG177*Commercial!$B$5</f>
        <v>905.17678098544889</v>
      </c>
      <c r="AH177" s="11">
        <f>Commercial!AH177*Commercial!$B$5</f>
        <v>950.43562003472118</v>
      </c>
      <c r="AI177" s="11">
        <f>Commercial!AI177*Commercial!$B$5</f>
        <v>997.95740103645733</v>
      </c>
      <c r="AJ177" s="11">
        <f>Commercial!AJ177*Commercial!$B$5</f>
        <v>1047.8552710882805</v>
      </c>
      <c r="AK177" s="11">
        <f>Commercial!AK177*Commercial!$B$5</f>
        <v>1100.2480346426944</v>
      </c>
      <c r="AL177" s="11">
        <f>Commercial!AL177*Commercial!$B$5</f>
        <v>1155.2604363748292</v>
      </c>
      <c r="AM177" s="11">
        <f>Commercial!AM177*Commercial!$B$5</f>
        <v>1213.0234581935708</v>
      </c>
      <c r="AN177" s="11">
        <f>Commercial!AN177*Commercial!$B$5</f>
        <v>1273.6746311032496</v>
      </c>
    </row>
    <row r="178" spans="1:40" x14ac:dyDescent="0.2">
      <c r="A178" s="6" t="s">
        <v>9</v>
      </c>
      <c r="B178" s="11">
        <f>Commercial!B178*Commercial!$B$5</f>
        <v>2046.5856187694342</v>
      </c>
      <c r="C178" s="11">
        <f>Commercial!C178*Commercial!$B$5</f>
        <v>2148.914899707906</v>
      </c>
      <c r="D178" s="11">
        <f>Commercial!D178*Commercial!$B$5</f>
        <v>2256.3606446933013</v>
      </c>
      <c r="E178" s="11">
        <f>Commercial!E178*Commercial!$B$5</f>
        <v>2369.178676927967</v>
      </c>
      <c r="F178" s="11">
        <f>Commercial!F178*Commercial!$B$5</f>
        <v>2487.6376107743658</v>
      </c>
      <c r="G178" s="11">
        <f>Commercial!G178*Commercial!$B$5</f>
        <v>2612.0194913130836</v>
      </c>
      <c r="H178" s="11">
        <f>Commercial!H178*Commercial!$B$5</f>
        <v>2742.6204658787378</v>
      </c>
      <c r="I178" s="11">
        <f>Commercial!I178*Commercial!$B$5</f>
        <v>2879.7514891726751</v>
      </c>
      <c r="J178" s="11">
        <f>Commercial!J178*Commercial!$B$5</f>
        <v>3023.7390636313085</v>
      </c>
      <c r="K178" s="11">
        <f>Commercial!K178*Commercial!$B$5</f>
        <v>3174.9260168128744</v>
      </c>
      <c r="L178" s="11">
        <f>Commercial!L178*Commercial!$B$5</f>
        <v>3333.6723176535179</v>
      </c>
      <c r="M178" s="11">
        <f>Commercial!M178*Commercial!$B$5</f>
        <v>3500.3559335361938</v>
      </c>
      <c r="N178" s="11">
        <f>Commercial!N178*Commercial!$B$5</f>
        <v>3675.3737302130044</v>
      </c>
      <c r="O178" s="11">
        <f>Commercial!O178*Commercial!$B$5</f>
        <v>3859.1424167236546</v>
      </c>
      <c r="P178" s="11">
        <f>Commercial!P178*Commercial!$B$5</f>
        <v>4052.0995375598377</v>
      </c>
      <c r="Q178" s="11">
        <f>Commercial!Q178*Commercial!$B$5</f>
        <v>4254.7045144378299</v>
      </c>
      <c r="R178" s="11">
        <f>Commercial!R178*Commercial!$B$5</f>
        <v>4467.4397401597216</v>
      </c>
      <c r="S178" s="11">
        <f>Commercial!S178*Commercial!$B$5</f>
        <v>4690.8117271677065</v>
      </c>
      <c r="T178" s="11">
        <f>Commercial!T178*Commercial!$B$5</f>
        <v>4925.3523135260912</v>
      </c>
      <c r="U178" s="11">
        <f>Commercial!U178*Commercial!$B$5</f>
        <v>5171.6199292023975</v>
      </c>
      <c r="V178" s="11">
        <f>Commercial!V178*Commercial!$B$5</f>
        <v>5430.2009256625179</v>
      </c>
      <c r="W178" s="11">
        <f>Commercial!W178*Commercial!$B$5</f>
        <v>5701.7109719456439</v>
      </c>
      <c r="X178" s="11">
        <f>Commercial!X178*Commercial!$B$5</f>
        <v>5986.7965205429255</v>
      </c>
      <c r="Y178" s="11">
        <f>Commercial!Y178*Commercial!$B$5</f>
        <v>6286.1363465700724</v>
      </c>
      <c r="Z178" s="11">
        <f>Commercial!Z178*Commercial!$B$5</f>
        <v>6600.4431638985761</v>
      </c>
      <c r="AA178" s="11">
        <f>Commercial!AA178*Commercial!$B$5</f>
        <v>6930.4653220935033</v>
      </c>
      <c r="AB178" s="11">
        <f>Commercial!AB178*Commercial!$B$5</f>
        <v>7276.9885881981809</v>
      </c>
      <c r="AC178" s="11">
        <f>Commercial!AC178*Commercial!$B$5</f>
        <v>7640.83801760809</v>
      </c>
      <c r="AD178" s="11">
        <f>Commercial!AD178*Commercial!$B$5</f>
        <v>8022.879918488492</v>
      </c>
      <c r="AE178" s="11">
        <f>Commercial!AE178*Commercial!$B$5</f>
        <v>8424.0239144129191</v>
      </c>
      <c r="AF178" s="11">
        <f>Commercial!AF178*Commercial!$B$5</f>
        <v>8845.225110133566</v>
      </c>
      <c r="AG178" s="11">
        <f>Commercial!AG178*Commercial!$B$5</f>
        <v>9287.4863656402449</v>
      </c>
      <c r="AH178" s="11">
        <f>Commercial!AH178*Commercial!$B$5</f>
        <v>9751.8606839222557</v>
      </c>
      <c r="AI178" s="11">
        <f>Commercial!AI178*Commercial!$B$5</f>
        <v>10239.45371811837</v>
      </c>
      <c r="AJ178" s="11">
        <f>Commercial!AJ178*Commercial!$B$5</f>
        <v>10751.426404024291</v>
      </c>
      <c r="AK178" s="11">
        <f>Commercial!AK178*Commercial!$B$5</f>
        <v>11288.997724225504</v>
      </c>
      <c r="AL178" s="11">
        <f>Commercial!AL178*Commercial!$B$5</f>
        <v>11853.447610436779</v>
      </c>
      <c r="AM178" s="11">
        <f>Commercial!AM178*Commercial!$B$5</f>
        <v>12446.119990958621</v>
      </c>
      <c r="AN178" s="11">
        <f>Commercial!AN178*Commercial!$B$5</f>
        <v>13068.425990506552</v>
      </c>
    </row>
    <row r="179" spans="1:40" x14ac:dyDescent="0.2">
      <c r="A179" s="6" t="s">
        <v>10</v>
      </c>
      <c r="B179" s="11">
        <f>Commercial!B179*Commercial!$B$5</f>
        <v>2.0147907086716774</v>
      </c>
      <c r="C179" s="11">
        <f>Commercial!C179*Commercial!$B$5</f>
        <v>2.1155302441052615</v>
      </c>
      <c r="D179" s="11">
        <f>Commercial!D179*Commercial!$B$5</f>
        <v>2.2213067563105247</v>
      </c>
      <c r="E179" s="11">
        <f>Commercial!E179*Commercial!$B$5</f>
        <v>2.3323720941260508</v>
      </c>
      <c r="F179" s="11">
        <f>Commercial!F179*Commercial!$B$5</f>
        <v>2.448990698832354</v>
      </c>
      <c r="G179" s="11">
        <f>Commercial!G179*Commercial!$B$5</f>
        <v>2.5714402337739717</v>
      </c>
      <c r="H179" s="11">
        <f>Commercial!H179*Commercial!$B$5</f>
        <v>2.7000122454626703</v>
      </c>
      <c r="I179" s="11">
        <f>Commercial!I179*Commercial!$B$5</f>
        <v>2.835012857735804</v>
      </c>
      <c r="J179" s="11">
        <f>Commercial!J179*Commercial!$B$5</f>
        <v>2.9767635006225945</v>
      </c>
      <c r="K179" s="11">
        <f>Commercial!K179*Commercial!$B$5</f>
        <v>3.1256016756537237</v>
      </c>
      <c r="L179" s="11">
        <f>Commercial!L179*Commercial!$B$5</f>
        <v>3.28188175943641</v>
      </c>
      <c r="M179" s="11">
        <f>Commercial!M179*Commercial!$B$5</f>
        <v>3.4459758474082309</v>
      </c>
      <c r="N179" s="11">
        <f>Commercial!N179*Commercial!$B$5</f>
        <v>3.6182746397786425</v>
      </c>
      <c r="O179" s="11">
        <f>Commercial!O179*Commercial!$B$5</f>
        <v>3.7991883717675754</v>
      </c>
      <c r="P179" s="11">
        <f>Commercial!P179*Commercial!$B$5</f>
        <v>3.9891477903559536</v>
      </c>
      <c r="Q179" s="11">
        <f>Commercial!Q179*Commercial!$B$5</f>
        <v>4.1886051798737522</v>
      </c>
      <c r="R179" s="11">
        <f>Commercial!R179*Commercial!$B$5</f>
        <v>4.3980354388674394</v>
      </c>
      <c r="S179" s="11">
        <f>Commercial!S179*Commercial!$B$5</f>
        <v>4.617937210810811</v>
      </c>
      <c r="T179" s="11">
        <f>Commercial!T179*Commercial!$B$5</f>
        <v>4.8488340713513507</v>
      </c>
      <c r="U179" s="11">
        <f>Commercial!U179*Commercial!$B$5</f>
        <v>5.0912757749189197</v>
      </c>
      <c r="V179" s="11">
        <f>Commercial!V179*Commercial!$B$5</f>
        <v>5.3458395636648666</v>
      </c>
      <c r="W179" s="11">
        <f>Commercial!W179*Commercial!$B$5</f>
        <v>5.6131315418481096</v>
      </c>
      <c r="X179" s="11">
        <f>Commercial!X179*Commercial!$B$5</f>
        <v>5.893788118940515</v>
      </c>
      <c r="Y179" s="11">
        <f>Commercial!Y179*Commercial!$B$5</f>
        <v>6.1884775248875403</v>
      </c>
      <c r="Z179" s="11">
        <f>Commercial!Z179*Commercial!$B$5</f>
        <v>6.4979014011319176</v>
      </c>
      <c r="AA179" s="11">
        <f>Commercial!AA179*Commercial!$B$5</f>
        <v>6.8227964711885125</v>
      </c>
      <c r="AB179" s="11">
        <f>Commercial!AB179*Commercial!$B$5</f>
        <v>7.1639362947479395</v>
      </c>
      <c r="AC179" s="11">
        <f>Commercial!AC179*Commercial!$B$5</f>
        <v>7.5221331094853365</v>
      </c>
      <c r="AD179" s="11">
        <f>Commercial!AD179*Commercial!$B$5</f>
        <v>7.8982397649596026</v>
      </c>
      <c r="AE179" s="11">
        <f>Commercial!AE179*Commercial!$B$5</f>
        <v>8.2931517532075834</v>
      </c>
      <c r="AF179" s="11">
        <f>Commercial!AF179*Commercial!$B$5</f>
        <v>8.7078093408679642</v>
      </c>
      <c r="AG179" s="11">
        <f>Commercial!AG179*Commercial!$B$5</f>
        <v>9.1431998079113619</v>
      </c>
      <c r="AH179" s="11">
        <f>Commercial!AH179*Commercial!$B$5</f>
        <v>9.6003597983069326</v>
      </c>
      <c r="AI179" s="11">
        <f>Commercial!AI179*Commercial!$B$5</f>
        <v>10.080377788222279</v>
      </c>
      <c r="AJ179" s="11">
        <f>Commercial!AJ179*Commercial!$B$5</f>
        <v>10.584396677633393</v>
      </c>
      <c r="AK179" s="11">
        <f>Commercial!AK179*Commercial!$B$5</f>
        <v>11.113616511515064</v>
      </c>
      <c r="AL179" s="11">
        <f>Commercial!AL179*Commercial!$B$5</f>
        <v>11.669297337090816</v>
      </c>
      <c r="AM179" s="11">
        <f>Commercial!AM179*Commercial!$B$5</f>
        <v>12.252762203945359</v>
      </c>
      <c r="AN179" s="11">
        <f>Commercial!AN179*Commercial!$B$5</f>
        <v>12.865400314142628</v>
      </c>
    </row>
    <row r="181" spans="1:40" x14ac:dyDescent="0.2">
      <c r="A181" s="5" t="s">
        <v>66</v>
      </c>
    </row>
    <row r="182" spans="1:40" x14ac:dyDescent="0.2">
      <c r="A182" s="5" t="s">
        <v>4</v>
      </c>
    </row>
    <row r="183" spans="1:40" x14ac:dyDescent="0.2">
      <c r="A183" s="5" t="s">
        <v>71</v>
      </c>
    </row>
    <row r="184" spans="1:40" x14ac:dyDescent="0.2">
      <c r="A184" s="5" t="s">
        <v>6</v>
      </c>
    </row>
    <row r="185" spans="1:40" x14ac:dyDescent="0.2">
      <c r="A185" s="5"/>
    </row>
    <row r="186" spans="1:40" x14ac:dyDescent="0.2">
      <c r="A186" s="6" t="s">
        <v>7</v>
      </c>
      <c r="B186" s="6">
        <v>2022</v>
      </c>
      <c r="C186" s="6">
        <v>2023</v>
      </c>
      <c r="D186" s="6">
        <v>2024</v>
      </c>
      <c r="E186" s="6">
        <v>2025</v>
      </c>
      <c r="F186" s="6">
        <v>2026</v>
      </c>
      <c r="G186" s="6">
        <v>2027</v>
      </c>
      <c r="H186" s="6">
        <v>2028</v>
      </c>
      <c r="I186" s="6">
        <v>2029</v>
      </c>
      <c r="J186" s="6">
        <v>2030</v>
      </c>
      <c r="K186" s="6">
        <v>2031</v>
      </c>
      <c r="L186" s="6">
        <v>2032</v>
      </c>
      <c r="M186" s="6">
        <v>2033</v>
      </c>
      <c r="N186" s="6">
        <v>2034</v>
      </c>
      <c r="O186" s="6">
        <v>2035</v>
      </c>
      <c r="P186" s="6">
        <v>2036</v>
      </c>
      <c r="Q186" s="6">
        <v>2037</v>
      </c>
      <c r="R186" s="6">
        <v>2038</v>
      </c>
      <c r="S186" s="6">
        <v>2039</v>
      </c>
      <c r="T186" s="6">
        <v>2040</v>
      </c>
      <c r="U186" s="6">
        <v>2041</v>
      </c>
      <c r="V186" s="6">
        <v>2042</v>
      </c>
      <c r="W186" s="6">
        <v>2043</v>
      </c>
      <c r="X186" s="6">
        <v>2044</v>
      </c>
      <c r="Y186" s="6">
        <v>2045</v>
      </c>
      <c r="Z186" s="6">
        <v>2046</v>
      </c>
      <c r="AA186" s="6">
        <v>2047</v>
      </c>
      <c r="AB186" s="6">
        <v>2048</v>
      </c>
      <c r="AC186" s="6">
        <v>2049</v>
      </c>
      <c r="AD186" s="6">
        <v>2050</v>
      </c>
      <c r="AE186" s="6">
        <v>2051</v>
      </c>
      <c r="AF186" s="6">
        <v>2052</v>
      </c>
      <c r="AG186" s="6">
        <v>2053</v>
      </c>
      <c r="AH186" s="6">
        <v>2054</v>
      </c>
      <c r="AI186" s="6">
        <v>2055</v>
      </c>
      <c r="AJ186" s="6">
        <v>2056</v>
      </c>
      <c r="AK186" s="6">
        <v>2057</v>
      </c>
      <c r="AL186" s="6">
        <v>2058</v>
      </c>
      <c r="AM186" s="6">
        <v>2059</v>
      </c>
      <c r="AN186" s="6">
        <v>2060</v>
      </c>
    </row>
    <row r="187" spans="1:40" x14ac:dyDescent="0.2">
      <c r="A187" s="6" t="s">
        <v>8</v>
      </c>
      <c r="B187" s="11">
        <f>Commercial!B187*Commercial!$B$5</f>
        <v>212.26829653032016</v>
      </c>
      <c r="C187" s="11">
        <f>Commercial!C187*Commercial!$B$5</f>
        <v>222.88171135683618</v>
      </c>
      <c r="D187" s="11">
        <f>Commercial!D187*Commercial!$B$5</f>
        <v>234.02579692467796</v>
      </c>
      <c r="E187" s="11">
        <f>Commercial!E187*Commercial!$B$5</f>
        <v>245.72708677091191</v>
      </c>
      <c r="F187" s="11">
        <f>Commercial!F187*Commercial!$B$5</f>
        <v>258.01344110945757</v>
      </c>
      <c r="G187" s="11">
        <f>Commercial!G187*Commercial!$B$5</f>
        <v>270.91411316493037</v>
      </c>
      <c r="H187" s="11">
        <f>Commercial!H187*Commercial!$B$5</f>
        <v>284.45981882317693</v>
      </c>
      <c r="I187" s="11">
        <f>Commercial!I187*Commercial!$B$5</f>
        <v>298.68280976433579</v>
      </c>
      <c r="J187" s="11">
        <f>Commercial!J187*Commercial!$B$5</f>
        <v>313.61695025255261</v>
      </c>
      <c r="K187" s="11">
        <f>Commercial!K187*Commercial!$B$5</f>
        <v>329.29779776518023</v>
      </c>
      <c r="L187" s="11">
        <f>Commercial!L187*Commercial!$B$5</f>
        <v>345.76268765343923</v>
      </c>
      <c r="M187" s="11">
        <f>Commercial!M187*Commercial!$B$5</f>
        <v>363.05082203611119</v>
      </c>
      <c r="N187" s="11">
        <f>Commercial!N187*Commercial!$B$5</f>
        <v>381.20336313791682</v>
      </c>
      <c r="O187" s="11">
        <f>Commercial!O187*Commercial!$B$5</f>
        <v>400.26353129481271</v>
      </c>
      <c r="P187" s="11">
        <f>Commercial!P187*Commercial!$B$5</f>
        <v>420.27670785955331</v>
      </c>
      <c r="Q187" s="11">
        <f>Commercial!Q187*Commercial!$B$5</f>
        <v>441.29054325253105</v>
      </c>
      <c r="R187" s="11">
        <f>Commercial!R187*Commercial!$B$5</f>
        <v>463.35507041515763</v>
      </c>
      <c r="S187" s="11">
        <f>Commercial!S187*Commercial!$B$5</f>
        <v>486.52282393591543</v>
      </c>
      <c r="T187" s="11">
        <f>Commercial!T187*Commercial!$B$5</f>
        <v>510.84896513271116</v>
      </c>
      <c r="U187" s="11">
        <f>Commercial!U187*Commercial!$B$5</f>
        <v>536.39141338934689</v>
      </c>
      <c r="V187" s="11">
        <f>Commercial!V187*Commercial!$B$5</f>
        <v>563.21098405881423</v>
      </c>
      <c r="W187" s="11">
        <f>Commercial!W187*Commercial!$B$5</f>
        <v>591.37153326175496</v>
      </c>
      <c r="X187" s="11">
        <f>Commercial!X187*Commercial!$B$5</f>
        <v>620.94010992484277</v>
      </c>
      <c r="Y187" s="11">
        <f>Commercial!Y187*Commercial!$B$5</f>
        <v>651.9871154210847</v>
      </c>
      <c r="Z187" s="11">
        <f>Commercial!Z187*Commercial!$B$5</f>
        <v>684.58647119213902</v>
      </c>
      <c r="AA187" s="11">
        <f>Commercial!AA187*Commercial!$B$5</f>
        <v>718.81579475174613</v>
      </c>
      <c r="AB187" s="11">
        <f>Commercial!AB187*Commercial!$B$5</f>
        <v>754.75658448933336</v>
      </c>
      <c r="AC187" s="11">
        <f>Commercial!AC187*Commercial!$B$5</f>
        <v>792.49441371379999</v>
      </c>
      <c r="AD187" s="11">
        <f>Commercial!AD187*Commercial!$B$5</f>
        <v>832.11913439948989</v>
      </c>
      <c r="AE187" s="11">
        <f>Commercial!AE187*Commercial!$B$5</f>
        <v>873.72509111946454</v>
      </c>
      <c r="AF187" s="11">
        <f>Commercial!AF187*Commercial!$B$5</f>
        <v>917.41134567543793</v>
      </c>
      <c r="AG187" s="11">
        <f>Commercial!AG187*Commercial!$B$5</f>
        <v>963.28191295920976</v>
      </c>
      <c r="AH187" s="11">
        <f>Commercial!AH187*Commercial!$B$5</f>
        <v>1011.4460086071704</v>
      </c>
      <c r="AI187" s="11">
        <f>Commercial!AI187*Commercial!$B$5</f>
        <v>1062.018309037529</v>
      </c>
      <c r="AJ187" s="11">
        <f>Commercial!AJ187*Commercial!$B$5</f>
        <v>1115.1192244894055</v>
      </c>
      <c r="AK187" s="11">
        <f>Commercial!AK187*Commercial!$B$5</f>
        <v>1170.8751857138757</v>
      </c>
      <c r="AL187" s="11">
        <f>Commercial!AL187*Commercial!$B$5</f>
        <v>1229.4189449995697</v>
      </c>
      <c r="AM187" s="11">
        <f>Commercial!AM187*Commercial!$B$5</f>
        <v>1290.889892249548</v>
      </c>
      <c r="AN187" s="11">
        <f>Commercial!AN187*Commercial!$B$5</f>
        <v>1355.4343868620258</v>
      </c>
    </row>
    <row r="188" spans="1:40" x14ac:dyDescent="0.2">
      <c r="A188" s="6" t="s">
        <v>9</v>
      </c>
      <c r="B188" s="11">
        <f>Commercial!B188*Commercial!$B$5</f>
        <v>2177.960097177167</v>
      </c>
      <c r="C188" s="11">
        <f>Commercial!C188*Commercial!$B$5</f>
        <v>2286.8581020360257</v>
      </c>
      <c r="D188" s="11">
        <f>Commercial!D188*Commercial!$B$5</f>
        <v>2401.2010071378263</v>
      </c>
      <c r="E188" s="11">
        <f>Commercial!E188*Commercial!$B$5</f>
        <v>2521.2610574947184</v>
      </c>
      <c r="F188" s="11">
        <f>Commercial!F188*Commercial!$B$5</f>
        <v>2647.3241103694545</v>
      </c>
      <c r="G188" s="11">
        <f>Commercial!G188*Commercial!$B$5</f>
        <v>2779.6903158879268</v>
      </c>
      <c r="H188" s="11">
        <f>Commercial!H188*Commercial!$B$5</f>
        <v>2918.6748316823241</v>
      </c>
      <c r="I188" s="11">
        <f>Commercial!I188*Commercial!$B$5</f>
        <v>3064.6085732664401</v>
      </c>
      <c r="J188" s="11">
        <f>Commercial!J188*Commercial!$B$5</f>
        <v>3217.8390019297622</v>
      </c>
      <c r="K188" s="11">
        <f>Commercial!K188*Commercial!$B$5</f>
        <v>3378.7309520262502</v>
      </c>
      <c r="L188" s="11">
        <f>Commercial!L188*Commercial!$B$5</f>
        <v>3547.6674996275624</v>
      </c>
      <c r="M188" s="11">
        <f>Commercial!M188*Commercial!$B$5</f>
        <v>3725.0508746089408</v>
      </c>
      <c r="N188" s="11">
        <f>Commercial!N188*Commercial!$B$5</f>
        <v>3911.3034183393884</v>
      </c>
      <c r="O188" s="11">
        <f>Commercial!O188*Commercial!$B$5</f>
        <v>4106.868589256359</v>
      </c>
      <c r="P188" s="11">
        <f>Commercial!P188*Commercial!$B$5</f>
        <v>4312.2120187191758</v>
      </c>
      <c r="Q188" s="11">
        <f>Commercial!Q188*Commercial!$B$5</f>
        <v>4527.8226196551359</v>
      </c>
      <c r="R188" s="11">
        <f>Commercial!R188*Commercial!$B$5</f>
        <v>4754.2137506378922</v>
      </c>
      <c r="S188" s="11">
        <f>Commercial!S188*Commercial!$B$5</f>
        <v>4991.9244381697863</v>
      </c>
      <c r="T188" s="11">
        <f>Commercial!T188*Commercial!$B$5</f>
        <v>5241.5206600782758</v>
      </c>
      <c r="U188" s="11">
        <f>Commercial!U188*Commercial!$B$5</f>
        <v>5503.5966930821905</v>
      </c>
      <c r="V188" s="11">
        <f>Commercial!V188*Commercial!$B$5</f>
        <v>5778.7765277362996</v>
      </c>
      <c r="W188" s="11">
        <f>Commercial!W188*Commercial!$B$5</f>
        <v>6067.7153541231155</v>
      </c>
      <c r="X188" s="11">
        <f>Commercial!X188*Commercial!$B$5</f>
        <v>6371.1011218292706</v>
      </c>
      <c r="Y188" s="11">
        <f>Commercial!Y188*Commercial!$B$5</f>
        <v>6689.6561779207341</v>
      </c>
      <c r="Z188" s="11">
        <f>Commercial!Z188*Commercial!$B$5</f>
        <v>7024.1389868167707</v>
      </c>
      <c r="AA188" s="11">
        <f>Commercial!AA188*Commercial!$B$5</f>
        <v>7375.3459361576106</v>
      </c>
      <c r="AB188" s="11">
        <f>Commercial!AB188*Commercial!$B$5</f>
        <v>7744.1132329654911</v>
      </c>
      <c r="AC188" s="11">
        <f>Commercial!AC188*Commercial!$B$5</f>
        <v>8131.3188946137643</v>
      </c>
      <c r="AD188" s="11">
        <f>Commercial!AD188*Commercial!$B$5</f>
        <v>8537.8848393444514</v>
      </c>
      <c r="AE188" s="11">
        <f>Commercial!AE188*Commercial!$B$5</f>
        <v>8964.7790813116753</v>
      </c>
      <c r="AF188" s="11">
        <f>Commercial!AF188*Commercial!$B$5</f>
        <v>9413.018035377263</v>
      </c>
      <c r="AG188" s="11">
        <f>Commercial!AG188*Commercial!$B$5</f>
        <v>9883.6689371461252</v>
      </c>
      <c r="AH188" s="11">
        <f>Commercial!AH188*Commercial!$B$5</f>
        <v>10377.852384003432</v>
      </c>
      <c r="AI188" s="11">
        <f>Commercial!AI188*Commercial!$B$5</f>
        <v>10896.745003203603</v>
      </c>
      <c r="AJ188" s="11">
        <f>Commercial!AJ188*Commercial!$B$5</f>
        <v>11441.582253363786</v>
      </c>
      <c r="AK188" s="11">
        <f>Commercial!AK188*Commercial!$B$5</f>
        <v>12013.661366031974</v>
      </c>
      <c r="AL188" s="11">
        <f>Commercial!AL188*Commercial!$B$5</f>
        <v>12614.344434333574</v>
      </c>
      <c r="AM188" s="11">
        <f>Commercial!AM188*Commercial!$B$5</f>
        <v>13245.061656050251</v>
      </c>
      <c r="AN188" s="11">
        <f>Commercial!AN188*Commercial!$B$5</f>
        <v>13907.314738852767</v>
      </c>
    </row>
    <row r="189" spans="1:40" x14ac:dyDescent="0.2">
      <c r="A189" s="6" t="s">
        <v>10</v>
      </c>
      <c r="B189" s="11">
        <f>Commercial!B189*Commercial!$B$5</f>
        <v>2.144124207467069</v>
      </c>
      <c r="C189" s="11">
        <f>Commercial!C189*Commercial!$B$5</f>
        <v>2.251330417840423</v>
      </c>
      <c r="D189" s="11">
        <f>Commercial!D189*Commercial!$B$5</f>
        <v>2.3638969387324442</v>
      </c>
      <c r="E189" s="11">
        <f>Commercial!E189*Commercial!$B$5</f>
        <v>2.4820917856690659</v>
      </c>
      <c r="F189" s="11">
        <f>Commercial!F189*Commercial!$B$5</f>
        <v>2.6061963749525199</v>
      </c>
      <c r="G189" s="11">
        <f>Commercial!G189*Commercial!$B$5</f>
        <v>2.736506193700146</v>
      </c>
      <c r="H189" s="11">
        <f>Commercial!H189*Commercial!$B$5</f>
        <v>2.8733315033851534</v>
      </c>
      <c r="I189" s="11">
        <f>Commercial!I189*Commercial!$B$5</f>
        <v>3.0169980785544115</v>
      </c>
      <c r="J189" s="11">
        <f>Commercial!J189*Commercial!$B$5</f>
        <v>3.1678479824821322</v>
      </c>
      <c r="K189" s="11">
        <f>Commercial!K189*Commercial!$B$5</f>
        <v>3.3262403816062385</v>
      </c>
      <c r="L189" s="11">
        <f>Commercial!L189*Commercial!$B$5</f>
        <v>3.49255240068655</v>
      </c>
      <c r="M189" s="11">
        <f>Commercial!M189*Commercial!$B$5</f>
        <v>3.6671800207208776</v>
      </c>
      <c r="N189" s="11">
        <f>Commercial!N189*Commercial!$B$5</f>
        <v>3.8505390217569224</v>
      </c>
      <c r="O189" s="11">
        <f>Commercial!O189*Commercial!$B$5</f>
        <v>4.0430659728447687</v>
      </c>
      <c r="P189" s="11">
        <f>Commercial!P189*Commercial!$B$5</f>
        <v>4.2452192714870067</v>
      </c>
      <c r="Q189" s="11">
        <f>Commercial!Q189*Commercial!$B$5</f>
        <v>4.4574802350613583</v>
      </c>
      <c r="R189" s="11">
        <f>Commercial!R189*Commercial!$B$5</f>
        <v>4.6803542468144261</v>
      </c>
      <c r="S189" s="11">
        <f>Commercial!S189*Commercial!$B$5</f>
        <v>4.9143719591551474</v>
      </c>
      <c r="T189" s="11">
        <f>Commercial!T189*Commercial!$B$5</f>
        <v>5.1600905571129037</v>
      </c>
      <c r="U189" s="11">
        <f>Commercial!U189*Commercial!$B$5</f>
        <v>5.4180950849685505</v>
      </c>
      <c r="V189" s="11">
        <f>Commercial!V189*Commercial!$B$5</f>
        <v>5.6889998392169776</v>
      </c>
      <c r="W189" s="11">
        <f>Commercial!W189*Commercial!$B$5</f>
        <v>5.9734498311778266</v>
      </c>
      <c r="X189" s="11">
        <f>Commercial!X189*Commercial!$B$5</f>
        <v>6.2721223227367187</v>
      </c>
      <c r="Y189" s="11">
        <f>Commercial!Y189*Commercial!$B$5</f>
        <v>6.585728438873554</v>
      </c>
      <c r="Z189" s="11">
        <f>Commercial!Z189*Commercial!$B$5</f>
        <v>6.9150148608172302</v>
      </c>
      <c r="AA189" s="11">
        <f>Commercial!AA189*Commercial!$B$5</f>
        <v>7.2607656038580943</v>
      </c>
      <c r="AB189" s="11">
        <f>Commercial!AB189*Commercial!$B$5</f>
        <v>7.6238038840509992</v>
      </c>
      <c r="AC189" s="11">
        <f>Commercial!AC189*Commercial!$B$5</f>
        <v>8.0049940782535494</v>
      </c>
      <c r="AD189" s="11">
        <f>Commercial!AD189*Commercial!$B$5</f>
        <v>8.4052437821662256</v>
      </c>
      <c r="AE189" s="11">
        <f>Commercial!AE189*Commercial!$B$5</f>
        <v>8.8255059712745378</v>
      </c>
      <c r="AF189" s="11">
        <f>Commercial!AF189*Commercial!$B$5</f>
        <v>9.2667812698382654</v>
      </c>
      <c r="AG189" s="11">
        <f>Commercial!AG189*Commercial!$B$5</f>
        <v>9.7301203333301789</v>
      </c>
      <c r="AH189" s="11">
        <f>Commercial!AH189*Commercial!$B$5</f>
        <v>10.216626349996689</v>
      </c>
      <c r="AI189" s="11">
        <f>Commercial!AI189*Commercial!$B$5</f>
        <v>10.727457667496525</v>
      </c>
      <c r="AJ189" s="11">
        <f>Commercial!AJ189*Commercial!$B$5</f>
        <v>11.263830550871351</v>
      </c>
      <c r="AK189" s="11">
        <f>Commercial!AK189*Commercial!$B$5</f>
        <v>11.82702207841492</v>
      </c>
      <c r="AL189" s="11">
        <f>Commercial!AL189*Commercial!$B$5</f>
        <v>12.418373182335666</v>
      </c>
      <c r="AM189" s="11">
        <f>Commercial!AM189*Commercial!$B$5</f>
        <v>13.039291841452449</v>
      </c>
      <c r="AN189" s="11">
        <f>Commercial!AN189*Commercial!$B$5</f>
        <v>13.691256433525073</v>
      </c>
    </row>
    <row r="191" spans="1:40" x14ac:dyDescent="0.2">
      <c r="A191" s="5" t="s">
        <v>66</v>
      </c>
    </row>
    <row r="192" spans="1:40" x14ac:dyDescent="0.2">
      <c r="A192" s="5" t="s">
        <v>4</v>
      </c>
    </row>
    <row r="193" spans="1:40" x14ac:dyDescent="0.2">
      <c r="A193" s="5" t="s">
        <v>73</v>
      </c>
    </row>
    <row r="194" spans="1:40" x14ac:dyDescent="0.2">
      <c r="A194" s="5" t="s">
        <v>6</v>
      </c>
    </row>
    <row r="195" spans="1:40" x14ac:dyDescent="0.2">
      <c r="A195" s="5"/>
    </row>
    <row r="196" spans="1:40" x14ac:dyDescent="0.2">
      <c r="A196" s="6" t="s">
        <v>7</v>
      </c>
      <c r="B196" s="6">
        <v>2022</v>
      </c>
      <c r="C196" s="6">
        <v>2023</v>
      </c>
      <c r="D196" s="6">
        <v>2024</v>
      </c>
      <c r="E196" s="6">
        <v>2025</v>
      </c>
      <c r="F196" s="6">
        <v>2026</v>
      </c>
      <c r="G196" s="6">
        <v>2027</v>
      </c>
      <c r="H196" s="6">
        <v>2028</v>
      </c>
      <c r="I196" s="6">
        <v>2029</v>
      </c>
      <c r="J196" s="6">
        <v>2030</v>
      </c>
      <c r="K196" s="6">
        <v>2031</v>
      </c>
      <c r="L196" s="6">
        <v>2032</v>
      </c>
      <c r="M196" s="6">
        <v>2033</v>
      </c>
      <c r="N196" s="6">
        <v>2034</v>
      </c>
      <c r="O196" s="6">
        <v>2035</v>
      </c>
      <c r="P196" s="6">
        <v>2036</v>
      </c>
      <c r="Q196" s="6">
        <v>2037</v>
      </c>
      <c r="R196" s="6">
        <v>2038</v>
      </c>
      <c r="S196" s="6">
        <v>2039</v>
      </c>
      <c r="T196" s="6">
        <v>2040</v>
      </c>
      <c r="U196" s="6">
        <v>2041</v>
      </c>
      <c r="V196" s="6">
        <v>2042</v>
      </c>
      <c r="W196" s="6">
        <v>2043</v>
      </c>
      <c r="X196" s="6">
        <v>2044</v>
      </c>
      <c r="Y196" s="6">
        <v>2045</v>
      </c>
      <c r="Z196" s="6">
        <v>2046</v>
      </c>
      <c r="AA196" s="6">
        <v>2047</v>
      </c>
      <c r="AB196" s="6">
        <v>2048</v>
      </c>
      <c r="AC196" s="6">
        <v>2049</v>
      </c>
      <c r="AD196" s="6">
        <v>2050</v>
      </c>
      <c r="AE196" s="6">
        <v>2051</v>
      </c>
      <c r="AF196" s="6">
        <v>2052</v>
      </c>
      <c r="AG196" s="6">
        <v>2053</v>
      </c>
      <c r="AH196" s="6">
        <v>2054</v>
      </c>
      <c r="AI196" s="6">
        <v>2055</v>
      </c>
      <c r="AJ196" s="6">
        <v>2056</v>
      </c>
      <c r="AK196" s="6">
        <v>2057</v>
      </c>
      <c r="AL196" s="6">
        <v>2058</v>
      </c>
      <c r="AM196" s="6">
        <v>2059</v>
      </c>
      <c r="AN196" s="6">
        <v>2060</v>
      </c>
    </row>
    <row r="197" spans="1:40" x14ac:dyDescent="0.2">
      <c r="A197" s="6" t="s">
        <v>8</v>
      </c>
      <c r="B197" s="11">
        <f>Commercial!B197*Commercial!$B$5</f>
        <v>508.81988603167849</v>
      </c>
      <c r="C197" s="11">
        <f>Commercial!C197*Commercial!$B$5</f>
        <v>534.26088033326232</v>
      </c>
      <c r="D197" s="11">
        <f>Commercial!D197*Commercial!$B$5</f>
        <v>560.97392434992548</v>
      </c>
      <c r="E197" s="11">
        <f>Commercial!E197*Commercial!$B$5</f>
        <v>589.02262056742188</v>
      </c>
      <c r="F197" s="11">
        <f>Commercial!F197*Commercial!$B$5</f>
        <v>618.47375159579292</v>
      </c>
      <c r="G197" s="11">
        <f>Commercial!G197*Commercial!$B$5</f>
        <v>649.39743917558258</v>
      </c>
      <c r="H197" s="11">
        <f>Commercial!H197*Commercial!$B$5</f>
        <v>681.86731113436178</v>
      </c>
      <c r="I197" s="11">
        <f>Commercial!I197*Commercial!$B$5</f>
        <v>715.96067669108004</v>
      </c>
      <c r="J197" s="11">
        <f>Commercial!J197*Commercial!$B$5</f>
        <v>751.75871052563377</v>
      </c>
      <c r="K197" s="11">
        <f>Commercial!K197*Commercial!$B$5</f>
        <v>789.34664605191563</v>
      </c>
      <c r="L197" s="11">
        <f>Commercial!L197*Commercial!$B$5</f>
        <v>828.81397835451151</v>
      </c>
      <c r="M197" s="11">
        <f>Commercial!M197*Commercial!$B$5</f>
        <v>870.2546772722369</v>
      </c>
      <c r="N197" s="11">
        <f>Commercial!N197*Commercial!$B$5</f>
        <v>913.76741113584899</v>
      </c>
      <c r="O197" s="11">
        <f>Commercial!O197*Commercial!$B$5</f>
        <v>959.45578169264149</v>
      </c>
      <c r="P197" s="11">
        <f>Commercial!P197*Commercial!$B$5</f>
        <v>1007.4285707772736</v>
      </c>
      <c r="Q197" s="11">
        <f>Commercial!Q197*Commercial!$B$5</f>
        <v>1057.7999993161372</v>
      </c>
      <c r="R197" s="11">
        <f>Commercial!R197*Commercial!$B$5</f>
        <v>1110.6899992819442</v>
      </c>
      <c r="S197" s="11">
        <f>Commercial!S197*Commercial!$B$5</f>
        <v>1166.2244992460414</v>
      </c>
      <c r="T197" s="11">
        <f>Commercial!T197*Commercial!$B$5</f>
        <v>1224.5357242083437</v>
      </c>
      <c r="U197" s="11">
        <f>Commercial!U197*Commercial!$B$5</f>
        <v>1285.7625104187605</v>
      </c>
      <c r="V197" s="11">
        <f>Commercial!V197*Commercial!$B$5</f>
        <v>1350.0506359396986</v>
      </c>
      <c r="W197" s="11">
        <f>Commercial!W197*Commercial!$B$5</f>
        <v>1417.5531677366837</v>
      </c>
      <c r="X197" s="11">
        <f>Commercial!X197*Commercial!$B$5</f>
        <v>1488.430826123518</v>
      </c>
      <c r="Y197" s="11">
        <f>Commercial!Y197*Commercial!$B$5</f>
        <v>1562.8523674296939</v>
      </c>
      <c r="Z197" s="11">
        <f>Commercial!Z197*Commercial!$B$5</f>
        <v>1640.9949858011787</v>
      </c>
      <c r="AA197" s="11">
        <f>Commercial!AA197*Commercial!$B$5</f>
        <v>1723.0447350912375</v>
      </c>
      <c r="AB197" s="11">
        <f>Commercial!AB197*Commercial!$B$5</f>
        <v>1809.1969718457997</v>
      </c>
      <c r="AC197" s="11">
        <f>Commercial!AC197*Commercial!$B$5</f>
        <v>1899.6568204380894</v>
      </c>
      <c r="AD197" s="11">
        <f>Commercial!AD197*Commercial!$B$5</f>
        <v>1994.6396614599937</v>
      </c>
      <c r="AE197" s="11">
        <f>Commercial!AE197*Commercial!$B$5</f>
        <v>2094.3716445329937</v>
      </c>
      <c r="AF197" s="11">
        <f>Commercial!AF197*Commercial!$B$5</f>
        <v>2199.0902267596434</v>
      </c>
      <c r="AG197" s="11">
        <f>Commercial!AG197*Commercial!$B$5</f>
        <v>2309.0447380976257</v>
      </c>
      <c r="AH197" s="11">
        <f>Commercial!AH197*Commercial!$B$5</f>
        <v>2424.4969750025075</v>
      </c>
      <c r="AI197" s="11">
        <f>Commercial!AI197*Commercial!$B$5</f>
        <v>2545.7218237526322</v>
      </c>
      <c r="AJ197" s="11">
        <f>Commercial!AJ197*Commercial!$B$5</f>
        <v>2673.0079149402645</v>
      </c>
      <c r="AK197" s="11">
        <f>Commercial!AK197*Commercial!$B$5</f>
        <v>2806.6583106872781</v>
      </c>
      <c r="AL197" s="11">
        <f>Commercial!AL197*Commercial!$B$5</f>
        <v>2946.9912262216421</v>
      </c>
      <c r="AM197" s="11">
        <f>Commercial!AM197*Commercial!$B$5</f>
        <v>3094.3407875327243</v>
      </c>
      <c r="AN197" s="11">
        <f>Commercial!AN197*Commercial!$B$5</f>
        <v>3249.0578269093608</v>
      </c>
    </row>
    <row r="198" spans="1:40" x14ac:dyDescent="0.2">
      <c r="A198" s="6" t="s">
        <v>9</v>
      </c>
      <c r="B198" s="11">
        <f>Commercial!B198*Commercial!$B$5</f>
        <v>5220.7014732835387</v>
      </c>
      <c r="C198" s="11">
        <f>Commercial!C198*Commercial!$B$5</f>
        <v>5481.7365469477154</v>
      </c>
      <c r="D198" s="11">
        <f>Commercial!D198*Commercial!$B$5</f>
        <v>5755.8233742951006</v>
      </c>
      <c r="E198" s="11">
        <f>Commercial!E198*Commercial!$B$5</f>
        <v>6043.6145430098568</v>
      </c>
      <c r="F198" s="11">
        <f>Commercial!F198*Commercial!$B$5</f>
        <v>6345.7952701603499</v>
      </c>
      <c r="G198" s="11">
        <f>Commercial!G198*Commercial!$B$5</f>
        <v>6663.085033668367</v>
      </c>
      <c r="H198" s="11">
        <f>Commercial!H198*Commercial!$B$5</f>
        <v>6996.2392853517867</v>
      </c>
      <c r="I198" s="11">
        <f>Commercial!I198*Commercial!$B$5</f>
        <v>7346.051249619376</v>
      </c>
      <c r="J198" s="11">
        <f>Commercial!J198*Commercial!$B$5</f>
        <v>7713.3538121003439</v>
      </c>
      <c r="K198" s="11">
        <f>Commercial!K198*Commercial!$B$5</f>
        <v>8099.0215027053619</v>
      </c>
      <c r="L198" s="11">
        <f>Commercial!L198*Commercial!$B$5</f>
        <v>8503.9725778406319</v>
      </c>
      <c r="M198" s="11">
        <f>Commercial!M198*Commercial!$B$5</f>
        <v>8929.1712067326607</v>
      </c>
      <c r="N198" s="11">
        <f>Commercial!N198*Commercial!$B$5</f>
        <v>9375.6297670692948</v>
      </c>
      <c r="O198" s="11">
        <f>Commercial!O198*Commercial!$B$5</f>
        <v>9844.4112554227613</v>
      </c>
      <c r="P198" s="11">
        <f>Commercial!P198*Commercial!$B$5</f>
        <v>10336.6318181939</v>
      </c>
      <c r="Q198" s="11">
        <f>Commercial!Q198*Commercial!$B$5</f>
        <v>10853.463409103597</v>
      </c>
      <c r="R198" s="11">
        <f>Commercial!R198*Commercial!$B$5</f>
        <v>11396.136579558775</v>
      </c>
      <c r="S198" s="11">
        <f>Commercial!S198*Commercial!$B$5</f>
        <v>11965.943408536714</v>
      </c>
      <c r="T198" s="11">
        <f>Commercial!T198*Commercial!$B$5</f>
        <v>12564.24057896355</v>
      </c>
      <c r="U198" s="11">
        <f>Commercial!U198*Commercial!$B$5</f>
        <v>13192.452607911728</v>
      </c>
      <c r="V198" s="11">
        <f>Commercial!V198*Commercial!$B$5</f>
        <v>13852.075238307314</v>
      </c>
      <c r="W198" s="11">
        <f>Commercial!W198*Commercial!$B$5</f>
        <v>14544.679000222681</v>
      </c>
      <c r="X198" s="11">
        <f>Commercial!X198*Commercial!$B$5</f>
        <v>15271.912950233818</v>
      </c>
      <c r="Y198" s="11">
        <f>Commercial!Y198*Commercial!$B$5</f>
        <v>16035.508597745509</v>
      </c>
      <c r="Z198" s="11">
        <f>Commercial!Z198*Commercial!$B$5</f>
        <v>16837.284027632784</v>
      </c>
      <c r="AA198" s="11">
        <f>Commercial!AA198*Commercial!$B$5</f>
        <v>17679.148229014419</v>
      </c>
      <c r="AB198" s="11">
        <f>Commercial!AB198*Commercial!$B$5</f>
        <v>18563.105640465146</v>
      </c>
      <c r="AC198" s="11">
        <f>Commercial!AC198*Commercial!$B$5</f>
        <v>19491.260922488404</v>
      </c>
      <c r="AD198" s="11">
        <f>Commercial!AD198*Commercial!$B$5</f>
        <v>20465.823968612822</v>
      </c>
      <c r="AE198" s="11">
        <f>Commercial!AE198*Commercial!$B$5</f>
        <v>21489.115167043466</v>
      </c>
      <c r="AF198" s="11">
        <f>Commercial!AF198*Commercial!$B$5</f>
        <v>22563.570925395637</v>
      </c>
      <c r="AG198" s="11">
        <f>Commercial!AG198*Commercial!$B$5</f>
        <v>23691.749471665422</v>
      </c>
      <c r="AH198" s="11">
        <f>Commercial!AH198*Commercial!$B$5</f>
        <v>24876.336945248699</v>
      </c>
      <c r="AI198" s="11">
        <f>Commercial!AI198*Commercial!$B$5</f>
        <v>26120.15379251113</v>
      </c>
      <c r="AJ198" s="11">
        <f>Commercial!AJ198*Commercial!$B$5</f>
        <v>27426.161482136686</v>
      </c>
      <c r="AK198" s="11">
        <f>Commercial!AK198*Commercial!$B$5</f>
        <v>28797.469556243526</v>
      </c>
      <c r="AL198" s="11">
        <f>Commercial!AL198*Commercial!$B$5</f>
        <v>30237.343034055699</v>
      </c>
      <c r="AM198" s="11">
        <f>Commercial!AM198*Commercial!$B$5</f>
        <v>31749.210185758486</v>
      </c>
      <c r="AN198" s="11">
        <f>Commercial!AN198*Commercial!$B$5</f>
        <v>33336.670695046414</v>
      </c>
    </row>
    <row r="199" spans="1:40" x14ac:dyDescent="0.2">
      <c r="A199" s="6" t="s">
        <v>10</v>
      </c>
      <c r="B199" s="11">
        <f>Commercial!B199*Commercial!$B$5</f>
        <v>5.1395948086167627</v>
      </c>
      <c r="C199" s="11">
        <f>Commercial!C199*Commercial!$B$5</f>
        <v>5.3965745490476005</v>
      </c>
      <c r="D199" s="11">
        <f>Commercial!D199*Commercial!$B$5</f>
        <v>5.666403276499981</v>
      </c>
      <c r="E199" s="11">
        <f>Commercial!E199*Commercial!$B$5</f>
        <v>5.9497234403249806</v>
      </c>
      <c r="F199" s="11">
        <f>Commercial!F199*Commercial!$B$5</f>
        <v>6.2472096123412291</v>
      </c>
      <c r="G199" s="11">
        <f>Commercial!G199*Commercial!$B$5</f>
        <v>6.5595700929582907</v>
      </c>
      <c r="H199" s="11">
        <f>Commercial!H199*Commercial!$B$5</f>
        <v>6.8875485976062079</v>
      </c>
      <c r="I199" s="11">
        <f>Commercial!I199*Commercial!$B$5</f>
        <v>7.2319260274865176</v>
      </c>
      <c r="J199" s="11">
        <f>Commercial!J199*Commercial!$B$5</f>
        <v>7.5935223288608427</v>
      </c>
      <c r="K199" s="11">
        <f>Commercial!K199*Commercial!$B$5</f>
        <v>7.9731984453038844</v>
      </c>
      <c r="L199" s="11">
        <f>Commercial!L199*Commercial!$B$5</f>
        <v>8.3718583675690805</v>
      </c>
      <c r="M199" s="11">
        <f>Commercial!M199*Commercial!$B$5</f>
        <v>8.790451285947535</v>
      </c>
      <c r="N199" s="11">
        <f>Commercial!N199*Commercial!$B$5</f>
        <v>9.229973850244912</v>
      </c>
      <c r="O199" s="11">
        <f>Commercial!O199*Commercial!$B$5</f>
        <v>9.6914725427571575</v>
      </c>
      <c r="P199" s="11">
        <f>Commercial!P199*Commercial!$B$5</f>
        <v>10.176046169895018</v>
      </c>
      <c r="Q199" s="11">
        <f>Commercial!Q199*Commercial!$B$5</f>
        <v>10.684848478389769</v>
      </c>
      <c r="R199" s="11">
        <f>Commercial!R199*Commercial!$B$5</f>
        <v>11.219090902309256</v>
      </c>
      <c r="S199" s="11">
        <f>Commercial!S199*Commercial!$B$5</f>
        <v>11.780045447424719</v>
      </c>
      <c r="T199" s="11">
        <f>Commercial!T199*Commercial!$B$5</f>
        <v>12.369047719795955</v>
      </c>
      <c r="U199" s="11">
        <f>Commercial!U199*Commercial!$B$5</f>
        <v>12.987500105785752</v>
      </c>
      <c r="V199" s="11">
        <f>Commercial!V199*Commercial!$B$5</f>
        <v>13.636875111075039</v>
      </c>
      <c r="W199" s="11">
        <f>Commercial!W199*Commercial!$B$5</f>
        <v>14.318718866628792</v>
      </c>
      <c r="X199" s="11">
        <f>Commercial!X199*Commercial!$B$5</f>
        <v>15.034654809960236</v>
      </c>
      <c r="Y199" s="11">
        <f>Commercial!Y199*Commercial!$B$5</f>
        <v>15.786387550458244</v>
      </c>
      <c r="Z199" s="11">
        <f>Commercial!Z199*Commercial!$B$5</f>
        <v>16.575706927981159</v>
      </c>
      <c r="AA199" s="11">
        <f>Commercial!AA199*Commercial!$B$5</f>
        <v>17.404492274380214</v>
      </c>
      <c r="AB199" s="11">
        <f>Commercial!AB199*Commercial!$B$5</f>
        <v>18.274716888099228</v>
      </c>
      <c r="AC199" s="11">
        <f>Commercial!AC199*Commercial!$B$5</f>
        <v>19.188452732504192</v>
      </c>
      <c r="AD199" s="11">
        <f>Commercial!AD199*Commercial!$B$5</f>
        <v>20.147875369129395</v>
      </c>
      <c r="AE199" s="11">
        <f>Commercial!AE199*Commercial!$B$5</f>
        <v>21.155269137585872</v>
      </c>
      <c r="AF199" s="11">
        <f>Commercial!AF199*Commercial!$B$5</f>
        <v>22.213032594465162</v>
      </c>
      <c r="AG199" s="11">
        <f>Commercial!AG199*Commercial!$B$5</f>
        <v>23.323684224188423</v>
      </c>
      <c r="AH199" s="11">
        <f>Commercial!AH199*Commercial!$B$5</f>
        <v>24.489868435397852</v>
      </c>
      <c r="AI199" s="11">
        <f>Commercial!AI199*Commercial!$B$5</f>
        <v>25.714361857167738</v>
      </c>
      <c r="AJ199" s="11">
        <f>Commercial!AJ199*Commercial!$B$5</f>
        <v>27.000079950026127</v>
      </c>
      <c r="AK199" s="11">
        <f>Commercial!AK199*Commercial!$B$5</f>
        <v>28.350083947527438</v>
      </c>
      <c r="AL199" s="11">
        <f>Commercial!AL199*Commercial!$B$5</f>
        <v>29.767588144903808</v>
      </c>
      <c r="AM199" s="11">
        <f>Commercial!AM199*Commercial!$B$5</f>
        <v>31.255967552148995</v>
      </c>
      <c r="AN199" s="11">
        <f>Commercial!AN199*Commercial!$B$5</f>
        <v>32.818765929756452</v>
      </c>
    </row>
    <row r="201" spans="1:40" x14ac:dyDescent="0.2">
      <c r="A201" s="5" t="s">
        <v>66</v>
      </c>
    </row>
    <row r="202" spans="1:40" x14ac:dyDescent="0.2">
      <c r="A202" s="5" t="s">
        <v>4</v>
      </c>
    </row>
    <row r="203" spans="1:40" x14ac:dyDescent="0.2">
      <c r="A203" s="5" t="s">
        <v>75</v>
      </c>
    </row>
    <row r="204" spans="1:40" x14ac:dyDescent="0.2">
      <c r="A204" s="5" t="s">
        <v>6</v>
      </c>
    </row>
    <row r="205" spans="1:40" x14ac:dyDescent="0.2">
      <c r="A205" s="5"/>
    </row>
    <row r="206" spans="1:40" x14ac:dyDescent="0.2">
      <c r="A206" s="6" t="s">
        <v>7</v>
      </c>
      <c r="B206" s="6">
        <v>2022</v>
      </c>
      <c r="C206" s="6">
        <v>2023</v>
      </c>
      <c r="D206" s="6">
        <v>2024</v>
      </c>
      <c r="E206" s="6">
        <v>2025</v>
      </c>
      <c r="F206" s="6">
        <v>2026</v>
      </c>
      <c r="G206" s="6">
        <v>2027</v>
      </c>
      <c r="H206" s="6">
        <v>2028</v>
      </c>
      <c r="I206" s="6">
        <v>2029</v>
      </c>
      <c r="J206" s="6">
        <v>2030</v>
      </c>
      <c r="K206" s="6">
        <v>2031</v>
      </c>
      <c r="L206" s="6">
        <v>2032</v>
      </c>
      <c r="M206" s="6">
        <v>2033</v>
      </c>
      <c r="N206" s="6">
        <v>2034</v>
      </c>
      <c r="O206" s="6">
        <v>2035</v>
      </c>
      <c r="P206" s="6">
        <v>2036</v>
      </c>
      <c r="Q206" s="6">
        <v>2037</v>
      </c>
      <c r="R206" s="6">
        <v>2038</v>
      </c>
      <c r="S206" s="6">
        <v>2039</v>
      </c>
      <c r="T206" s="6">
        <v>2040</v>
      </c>
      <c r="U206" s="6">
        <v>2041</v>
      </c>
      <c r="V206" s="6">
        <v>2042</v>
      </c>
      <c r="W206" s="6">
        <v>2043</v>
      </c>
      <c r="X206" s="6">
        <v>2044</v>
      </c>
      <c r="Y206" s="6">
        <v>2045</v>
      </c>
      <c r="Z206" s="6">
        <v>2046</v>
      </c>
      <c r="AA206" s="6">
        <v>2047</v>
      </c>
      <c r="AB206" s="6">
        <v>2048</v>
      </c>
      <c r="AC206" s="6">
        <v>2049</v>
      </c>
      <c r="AD206" s="6">
        <v>2050</v>
      </c>
      <c r="AE206" s="6">
        <v>2051</v>
      </c>
      <c r="AF206" s="6">
        <v>2052</v>
      </c>
      <c r="AG206" s="6">
        <v>2053</v>
      </c>
      <c r="AH206" s="6">
        <v>2054</v>
      </c>
      <c r="AI206" s="6">
        <v>2055</v>
      </c>
      <c r="AJ206" s="6">
        <v>2056</v>
      </c>
      <c r="AK206" s="6">
        <v>2057</v>
      </c>
      <c r="AL206" s="6">
        <v>2058</v>
      </c>
      <c r="AM206" s="6">
        <v>2059</v>
      </c>
      <c r="AN206" s="6">
        <v>2060</v>
      </c>
    </row>
    <row r="207" spans="1:40" x14ac:dyDescent="0.2">
      <c r="A207" s="6" t="s">
        <v>43</v>
      </c>
      <c r="B207" s="11">
        <f>Commercial!B207*Commercial!$B$5</f>
        <v>571869.94739845779</v>
      </c>
      <c r="C207" s="11">
        <f>Commercial!C207*Commercial!$B$5</f>
        <v>573825.42379554524</v>
      </c>
      <c r="D207" s="11">
        <f>Commercial!D207*Commercial!$B$5</f>
        <v>575780.90019263292</v>
      </c>
      <c r="E207" s="11">
        <f>Commercial!E207*Commercial!$B$5</f>
        <v>577736.37658972037</v>
      </c>
      <c r="F207" s="11">
        <f>Commercial!F207*Commercial!$B$5</f>
        <v>582967.24864833697</v>
      </c>
      <c r="G207" s="11">
        <f>Commercial!G207*Commercial!$B$5</f>
        <v>588198.12070695357</v>
      </c>
      <c r="H207" s="11">
        <f>Commercial!H207*Commercial!$B$5</f>
        <v>593428.99276557018</v>
      </c>
      <c r="I207" s="11">
        <f>Commercial!I207*Commercial!$B$5</f>
        <v>598659.86482418666</v>
      </c>
      <c r="J207" s="11">
        <f>Commercial!J207*Commercial!$B$5</f>
        <v>603890.73688280338</v>
      </c>
      <c r="K207" s="11">
        <f>Commercial!K207*Commercial!$B$5</f>
        <v>608284.26512532472</v>
      </c>
      <c r="L207" s="11">
        <f>Commercial!L207*Commercial!$B$5</f>
        <v>612677.79336784629</v>
      </c>
      <c r="M207" s="11">
        <f>Commercial!M207*Commercial!$B$5</f>
        <v>617071.32161036774</v>
      </c>
      <c r="N207" s="11">
        <f>Commercial!N207*Commercial!$B$5</f>
        <v>621464.84985288919</v>
      </c>
      <c r="O207" s="11">
        <f>Commercial!O207*Commercial!$B$5</f>
        <v>625858.37809541065</v>
      </c>
      <c r="P207" s="11">
        <f>Commercial!P207*Commercial!$B$5</f>
        <v>629404.88253418601</v>
      </c>
      <c r="Q207" s="11">
        <f>Commercial!Q207*Commercial!$B$5</f>
        <v>632951.38697296148</v>
      </c>
      <c r="R207" s="11">
        <f>Commercial!R207*Commercial!$B$5</f>
        <v>636497.89141173672</v>
      </c>
      <c r="S207" s="11">
        <f>Commercial!S207*Commercial!$B$5</f>
        <v>640044.39585051208</v>
      </c>
      <c r="T207" s="11">
        <f>Commercial!T207*Commercial!$B$5</f>
        <v>643590.90028928744</v>
      </c>
      <c r="U207" s="11">
        <f>Commercial!U207*Commercial!$B$5</f>
        <v>646308.97363410227</v>
      </c>
      <c r="V207" s="11">
        <f>Commercial!V207*Commercial!$B$5</f>
        <v>649027.04697891697</v>
      </c>
      <c r="W207" s="11">
        <f>Commercial!W207*Commercial!$B$5</f>
        <v>651745.1203237318</v>
      </c>
      <c r="X207" s="11">
        <f>Commercial!X207*Commercial!$B$5</f>
        <v>654463.19366854662</v>
      </c>
      <c r="Y207" s="11">
        <f>Commercial!Y207*Commercial!$B$5</f>
        <v>657181.26701336133</v>
      </c>
      <c r="Z207" s="11">
        <f>Commercial!Z207*Commercial!$B$5</f>
        <v>659104.49060954957</v>
      </c>
      <c r="AA207" s="11">
        <f>Commercial!AA207*Commercial!$B$5</f>
        <v>661027.71420573792</v>
      </c>
      <c r="AB207" s="11">
        <f>Commercial!AB207*Commercial!$B$5</f>
        <v>662950.93780192616</v>
      </c>
      <c r="AC207" s="11">
        <f>Commercial!AC207*Commercial!$B$5</f>
        <v>664874.16139811429</v>
      </c>
      <c r="AD207" s="11">
        <f>Commercial!AD207*Commercial!$B$5</f>
        <v>666797.38499430264</v>
      </c>
      <c r="AE207" s="11">
        <f>Commercial!AE207*Commercial!$B$5</f>
        <v>666797.38499430264</v>
      </c>
      <c r="AF207" s="11">
        <f>Commercial!AF207*Commercial!$B$5</f>
        <v>666797.38499430264</v>
      </c>
      <c r="AG207" s="11">
        <f>Commercial!AG207*Commercial!$B$5</f>
        <v>666797.38499430264</v>
      </c>
      <c r="AH207" s="11">
        <f>Commercial!AH207*Commercial!$B$5</f>
        <v>666797.38499430264</v>
      </c>
      <c r="AI207" s="11">
        <f>Commercial!AI207*Commercial!$B$5</f>
        <v>666797.38499430264</v>
      </c>
      <c r="AJ207" s="11">
        <f>Commercial!AJ207*Commercial!$B$5</f>
        <v>666797.38499430264</v>
      </c>
      <c r="AK207" s="11">
        <f>Commercial!AK207*Commercial!$B$5</f>
        <v>666797.38499430264</v>
      </c>
      <c r="AL207" s="11">
        <f>Commercial!AL207*Commercial!$B$5</f>
        <v>666797.38499430264</v>
      </c>
      <c r="AM207" s="11">
        <f>Commercial!AM207*Commercial!$B$5</f>
        <v>666797.38499430264</v>
      </c>
      <c r="AN207" s="11">
        <f>Commercial!AN207*Commercial!$B$5</f>
        <v>666797.38499430264</v>
      </c>
    </row>
    <row r="208" spans="1:40" x14ac:dyDescent="0.2">
      <c r="A208" s="6" t="s">
        <v>8</v>
      </c>
      <c r="B208" s="11">
        <f>Commercial!B208*Commercial!$B$5</f>
        <v>437361.51945510792</v>
      </c>
      <c r="C208" s="11">
        <f>Commercial!C208*Commercial!$B$5</f>
        <v>438857.05201837595</v>
      </c>
      <c r="D208" s="11">
        <f>Commercial!D208*Commercial!$B$5</f>
        <v>440352.5845816441</v>
      </c>
      <c r="E208" s="11">
        <f>Commercial!E208*Commercial!$B$5</f>
        <v>441848.11714491225</v>
      </c>
      <c r="F208" s="11">
        <f>Commercial!F208*Commercial!$B$5</f>
        <v>445848.6458700872</v>
      </c>
      <c r="G208" s="11">
        <f>Commercial!G208*Commercial!$B$5</f>
        <v>449849.1745952621</v>
      </c>
      <c r="H208" s="11">
        <f>Commercial!H208*Commercial!$B$5</f>
        <v>453849.70332043711</v>
      </c>
      <c r="I208" s="11">
        <f>Commercial!I208*Commercial!$B$5</f>
        <v>457850.23204561195</v>
      </c>
      <c r="J208" s="11">
        <f>Commercial!J208*Commercial!$B$5</f>
        <v>461850.7607707869</v>
      </c>
      <c r="K208" s="11">
        <f>Commercial!K208*Commercial!$B$5</f>
        <v>465210.89570471668</v>
      </c>
      <c r="L208" s="11">
        <f>Commercial!L208*Commercial!$B$5</f>
        <v>468571.03063864651</v>
      </c>
      <c r="M208" s="11">
        <f>Commercial!M208*Commercial!$B$5</f>
        <v>471931.16557257611</v>
      </c>
      <c r="N208" s="11">
        <f>Commercial!N208*Commercial!$B$5</f>
        <v>475291.30050650588</v>
      </c>
      <c r="O208" s="11">
        <f>Commercial!O208*Commercial!$B$5</f>
        <v>478651.43544043566</v>
      </c>
      <c r="P208" s="11">
        <f>Commercial!P208*Commercial!$B$5</f>
        <v>481363.7734067046</v>
      </c>
      <c r="Q208" s="11">
        <f>Commercial!Q208*Commercial!$B$5</f>
        <v>484076.11137297365</v>
      </c>
      <c r="R208" s="11">
        <f>Commercial!R208*Commercial!$B$5</f>
        <v>486788.44933924254</v>
      </c>
      <c r="S208" s="11">
        <f>Commercial!S208*Commercial!$B$5</f>
        <v>489500.78730551148</v>
      </c>
      <c r="T208" s="11">
        <f>Commercial!T208*Commercial!$B$5</f>
        <v>492213.12527178059</v>
      </c>
      <c r="U208" s="11">
        <f>Commercial!U208*Commercial!$B$5</f>
        <v>494291.88582474651</v>
      </c>
      <c r="V208" s="11">
        <f>Commercial!V208*Commercial!$B$5</f>
        <v>496370.64637771237</v>
      </c>
      <c r="W208" s="11">
        <f>Commercial!W208*Commercial!$B$5</f>
        <v>498449.40693067835</v>
      </c>
      <c r="X208" s="11">
        <f>Commercial!X208*Commercial!$B$5</f>
        <v>500528.16748364421</v>
      </c>
      <c r="Y208" s="11">
        <f>Commercial!Y208*Commercial!$B$5</f>
        <v>502606.92803661019</v>
      </c>
      <c r="Z208" s="11">
        <f>Commercial!Z208*Commercial!$B$5</f>
        <v>504077.79391810525</v>
      </c>
      <c r="AA208" s="11">
        <f>Commercial!AA208*Commercial!$B$5</f>
        <v>505548.65979960043</v>
      </c>
      <c r="AB208" s="11">
        <f>Commercial!AB208*Commercial!$B$5</f>
        <v>507019.52568109566</v>
      </c>
      <c r="AC208" s="11">
        <f>Commercial!AC208*Commercial!$B$5</f>
        <v>508490.39156259072</v>
      </c>
      <c r="AD208" s="11">
        <f>Commercial!AD208*Commercial!$B$5</f>
        <v>509961.2574440859</v>
      </c>
      <c r="AE208" s="11">
        <f>Commercial!AE208*Commercial!$B$5</f>
        <v>509961.2574440859</v>
      </c>
      <c r="AF208" s="11">
        <f>Commercial!AF208*Commercial!$B$5</f>
        <v>509961.2574440859</v>
      </c>
      <c r="AG208" s="11">
        <f>Commercial!AG208*Commercial!$B$5</f>
        <v>509961.2574440859</v>
      </c>
      <c r="AH208" s="11">
        <f>Commercial!AH208*Commercial!$B$5</f>
        <v>509961.2574440859</v>
      </c>
      <c r="AI208" s="11">
        <f>Commercial!AI208*Commercial!$B$5</f>
        <v>509961.2574440859</v>
      </c>
      <c r="AJ208" s="11">
        <f>Commercial!AJ208*Commercial!$B$5</f>
        <v>509961.2574440859</v>
      </c>
      <c r="AK208" s="11">
        <f>Commercial!AK208*Commercial!$B$5</f>
        <v>509961.2574440859</v>
      </c>
      <c r="AL208" s="11">
        <f>Commercial!AL208*Commercial!$B$5</f>
        <v>509961.2574440859</v>
      </c>
      <c r="AM208" s="11">
        <f>Commercial!AM208*Commercial!$B$5</f>
        <v>509961.2574440859</v>
      </c>
      <c r="AN208" s="11">
        <f>Commercial!AN208*Commercial!$B$5</f>
        <v>509961.2574440859</v>
      </c>
    </row>
    <row r="209" spans="1:40" x14ac:dyDescent="0.2">
      <c r="A209" s="6" t="s">
        <v>9</v>
      </c>
      <c r="B209" s="11">
        <f>Commercial!B209*Commercial!$B$5</f>
        <v>4483689.3976312419</v>
      </c>
      <c r="C209" s="11">
        <f>Commercial!C209*Commercial!$B$5</f>
        <v>4499021.1156710256</v>
      </c>
      <c r="D209" s="11">
        <f>Commercial!D209*Commercial!$B$5</f>
        <v>4514352.8337108102</v>
      </c>
      <c r="E209" s="11">
        <f>Commercial!E209*Commercial!$B$5</f>
        <v>4529684.5517505957</v>
      </c>
      <c r="F209" s="11">
        <f>Commercial!F209*Commercial!$B$5</f>
        <v>4570696.6834359188</v>
      </c>
      <c r="G209" s="11">
        <f>Commercial!G209*Commercial!$B$5</f>
        <v>4611708.8151212428</v>
      </c>
      <c r="H209" s="11">
        <f>Commercial!H209*Commercial!$B$5</f>
        <v>4652720.9468065677</v>
      </c>
      <c r="I209" s="11">
        <f>Commercial!I209*Commercial!$B$5</f>
        <v>4693733.0784918899</v>
      </c>
      <c r="J209" s="11">
        <f>Commercial!J209*Commercial!$B$5</f>
        <v>4734745.210177213</v>
      </c>
      <c r="K209" s="11">
        <f>Commercial!K209*Commercial!$B$5</f>
        <v>4769192.2310231281</v>
      </c>
      <c r="L209" s="11">
        <f>Commercial!L209*Commercial!$B$5</f>
        <v>4803639.2518690443</v>
      </c>
      <c r="M209" s="11">
        <f>Commercial!M209*Commercial!$B$5</f>
        <v>4838086.2727149576</v>
      </c>
      <c r="N209" s="11">
        <f>Commercial!N209*Commercial!$B$5</f>
        <v>4872533.2935608728</v>
      </c>
      <c r="O209" s="11">
        <f>Commercial!O209*Commercial!$B$5</f>
        <v>4906980.314406788</v>
      </c>
      <c r="P209" s="11">
        <f>Commercial!P209*Commercial!$B$5</f>
        <v>4934786.3294336796</v>
      </c>
      <c r="Q209" s="11">
        <f>Commercial!Q209*Commercial!$B$5</f>
        <v>4962592.3444605721</v>
      </c>
      <c r="R209" s="11">
        <f>Commercial!R209*Commercial!$B$5</f>
        <v>4990398.3594874637</v>
      </c>
      <c r="S209" s="11">
        <f>Commercial!S209*Commercial!$B$5</f>
        <v>5018204.3745143544</v>
      </c>
      <c r="T209" s="11">
        <f>Commercial!T209*Commercial!$B$5</f>
        <v>5046010.3895412469</v>
      </c>
      <c r="U209" s="11">
        <f>Commercial!U209*Commercial!$B$5</f>
        <v>5067321.1730394373</v>
      </c>
      <c r="V209" s="11">
        <f>Commercial!V209*Commercial!$B$5</f>
        <v>5088631.9565376267</v>
      </c>
      <c r="W209" s="11">
        <f>Commercial!W209*Commercial!$B$5</f>
        <v>5109942.740035818</v>
      </c>
      <c r="X209" s="11">
        <f>Commercial!X209*Commercial!$B$5</f>
        <v>5131253.5235340083</v>
      </c>
      <c r="Y209" s="11">
        <f>Commercial!Y209*Commercial!$B$5</f>
        <v>5152564.3070321996</v>
      </c>
      <c r="Z209" s="11">
        <f>Commercial!Z209*Commercial!$B$5</f>
        <v>5167643.1501970319</v>
      </c>
      <c r="AA209" s="11">
        <f>Commercial!AA209*Commercial!$B$5</f>
        <v>5182721.993361867</v>
      </c>
      <c r="AB209" s="11">
        <f>Commercial!AB209*Commercial!$B$5</f>
        <v>5197800.8365267031</v>
      </c>
      <c r="AC209" s="11">
        <f>Commercial!AC209*Commercial!$B$5</f>
        <v>5212879.6796915364</v>
      </c>
      <c r="AD209" s="11">
        <f>Commercial!AD209*Commercial!$B$5</f>
        <v>5227958.5228563715</v>
      </c>
      <c r="AE209" s="11">
        <f>Commercial!AE209*Commercial!$B$5</f>
        <v>5227958.5228563715</v>
      </c>
      <c r="AF209" s="11">
        <f>Commercial!AF209*Commercial!$B$5</f>
        <v>5227958.5228563715</v>
      </c>
      <c r="AG209" s="11">
        <f>Commercial!AG209*Commercial!$B$5</f>
        <v>5227958.5228563715</v>
      </c>
      <c r="AH209" s="11">
        <f>Commercial!AH209*Commercial!$B$5</f>
        <v>5227958.5228563715</v>
      </c>
      <c r="AI209" s="11">
        <f>Commercial!AI209*Commercial!$B$5</f>
        <v>5227958.5228563715</v>
      </c>
      <c r="AJ209" s="11">
        <f>Commercial!AJ209*Commercial!$B$5</f>
        <v>5227958.5228563715</v>
      </c>
      <c r="AK209" s="11">
        <f>Commercial!AK209*Commercial!$B$5</f>
        <v>5227958.5228563715</v>
      </c>
      <c r="AL209" s="11">
        <f>Commercial!AL209*Commercial!$B$5</f>
        <v>5227958.5228563715</v>
      </c>
      <c r="AM209" s="11">
        <f>Commercial!AM209*Commercial!$B$5</f>
        <v>5227958.5228563715</v>
      </c>
      <c r="AN209" s="11">
        <f>Commercial!AN209*Commercial!$B$5</f>
        <v>5227958.5228563715</v>
      </c>
    </row>
    <row r="210" spans="1:40" x14ac:dyDescent="0.2">
      <c r="A210" s="6" t="s">
        <v>10</v>
      </c>
      <c r="B210" s="11">
        <f>Commercial!B210*Commercial!$B$5</f>
        <v>3894.2756739220517</v>
      </c>
      <c r="C210" s="11">
        <f>Commercial!C210*Commercial!$B$5</f>
        <v>3907.5919256305906</v>
      </c>
      <c r="D210" s="11">
        <f>Commercial!D210*Commercial!$B$5</f>
        <v>3920.908177339129</v>
      </c>
      <c r="E210" s="11">
        <f>Commercial!E210*Commercial!$B$5</f>
        <v>3934.2244290476683</v>
      </c>
      <c r="F210" s="11">
        <f>Commercial!F210*Commercial!$B$5</f>
        <v>3969.8452164381197</v>
      </c>
      <c r="G210" s="11">
        <f>Commercial!G210*Commercial!$B$5</f>
        <v>4005.4660038285715</v>
      </c>
      <c r="H210" s="11">
        <f>Commercial!H210*Commercial!$B$5</f>
        <v>4041.0867912190238</v>
      </c>
      <c r="I210" s="11">
        <f>Commercial!I210*Commercial!$B$5</f>
        <v>4076.7075786094738</v>
      </c>
      <c r="J210" s="11">
        <f>Commercial!J210*Commercial!$B$5</f>
        <v>4112.3283659999252</v>
      </c>
      <c r="K210" s="11">
        <f>Commercial!K210*Commercial!$B$5</f>
        <v>4142.2470743275362</v>
      </c>
      <c r="L210" s="11">
        <f>Commercial!L210*Commercial!$B$5</f>
        <v>4172.1657826551491</v>
      </c>
      <c r="M210" s="11">
        <f>Commercial!M210*Commercial!$B$5</f>
        <v>4202.0844909827592</v>
      </c>
      <c r="N210" s="11">
        <f>Commercial!N210*Commercial!$B$5</f>
        <v>4232.0031993103703</v>
      </c>
      <c r="O210" s="11">
        <f>Commercial!O210*Commercial!$B$5</f>
        <v>4261.9219076379823</v>
      </c>
      <c r="P210" s="11">
        <f>Commercial!P210*Commercial!$B$5</f>
        <v>4286.0726188726057</v>
      </c>
      <c r="Q210" s="11">
        <f>Commercial!Q210*Commercial!$B$5</f>
        <v>4310.2233301072292</v>
      </c>
      <c r="R210" s="11">
        <f>Commercial!R210*Commercial!$B$5</f>
        <v>4334.3740413418518</v>
      </c>
      <c r="S210" s="11">
        <f>Commercial!S210*Commercial!$B$5</f>
        <v>4358.5247525764762</v>
      </c>
      <c r="T210" s="11">
        <f>Commercial!T210*Commercial!$B$5</f>
        <v>4382.6754638110997</v>
      </c>
      <c r="U210" s="11">
        <f>Commercial!U210*Commercial!$B$5</f>
        <v>4401.1847891477446</v>
      </c>
      <c r="V210" s="11">
        <f>Commercial!V210*Commercial!$B$5</f>
        <v>4419.6941144843886</v>
      </c>
      <c r="W210" s="11">
        <f>Commercial!W210*Commercial!$B$5</f>
        <v>4438.2034398210344</v>
      </c>
      <c r="X210" s="11">
        <f>Commercial!X210*Commercial!$B$5</f>
        <v>4456.7127651576793</v>
      </c>
      <c r="Y210" s="11">
        <f>Commercial!Y210*Commercial!$B$5</f>
        <v>4475.2220904943251</v>
      </c>
      <c r="Z210" s="11">
        <f>Commercial!Z210*Commercial!$B$5</f>
        <v>4488.3187095774219</v>
      </c>
      <c r="AA210" s="11">
        <f>Commercial!AA210*Commercial!$B$5</f>
        <v>4501.4153286605197</v>
      </c>
      <c r="AB210" s="11">
        <f>Commercial!AB210*Commercial!$B$5</f>
        <v>4514.5119477436183</v>
      </c>
      <c r="AC210" s="11">
        <f>Commercial!AC210*Commercial!$B$5</f>
        <v>4527.608566826716</v>
      </c>
      <c r="AD210" s="11">
        <f>Commercial!AD210*Commercial!$B$5</f>
        <v>4540.7051859098137</v>
      </c>
      <c r="AE210" s="11">
        <f>Commercial!AE210*Commercial!$B$5</f>
        <v>4540.7051859098137</v>
      </c>
      <c r="AF210" s="11">
        <f>Commercial!AF210*Commercial!$B$5</f>
        <v>4540.7051859098137</v>
      </c>
      <c r="AG210" s="11">
        <f>Commercial!AG210*Commercial!$B$5</f>
        <v>4540.7051859098137</v>
      </c>
      <c r="AH210" s="11">
        <f>Commercial!AH210*Commercial!$B$5</f>
        <v>4540.7051859098137</v>
      </c>
      <c r="AI210" s="11">
        <f>Commercial!AI210*Commercial!$B$5</f>
        <v>4540.7051859098137</v>
      </c>
      <c r="AJ210" s="11">
        <f>Commercial!AJ210*Commercial!$B$5</f>
        <v>4540.7051859098137</v>
      </c>
      <c r="AK210" s="11">
        <f>Commercial!AK210*Commercial!$B$5</f>
        <v>4540.7051859098137</v>
      </c>
      <c r="AL210" s="11">
        <f>Commercial!AL210*Commercial!$B$5</f>
        <v>4540.7051859098137</v>
      </c>
      <c r="AM210" s="11">
        <f>Commercial!AM210*Commercial!$B$5</f>
        <v>4540.7051859098137</v>
      </c>
      <c r="AN210" s="11">
        <f>Commercial!AN210*Commercial!$B$5</f>
        <v>4540.7051859098137</v>
      </c>
    </row>
    <row r="211" spans="1:40" x14ac:dyDescent="0.2">
      <c r="A211" s="6" t="s">
        <v>44</v>
      </c>
      <c r="B211" s="11">
        <f>Commercial!B211*Commercial!$B$5</f>
        <v>7110667.5769762024</v>
      </c>
      <c r="C211" s="11">
        <f>Commercial!C211*Commercial!$B$5</f>
        <v>7134982.0958236558</v>
      </c>
      <c r="D211" s="11">
        <f>Commercial!D211*Commercial!$B$5</f>
        <v>7159296.6146711102</v>
      </c>
      <c r="E211" s="11">
        <f>Commercial!E211*Commercial!$B$5</f>
        <v>7183611.1335185664</v>
      </c>
      <c r="F211" s="11">
        <f>Commercial!F211*Commercial!$B$5</f>
        <v>7248652.1319408854</v>
      </c>
      <c r="G211" s="11">
        <f>Commercial!G211*Commercial!$B$5</f>
        <v>7313693.1303632064</v>
      </c>
      <c r="H211" s="11">
        <f>Commercial!H211*Commercial!$B$5</f>
        <v>7378734.1287855292</v>
      </c>
      <c r="I211" s="11">
        <f>Commercial!I211*Commercial!$B$5</f>
        <v>7443775.1272078473</v>
      </c>
      <c r="J211" s="11">
        <f>Commercial!J211*Commercial!$B$5</f>
        <v>7508816.1256301682</v>
      </c>
      <c r="K211" s="11">
        <f>Commercial!K211*Commercial!$B$5</f>
        <v>7563445.5373779759</v>
      </c>
      <c r="L211" s="11">
        <f>Commercial!L211*Commercial!$B$5</f>
        <v>7618074.9491257817</v>
      </c>
      <c r="M211" s="11">
        <f>Commercial!M211*Commercial!$B$5</f>
        <v>7672704.3608735865</v>
      </c>
      <c r="N211" s="11">
        <f>Commercial!N211*Commercial!$B$5</f>
        <v>7727333.7726213941</v>
      </c>
      <c r="O211" s="11">
        <f>Commercial!O211*Commercial!$B$5</f>
        <v>7781963.1843691999</v>
      </c>
      <c r="P211" s="11">
        <f>Commercial!P211*Commercial!$B$5</f>
        <v>7826060.6478556497</v>
      </c>
      <c r="Q211" s="11">
        <f>Commercial!Q211*Commercial!$B$5</f>
        <v>7870158.1113421032</v>
      </c>
      <c r="R211" s="11">
        <f>Commercial!R211*Commercial!$B$5</f>
        <v>7914255.574828553</v>
      </c>
      <c r="S211" s="11">
        <f>Commercial!S211*Commercial!$B$5</f>
        <v>7958353.0383150047</v>
      </c>
      <c r="T211" s="11">
        <f>Commercial!T211*Commercial!$B$5</f>
        <v>8002450.5018014554</v>
      </c>
      <c r="U211" s="11">
        <f>Commercial!U211*Commercial!$B$5</f>
        <v>8036247.1999716284</v>
      </c>
      <c r="V211" s="11">
        <f>Commercial!V211*Commercial!$B$5</f>
        <v>8070043.8981417986</v>
      </c>
      <c r="W211" s="11">
        <f>Commercial!W211*Commercial!$B$5</f>
        <v>8103840.5963119706</v>
      </c>
      <c r="X211" s="11">
        <f>Commercial!X211*Commercial!$B$5</f>
        <v>8137637.2944821417</v>
      </c>
      <c r="Y211" s="11">
        <f>Commercial!Y211*Commercial!$B$5</f>
        <v>8171433.9926523138</v>
      </c>
      <c r="Z211" s="11">
        <f>Commercial!Z211*Commercial!$B$5</f>
        <v>8195347.4781063106</v>
      </c>
      <c r="AA211" s="11">
        <f>Commercial!AA211*Commercial!$B$5</f>
        <v>8219260.9635603074</v>
      </c>
      <c r="AB211" s="11">
        <f>Commercial!AB211*Commercial!$B$5</f>
        <v>8243174.4490143079</v>
      </c>
      <c r="AC211" s="11">
        <f>Commercial!AC211*Commercial!$B$5</f>
        <v>8267087.9344683057</v>
      </c>
      <c r="AD211" s="11">
        <f>Commercial!AD211*Commercial!$B$5</f>
        <v>8291001.4199223025</v>
      </c>
      <c r="AE211" s="11">
        <f>Commercial!AE211*Commercial!$B$5</f>
        <v>8291001.4199223025</v>
      </c>
      <c r="AF211" s="11">
        <f>Commercial!AF211*Commercial!$B$5</f>
        <v>8291001.4199223025</v>
      </c>
      <c r="AG211" s="11">
        <f>Commercial!AG211*Commercial!$B$5</f>
        <v>8291001.4199223025</v>
      </c>
      <c r="AH211" s="11">
        <f>Commercial!AH211*Commercial!$B$5</f>
        <v>8291001.4199223025</v>
      </c>
      <c r="AI211" s="11">
        <f>Commercial!AI211*Commercial!$B$5</f>
        <v>8291001.4199223025</v>
      </c>
      <c r="AJ211" s="11">
        <f>Commercial!AJ211*Commercial!$B$5</f>
        <v>8291001.4199223025</v>
      </c>
      <c r="AK211" s="11">
        <f>Commercial!AK211*Commercial!$B$5</f>
        <v>8291001.4199223025</v>
      </c>
      <c r="AL211" s="11">
        <f>Commercial!AL211*Commercial!$B$5</f>
        <v>8291001.4199223025</v>
      </c>
      <c r="AM211" s="11">
        <f>Commercial!AM211*Commercial!$B$5</f>
        <v>8291001.4199223025</v>
      </c>
      <c r="AN211" s="11">
        <f>Commercial!AN211*Commercial!$B$5</f>
        <v>8291001.4199223025</v>
      </c>
    </row>
    <row r="216" spans="1:40" x14ac:dyDescent="0.2">
      <c r="A216" s="6" t="s">
        <v>7</v>
      </c>
      <c r="B216" s="6">
        <v>2022</v>
      </c>
      <c r="C216" s="6">
        <v>2023</v>
      </c>
      <c r="D216" s="6">
        <v>2024</v>
      </c>
      <c r="E216" s="6">
        <v>2025</v>
      </c>
      <c r="F216" s="6">
        <v>2026</v>
      </c>
      <c r="G216" s="6">
        <v>2027</v>
      </c>
      <c r="H216" s="6">
        <v>2028</v>
      </c>
      <c r="I216" s="6">
        <v>2029</v>
      </c>
      <c r="J216" s="6">
        <v>2030</v>
      </c>
      <c r="K216" s="6">
        <v>2031</v>
      </c>
      <c r="L216" s="6">
        <v>2032</v>
      </c>
      <c r="M216" s="6">
        <v>2033</v>
      </c>
      <c r="N216" s="6">
        <v>2034</v>
      </c>
      <c r="O216" s="6">
        <v>2035</v>
      </c>
      <c r="P216" s="6">
        <v>2036</v>
      </c>
      <c r="Q216" s="6">
        <v>2037</v>
      </c>
      <c r="R216" s="6">
        <v>2038</v>
      </c>
      <c r="S216" s="6">
        <v>2039</v>
      </c>
      <c r="T216" s="6">
        <v>2040</v>
      </c>
      <c r="U216" s="6">
        <v>2041</v>
      </c>
      <c r="V216" s="6">
        <v>2042</v>
      </c>
      <c r="W216" s="6">
        <v>2043</v>
      </c>
      <c r="X216" s="6">
        <v>2044</v>
      </c>
      <c r="Y216" s="6">
        <v>2045</v>
      </c>
      <c r="Z216" s="6">
        <v>2046</v>
      </c>
      <c r="AA216" s="6">
        <v>2047</v>
      </c>
      <c r="AB216" s="6">
        <v>2048</v>
      </c>
      <c r="AC216" s="6">
        <v>2049</v>
      </c>
      <c r="AD216" s="6">
        <v>2050</v>
      </c>
      <c r="AE216" s="6">
        <v>2051</v>
      </c>
      <c r="AF216" s="6">
        <v>2052</v>
      </c>
      <c r="AG216" s="6">
        <v>2053</v>
      </c>
      <c r="AH216" s="6">
        <v>2054</v>
      </c>
      <c r="AI216" s="6">
        <v>2055</v>
      </c>
      <c r="AJ216" s="6">
        <v>2056</v>
      </c>
      <c r="AK216" s="6">
        <v>2057</v>
      </c>
      <c r="AL216" s="6">
        <v>2058</v>
      </c>
      <c r="AM216" s="6">
        <v>2059</v>
      </c>
      <c r="AN216" s="6">
        <v>2060</v>
      </c>
    </row>
    <row r="217" spans="1:40" x14ac:dyDescent="0.2">
      <c r="A217" s="6" t="s">
        <v>177</v>
      </c>
      <c r="B217" s="11">
        <v>21962.709867912006</v>
      </c>
      <c r="C217" s="11">
        <v>23396.097935350503</v>
      </c>
      <c r="D217" s="11">
        <v>24923.035540356632</v>
      </c>
      <c r="E217" s="11">
        <v>26549.628158605756</v>
      </c>
      <c r="F217" s="11">
        <v>28282.379737365864</v>
      </c>
      <c r="G217" s="11">
        <v>30128.218701597409</v>
      </c>
      <c r="H217" s="11">
        <v>32094.525657331593</v>
      </c>
      <c r="I217" s="11">
        <v>34189.16290309927</v>
      </c>
      <c r="J217" s="11">
        <v>36420.505867412299</v>
      </c>
      <c r="K217" s="11">
        <v>38797.47659800027</v>
      </c>
      <c r="L217" s="11">
        <v>41329.579436709988</v>
      </c>
      <c r="M217" s="11">
        <v>44026.93902271377</v>
      </c>
      <c r="N217" s="11">
        <v>46900.340775982928</v>
      </c>
      <c r="O217" s="11">
        <v>49961.274022900354</v>
      </c>
      <c r="P217" s="11">
        <v>53221.977936449766</v>
      </c>
      <c r="Q217" s="11">
        <v>56695.490474674385</v>
      </c>
      <c r="R217" s="11">
        <v>60395.700513086078</v>
      </c>
      <c r="S217" s="11">
        <v>64337.403379476367</v>
      </c>
      <c r="T217" s="11">
        <v>68536.360013186437</v>
      </c>
      <c r="U217" s="11">
        <v>73009.35998538477</v>
      </c>
      <c r="V217" s="11">
        <v>77774.288632339667</v>
      </c>
      <c r="W217" s="11">
        <v>82850.198570119668</v>
      </c>
      <c r="X217" s="11">
        <v>88257.385876674496</v>
      </c>
      <c r="Y217" s="11">
        <v>94017.471245910696</v>
      </c>
      <c r="Z217" s="11">
        <v>100153.48643825838</v>
      </c>
      <c r="AA217" s="11">
        <v>106689.96637340084</v>
      </c>
      <c r="AB217" s="11">
        <v>113653.04723340344</v>
      </c>
      <c r="AC217" s="11">
        <v>121070.57096850492</v>
      </c>
      <c r="AD217" s="11">
        <v>128972.19662344141</v>
      </c>
      <c r="AE217" s="11">
        <v>137389.51892944105</v>
      </c>
      <c r="AF217" s="11">
        <v>146356.19463608053</v>
      </c>
      <c r="AG217" s="11">
        <v>155908.07708814373</v>
      </c>
      <c r="AH217" s="11">
        <v>166083.35958558865</v>
      </c>
      <c r="AI217" s="11">
        <v>176922.72809984902</v>
      </c>
      <c r="AJ217" s="11">
        <v>188469.52395710815</v>
      </c>
      <c r="AK217" s="11">
        <v>200769.91713903644</v>
      </c>
      <c r="AL217" s="11">
        <v>213873.09089393661</v>
      </c>
      <c r="AM217" s="11">
        <v>227831.43839646646</v>
      </c>
      <c r="AN217" s="11">
        <v>242700.77224228537</v>
      </c>
    </row>
    <row r="218" spans="1:40" x14ac:dyDescent="0.2">
      <c r="A218" s="6" t="s">
        <v>178</v>
      </c>
      <c r="B218" s="11">
        <v>48138.709563875731</v>
      </c>
      <c r="C218" s="11">
        <v>51280.464487823418</v>
      </c>
      <c r="D218" s="11">
        <v>54627.264875007982</v>
      </c>
      <c r="E218" s="11">
        <v>58192.492941105585</v>
      </c>
      <c r="F218" s="11">
        <v>61990.404287106983</v>
      </c>
      <c r="G218" s="11">
        <v>66036.184900484237</v>
      </c>
      <c r="H218" s="11">
        <v>70346.011876517397</v>
      </c>
      <c r="I218" s="11">
        <v>74937.118102575856</v>
      </c>
      <c r="J218" s="11">
        <v>79827.861163995447</v>
      </c>
      <c r="K218" s="11">
        <v>85037.796747071407</v>
      </c>
      <c r="L218" s="11">
        <v>90587.756832670842</v>
      </c>
      <c r="M218" s="11">
        <v>96499.932993121853</v>
      </c>
      <c r="N218" s="11">
        <v>102797.96512544295</v>
      </c>
      <c r="O218" s="11">
        <v>109507.03597571405</v>
      </c>
      <c r="P218" s="11">
        <v>116653.97183254464</v>
      </c>
      <c r="Q218" s="11">
        <v>124267.34979226418</v>
      </c>
      <c r="R218" s="11">
        <v>132377.61202473487</v>
      </c>
      <c r="S218" s="11">
        <v>141017.18749667989</v>
      </c>
      <c r="T218" s="11">
        <v>150220.62163923981</v>
      </c>
      <c r="U218" s="11">
        <v>160024.71447823296</v>
      </c>
      <c r="V218" s="11">
        <v>170468.66777943639</v>
      </c>
      <c r="W218" s="11">
        <v>181594.24179724822</v>
      </c>
      <c r="X218" s="11">
        <v>193445.92225349354</v>
      </c>
      <c r="Y218" s="11">
        <v>206071.09821403879</v>
      </c>
      <c r="Z218" s="11">
        <v>219520.25157445847</v>
      </c>
      <c r="AA218" s="11">
        <v>233847.15891241172</v>
      </c>
      <c r="AB218" s="11">
        <v>249109.10651384006</v>
      </c>
      <c r="AC218" s="11">
        <v>265367.11943276913</v>
      </c>
      <c r="AD218" s="11">
        <v>282686.20550061332</v>
      </c>
      <c r="AE218" s="11">
        <v>301135.61526065634</v>
      </c>
      <c r="AF218" s="11">
        <v>320789.1188670586</v>
      </c>
      <c r="AG218" s="11">
        <v>341725.30105557595</v>
      </c>
      <c r="AH218" s="11">
        <v>364027.87536543078</v>
      </c>
      <c r="AI218" s="11">
        <v>387786.01886875828</v>
      </c>
      <c r="AJ218" s="11">
        <v>413094.72874604276</v>
      </c>
      <c r="AK218" s="11">
        <v>440055.20213331963</v>
      </c>
      <c r="AL218" s="11">
        <v>468775.24075996049</v>
      </c>
      <c r="AM218" s="11">
        <v>499369.68199499452</v>
      </c>
      <c r="AN218" s="11">
        <v>531960.85802550649</v>
      </c>
    </row>
    <row r="219" spans="1:40" x14ac:dyDescent="0.2">
      <c r="A219" s="6" t="s">
        <v>179</v>
      </c>
      <c r="B219" s="11">
        <v>36141.731313385033</v>
      </c>
      <c r="C219" s="11">
        <v>38500.507926687329</v>
      </c>
      <c r="D219" s="11">
        <v>41013.229215833126</v>
      </c>
      <c r="E219" s="11">
        <v>43689.942322669987</v>
      </c>
      <c r="F219" s="11">
        <v>46541.350112010572</v>
      </c>
      <c r="G219" s="11">
        <v>49578.853967147348</v>
      </c>
      <c r="H219" s="11">
        <v>52814.599378400708</v>
      </c>
      <c r="I219" s="11">
        <v>56261.524506986461</v>
      </c>
      <c r="J219" s="11">
        <v>59933.411918386308</v>
      </c>
      <c r="K219" s="11">
        <v>63844.943692077162</v>
      </c>
      <c r="L219" s="11">
        <v>68011.76012797658</v>
      </c>
      <c r="M219" s="11">
        <v>72450.522284342471</v>
      </c>
      <c r="N219" s="11">
        <v>77178.978597185269</v>
      </c>
      <c r="O219" s="11">
        <v>82216.035847571577</v>
      </c>
      <c r="P219" s="11">
        <v>87581.834760582016</v>
      </c>
      <c r="Q219" s="11">
        <v>93297.830538207025</v>
      </c>
      <c r="R219" s="11">
        <v>99386.87864819236</v>
      </c>
      <c r="S219" s="11">
        <v>105873.32621186088</v>
      </c>
      <c r="T219" s="11">
        <v>112783.10935632735</v>
      </c>
      <c r="U219" s="11">
        <v>120143.8569203683</v>
      </c>
      <c r="V219" s="11">
        <v>127985.0009286175</v>
      </c>
      <c r="W219" s="11">
        <v>136337.89427581843</v>
      </c>
      <c r="X219" s="11">
        <v>145235.93609169521</v>
      </c>
      <c r="Y219" s="11">
        <v>154714.70528771554</v>
      </c>
      <c r="Z219" s="11">
        <v>164812.10281973318</v>
      </c>
      <c r="AA219" s="11">
        <v>175568.50323534885</v>
      </c>
      <c r="AB219" s="11">
        <v>187026.91611195222</v>
      </c>
      <c r="AC219" s="11">
        <v>199233.15803095914</v>
      </c>
      <c r="AD219" s="11">
        <v>212236.03577588178</v>
      </c>
      <c r="AE219" s="11">
        <v>226087.54148675333</v>
      </c>
      <c r="AF219" s="11">
        <v>240843.06055123344</v>
      </c>
      <c r="AG219" s="11">
        <v>256561.59306364824</v>
      </c>
      <c r="AH219" s="11">
        <v>273305.9897374729</v>
      </c>
      <c r="AI219" s="11">
        <v>291143.20321455505</v>
      </c>
      <c r="AJ219" s="11">
        <v>310144.55577593815</v>
      </c>
      <c r="AK219" s="11">
        <v>330386.02452473552</v>
      </c>
      <c r="AL219" s="11">
        <v>351948.54518135544</v>
      </c>
      <c r="AM219" s="11">
        <v>374918.33570580941</v>
      </c>
      <c r="AN219" s="11">
        <v>399387.24104110972</v>
      </c>
    </row>
    <row r="220" spans="1:40" x14ac:dyDescent="0.2">
      <c r="A220" s="6" t="s">
        <v>180</v>
      </c>
      <c r="B220" s="11">
        <v>60451.779913740364</v>
      </c>
      <c r="C220" s="11">
        <v>64397.142781296716</v>
      </c>
      <c r="D220" s="11">
        <v>68599.998284783811</v>
      </c>
      <c r="E220" s="11">
        <v>73077.151585040861</v>
      </c>
      <c r="F220" s="11">
        <v>77846.504625461064</v>
      </c>
      <c r="G220" s="11">
        <v>82927.127713095528</v>
      </c>
      <c r="H220" s="11">
        <v>88339.335771472091</v>
      </c>
      <c r="I220" s="11">
        <v>94104.769570025019</v>
      </c>
      <c r="J220" s="11">
        <v>100246.4822549337</v>
      </c>
      <c r="K220" s="11">
        <v>106789.03152736403</v>
      </c>
      <c r="L220" s="11">
        <v>113758.57783768873</v>
      </c>
      <c r="M220" s="11">
        <v>121182.98898831598</v>
      </c>
      <c r="N220" s="11">
        <v>129091.95156338354</v>
      </c>
      <c r="O220" s="11">
        <v>137517.08963086989</v>
      </c>
      <c r="P220" s="11">
        <v>146492.09119175421</v>
      </c>
      <c r="Q220" s="11">
        <v>156052.84288183408</v>
      </c>
      <c r="R220" s="11">
        <v>166237.57346480666</v>
      </c>
      <c r="S220" s="11">
        <v>177087.00669037231</v>
      </c>
      <c r="T220" s="11">
        <v>188644.52412856603</v>
      </c>
      <c r="U220" s="11">
        <v>200956.33863140942</v>
      </c>
      <c r="V220" s="11">
        <v>214071.67911547411</v>
      </c>
      <c r="W220" s="11">
        <v>228042.98740420924</v>
      </c>
      <c r="X220" s="11">
        <v>242926.12791711075</v>
      </c>
      <c r="Y220" s="11">
        <v>258780.61104417531</v>
      </c>
      <c r="Z220" s="11">
        <v>275669.83109880553</v>
      </c>
      <c r="AA220" s="11">
        <v>293661.31980062212</v>
      </c>
      <c r="AB220" s="11">
        <v>312827.01630173763</v>
      </c>
      <c r="AC220" s="11">
        <v>333243.55483619357</v>
      </c>
      <c r="AD220" s="11">
        <v>354992.5711427317</v>
      </c>
      <c r="AE220" s="11">
        <v>378161.02888613316</v>
      </c>
      <c r="AF220" s="11">
        <v>402841.56738232297</v>
      </c>
      <c r="AG220" s="11">
        <v>429132.87201762572</v>
      </c>
      <c r="AH220" s="11">
        <v>457140.06884329487</v>
      </c>
      <c r="AI220" s="11">
        <v>486975.14492310694</v>
      </c>
      <c r="AJ220" s="11">
        <v>518757.39611478453</v>
      </c>
      <c r="AK220" s="11">
        <v>552613.90407570743</v>
      </c>
      <c r="AL220" s="11">
        <v>588680.04440022225</v>
      </c>
      <c r="AM220" s="11">
        <v>627100.02792034647</v>
      </c>
      <c r="AN220" s="11">
        <v>668027.47733425768</v>
      </c>
    </row>
    <row r="221" spans="1:40" x14ac:dyDescent="0.2">
      <c r="A221" s="6" t="s">
        <v>181</v>
      </c>
      <c r="B221" s="11">
        <v>6767.6886961040746</v>
      </c>
      <c r="C221" s="11">
        <v>6790.830418392984</v>
      </c>
      <c r="D221" s="11">
        <v>6813.9721406818935</v>
      </c>
      <c r="E221" s="11">
        <v>6837.1138629708021</v>
      </c>
      <c r="F221" s="11">
        <v>6899.0176469743355</v>
      </c>
      <c r="G221" s="11">
        <v>6960.9214309778663</v>
      </c>
      <c r="H221" s="11">
        <v>7022.8252149814007</v>
      </c>
      <c r="I221" s="11">
        <v>7084.7289989849351</v>
      </c>
      <c r="J221" s="11">
        <v>7146.6327829884685</v>
      </c>
      <c r="K221" s="11">
        <v>7198.6271770953654</v>
      </c>
      <c r="L221" s="11">
        <v>7250.6215712022649</v>
      </c>
      <c r="M221" s="11">
        <v>7302.6159653091618</v>
      </c>
      <c r="N221" s="11">
        <v>7354.6103594160586</v>
      </c>
      <c r="O221" s="11">
        <v>7406.6047535229591</v>
      </c>
      <c r="P221" s="11">
        <v>7448.5752017169425</v>
      </c>
      <c r="Q221" s="11">
        <v>7490.5456499109241</v>
      </c>
      <c r="R221" s="11">
        <v>7532.5160981049085</v>
      </c>
      <c r="S221" s="11">
        <v>7574.4865462988919</v>
      </c>
      <c r="T221" s="11">
        <v>7616.4569944928771</v>
      </c>
      <c r="U221" s="11">
        <v>7648.6235287452291</v>
      </c>
      <c r="V221" s="11">
        <v>7680.7900629975857</v>
      </c>
      <c r="W221" s="11">
        <v>7712.9565972499386</v>
      </c>
      <c r="X221" s="11">
        <v>7745.1231315022942</v>
      </c>
      <c r="Y221" s="11">
        <v>7777.2896657546489</v>
      </c>
      <c r="Z221" s="11">
        <v>7800.0496982606664</v>
      </c>
      <c r="AA221" s="11">
        <v>7822.8097307666858</v>
      </c>
      <c r="AB221" s="11">
        <v>7845.5697632727042</v>
      </c>
      <c r="AC221" s="11">
        <v>7868.3297957787217</v>
      </c>
      <c r="AD221" s="11">
        <v>7891.0898282847411</v>
      </c>
      <c r="AE221" s="11">
        <v>7891.0898282847411</v>
      </c>
      <c r="AF221" s="11">
        <v>7891.0898282847411</v>
      </c>
      <c r="AG221" s="11">
        <v>7891.0898282847411</v>
      </c>
      <c r="AH221" s="11">
        <v>7891.0898282847411</v>
      </c>
      <c r="AI221" s="11">
        <v>7891.0898282847411</v>
      </c>
      <c r="AJ221" s="11">
        <v>7891.0898282847411</v>
      </c>
      <c r="AK221" s="11">
        <v>7891.0898282847411</v>
      </c>
      <c r="AL221" s="11">
        <v>7891.0898282847411</v>
      </c>
      <c r="AM221" s="11">
        <v>7891.0898282847411</v>
      </c>
      <c r="AN221" s="11">
        <v>7891.0898282847411</v>
      </c>
    </row>
    <row r="222" spans="1:40" x14ac:dyDescent="0.2">
      <c r="A222" s="6" t="s">
        <v>182</v>
      </c>
      <c r="B222" s="11">
        <v>34305.10609397541</v>
      </c>
      <c r="C222" s="11">
        <v>34422.410431389064</v>
      </c>
      <c r="D222" s="11">
        <v>34539.714768802703</v>
      </c>
      <c r="E222" s="11">
        <v>34657.019106216343</v>
      </c>
      <c r="F222" s="11">
        <v>34970.806570920846</v>
      </c>
      <c r="G222" s="11">
        <v>35284.594035625341</v>
      </c>
      <c r="H222" s="11">
        <v>35598.38150032983</v>
      </c>
      <c r="I222" s="11">
        <v>35912.168965034325</v>
      </c>
      <c r="J222" s="11">
        <v>36225.956429738806</v>
      </c>
      <c r="K222" s="11">
        <v>36489.513647900436</v>
      </c>
      <c r="L222" s="11">
        <v>36753.070866062073</v>
      </c>
      <c r="M222" s="11">
        <v>37016.628084223703</v>
      </c>
      <c r="N222" s="11">
        <v>37280.185302385325</v>
      </c>
      <c r="O222" s="11">
        <v>37543.742520546963</v>
      </c>
      <c r="P222" s="11">
        <v>37756.488812931122</v>
      </c>
      <c r="Q222" s="11">
        <v>37969.235105315282</v>
      </c>
      <c r="R222" s="11">
        <v>38181.981397699434</v>
      </c>
      <c r="S222" s="11">
        <v>38394.727690083593</v>
      </c>
      <c r="T222" s="11">
        <v>38607.473982467745</v>
      </c>
      <c r="U222" s="11">
        <v>38770.524681126175</v>
      </c>
      <c r="V222" s="11">
        <v>38933.575379784605</v>
      </c>
      <c r="W222" s="11">
        <v>39096.62607844302</v>
      </c>
      <c r="X222" s="11">
        <v>39259.676777101464</v>
      </c>
      <c r="Y222" s="11">
        <v>39422.727475759886</v>
      </c>
      <c r="Z222" s="11">
        <v>39538.097045029637</v>
      </c>
      <c r="AA222" s="11">
        <v>39653.466614299388</v>
      </c>
      <c r="AB222" s="11">
        <v>39768.836183569147</v>
      </c>
      <c r="AC222" s="11">
        <v>39884.205752838898</v>
      </c>
      <c r="AD222" s="11">
        <v>39999.575322108649</v>
      </c>
      <c r="AE222" s="11">
        <v>39999.575322108649</v>
      </c>
      <c r="AF222" s="11">
        <v>39999.575322108649</v>
      </c>
      <c r="AG222" s="11">
        <v>39999.575322108649</v>
      </c>
      <c r="AH222" s="11">
        <v>39999.575322108649</v>
      </c>
      <c r="AI222" s="11">
        <v>39999.575322108649</v>
      </c>
      <c r="AJ222" s="11">
        <v>39999.575322108649</v>
      </c>
      <c r="AK222" s="11">
        <v>39999.575322108649</v>
      </c>
      <c r="AL222" s="11">
        <v>39999.575322108649</v>
      </c>
      <c r="AM222" s="11">
        <v>39999.575322108649</v>
      </c>
      <c r="AN222" s="11">
        <v>39999.575322108649</v>
      </c>
    </row>
    <row r="223" spans="1:40" x14ac:dyDescent="0.2">
      <c r="A223" s="6" t="s">
        <v>183</v>
      </c>
      <c r="B223" s="11">
        <v>22103.79945488086</v>
      </c>
      <c r="C223" s="11">
        <v>22179.382125935022</v>
      </c>
      <c r="D223" s="11">
        <v>22254.964796989174</v>
      </c>
      <c r="E223" s="11">
        <v>22330.547468043336</v>
      </c>
      <c r="F223" s="11">
        <v>22532.730057780365</v>
      </c>
      <c r="G223" s="11">
        <v>22734.912647517402</v>
      </c>
      <c r="H223" s="11">
        <v>22937.095237254431</v>
      </c>
      <c r="I223" s="11">
        <v>23139.277826991467</v>
      </c>
      <c r="J223" s="11">
        <v>23341.4604167285</v>
      </c>
      <c r="K223" s="11">
        <v>23511.278165700689</v>
      </c>
      <c r="L223" s="11">
        <v>23681.095914672878</v>
      </c>
      <c r="M223" s="11">
        <v>23850.91366364506</v>
      </c>
      <c r="N223" s="11">
        <v>24020.731412617246</v>
      </c>
      <c r="O223" s="11">
        <v>24190.549161589439</v>
      </c>
      <c r="P223" s="11">
        <v>24327.627920907267</v>
      </c>
      <c r="Q223" s="11">
        <v>24464.70668022511</v>
      </c>
      <c r="R223" s="11">
        <v>24601.785439542939</v>
      </c>
      <c r="S223" s="11">
        <v>24738.864198860774</v>
      </c>
      <c r="T223" s="11">
        <v>24875.94295817861</v>
      </c>
      <c r="U223" s="11">
        <v>24981.001369432346</v>
      </c>
      <c r="V223" s="11">
        <v>25086.059780686093</v>
      </c>
      <c r="W223" s="11">
        <v>25191.118191939837</v>
      </c>
      <c r="X223" s="11">
        <v>25296.176603193577</v>
      </c>
      <c r="Y223" s="11">
        <v>25401.235014447317</v>
      </c>
      <c r="Z223" s="11">
        <v>25475.571056882192</v>
      </c>
      <c r="AA223" s="11">
        <v>25549.907099317064</v>
      </c>
      <c r="AB223" s="11">
        <v>25624.24314175194</v>
      </c>
      <c r="AC223" s="11">
        <v>25698.579184186812</v>
      </c>
      <c r="AD223" s="11">
        <v>25772.915226621688</v>
      </c>
      <c r="AE223" s="11">
        <v>25772.915226621688</v>
      </c>
      <c r="AF223" s="11">
        <v>25772.915226621688</v>
      </c>
      <c r="AG223" s="11">
        <v>25772.915226621688</v>
      </c>
      <c r="AH223" s="11">
        <v>25772.915226621688</v>
      </c>
      <c r="AI223" s="11">
        <v>25772.915226621688</v>
      </c>
      <c r="AJ223" s="11">
        <v>25772.915226621688</v>
      </c>
      <c r="AK223" s="11">
        <v>25772.915226621688</v>
      </c>
      <c r="AL223" s="11">
        <v>25772.915226621688</v>
      </c>
      <c r="AM223" s="11">
        <v>25772.915226621688</v>
      </c>
      <c r="AN223" s="11">
        <v>25772.915226621688</v>
      </c>
    </row>
    <row r="224" spans="1:40" x14ac:dyDescent="0.2">
      <c r="A224" s="6" t="s">
        <v>184</v>
      </c>
      <c r="B224" s="11">
        <v>5252.4870460828843</v>
      </c>
      <c r="C224" s="11">
        <v>5270.4476234682652</v>
      </c>
      <c r="D224" s="11">
        <v>5288.4082008536443</v>
      </c>
      <c r="E224" s="11">
        <v>5306.3687782390243</v>
      </c>
      <c r="F224" s="11">
        <v>5354.4130719680261</v>
      </c>
      <c r="G224" s="11">
        <v>5402.4573656970279</v>
      </c>
      <c r="H224" s="11">
        <v>5450.5016594260323</v>
      </c>
      <c r="I224" s="11">
        <v>5498.5459531550341</v>
      </c>
      <c r="J224" s="11">
        <v>5546.5902468840359</v>
      </c>
      <c r="K224" s="11">
        <v>5586.9437403407637</v>
      </c>
      <c r="L224" s="11">
        <v>5627.2972337974916</v>
      </c>
      <c r="M224" s="11">
        <v>5667.6507272542203</v>
      </c>
      <c r="N224" s="11">
        <v>5708.0042207109482</v>
      </c>
      <c r="O224" s="11">
        <v>5748.3577141676769</v>
      </c>
      <c r="P224" s="11">
        <v>5780.9314990085923</v>
      </c>
      <c r="Q224" s="11">
        <v>5813.5052838495085</v>
      </c>
      <c r="R224" s="11">
        <v>5846.0790686904256</v>
      </c>
      <c r="S224" s="11">
        <v>5878.65285353134</v>
      </c>
      <c r="T224" s="11">
        <v>5911.2266383722563</v>
      </c>
      <c r="U224" s="11">
        <v>5936.1914841363841</v>
      </c>
      <c r="V224" s="11">
        <v>5961.156329900512</v>
      </c>
      <c r="W224" s="11">
        <v>5986.1211756646408</v>
      </c>
      <c r="X224" s="11">
        <v>6011.0860214287695</v>
      </c>
      <c r="Y224" s="11">
        <v>6036.0508671928983</v>
      </c>
      <c r="Z224" s="11">
        <v>6053.7152104087891</v>
      </c>
      <c r="AA224" s="11">
        <v>6071.3795536246807</v>
      </c>
      <c r="AB224" s="11">
        <v>6089.0438968405706</v>
      </c>
      <c r="AC224" s="11">
        <v>6106.7082400564632</v>
      </c>
      <c r="AD224" s="11">
        <v>6124.372583272353</v>
      </c>
      <c r="AE224" s="11">
        <v>6124.372583272353</v>
      </c>
      <c r="AF224" s="11">
        <v>6124.372583272353</v>
      </c>
      <c r="AG224" s="11">
        <v>6124.372583272353</v>
      </c>
      <c r="AH224" s="11">
        <v>6124.372583272353</v>
      </c>
      <c r="AI224" s="11">
        <v>6124.372583272353</v>
      </c>
      <c r="AJ224" s="11">
        <v>6124.372583272353</v>
      </c>
      <c r="AK224" s="11">
        <v>6124.372583272353</v>
      </c>
      <c r="AL224" s="11">
        <v>6124.372583272353</v>
      </c>
      <c r="AM224" s="11">
        <v>6124.372583272353</v>
      </c>
      <c r="AN224" s="11">
        <v>6124.372583272353</v>
      </c>
    </row>
    <row r="225" spans="1:40" x14ac:dyDescent="0.2">
      <c r="A225" s="6" t="s">
        <v>185</v>
      </c>
      <c r="B225" s="11">
        <v>22894.173696100952</v>
      </c>
      <c r="C225" s="11">
        <v>22972.459006418816</v>
      </c>
      <c r="D225" s="11">
        <v>23050.744316736676</v>
      </c>
      <c r="E225" s="11">
        <v>23129.02962705454</v>
      </c>
      <c r="F225" s="11">
        <v>23338.441739086036</v>
      </c>
      <c r="G225" s="11">
        <v>23547.853851117528</v>
      </c>
      <c r="H225" s="11">
        <v>23757.265963149021</v>
      </c>
      <c r="I225" s="11">
        <v>23966.678075180513</v>
      </c>
      <c r="J225" s="11">
        <v>24176.090187212008</v>
      </c>
      <c r="K225" s="11">
        <v>24351.980176151967</v>
      </c>
      <c r="L225" s="11">
        <v>24527.870165091928</v>
      </c>
      <c r="M225" s="11">
        <v>24703.760154031886</v>
      </c>
      <c r="N225" s="11">
        <v>24879.650142971848</v>
      </c>
      <c r="O225" s="11">
        <v>25055.54013191181</v>
      </c>
      <c r="P225" s="11">
        <v>25197.520470281899</v>
      </c>
      <c r="Q225" s="11">
        <v>25339.500808651988</v>
      </c>
      <c r="R225" s="11">
        <v>25481.481147022077</v>
      </c>
      <c r="S225" s="11">
        <v>25623.461485392159</v>
      </c>
      <c r="T225" s="11">
        <v>25765.441823762245</v>
      </c>
      <c r="U225" s="11">
        <v>25874.256849902395</v>
      </c>
      <c r="V225" s="11">
        <v>25983.071876042552</v>
      </c>
      <c r="W225" s="11">
        <v>26091.886902182701</v>
      </c>
      <c r="X225" s="11">
        <v>26200.701928322862</v>
      </c>
      <c r="Y225" s="11">
        <v>26309.516954463015</v>
      </c>
      <c r="Z225" s="11">
        <v>26386.511059972279</v>
      </c>
      <c r="AA225" s="11">
        <v>26463.505165481543</v>
      </c>
      <c r="AB225" s="11">
        <v>26540.499270990804</v>
      </c>
      <c r="AC225" s="11">
        <v>26617.493376500068</v>
      </c>
      <c r="AD225" s="11">
        <v>26694.487482009332</v>
      </c>
      <c r="AE225" s="11">
        <v>26694.487482009332</v>
      </c>
      <c r="AF225" s="11">
        <v>26694.487482009332</v>
      </c>
      <c r="AG225" s="11">
        <v>26694.487482009332</v>
      </c>
      <c r="AH225" s="11">
        <v>26694.487482009332</v>
      </c>
      <c r="AI225" s="11">
        <v>26694.487482009332</v>
      </c>
      <c r="AJ225" s="11">
        <v>26694.487482009332</v>
      </c>
      <c r="AK225" s="11">
        <v>26694.487482009332</v>
      </c>
      <c r="AL225" s="11">
        <v>26694.487482009332</v>
      </c>
      <c r="AM225" s="11">
        <v>26694.487482009332</v>
      </c>
      <c r="AN225" s="11">
        <v>26694.487482009332</v>
      </c>
    </row>
    <row r="226" spans="1:40" x14ac:dyDescent="0.2">
      <c r="A226" s="6" t="s">
        <v>186</v>
      </c>
      <c r="B226" s="11">
        <v>33827.128214243843</v>
      </c>
      <c r="C226" s="11">
        <v>33942.798133786091</v>
      </c>
      <c r="D226" s="11">
        <v>34058.468053328332</v>
      </c>
      <c r="E226" s="11">
        <v>34174.13797287058</v>
      </c>
      <c r="F226" s="11">
        <v>34483.553392589856</v>
      </c>
      <c r="G226" s="11">
        <v>34792.968812309118</v>
      </c>
      <c r="H226" s="11">
        <v>35102.384232028387</v>
      </c>
      <c r="I226" s="11">
        <v>35411.799651747657</v>
      </c>
      <c r="J226" s="11">
        <v>35721.215071466919</v>
      </c>
      <c r="K226" s="11">
        <v>35981.100109750143</v>
      </c>
      <c r="L226" s="11">
        <v>36240.985148033375</v>
      </c>
      <c r="M226" s="11">
        <v>36500.870186316599</v>
      </c>
      <c r="N226" s="11">
        <v>36760.755224599816</v>
      </c>
      <c r="O226" s="11">
        <v>37020.640262883047</v>
      </c>
      <c r="P226" s="11">
        <v>37230.422331181268</v>
      </c>
      <c r="Q226" s="11">
        <v>37440.20439947948</v>
      </c>
      <c r="R226" s="11">
        <v>37649.986467777686</v>
      </c>
      <c r="S226" s="11">
        <v>37859.768536075913</v>
      </c>
      <c r="T226" s="11">
        <v>38069.550604374119</v>
      </c>
      <c r="U226" s="11">
        <v>38230.329494660356</v>
      </c>
      <c r="V226" s="11">
        <v>38391.108384946587</v>
      </c>
      <c r="W226" s="11">
        <v>38551.88727523281</v>
      </c>
      <c r="X226" s="11">
        <v>38712.66616551904</v>
      </c>
      <c r="Y226" s="11">
        <v>38873.445055805256</v>
      </c>
      <c r="Z226" s="11">
        <v>38987.207164600935</v>
      </c>
      <c r="AA226" s="11">
        <v>39100.969273396615</v>
      </c>
      <c r="AB226" s="11">
        <v>39214.731382192287</v>
      </c>
      <c r="AC226" s="11">
        <v>39328.493490987967</v>
      </c>
      <c r="AD226" s="11">
        <v>39442.255599783646</v>
      </c>
      <c r="AE226" s="11">
        <v>39442.255599783646</v>
      </c>
      <c r="AF226" s="11">
        <v>39442.255599783646</v>
      </c>
      <c r="AG226" s="11">
        <v>39442.255599783646</v>
      </c>
      <c r="AH226" s="11">
        <v>39442.255599783646</v>
      </c>
      <c r="AI226" s="11">
        <v>39442.255599783646</v>
      </c>
      <c r="AJ226" s="11">
        <v>39442.255599783646</v>
      </c>
      <c r="AK226" s="11">
        <v>39442.255599783646</v>
      </c>
      <c r="AL226" s="11">
        <v>39442.255599783646</v>
      </c>
      <c r="AM226" s="11">
        <v>39442.255599783646</v>
      </c>
      <c r="AN226" s="11">
        <v>39442.255599783646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5160D-64AF-C447-88C8-3C4CF643CACB}">
  <sheetPr>
    <tabColor theme="4" tint="0.79998168889431442"/>
  </sheetPr>
  <dimension ref="A1:AN176"/>
  <sheetViews>
    <sheetView workbookViewId="0">
      <selection activeCell="B137" sqref="B137"/>
    </sheetView>
  </sheetViews>
  <sheetFormatPr baseColWidth="10" defaultRowHeight="16" x14ac:dyDescent="0.2"/>
  <sheetData>
    <row r="1" spans="1:40" x14ac:dyDescent="0.2">
      <c r="A1" s="5" t="s">
        <v>32</v>
      </c>
    </row>
    <row r="2" spans="1:40" x14ac:dyDescent="0.2">
      <c r="A2" s="5" t="s">
        <v>4</v>
      </c>
    </row>
    <row r="3" spans="1:40" x14ac:dyDescent="0.2">
      <c r="A3" s="5" t="s">
        <v>33</v>
      </c>
    </row>
    <row r="4" spans="1:40" x14ac:dyDescent="0.2">
      <c r="A4" s="5" t="s">
        <v>6</v>
      </c>
    </row>
    <row r="5" spans="1:40" x14ac:dyDescent="0.2">
      <c r="A5" t="s">
        <v>156</v>
      </c>
      <c r="B5">
        <v>1000000</v>
      </c>
    </row>
    <row r="6" spans="1:40" x14ac:dyDescent="0.2">
      <c r="A6" s="6" t="s">
        <v>7</v>
      </c>
      <c r="B6" s="6">
        <v>2022</v>
      </c>
      <c r="C6" s="6">
        <v>2023</v>
      </c>
      <c r="D6" s="6">
        <v>2024</v>
      </c>
      <c r="E6" s="6">
        <v>2025</v>
      </c>
      <c r="F6" s="6">
        <v>2026</v>
      </c>
      <c r="G6" s="6">
        <v>2027</v>
      </c>
      <c r="H6" s="6">
        <v>2028</v>
      </c>
      <c r="I6" s="6">
        <v>2029</v>
      </c>
      <c r="J6" s="6">
        <v>2030</v>
      </c>
      <c r="K6" s="6">
        <v>2031</v>
      </c>
      <c r="L6" s="6">
        <v>2032</v>
      </c>
      <c r="M6" s="6">
        <v>2033</v>
      </c>
      <c r="N6" s="6">
        <v>2034</v>
      </c>
      <c r="O6" s="6">
        <v>2035</v>
      </c>
      <c r="P6" s="6">
        <v>2036</v>
      </c>
      <c r="Q6" s="6">
        <v>2037</v>
      </c>
      <c r="R6" s="6">
        <v>2038</v>
      </c>
      <c r="S6" s="6">
        <v>2039</v>
      </c>
      <c r="T6" s="6">
        <v>2040</v>
      </c>
      <c r="U6" s="6">
        <v>2041</v>
      </c>
      <c r="V6" s="6">
        <v>2042</v>
      </c>
      <c r="W6" s="6">
        <v>2043</v>
      </c>
      <c r="X6" s="6">
        <v>2044</v>
      </c>
      <c r="Y6" s="6">
        <v>2045</v>
      </c>
      <c r="Z6" s="6">
        <v>2046</v>
      </c>
      <c r="AA6" s="6">
        <v>2047</v>
      </c>
      <c r="AB6" s="6">
        <v>2048</v>
      </c>
      <c r="AC6" s="6">
        <v>2049</v>
      </c>
      <c r="AD6" s="6">
        <v>2050</v>
      </c>
      <c r="AE6" s="6">
        <v>2051</v>
      </c>
      <c r="AF6" s="6">
        <v>2052</v>
      </c>
      <c r="AG6" s="6">
        <v>2053</v>
      </c>
      <c r="AH6" s="6">
        <v>2054</v>
      </c>
      <c r="AI6" s="6">
        <v>2055</v>
      </c>
      <c r="AJ6" s="6">
        <v>2056</v>
      </c>
      <c r="AK6" s="6">
        <v>2057</v>
      </c>
      <c r="AL6" s="6">
        <v>2058</v>
      </c>
      <c r="AM6" s="6">
        <v>2059</v>
      </c>
      <c r="AN6" s="6">
        <v>2060</v>
      </c>
    </row>
    <row r="7" spans="1:40" x14ac:dyDescent="0.2">
      <c r="A7" s="6" t="s">
        <v>34</v>
      </c>
      <c r="B7" s="11">
        <v>45.305693438117402</v>
      </c>
      <c r="C7" s="11">
        <v>47.574826293547623</v>
      </c>
      <c r="D7" s="11">
        <v>48.037120061488096</v>
      </c>
      <c r="E7" s="11">
        <v>48.501452705432122</v>
      </c>
      <c r="F7" s="11">
        <v>49.24450397893483</v>
      </c>
      <c r="G7" s="11">
        <v>49.993009217279024</v>
      </c>
      <c r="H7" s="11">
        <v>50.74696842046469</v>
      </c>
      <c r="I7" s="11">
        <v>51.506381588491806</v>
      </c>
      <c r="J7" s="11">
        <v>52.271248721360351</v>
      </c>
      <c r="K7" s="11">
        <v>52.968654936669154</v>
      </c>
      <c r="L7" s="11">
        <v>53.670642060915561</v>
      </c>
      <c r="M7" s="11">
        <v>54.377210094099553</v>
      </c>
      <c r="N7" s="11">
        <v>55.088359036221135</v>
      </c>
      <c r="O7" s="11">
        <v>55.80408888728028</v>
      </c>
      <c r="P7" s="11">
        <v>56.448433971469811</v>
      </c>
      <c r="Q7" s="11">
        <v>57.096476815861202</v>
      </c>
      <c r="R7" s="11">
        <v>57.748217420454402</v>
      </c>
      <c r="S7" s="11">
        <v>58.403655785249448</v>
      </c>
      <c r="T7" s="11">
        <v>59.062791910246283</v>
      </c>
      <c r="U7" s="11">
        <v>59.649168206757068</v>
      </c>
      <c r="V7" s="11">
        <v>60.238378500408906</v>
      </c>
      <c r="W7" s="11">
        <v>60.830422791201748</v>
      </c>
      <c r="X7" s="11">
        <v>61.425301079135629</v>
      </c>
      <c r="Y7" s="11">
        <v>62.023013364210463</v>
      </c>
      <c r="Z7" s="11">
        <v>62.548129474582161</v>
      </c>
      <c r="AA7" s="11">
        <v>63.075250832598684</v>
      </c>
      <c r="AB7" s="11">
        <v>63.604377438260066</v>
      </c>
      <c r="AC7" s="11">
        <v>64.135509291566237</v>
      </c>
      <c r="AD7" s="11">
        <v>64.668646392517218</v>
      </c>
      <c r="AE7" s="11">
        <v>65.01626429000909</v>
      </c>
      <c r="AF7" s="11">
        <v>65.363882187501005</v>
      </c>
      <c r="AG7" s="11">
        <v>65.71150008499292</v>
      </c>
      <c r="AH7" s="11">
        <v>66.059117982484864</v>
      </c>
      <c r="AI7" s="11">
        <v>66.40673587997675</v>
      </c>
      <c r="AJ7" s="11">
        <v>66.754353777468623</v>
      </c>
      <c r="AK7" s="11">
        <v>67.10197167496051</v>
      </c>
      <c r="AL7" s="11">
        <v>67.449589572452481</v>
      </c>
      <c r="AM7" s="11">
        <v>67.797207469944382</v>
      </c>
      <c r="AN7" s="11">
        <v>68.144825367436312</v>
      </c>
    </row>
    <row r="8" spans="1:40" x14ac:dyDescent="0.2">
      <c r="A8" s="6" t="s">
        <v>35</v>
      </c>
      <c r="B8" s="11">
        <v>17.669927237955303</v>
      </c>
      <c r="C8" s="11">
        <v>18.55492445146163</v>
      </c>
      <c r="D8" s="11">
        <v>18.735226233029678</v>
      </c>
      <c r="E8" s="11">
        <v>18.916323208046851</v>
      </c>
      <c r="F8" s="11">
        <v>19.206124796776454</v>
      </c>
      <c r="G8" s="11">
        <v>19.498053516879494</v>
      </c>
      <c r="H8" s="11">
        <v>19.792109368355959</v>
      </c>
      <c r="I8" s="11">
        <v>20.088292351205851</v>
      </c>
      <c r="J8" s="11">
        <v>20.386602465429153</v>
      </c>
      <c r="K8" s="11">
        <v>20.658601769371746</v>
      </c>
      <c r="L8" s="11">
        <v>20.932387699265036</v>
      </c>
      <c r="M8" s="11">
        <v>21.207960255109025</v>
      </c>
      <c r="N8" s="11">
        <v>21.485319436903715</v>
      </c>
      <c r="O8" s="11">
        <v>21.764465244649095</v>
      </c>
      <c r="P8" s="11">
        <v>22.015769879668415</v>
      </c>
      <c r="Q8" s="11">
        <v>22.268516698853819</v>
      </c>
      <c r="R8" s="11">
        <v>22.522705702205304</v>
      </c>
      <c r="S8" s="11">
        <v>22.778336889722873</v>
      </c>
      <c r="T8" s="11">
        <v>23.035410261406504</v>
      </c>
      <c r="U8" s="11">
        <v>23.264106164881849</v>
      </c>
      <c r="V8" s="11">
        <v>23.493907371454327</v>
      </c>
      <c r="W8" s="11">
        <v>23.724813881123922</v>
      </c>
      <c r="X8" s="11">
        <v>23.956825693890647</v>
      </c>
      <c r="Y8" s="11">
        <v>24.18994280975447</v>
      </c>
      <c r="Z8" s="11">
        <v>24.394746284938435</v>
      </c>
      <c r="AA8" s="11">
        <v>24.600331837987007</v>
      </c>
      <c r="AB8" s="11">
        <v>24.806699468900177</v>
      </c>
      <c r="AC8" s="11">
        <v>25.013849177677937</v>
      </c>
      <c r="AD8" s="11">
        <v>25.221780964320288</v>
      </c>
      <c r="AE8" s="11">
        <v>25.35735736739824</v>
      </c>
      <c r="AF8" s="11">
        <v>25.492933770476206</v>
      </c>
      <c r="AG8" s="11">
        <v>25.628510173554176</v>
      </c>
      <c r="AH8" s="11">
        <v>25.76408657663216</v>
      </c>
      <c r="AI8" s="11">
        <v>25.899662979710126</v>
      </c>
      <c r="AJ8" s="11">
        <v>26.035239382788074</v>
      </c>
      <c r="AK8" s="11">
        <v>26.170815785866036</v>
      </c>
      <c r="AL8" s="11">
        <v>26.306392188944024</v>
      </c>
      <c r="AM8" s="11">
        <v>26.44196859202199</v>
      </c>
      <c r="AN8" s="11">
        <v>26.577544995099963</v>
      </c>
    </row>
    <row r="9" spans="1:40" x14ac:dyDescent="0.2">
      <c r="A9" s="6" t="s">
        <v>36</v>
      </c>
      <c r="B9" s="11">
        <v>4.8062202087238433</v>
      </c>
      <c r="C9" s="11">
        <v>5.0469394507975638</v>
      </c>
      <c r="D9" s="11">
        <v>5.0959815353840732</v>
      </c>
      <c r="E9" s="11">
        <v>5.1452399125887434</v>
      </c>
      <c r="F9" s="11">
        <v>5.2240659447231961</v>
      </c>
      <c r="G9" s="11">
        <v>5.3034705565912228</v>
      </c>
      <c r="H9" s="11">
        <v>5.3834537481928217</v>
      </c>
      <c r="I9" s="11">
        <v>5.464015519527992</v>
      </c>
      <c r="J9" s="11">
        <v>5.5451558705967301</v>
      </c>
      <c r="K9" s="11">
        <v>5.6191396812691146</v>
      </c>
      <c r="L9" s="11">
        <v>5.6936094542000903</v>
      </c>
      <c r="M9" s="11">
        <v>5.7685651893896575</v>
      </c>
      <c r="N9" s="11">
        <v>5.8440068868378114</v>
      </c>
      <c r="O9" s="11">
        <v>5.9199345465445541</v>
      </c>
      <c r="P9" s="11">
        <v>5.9882894072698081</v>
      </c>
      <c r="Q9" s="11">
        <v>6.0570365420882393</v>
      </c>
      <c r="R9" s="11">
        <v>6.1261759509998441</v>
      </c>
      <c r="S9" s="11">
        <v>6.1957076340046218</v>
      </c>
      <c r="T9" s="11">
        <v>6.2656315911025695</v>
      </c>
      <c r="U9" s="11">
        <v>6.3278368768478641</v>
      </c>
      <c r="V9" s="11">
        <v>6.3903428050355782</v>
      </c>
      <c r="W9" s="11">
        <v>6.4531493756657072</v>
      </c>
      <c r="X9" s="11">
        <v>6.5162565887382566</v>
      </c>
      <c r="Y9" s="11">
        <v>6.5796644442532166</v>
      </c>
      <c r="Z9" s="11">
        <v>6.6353709895032553</v>
      </c>
      <c r="AA9" s="11">
        <v>6.6912902599324671</v>
      </c>
      <c r="AB9" s="11">
        <v>6.7474222555408483</v>
      </c>
      <c r="AC9" s="11">
        <v>6.8037669763283999</v>
      </c>
      <c r="AD9" s="11">
        <v>6.8603244222951192</v>
      </c>
      <c r="AE9" s="11">
        <v>6.8972012039323216</v>
      </c>
      <c r="AF9" s="11">
        <v>6.9340779855695285</v>
      </c>
      <c r="AG9" s="11">
        <v>6.9709547672067371</v>
      </c>
      <c r="AH9" s="11">
        <v>7.0078315488439493</v>
      </c>
      <c r="AI9" s="11">
        <v>7.0447083304811544</v>
      </c>
      <c r="AJ9" s="11">
        <v>7.0815851121183568</v>
      </c>
      <c r="AK9" s="11">
        <v>7.1184618937555628</v>
      </c>
      <c r="AL9" s="11">
        <v>7.155338675392775</v>
      </c>
      <c r="AM9" s="11">
        <v>7.1922154570299837</v>
      </c>
      <c r="AN9" s="11">
        <v>7.2290922386671896</v>
      </c>
    </row>
    <row r="10" spans="1:40" x14ac:dyDescent="0.2">
      <c r="A10" s="6" t="s">
        <v>37</v>
      </c>
      <c r="B10" s="11">
        <v>2.8978680670246697</v>
      </c>
      <c r="C10" s="11">
        <v>3.0430076100397074</v>
      </c>
      <c r="D10" s="11">
        <v>3.0725771022168673</v>
      </c>
      <c r="E10" s="11">
        <v>3.1022770061196829</v>
      </c>
      <c r="F10" s="11">
        <v>3.1498044666713385</v>
      </c>
      <c r="G10" s="11">
        <v>3.1976807767682369</v>
      </c>
      <c r="H10" s="11">
        <v>3.2459059364103777</v>
      </c>
      <c r="I10" s="11">
        <v>3.29447994559776</v>
      </c>
      <c r="J10" s="11">
        <v>3.3434028043303812</v>
      </c>
      <c r="K10" s="11">
        <v>3.3880106901769662</v>
      </c>
      <c r="L10" s="11">
        <v>3.4329115826794663</v>
      </c>
      <c r="M10" s="11">
        <v>3.4781054818378814</v>
      </c>
      <c r="N10" s="11">
        <v>3.5235923876522093</v>
      </c>
      <c r="O10" s="11">
        <v>3.5693723001224509</v>
      </c>
      <c r="P10" s="11">
        <v>3.6105862602656198</v>
      </c>
      <c r="Q10" s="11">
        <v>3.6520367386120269</v>
      </c>
      <c r="R10" s="11">
        <v>3.6937237351616705</v>
      </c>
      <c r="S10" s="11">
        <v>3.735647249914551</v>
      </c>
      <c r="T10" s="11">
        <v>3.7778072828706666</v>
      </c>
      <c r="U10" s="11">
        <v>3.815313411040623</v>
      </c>
      <c r="V10" s="11">
        <v>3.8530008089185097</v>
      </c>
      <c r="W10" s="11">
        <v>3.8908694765043239</v>
      </c>
      <c r="X10" s="11">
        <v>3.9289194137980656</v>
      </c>
      <c r="Y10" s="11">
        <v>3.9671506207997327</v>
      </c>
      <c r="Z10" s="11">
        <v>4.0007383907299037</v>
      </c>
      <c r="AA10" s="11">
        <v>4.034454421429869</v>
      </c>
      <c r="AB10" s="11">
        <v>4.0682987128996286</v>
      </c>
      <c r="AC10" s="11">
        <v>4.1022712651391817</v>
      </c>
      <c r="AD10" s="11">
        <v>4.1363720781485274</v>
      </c>
      <c r="AE10" s="11">
        <v>4.1586066082533115</v>
      </c>
      <c r="AF10" s="11">
        <v>4.1808411383580975</v>
      </c>
      <c r="AG10" s="11">
        <v>4.2030756684628852</v>
      </c>
      <c r="AH10" s="11">
        <v>4.2253101985676755</v>
      </c>
      <c r="AI10" s="11">
        <v>4.2475447286724606</v>
      </c>
      <c r="AJ10" s="11">
        <v>4.2697792587772447</v>
      </c>
      <c r="AK10" s="11">
        <v>4.2920137888820298</v>
      </c>
      <c r="AL10" s="11">
        <v>4.3142483189868193</v>
      </c>
      <c r="AM10" s="11">
        <v>4.3364828490916061</v>
      </c>
      <c r="AN10" s="11">
        <v>4.3587173791963938</v>
      </c>
    </row>
    <row r="12" spans="1:40" x14ac:dyDescent="0.2">
      <c r="A12" s="5" t="s">
        <v>32</v>
      </c>
    </row>
    <row r="13" spans="1:40" x14ac:dyDescent="0.2">
      <c r="A13" s="5" t="s">
        <v>4</v>
      </c>
    </row>
    <row r="14" spans="1:40" x14ac:dyDescent="0.2">
      <c r="A14" s="5" t="s">
        <v>38</v>
      </c>
    </row>
    <row r="15" spans="1:40" x14ac:dyDescent="0.2">
      <c r="A15" s="5" t="s">
        <v>6</v>
      </c>
    </row>
    <row r="16" spans="1:40" x14ac:dyDescent="0.2">
      <c r="A16" t="s">
        <v>156</v>
      </c>
      <c r="B16">
        <v>1000000</v>
      </c>
    </row>
    <row r="17" spans="1:40" x14ac:dyDescent="0.2">
      <c r="A17" s="6" t="s">
        <v>7</v>
      </c>
      <c r="B17" s="6">
        <v>2022</v>
      </c>
      <c r="C17" s="6">
        <v>2023</v>
      </c>
      <c r="D17" s="6">
        <v>2024</v>
      </c>
      <c r="E17" s="6">
        <v>2025</v>
      </c>
      <c r="F17" s="6">
        <v>2026</v>
      </c>
      <c r="G17" s="6">
        <v>2027</v>
      </c>
      <c r="H17" s="6">
        <v>2028</v>
      </c>
      <c r="I17" s="6">
        <v>2029</v>
      </c>
      <c r="J17" s="6">
        <v>2030</v>
      </c>
      <c r="K17" s="6">
        <v>2031</v>
      </c>
      <c r="L17" s="6">
        <v>2032</v>
      </c>
      <c r="M17" s="6">
        <v>2033</v>
      </c>
      <c r="N17" s="6">
        <v>2034</v>
      </c>
      <c r="O17" s="6">
        <v>2035</v>
      </c>
      <c r="P17" s="6">
        <v>2036</v>
      </c>
      <c r="Q17" s="6">
        <v>2037</v>
      </c>
      <c r="R17" s="6">
        <v>2038</v>
      </c>
      <c r="S17" s="6">
        <v>2039</v>
      </c>
      <c r="T17" s="6">
        <v>2040</v>
      </c>
      <c r="U17" s="6">
        <v>2041</v>
      </c>
      <c r="V17" s="6">
        <v>2042</v>
      </c>
      <c r="W17" s="6">
        <v>2043</v>
      </c>
      <c r="X17" s="6">
        <v>2044</v>
      </c>
      <c r="Y17" s="6">
        <v>2045</v>
      </c>
      <c r="Z17" s="6">
        <v>2046</v>
      </c>
      <c r="AA17" s="6">
        <v>2047</v>
      </c>
      <c r="AB17" s="6">
        <v>2048</v>
      </c>
      <c r="AC17" s="6">
        <v>2049</v>
      </c>
      <c r="AD17" s="6">
        <v>2050</v>
      </c>
      <c r="AE17" s="6">
        <v>2051</v>
      </c>
      <c r="AF17" s="6">
        <v>2052</v>
      </c>
      <c r="AG17" s="6">
        <v>2053</v>
      </c>
      <c r="AH17" s="6">
        <v>2054</v>
      </c>
      <c r="AI17" s="6">
        <v>2055</v>
      </c>
      <c r="AJ17" s="6">
        <v>2056</v>
      </c>
      <c r="AK17" s="6">
        <v>2057</v>
      </c>
      <c r="AL17" s="6">
        <v>2058</v>
      </c>
      <c r="AM17" s="6">
        <v>2059</v>
      </c>
      <c r="AN17" s="6">
        <v>2060</v>
      </c>
    </row>
    <row r="18" spans="1:40" x14ac:dyDescent="0.2">
      <c r="A18" s="6" t="s">
        <v>34</v>
      </c>
      <c r="B18" s="11">
        <v>2.3983641969534051</v>
      </c>
      <c r="C18" s="11">
        <v>2.5548925416777233</v>
      </c>
      <c r="D18" s="11">
        <v>2.721636650435403</v>
      </c>
      <c r="E18" s="11">
        <v>2.8992632512555994</v>
      </c>
      <c r="F18" s="11">
        <v>3.0884825859236043</v>
      </c>
      <c r="G18" s="11">
        <v>3.2900512498899035</v>
      </c>
      <c r="H18" s="11">
        <v>3.5047752175248528</v>
      </c>
      <c r="I18" s="11">
        <v>3.7335130648154564</v>
      </c>
      <c r="J18" s="11">
        <v>3.9771794023902656</v>
      </c>
      <c r="K18" s="11">
        <v>4.2367485325993499</v>
      </c>
      <c r="L18" s="11">
        <v>4.5132583452722441</v>
      </c>
      <c r="M18" s="11">
        <v>4.8078144677310766</v>
      </c>
      <c r="N18" s="11">
        <v>5.1215946856527479</v>
      </c>
      <c r="O18" s="11">
        <v>5.4558536524570593</v>
      </c>
      <c r="P18" s="11">
        <v>5.8119279060512596</v>
      </c>
      <c r="Q18" s="11">
        <v>6.1912412129905858</v>
      </c>
      <c r="R18" s="11">
        <v>6.5953102614234451</v>
      </c>
      <c r="S18" s="11">
        <v>7.0257507255845217</v>
      </c>
      <c r="T18" s="11">
        <v>7.484283726084775</v>
      </c>
      <c r="U18" s="11">
        <v>7.9727427118298682</v>
      </c>
      <c r="V18" s="11">
        <v>8.4930807910844166</v>
      </c>
      <c r="W18" s="11">
        <v>9.0473785409954086</v>
      </c>
      <c r="X18" s="11">
        <v>9.6378523268012799</v>
      </c>
      <c r="Y18" s="11">
        <v>10.266863163991045</v>
      </c>
      <c r="Z18" s="11">
        <v>10.936926158848969</v>
      </c>
      <c r="AA18" s="11">
        <v>11.65072056513279</v>
      </c>
      <c r="AB18" s="11">
        <v>12.411100497097413</v>
      </c>
      <c r="AC18" s="11">
        <v>13.221106341699997</v>
      </c>
      <c r="AD18" s="11">
        <v>14.083976915618381</v>
      </c>
      <c r="AE18" s="11">
        <v>15.003162415692831</v>
      </c>
      <c r="AF18" s="11">
        <v>15.982338214573449</v>
      </c>
      <c r="AG18" s="11">
        <v>17.025419556735432</v>
      </c>
      <c r="AH18" s="11">
        <v>18.136577213624271</v>
      </c>
      <c r="AI18" s="11">
        <v>19.320254160528169</v>
      </c>
      <c r="AJ18" s="11">
        <v>20.581183341860243</v>
      </c>
      <c r="AK18" s="11">
        <v>21.924406595885372</v>
      </c>
      <c r="AL18" s="11">
        <v>23.355294814562175</v>
      </c>
      <c r="AM18" s="11">
        <v>24.879569419109608</v>
      </c>
      <c r="AN18" s="11">
        <v>26.503325237168408</v>
      </c>
    </row>
    <row r="19" spans="1:40" x14ac:dyDescent="0.2">
      <c r="A19" s="6" t="s">
        <v>35</v>
      </c>
      <c r="B19" s="11">
        <v>0.74881054113024859</v>
      </c>
      <c r="C19" s="11">
        <v>0.7976813817907823</v>
      </c>
      <c r="D19" s="11">
        <v>0.84974175963820264</v>
      </c>
      <c r="E19" s="11">
        <v>0.90519983862731379</v>
      </c>
      <c r="F19" s="11">
        <v>0.96427736845578582</v>
      </c>
      <c r="G19" s="11">
        <v>1.0272105712325943</v>
      </c>
      <c r="H19" s="11">
        <v>1.0942510860145467</v>
      </c>
      <c r="I19" s="11">
        <v>1.1656669749876312</v>
      </c>
      <c r="J19" s="11">
        <v>1.2417437953164177</v>
      </c>
      <c r="K19" s="11">
        <v>1.3227857409473081</v>
      </c>
      <c r="L19" s="11">
        <v>1.4091168589311531</v>
      </c>
      <c r="M19" s="11">
        <v>1.5010823451287074</v>
      </c>
      <c r="N19" s="11">
        <v>1.5990499244798173</v>
      </c>
      <c r="O19" s="11">
        <v>1.7034113213553712</v>
      </c>
      <c r="P19" s="11">
        <v>1.8145838258712075</v>
      </c>
      <c r="Q19" s="11">
        <v>1.9330119624269249</v>
      </c>
      <c r="R19" s="11">
        <v>2.0591692671412569</v>
      </c>
      <c r="S19" s="11">
        <v>2.1935601812910952</v>
      </c>
      <c r="T19" s="11">
        <v>2.3367220683251109</v>
      </c>
      <c r="U19" s="11">
        <v>2.4892273625170178</v>
      </c>
      <c r="V19" s="11">
        <v>2.6516858578498859</v>
      </c>
      <c r="W19" s="11">
        <v>2.8247471462836344</v>
      </c>
      <c r="X19" s="11">
        <v>3.0091032151551507</v>
      </c>
      <c r="Y19" s="11">
        <v>3.2054912140967518</v>
      </c>
      <c r="Z19" s="11">
        <v>3.4146964025365567</v>
      </c>
      <c r="AA19" s="11">
        <v>3.6375552895663454</v>
      </c>
      <c r="AB19" s="11">
        <v>3.8749589787317724</v>
      </c>
      <c r="AC19" s="11">
        <v>4.1278567311190031</v>
      </c>
      <c r="AD19" s="11">
        <v>4.397259760984924</v>
      </c>
      <c r="AE19" s="11">
        <v>4.6842452791077163</v>
      </c>
      <c r="AF19" s="11">
        <v>4.9899608000251936</v>
      </c>
      <c r="AG19" s="11">
        <v>5.3156287303834615</v>
      </c>
      <c r="AH19" s="11">
        <v>5.6625512567424208</v>
      </c>
      <c r="AI19" s="11">
        <v>6.0321155523820975</v>
      </c>
      <c r="AJ19" s="11">
        <v>6.4257993239292164</v>
      </c>
      <c r="AK19" s="11">
        <v>6.8451767199823106</v>
      </c>
      <c r="AL19" s="11">
        <v>7.2919246253610401</v>
      </c>
      <c r="AM19" s="11">
        <v>7.7678293661473443</v>
      </c>
      <c r="AN19" s="11">
        <v>8.2747938523285978</v>
      </c>
    </row>
    <row r="20" spans="1:40" x14ac:dyDescent="0.2">
      <c r="A20" s="6" t="s">
        <v>36</v>
      </c>
      <c r="B20" s="11">
        <v>0.22428141811630631</v>
      </c>
      <c r="C20" s="11">
        <v>0.2389190612126981</v>
      </c>
      <c r="D20" s="11">
        <v>0.25451202462593503</v>
      </c>
      <c r="E20" s="11">
        <v>0.27112265698016164</v>
      </c>
      <c r="F20" s="11">
        <v>0.28881737605922086</v>
      </c>
      <c r="G20" s="11">
        <v>0.30766693437884468</v>
      </c>
      <c r="H20" s="11">
        <v>0.32774670209131351</v>
      </c>
      <c r="I20" s="11">
        <v>0.34913696835378327</v>
      </c>
      <c r="J20" s="11">
        <v>0.37192326236530382</v>
      </c>
      <c r="K20" s="11">
        <v>0.39619669535619861</v>
      </c>
      <c r="L20" s="11">
        <v>0.42205432489725353</v>
      </c>
      <c r="M20" s="11">
        <v>0.44959954298540983</v>
      </c>
      <c r="N20" s="11">
        <v>0.478942489457723</v>
      </c>
      <c r="O20" s="11">
        <v>0.5102004923866329</v>
      </c>
      <c r="P20" s="11">
        <v>0.54349853721746311</v>
      </c>
      <c r="Q20" s="11">
        <v>0.57896976652400634</v>
      </c>
      <c r="R20" s="11">
        <v>0.61675601238047306</v>
      </c>
      <c r="S20" s="11">
        <v>0.65700836347849223</v>
      </c>
      <c r="T20" s="11">
        <v>0.69988776925679641</v>
      </c>
      <c r="U20" s="11">
        <v>0.74556568345920338</v>
      </c>
      <c r="V20" s="11">
        <v>0.79422474969416856</v>
      </c>
      <c r="W20" s="11">
        <v>0.84605953173712711</v>
      </c>
      <c r="X20" s="11">
        <v>0.90127729149574554</v>
      </c>
      <c r="Y20" s="11">
        <v>0.96009881774878547</v>
      </c>
      <c r="Z20" s="11">
        <v>1.0227593089723019</v>
      </c>
      <c r="AA20" s="11">
        <v>1.0895093137831566</v>
      </c>
      <c r="AB20" s="11">
        <v>1.1606157327602409</v>
      </c>
      <c r="AC20" s="11">
        <v>1.23636288564917</v>
      </c>
      <c r="AD20" s="11">
        <v>1.3170536482177067</v>
      </c>
      <c r="AE20" s="11">
        <v>1.4030106633076249</v>
      </c>
      <c r="AF20" s="11">
        <v>1.4945776309254204</v>
      </c>
      <c r="AG20" s="11">
        <v>1.592120682530312</v>
      </c>
      <c r="AH20" s="11">
        <v>1.696029845014638</v>
      </c>
      <c r="AI20" s="11">
        <v>1.8067206002303866</v>
      </c>
      <c r="AJ20" s="11">
        <v>1.9246355462976397</v>
      </c>
      <c r="AK20" s="11">
        <v>2.0502461673376966</v>
      </c>
      <c r="AL20" s="11">
        <v>2.1840547187071717</v>
      </c>
      <c r="AM20" s="11">
        <v>2.3265962352711846</v>
      </c>
      <c r="AN20" s="11">
        <v>2.4784406707457638</v>
      </c>
    </row>
    <row r="21" spans="1:40" x14ac:dyDescent="0.2">
      <c r="A21" s="6" t="s">
        <v>37</v>
      </c>
      <c r="B21" s="11">
        <v>0.24598607148240051</v>
      </c>
      <c r="C21" s="11">
        <v>0.26204026068489467</v>
      </c>
      <c r="D21" s="11">
        <v>0.27914222055747717</v>
      </c>
      <c r="E21" s="11">
        <v>0.29736033346211277</v>
      </c>
      <c r="F21" s="11">
        <v>0.3167674447101132</v>
      </c>
      <c r="G21" s="11">
        <v>0.3374411538348619</v>
      </c>
      <c r="H21" s="11">
        <v>0.35946412487434387</v>
      </c>
      <c r="I21" s="11">
        <v>0.38292441690414936</v>
      </c>
      <c r="J21" s="11">
        <v>0.4079158361425913</v>
      </c>
      <c r="K21" s="11">
        <v>0.43453831103583068</v>
      </c>
      <c r="L21" s="11">
        <v>0.46289829182279418</v>
      </c>
      <c r="M21" s="11">
        <v>0.49310917617754635</v>
      </c>
      <c r="N21" s="11">
        <v>0.52529176263105104</v>
      </c>
      <c r="O21" s="11">
        <v>0.55957473358533938</v>
      </c>
      <c r="P21" s="11">
        <v>0.5960951698514112</v>
      </c>
      <c r="Q21" s="11">
        <v>0.6349990987682651</v>
      </c>
      <c r="R21" s="11">
        <v>0.67644207809471235</v>
      </c>
      <c r="S21" s="11">
        <v>0.72058981800866895</v>
      </c>
      <c r="T21" s="11">
        <v>0.76761884370100253</v>
      </c>
      <c r="U21" s="11">
        <v>0.81771720121331981</v>
      </c>
      <c r="V21" s="11">
        <v>0.8710852093419913</v>
      </c>
      <c r="W21" s="11">
        <v>0.92793626061491374</v>
      </c>
      <c r="X21" s="11">
        <v>0.98849767454372106</v>
      </c>
      <c r="Y21" s="11">
        <v>1.0530116065631843</v>
      </c>
      <c r="Z21" s="11">
        <v>1.1217360162922021</v>
      </c>
      <c r="AA21" s="11">
        <v>1.1949456989879783</v>
      </c>
      <c r="AB21" s="11">
        <v>1.2729333843176835</v>
      </c>
      <c r="AC21" s="11">
        <v>1.3560109068410253</v>
      </c>
      <c r="AD21" s="11">
        <v>1.4445104528839365</v>
      </c>
      <c r="AE21" s="11">
        <v>1.5387858887890082</v>
      </c>
      <c r="AF21" s="11">
        <v>1.6392141758536869</v>
      </c>
      <c r="AG21" s="11">
        <v>1.7461968776138908</v>
      </c>
      <c r="AH21" s="11">
        <v>1.8601617654999254</v>
      </c>
      <c r="AI21" s="11">
        <v>1.9815645292849402</v>
      </c>
      <c r="AJ21" s="11">
        <v>2.1108905991651534</v>
      </c>
      <c r="AK21" s="11">
        <v>2.2486570867574742</v>
      </c>
      <c r="AL21" s="11">
        <v>2.3954148527756076</v>
      </c>
      <c r="AM21" s="11">
        <v>2.5517507096522674</v>
      </c>
      <c r="AN21" s="11">
        <v>2.7182897679147082</v>
      </c>
    </row>
    <row r="23" spans="1:40" x14ac:dyDescent="0.2">
      <c r="A23" s="5" t="s">
        <v>32</v>
      </c>
    </row>
    <row r="24" spans="1:40" x14ac:dyDescent="0.2">
      <c r="A24" s="5" t="s">
        <v>4</v>
      </c>
    </row>
    <row r="25" spans="1:40" x14ac:dyDescent="0.2">
      <c r="A25" s="5" t="s">
        <v>45</v>
      </c>
    </row>
    <row r="26" spans="1:40" x14ac:dyDescent="0.2">
      <c r="A26" s="5" t="s">
        <v>6</v>
      </c>
    </row>
    <row r="27" spans="1:40" x14ac:dyDescent="0.2">
      <c r="A27" t="s">
        <v>156</v>
      </c>
      <c r="B27">
        <v>1000000</v>
      </c>
    </row>
    <row r="28" spans="1:40" x14ac:dyDescent="0.2">
      <c r="A28" s="6" t="s">
        <v>7</v>
      </c>
      <c r="B28" s="6">
        <v>2022</v>
      </c>
      <c r="C28" s="6">
        <v>2023</v>
      </c>
      <c r="D28" s="6">
        <v>2024</v>
      </c>
      <c r="E28" s="6">
        <v>2025</v>
      </c>
      <c r="F28" s="6">
        <v>2026</v>
      </c>
      <c r="G28" s="6">
        <v>2027</v>
      </c>
      <c r="H28" s="6">
        <v>2028</v>
      </c>
      <c r="I28" s="6">
        <v>2029</v>
      </c>
      <c r="J28" s="6">
        <v>2030</v>
      </c>
      <c r="K28" s="6">
        <v>2031</v>
      </c>
      <c r="L28" s="6">
        <v>2032</v>
      </c>
      <c r="M28" s="6">
        <v>2033</v>
      </c>
      <c r="N28" s="6">
        <v>2034</v>
      </c>
      <c r="O28" s="6">
        <v>2035</v>
      </c>
      <c r="P28" s="6">
        <v>2036</v>
      </c>
      <c r="Q28" s="6">
        <v>2037</v>
      </c>
      <c r="R28" s="6">
        <v>2038</v>
      </c>
      <c r="S28" s="6">
        <v>2039</v>
      </c>
      <c r="T28" s="6">
        <v>2040</v>
      </c>
      <c r="U28" s="6">
        <v>2041</v>
      </c>
      <c r="V28" s="6">
        <v>2042</v>
      </c>
      <c r="W28" s="6">
        <v>2043</v>
      </c>
      <c r="X28" s="6">
        <v>2044</v>
      </c>
      <c r="Y28" s="6">
        <v>2045</v>
      </c>
      <c r="Z28" s="6">
        <v>2046</v>
      </c>
      <c r="AA28" s="6">
        <v>2047</v>
      </c>
      <c r="AB28" s="6">
        <v>2048</v>
      </c>
      <c r="AC28" s="6">
        <v>2049</v>
      </c>
      <c r="AD28" s="6">
        <v>2050</v>
      </c>
      <c r="AE28" s="6">
        <v>2051</v>
      </c>
      <c r="AF28" s="6">
        <v>2052</v>
      </c>
      <c r="AG28" s="6">
        <v>2053</v>
      </c>
      <c r="AH28" s="6">
        <v>2054</v>
      </c>
      <c r="AI28" s="6">
        <v>2055</v>
      </c>
      <c r="AJ28" s="6">
        <v>2056</v>
      </c>
      <c r="AK28" s="6">
        <v>2057</v>
      </c>
      <c r="AL28" s="6">
        <v>2058</v>
      </c>
      <c r="AM28" s="6">
        <v>2059</v>
      </c>
      <c r="AN28" s="6">
        <v>2060</v>
      </c>
    </row>
    <row r="29" spans="1:40" x14ac:dyDescent="0.2">
      <c r="A29" s="6" t="s">
        <v>34</v>
      </c>
      <c r="B29" s="11">
        <v>5.2568266025942689</v>
      </c>
      <c r="C29" s="11">
        <v>5.5999114300162605</v>
      </c>
      <c r="D29" s="11">
        <v>5.9653875607293108</v>
      </c>
      <c r="E29" s="11">
        <v>6.3547163547907521</v>
      </c>
      <c r="F29" s="11">
        <v>6.7694545473769701</v>
      </c>
      <c r="G29" s="11">
        <v>7.2112604734049839</v>
      </c>
      <c r="H29" s="11">
        <v>7.6819006984016047</v>
      </c>
      <c r="I29" s="11">
        <v>8.1832570821338244</v>
      </c>
      <c r="J29" s="11">
        <v>8.7173343032443995</v>
      </c>
      <c r="K29" s="11">
        <v>9.2862678749799521</v>
      </c>
      <c r="L29" s="11">
        <v>9.8923326840626018</v>
      </c>
      <c r="M29" s="11">
        <v>10.537952086847861</v>
      </c>
      <c r="N29" s="11">
        <v>11.225707599139858</v>
      </c>
      <c r="O29" s="11">
        <v>11.958349218408795</v>
      </c>
      <c r="P29" s="11">
        <v>12.738806419683987</v>
      </c>
      <c r="Q29" s="11">
        <v>13.570199869089869</v>
      </c>
      <c r="R29" s="11">
        <v>14.455853901861474</v>
      </c>
      <c r="S29" s="11">
        <v>15.399309814732955</v>
      </c>
      <c r="T29" s="11">
        <v>16.404340025848949</v>
      </c>
      <c r="U29" s="11">
        <v>17.474963158817157</v>
      </c>
      <c r="V29" s="11">
        <v>18.615460111216102</v>
      </c>
      <c r="W29" s="11">
        <v>19.830391171807999</v>
      </c>
      <c r="X29" s="11">
        <v>21.124614254900148</v>
      </c>
      <c r="Y29" s="11">
        <v>22.503304324765089</v>
      </c>
      <c r="Z29" s="11">
        <v>23.971974087788382</v>
      </c>
      <c r="AA29" s="11">
        <v>25.536496035081562</v>
      </c>
      <c r="AB29" s="11">
        <v>27.203125923698142</v>
      </c>
      <c r="AC29" s="11">
        <v>28.978527790342334</v>
      </c>
      <c r="AD29" s="11">
        <v>30.869800597588171</v>
      </c>
      <c r="AE29" s="11">
        <v>32.884506619154152</v>
      </c>
      <c r="AF29" s="11">
        <v>35.030701677732289</v>
      </c>
      <c r="AG29" s="11">
        <v>37.316967356277765</v>
      </c>
      <c r="AH29" s="11">
        <v>39.752445311556407</v>
      </c>
      <c r="AI29" s="11">
        <v>42.346873827153047</v>
      </c>
      <c r="AJ29" s="11">
        <v>45.110626752098263</v>
      </c>
      <c r="AK29" s="11">
        <v>48.054754980810202</v>
      </c>
      <c r="AL29" s="11">
        <v>51.191030640209185</v>
      </c>
      <c r="AM29" s="11">
        <v>54.531994160688008</v>
      </c>
      <c r="AN29" s="11">
        <v>58.091004419151496</v>
      </c>
    </row>
    <row r="30" spans="1:40" x14ac:dyDescent="0.2">
      <c r="A30" s="6" t="s">
        <v>35</v>
      </c>
      <c r="B30" s="11">
        <v>1.6412716542036403</v>
      </c>
      <c r="C30" s="11">
        <v>1.7483886365209138</v>
      </c>
      <c r="D30" s="11">
        <v>1.8624965687344908</v>
      </c>
      <c r="E30" s="11">
        <v>1.9840517125817274</v>
      </c>
      <c r="F30" s="11">
        <v>2.1135401075520854</v>
      </c>
      <c r="G30" s="11">
        <v>2.2514795143210127</v>
      </c>
      <c r="H30" s="11">
        <v>2.3984214850213155</v>
      </c>
      <c r="I30" s="11">
        <v>2.5549535686300175</v>
      </c>
      <c r="J30" s="11">
        <v>2.721701660288975</v>
      </c>
      <c r="K30" s="11">
        <v>2.8993325039530164</v>
      </c>
      <c r="L30" s="11">
        <v>3.0885563583724869</v>
      </c>
      <c r="M30" s="11">
        <v>3.2901298370701459</v>
      </c>
      <c r="N30" s="11">
        <v>3.5048589336681002</v>
      </c>
      <c r="O30" s="11">
        <v>3.7336022446615691</v>
      </c>
      <c r="P30" s="11">
        <v>3.9772744025257696</v>
      </c>
      <c r="Q30" s="11">
        <v>4.2368497328832619</v>
      </c>
      <c r="R30" s="11">
        <v>4.5133661503549396</v>
      </c>
      <c r="S30" s="11">
        <v>4.8079293086722812</v>
      </c>
      <c r="T30" s="11">
        <v>5.1217170216451455</v>
      </c>
      <c r="U30" s="11">
        <v>5.4559839726623691</v>
      </c>
      <c r="V30" s="11">
        <v>5.8120667315561576</v>
      </c>
      <c r="W30" s="11">
        <v>6.1913890988902791</v>
      </c>
      <c r="X30" s="11">
        <v>6.5954677990412227</v>
      </c>
      <c r="Y30" s="11">
        <v>7.0259185448361592</v>
      </c>
      <c r="Z30" s="11">
        <v>7.4844624979972769</v>
      </c>
      <c r="AA30" s="11">
        <v>7.9729331512245585</v>
      </c>
      <c r="AB30" s="11">
        <v>8.4932836594351677</v>
      </c>
      <c r="AC30" s="11">
        <v>9.0475946494733996</v>
      </c>
      <c r="AD30" s="11">
        <v>9.6380825395184768</v>
      </c>
      <c r="AE30" s="11">
        <v>10.267108401455369</v>
      </c>
      <c r="AF30" s="11">
        <v>10.937187401644923</v>
      </c>
      <c r="AG30" s="11">
        <v>11.65099885784238</v>
      </c>
      <c r="AH30" s="11">
        <v>12.411396952476885</v>
      </c>
      <c r="AI30" s="11">
        <v>13.221422145129232</v>
      </c>
      <c r="AJ30" s="11">
        <v>14.084313329840635</v>
      </c>
      <c r="AK30" s="11">
        <v>15.003520785863817</v>
      </c>
      <c r="AL30" s="11">
        <v>15.982719973639966</v>
      </c>
      <c r="AM30" s="11">
        <v>17.025826231165031</v>
      </c>
      <c r="AN30" s="11">
        <v>18.137010429508837</v>
      </c>
    </row>
    <row r="31" spans="1:40" x14ac:dyDescent="0.2">
      <c r="A31" s="6" t="s">
        <v>36</v>
      </c>
      <c r="B31" s="11">
        <v>0.49158861140398885</v>
      </c>
      <c r="C31" s="11">
        <v>0.52367195876471817</v>
      </c>
      <c r="D31" s="11">
        <v>0.55784921382385699</v>
      </c>
      <c r="E31" s="11">
        <v>0.59425703468631452</v>
      </c>
      <c r="F31" s="11">
        <v>0.63304099839724293</v>
      </c>
      <c r="G31" s="11">
        <v>0.67435618303334677</v>
      </c>
      <c r="H31" s="11">
        <v>0.7183677877841621</v>
      </c>
      <c r="I31" s="11">
        <v>0.76525179350271055</v>
      </c>
      <c r="J31" s="11">
        <v>0.81519566636674623</v>
      </c>
      <c r="K31" s="11">
        <v>0.86839910746418847</v>
      </c>
      <c r="L31" s="11">
        <v>0.9250748512999718</v>
      </c>
      <c r="M31" s="11">
        <v>0.9854495164171454</v>
      </c>
      <c r="N31" s="11">
        <v>1.0497645115334406</v>
      </c>
      <c r="O31" s="11">
        <v>1.1182770008165086</v>
      </c>
      <c r="P31" s="11">
        <v>1.191260932157477</v>
      </c>
      <c r="Q31" s="11">
        <v>1.2690081325544069</v>
      </c>
      <c r="R31" s="11">
        <v>1.3518294749855375</v>
      </c>
      <c r="S31" s="11">
        <v>1.4400561214380745</v>
      </c>
      <c r="T31" s="11">
        <v>1.5340408470627973</v>
      </c>
      <c r="U31" s="11">
        <v>1.6341594507491153</v>
      </c>
      <c r="V31" s="11">
        <v>1.7408122577607816</v>
      </c>
      <c r="W31" s="11">
        <v>1.8544257204405667</v>
      </c>
      <c r="X31" s="11">
        <v>1.9754541233843277</v>
      </c>
      <c r="Y31" s="11">
        <v>2.1043813999026177</v>
      </c>
      <c r="Z31" s="11">
        <v>2.2417230670330004</v>
      </c>
      <c r="AA31" s="11">
        <v>2.3880282868402061</v>
      </c>
      <c r="AB31" s="11">
        <v>2.5438820622462814</v>
      </c>
      <c r="AC31" s="11">
        <v>2.7099075761707767</v>
      </c>
      <c r="AD31" s="11">
        <v>2.8867686833340369</v>
      </c>
      <c r="AE31" s="11">
        <v>3.0751725646871146</v>
      </c>
      <c r="AF31" s="11">
        <v>3.2758725550820538</v>
      </c>
      <c r="AG31" s="11">
        <v>3.4896711554890221</v>
      </c>
      <c r="AH31" s="11">
        <v>3.7174232418046711</v>
      </c>
      <c r="AI31" s="11">
        <v>3.9600394830821855</v>
      </c>
      <c r="AJ31" s="11">
        <v>4.2184899828508176</v>
      </c>
      <c r="AK31" s="11">
        <v>4.4938081580848142</v>
      </c>
      <c r="AL31" s="11">
        <v>4.787094871331778</v>
      </c>
      <c r="AM31" s="11">
        <v>5.0995228325228599</v>
      </c>
      <c r="AN31" s="11">
        <v>5.432341288065448</v>
      </c>
    </row>
    <row r="32" spans="1:40" x14ac:dyDescent="0.2">
      <c r="A32" s="6" t="s">
        <v>37</v>
      </c>
      <c r="B32" s="11">
        <v>0.53916170283018139</v>
      </c>
      <c r="C32" s="11">
        <v>0.57434989025807792</v>
      </c>
      <c r="D32" s="11">
        <v>0.61183462161326274</v>
      </c>
      <c r="E32" s="11">
        <v>0.65176577997853835</v>
      </c>
      <c r="F32" s="11">
        <v>0.69430303050020192</v>
      </c>
      <c r="G32" s="11">
        <v>0.73961645881076754</v>
      </c>
      <c r="H32" s="11">
        <v>0.78788725111811331</v>
      </c>
      <c r="I32" s="11">
        <v>0.83930841868039208</v>
      </c>
      <c r="J32" s="11">
        <v>0.89408556956352803</v>
      </c>
      <c r="K32" s="11">
        <v>0.95243773076717442</v>
      </c>
      <c r="L32" s="11">
        <v>1.0145982240064206</v>
      </c>
      <c r="M32" s="11">
        <v>1.0808155986510628</v>
      </c>
      <c r="N32" s="11">
        <v>1.1513546255528058</v>
      </c>
      <c r="O32" s="11">
        <v>1.2264973557342354</v>
      </c>
      <c r="P32" s="11">
        <v>1.3065442481727165</v>
      </c>
      <c r="Q32" s="11">
        <v>1.3918153711887045</v>
      </c>
      <c r="R32" s="11">
        <v>1.4826516822422022</v>
      </c>
      <c r="S32" s="11">
        <v>1.5794163912546622</v>
      </c>
      <c r="T32" s="11">
        <v>1.6824964129075841</v>
      </c>
      <c r="U32" s="11">
        <v>1.7923039137248362</v>
      </c>
      <c r="V32" s="11">
        <v>1.9092779601247281</v>
      </c>
      <c r="W32" s="11">
        <v>2.0338862740315897</v>
      </c>
      <c r="X32" s="11">
        <v>2.1666271030666819</v>
      </c>
      <c r="Y32" s="11">
        <v>2.3080312127964193</v>
      </c>
      <c r="Z32" s="11">
        <v>2.4586640090039364</v>
      </c>
      <c r="AA32" s="11">
        <v>2.6191277984699028</v>
      </c>
      <c r="AB32" s="11">
        <v>2.7900641973023732</v>
      </c>
      <c r="AC32" s="11">
        <v>2.9721566964453676</v>
      </c>
      <c r="AD32" s="11">
        <v>3.1661333946244272</v>
      </c>
      <c r="AE32" s="11">
        <v>3.3727699096568355</v>
      </c>
      <c r="AF32" s="11">
        <v>3.5928924797674138</v>
      </c>
      <c r="AG32" s="11">
        <v>3.8273812673105398</v>
      </c>
      <c r="AH32" s="11">
        <v>4.0771738781083489</v>
      </c>
      <c r="AI32" s="11">
        <v>4.3432691104772347</v>
      </c>
      <c r="AJ32" s="11">
        <v>4.6267309489331545</v>
      </c>
      <c r="AK32" s="11">
        <v>4.9286928185446346</v>
      </c>
      <c r="AL32" s="11">
        <v>5.2503621169445314</v>
      </c>
      <c r="AM32" s="11">
        <v>5.5930250421218464</v>
      </c>
      <c r="AN32" s="11">
        <v>5.9580517352975884</v>
      </c>
    </row>
    <row r="34" spans="1:40" x14ac:dyDescent="0.2">
      <c r="A34" s="5" t="s">
        <v>32</v>
      </c>
    </row>
    <row r="35" spans="1:40" x14ac:dyDescent="0.2">
      <c r="A35" s="5" t="s">
        <v>4</v>
      </c>
    </row>
    <row r="36" spans="1:40" x14ac:dyDescent="0.2">
      <c r="A36" s="5" t="s">
        <v>48</v>
      </c>
    </row>
    <row r="37" spans="1:40" x14ac:dyDescent="0.2">
      <c r="A37" s="5" t="s">
        <v>6</v>
      </c>
    </row>
    <row r="38" spans="1:40" x14ac:dyDescent="0.2">
      <c r="A38" t="s">
        <v>156</v>
      </c>
      <c r="B38">
        <v>1000000</v>
      </c>
    </row>
    <row r="39" spans="1:40" x14ac:dyDescent="0.2">
      <c r="A39" s="6" t="s">
        <v>7</v>
      </c>
      <c r="B39" s="6">
        <v>2022</v>
      </c>
      <c r="C39" s="6">
        <v>2023</v>
      </c>
      <c r="D39" s="6">
        <v>2024</v>
      </c>
      <c r="E39" s="6">
        <v>2025</v>
      </c>
      <c r="F39" s="6">
        <v>2026</v>
      </c>
      <c r="G39" s="6">
        <v>2027</v>
      </c>
      <c r="H39" s="6">
        <v>2028</v>
      </c>
      <c r="I39" s="6">
        <v>2029</v>
      </c>
      <c r="J39" s="6">
        <v>2030</v>
      </c>
      <c r="K39" s="6">
        <v>2031</v>
      </c>
      <c r="L39" s="6">
        <v>2032</v>
      </c>
      <c r="M39" s="6">
        <v>2033</v>
      </c>
      <c r="N39" s="6">
        <v>2034</v>
      </c>
      <c r="O39" s="6">
        <v>2035</v>
      </c>
      <c r="P39" s="6">
        <v>2036</v>
      </c>
      <c r="Q39" s="6">
        <v>2037</v>
      </c>
      <c r="R39" s="6">
        <v>2038</v>
      </c>
      <c r="S39" s="6">
        <v>2039</v>
      </c>
      <c r="T39" s="6">
        <v>2040</v>
      </c>
      <c r="U39" s="6">
        <v>2041</v>
      </c>
      <c r="V39" s="6">
        <v>2042</v>
      </c>
      <c r="W39" s="6">
        <v>2043</v>
      </c>
      <c r="X39" s="6">
        <v>2044</v>
      </c>
      <c r="Y39" s="6">
        <v>2045</v>
      </c>
      <c r="Z39" s="6">
        <v>2046</v>
      </c>
      <c r="AA39" s="6">
        <v>2047</v>
      </c>
      <c r="AB39" s="6">
        <v>2048</v>
      </c>
      <c r="AC39" s="6">
        <v>2049</v>
      </c>
      <c r="AD39" s="6">
        <v>2050</v>
      </c>
      <c r="AE39" s="6">
        <v>2051</v>
      </c>
      <c r="AF39" s="6">
        <v>2052</v>
      </c>
      <c r="AG39" s="6">
        <v>2053</v>
      </c>
      <c r="AH39" s="6">
        <v>2054</v>
      </c>
      <c r="AI39" s="6">
        <v>2055</v>
      </c>
      <c r="AJ39" s="6">
        <v>2056</v>
      </c>
      <c r="AK39" s="6">
        <v>2057</v>
      </c>
      <c r="AL39" s="6">
        <v>2058</v>
      </c>
      <c r="AM39" s="6">
        <v>2059</v>
      </c>
      <c r="AN39" s="6">
        <v>2060</v>
      </c>
    </row>
    <row r="40" spans="1:40" x14ac:dyDescent="0.2">
      <c r="A40" s="6" t="s">
        <v>34</v>
      </c>
      <c r="B40" s="11">
        <v>3.9467367614551505</v>
      </c>
      <c r="C40" s="11">
        <v>4.2043190640587094</v>
      </c>
      <c r="D40" s="11">
        <v>4.4787123795634907</v>
      </c>
      <c r="E40" s="11">
        <v>4.7710138724559856</v>
      </c>
      <c r="F40" s="11">
        <v>5.0823923132536519</v>
      </c>
      <c r="G40" s="11">
        <v>5.4140927518458186</v>
      </c>
      <c r="H40" s="11">
        <v>5.7674414958384421</v>
      </c>
      <c r="I40" s="11">
        <v>6.14385141380866</v>
      </c>
      <c r="J40" s="11">
        <v>6.5448275846743069</v>
      </c>
      <c r="K40" s="11">
        <v>6.9719733157673867</v>
      </c>
      <c r="L40" s="11">
        <v>7.4269965536748996</v>
      </c>
      <c r="M40" s="11">
        <v>7.9117167134807804</v>
      </c>
      <c r="N40" s="11">
        <v>8.4280719537157704</v>
      </c>
      <c r="O40" s="11">
        <v>8.9781269261041956</v>
      </c>
      <c r="P40" s="11">
        <v>9.5640810310950446</v>
      </c>
      <c r="Q40" s="11">
        <v>10.188277212187238</v>
      </c>
      <c r="R40" s="11">
        <v>10.853211324213245</v>
      </c>
      <c r="S40" s="11">
        <v>11.561542113040193</v>
      </c>
      <c r="T40" s="11">
        <v>12.316101846592559</v>
      </c>
      <c r="U40" s="11">
        <v>13.119907639704438</v>
      </c>
      <c r="V40" s="11">
        <v>13.976173518084199</v>
      </c>
      <c r="W40" s="11">
        <v>14.888323269629247</v>
      </c>
      <c r="X40" s="11">
        <v>15.860004134477027</v>
      </c>
      <c r="Y40" s="11">
        <v>16.89510138853213</v>
      </c>
      <c r="Z40" s="11">
        <v>17.997753878781854</v>
      </c>
      <c r="AA40" s="11">
        <v>19.172370572518371</v>
      </c>
      <c r="AB40" s="11">
        <v>20.423648186639561</v>
      </c>
      <c r="AC40" s="11">
        <v>21.756589967519826</v>
      </c>
      <c r="AD40" s="11">
        <v>23.176525696541955</v>
      </c>
      <c r="AE40" s="11">
        <v>24.689133001282681</v>
      </c>
      <c r="AF40" s="11">
        <v>26.300460057564795</v>
      </c>
      <c r="AG40" s="11">
        <v>28.016949773150174</v>
      </c>
      <c r="AH40" s="11">
        <v>29.845465549772541</v>
      </c>
      <c r="AI40" s="11">
        <v>31.793318726519811</v>
      </c>
      <c r="AJ40" s="11">
        <v>33.868297814298245</v>
      </c>
      <c r="AK40" s="11">
        <v>36.078699638273335</v>
      </c>
      <c r="AL40" s="11">
        <v>38.433362512810298</v>
      </c>
      <c r="AM40" s="11">
        <v>40.941701581564665</v>
      </c>
      <c r="AN40" s="11">
        <v>43.613746464030783</v>
      </c>
    </row>
    <row r="41" spans="1:40" x14ac:dyDescent="0.2">
      <c r="A41" s="6" t="s">
        <v>35</v>
      </c>
      <c r="B41" s="11">
        <v>1.2322390793683498</v>
      </c>
      <c r="C41" s="11">
        <v>1.3126607032581485</v>
      </c>
      <c r="D41" s="11">
        <v>1.3983310144338499</v>
      </c>
      <c r="E41" s="11">
        <v>1.4895925665134071</v>
      </c>
      <c r="F41" s="11">
        <v>1.5868102697488777</v>
      </c>
      <c r="G41" s="11">
        <v>1.6903728501238076</v>
      </c>
      <c r="H41" s="11">
        <v>1.8006944036780654</v>
      </c>
      <c r="I41" s="11">
        <v>1.9182160522751017</v>
      </c>
      <c r="J41" s="11">
        <v>2.043407707432249</v>
      </c>
      <c r="K41" s="11">
        <v>2.1767699492667405</v>
      </c>
      <c r="L41" s="11">
        <v>2.3188360280704439</v>
      </c>
      <c r="M41" s="11">
        <v>2.4701739965166234</v>
      </c>
      <c r="N41" s="11">
        <v>2.6313889810243802</v>
      </c>
      <c r="O41" s="11">
        <v>2.8031256013628472</v>
      </c>
      <c r="P41" s="11">
        <v>2.9860705481699461</v>
      </c>
      <c r="Q41" s="11">
        <v>3.1809553286919425</v>
      </c>
      <c r="R41" s="11">
        <v>3.3885591917226865</v>
      </c>
      <c r="S41" s="11">
        <v>3.6097122434378885</v>
      </c>
      <c r="T41" s="11">
        <v>3.8452987665831961</v>
      </c>
      <c r="U41" s="11">
        <v>4.0962607562878102</v>
      </c>
      <c r="V41" s="11">
        <v>4.3636016866416725</v>
      </c>
      <c r="W41" s="11">
        <v>4.6483905230969134</v>
      </c>
      <c r="X41" s="11">
        <v>4.9517659967371701</v>
      </c>
      <c r="Y41" s="11">
        <v>5.2749411575055047</v>
      </c>
      <c r="Z41" s="11">
        <v>5.6192082245970489</v>
      </c>
      <c r="AA41" s="11">
        <v>5.9859437534107132</v>
      </c>
      <c r="AB41" s="11">
        <v>6.3766141397200435</v>
      </c>
      <c r="AC41" s="11">
        <v>6.7927814830718001</v>
      </c>
      <c r="AD41" s="11">
        <v>7.2361098328569886</v>
      </c>
      <c r="AE41" s="11">
        <v>7.7083718420294325</v>
      </c>
      <c r="AF41" s="11">
        <v>8.2114558550767907</v>
      </c>
      <c r="AG41" s="11">
        <v>8.7473734585853471</v>
      </c>
      <c r="AH41" s="11">
        <v>9.3182675245896167</v>
      </c>
      <c r="AI41" s="11">
        <v>9.9264207788681755</v>
      </c>
      <c r="AJ41" s="11">
        <v>10.574264928446055</v>
      </c>
      <c r="AK41" s="11">
        <v>11.264390384800272</v>
      </c>
      <c r="AL41" s="11">
        <v>11.999556621646654</v>
      </c>
      <c r="AM41" s="11">
        <v>12.782703208723808</v>
      </c>
      <c r="AN41" s="11">
        <v>13.616961565692868</v>
      </c>
    </row>
    <row r="42" spans="1:40" x14ac:dyDescent="0.2">
      <c r="A42" s="6" t="s">
        <v>36</v>
      </c>
      <c r="B42" s="11">
        <v>0.36907643923109995</v>
      </c>
      <c r="C42" s="11">
        <v>0.39316407537200587</v>
      </c>
      <c r="D42" s="11">
        <v>0.41882378210095983</v>
      </c>
      <c r="E42" s="11">
        <v>0.44615816001850839</v>
      </c>
      <c r="F42" s="11">
        <v>0.47527650591512283</v>
      </c>
      <c r="G42" s="11">
        <v>0.50629524979553653</v>
      </c>
      <c r="H42" s="11">
        <v>0.53933842042531421</v>
      </c>
      <c r="I42" s="11">
        <v>0.57453814126114156</v>
      </c>
      <c r="J42" s="11">
        <v>0.61203515874782344</v>
      </c>
      <c r="K42" s="11">
        <v>0.65197940509438612</v>
      </c>
      <c r="L42" s="11">
        <v>0.69453059777955317</v>
      </c>
      <c r="M42" s="11">
        <v>0.73985887818372309</v>
      </c>
      <c r="N42" s="11">
        <v>0.78814549190102212</v>
      </c>
      <c r="O42" s="11">
        <v>0.83958351345167415</v>
      </c>
      <c r="P42" s="11">
        <v>0.89437861829244758</v>
      </c>
      <c r="Q42" s="11">
        <v>0.95274990521207947</v>
      </c>
      <c r="R42" s="11">
        <v>1.0149307724000316</v>
      </c>
      <c r="S42" s="11">
        <v>1.0811698506915413</v>
      </c>
      <c r="T42" s="11">
        <v>1.1517319977205707</v>
      </c>
      <c r="U42" s="11">
        <v>1.2268993569557693</v>
      </c>
      <c r="V42" s="11">
        <v>1.3069724858540275</v>
      </c>
      <c r="W42" s="11">
        <v>1.3922715576425539</v>
      </c>
      <c r="X42" s="11">
        <v>1.4831376415348045</v>
      </c>
      <c r="Y42" s="11">
        <v>1.5799340664992332</v>
      </c>
      <c r="Z42" s="11">
        <v>1.6830478740338988</v>
      </c>
      <c r="AA42" s="11">
        <v>1.7928913657558656</v>
      </c>
      <c r="AB42" s="11">
        <v>1.909903751993443</v>
      </c>
      <c r="AC42" s="11">
        <v>2.0345529079731959</v>
      </c>
      <c r="AD42" s="11">
        <v>2.1673372446238321</v>
      </c>
      <c r="AE42" s="11">
        <v>2.3087877014774145</v>
      </c>
      <c r="AF42" s="11">
        <v>2.4594698696365263</v>
      </c>
      <c r="AG42" s="11">
        <v>2.6199862532960938</v>
      </c>
      <c r="AH42" s="11">
        <v>2.7909786788625905</v>
      </c>
      <c r="AI42" s="11">
        <v>2.9731308613035115</v>
      </c>
      <c r="AJ42" s="11">
        <v>3.167171137988674</v>
      </c>
      <c r="AK42" s="11">
        <v>3.3738753809546709</v>
      </c>
      <c r="AL42" s="11">
        <v>3.5940700992371624</v>
      </c>
      <c r="AM42" s="11">
        <v>3.8286357436757297</v>
      </c>
      <c r="AN42" s="11">
        <v>4.0785102274055927</v>
      </c>
    </row>
    <row r="43" spans="1:40" x14ac:dyDescent="0.2">
      <c r="A43" s="6" t="s">
        <v>37</v>
      </c>
      <c r="B43" s="11">
        <v>0.40479351399539998</v>
      </c>
      <c r="C43" s="11">
        <v>0.43121221169832907</v>
      </c>
      <c r="D43" s="11">
        <v>0.4593551158526657</v>
      </c>
      <c r="E43" s="11">
        <v>0.48933475614933175</v>
      </c>
      <c r="F43" s="11">
        <v>0.52127100648755398</v>
      </c>
      <c r="G43" s="11">
        <v>0.55529156429187887</v>
      </c>
      <c r="H43" s="11">
        <v>0.59153246111163493</v>
      </c>
      <c r="I43" s="11">
        <v>0.63013860654447784</v>
      </c>
      <c r="J43" s="11">
        <v>0.67126436765890307</v>
      </c>
      <c r="K43" s="11">
        <v>0.71507418623255248</v>
      </c>
      <c r="L43" s="11">
        <v>0.7617432362743487</v>
      </c>
      <c r="M43" s="11">
        <v>0.81145812445956722</v>
      </c>
      <c r="N43" s="11">
        <v>0.8644176362785404</v>
      </c>
      <c r="O43" s="11">
        <v>0.92083353088248132</v>
      </c>
      <c r="P43" s="11">
        <v>0.98093138780461986</v>
      </c>
      <c r="Q43" s="11">
        <v>1.0449515089422809</v>
      </c>
      <c r="R43" s="11">
        <v>1.1131498794064865</v>
      </c>
      <c r="S43" s="11">
        <v>1.1857991910810455</v>
      </c>
      <c r="T43" s="11">
        <v>1.2631899329838521</v>
      </c>
      <c r="U43" s="11">
        <v>1.3456315527901987</v>
      </c>
      <c r="V43" s="11">
        <v>1.433453694162482</v>
      </c>
      <c r="W43" s="11">
        <v>1.5270075148337687</v>
      </c>
      <c r="X43" s="11">
        <v>1.6266670907155922</v>
      </c>
      <c r="Y43" s="11">
        <v>1.7328309116443206</v>
      </c>
      <c r="Z43" s="11">
        <v>1.8459234747468569</v>
      </c>
      <c r="AA43" s="11">
        <v>1.9663969817967561</v>
      </c>
      <c r="AB43" s="11">
        <v>2.0947331473476472</v>
      </c>
      <c r="AC43" s="11">
        <v>2.2314451248738281</v>
      </c>
      <c r="AD43" s="11">
        <v>2.3770795586196871</v>
      </c>
      <c r="AE43" s="11">
        <v>2.5322187693623261</v>
      </c>
      <c r="AF43" s="11">
        <v>2.6974830828271581</v>
      </c>
      <c r="AG43" s="11">
        <v>2.8735333100666836</v>
      </c>
      <c r="AH43" s="11">
        <v>3.06107338972026</v>
      </c>
      <c r="AI43" s="11">
        <v>3.2608532027199804</v>
      </c>
      <c r="AJ43" s="11">
        <v>3.4736715706972556</v>
      </c>
      <c r="AK43" s="11">
        <v>3.7003794500793168</v>
      </c>
      <c r="AL43" s="11">
        <v>3.9418833346472102</v>
      </c>
      <c r="AM43" s="11">
        <v>4.1991488801604779</v>
      </c>
      <c r="AN43" s="11">
        <v>4.4732047655416185</v>
      </c>
    </row>
    <row r="45" spans="1:40" x14ac:dyDescent="0.2">
      <c r="A45" s="5" t="s">
        <v>32</v>
      </c>
    </row>
    <row r="46" spans="1:40" x14ac:dyDescent="0.2">
      <c r="A46" s="5" t="s">
        <v>4</v>
      </c>
    </row>
    <row r="47" spans="1:40" x14ac:dyDescent="0.2">
      <c r="A47" s="5" t="s">
        <v>50</v>
      </c>
    </row>
    <row r="48" spans="1:40" x14ac:dyDescent="0.2">
      <c r="A48" s="5" t="s">
        <v>6</v>
      </c>
    </row>
    <row r="49" spans="1:40" x14ac:dyDescent="0.2">
      <c r="A49" t="s">
        <v>156</v>
      </c>
      <c r="B49">
        <v>1000000</v>
      </c>
    </row>
    <row r="50" spans="1:40" x14ac:dyDescent="0.2">
      <c r="A50" s="6" t="s">
        <v>7</v>
      </c>
      <c r="B50" s="6">
        <v>2022</v>
      </c>
      <c r="C50" s="6">
        <v>2023</v>
      </c>
      <c r="D50" s="6">
        <v>2024</v>
      </c>
      <c r="E50" s="6">
        <v>2025</v>
      </c>
      <c r="F50" s="6">
        <v>2026</v>
      </c>
      <c r="G50" s="6">
        <v>2027</v>
      </c>
      <c r="H50" s="6">
        <v>2028</v>
      </c>
      <c r="I50" s="6">
        <v>2029</v>
      </c>
      <c r="J50" s="6">
        <v>2030</v>
      </c>
      <c r="K50" s="6">
        <v>2031</v>
      </c>
      <c r="L50" s="6">
        <v>2032</v>
      </c>
      <c r="M50" s="6">
        <v>2033</v>
      </c>
      <c r="N50" s="6">
        <v>2034</v>
      </c>
      <c r="O50" s="6">
        <v>2035</v>
      </c>
      <c r="P50" s="6">
        <v>2036</v>
      </c>
      <c r="Q50" s="6">
        <v>2037</v>
      </c>
      <c r="R50" s="6">
        <v>2038</v>
      </c>
      <c r="S50" s="6">
        <v>2039</v>
      </c>
      <c r="T50" s="6">
        <v>2040</v>
      </c>
      <c r="U50" s="6">
        <v>2041</v>
      </c>
      <c r="V50" s="6">
        <v>2042</v>
      </c>
      <c r="W50" s="6">
        <v>2043</v>
      </c>
      <c r="X50" s="6">
        <v>2044</v>
      </c>
      <c r="Y50" s="6">
        <v>2045</v>
      </c>
      <c r="Z50" s="6">
        <v>2046</v>
      </c>
      <c r="AA50" s="6">
        <v>2047</v>
      </c>
      <c r="AB50" s="6">
        <v>2048</v>
      </c>
      <c r="AC50" s="6">
        <v>2049</v>
      </c>
      <c r="AD50" s="6">
        <v>2050</v>
      </c>
      <c r="AE50" s="6">
        <v>2051</v>
      </c>
      <c r="AF50" s="6">
        <v>2052</v>
      </c>
      <c r="AG50" s="6">
        <v>2053</v>
      </c>
      <c r="AH50" s="6">
        <v>2054</v>
      </c>
      <c r="AI50" s="6">
        <v>2055</v>
      </c>
      <c r="AJ50" s="6">
        <v>2056</v>
      </c>
      <c r="AK50" s="6">
        <v>2057</v>
      </c>
      <c r="AL50" s="6">
        <v>2058</v>
      </c>
      <c r="AM50" s="6">
        <v>2059</v>
      </c>
      <c r="AN50" s="6">
        <v>2060</v>
      </c>
    </row>
    <row r="51" spans="1:40" x14ac:dyDescent="0.2">
      <c r="A51" s="6" t="s">
        <v>34</v>
      </c>
      <c r="B51" s="11">
        <v>6.6014342236457324</v>
      </c>
      <c r="C51" s="11">
        <v>7.0322743659170053</v>
      </c>
      <c r="D51" s="11">
        <v>7.4912331293702428</v>
      </c>
      <c r="E51" s="11">
        <v>7.9801456653286351</v>
      </c>
      <c r="F51" s="11">
        <v>8.5009668955819802</v>
      </c>
      <c r="G51" s="11">
        <v>9.0557793291614832</v>
      </c>
      <c r="H51" s="11">
        <v>9.6468013892735218</v>
      </c>
      <c r="I51" s="11">
        <v>10.276396283687543</v>
      </c>
      <c r="J51" s="11">
        <v>10.947081454046604</v>
      </c>
      <c r="K51" s="11">
        <v>11.661538641883567</v>
      </c>
      <c r="L51" s="11">
        <v>12.422624611592189</v>
      </c>
      <c r="M51" s="11">
        <v>13.233382573228777</v>
      </c>
      <c r="N51" s="11">
        <v>14.097054350818855</v>
      </c>
      <c r="O51" s="11">
        <v>15.017093344823781</v>
      </c>
      <c r="P51" s="11">
        <v>15.997178340597888</v>
      </c>
      <c r="Q51" s="11">
        <v>17.041228218049493</v>
      </c>
      <c r="R51" s="11">
        <v>18.153417621322376</v>
      </c>
      <c r="S51" s="11">
        <v>19.338193651153205</v>
      </c>
      <c r="T51" s="11">
        <v>20.60029364664949</v>
      </c>
      <c r="U51" s="11">
        <v>21.944764127588552</v>
      </c>
      <c r="V51" s="11">
        <v>23.3769809729786</v>
      </c>
      <c r="W51" s="11">
        <v>24.902670916566148</v>
      </c>
      <c r="X51" s="11">
        <v>26.527934445239591</v>
      </c>
      <c r="Y51" s="11">
        <v>28.259270191888614</v>
      </c>
      <c r="Z51" s="11">
        <v>30.103600920254443</v>
      </c>
      <c r="AA51" s="11">
        <v>32.068301205671716</v>
      </c>
      <c r="AB51" s="11">
        <v>34.161226922383548</v>
      </c>
      <c r="AC51" s="11">
        <v>36.390746655335278</v>
      </c>
      <c r="AD51" s="11">
        <v>38.765775162047227</v>
      </c>
      <c r="AE51" s="11">
        <v>41.295809018364118</v>
      </c>
      <c r="AF51" s="11">
        <v>43.990964590610901</v>
      </c>
      <c r="AG51" s="11">
        <v>46.862018485987342</v>
      </c>
      <c r="AH51" s="11">
        <v>49.920450642942406</v>
      </c>
      <c r="AI51" s="11">
        <v>53.178490233825976</v>
      </c>
      <c r="AJ51" s="11">
        <v>56.649164563359768</v>
      </c>
      <c r="AK51" s="11">
        <v>60.346351158449089</v>
      </c>
      <c r="AL51" s="11">
        <v>64.284833257616299</v>
      </c>
      <c r="AM51" s="11">
        <v>68.480358921931852</v>
      </c>
      <c r="AN51" s="11">
        <v>72.949704003797862</v>
      </c>
    </row>
    <row r="52" spans="1:40" x14ac:dyDescent="0.2">
      <c r="A52" s="6" t="s">
        <v>35</v>
      </c>
      <c r="B52" s="11">
        <v>2.0610812734459527</v>
      </c>
      <c r="C52" s="11">
        <v>2.1955969739740877</v>
      </c>
      <c r="D52" s="11">
        <v>2.338891791522836</v>
      </c>
      <c r="E52" s="11">
        <v>2.4915386918899358</v>
      </c>
      <c r="F52" s="11">
        <v>2.6541480352722013</v>
      </c>
      <c r="G52" s="11">
        <v>2.8273700167970248</v>
      </c>
      <c r="H52" s="11">
        <v>3.0118972663342665</v>
      </c>
      <c r="I52" s="11">
        <v>3.2084676179838936</v>
      </c>
      <c r="J52" s="11">
        <v>3.4178670603131929</v>
      </c>
      <c r="K52" s="11">
        <v>3.6409328791401183</v>
      </c>
      <c r="L52" s="11">
        <v>3.8785570054292351</v>
      </c>
      <c r="M52" s="11">
        <v>4.1316895816868122</v>
      </c>
      <c r="N52" s="11">
        <v>4.4013427611153899</v>
      </c>
      <c r="O52" s="11">
        <v>4.6885947547187365</v>
      </c>
      <c r="P52" s="11">
        <v>4.9945941425396132</v>
      </c>
      <c r="Q52" s="11">
        <v>5.3205644662688458</v>
      </c>
      <c r="R52" s="11">
        <v>5.6678091215893396</v>
      </c>
      <c r="S52" s="11">
        <v>6.0377165698170634</v>
      </c>
      <c r="T52" s="11">
        <v>6.4317658896778944</v>
      </c>
      <c r="U52" s="11">
        <v>6.8515326914190489</v>
      </c>
      <c r="V52" s="11">
        <v>7.2986954169028193</v>
      </c>
      <c r="W52" s="11">
        <v>7.7750420508735925</v>
      </c>
      <c r="X52" s="11">
        <v>8.2824772702331746</v>
      </c>
      <c r="Y52" s="11">
        <v>8.8230300599109253</v>
      </c>
      <c r="Z52" s="11">
        <v>9.3988618257807985</v>
      </c>
      <c r="AA52" s="11">
        <v>10.012275037064923</v>
      </c>
      <c r="AB52" s="11">
        <v>10.665722432780381</v>
      </c>
      <c r="AC52" s="11">
        <v>11.361816829041331</v>
      </c>
      <c r="AD52" s="11">
        <v>12.103341566431034</v>
      </c>
      <c r="AE52" s="11">
        <v>12.893261639217755</v>
      </c>
      <c r="AF52" s="11">
        <v>13.734735550914715</v>
      </c>
      <c r="AG52" s="11">
        <v>14.631127943588806</v>
      </c>
      <c r="AH52" s="11">
        <v>15.586023051416404</v>
      </c>
      <c r="AI52" s="11">
        <v>16.603239032280506</v>
      </c>
      <c r="AJ52" s="11">
        <v>17.686843234714136</v>
      </c>
      <c r="AK52" s="11">
        <v>18.841168461235238</v>
      </c>
      <c r="AL52" s="11">
        <v>20.070830293101917</v>
      </c>
      <c r="AM52" s="11">
        <v>21.380745545761524</v>
      </c>
      <c r="AN52" s="11">
        <v>22.776151928787566</v>
      </c>
    </row>
    <row r="53" spans="1:40" x14ac:dyDescent="0.2">
      <c r="A53" s="6" t="s">
        <v>36</v>
      </c>
      <c r="B53" s="11">
        <v>0.61732869059733841</v>
      </c>
      <c r="C53" s="11">
        <v>0.65761841732557225</v>
      </c>
      <c r="D53" s="11">
        <v>0.70053763804065605</v>
      </c>
      <c r="E53" s="11">
        <v>0.74625796568684055</v>
      </c>
      <c r="F53" s="11">
        <v>0.79496221346317153</v>
      </c>
      <c r="G53" s="11">
        <v>0.84684512580393967</v>
      </c>
      <c r="H53" s="11">
        <v>0.90211415706630205</v>
      </c>
      <c r="I53" s="11">
        <v>0.9609903010386539</v>
      </c>
      <c r="J53" s="11">
        <v>1.02370897458656</v>
      </c>
      <c r="K53" s="11">
        <v>1.0905209589695042</v>
      </c>
      <c r="L53" s="11">
        <v>1.1616934025923313</v>
      </c>
      <c r="M53" s="11">
        <v>1.237510889200881</v>
      </c>
      <c r="N53" s="11">
        <v>1.3182765757930153</v>
      </c>
      <c r="O53" s="11">
        <v>1.4043134047949841</v>
      </c>
      <c r="P53" s="11">
        <v>1.4959653953500287</v>
      </c>
      <c r="Q53" s="11">
        <v>1.5935990188824563</v>
      </c>
      <c r="R53" s="11">
        <v>1.6976046644373863</v>
      </c>
      <c r="S53" s="11">
        <v>1.8083981996553524</v>
      </c>
      <c r="T53" s="11">
        <v>1.9264226336233308</v>
      </c>
      <c r="U53" s="11">
        <v>2.0521498882511162</v>
      </c>
      <c r="V53" s="11">
        <v>2.1860826852559172</v>
      </c>
      <c r="W53" s="11">
        <v>2.3287565563003034</v>
      </c>
      <c r="X53" s="11">
        <v>2.4807419843210474</v>
      </c>
      <c r="Y53" s="11">
        <v>2.6426466846110017</v>
      </c>
      <c r="Z53" s="11">
        <v>2.8151180347749252</v>
      </c>
      <c r="AA53" s="11">
        <v>2.9988456632754841</v>
      </c>
      <c r="AB53" s="11">
        <v>3.1945642069197282</v>
      </c>
      <c r="AC53" s="11">
        <v>3.4030562483118958</v>
      </c>
      <c r="AD53" s="11">
        <v>3.6251554450179913</v>
      </c>
      <c r="AE53" s="11">
        <v>3.8617498629541105</v>
      </c>
      <c r="AF53" s="11">
        <v>4.1137855273271127</v>
      </c>
      <c r="AG53" s="11">
        <v>4.3822702053261153</v>
      </c>
      <c r="AH53" s="11">
        <v>4.6682774356899381</v>
      </c>
      <c r="AI53" s="11">
        <v>4.97295082126276</v>
      </c>
      <c r="AJ53" s="11">
        <v>5.2975086017018187</v>
      </c>
      <c r="AK53" s="11">
        <v>5.6432485246211819</v>
      </c>
      <c r="AL53" s="11">
        <v>6.0115530346488848</v>
      </c>
      <c r="AM53" s="11">
        <v>6.403894801145964</v>
      </c>
      <c r="AN53" s="11">
        <v>6.8218426066899962</v>
      </c>
    </row>
    <row r="54" spans="1:40" x14ac:dyDescent="0.2">
      <c r="A54" s="6" t="s">
        <v>37</v>
      </c>
      <c r="B54" s="11">
        <v>0.67707017678417769</v>
      </c>
      <c r="C54" s="11">
        <v>0.72125890932482106</v>
      </c>
      <c r="D54" s="11">
        <v>0.7683316030123325</v>
      </c>
      <c r="E54" s="11">
        <v>0.81847647849524463</v>
      </c>
      <c r="F54" s="11">
        <v>0.87189404057251063</v>
      </c>
      <c r="G54" s="11">
        <v>0.92879787991399843</v>
      </c>
      <c r="H54" s="11">
        <v>0.98941552710497649</v>
      </c>
      <c r="I54" s="11">
        <v>1.0539893624294914</v>
      </c>
      <c r="J54" s="11">
        <v>1.1227775850304207</v>
      </c>
      <c r="K54" s="11">
        <v>1.1960552453213915</v>
      </c>
      <c r="L54" s="11">
        <v>1.2741153447786862</v>
      </c>
      <c r="M54" s="11">
        <v>1.3572700075106436</v>
      </c>
      <c r="N54" s="11">
        <v>1.4458517282891135</v>
      </c>
      <c r="O54" s="11">
        <v>1.5402147020332082</v>
      </c>
      <c r="P54" s="11">
        <v>1.6407362400613219</v>
      </c>
      <c r="Q54" s="11">
        <v>1.7478182787743068</v>
      </c>
      <c r="R54" s="11">
        <v>1.8618889868022948</v>
      </c>
      <c r="S54" s="11">
        <v>1.9834044770413541</v>
      </c>
      <c r="T54" s="11">
        <v>2.1128506304255885</v>
      </c>
      <c r="U54" s="11">
        <v>2.2507450387270307</v>
      </c>
      <c r="V54" s="11">
        <v>2.3976390741516509</v>
      </c>
      <c r="W54" s="11">
        <v>2.5541200940067843</v>
      </c>
      <c r="X54" s="11">
        <v>2.7208137892553426</v>
      </c>
      <c r="Y54" s="11">
        <v>2.8983866863475503</v>
      </c>
      <c r="Z54" s="11">
        <v>3.0875488123337891</v>
      </c>
      <c r="AA54" s="11">
        <v>3.2890565339150473</v>
      </c>
      <c r="AB54" s="11">
        <v>3.5037155817829277</v>
      </c>
      <c r="AC54" s="11">
        <v>3.7323842723420793</v>
      </c>
      <c r="AD54" s="11">
        <v>3.9759769396971509</v>
      </c>
      <c r="AE54" s="11">
        <v>4.2354675916270885</v>
      </c>
      <c r="AF54" s="11">
        <v>4.5118938041652212</v>
      </c>
      <c r="AG54" s="11">
        <v>4.8063608703576755</v>
      </c>
      <c r="AH54" s="11">
        <v>5.1200462197889651</v>
      </c>
      <c r="AI54" s="11">
        <v>5.4542041265462533</v>
      </c>
      <c r="AJ54" s="11">
        <v>5.810170724447155</v>
      </c>
      <c r="AK54" s="11">
        <v>6.1893693495845223</v>
      </c>
      <c r="AL54" s="11">
        <v>6.5933162315503901</v>
      </c>
      <c r="AM54" s="11">
        <v>7.0236265560955733</v>
      </c>
      <c r="AN54" s="11">
        <v>7.4820209234664468</v>
      </c>
    </row>
    <row r="56" spans="1:40" x14ac:dyDescent="0.2">
      <c r="A56" s="5" t="s">
        <v>52</v>
      </c>
    </row>
    <row r="57" spans="1:40" x14ac:dyDescent="0.2">
      <c r="A57" s="5" t="s">
        <v>4</v>
      </c>
    </row>
    <row r="58" spans="1:40" x14ac:dyDescent="0.2">
      <c r="A58" s="5" t="s">
        <v>53</v>
      </c>
    </row>
    <row r="59" spans="1:40" x14ac:dyDescent="0.2">
      <c r="A59" s="5" t="s">
        <v>6</v>
      </c>
    </row>
    <row r="60" spans="1:40" x14ac:dyDescent="0.2">
      <c r="A60" t="s">
        <v>155</v>
      </c>
      <c r="B60">
        <v>1000</v>
      </c>
    </row>
    <row r="61" spans="1:40" x14ac:dyDescent="0.2">
      <c r="A61" s="6" t="s">
        <v>7</v>
      </c>
      <c r="B61" s="6">
        <v>2022</v>
      </c>
      <c r="C61" s="6">
        <v>2023</v>
      </c>
      <c r="D61" s="6">
        <v>2024</v>
      </c>
      <c r="E61" s="6">
        <v>2025</v>
      </c>
      <c r="F61" s="6">
        <v>2026</v>
      </c>
      <c r="G61" s="6">
        <v>2027</v>
      </c>
      <c r="H61" s="6">
        <v>2028</v>
      </c>
      <c r="I61" s="6">
        <v>2029</v>
      </c>
      <c r="J61" s="6">
        <v>2030</v>
      </c>
      <c r="K61" s="6">
        <v>2031</v>
      </c>
      <c r="L61" s="6">
        <v>2032</v>
      </c>
      <c r="M61" s="6">
        <v>2033</v>
      </c>
      <c r="N61" s="6">
        <v>2034</v>
      </c>
      <c r="O61" s="6">
        <v>2035</v>
      </c>
      <c r="P61" s="6">
        <v>2036</v>
      </c>
      <c r="Q61" s="6">
        <v>2037</v>
      </c>
      <c r="R61" s="6">
        <v>2038</v>
      </c>
      <c r="S61" s="6">
        <v>2039</v>
      </c>
      <c r="T61" s="6">
        <v>2040</v>
      </c>
      <c r="U61" s="6">
        <v>2041</v>
      </c>
      <c r="V61" s="6">
        <v>2042</v>
      </c>
      <c r="W61" s="6">
        <v>2043</v>
      </c>
      <c r="X61" s="6">
        <v>2044</v>
      </c>
      <c r="Y61" s="6">
        <v>2045</v>
      </c>
      <c r="Z61" s="6">
        <v>2046</v>
      </c>
      <c r="AA61" s="6">
        <v>2047</v>
      </c>
      <c r="AB61" s="6">
        <v>2048</v>
      </c>
      <c r="AC61" s="6">
        <v>2049</v>
      </c>
      <c r="AD61" s="6">
        <v>2050</v>
      </c>
      <c r="AE61" s="6">
        <v>2051</v>
      </c>
      <c r="AF61" s="6">
        <v>2052</v>
      </c>
      <c r="AG61" s="6">
        <v>2053</v>
      </c>
      <c r="AH61" s="6">
        <v>2054</v>
      </c>
      <c r="AI61" s="6">
        <v>2055</v>
      </c>
      <c r="AJ61" s="6">
        <v>2056</v>
      </c>
      <c r="AK61" s="6">
        <v>2057</v>
      </c>
      <c r="AL61" s="6">
        <v>2058</v>
      </c>
      <c r="AM61" s="6">
        <v>2059</v>
      </c>
      <c r="AN61" s="6">
        <v>2060</v>
      </c>
    </row>
    <row r="62" spans="1:40" x14ac:dyDescent="0.2">
      <c r="A62" s="6" t="s">
        <v>34</v>
      </c>
      <c r="B62" s="11">
        <v>712.29010499999993</v>
      </c>
      <c r="C62" s="11">
        <v>714.72574005049171</v>
      </c>
      <c r="D62" s="11">
        <v>717.16137510098338</v>
      </c>
      <c r="E62" s="11">
        <v>719.59701015147516</v>
      </c>
      <c r="F62" s="11">
        <v>726.1122999036703</v>
      </c>
      <c r="G62" s="11">
        <v>732.62758965586545</v>
      </c>
      <c r="H62" s="11">
        <v>739.14287940806071</v>
      </c>
      <c r="I62" s="11">
        <v>745.65816916025585</v>
      </c>
      <c r="J62" s="11">
        <v>752.173458912451</v>
      </c>
      <c r="K62" s="11">
        <v>757.64579874674826</v>
      </c>
      <c r="L62" s="11">
        <v>763.11813858104563</v>
      </c>
      <c r="M62" s="11">
        <v>768.59047841534289</v>
      </c>
      <c r="N62" s="11">
        <v>774.06281824964015</v>
      </c>
      <c r="O62" s="11">
        <v>779.53515808393763</v>
      </c>
      <c r="P62" s="11">
        <v>783.95249113417071</v>
      </c>
      <c r="Q62" s="11">
        <v>788.3698241844038</v>
      </c>
      <c r="R62" s="11">
        <v>792.78715723463699</v>
      </c>
      <c r="S62" s="11">
        <v>797.20449028486996</v>
      </c>
      <c r="T62" s="11">
        <v>801.62182333510316</v>
      </c>
      <c r="U62" s="11">
        <v>805.00730766940546</v>
      </c>
      <c r="V62" s="11">
        <v>808.392792003708</v>
      </c>
      <c r="W62" s="11">
        <v>811.77827633801019</v>
      </c>
      <c r="X62" s="11">
        <v>815.16376067231272</v>
      </c>
      <c r="Y62" s="11">
        <v>818.54924500661491</v>
      </c>
      <c r="Z62" s="11">
        <v>820.9447077223939</v>
      </c>
      <c r="AA62" s="11">
        <v>823.34017043817278</v>
      </c>
      <c r="AB62" s="11">
        <v>825.73563315395165</v>
      </c>
      <c r="AC62" s="11">
        <v>828.13109586973042</v>
      </c>
      <c r="AD62" s="11">
        <v>830.52655858550929</v>
      </c>
      <c r="AE62" s="11">
        <v>830.52655858550929</v>
      </c>
      <c r="AF62" s="11">
        <v>830.52655858550929</v>
      </c>
      <c r="AG62" s="11">
        <v>830.52655858550929</v>
      </c>
      <c r="AH62" s="11">
        <v>830.52655858550929</v>
      </c>
      <c r="AI62" s="11">
        <v>830.52655858550929</v>
      </c>
      <c r="AJ62" s="11">
        <v>830.52655858550929</v>
      </c>
      <c r="AK62" s="11">
        <v>830.52655858550929</v>
      </c>
      <c r="AL62" s="11">
        <v>830.52655858550929</v>
      </c>
      <c r="AM62" s="11">
        <v>830.52655858550929</v>
      </c>
      <c r="AN62" s="11">
        <v>830.52655858550929</v>
      </c>
    </row>
    <row r="63" spans="1:40" x14ac:dyDescent="0.2">
      <c r="A63" s="6" t="s">
        <v>35</v>
      </c>
      <c r="B63" s="11">
        <v>300.96764999999999</v>
      </c>
      <c r="C63" s="11">
        <v>301.99679157063031</v>
      </c>
      <c r="D63" s="11">
        <v>303.02593314126062</v>
      </c>
      <c r="E63" s="11">
        <v>304.05507471189094</v>
      </c>
      <c r="F63" s="11">
        <v>306.80801404380441</v>
      </c>
      <c r="G63" s="11">
        <v>309.56095337571782</v>
      </c>
      <c r="H63" s="11">
        <v>312.31389270763128</v>
      </c>
      <c r="I63" s="11">
        <v>315.06683203954469</v>
      </c>
      <c r="J63" s="11">
        <v>317.81977137145822</v>
      </c>
      <c r="K63" s="11">
        <v>320.13202763947112</v>
      </c>
      <c r="L63" s="11">
        <v>322.44428390748413</v>
      </c>
      <c r="M63" s="11">
        <v>324.75654017549698</v>
      </c>
      <c r="N63" s="11">
        <v>327.06879644350994</v>
      </c>
      <c r="O63" s="11">
        <v>329.3810527115229</v>
      </c>
      <c r="P63" s="11">
        <v>331.24753146514257</v>
      </c>
      <c r="Q63" s="11">
        <v>333.11401021876213</v>
      </c>
      <c r="R63" s="11">
        <v>334.98048897238175</v>
      </c>
      <c r="S63" s="11">
        <v>336.84696772600142</v>
      </c>
      <c r="T63" s="11">
        <v>338.71344647962104</v>
      </c>
      <c r="U63" s="11">
        <v>340.14393281805866</v>
      </c>
      <c r="V63" s="11">
        <v>341.57441915649633</v>
      </c>
      <c r="W63" s="11">
        <v>343.00490549493389</v>
      </c>
      <c r="X63" s="11">
        <v>344.43539183337157</v>
      </c>
      <c r="Y63" s="11">
        <v>345.86587817180913</v>
      </c>
      <c r="Z63" s="11">
        <v>346.87804551650441</v>
      </c>
      <c r="AA63" s="11">
        <v>347.89021286119981</v>
      </c>
      <c r="AB63" s="11">
        <v>348.9023802058951</v>
      </c>
      <c r="AC63" s="11">
        <v>349.91454755059038</v>
      </c>
      <c r="AD63" s="11">
        <v>350.92671489528561</v>
      </c>
      <c r="AE63" s="11">
        <v>350.92671489528561</v>
      </c>
      <c r="AF63" s="11">
        <v>350.92671489528561</v>
      </c>
      <c r="AG63" s="11">
        <v>350.92671489528561</v>
      </c>
      <c r="AH63" s="11">
        <v>350.92671489528561</v>
      </c>
      <c r="AI63" s="11">
        <v>350.92671489528561</v>
      </c>
      <c r="AJ63" s="11">
        <v>350.92671489528561</v>
      </c>
      <c r="AK63" s="11">
        <v>350.92671489528561</v>
      </c>
      <c r="AL63" s="11">
        <v>350.92671489528561</v>
      </c>
      <c r="AM63" s="11">
        <v>350.92671489528561</v>
      </c>
      <c r="AN63" s="11">
        <v>350.92671489528561</v>
      </c>
    </row>
    <row r="64" spans="1:40" x14ac:dyDescent="0.2">
      <c r="A64" s="6" t="s">
        <v>36</v>
      </c>
      <c r="B64" s="11">
        <v>54.620055000000008</v>
      </c>
      <c r="C64" s="11">
        <v>54.806825136892172</v>
      </c>
      <c r="D64" s="11">
        <v>54.993595273784329</v>
      </c>
      <c r="E64" s="11">
        <v>55.180365410676501</v>
      </c>
      <c r="F64" s="11">
        <v>55.679972919060795</v>
      </c>
      <c r="G64" s="11">
        <v>56.179580427445082</v>
      </c>
      <c r="H64" s="11">
        <v>56.679187935829383</v>
      </c>
      <c r="I64" s="11">
        <v>57.178795444213669</v>
      </c>
      <c r="J64" s="11">
        <v>57.678402952597963</v>
      </c>
      <c r="K64" s="11">
        <v>58.098034645681793</v>
      </c>
      <c r="L64" s="11">
        <v>58.517666338765636</v>
      </c>
      <c r="M64" s="11">
        <v>58.937298031849451</v>
      </c>
      <c r="N64" s="11">
        <v>59.356929724933281</v>
      </c>
      <c r="O64" s="11">
        <v>59.776561418017124</v>
      </c>
      <c r="P64" s="11">
        <v>60.115292747377715</v>
      </c>
      <c r="Q64" s="11">
        <v>60.454024076738321</v>
      </c>
      <c r="R64" s="11">
        <v>60.792755406098912</v>
      </c>
      <c r="S64" s="11">
        <v>61.131486735459504</v>
      </c>
      <c r="T64" s="11">
        <v>61.470218064820109</v>
      </c>
      <c r="U64" s="11">
        <v>61.729824844758781</v>
      </c>
      <c r="V64" s="11">
        <v>61.989431624697488</v>
      </c>
      <c r="W64" s="11">
        <v>62.249038404636146</v>
      </c>
      <c r="X64" s="11">
        <v>62.508645184574831</v>
      </c>
      <c r="Y64" s="11">
        <v>62.768251964513517</v>
      </c>
      <c r="Z64" s="11">
        <v>62.951941593735995</v>
      </c>
      <c r="AA64" s="11">
        <v>63.13563122295848</v>
      </c>
      <c r="AB64" s="11">
        <v>63.319320852180958</v>
      </c>
      <c r="AC64" s="11">
        <v>63.503010481403436</v>
      </c>
      <c r="AD64" s="11">
        <v>63.686700110625914</v>
      </c>
      <c r="AE64" s="11">
        <v>63.686700110625914</v>
      </c>
      <c r="AF64" s="11">
        <v>63.686700110625914</v>
      </c>
      <c r="AG64" s="11">
        <v>63.686700110625914</v>
      </c>
      <c r="AH64" s="11">
        <v>63.686700110625914</v>
      </c>
      <c r="AI64" s="11">
        <v>63.686700110625914</v>
      </c>
      <c r="AJ64" s="11">
        <v>63.686700110625914</v>
      </c>
      <c r="AK64" s="11">
        <v>63.686700110625914</v>
      </c>
      <c r="AL64" s="11">
        <v>63.686700110625914</v>
      </c>
      <c r="AM64" s="11">
        <v>63.686700110625914</v>
      </c>
      <c r="AN64" s="11">
        <v>63.686700110625914</v>
      </c>
    </row>
    <row r="65" spans="1:40" x14ac:dyDescent="0.2">
      <c r="A65" s="6" t="s">
        <v>37</v>
      </c>
      <c r="B65" s="11">
        <v>46.817190000000004</v>
      </c>
      <c r="C65" s="11">
        <v>46.977278688764713</v>
      </c>
      <c r="D65" s="11">
        <v>47.137367377529422</v>
      </c>
      <c r="E65" s="11">
        <v>47.297456066294139</v>
      </c>
      <c r="F65" s="11">
        <v>47.725691073480682</v>
      </c>
      <c r="G65" s="11">
        <v>48.153926080667205</v>
      </c>
      <c r="H65" s="11">
        <v>48.582161087853748</v>
      </c>
      <c r="I65" s="11">
        <v>49.010396095040285</v>
      </c>
      <c r="J65" s="11">
        <v>49.438631102226829</v>
      </c>
      <c r="K65" s="11">
        <v>49.798315410584387</v>
      </c>
      <c r="L65" s="11">
        <v>50.157999718941966</v>
      </c>
      <c r="M65" s="11">
        <v>50.517684027299524</v>
      </c>
      <c r="N65" s="11">
        <v>50.877368335657088</v>
      </c>
      <c r="O65" s="11">
        <v>51.237052644014675</v>
      </c>
      <c r="P65" s="11">
        <v>51.527393783466614</v>
      </c>
      <c r="Q65" s="11">
        <v>51.817734922918547</v>
      </c>
      <c r="R65" s="11">
        <v>52.108076062370493</v>
      </c>
      <c r="S65" s="11">
        <v>52.398417201822426</v>
      </c>
      <c r="T65" s="11">
        <v>52.688758341274379</v>
      </c>
      <c r="U65" s="11">
        <v>52.911278438364675</v>
      </c>
      <c r="V65" s="11">
        <v>53.133798535454979</v>
      </c>
      <c r="W65" s="11">
        <v>53.356318632545268</v>
      </c>
      <c r="X65" s="11">
        <v>53.578838729635571</v>
      </c>
      <c r="Y65" s="11">
        <v>53.801358826725867</v>
      </c>
      <c r="Z65" s="11">
        <v>53.958807080345132</v>
      </c>
      <c r="AA65" s="11">
        <v>54.116255333964411</v>
      </c>
      <c r="AB65" s="11">
        <v>54.273703587583675</v>
      </c>
      <c r="AC65" s="11">
        <v>54.43115184120294</v>
      </c>
      <c r="AD65" s="11">
        <v>54.588600094822198</v>
      </c>
      <c r="AE65" s="11">
        <v>54.588600094822198</v>
      </c>
      <c r="AF65" s="11">
        <v>54.588600094822198</v>
      </c>
      <c r="AG65" s="11">
        <v>54.588600094822198</v>
      </c>
      <c r="AH65" s="11">
        <v>54.588600094822198</v>
      </c>
      <c r="AI65" s="11">
        <v>54.588600094822198</v>
      </c>
      <c r="AJ65" s="11">
        <v>54.588600094822198</v>
      </c>
      <c r="AK65" s="11">
        <v>54.588600094822198</v>
      </c>
      <c r="AL65" s="11">
        <v>54.588600094822198</v>
      </c>
      <c r="AM65" s="11">
        <v>54.588600094822198</v>
      </c>
      <c r="AN65" s="11">
        <v>54.588600094822198</v>
      </c>
    </row>
    <row r="67" spans="1:40" x14ac:dyDescent="0.2">
      <c r="A67" s="5" t="s">
        <v>52</v>
      </c>
    </row>
    <row r="68" spans="1:40" x14ac:dyDescent="0.2">
      <c r="A68" s="5" t="s">
        <v>4</v>
      </c>
    </row>
    <row r="69" spans="1:40" x14ac:dyDescent="0.2">
      <c r="A69" s="5" t="s">
        <v>55</v>
      </c>
    </row>
    <row r="70" spans="1:40" x14ac:dyDescent="0.2">
      <c r="A70" s="5" t="s">
        <v>6</v>
      </c>
    </row>
    <row r="71" spans="1:40" x14ac:dyDescent="0.2">
      <c r="A71" t="s">
        <v>155</v>
      </c>
      <c r="B71">
        <v>1000</v>
      </c>
    </row>
    <row r="72" spans="1:40" x14ac:dyDescent="0.2">
      <c r="A72" s="6" t="s">
        <v>7</v>
      </c>
      <c r="B72" s="6">
        <v>2022</v>
      </c>
      <c r="C72" s="6">
        <v>2023</v>
      </c>
      <c r="D72" s="6">
        <v>2024</v>
      </c>
      <c r="E72" s="6">
        <v>2025</v>
      </c>
      <c r="F72" s="6">
        <v>2026</v>
      </c>
      <c r="G72" s="6">
        <v>2027</v>
      </c>
      <c r="H72" s="6">
        <v>2028</v>
      </c>
      <c r="I72" s="6">
        <v>2029</v>
      </c>
      <c r="J72" s="6">
        <v>2030</v>
      </c>
      <c r="K72" s="6">
        <v>2031</v>
      </c>
      <c r="L72" s="6">
        <v>2032</v>
      </c>
      <c r="M72" s="6">
        <v>2033</v>
      </c>
      <c r="N72" s="6">
        <v>2034</v>
      </c>
      <c r="O72" s="6">
        <v>2035</v>
      </c>
      <c r="P72" s="6">
        <v>2036</v>
      </c>
      <c r="Q72" s="6">
        <v>2037</v>
      </c>
      <c r="R72" s="6">
        <v>2038</v>
      </c>
      <c r="S72" s="6">
        <v>2039</v>
      </c>
      <c r="T72" s="6">
        <v>2040</v>
      </c>
      <c r="U72" s="6">
        <v>2041</v>
      </c>
      <c r="V72" s="6">
        <v>2042</v>
      </c>
      <c r="W72" s="6">
        <v>2043</v>
      </c>
      <c r="X72" s="6">
        <v>2044</v>
      </c>
      <c r="Y72" s="6">
        <v>2045</v>
      </c>
      <c r="Z72" s="6">
        <v>2046</v>
      </c>
      <c r="AA72" s="6">
        <v>2047</v>
      </c>
      <c r="AB72" s="6">
        <v>2048</v>
      </c>
      <c r="AC72" s="6">
        <v>2049</v>
      </c>
      <c r="AD72" s="6">
        <v>2050</v>
      </c>
      <c r="AE72" s="6">
        <v>2051</v>
      </c>
      <c r="AF72" s="6">
        <v>2052</v>
      </c>
      <c r="AG72" s="6">
        <v>2053</v>
      </c>
      <c r="AH72" s="6">
        <v>2054</v>
      </c>
      <c r="AI72" s="6">
        <v>2055</v>
      </c>
      <c r="AJ72" s="6">
        <v>2056</v>
      </c>
      <c r="AK72" s="6">
        <v>2057</v>
      </c>
      <c r="AL72" s="6">
        <v>2058</v>
      </c>
      <c r="AM72" s="6">
        <v>2059</v>
      </c>
      <c r="AN72" s="6">
        <v>2060</v>
      </c>
    </row>
    <row r="73" spans="1:40" x14ac:dyDescent="0.2">
      <c r="A73" s="6" t="s">
        <v>34</v>
      </c>
      <c r="B73" s="11">
        <v>3610.5661353599999</v>
      </c>
      <c r="C73" s="11">
        <v>3622.9122586174626</v>
      </c>
      <c r="D73" s="11">
        <v>3635.2583818749254</v>
      </c>
      <c r="E73" s="11">
        <v>3647.6045051323877</v>
      </c>
      <c r="F73" s="11">
        <v>3680.6302124617546</v>
      </c>
      <c r="G73" s="11">
        <v>3713.6559197911215</v>
      </c>
      <c r="H73" s="11">
        <v>3746.6816271204884</v>
      </c>
      <c r="I73" s="11">
        <v>3779.7073344498558</v>
      </c>
      <c r="J73" s="11">
        <v>3812.7330417792218</v>
      </c>
      <c r="K73" s="11">
        <v>3840.4720834255963</v>
      </c>
      <c r="L73" s="11">
        <v>3868.2111250719713</v>
      </c>
      <c r="M73" s="11">
        <v>3895.9501667183449</v>
      </c>
      <c r="N73" s="11">
        <v>3923.689208364719</v>
      </c>
      <c r="O73" s="11">
        <v>3951.4282500110935</v>
      </c>
      <c r="P73" s="11">
        <v>3973.8195102684276</v>
      </c>
      <c r="Q73" s="11">
        <v>3996.2107705257604</v>
      </c>
      <c r="R73" s="11">
        <v>4018.6020307830927</v>
      </c>
      <c r="S73" s="11">
        <v>4040.9932910404268</v>
      </c>
      <c r="T73" s="11">
        <v>4063.38455129776</v>
      </c>
      <c r="U73" s="11">
        <v>4080.5454173598027</v>
      </c>
      <c r="V73" s="11">
        <v>4097.7062834218477</v>
      </c>
      <c r="W73" s="11">
        <v>4114.86714948389</v>
      </c>
      <c r="X73" s="11">
        <v>4132.028015545935</v>
      </c>
      <c r="Y73" s="11">
        <v>4149.1888816079781</v>
      </c>
      <c r="Z73" s="11">
        <v>4161.3313731284916</v>
      </c>
      <c r="AA73" s="11">
        <v>4173.4738646490059</v>
      </c>
      <c r="AB73" s="11">
        <v>4185.6163561695212</v>
      </c>
      <c r="AC73" s="11">
        <v>4197.7588476900355</v>
      </c>
      <c r="AD73" s="11">
        <v>4209.901339210548</v>
      </c>
      <c r="AE73" s="11">
        <v>4209.901339210548</v>
      </c>
      <c r="AF73" s="11">
        <v>4209.901339210548</v>
      </c>
      <c r="AG73" s="11">
        <v>4209.901339210548</v>
      </c>
      <c r="AH73" s="11">
        <v>4209.901339210548</v>
      </c>
      <c r="AI73" s="11">
        <v>4209.901339210548</v>
      </c>
      <c r="AJ73" s="11">
        <v>4209.901339210548</v>
      </c>
      <c r="AK73" s="11">
        <v>4209.901339210548</v>
      </c>
      <c r="AL73" s="11">
        <v>4209.901339210548</v>
      </c>
      <c r="AM73" s="11">
        <v>4209.901339210548</v>
      </c>
      <c r="AN73" s="11">
        <v>4209.901339210548</v>
      </c>
    </row>
    <row r="74" spans="1:40" x14ac:dyDescent="0.2">
      <c r="A74" s="6" t="s">
        <v>35</v>
      </c>
      <c r="B74" s="11">
        <v>1525.5913248000002</v>
      </c>
      <c r="C74" s="11">
        <v>1530.8079965989282</v>
      </c>
      <c r="D74" s="11">
        <v>1536.024668397856</v>
      </c>
      <c r="E74" s="11">
        <v>1541.241340196784</v>
      </c>
      <c r="F74" s="11">
        <v>1555.1958644204599</v>
      </c>
      <c r="G74" s="11">
        <v>1569.1503886441362</v>
      </c>
      <c r="H74" s="11">
        <v>1583.1049128678121</v>
      </c>
      <c r="I74" s="11">
        <v>1597.0594370914885</v>
      </c>
      <c r="J74" s="11">
        <v>1611.0139613151646</v>
      </c>
      <c r="K74" s="11">
        <v>1622.734683137576</v>
      </c>
      <c r="L74" s="11">
        <v>1634.4554049599878</v>
      </c>
      <c r="M74" s="11">
        <v>1646.1761267823995</v>
      </c>
      <c r="N74" s="11">
        <v>1657.8968486048111</v>
      </c>
      <c r="O74" s="11">
        <v>1669.617570427223</v>
      </c>
      <c r="P74" s="11">
        <v>1679.0786663106032</v>
      </c>
      <c r="Q74" s="11">
        <v>1688.5397621939837</v>
      </c>
      <c r="R74" s="11">
        <v>1698.0008580773633</v>
      </c>
      <c r="S74" s="11">
        <v>1707.461953960744</v>
      </c>
      <c r="T74" s="11">
        <v>1716.9230498441241</v>
      </c>
      <c r="U74" s="11">
        <v>1724.1741200111846</v>
      </c>
      <c r="V74" s="11">
        <v>1731.4251901782459</v>
      </c>
      <c r="W74" s="11">
        <v>1738.6762603453058</v>
      </c>
      <c r="X74" s="11">
        <v>1745.927330512367</v>
      </c>
      <c r="Y74" s="11">
        <v>1753.1784006794273</v>
      </c>
      <c r="Z74" s="11">
        <v>1758.3090308993631</v>
      </c>
      <c r="AA74" s="11">
        <v>1763.4396611192985</v>
      </c>
      <c r="AB74" s="11">
        <v>1768.5702913392342</v>
      </c>
      <c r="AC74" s="11">
        <v>1773.7009215591697</v>
      </c>
      <c r="AD74" s="11">
        <v>1778.8315517791054</v>
      </c>
      <c r="AE74" s="11">
        <v>1778.8315517791054</v>
      </c>
      <c r="AF74" s="11">
        <v>1778.8315517791054</v>
      </c>
      <c r="AG74" s="11">
        <v>1778.8315517791054</v>
      </c>
      <c r="AH74" s="11">
        <v>1778.8315517791054</v>
      </c>
      <c r="AI74" s="11">
        <v>1778.8315517791054</v>
      </c>
      <c r="AJ74" s="11">
        <v>1778.8315517791054</v>
      </c>
      <c r="AK74" s="11">
        <v>1778.8315517791054</v>
      </c>
      <c r="AL74" s="11">
        <v>1778.8315517791054</v>
      </c>
      <c r="AM74" s="11">
        <v>1778.8315517791054</v>
      </c>
      <c r="AN74" s="11">
        <v>1778.8315517791054</v>
      </c>
    </row>
    <row r="75" spans="1:40" x14ac:dyDescent="0.2">
      <c r="A75" s="6" t="s">
        <v>36</v>
      </c>
      <c r="B75" s="11">
        <v>276.86657375999999</v>
      </c>
      <c r="C75" s="11">
        <v>277.8133030864721</v>
      </c>
      <c r="D75" s="11">
        <v>278.76003241294421</v>
      </c>
      <c r="E75" s="11">
        <v>279.70676173941627</v>
      </c>
      <c r="F75" s="11">
        <v>282.23924946889827</v>
      </c>
      <c r="G75" s="11">
        <v>284.77173719838021</v>
      </c>
      <c r="H75" s="11">
        <v>287.30422492786215</v>
      </c>
      <c r="I75" s="11">
        <v>289.83671265734415</v>
      </c>
      <c r="J75" s="11">
        <v>292.36920038682615</v>
      </c>
      <c r="K75" s="11">
        <v>294.49629434718969</v>
      </c>
      <c r="L75" s="11">
        <v>296.62338830755328</v>
      </c>
      <c r="M75" s="11">
        <v>298.75048226791694</v>
      </c>
      <c r="N75" s="11">
        <v>300.87757622828047</v>
      </c>
      <c r="O75" s="11">
        <v>303.00467018864413</v>
      </c>
      <c r="P75" s="11">
        <v>304.72168388599835</v>
      </c>
      <c r="Q75" s="11">
        <v>306.43869758335256</v>
      </c>
      <c r="R75" s="11">
        <v>308.15571128070667</v>
      </c>
      <c r="S75" s="11">
        <v>309.87272497806094</v>
      </c>
      <c r="T75" s="11">
        <v>311.58973867541511</v>
      </c>
      <c r="U75" s="11">
        <v>312.9056736316594</v>
      </c>
      <c r="V75" s="11">
        <v>314.2216085879038</v>
      </c>
      <c r="W75" s="11">
        <v>315.53754354414809</v>
      </c>
      <c r="X75" s="11">
        <v>316.85347850039244</v>
      </c>
      <c r="Y75" s="11">
        <v>318.16941345663679</v>
      </c>
      <c r="Z75" s="11">
        <v>319.10052782988436</v>
      </c>
      <c r="AA75" s="11">
        <v>320.03164220313192</v>
      </c>
      <c r="AB75" s="11">
        <v>320.96275657637949</v>
      </c>
      <c r="AC75" s="11">
        <v>321.89387094962711</v>
      </c>
      <c r="AD75" s="11">
        <v>322.82498532287468</v>
      </c>
      <c r="AE75" s="11">
        <v>322.82498532287468</v>
      </c>
      <c r="AF75" s="11">
        <v>322.82498532287468</v>
      </c>
      <c r="AG75" s="11">
        <v>322.82498532287468</v>
      </c>
      <c r="AH75" s="11">
        <v>322.82498532287468</v>
      </c>
      <c r="AI75" s="11">
        <v>322.82498532287468</v>
      </c>
      <c r="AJ75" s="11">
        <v>322.82498532287468</v>
      </c>
      <c r="AK75" s="11">
        <v>322.82498532287468</v>
      </c>
      <c r="AL75" s="11">
        <v>322.82498532287468</v>
      </c>
      <c r="AM75" s="11">
        <v>322.82498532287468</v>
      </c>
      <c r="AN75" s="11">
        <v>322.82498532287468</v>
      </c>
    </row>
    <row r="76" spans="1:40" x14ac:dyDescent="0.2">
      <c r="A76" s="6" t="s">
        <v>37</v>
      </c>
      <c r="B76" s="11">
        <v>237.31420607999999</v>
      </c>
      <c r="C76" s="11">
        <v>238.12568835983328</v>
      </c>
      <c r="D76" s="11">
        <v>238.93717063966648</v>
      </c>
      <c r="E76" s="11">
        <v>239.7486529194997</v>
      </c>
      <c r="F76" s="11">
        <v>241.91935668762713</v>
      </c>
      <c r="G76" s="11">
        <v>244.09006045575453</v>
      </c>
      <c r="H76" s="11">
        <v>246.26076422388189</v>
      </c>
      <c r="I76" s="11">
        <v>248.43146799200932</v>
      </c>
      <c r="J76" s="11">
        <v>250.60217176013668</v>
      </c>
      <c r="K76" s="11">
        <v>252.42539515473405</v>
      </c>
      <c r="L76" s="11">
        <v>254.24861854933144</v>
      </c>
      <c r="M76" s="11">
        <v>256.0718419439288</v>
      </c>
      <c r="N76" s="11">
        <v>257.89506533852619</v>
      </c>
      <c r="O76" s="11">
        <v>259.71828873312353</v>
      </c>
      <c r="P76" s="11">
        <v>261.19001475942719</v>
      </c>
      <c r="Q76" s="11">
        <v>262.66174078573079</v>
      </c>
      <c r="R76" s="11">
        <v>264.13346681203433</v>
      </c>
      <c r="S76" s="11">
        <v>265.60519283833793</v>
      </c>
      <c r="T76" s="11">
        <v>267.07691886464158</v>
      </c>
      <c r="U76" s="11">
        <v>268.204863112851</v>
      </c>
      <c r="V76" s="11">
        <v>269.33280736106047</v>
      </c>
      <c r="W76" s="11">
        <v>270.46075160926983</v>
      </c>
      <c r="X76" s="11">
        <v>271.58869585747937</v>
      </c>
      <c r="Y76" s="11">
        <v>272.71664010568878</v>
      </c>
      <c r="Z76" s="11">
        <v>273.51473813990094</v>
      </c>
      <c r="AA76" s="11">
        <v>274.31283617411316</v>
      </c>
      <c r="AB76" s="11">
        <v>275.11093420832526</v>
      </c>
      <c r="AC76" s="11">
        <v>275.90903224253748</v>
      </c>
      <c r="AD76" s="11">
        <v>276.70713027674975</v>
      </c>
      <c r="AE76" s="11">
        <v>276.70713027674975</v>
      </c>
      <c r="AF76" s="11">
        <v>276.70713027674975</v>
      </c>
      <c r="AG76" s="11">
        <v>276.70713027674975</v>
      </c>
      <c r="AH76" s="11">
        <v>276.70713027674975</v>
      </c>
      <c r="AI76" s="11">
        <v>276.70713027674975</v>
      </c>
      <c r="AJ76" s="11">
        <v>276.70713027674975</v>
      </c>
      <c r="AK76" s="11">
        <v>276.70713027674975</v>
      </c>
      <c r="AL76" s="11">
        <v>276.70713027674975</v>
      </c>
      <c r="AM76" s="11">
        <v>276.70713027674975</v>
      </c>
      <c r="AN76" s="11">
        <v>276.70713027674975</v>
      </c>
    </row>
    <row r="78" spans="1:40" x14ac:dyDescent="0.2">
      <c r="A78" s="5" t="s">
        <v>52</v>
      </c>
    </row>
    <row r="79" spans="1:40" x14ac:dyDescent="0.2">
      <c r="A79" s="5" t="s">
        <v>4</v>
      </c>
    </row>
    <row r="80" spans="1:40" x14ac:dyDescent="0.2">
      <c r="A80" s="5" t="s">
        <v>57</v>
      </c>
    </row>
    <row r="81" spans="1:40" x14ac:dyDescent="0.2">
      <c r="A81" s="5" t="s">
        <v>6</v>
      </c>
    </row>
    <row r="82" spans="1:40" x14ac:dyDescent="0.2">
      <c r="A82" t="s">
        <v>155</v>
      </c>
      <c r="B82">
        <v>1000</v>
      </c>
    </row>
    <row r="83" spans="1:40" x14ac:dyDescent="0.2">
      <c r="A83" s="6" t="s">
        <v>7</v>
      </c>
      <c r="B83" s="6">
        <v>2022</v>
      </c>
      <c r="C83" s="6">
        <v>2023</v>
      </c>
      <c r="D83" s="6">
        <v>2024</v>
      </c>
      <c r="E83" s="6">
        <v>2025</v>
      </c>
      <c r="F83" s="6">
        <v>2026</v>
      </c>
      <c r="G83" s="6">
        <v>2027</v>
      </c>
      <c r="H83" s="6">
        <v>2028</v>
      </c>
      <c r="I83" s="6">
        <v>2029</v>
      </c>
      <c r="J83" s="6">
        <v>2030</v>
      </c>
      <c r="K83" s="6">
        <v>2031</v>
      </c>
      <c r="L83" s="6">
        <v>2032</v>
      </c>
      <c r="M83" s="6">
        <v>2033</v>
      </c>
      <c r="N83" s="6">
        <v>2034</v>
      </c>
      <c r="O83" s="6">
        <v>2035</v>
      </c>
      <c r="P83" s="6">
        <v>2036</v>
      </c>
      <c r="Q83" s="6">
        <v>2037</v>
      </c>
      <c r="R83" s="6">
        <v>2038</v>
      </c>
      <c r="S83" s="6">
        <v>2039</v>
      </c>
      <c r="T83" s="6">
        <v>2040</v>
      </c>
      <c r="U83" s="6">
        <v>2041</v>
      </c>
      <c r="V83" s="6">
        <v>2042</v>
      </c>
      <c r="W83" s="6">
        <v>2043</v>
      </c>
      <c r="X83" s="6">
        <v>2044</v>
      </c>
      <c r="Y83" s="6">
        <v>2045</v>
      </c>
      <c r="Z83" s="6">
        <v>2046</v>
      </c>
      <c r="AA83" s="6">
        <v>2047</v>
      </c>
      <c r="AB83" s="6">
        <v>2048</v>
      </c>
      <c r="AC83" s="6">
        <v>2049</v>
      </c>
      <c r="AD83" s="6">
        <v>2050</v>
      </c>
      <c r="AE83" s="6">
        <v>2051</v>
      </c>
      <c r="AF83" s="6">
        <v>2052</v>
      </c>
      <c r="AG83" s="6">
        <v>2053</v>
      </c>
      <c r="AH83" s="6">
        <v>2054</v>
      </c>
      <c r="AI83" s="6">
        <v>2055</v>
      </c>
      <c r="AJ83" s="6">
        <v>2056</v>
      </c>
      <c r="AK83" s="6">
        <v>2057</v>
      </c>
      <c r="AL83" s="6">
        <v>2058</v>
      </c>
      <c r="AM83" s="6">
        <v>2059</v>
      </c>
      <c r="AN83" s="6">
        <v>2060</v>
      </c>
    </row>
    <row r="84" spans="1:40" x14ac:dyDescent="0.2">
      <c r="A84" s="6" t="s">
        <v>34</v>
      </c>
      <c r="B84" s="11">
        <v>2326.3950720960001</v>
      </c>
      <c r="C84" s="11">
        <v>2334.3500462548623</v>
      </c>
      <c r="D84" s="11">
        <v>2342.3050204137244</v>
      </c>
      <c r="E84" s="11">
        <v>2350.259994572586</v>
      </c>
      <c r="F84" s="11">
        <v>2371.5394393751844</v>
      </c>
      <c r="G84" s="11">
        <v>2392.8188841777828</v>
      </c>
      <c r="H84" s="11">
        <v>2414.0983289803817</v>
      </c>
      <c r="I84" s="11">
        <v>2435.3777737829791</v>
      </c>
      <c r="J84" s="11">
        <v>2456.657218585578</v>
      </c>
      <c r="K84" s="11">
        <v>2474.5303075615138</v>
      </c>
      <c r="L84" s="11">
        <v>2492.4033965374501</v>
      </c>
      <c r="M84" s="11">
        <v>2510.2764855133864</v>
      </c>
      <c r="N84" s="11">
        <v>2528.1495744893218</v>
      </c>
      <c r="O84" s="11">
        <v>2546.0226634652581</v>
      </c>
      <c r="P84" s="11">
        <v>2560.4500179486804</v>
      </c>
      <c r="Q84" s="11">
        <v>2574.8773724321036</v>
      </c>
      <c r="R84" s="11">
        <v>2589.304726915525</v>
      </c>
      <c r="S84" s="11">
        <v>2603.7320813989477</v>
      </c>
      <c r="T84" s="11">
        <v>2618.15943588237</v>
      </c>
      <c r="U84" s="11">
        <v>2629.2166919311244</v>
      </c>
      <c r="V84" s="11">
        <v>2640.2739479798793</v>
      </c>
      <c r="W84" s="11">
        <v>2651.3312040286337</v>
      </c>
      <c r="X84" s="11">
        <v>2662.3884600773881</v>
      </c>
      <c r="Y84" s="11">
        <v>2673.4457161261425</v>
      </c>
      <c r="Z84" s="11">
        <v>2681.2694843046684</v>
      </c>
      <c r="AA84" s="11">
        <v>2689.0932524831942</v>
      </c>
      <c r="AB84" s="11">
        <v>2696.9170206617196</v>
      </c>
      <c r="AC84" s="11">
        <v>2704.7407888402454</v>
      </c>
      <c r="AD84" s="11">
        <v>2712.5645570187708</v>
      </c>
      <c r="AE84" s="11">
        <v>2712.5645570187708</v>
      </c>
      <c r="AF84" s="11">
        <v>2712.5645570187708</v>
      </c>
      <c r="AG84" s="11">
        <v>2712.5645570187708</v>
      </c>
      <c r="AH84" s="11">
        <v>2712.5645570187708</v>
      </c>
      <c r="AI84" s="11">
        <v>2712.5645570187708</v>
      </c>
      <c r="AJ84" s="11">
        <v>2712.5645570187708</v>
      </c>
      <c r="AK84" s="11">
        <v>2712.5645570187708</v>
      </c>
      <c r="AL84" s="11">
        <v>2712.5645570187708</v>
      </c>
      <c r="AM84" s="11">
        <v>2712.5645570187708</v>
      </c>
      <c r="AN84" s="11">
        <v>2712.5645570187708</v>
      </c>
    </row>
    <row r="85" spans="1:40" x14ac:dyDescent="0.2">
      <c r="A85" s="6" t="s">
        <v>35</v>
      </c>
      <c r="B85" s="11">
        <v>982.98383328</v>
      </c>
      <c r="C85" s="11">
        <v>986.34508996684315</v>
      </c>
      <c r="D85" s="11">
        <v>989.70634665368618</v>
      </c>
      <c r="E85" s="11">
        <v>993.06760334052922</v>
      </c>
      <c r="F85" s="11">
        <v>1002.0589180458526</v>
      </c>
      <c r="G85" s="11">
        <v>1011.0502327511758</v>
      </c>
      <c r="H85" s="11">
        <v>1020.0415474564992</v>
      </c>
      <c r="I85" s="11">
        <v>1029.0328621618223</v>
      </c>
      <c r="J85" s="11">
        <v>1038.0241768671456</v>
      </c>
      <c r="K85" s="11">
        <v>1045.5761862935974</v>
      </c>
      <c r="L85" s="11">
        <v>1053.1281957200492</v>
      </c>
      <c r="M85" s="11">
        <v>1060.6802051465011</v>
      </c>
      <c r="N85" s="11">
        <v>1068.2322145729531</v>
      </c>
      <c r="O85" s="11">
        <v>1075.7842239994047</v>
      </c>
      <c r="P85" s="11">
        <v>1081.8802892740905</v>
      </c>
      <c r="Q85" s="11">
        <v>1087.976354548776</v>
      </c>
      <c r="R85" s="11">
        <v>1094.0724198234614</v>
      </c>
      <c r="S85" s="11">
        <v>1100.1684850981469</v>
      </c>
      <c r="T85" s="11">
        <v>1106.2645503728322</v>
      </c>
      <c r="U85" s="11">
        <v>1110.9366303934328</v>
      </c>
      <c r="V85" s="11">
        <v>1115.6087104140331</v>
      </c>
      <c r="W85" s="11">
        <v>1120.2807904346339</v>
      </c>
      <c r="X85" s="11">
        <v>1124.9528704552345</v>
      </c>
      <c r="Y85" s="11">
        <v>1129.624950475835</v>
      </c>
      <c r="Z85" s="11">
        <v>1132.9307680160568</v>
      </c>
      <c r="AA85" s="11">
        <v>1136.2365855562791</v>
      </c>
      <c r="AB85" s="11">
        <v>1139.5424030965012</v>
      </c>
      <c r="AC85" s="11">
        <v>1142.8482206367232</v>
      </c>
      <c r="AD85" s="11">
        <v>1146.1540381769455</v>
      </c>
      <c r="AE85" s="11">
        <v>1146.1540381769455</v>
      </c>
      <c r="AF85" s="11">
        <v>1146.1540381769455</v>
      </c>
      <c r="AG85" s="11">
        <v>1146.1540381769455</v>
      </c>
      <c r="AH85" s="11">
        <v>1146.1540381769455</v>
      </c>
      <c r="AI85" s="11">
        <v>1146.1540381769455</v>
      </c>
      <c r="AJ85" s="11">
        <v>1146.1540381769455</v>
      </c>
      <c r="AK85" s="11">
        <v>1146.1540381769455</v>
      </c>
      <c r="AL85" s="11">
        <v>1146.1540381769455</v>
      </c>
      <c r="AM85" s="11">
        <v>1146.1540381769455</v>
      </c>
      <c r="AN85" s="11">
        <v>1146.1540381769455</v>
      </c>
    </row>
    <row r="86" spans="1:40" x14ac:dyDescent="0.2">
      <c r="A86" s="6" t="s">
        <v>36</v>
      </c>
      <c r="B86" s="11">
        <v>178.393362336</v>
      </c>
      <c r="C86" s="11">
        <v>179.00336817916784</v>
      </c>
      <c r="D86" s="11">
        <v>179.61337402233562</v>
      </c>
      <c r="E86" s="11">
        <v>180.22337986550346</v>
      </c>
      <c r="F86" s="11">
        <v>181.85513697869177</v>
      </c>
      <c r="G86" s="11">
        <v>183.48689409188003</v>
      </c>
      <c r="H86" s="11">
        <v>185.11865120506837</v>
      </c>
      <c r="I86" s="11">
        <v>186.75040831825663</v>
      </c>
      <c r="J86" s="11">
        <v>188.38216543144492</v>
      </c>
      <c r="K86" s="11">
        <v>189.75271529031951</v>
      </c>
      <c r="L86" s="11">
        <v>191.12326514919414</v>
      </c>
      <c r="M86" s="11">
        <v>192.49381500806868</v>
      </c>
      <c r="N86" s="11">
        <v>193.8643648669433</v>
      </c>
      <c r="O86" s="11">
        <v>195.23491472581787</v>
      </c>
      <c r="P86" s="11">
        <v>196.34123768307566</v>
      </c>
      <c r="Q86" s="11">
        <v>197.44756064033342</v>
      </c>
      <c r="R86" s="11">
        <v>198.5538835975911</v>
      </c>
      <c r="S86" s="11">
        <v>199.66020655484888</v>
      </c>
      <c r="T86" s="11">
        <v>200.76652951210659</v>
      </c>
      <c r="U86" s="11">
        <v>201.6144255158452</v>
      </c>
      <c r="V86" s="11">
        <v>202.46232151958381</v>
      </c>
      <c r="W86" s="11">
        <v>203.31021752332245</v>
      </c>
      <c r="X86" s="11">
        <v>204.15811352706106</v>
      </c>
      <c r="Y86" s="11">
        <v>205.00600953079967</v>
      </c>
      <c r="Z86" s="11">
        <v>205.60595419550663</v>
      </c>
      <c r="AA86" s="11">
        <v>206.20589886021361</v>
      </c>
      <c r="AB86" s="11">
        <v>206.80584352492059</v>
      </c>
      <c r="AC86" s="11">
        <v>207.40578818962754</v>
      </c>
      <c r="AD86" s="11">
        <v>208.00573285433452</v>
      </c>
      <c r="AE86" s="11">
        <v>208.00573285433452</v>
      </c>
      <c r="AF86" s="11">
        <v>208.00573285433452</v>
      </c>
      <c r="AG86" s="11">
        <v>208.00573285433452</v>
      </c>
      <c r="AH86" s="11">
        <v>208.00573285433452</v>
      </c>
      <c r="AI86" s="11">
        <v>208.00573285433452</v>
      </c>
      <c r="AJ86" s="11">
        <v>208.00573285433452</v>
      </c>
      <c r="AK86" s="11">
        <v>208.00573285433452</v>
      </c>
      <c r="AL86" s="11">
        <v>208.00573285433452</v>
      </c>
      <c r="AM86" s="11">
        <v>208.00573285433452</v>
      </c>
      <c r="AN86" s="11">
        <v>208.00573285433452</v>
      </c>
    </row>
    <row r="87" spans="1:40" x14ac:dyDescent="0.2">
      <c r="A87" s="6" t="s">
        <v>37</v>
      </c>
      <c r="B87" s="11">
        <v>152.90859628800001</v>
      </c>
      <c r="C87" s="11">
        <v>153.4314584392867</v>
      </c>
      <c r="D87" s="11">
        <v>153.95432059057339</v>
      </c>
      <c r="E87" s="11">
        <v>154.4771827418601</v>
      </c>
      <c r="F87" s="11">
        <v>155.87583169602149</v>
      </c>
      <c r="G87" s="11">
        <v>157.27448065018291</v>
      </c>
      <c r="H87" s="11">
        <v>158.6731296043443</v>
      </c>
      <c r="I87" s="11">
        <v>160.07177855850566</v>
      </c>
      <c r="J87" s="11">
        <v>161.47042751266707</v>
      </c>
      <c r="K87" s="11">
        <v>162.6451845345596</v>
      </c>
      <c r="L87" s="11">
        <v>163.81994155645211</v>
      </c>
      <c r="M87" s="11">
        <v>164.99469857834461</v>
      </c>
      <c r="N87" s="11">
        <v>166.16945560023709</v>
      </c>
      <c r="O87" s="11">
        <v>167.34421262212965</v>
      </c>
      <c r="P87" s="11">
        <v>168.29248944263625</v>
      </c>
      <c r="Q87" s="11">
        <v>169.24076626314292</v>
      </c>
      <c r="R87" s="11">
        <v>170.18904308364952</v>
      </c>
      <c r="S87" s="11">
        <v>171.13731990415616</v>
      </c>
      <c r="T87" s="11">
        <v>172.08559672466279</v>
      </c>
      <c r="U87" s="11">
        <v>172.8123647278673</v>
      </c>
      <c r="V87" s="11">
        <v>173.53913273107182</v>
      </c>
      <c r="W87" s="11">
        <v>174.26590073427636</v>
      </c>
      <c r="X87" s="11">
        <v>174.9926687374809</v>
      </c>
      <c r="Y87" s="11">
        <v>175.71943674068544</v>
      </c>
      <c r="Z87" s="11">
        <v>176.23367502471999</v>
      </c>
      <c r="AA87" s="11">
        <v>176.74791330875453</v>
      </c>
      <c r="AB87" s="11">
        <v>177.26215159278908</v>
      </c>
      <c r="AC87" s="11">
        <v>177.77638987682363</v>
      </c>
      <c r="AD87" s="11">
        <v>178.29062816085818</v>
      </c>
      <c r="AE87" s="11">
        <v>178.29062816085818</v>
      </c>
      <c r="AF87" s="11">
        <v>178.29062816085818</v>
      </c>
      <c r="AG87" s="11">
        <v>178.29062816085818</v>
      </c>
      <c r="AH87" s="11">
        <v>178.29062816085818</v>
      </c>
      <c r="AI87" s="11">
        <v>178.29062816085818</v>
      </c>
      <c r="AJ87" s="11">
        <v>178.29062816085818</v>
      </c>
      <c r="AK87" s="11">
        <v>178.29062816085818</v>
      </c>
      <c r="AL87" s="11">
        <v>178.29062816085818</v>
      </c>
      <c r="AM87" s="11">
        <v>178.29062816085818</v>
      </c>
      <c r="AN87" s="11">
        <v>178.29062816085818</v>
      </c>
    </row>
    <row r="89" spans="1:40" x14ac:dyDescent="0.2">
      <c r="A89" s="5" t="s">
        <v>52</v>
      </c>
    </row>
    <row r="90" spans="1:40" x14ac:dyDescent="0.2">
      <c r="A90" s="5" t="s">
        <v>4</v>
      </c>
    </row>
    <row r="91" spans="1:40" x14ac:dyDescent="0.2">
      <c r="A91" s="5" t="s">
        <v>59</v>
      </c>
    </row>
    <row r="92" spans="1:40" x14ac:dyDescent="0.2">
      <c r="A92" s="5" t="s">
        <v>6</v>
      </c>
    </row>
    <row r="93" spans="1:40" x14ac:dyDescent="0.2">
      <c r="A93" t="s">
        <v>155</v>
      </c>
      <c r="B93">
        <v>1000</v>
      </c>
    </row>
    <row r="94" spans="1:40" x14ac:dyDescent="0.2">
      <c r="A94" s="6" t="s">
        <v>7</v>
      </c>
      <c r="B94" s="6">
        <v>2022</v>
      </c>
      <c r="C94" s="6">
        <v>2023</v>
      </c>
      <c r="D94" s="6">
        <v>2024</v>
      </c>
      <c r="E94" s="6">
        <v>2025</v>
      </c>
      <c r="F94" s="6">
        <v>2026</v>
      </c>
      <c r="G94" s="6">
        <v>2027</v>
      </c>
      <c r="H94" s="6">
        <v>2028</v>
      </c>
      <c r="I94" s="6">
        <v>2029</v>
      </c>
      <c r="J94" s="6">
        <v>2030</v>
      </c>
      <c r="K94" s="6">
        <v>2031</v>
      </c>
      <c r="L94" s="6">
        <v>2032</v>
      </c>
      <c r="M94" s="6">
        <v>2033</v>
      </c>
      <c r="N94" s="6">
        <v>2034</v>
      </c>
      <c r="O94" s="6">
        <v>2035</v>
      </c>
      <c r="P94" s="6">
        <v>2036</v>
      </c>
      <c r="Q94" s="6">
        <v>2037</v>
      </c>
      <c r="R94" s="6">
        <v>2038</v>
      </c>
      <c r="S94" s="6">
        <v>2039</v>
      </c>
      <c r="T94" s="6">
        <v>2040</v>
      </c>
      <c r="U94" s="6">
        <v>2041</v>
      </c>
      <c r="V94" s="6">
        <v>2042</v>
      </c>
      <c r="W94" s="6">
        <v>2043</v>
      </c>
      <c r="X94" s="6">
        <v>2044</v>
      </c>
      <c r="Y94" s="6">
        <v>2045</v>
      </c>
      <c r="Z94" s="6">
        <v>2046</v>
      </c>
      <c r="AA94" s="6">
        <v>2047</v>
      </c>
      <c r="AB94" s="6">
        <v>2048</v>
      </c>
      <c r="AC94" s="6">
        <v>2049</v>
      </c>
      <c r="AD94" s="6">
        <v>2050</v>
      </c>
      <c r="AE94" s="6">
        <v>2051</v>
      </c>
      <c r="AF94" s="6">
        <v>2052</v>
      </c>
      <c r="AG94" s="6">
        <v>2053</v>
      </c>
      <c r="AH94" s="6">
        <v>2054</v>
      </c>
      <c r="AI94" s="6">
        <v>2055</v>
      </c>
      <c r="AJ94" s="6">
        <v>2056</v>
      </c>
      <c r="AK94" s="6">
        <v>2057</v>
      </c>
      <c r="AL94" s="6">
        <v>2058</v>
      </c>
      <c r="AM94" s="6">
        <v>2059</v>
      </c>
      <c r="AN94" s="6">
        <v>2060</v>
      </c>
    </row>
    <row r="95" spans="1:40" x14ac:dyDescent="0.2">
      <c r="A95" s="6" t="s">
        <v>34</v>
      </c>
      <c r="B95" s="11">
        <v>552.81717540000011</v>
      </c>
      <c r="C95" s="11">
        <v>554.70750193895731</v>
      </c>
      <c r="D95" s="11">
        <v>556.59782847791428</v>
      </c>
      <c r="E95" s="11">
        <v>558.48815501687136</v>
      </c>
      <c r="F95" s="11">
        <v>563.5447521146524</v>
      </c>
      <c r="G95" s="11">
        <v>568.60134921243332</v>
      </c>
      <c r="H95" s="11">
        <v>573.65794631021447</v>
      </c>
      <c r="I95" s="11">
        <v>578.71454340799539</v>
      </c>
      <c r="J95" s="11">
        <v>583.77114050577643</v>
      </c>
      <c r="K95" s="11">
        <v>588.0182912506616</v>
      </c>
      <c r="L95" s="11">
        <v>592.26544199554678</v>
      </c>
      <c r="M95" s="11">
        <v>596.51259274043196</v>
      </c>
      <c r="N95" s="11">
        <v>600.75974348531724</v>
      </c>
      <c r="O95" s="11">
        <v>605.00689423020253</v>
      </c>
      <c r="P95" s="11">
        <v>608.43524113898172</v>
      </c>
      <c r="Q95" s="11">
        <v>611.86358804776137</v>
      </c>
      <c r="R95" s="11">
        <v>615.29193495654079</v>
      </c>
      <c r="S95" s="11">
        <v>618.72028186532043</v>
      </c>
      <c r="T95" s="11">
        <v>622.14862877409985</v>
      </c>
      <c r="U95" s="11">
        <v>624.77614511036836</v>
      </c>
      <c r="V95" s="11">
        <v>627.40366144663699</v>
      </c>
      <c r="W95" s="11">
        <v>630.0311777829055</v>
      </c>
      <c r="X95" s="11">
        <v>632.65869411917424</v>
      </c>
      <c r="Y95" s="11">
        <v>635.28621045544287</v>
      </c>
      <c r="Z95" s="11">
        <v>637.14535874771479</v>
      </c>
      <c r="AA95" s="11">
        <v>639.00450703998661</v>
      </c>
      <c r="AB95" s="11">
        <v>640.86365533225842</v>
      </c>
      <c r="AC95" s="11">
        <v>642.72280362453023</v>
      </c>
      <c r="AD95" s="11">
        <v>644.58195191680215</v>
      </c>
      <c r="AE95" s="11">
        <v>644.58195191680215</v>
      </c>
      <c r="AF95" s="11">
        <v>644.58195191680215</v>
      </c>
      <c r="AG95" s="11">
        <v>644.58195191680215</v>
      </c>
      <c r="AH95" s="11">
        <v>644.58195191680215</v>
      </c>
      <c r="AI95" s="11">
        <v>644.58195191680215</v>
      </c>
      <c r="AJ95" s="11">
        <v>644.58195191680215</v>
      </c>
      <c r="AK95" s="11">
        <v>644.58195191680215</v>
      </c>
      <c r="AL95" s="11">
        <v>644.58195191680215</v>
      </c>
      <c r="AM95" s="11">
        <v>644.58195191680215</v>
      </c>
      <c r="AN95" s="11">
        <v>644.58195191680215</v>
      </c>
    </row>
    <row r="96" spans="1:40" x14ac:dyDescent="0.2">
      <c r="A96" s="6" t="s">
        <v>35</v>
      </c>
      <c r="B96" s="11">
        <v>233.58472199999997</v>
      </c>
      <c r="C96" s="11">
        <v>234.38345152350306</v>
      </c>
      <c r="D96" s="11">
        <v>235.18218104700603</v>
      </c>
      <c r="E96" s="11">
        <v>235.980910570509</v>
      </c>
      <c r="F96" s="11">
        <v>238.11750089351506</v>
      </c>
      <c r="G96" s="11">
        <v>240.25409121652115</v>
      </c>
      <c r="H96" s="11">
        <v>242.39068153952721</v>
      </c>
      <c r="I96" s="11">
        <v>244.52727186253324</v>
      </c>
      <c r="J96" s="11">
        <v>246.6638621855393</v>
      </c>
      <c r="K96" s="11">
        <v>248.45843292281475</v>
      </c>
      <c r="L96" s="11">
        <v>250.25300366009017</v>
      </c>
      <c r="M96" s="11">
        <v>252.04757439736562</v>
      </c>
      <c r="N96" s="11">
        <v>253.84214513464107</v>
      </c>
      <c r="O96" s="11">
        <v>255.63671587191652</v>
      </c>
      <c r="P96" s="11">
        <v>257.08531315731631</v>
      </c>
      <c r="Q96" s="11">
        <v>258.53391044271609</v>
      </c>
      <c r="R96" s="11">
        <v>259.98250772811588</v>
      </c>
      <c r="S96" s="11">
        <v>261.43110501351561</v>
      </c>
      <c r="T96" s="11">
        <v>262.87970229891539</v>
      </c>
      <c r="U96" s="11">
        <v>263.98992046916976</v>
      </c>
      <c r="V96" s="11">
        <v>265.10013863942413</v>
      </c>
      <c r="W96" s="11">
        <v>266.21035680967839</v>
      </c>
      <c r="X96" s="11">
        <v>267.32057497993276</v>
      </c>
      <c r="Y96" s="11">
        <v>268.43079315018713</v>
      </c>
      <c r="Z96" s="11">
        <v>269.21634876664001</v>
      </c>
      <c r="AA96" s="11">
        <v>270.00190438309289</v>
      </c>
      <c r="AB96" s="11">
        <v>270.78745999954583</v>
      </c>
      <c r="AC96" s="11">
        <v>271.57301561599871</v>
      </c>
      <c r="AD96" s="11">
        <v>272.35857123245165</v>
      </c>
      <c r="AE96" s="11">
        <v>272.35857123245165</v>
      </c>
      <c r="AF96" s="11">
        <v>272.35857123245165</v>
      </c>
      <c r="AG96" s="11">
        <v>272.35857123245165</v>
      </c>
      <c r="AH96" s="11">
        <v>272.35857123245165</v>
      </c>
      <c r="AI96" s="11">
        <v>272.35857123245165</v>
      </c>
      <c r="AJ96" s="11">
        <v>272.35857123245165</v>
      </c>
      <c r="AK96" s="11">
        <v>272.35857123245165</v>
      </c>
      <c r="AL96" s="11">
        <v>272.35857123245165</v>
      </c>
      <c r="AM96" s="11">
        <v>272.35857123245165</v>
      </c>
      <c r="AN96" s="11">
        <v>272.35857123245165</v>
      </c>
    </row>
    <row r="97" spans="1:40" x14ac:dyDescent="0.2">
      <c r="A97" s="6" t="s">
        <v>36</v>
      </c>
      <c r="B97" s="11">
        <v>42.391301399999996</v>
      </c>
      <c r="C97" s="11">
        <v>42.536256017228325</v>
      </c>
      <c r="D97" s="11">
        <v>42.68121063445664</v>
      </c>
      <c r="E97" s="11">
        <v>42.826165251684962</v>
      </c>
      <c r="F97" s="11">
        <v>43.213916828823102</v>
      </c>
      <c r="G97" s="11">
        <v>43.601668405961249</v>
      </c>
      <c r="H97" s="11">
        <v>43.989419983099374</v>
      </c>
      <c r="I97" s="11">
        <v>44.377171560237514</v>
      </c>
      <c r="J97" s="11">
        <v>44.764923137375646</v>
      </c>
      <c r="K97" s="11">
        <v>45.090604493399709</v>
      </c>
      <c r="L97" s="11">
        <v>45.416285849423772</v>
      </c>
      <c r="M97" s="11">
        <v>45.741967205447835</v>
      </c>
      <c r="N97" s="11">
        <v>46.067648561471891</v>
      </c>
      <c r="O97" s="11">
        <v>46.393329917495961</v>
      </c>
      <c r="P97" s="11">
        <v>46.656223498920355</v>
      </c>
      <c r="Q97" s="11">
        <v>46.919117080344769</v>
      </c>
      <c r="R97" s="11">
        <v>47.182010661769169</v>
      </c>
      <c r="S97" s="11">
        <v>47.444904243193577</v>
      </c>
      <c r="T97" s="11">
        <v>47.70779782461797</v>
      </c>
      <c r="U97" s="11">
        <v>47.909281862923386</v>
      </c>
      <c r="V97" s="11">
        <v>48.110765901228817</v>
      </c>
      <c r="W97" s="11">
        <v>48.312249939534226</v>
      </c>
      <c r="X97" s="11">
        <v>48.513733977839649</v>
      </c>
      <c r="Y97" s="11">
        <v>48.715218016145066</v>
      </c>
      <c r="Z97" s="11">
        <v>48.857781813205037</v>
      </c>
      <c r="AA97" s="11">
        <v>49.000345610265008</v>
      </c>
      <c r="AB97" s="11">
        <v>49.142909407324971</v>
      </c>
      <c r="AC97" s="11">
        <v>49.285473204384942</v>
      </c>
      <c r="AD97" s="11">
        <v>49.42803700144492</v>
      </c>
      <c r="AE97" s="11">
        <v>49.42803700144492</v>
      </c>
      <c r="AF97" s="11">
        <v>49.42803700144492</v>
      </c>
      <c r="AG97" s="11">
        <v>49.42803700144492</v>
      </c>
      <c r="AH97" s="11">
        <v>49.42803700144492</v>
      </c>
      <c r="AI97" s="11">
        <v>49.42803700144492</v>
      </c>
      <c r="AJ97" s="11">
        <v>49.42803700144492</v>
      </c>
      <c r="AK97" s="11">
        <v>49.42803700144492</v>
      </c>
      <c r="AL97" s="11">
        <v>49.42803700144492</v>
      </c>
      <c r="AM97" s="11">
        <v>49.42803700144492</v>
      </c>
      <c r="AN97" s="11">
        <v>49.42803700144492</v>
      </c>
    </row>
    <row r="98" spans="1:40" x14ac:dyDescent="0.2">
      <c r="A98" s="6" t="s">
        <v>37</v>
      </c>
      <c r="B98" s="11">
        <v>36.3354012</v>
      </c>
      <c r="C98" s="11">
        <v>36.45964801476714</v>
      </c>
      <c r="D98" s="11">
        <v>36.583894829534266</v>
      </c>
      <c r="E98" s="11">
        <v>36.708141644301399</v>
      </c>
      <c r="F98" s="11">
        <v>37.040500138991234</v>
      </c>
      <c r="G98" s="11">
        <v>37.372858633681062</v>
      </c>
      <c r="H98" s="11">
        <v>37.705217128370897</v>
      </c>
      <c r="I98" s="11">
        <v>38.037575623060732</v>
      </c>
      <c r="J98" s="11">
        <v>38.369934117750553</v>
      </c>
      <c r="K98" s="11">
        <v>38.649089565771177</v>
      </c>
      <c r="L98" s="11">
        <v>38.928245013791809</v>
      </c>
      <c r="M98" s="11">
        <v>39.207400461812433</v>
      </c>
      <c r="N98" s="11">
        <v>39.486555909833051</v>
      </c>
      <c r="O98" s="11">
        <v>39.765711357853682</v>
      </c>
      <c r="P98" s="11">
        <v>39.991048713360307</v>
      </c>
      <c r="Q98" s="11">
        <v>40.216386068866939</v>
      </c>
      <c r="R98" s="11">
        <v>40.441723424373571</v>
      </c>
      <c r="S98" s="11">
        <v>40.66706077988021</v>
      </c>
      <c r="T98" s="11">
        <v>40.892398135386834</v>
      </c>
      <c r="U98" s="11">
        <v>41.065098739648626</v>
      </c>
      <c r="V98" s="11">
        <v>41.23779934391041</v>
      </c>
      <c r="W98" s="11">
        <v>41.410499948172188</v>
      </c>
      <c r="X98" s="11">
        <v>41.583200552433986</v>
      </c>
      <c r="Y98" s="11">
        <v>41.755901156695771</v>
      </c>
      <c r="Z98" s="11">
        <v>41.87809869703289</v>
      </c>
      <c r="AA98" s="11">
        <v>42.000296237370009</v>
      </c>
      <c r="AB98" s="11">
        <v>42.12249377770712</v>
      </c>
      <c r="AC98" s="11">
        <v>42.244691318044232</v>
      </c>
      <c r="AD98" s="11">
        <v>42.366888858381358</v>
      </c>
      <c r="AE98" s="11">
        <v>42.366888858381358</v>
      </c>
      <c r="AF98" s="11">
        <v>42.366888858381358</v>
      </c>
      <c r="AG98" s="11">
        <v>42.366888858381358</v>
      </c>
      <c r="AH98" s="11">
        <v>42.366888858381358</v>
      </c>
      <c r="AI98" s="11">
        <v>42.366888858381358</v>
      </c>
      <c r="AJ98" s="11">
        <v>42.366888858381358</v>
      </c>
      <c r="AK98" s="11">
        <v>42.366888858381358</v>
      </c>
      <c r="AL98" s="11">
        <v>42.366888858381358</v>
      </c>
      <c r="AM98" s="11">
        <v>42.366888858381358</v>
      </c>
      <c r="AN98" s="11">
        <v>42.366888858381358</v>
      </c>
    </row>
    <row r="100" spans="1:40" x14ac:dyDescent="0.2">
      <c r="A100" s="5" t="s">
        <v>52</v>
      </c>
    </row>
    <row r="101" spans="1:40" x14ac:dyDescent="0.2">
      <c r="A101" s="5" t="s">
        <v>4</v>
      </c>
    </row>
    <row r="102" spans="1:40" x14ac:dyDescent="0.2">
      <c r="A102" s="5" t="s">
        <v>61</v>
      </c>
    </row>
    <row r="103" spans="1:40" x14ac:dyDescent="0.2">
      <c r="A103" s="5" t="s">
        <v>6</v>
      </c>
    </row>
    <row r="104" spans="1:40" x14ac:dyDescent="0.2">
      <c r="A104" t="s">
        <v>155</v>
      </c>
      <c r="B104">
        <v>1000</v>
      </c>
    </row>
    <row r="105" spans="1:40" x14ac:dyDescent="0.2">
      <c r="A105" s="6" t="s">
        <v>7</v>
      </c>
      <c r="B105" s="6">
        <v>2022</v>
      </c>
      <c r="C105" s="6">
        <v>2023</v>
      </c>
      <c r="D105" s="6">
        <v>2024</v>
      </c>
      <c r="E105" s="6">
        <v>2025</v>
      </c>
      <c r="F105" s="6">
        <v>2026</v>
      </c>
      <c r="G105" s="6">
        <v>2027</v>
      </c>
      <c r="H105" s="6">
        <v>2028</v>
      </c>
      <c r="I105" s="6">
        <v>2029</v>
      </c>
      <c r="J105" s="6">
        <v>2030</v>
      </c>
      <c r="K105" s="6">
        <v>2031</v>
      </c>
      <c r="L105" s="6">
        <v>2032</v>
      </c>
      <c r="M105" s="6">
        <v>2033</v>
      </c>
      <c r="N105" s="6">
        <v>2034</v>
      </c>
      <c r="O105" s="6">
        <v>2035</v>
      </c>
      <c r="P105" s="6">
        <v>2036</v>
      </c>
      <c r="Q105" s="6">
        <v>2037</v>
      </c>
      <c r="R105" s="6">
        <v>2038</v>
      </c>
      <c r="S105" s="6">
        <v>2039</v>
      </c>
      <c r="T105" s="6">
        <v>2040</v>
      </c>
      <c r="U105" s="6">
        <v>2041</v>
      </c>
      <c r="V105" s="6">
        <v>2042</v>
      </c>
      <c r="W105" s="6">
        <v>2043</v>
      </c>
      <c r="X105" s="6">
        <v>2044</v>
      </c>
      <c r="Y105" s="6">
        <v>2045</v>
      </c>
      <c r="Z105" s="6">
        <v>2046</v>
      </c>
      <c r="AA105" s="6">
        <v>2047</v>
      </c>
      <c r="AB105" s="6">
        <v>2048</v>
      </c>
      <c r="AC105" s="6">
        <v>2049</v>
      </c>
      <c r="AD105" s="6">
        <v>2050</v>
      </c>
      <c r="AE105" s="6">
        <v>2051</v>
      </c>
      <c r="AF105" s="6">
        <v>2052</v>
      </c>
      <c r="AG105" s="6">
        <v>2053</v>
      </c>
      <c r="AH105" s="6">
        <v>2054</v>
      </c>
      <c r="AI105" s="6">
        <v>2055</v>
      </c>
      <c r="AJ105" s="6">
        <v>2056</v>
      </c>
      <c r="AK105" s="6">
        <v>2057</v>
      </c>
      <c r="AL105" s="6">
        <v>2058</v>
      </c>
      <c r="AM105" s="6">
        <v>2059</v>
      </c>
      <c r="AN105" s="6">
        <v>2060</v>
      </c>
    </row>
    <row r="106" spans="1:40" x14ac:dyDescent="0.2">
      <c r="A106" s="6" t="s">
        <v>34</v>
      </c>
      <c r="B106" s="11">
        <v>2409.5808946800003</v>
      </c>
      <c r="C106" s="11">
        <v>2417.8203179752009</v>
      </c>
      <c r="D106" s="11">
        <v>2426.0597412704005</v>
      </c>
      <c r="E106" s="11">
        <v>2434.2991645656016</v>
      </c>
      <c r="F106" s="11">
        <v>2456.339506836247</v>
      </c>
      <c r="G106" s="11">
        <v>2478.3798491068919</v>
      </c>
      <c r="H106" s="11">
        <v>2500.4201913775378</v>
      </c>
      <c r="I106" s="11">
        <v>2522.4605336481827</v>
      </c>
      <c r="J106" s="11">
        <v>2544.5008759188286</v>
      </c>
      <c r="K106" s="11">
        <v>2563.013059959233</v>
      </c>
      <c r="L106" s="11">
        <v>2581.525243999637</v>
      </c>
      <c r="M106" s="11">
        <v>2600.0374280400415</v>
      </c>
      <c r="N106" s="11">
        <v>2618.5496120804455</v>
      </c>
      <c r="O106" s="11">
        <v>2637.0617961208509</v>
      </c>
      <c r="P106" s="11">
        <v>2652.0050351867367</v>
      </c>
      <c r="Q106" s="11">
        <v>2666.9482742526238</v>
      </c>
      <c r="R106" s="11">
        <v>2681.8915133185096</v>
      </c>
      <c r="S106" s="11">
        <v>2696.8347523843959</v>
      </c>
      <c r="T106" s="11">
        <v>2711.7779914502821</v>
      </c>
      <c r="U106" s="11">
        <v>2723.230626147732</v>
      </c>
      <c r="V106" s="11">
        <v>2734.6832608451823</v>
      </c>
      <c r="W106" s="11">
        <v>2746.1358955426322</v>
      </c>
      <c r="X106" s="11">
        <v>2757.5885302400834</v>
      </c>
      <c r="Y106" s="11">
        <v>2769.0411649375337</v>
      </c>
      <c r="Z106" s="11">
        <v>2777.1446906686106</v>
      </c>
      <c r="AA106" s="11">
        <v>2785.2482163996879</v>
      </c>
      <c r="AB106" s="11">
        <v>2793.3517421307643</v>
      </c>
      <c r="AC106" s="11">
        <v>2801.4552678618415</v>
      </c>
      <c r="AD106" s="11">
        <v>2809.5587935929184</v>
      </c>
      <c r="AE106" s="11">
        <v>2809.5587935929184</v>
      </c>
      <c r="AF106" s="11">
        <v>2809.5587935929184</v>
      </c>
      <c r="AG106" s="11">
        <v>2809.5587935929184</v>
      </c>
      <c r="AH106" s="11">
        <v>2809.5587935929184</v>
      </c>
      <c r="AI106" s="11">
        <v>2809.5587935929184</v>
      </c>
      <c r="AJ106" s="11">
        <v>2809.5587935929184</v>
      </c>
      <c r="AK106" s="11">
        <v>2809.5587935929184</v>
      </c>
      <c r="AL106" s="11">
        <v>2809.5587935929184</v>
      </c>
      <c r="AM106" s="11">
        <v>2809.5587935929184</v>
      </c>
      <c r="AN106" s="11">
        <v>2809.5587935929184</v>
      </c>
    </row>
    <row r="107" spans="1:40" x14ac:dyDescent="0.2">
      <c r="A107" s="6" t="s">
        <v>35</v>
      </c>
      <c r="B107" s="11">
        <v>1018.1327724</v>
      </c>
      <c r="C107" s="11">
        <v>1021.6142188627608</v>
      </c>
      <c r="D107" s="11">
        <v>1025.0956653255214</v>
      </c>
      <c r="E107" s="11">
        <v>1028.5771117882821</v>
      </c>
      <c r="F107" s="11">
        <v>1037.8899324660197</v>
      </c>
      <c r="G107" s="11">
        <v>1047.202753143757</v>
      </c>
      <c r="H107" s="11">
        <v>1056.5155738214946</v>
      </c>
      <c r="I107" s="11">
        <v>1065.8283944992322</v>
      </c>
      <c r="J107" s="11">
        <v>1075.1412151769698</v>
      </c>
      <c r="K107" s="11">
        <v>1082.9632647715066</v>
      </c>
      <c r="L107" s="11">
        <v>1090.7853143660441</v>
      </c>
      <c r="M107" s="11">
        <v>1098.6073639605809</v>
      </c>
      <c r="N107" s="11">
        <v>1106.4294135551179</v>
      </c>
      <c r="O107" s="11">
        <v>1114.2514631496554</v>
      </c>
      <c r="P107" s="11">
        <v>1120.5655078253819</v>
      </c>
      <c r="Q107" s="11">
        <v>1126.8795525011085</v>
      </c>
      <c r="R107" s="11">
        <v>1133.1935971768353</v>
      </c>
      <c r="S107" s="11">
        <v>1139.5076418525616</v>
      </c>
      <c r="T107" s="11">
        <v>1145.8216865282882</v>
      </c>
      <c r="U107" s="11">
        <v>1150.6608279497461</v>
      </c>
      <c r="V107" s="11">
        <v>1155.4999693712041</v>
      </c>
      <c r="W107" s="11">
        <v>1160.3391107926616</v>
      </c>
      <c r="X107" s="11">
        <v>1165.1782522141198</v>
      </c>
      <c r="Y107" s="11">
        <v>1170.0173936355775</v>
      </c>
      <c r="Z107" s="11">
        <v>1173.4414185923706</v>
      </c>
      <c r="AA107" s="11">
        <v>1176.865443549164</v>
      </c>
      <c r="AB107" s="11">
        <v>1180.2894685059566</v>
      </c>
      <c r="AC107" s="11">
        <v>1183.71349346275</v>
      </c>
      <c r="AD107" s="11">
        <v>1187.1375184195429</v>
      </c>
      <c r="AE107" s="11">
        <v>1187.1375184195429</v>
      </c>
      <c r="AF107" s="11">
        <v>1187.1375184195429</v>
      </c>
      <c r="AG107" s="11">
        <v>1187.1375184195429</v>
      </c>
      <c r="AH107" s="11">
        <v>1187.1375184195429</v>
      </c>
      <c r="AI107" s="11">
        <v>1187.1375184195429</v>
      </c>
      <c r="AJ107" s="11">
        <v>1187.1375184195429</v>
      </c>
      <c r="AK107" s="11">
        <v>1187.1375184195429</v>
      </c>
      <c r="AL107" s="11">
        <v>1187.1375184195429</v>
      </c>
      <c r="AM107" s="11">
        <v>1187.1375184195429</v>
      </c>
      <c r="AN107" s="11">
        <v>1187.1375184195429</v>
      </c>
    </row>
    <row r="108" spans="1:40" x14ac:dyDescent="0.2">
      <c r="A108" s="6" t="s">
        <v>36</v>
      </c>
      <c r="B108" s="11">
        <v>184.77224387999999</v>
      </c>
      <c r="C108" s="11">
        <v>185.40406194176029</v>
      </c>
      <c r="D108" s="11">
        <v>186.03588000352056</v>
      </c>
      <c r="E108" s="11">
        <v>186.66769806528083</v>
      </c>
      <c r="F108" s="11">
        <v>188.35780255864802</v>
      </c>
      <c r="G108" s="11">
        <v>190.04790705201518</v>
      </c>
      <c r="H108" s="11">
        <v>191.73801154538236</v>
      </c>
      <c r="I108" s="11">
        <v>193.42811603874955</v>
      </c>
      <c r="J108" s="11">
        <v>195.11822053211671</v>
      </c>
      <c r="K108" s="11">
        <v>196.53777768075491</v>
      </c>
      <c r="L108" s="11">
        <v>197.95733482939315</v>
      </c>
      <c r="M108" s="11">
        <v>199.37689197803135</v>
      </c>
      <c r="N108" s="11">
        <v>200.79644912666953</v>
      </c>
      <c r="O108" s="11">
        <v>202.21600627530779</v>
      </c>
      <c r="P108" s="11">
        <v>203.36188845719889</v>
      </c>
      <c r="Q108" s="11">
        <v>204.50777063909007</v>
      </c>
      <c r="R108" s="11">
        <v>205.65365282098116</v>
      </c>
      <c r="S108" s="11">
        <v>206.79953500287229</v>
      </c>
      <c r="T108" s="11">
        <v>207.94541718476341</v>
      </c>
      <c r="U108" s="11">
        <v>208.82363173902797</v>
      </c>
      <c r="V108" s="11">
        <v>209.70184629329253</v>
      </c>
      <c r="W108" s="11">
        <v>210.58006084755709</v>
      </c>
      <c r="X108" s="11">
        <v>211.45827540182174</v>
      </c>
      <c r="Y108" s="11">
        <v>212.3364899560863</v>
      </c>
      <c r="Z108" s="11">
        <v>212.95788707787466</v>
      </c>
      <c r="AA108" s="11">
        <v>213.57928419966302</v>
      </c>
      <c r="AB108" s="11">
        <v>214.20068132145138</v>
      </c>
      <c r="AC108" s="11">
        <v>214.82207844323977</v>
      </c>
      <c r="AD108" s="11">
        <v>215.44347556502814</v>
      </c>
      <c r="AE108" s="11">
        <v>215.44347556502814</v>
      </c>
      <c r="AF108" s="11">
        <v>215.44347556502814</v>
      </c>
      <c r="AG108" s="11">
        <v>215.44347556502814</v>
      </c>
      <c r="AH108" s="11">
        <v>215.44347556502814</v>
      </c>
      <c r="AI108" s="11">
        <v>215.44347556502814</v>
      </c>
      <c r="AJ108" s="11">
        <v>215.44347556502814</v>
      </c>
      <c r="AK108" s="11">
        <v>215.44347556502814</v>
      </c>
      <c r="AL108" s="11">
        <v>215.44347556502814</v>
      </c>
      <c r="AM108" s="11">
        <v>215.44347556502814</v>
      </c>
      <c r="AN108" s="11">
        <v>215.44347556502814</v>
      </c>
    </row>
    <row r="109" spans="1:40" x14ac:dyDescent="0.2">
      <c r="A109" s="6" t="s">
        <v>37</v>
      </c>
      <c r="B109" s="11">
        <v>158.37620903999999</v>
      </c>
      <c r="C109" s="11">
        <v>158.91776737865169</v>
      </c>
      <c r="D109" s="11">
        <v>159.45932571730333</v>
      </c>
      <c r="E109" s="11">
        <v>160.00088405595503</v>
      </c>
      <c r="F109" s="11">
        <v>161.44954505026973</v>
      </c>
      <c r="G109" s="11">
        <v>162.89820604458444</v>
      </c>
      <c r="H109" s="11">
        <v>164.34686703889915</v>
      </c>
      <c r="I109" s="11">
        <v>165.79552803321388</v>
      </c>
      <c r="J109" s="11">
        <v>167.24418902752862</v>
      </c>
      <c r="K109" s="11">
        <v>168.46095229778993</v>
      </c>
      <c r="L109" s="11">
        <v>169.67771556805127</v>
      </c>
      <c r="M109" s="11">
        <v>170.89447883831258</v>
      </c>
      <c r="N109" s="11">
        <v>172.11124210857386</v>
      </c>
      <c r="O109" s="11">
        <v>173.32800537883526</v>
      </c>
      <c r="P109" s="11">
        <v>174.3101901061705</v>
      </c>
      <c r="Q109" s="11">
        <v>175.29237483350579</v>
      </c>
      <c r="R109" s="11">
        <v>176.274559560841</v>
      </c>
      <c r="S109" s="11">
        <v>177.25674428817624</v>
      </c>
      <c r="T109" s="11">
        <v>178.2389290155115</v>
      </c>
      <c r="U109" s="11">
        <v>178.99168434773821</v>
      </c>
      <c r="V109" s="11">
        <v>179.74443967996504</v>
      </c>
      <c r="W109" s="11">
        <v>180.49719501219181</v>
      </c>
      <c r="X109" s="11">
        <v>181.24995034441864</v>
      </c>
      <c r="Y109" s="11">
        <v>182.00270567664541</v>
      </c>
      <c r="Z109" s="11">
        <v>182.53533178103541</v>
      </c>
      <c r="AA109" s="11">
        <v>183.06795788542544</v>
      </c>
      <c r="AB109" s="11">
        <v>183.60058398981548</v>
      </c>
      <c r="AC109" s="11">
        <v>184.13321009420554</v>
      </c>
      <c r="AD109" s="11">
        <v>184.66583619859551</v>
      </c>
      <c r="AE109" s="11">
        <v>184.66583619859551</v>
      </c>
      <c r="AF109" s="11">
        <v>184.66583619859551</v>
      </c>
      <c r="AG109" s="11">
        <v>184.66583619859551</v>
      </c>
      <c r="AH109" s="11">
        <v>184.66583619859551</v>
      </c>
      <c r="AI109" s="11">
        <v>184.66583619859551</v>
      </c>
      <c r="AJ109" s="11">
        <v>184.66583619859551</v>
      </c>
      <c r="AK109" s="11">
        <v>184.66583619859551</v>
      </c>
      <c r="AL109" s="11">
        <v>184.66583619859551</v>
      </c>
      <c r="AM109" s="11">
        <v>184.66583619859551</v>
      </c>
      <c r="AN109" s="11">
        <v>184.66583619859551</v>
      </c>
    </row>
    <row r="111" spans="1:40" x14ac:dyDescent="0.2">
      <c r="A111" s="5" t="s">
        <v>52</v>
      </c>
    </row>
    <row r="112" spans="1:40" x14ac:dyDescent="0.2">
      <c r="A112" s="5" t="s">
        <v>4</v>
      </c>
    </row>
    <row r="113" spans="1:40" x14ac:dyDescent="0.2">
      <c r="A113" s="5" t="s">
        <v>63</v>
      </c>
    </row>
    <row r="114" spans="1:40" x14ac:dyDescent="0.2">
      <c r="A114" s="5" t="s">
        <v>6</v>
      </c>
    </row>
    <row r="115" spans="1:40" x14ac:dyDescent="0.2">
      <c r="A115" t="s">
        <v>155</v>
      </c>
      <c r="B115">
        <v>1000</v>
      </c>
    </row>
    <row r="116" spans="1:40" x14ac:dyDescent="0.2">
      <c r="A116" s="6" t="s">
        <v>7</v>
      </c>
      <c r="B116" s="6">
        <v>2022</v>
      </c>
      <c r="C116" s="6">
        <v>2023</v>
      </c>
      <c r="D116" s="6">
        <v>2024</v>
      </c>
      <c r="E116" s="6">
        <v>2025</v>
      </c>
      <c r="F116" s="6">
        <v>2026</v>
      </c>
      <c r="G116" s="6">
        <v>2027</v>
      </c>
      <c r="H116" s="6">
        <v>2028</v>
      </c>
      <c r="I116" s="6">
        <v>2029</v>
      </c>
      <c r="J116" s="6">
        <v>2030</v>
      </c>
      <c r="K116" s="6">
        <v>2031</v>
      </c>
      <c r="L116" s="6">
        <v>2032</v>
      </c>
      <c r="M116" s="6">
        <v>2033</v>
      </c>
      <c r="N116" s="6">
        <v>2034</v>
      </c>
      <c r="O116" s="6">
        <v>2035</v>
      </c>
      <c r="P116" s="6">
        <v>2036</v>
      </c>
      <c r="Q116" s="6">
        <v>2037</v>
      </c>
      <c r="R116" s="6">
        <v>2038</v>
      </c>
      <c r="S116" s="6">
        <v>2039</v>
      </c>
      <c r="T116" s="6">
        <v>2040</v>
      </c>
      <c r="U116" s="6">
        <v>2041</v>
      </c>
      <c r="V116" s="6">
        <v>2042</v>
      </c>
      <c r="W116" s="6">
        <v>2043</v>
      </c>
      <c r="X116" s="6">
        <v>2044</v>
      </c>
      <c r="Y116" s="6">
        <v>2045</v>
      </c>
      <c r="Z116" s="6">
        <v>2046</v>
      </c>
      <c r="AA116" s="6">
        <v>2047</v>
      </c>
      <c r="AB116" s="6">
        <v>2048</v>
      </c>
      <c r="AC116" s="6">
        <v>2049</v>
      </c>
      <c r="AD116" s="6">
        <v>2050</v>
      </c>
      <c r="AE116" s="6">
        <v>2051</v>
      </c>
      <c r="AF116" s="6">
        <v>2052</v>
      </c>
      <c r="AG116" s="6">
        <v>2053</v>
      </c>
      <c r="AH116" s="6">
        <v>2054</v>
      </c>
      <c r="AI116" s="6">
        <v>2055</v>
      </c>
      <c r="AJ116" s="6">
        <v>2056</v>
      </c>
      <c r="AK116" s="6">
        <v>2057</v>
      </c>
      <c r="AL116" s="6">
        <v>2058</v>
      </c>
      <c r="AM116" s="6">
        <v>2059</v>
      </c>
      <c r="AN116" s="6">
        <v>2060</v>
      </c>
    </row>
    <row r="117" spans="1:40" x14ac:dyDescent="0.2">
      <c r="A117" s="6" t="s">
        <v>34</v>
      </c>
      <c r="B117" s="11">
        <v>3560.2596079199998</v>
      </c>
      <c r="C117" s="11">
        <v>3572.433710899993</v>
      </c>
      <c r="D117" s="11">
        <v>3584.6078138799849</v>
      </c>
      <c r="E117" s="11">
        <v>3596.7819168599785</v>
      </c>
      <c r="F117" s="11">
        <v>3629.347472348968</v>
      </c>
      <c r="G117" s="11">
        <v>3661.9130278379566</v>
      </c>
      <c r="H117" s="11">
        <v>3694.4785833269466</v>
      </c>
      <c r="I117" s="11">
        <v>3727.0441388159356</v>
      </c>
      <c r="J117" s="11">
        <v>3759.6096943049261</v>
      </c>
      <c r="K117" s="11">
        <v>3786.9622439698687</v>
      </c>
      <c r="L117" s="11">
        <v>3814.3147936348128</v>
      </c>
      <c r="M117" s="11">
        <v>3841.6673432997554</v>
      </c>
      <c r="N117" s="11">
        <v>3869.019892964699</v>
      </c>
      <c r="O117" s="11">
        <v>3896.3724426296421</v>
      </c>
      <c r="P117" s="11">
        <v>3918.4517222982472</v>
      </c>
      <c r="Q117" s="11">
        <v>3940.5310019668532</v>
      </c>
      <c r="R117" s="11">
        <v>3962.6102816354569</v>
      </c>
      <c r="S117" s="11">
        <v>3984.6895613040624</v>
      </c>
      <c r="T117" s="11">
        <v>4006.7688409726675</v>
      </c>
      <c r="U117" s="11">
        <v>4023.6906022663502</v>
      </c>
      <c r="V117" s="11">
        <v>4040.6123635600347</v>
      </c>
      <c r="W117" s="11">
        <v>4057.5341248537175</v>
      </c>
      <c r="X117" s="11">
        <v>4074.4558861474011</v>
      </c>
      <c r="Y117" s="11">
        <v>4091.3776474410847</v>
      </c>
      <c r="Z117" s="11">
        <v>4103.3509559138538</v>
      </c>
      <c r="AA117" s="11">
        <v>4115.3242643866224</v>
      </c>
      <c r="AB117" s="11">
        <v>4127.297572859391</v>
      </c>
      <c r="AC117" s="11">
        <v>4139.2708813321606</v>
      </c>
      <c r="AD117" s="11">
        <v>4151.2441898049283</v>
      </c>
      <c r="AE117" s="11">
        <v>4151.2441898049283</v>
      </c>
      <c r="AF117" s="11">
        <v>4151.2441898049283</v>
      </c>
      <c r="AG117" s="11">
        <v>4151.2441898049283</v>
      </c>
      <c r="AH117" s="11">
        <v>4151.2441898049283</v>
      </c>
      <c r="AI117" s="11">
        <v>4151.2441898049283</v>
      </c>
      <c r="AJ117" s="11">
        <v>4151.2441898049283</v>
      </c>
      <c r="AK117" s="11">
        <v>4151.2441898049283</v>
      </c>
      <c r="AL117" s="11">
        <v>4151.2441898049283</v>
      </c>
      <c r="AM117" s="11">
        <v>4151.2441898049283</v>
      </c>
      <c r="AN117" s="11">
        <v>4151.2441898049283</v>
      </c>
    </row>
    <row r="118" spans="1:40" x14ac:dyDescent="0.2">
      <c r="A118" s="6" t="s">
        <v>35</v>
      </c>
      <c r="B118" s="11">
        <v>1504.3350456000001</v>
      </c>
      <c r="C118" s="11">
        <v>1509.4790327746448</v>
      </c>
      <c r="D118" s="11">
        <v>1514.6230199492893</v>
      </c>
      <c r="E118" s="11">
        <v>1519.7670071239343</v>
      </c>
      <c r="F118" s="11">
        <v>1533.5271009925216</v>
      </c>
      <c r="G118" s="11">
        <v>1547.2871948611084</v>
      </c>
      <c r="H118" s="11">
        <v>1561.0472887296955</v>
      </c>
      <c r="I118" s="11">
        <v>1574.8073825982829</v>
      </c>
      <c r="J118" s="11">
        <v>1588.5674764668699</v>
      </c>
      <c r="K118" s="11">
        <v>1600.1248918182546</v>
      </c>
      <c r="L118" s="11">
        <v>1611.682307169639</v>
      </c>
      <c r="M118" s="11">
        <v>1623.2397225210234</v>
      </c>
      <c r="N118" s="11">
        <v>1634.7971378724078</v>
      </c>
      <c r="O118" s="11">
        <v>1646.3545532237924</v>
      </c>
      <c r="P118" s="11">
        <v>1655.6838263232032</v>
      </c>
      <c r="Q118" s="11">
        <v>1665.0130994226138</v>
      </c>
      <c r="R118" s="11">
        <v>1674.3423725220237</v>
      </c>
      <c r="S118" s="11">
        <v>1683.6716456214347</v>
      </c>
      <c r="T118" s="11">
        <v>1693.0009187208454</v>
      </c>
      <c r="U118" s="11">
        <v>1700.1509587040916</v>
      </c>
      <c r="V118" s="11">
        <v>1707.3009986873387</v>
      </c>
      <c r="W118" s="11">
        <v>1714.4510386705849</v>
      </c>
      <c r="X118" s="11">
        <v>1721.6010786538316</v>
      </c>
      <c r="Y118" s="11">
        <v>1728.7511186370775</v>
      </c>
      <c r="Z118" s="11">
        <v>1733.8102630621913</v>
      </c>
      <c r="AA118" s="11">
        <v>1738.8694074873049</v>
      </c>
      <c r="AB118" s="11">
        <v>1743.9285519124187</v>
      </c>
      <c r="AC118" s="11">
        <v>1748.9876963375323</v>
      </c>
      <c r="AD118" s="11">
        <v>1754.0468407626456</v>
      </c>
      <c r="AE118" s="11">
        <v>1754.0468407626456</v>
      </c>
      <c r="AF118" s="11">
        <v>1754.0468407626456</v>
      </c>
      <c r="AG118" s="11">
        <v>1754.0468407626456</v>
      </c>
      <c r="AH118" s="11">
        <v>1754.0468407626456</v>
      </c>
      <c r="AI118" s="11">
        <v>1754.0468407626456</v>
      </c>
      <c r="AJ118" s="11">
        <v>1754.0468407626456</v>
      </c>
      <c r="AK118" s="11">
        <v>1754.0468407626456</v>
      </c>
      <c r="AL118" s="11">
        <v>1754.0468407626456</v>
      </c>
      <c r="AM118" s="11">
        <v>1754.0468407626456</v>
      </c>
      <c r="AN118" s="11">
        <v>1754.0468407626456</v>
      </c>
    </row>
    <row r="119" spans="1:40" x14ac:dyDescent="0.2">
      <c r="A119" s="6" t="s">
        <v>36</v>
      </c>
      <c r="B119" s="11">
        <v>273.00895272000002</v>
      </c>
      <c r="C119" s="11">
        <v>273.94249113317625</v>
      </c>
      <c r="D119" s="11">
        <v>274.87602954635253</v>
      </c>
      <c r="E119" s="11">
        <v>275.80956795952881</v>
      </c>
      <c r="F119" s="11">
        <v>278.30677018012426</v>
      </c>
      <c r="G119" s="11">
        <v>280.80397240071972</v>
      </c>
      <c r="H119" s="11">
        <v>283.30117462131517</v>
      </c>
      <c r="I119" s="11">
        <v>285.79837684191057</v>
      </c>
      <c r="J119" s="11">
        <v>288.29557906250602</v>
      </c>
      <c r="K119" s="11">
        <v>290.3930359225721</v>
      </c>
      <c r="L119" s="11">
        <v>292.49049278263817</v>
      </c>
      <c r="M119" s="11">
        <v>294.58794964270425</v>
      </c>
      <c r="N119" s="11">
        <v>296.68540650277032</v>
      </c>
      <c r="O119" s="11">
        <v>298.78286336283634</v>
      </c>
      <c r="P119" s="11">
        <v>300.47595366606276</v>
      </c>
      <c r="Q119" s="11">
        <v>302.16904396928919</v>
      </c>
      <c r="R119" s="11">
        <v>303.8621342725155</v>
      </c>
      <c r="S119" s="11">
        <v>305.55522457574182</v>
      </c>
      <c r="T119" s="11">
        <v>307.24831487896824</v>
      </c>
      <c r="U119" s="11">
        <v>308.54591472777958</v>
      </c>
      <c r="V119" s="11">
        <v>309.84351457659108</v>
      </c>
      <c r="W119" s="11">
        <v>311.14111442540241</v>
      </c>
      <c r="X119" s="11">
        <v>312.43871427421385</v>
      </c>
      <c r="Y119" s="11">
        <v>313.73631412302518</v>
      </c>
      <c r="Z119" s="11">
        <v>314.65445514832362</v>
      </c>
      <c r="AA119" s="11">
        <v>315.572596173622</v>
      </c>
      <c r="AB119" s="11">
        <v>316.49073719892039</v>
      </c>
      <c r="AC119" s="11">
        <v>317.40887822421882</v>
      </c>
      <c r="AD119" s="11">
        <v>318.32701924951721</v>
      </c>
      <c r="AE119" s="11">
        <v>318.32701924951721</v>
      </c>
      <c r="AF119" s="11">
        <v>318.32701924951721</v>
      </c>
      <c r="AG119" s="11">
        <v>318.32701924951721</v>
      </c>
      <c r="AH119" s="11">
        <v>318.32701924951721</v>
      </c>
      <c r="AI119" s="11">
        <v>318.32701924951721</v>
      </c>
      <c r="AJ119" s="11">
        <v>318.32701924951721</v>
      </c>
      <c r="AK119" s="11">
        <v>318.32701924951721</v>
      </c>
      <c r="AL119" s="11">
        <v>318.32701924951721</v>
      </c>
      <c r="AM119" s="11">
        <v>318.32701924951721</v>
      </c>
      <c r="AN119" s="11">
        <v>318.32701924951721</v>
      </c>
    </row>
    <row r="120" spans="1:40" x14ac:dyDescent="0.2">
      <c r="A120" s="6" t="s">
        <v>37</v>
      </c>
      <c r="B120" s="11">
        <v>234.00767376000002</v>
      </c>
      <c r="C120" s="11">
        <v>234.80784954272252</v>
      </c>
      <c r="D120" s="11">
        <v>235.60802532544503</v>
      </c>
      <c r="E120" s="11">
        <v>236.40820110816756</v>
      </c>
      <c r="F120" s="11">
        <v>238.54866015439222</v>
      </c>
      <c r="G120" s="11">
        <v>240.68911920061686</v>
      </c>
      <c r="H120" s="11">
        <v>242.82957824684152</v>
      </c>
      <c r="I120" s="11">
        <v>244.97003729306618</v>
      </c>
      <c r="J120" s="11">
        <v>247.11049633929088</v>
      </c>
      <c r="K120" s="11">
        <v>248.9083165050618</v>
      </c>
      <c r="L120" s="11">
        <v>250.70613667083273</v>
      </c>
      <c r="M120" s="11">
        <v>252.50395683660361</v>
      </c>
      <c r="N120" s="11">
        <v>254.30177700237456</v>
      </c>
      <c r="O120" s="11">
        <v>256.09959716814552</v>
      </c>
      <c r="P120" s="11">
        <v>257.55081742805385</v>
      </c>
      <c r="Q120" s="11">
        <v>259.00203768796217</v>
      </c>
      <c r="R120" s="11">
        <v>260.45325794787038</v>
      </c>
      <c r="S120" s="11">
        <v>261.90447820777877</v>
      </c>
      <c r="T120" s="11">
        <v>263.35569846768709</v>
      </c>
      <c r="U120" s="11">
        <v>264.46792690952537</v>
      </c>
      <c r="V120" s="11">
        <v>265.58015535136377</v>
      </c>
      <c r="W120" s="11">
        <v>266.69238379320211</v>
      </c>
      <c r="X120" s="11">
        <v>267.80461223504039</v>
      </c>
      <c r="Y120" s="11">
        <v>268.91684067687873</v>
      </c>
      <c r="Z120" s="11">
        <v>269.70381869856311</v>
      </c>
      <c r="AA120" s="11">
        <v>270.49079672024743</v>
      </c>
      <c r="AB120" s="11">
        <v>271.27777474193175</v>
      </c>
      <c r="AC120" s="11">
        <v>272.06475276361607</v>
      </c>
      <c r="AD120" s="11">
        <v>272.85173078530045</v>
      </c>
      <c r="AE120" s="11">
        <v>272.85173078530045</v>
      </c>
      <c r="AF120" s="11">
        <v>272.85173078530045</v>
      </c>
      <c r="AG120" s="11">
        <v>272.85173078530045</v>
      </c>
      <c r="AH120" s="11">
        <v>272.85173078530045</v>
      </c>
      <c r="AI120" s="11">
        <v>272.85173078530045</v>
      </c>
      <c r="AJ120" s="11">
        <v>272.85173078530045</v>
      </c>
      <c r="AK120" s="11">
        <v>272.85173078530045</v>
      </c>
      <c r="AL120" s="11">
        <v>272.85173078530045</v>
      </c>
      <c r="AM120" s="11">
        <v>272.85173078530045</v>
      </c>
      <c r="AN120" s="11">
        <v>272.85173078530045</v>
      </c>
    </row>
    <row r="122" spans="1:40" x14ac:dyDescent="0.2">
      <c r="A122" s="5" t="s">
        <v>52</v>
      </c>
    </row>
    <row r="123" spans="1:40" x14ac:dyDescent="0.2">
      <c r="A123" s="5" t="s">
        <v>4</v>
      </c>
    </row>
    <row r="124" spans="1:40" x14ac:dyDescent="0.2">
      <c r="A124" s="5" t="s">
        <v>65</v>
      </c>
    </row>
    <row r="125" spans="1:40" x14ac:dyDescent="0.2">
      <c r="A125" s="5" t="s">
        <v>6</v>
      </c>
    </row>
    <row r="126" spans="1:40" x14ac:dyDescent="0.2">
      <c r="A126" t="s">
        <v>155</v>
      </c>
      <c r="B126">
        <v>1000</v>
      </c>
    </row>
    <row r="127" spans="1:40" x14ac:dyDescent="0.2">
      <c r="A127" s="6" t="s">
        <v>7</v>
      </c>
      <c r="B127" s="6">
        <v>2022</v>
      </c>
      <c r="C127" s="6">
        <v>2023</v>
      </c>
      <c r="D127" s="6">
        <v>2024</v>
      </c>
      <c r="E127" s="6">
        <v>2025</v>
      </c>
      <c r="F127" s="6">
        <v>2026</v>
      </c>
      <c r="G127" s="6">
        <v>2027</v>
      </c>
      <c r="H127" s="6">
        <v>2028</v>
      </c>
      <c r="I127" s="6">
        <v>2029</v>
      </c>
      <c r="J127" s="6">
        <v>2030</v>
      </c>
      <c r="K127" s="6">
        <v>2031</v>
      </c>
      <c r="L127" s="6">
        <v>2032</v>
      </c>
      <c r="M127" s="6">
        <v>2033</v>
      </c>
      <c r="N127" s="6">
        <v>2034</v>
      </c>
      <c r="O127" s="6">
        <v>2035</v>
      </c>
      <c r="P127" s="6">
        <v>2036</v>
      </c>
      <c r="Q127" s="6">
        <v>2037</v>
      </c>
      <c r="R127" s="6">
        <v>2038</v>
      </c>
      <c r="S127" s="6">
        <v>2039</v>
      </c>
      <c r="T127" s="6">
        <v>2040</v>
      </c>
      <c r="U127" s="6">
        <v>2041</v>
      </c>
      <c r="V127" s="6">
        <v>2042</v>
      </c>
      <c r="W127" s="6">
        <v>2043</v>
      </c>
      <c r="X127" s="6">
        <v>2044</v>
      </c>
      <c r="Y127" s="6">
        <v>2045</v>
      </c>
      <c r="Z127" s="6">
        <v>2046</v>
      </c>
      <c r="AA127" s="6">
        <v>2047</v>
      </c>
      <c r="AB127" s="6">
        <v>2048</v>
      </c>
      <c r="AC127" s="6">
        <v>2049</v>
      </c>
      <c r="AD127" s="6">
        <v>2050</v>
      </c>
      <c r="AE127" s="6">
        <v>2051</v>
      </c>
      <c r="AF127" s="6">
        <v>2052</v>
      </c>
      <c r="AG127" s="6">
        <v>2053</v>
      </c>
      <c r="AH127" s="6">
        <v>2054</v>
      </c>
      <c r="AI127" s="6">
        <v>2055</v>
      </c>
      <c r="AJ127" s="6">
        <v>2056</v>
      </c>
      <c r="AK127" s="6">
        <v>2057</v>
      </c>
      <c r="AL127" s="6">
        <v>2058</v>
      </c>
      <c r="AM127" s="6">
        <v>2059</v>
      </c>
      <c r="AN127" s="6">
        <v>2060</v>
      </c>
    </row>
    <row r="128" spans="1:40" x14ac:dyDescent="0.2">
      <c r="A128" s="6" t="s">
        <v>34</v>
      </c>
      <c r="B128" s="11">
        <v>2804.9557836527997</v>
      </c>
      <c r="C128" s="11">
        <v>2804.9557836527997</v>
      </c>
      <c r="D128" s="11">
        <v>2804.9557836527997</v>
      </c>
      <c r="E128" s="11">
        <v>2804.9557836527997</v>
      </c>
      <c r="F128" s="11">
        <v>2804.9557836527997</v>
      </c>
      <c r="G128" s="11">
        <v>2804.9557836527997</v>
      </c>
      <c r="H128" s="11">
        <v>2804.9557836527997</v>
      </c>
      <c r="I128" s="11">
        <v>2804.9557836527997</v>
      </c>
      <c r="J128" s="11">
        <v>2804.9557836527997</v>
      </c>
      <c r="K128" s="11">
        <v>2804.9557836527997</v>
      </c>
      <c r="L128" s="11">
        <v>2804.9557836527997</v>
      </c>
      <c r="M128" s="11">
        <v>2804.9557836527997</v>
      </c>
      <c r="N128" s="11">
        <v>2804.9557836527997</v>
      </c>
      <c r="O128" s="11">
        <v>2804.9557836527997</v>
      </c>
      <c r="P128" s="11">
        <v>2804.9557836527997</v>
      </c>
      <c r="Q128" s="11">
        <v>2804.9557836527997</v>
      </c>
      <c r="R128" s="11">
        <v>2804.9557836527997</v>
      </c>
      <c r="S128" s="11">
        <v>2804.9557836527997</v>
      </c>
      <c r="T128" s="11">
        <v>2804.9557836527997</v>
      </c>
      <c r="U128" s="11">
        <v>2804.9557836527997</v>
      </c>
      <c r="V128" s="11">
        <v>2804.9557836527997</v>
      </c>
      <c r="W128" s="11">
        <v>2804.9557836527997</v>
      </c>
      <c r="X128" s="11">
        <v>2804.9557836527997</v>
      </c>
      <c r="Y128" s="11">
        <v>2804.9557836527997</v>
      </c>
      <c r="Z128" s="11">
        <v>2804.9557836527997</v>
      </c>
      <c r="AA128" s="11">
        <v>2804.9557836527997</v>
      </c>
      <c r="AB128" s="11">
        <v>2804.9557836527997</v>
      </c>
      <c r="AC128" s="11">
        <v>2804.9557836527997</v>
      </c>
      <c r="AD128" s="11">
        <v>2804.9557836527997</v>
      </c>
      <c r="AE128" s="11">
        <v>2804.9557836527997</v>
      </c>
      <c r="AF128" s="11">
        <v>2804.9557836527997</v>
      </c>
      <c r="AG128" s="11">
        <v>2804.9557836527997</v>
      </c>
      <c r="AH128" s="11">
        <v>2804.9557836527997</v>
      </c>
      <c r="AI128" s="11">
        <v>2804.9557836527997</v>
      </c>
      <c r="AJ128" s="11">
        <v>2804.9557836527997</v>
      </c>
      <c r="AK128" s="11">
        <v>2804.9557836527997</v>
      </c>
      <c r="AL128" s="11">
        <v>2804.9557836527997</v>
      </c>
      <c r="AM128" s="11">
        <v>2804.9557836527997</v>
      </c>
      <c r="AN128" s="11">
        <v>2804.9557836527997</v>
      </c>
    </row>
    <row r="129" spans="1:40" x14ac:dyDescent="0.2">
      <c r="A129" s="6" t="s">
        <v>35</v>
      </c>
      <c r="B129" s="11">
        <v>1195.1162957376</v>
      </c>
      <c r="C129" s="11">
        <v>1195.1162957376</v>
      </c>
      <c r="D129" s="11">
        <v>1195.1162957376</v>
      </c>
      <c r="E129" s="11">
        <v>1195.1162957376</v>
      </c>
      <c r="F129" s="11">
        <v>1195.1162957376</v>
      </c>
      <c r="G129" s="11">
        <v>1195.1162957376</v>
      </c>
      <c r="H129" s="11">
        <v>1195.1162957376</v>
      </c>
      <c r="I129" s="11">
        <v>1195.1162957376</v>
      </c>
      <c r="J129" s="11">
        <v>1195.1162957376</v>
      </c>
      <c r="K129" s="11">
        <v>1195.1162957376</v>
      </c>
      <c r="L129" s="11">
        <v>1195.1162957376</v>
      </c>
      <c r="M129" s="11">
        <v>1195.1162957376</v>
      </c>
      <c r="N129" s="11">
        <v>1195.1162957376</v>
      </c>
      <c r="O129" s="11">
        <v>1195.1162957376</v>
      </c>
      <c r="P129" s="11">
        <v>1195.1162957376</v>
      </c>
      <c r="Q129" s="11">
        <v>1195.1162957376</v>
      </c>
      <c r="R129" s="11">
        <v>1195.1162957376</v>
      </c>
      <c r="S129" s="11">
        <v>1195.1162957376</v>
      </c>
      <c r="T129" s="11">
        <v>1195.1162957376</v>
      </c>
      <c r="U129" s="11">
        <v>1195.1162957376</v>
      </c>
      <c r="V129" s="11">
        <v>1195.1162957376</v>
      </c>
      <c r="W129" s="11">
        <v>1195.1162957376</v>
      </c>
      <c r="X129" s="11">
        <v>1195.1162957376</v>
      </c>
      <c r="Y129" s="11">
        <v>1195.1162957376</v>
      </c>
      <c r="Z129" s="11">
        <v>1195.1162957376</v>
      </c>
      <c r="AA129" s="11">
        <v>1195.1162957376</v>
      </c>
      <c r="AB129" s="11">
        <v>1195.1162957376</v>
      </c>
      <c r="AC129" s="11">
        <v>1195.1162957376</v>
      </c>
      <c r="AD129" s="11">
        <v>1195.1162957376</v>
      </c>
      <c r="AE129" s="11">
        <v>1195.1162957376</v>
      </c>
      <c r="AF129" s="11">
        <v>1195.1162957376</v>
      </c>
      <c r="AG129" s="11">
        <v>1195.1162957376</v>
      </c>
      <c r="AH129" s="11">
        <v>1195.1162957376</v>
      </c>
      <c r="AI129" s="11">
        <v>1195.1162957376</v>
      </c>
      <c r="AJ129" s="11">
        <v>1195.1162957376</v>
      </c>
      <c r="AK129" s="11">
        <v>1195.1162957376</v>
      </c>
      <c r="AL129" s="11">
        <v>1195.1162957376</v>
      </c>
      <c r="AM129" s="11">
        <v>1195.1162957376</v>
      </c>
      <c r="AN129" s="11">
        <v>1195.1162957376</v>
      </c>
    </row>
    <row r="130" spans="1:40" x14ac:dyDescent="0.2">
      <c r="A130" s="6" t="s">
        <v>36</v>
      </c>
      <c r="B130" s="11">
        <v>276.4821281184</v>
      </c>
      <c r="C130" s="11">
        <v>276.4821281184</v>
      </c>
      <c r="D130" s="11">
        <v>276.4821281184</v>
      </c>
      <c r="E130" s="11">
        <v>276.4821281184</v>
      </c>
      <c r="F130" s="11">
        <v>276.4821281184</v>
      </c>
      <c r="G130" s="11">
        <v>276.4821281184</v>
      </c>
      <c r="H130" s="11">
        <v>276.4821281184</v>
      </c>
      <c r="I130" s="11">
        <v>276.4821281184</v>
      </c>
      <c r="J130" s="11">
        <v>276.4821281184</v>
      </c>
      <c r="K130" s="11">
        <v>276.4821281184</v>
      </c>
      <c r="L130" s="11">
        <v>276.4821281184</v>
      </c>
      <c r="M130" s="11">
        <v>276.4821281184</v>
      </c>
      <c r="N130" s="11">
        <v>276.4821281184</v>
      </c>
      <c r="O130" s="11">
        <v>276.4821281184</v>
      </c>
      <c r="P130" s="11">
        <v>276.4821281184</v>
      </c>
      <c r="Q130" s="11">
        <v>276.4821281184</v>
      </c>
      <c r="R130" s="11">
        <v>276.4821281184</v>
      </c>
      <c r="S130" s="11">
        <v>276.4821281184</v>
      </c>
      <c r="T130" s="11">
        <v>276.4821281184</v>
      </c>
      <c r="U130" s="11">
        <v>276.4821281184</v>
      </c>
      <c r="V130" s="11">
        <v>276.4821281184</v>
      </c>
      <c r="W130" s="11">
        <v>276.4821281184</v>
      </c>
      <c r="X130" s="11">
        <v>276.4821281184</v>
      </c>
      <c r="Y130" s="11">
        <v>276.4821281184</v>
      </c>
      <c r="Z130" s="11">
        <v>276.4821281184</v>
      </c>
      <c r="AA130" s="11">
        <v>276.4821281184</v>
      </c>
      <c r="AB130" s="11">
        <v>276.4821281184</v>
      </c>
      <c r="AC130" s="11">
        <v>276.4821281184</v>
      </c>
      <c r="AD130" s="11">
        <v>276.4821281184</v>
      </c>
      <c r="AE130" s="11">
        <v>276.4821281184</v>
      </c>
      <c r="AF130" s="11">
        <v>276.4821281184</v>
      </c>
      <c r="AG130" s="11">
        <v>276.4821281184</v>
      </c>
      <c r="AH130" s="11">
        <v>276.4821281184</v>
      </c>
      <c r="AI130" s="11">
        <v>276.4821281184</v>
      </c>
      <c r="AJ130" s="11">
        <v>276.4821281184</v>
      </c>
      <c r="AK130" s="11">
        <v>276.4821281184</v>
      </c>
      <c r="AL130" s="11">
        <v>276.4821281184</v>
      </c>
      <c r="AM130" s="11">
        <v>276.4821281184</v>
      </c>
      <c r="AN130" s="11">
        <v>276.4821281184</v>
      </c>
    </row>
    <row r="131" spans="1:40" x14ac:dyDescent="0.2">
      <c r="A131" s="6" t="s">
        <v>37</v>
      </c>
      <c r="B131" s="11">
        <v>182.83495569119998</v>
      </c>
      <c r="C131" s="11">
        <v>182.83495569119998</v>
      </c>
      <c r="D131" s="11">
        <v>182.83495569119998</v>
      </c>
      <c r="E131" s="11">
        <v>182.83495569119998</v>
      </c>
      <c r="F131" s="11">
        <v>182.83495569119998</v>
      </c>
      <c r="G131" s="11">
        <v>182.83495569119998</v>
      </c>
      <c r="H131" s="11">
        <v>182.83495569119998</v>
      </c>
      <c r="I131" s="11">
        <v>182.83495569119998</v>
      </c>
      <c r="J131" s="11">
        <v>182.83495569119998</v>
      </c>
      <c r="K131" s="11">
        <v>182.83495569119998</v>
      </c>
      <c r="L131" s="11">
        <v>182.83495569119998</v>
      </c>
      <c r="M131" s="11">
        <v>182.83495569119998</v>
      </c>
      <c r="N131" s="11">
        <v>182.83495569119998</v>
      </c>
      <c r="O131" s="11">
        <v>182.83495569119998</v>
      </c>
      <c r="P131" s="11">
        <v>182.83495569119998</v>
      </c>
      <c r="Q131" s="11">
        <v>182.83495569119998</v>
      </c>
      <c r="R131" s="11">
        <v>182.83495569119998</v>
      </c>
      <c r="S131" s="11">
        <v>182.83495569119998</v>
      </c>
      <c r="T131" s="11">
        <v>182.83495569119998</v>
      </c>
      <c r="U131" s="11">
        <v>182.83495569119998</v>
      </c>
      <c r="V131" s="11">
        <v>182.83495569119998</v>
      </c>
      <c r="W131" s="11">
        <v>182.83495569119998</v>
      </c>
      <c r="X131" s="11">
        <v>182.83495569119998</v>
      </c>
      <c r="Y131" s="11">
        <v>182.83495569119998</v>
      </c>
      <c r="Z131" s="11">
        <v>182.83495569119998</v>
      </c>
      <c r="AA131" s="11">
        <v>182.83495569119998</v>
      </c>
      <c r="AB131" s="11">
        <v>182.83495569119998</v>
      </c>
      <c r="AC131" s="11">
        <v>182.83495569119998</v>
      </c>
      <c r="AD131" s="11">
        <v>182.83495569119998</v>
      </c>
      <c r="AE131" s="11">
        <v>182.83495569119998</v>
      </c>
      <c r="AF131" s="11">
        <v>182.83495569119998</v>
      </c>
      <c r="AG131" s="11">
        <v>182.83495569119998</v>
      </c>
      <c r="AH131" s="11">
        <v>182.83495569119998</v>
      </c>
      <c r="AI131" s="11">
        <v>182.83495569119998</v>
      </c>
      <c r="AJ131" s="11">
        <v>182.83495569119998</v>
      </c>
      <c r="AK131" s="11">
        <v>182.83495569119998</v>
      </c>
      <c r="AL131" s="11">
        <v>182.83495569119998</v>
      </c>
      <c r="AM131" s="11">
        <v>182.83495569119998</v>
      </c>
      <c r="AN131" s="11">
        <v>182.83495569119998</v>
      </c>
    </row>
    <row r="133" spans="1:40" x14ac:dyDescent="0.2">
      <c r="A133" s="5" t="s">
        <v>32</v>
      </c>
    </row>
    <row r="134" spans="1:40" x14ac:dyDescent="0.2">
      <c r="A134" s="5" t="s">
        <v>4</v>
      </c>
    </row>
    <row r="135" spans="1:40" x14ac:dyDescent="0.2">
      <c r="A135" s="5" t="s">
        <v>68</v>
      </c>
    </row>
    <row r="136" spans="1:40" x14ac:dyDescent="0.2">
      <c r="A136" s="5" t="s">
        <v>6</v>
      </c>
    </row>
    <row r="137" spans="1:40" x14ac:dyDescent="0.2">
      <c r="A137" t="s">
        <v>156</v>
      </c>
      <c r="B137" s="9">
        <v>1000000</v>
      </c>
    </row>
    <row r="138" spans="1:40" x14ac:dyDescent="0.2">
      <c r="A138" s="6" t="s">
        <v>7</v>
      </c>
      <c r="B138" s="6">
        <v>2022</v>
      </c>
      <c r="C138" s="6">
        <v>2023</v>
      </c>
      <c r="D138" s="6">
        <v>2024</v>
      </c>
      <c r="E138" s="6">
        <v>2025</v>
      </c>
      <c r="F138" s="6">
        <v>2026</v>
      </c>
      <c r="G138" s="6">
        <v>2027</v>
      </c>
      <c r="H138" s="6">
        <v>2028</v>
      </c>
      <c r="I138" s="6">
        <v>2029</v>
      </c>
      <c r="J138" s="6">
        <v>2030</v>
      </c>
      <c r="K138" s="6">
        <v>2031</v>
      </c>
      <c r="L138" s="6">
        <v>2032</v>
      </c>
      <c r="M138" s="6">
        <v>2033</v>
      </c>
      <c r="N138" s="6">
        <v>2034</v>
      </c>
      <c r="O138" s="6">
        <v>2035</v>
      </c>
      <c r="P138" s="6">
        <v>2036</v>
      </c>
      <c r="Q138" s="6">
        <v>2037</v>
      </c>
      <c r="R138" s="6">
        <v>2038</v>
      </c>
      <c r="S138" s="6">
        <v>2039</v>
      </c>
      <c r="T138" s="6">
        <v>2040</v>
      </c>
      <c r="U138" s="6">
        <v>2041</v>
      </c>
      <c r="V138" s="6">
        <v>2042</v>
      </c>
      <c r="W138" s="6">
        <v>2043</v>
      </c>
      <c r="X138" s="6">
        <v>2044</v>
      </c>
      <c r="Y138" s="6">
        <v>2045</v>
      </c>
      <c r="Z138" s="6">
        <v>2046</v>
      </c>
      <c r="AA138" s="6">
        <v>2047</v>
      </c>
      <c r="AB138" s="6">
        <v>2048</v>
      </c>
      <c r="AC138" s="6">
        <v>2049</v>
      </c>
      <c r="AD138" s="6">
        <v>2050</v>
      </c>
      <c r="AE138" s="6">
        <v>2051</v>
      </c>
      <c r="AF138" s="6">
        <v>2052</v>
      </c>
      <c r="AG138" s="6">
        <v>2053</v>
      </c>
      <c r="AH138" s="6">
        <v>2054</v>
      </c>
      <c r="AI138" s="6">
        <v>2055</v>
      </c>
      <c r="AJ138" s="6">
        <v>2056</v>
      </c>
      <c r="AK138" s="6">
        <v>2057</v>
      </c>
      <c r="AL138" s="6">
        <v>2058</v>
      </c>
      <c r="AM138" s="6">
        <v>2059</v>
      </c>
      <c r="AN138" s="6">
        <v>2060</v>
      </c>
    </row>
    <row r="139" spans="1:40" x14ac:dyDescent="0.2">
      <c r="A139" s="6" t="s">
        <v>34</v>
      </c>
      <c r="B139" s="11">
        <v>4.1687490780000003</v>
      </c>
      <c r="C139" s="11">
        <v>4.3771865319000005</v>
      </c>
      <c r="D139" s="11">
        <v>4.5960458584949997</v>
      </c>
      <c r="E139" s="11">
        <v>4.8258481514197511</v>
      </c>
      <c r="F139" s="11">
        <v>5.0671405589907392</v>
      </c>
      <c r="G139" s="11">
        <v>5.3204975869402764</v>
      </c>
      <c r="H139" s="11">
        <v>5.5865224662872901</v>
      </c>
      <c r="I139" s="11">
        <v>5.8658485896016543</v>
      </c>
      <c r="J139" s="11">
        <v>6.1591410190817379</v>
      </c>
      <c r="K139" s="11">
        <v>6.4670980700358243</v>
      </c>
      <c r="L139" s="11">
        <v>6.7904529735376142</v>
      </c>
      <c r="M139" s="11">
        <v>7.1299756222144968</v>
      </c>
      <c r="N139" s="11">
        <v>7.4864744033252224</v>
      </c>
      <c r="O139" s="11">
        <v>7.8607981234914845</v>
      </c>
      <c r="P139" s="11">
        <v>8.2538380296660581</v>
      </c>
      <c r="Q139" s="11">
        <v>8.6665299311493609</v>
      </c>
      <c r="R139" s="11">
        <v>9.0998564277068308</v>
      </c>
      <c r="S139" s="11">
        <v>9.5548492490921699</v>
      </c>
      <c r="T139" s="11">
        <v>10.032591711546779</v>
      </c>
      <c r="U139" s="11">
        <v>10.53422129712412</v>
      </c>
      <c r="V139" s="11">
        <v>11.060932361980326</v>
      </c>
      <c r="W139" s="11">
        <v>11.613978980079343</v>
      </c>
      <c r="X139" s="11">
        <v>12.19467792908331</v>
      </c>
      <c r="Y139" s="11">
        <v>12.804411825537477</v>
      </c>
      <c r="Z139" s="11">
        <v>13.444632416814349</v>
      </c>
      <c r="AA139" s="11">
        <v>14.116864037655066</v>
      </c>
      <c r="AB139" s="11">
        <v>14.822707239537824</v>
      </c>
      <c r="AC139" s="11">
        <v>15.563842601514715</v>
      </c>
      <c r="AD139" s="11">
        <v>16.342034731590445</v>
      </c>
      <c r="AE139" s="11">
        <v>17.159136468169972</v>
      </c>
      <c r="AF139" s="11">
        <v>18.017093291578473</v>
      </c>
      <c r="AG139" s="11">
        <v>18.917947956157398</v>
      </c>
      <c r="AH139" s="11">
        <v>19.863845353965264</v>
      </c>
      <c r="AI139" s="11">
        <v>20.85703762166353</v>
      </c>
      <c r="AJ139" s="11">
        <v>21.89988950274671</v>
      </c>
      <c r="AK139" s="11">
        <v>22.994883977884047</v>
      </c>
      <c r="AL139" s="11">
        <v>24.144628176778244</v>
      </c>
      <c r="AM139" s="11">
        <v>25.351859585617166</v>
      </c>
      <c r="AN139" s="11">
        <v>26.619452564898026</v>
      </c>
    </row>
    <row r="140" spans="1:40" x14ac:dyDescent="0.2">
      <c r="A140" s="6" t="s">
        <v>35</v>
      </c>
      <c r="B140" s="11">
        <v>1.7761919760000004</v>
      </c>
      <c r="C140" s="11">
        <v>1.8650015748000004</v>
      </c>
      <c r="D140" s="11">
        <v>1.9582516535400003</v>
      </c>
      <c r="E140" s="11">
        <v>2.0561642362170005</v>
      </c>
      <c r="F140" s="11">
        <v>2.1589724480278512</v>
      </c>
      <c r="G140" s="11">
        <v>2.2669210704292437</v>
      </c>
      <c r="H140" s="11">
        <v>2.3802671239507056</v>
      </c>
      <c r="I140" s="11">
        <v>2.4992804801482413</v>
      </c>
      <c r="J140" s="11">
        <v>2.6242445041556537</v>
      </c>
      <c r="K140" s="11">
        <v>2.7554567293634364</v>
      </c>
      <c r="L140" s="11">
        <v>2.8932295658316072</v>
      </c>
      <c r="M140" s="11">
        <v>3.0378910441231883</v>
      </c>
      <c r="N140" s="11">
        <v>3.1897855963293482</v>
      </c>
      <c r="O140" s="11">
        <v>3.3492748761458153</v>
      </c>
      <c r="P140" s="11">
        <v>3.5167386199531068</v>
      </c>
      <c r="Q140" s="11">
        <v>3.6925755509507621</v>
      </c>
      <c r="R140" s="11">
        <v>3.8772043284983004</v>
      </c>
      <c r="S140" s="11">
        <v>4.0710645449232139</v>
      </c>
      <c r="T140" s="11">
        <v>4.2746177721693748</v>
      </c>
      <c r="U140" s="11">
        <v>4.4883486607778451</v>
      </c>
      <c r="V140" s="11">
        <v>4.7127660938167377</v>
      </c>
      <c r="W140" s="11">
        <v>4.9484043985075745</v>
      </c>
      <c r="X140" s="11">
        <v>5.1958246184329528</v>
      </c>
      <c r="Y140" s="11">
        <v>5.4556158493546008</v>
      </c>
      <c r="Z140" s="11">
        <v>5.7283966418223304</v>
      </c>
      <c r="AA140" s="11">
        <v>6.0148164739134469</v>
      </c>
      <c r="AB140" s="11">
        <v>6.3155572976091205</v>
      </c>
      <c r="AC140" s="11">
        <v>6.6313351624895764</v>
      </c>
      <c r="AD140" s="11">
        <v>6.9629019206140548</v>
      </c>
      <c r="AE140" s="11">
        <v>7.3110470166447579</v>
      </c>
      <c r="AF140" s="11">
        <v>7.6765993674769959</v>
      </c>
      <c r="AG140" s="11">
        <v>8.0604293358508468</v>
      </c>
      <c r="AH140" s="11">
        <v>8.4634508026433881</v>
      </c>
      <c r="AI140" s="11">
        <v>8.8866233427755592</v>
      </c>
      <c r="AJ140" s="11">
        <v>9.3309545099143385</v>
      </c>
      <c r="AK140" s="11">
        <v>9.7975022354100556</v>
      </c>
      <c r="AL140" s="11">
        <v>10.287377347180559</v>
      </c>
      <c r="AM140" s="11">
        <v>10.801746214539587</v>
      </c>
      <c r="AN140" s="11">
        <v>11.341833525266569</v>
      </c>
    </row>
    <row r="141" spans="1:40" x14ac:dyDescent="0.2">
      <c r="A141" s="6" t="s">
        <v>36</v>
      </c>
      <c r="B141" s="11">
        <v>0.41091008400000001</v>
      </c>
      <c r="C141" s="11">
        <v>0.43145558820000007</v>
      </c>
      <c r="D141" s="11">
        <v>0.45302836761000004</v>
      </c>
      <c r="E141" s="11">
        <v>0.47567978599050015</v>
      </c>
      <c r="F141" s="11">
        <v>0.49946377529002511</v>
      </c>
      <c r="G141" s="11">
        <v>0.52443696405452644</v>
      </c>
      <c r="H141" s="11">
        <v>0.55065881225725277</v>
      </c>
      <c r="I141" s="11">
        <v>0.57819175287011548</v>
      </c>
      <c r="J141" s="11">
        <v>0.60710134051362119</v>
      </c>
      <c r="K141" s="11">
        <v>0.63745640753930222</v>
      </c>
      <c r="L141" s="11">
        <v>0.66932922791626737</v>
      </c>
      <c r="M141" s="11">
        <v>0.7027956893120807</v>
      </c>
      <c r="N141" s="11">
        <v>0.73793547377768498</v>
      </c>
      <c r="O141" s="11">
        <v>0.7748322474665692</v>
      </c>
      <c r="P141" s="11">
        <v>0.81357385983989761</v>
      </c>
      <c r="Q141" s="11">
        <v>0.8542525528318925</v>
      </c>
      <c r="R141" s="11">
        <v>0.89696518047348739</v>
      </c>
      <c r="S141" s="11">
        <v>0.94181343949716145</v>
      </c>
      <c r="T141" s="11">
        <v>0.98890411147201951</v>
      </c>
      <c r="U141" s="11">
        <v>1.0383493170456206</v>
      </c>
      <c r="V141" s="11">
        <v>1.090266782897902</v>
      </c>
      <c r="W141" s="11">
        <v>1.1447801220427971</v>
      </c>
      <c r="X141" s="11">
        <v>1.2020191281449368</v>
      </c>
      <c r="Y141" s="11">
        <v>1.2621200845521838</v>
      </c>
      <c r="Z141" s="11">
        <v>1.3252260887797929</v>
      </c>
      <c r="AA141" s="11">
        <v>1.3914873932187823</v>
      </c>
      <c r="AB141" s="11">
        <v>1.4610617628797218</v>
      </c>
      <c r="AC141" s="11">
        <v>1.5341148510237077</v>
      </c>
      <c r="AD141" s="11">
        <v>1.6108205935748929</v>
      </c>
      <c r="AE141" s="11">
        <v>1.6913616232536379</v>
      </c>
      <c r="AF141" s="11">
        <v>1.77592970441632</v>
      </c>
      <c r="AG141" s="11">
        <v>1.8647261896371361</v>
      </c>
      <c r="AH141" s="11">
        <v>1.957962499118993</v>
      </c>
      <c r="AI141" s="11">
        <v>2.0558606240749429</v>
      </c>
      <c r="AJ141" s="11">
        <v>2.1586536552786901</v>
      </c>
      <c r="AK141" s="11">
        <v>2.2665863380426243</v>
      </c>
      <c r="AL141" s="11">
        <v>2.3799156549447558</v>
      </c>
      <c r="AM141" s="11">
        <v>2.4989114376919939</v>
      </c>
      <c r="AN141" s="11">
        <v>2.6238570095765938</v>
      </c>
    </row>
    <row r="142" spans="1:40" x14ac:dyDescent="0.2">
      <c r="A142" s="6" t="s">
        <v>37</v>
      </c>
      <c r="B142" s="11">
        <v>0.27173086200000002</v>
      </c>
      <c r="C142" s="11">
        <v>0.28531740510000003</v>
      </c>
      <c r="D142" s="11">
        <v>0.29958327535500007</v>
      </c>
      <c r="E142" s="11">
        <v>0.31456243912275006</v>
      </c>
      <c r="F142" s="11">
        <v>0.3302905610788876</v>
      </c>
      <c r="G142" s="11">
        <v>0.34680508913283198</v>
      </c>
      <c r="H142" s="11">
        <v>0.36414534358947359</v>
      </c>
      <c r="I142" s="11">
        <v>0.38235261076894728</v>
      </c>
      <c r="J142" s="11">
        <v>0.40147024130739467</v>
      </c>
      <c r="K142" s="11">
        <v>0.4215437533727644</v>
      </c>
      <c r="L142" s="11">
        <v>0.44262094104140259</v>
      </c>
      <c r="M142" s="11">
        <v>0.46475198809347279</v>
      </c>
      <c r="N142" s="11">
        <v>0.48798958749814647</v>
      </c>
      <c r="O142" s="11">
        <v>0.51238906687305386</v>
      </c>
      <c r="P142" s="11">
        <v>0.53800852021670653</v>
      </c>
      <c r="Q142" s="11">
        <v>0.56490894622754184</v>
      </c>
      <c r="R142" s="11">
        <v>0.59315439353891908</v>
      </c>
      <c r="S142" s="11">
        <v>0.62281211321586472</v>
      </c>
      <c r="T142" s="11">
        <v>0.65395271887665796</v>
      </c>
      <c r="U142" s="11">
        <v>0.68665035482049108</v>
      </c>
      <c r="V142" s="11">
        <v>0.72098287256151572</v>
      </c>
      <c r="W142" s="11">
        <v>0.75703201618959159</v>
      </c>
      <c r="X142" s="11">
        <v>0.79488361699907106</v>
      </c>
      <c r="Y142" s="11">
        <v>0.83462779784902463</v>
      </c>
      <c r="Z142" s="11">
        <v>0.87635918774147603</v>
      </c>
      <c r="AA142" s="11">
        <v>0.92017714712854948</v>
      </c>
      <c r="AB142" s="11">
        <v>0.96618600448497738</v>
      </c>
      <c r="AC142" s="11">
        <v>1.0144953047092262</v>
      </c>
      <c r="AD142" s="11">
        <v>1.0652200699446872</v>
      </c>
      <c r="AE142" s="11">
        <v>1.1184810734419219</v>
      </c>
      <c r="AF142" s="11">
        <v>1.1744051271140179</v>
      </c>
      <c r="AG142" s="11">
        <v>1.2331253834697191</v>
      </c>
      <c r="AH142" s="11">
        <v>1.294781652643205</v>
      </c>
      <c r="AI142" s="11">
        <v>1.3595207352753653</v>
      </c>
      <c r="AJ142" s="11">
        <v>1.4274967720391338</v>
      </c>
      <c r="AK142" s="11">
        <v>1.4988716106410904</v>
      </c>
      <c r="AL142" s="11">
        <v>1.5738151911731448</v>
      </c>
      <c r="AM142" s="11">
        <v>1.6525059507318023</v>
      </c>
      <c r="AN142" s="11">
        <v>1.7351312482683929</v>
      </c>
    </row>
    <row r="144" spans="1:40" x14ac:dyDescent="0.2">
      <c r="A144" s="5" t="s">
        <v>32</v>
      </c>
    </row>
    <row r="145" spans="1:40" x14ac:dyDescent="0.2">
      <c r="A145" s="5" t="s">
        <v>4</v>
      </c>
    </row>
    <row r="146" spans="1:40" x14ac:dyDescent="0.2">
      <c r="A146" s="5" t="s">
        <v>70</v>
      </c>
    </row>
    <row r="147" spans="1:40" x14ac:dyDescent="0.2">
      <c r="A147" s="5" t="s">
        <v>6</v>
      </c>
    </row>
    <row r="148" spans="1:40" x14ac:dyDescent="0.2">
      <c r="A148" t="s">
        <v>156</v>
      </c>
      <c r="B148">
        <v>1000000</v>
      </c>
    </row>
    <row r="149" spans="1:40" x14ac:dyDescent="0.2">
      <c r="A149" s="6" t="s">
        <v>7</v>
      </c>
      <c r="B149" s="6">
        <v>2022</v>
      </c>
      <c r="C149" s="6">
        <v>2023</v>
      </c>
      <c r="D149" s="6">
        <v>2024</v>
      </c>
      <c r="E149" s="6">
        <v>2025</v>
      </c>
      <c r="F149" s="6">
        <v>2026</v>
      </c>
      <c r="G149" s="6">
        <v>2027</v>
      </c>
      <c r="H149" s="6">
        <v>2028</v>
      </c>
      <c r="I149" s="6">
        <v>2029</v>
      </c>
      <c r="J149" s="6">
        <v>2030</v>
      </c>
      <c r="K149" s="6">
        <v>2031</v>
      </c>
      <c r="L149" s="6">
        <v>2032</v>
      </c>
      <c r="M149" s="6">
        <v>2033</v>
      </c>
      <c r="N149" s="6">
        <v>2034</v>
      </c>
      <c r="O149" s="6">
        <v>2035</v>
      </c>
      <c r="P149" s="6">
        <v>2036</v>
      </c>
      <c r="Q149" s="6">
        <v>2037</v>
      </c>
      <c r="R149" s="6">
        <v>2038</v>
      </c>
      <c r="S149" s="6">
        <v>2039</v>
      </c>
      <c r="T149" s="6">
        <v>2040</v>
      </c>
      <c r="U149" s="6">
        <v>2041</v>
      </c>
      <c r="V149" s="6">
        <v>2042</v>
      </c>
      <c r="W149" s="6">
        <v>2043</v>
      </c>
      <c r="X149" s="6">
        <v>2044</v>
      </c>
      <c r="Y149" s="6">
        <v>2045</v>
      </c>
      <c r="Z149" s="6">
        <v>2046</v>
      </c>
      <c r="AA149" s="6">
        <v>2047</v>
      </c>
      <c r="AB149" s="6">
        <v>2048</v>
      </c>
      <c r="AC149" s="6">
        <v>2049</v>
      </c>
      <c r="AD149" s="6">
        <v>2050</v>
      </c>
      <c r="AE149" s="6">
        <v>2051</v>
      </c>
      <c r="AF149" s="6">
        <v>2052</v>
      </c>
      <c r="AG149" s="6">
        <v>2053</v>
      </c>
      <c r="AH149" s="6">
        <v>2054</v>
      </c>
      <c r="AI149" s="6">
        <v>2055</v>
      </c>
      <c r="AJ149" s="6">
        <v>2056</v>
      </c>
      <c r="AK149" s="6">
        <v>2057</v>
      </c>
      <c r="AL149" s="6">
        <v>2058</v>
      </c>
      <c r="AM149" s="6">
        <v>2059</v>
      </c>
      <c r="AN149" s="6">
        <v>2060</v>
      </c>
    </row>
    <row r="150" spans="1:40" x14ac:dyDescent="0.2">
      <c r="A150" s="6" t="s">
        <v>34</v>
      </c>
      <c r="B150" s="11">
        <v>4.4363495296799993</v>
      </c>
      <c r="C150" s="11">
        <v>4.6581670061640006</v>
      </c>
      <c r="D150" s="11">
        <v>4.8910753564722</v>
      </c>
      <c r="E150" s="11">
        <v>5.1356291242958099</v>
      </c>
      <c r="F150" s="11">
        <v>5.3924105805106022</v>
      </c>
      <c r="G150" s="11">
        <v>5.6620311095361311</v>
      </c>
      <c r="H150" s="11">
        <v>5.9451326650129381</v>
      </c>
      <c r="I150" s="11">
        <v>6.2423892982635865</v>
      </c>
      <c r="J150" s="11">
        <v>6.5545087631767656</v>
      </c>
      <c r="K150" s="11">
        <v>6.8822342013356037</v>
      </c>
      <c r="L150" s="11">
        <v>7.226345911402384</v>
      </c>
      <c r="M150" s="11">
        <v>7.5876632069725023</v>
      </c>
      <c r="N150" s="11">
        <v>7.9670463673211298</v>
      </c>
      <c r="O150" s="11">
        <v>8.3653986856871878</v>
      </c>
      <c r="P150" s="11">
        <v>8.7836686199715448</v>
      </c>
      <c r="Q150" s="11">
        <v>9.2228520509701237</v>
      </c>
      <c r="R150" s="11">
        <v>9.6839946535186279</v>
      </c>
      <c r="S150" s="11">
        <v>10.168194386194562</v>
      </c>
      <c r="T150" s="11">
        <v>10.676604105504289</v>
      </c>
      <c r="U150" s="11">
        <v>11.210434310779505</v>
      </c>
      <c r="V150" s="11">
        <v>11.77095602631848</v>
      </c>
      <c r="W150" s="11">
        <v>12.359503827634406</v>
      </c>
      <c r="X150" s="11">
        <v>12.977479019016126</v>
      </c>
      <c r="Y150" s="11">
        <v>13.626352969966929</v>
      </c>
      <c r="Z150" s="11">
        <v>14.307670618465277</v>
      </c>
      <c r="AA150" s="11">
        <v>15.023054149388544</v>
      </c>
      <c r="AB150" s="11">
        <v>15.774206856857971</v>
      </c>
      <c r="AC150" s="11">
        <v>16.562917199700866</v>
      </c>
      <c r="AD150" s="11">
        <v>17.391063059685912</v>
      </c>
      <c r="AE150" s="11">
        <v>18.260616212670207</v>
      </c>
      <c r="AF150" s="11">
        <v>19.173647023303722</v>
      </c>
      <c r="AG150" s="11">
        <v>20.132329374468906</v>
      </c>
      <c r="AH150" s="11">
        <v>21.138945843192353</v>
      </c>
      <c r="AI150" s="11">
        <v>22.195893135351973</v>
      </c>
      <c r="AJ150" s="11">
        <v>23.305687792119574</v>
      </c>
      <c r="AK150" s="11">
        <v>24.470972181725553</v>
      </c>
      <c r="AL150" s="11">
        <v>25.694520790811833</v>
      </c>
      <c r="AM150" s="11">
        <v>26.979246830352423</v>
      </c>
      <c r="AN150" s="11">
        <v>28.32820917187005</v>
      </c>
    </row>
    <row r="151" spans="1:40" x14ac:dyDescent="0.2">
      <c r="A151" s="6" t="s">
        <v>35</v>
      </c>
      <c r="B151" s="11">
        <v>1.8902093385599998</v>
      </c>
      <c r="C151" s="11">
        <v>1.9847198054880002</v>
      </c>
      <c r="D151" s="11">
        <v>2.0839557957624</v>
      </c>
      <c r="E151" s="11">
        <v>2.1881535855505203</v>
      </c>
      <c r="F151" s="11">
        <v>2.2975612648280466</v>
      </c>
      <c r="G151" s="11">
        <v>2.4124393280694485</v>
      </c>
      <c r="H151" s="11">
        <v>2.5330612944729212</v>
      </c>
      <c r="I151" s="11">
        <v>2.6597143591965677</v>
      </c>
      <c r="J151" s="11">
        <v>2.7927000771563959</v>
      </c>
      <c r="K151" s="11">
        <v>2.9323350810142155</v>
      </c>
      <c r="L151" s="11">
        <v>3.0789518350649261</v>
      </c>
      <c r="M151" s="11">
        <v>3.232899426818173</v>
      </c>
      <c r="N151" s="11">
        <v>3.3945443981590819</v>
      </c>
      <c r="O151" s="11">
        <v>3.5642716180670364</v>
      </c>
      <c r="P151" s="11">
        <v>3.742485198970388</v>
      </c>
      <c r="Q151" s="11">
        <v>3.9296094589189083</v>
      </c>
      <c r="R151" s="11">
        <v>4.1260899318648532</v>
      </c>
      <c r="S151" s="11">
        <v>4.3323944284580955</v>
      </c>
      <c r="T151" s="11">
        <v>4.5490141498810006</v>
      </c>
      <c r="U151" s="11">
        <v>4.7764648573750517</v>
      </c>
      <c r="V151" s="11">
        <v>5.0152881002438043</v>
      </c>
      <c r="W151" s="11">
        <v>5.2660525052559946</v>
      </c>
      <c r="X151" s="11">
        <v>5.5293551305187938</v>
      </c>
      <c r="Y151" s="11">
        <v>5.8058228870447337</v>
      </c>
      <c r="Z151" s="11">
        <v>6.0961140313969695</v>
      </c>
      <c r="AA151" s="11">
        <v>6.4009197329668197</v>
      </c>
      <c r="AB151" s="11">
        <v>6.7209657196151609</v>
      </c>
      <c r="AC151" s="11">
        <v>7.057014005595919</v>
      </c>
      <c r="AD151" s="11">
        <v>7.4098647058757132</v>
      </c>
      <c r="AE151" s="11">
        <v>7.7803579411694992</v>
      </c>
      <c r="AF151" s="11">
        <v>8.1693758382279764</v>
      </c>
      <c r="AG151" s="11">
        <v>8.5778446301393743</v>
      </c>
      <c r="AH151" s="11">
        <v>9.0067368616463455</v>
      </c>
      <c r="AI151" s="11">
        <v>9.4570737047286624</v>
      </c>
      <c r="AJ151" s="11">
        <v>9.9299273899650959</v>
      </c>
      <c r="AK151" s="11">
        <v>10.426423759463352</v>
      </c>
      <c r="AL151" s="11">
        <v>10.94774494743652</v>
      </c>
      <c r="AM151" s="11">
        <v>11.495132194808345</v>
      </c>
      <c r="AN151" s="11">
        <v>12.069888804548764</v>
      </c>
    </row>
    <row r="152" spans="1:40" x14ac:dyDescent="0.2">
      <c r="A152" s="6" t="s">
        <v>36</v>
      </c>
      <c r="B152" s="11">
        <v>0.43728723503999994</v>
      </c>
      <c r="C152" s="11">
        <v>0.45915159679200007</v>
      </c>
      <c r="D152" s="11">
        <v>0.48210917663159997</v>
      </c>
      <c r="E152" s="11">
        <v>0.50621463546317991</v>
      </c>
      <c r="F152" s="11">
        <v>0.53152536723633914</v>
      </c>
      <c r="G152" s="11">
        <v>0.55810163559815607</v>
      </c>
      <c r="H152" s="11">
        <v>0.58600671737806387</v>
      </c>
      <c r="I152" s="11">
        <v>0.61530705324696722</v>
      </c>
      <c r="J152" s="11">
        <v>0.64607240590931558</v>
      </c>
      <c r="K152" s="11">
        <v>0.67837602620478121</v>
      </c>
      <c r="L152" s="11">
        <v>0.71229482751502038</v>
      </c>
      <c r="M152" s="11">
        <v>0.7479095688907712</v>
      </c>
      <c r="N152" s="11">
        <v>0.78530504733531004</v>
      </c>
      <c r="O152" s="11">
        <v>0.82457029970207563</v>
      </c>
      <c r="P152" s="11">
        <v>0.86579881468717923</v>
      </c>
      <c r="Q152" s="11">
        <v>0.90908875542153833</v>
      </c>
      <c r="R152" s="11">
        <v>0.95454319319261527</v>
      </c>
      <c r="S152" s="11">
        <v>1.0022703528522461</v>
      </c>
      <c r="T152" s="11">
        <v>1.0523838704948583</v>
      </c>
      <c r="U152" s="11">
        <v>1.1050030640196014</v>
      </c>
      <c r="V152" s="11">
        <v>1.1602532172205813</v>
      </c>
      <c r="W152" s="11">
        <v>1.2182658780816107</v>
      </c>
      <c r="X152" s="11">
        <v>1.2791791719856911</v>
      </c>
      <c r="Y152" s="11">
        <v>1.3431381305849754</v>
      </c>
      <c r="Z152" s="11">
        <v>1.4102950371142244</v>
      </c>
      <c r="AA152" s="11">
        <v>1.4808097889699359</v>
      </c>
      <c r="AB152" s="11">
        <v>1.5548502784184326</v>
      </c>
      <c r="AC152" s="11">
        <v>1.6325927923393544</v>
      </c>
      <c r="AD152" s="11">
        <v>1.714222431956322</v>
      </c>
      <c r="AE152" s="11">
        <v>1.7999335535541381</v>
      </c>
      <c r="AF152" s="11">
        <v>1.8899302312318451</v>
      </c>
      <c r="AG152" s="11">
        <v>1.9844267427934372</v>
      </c>
      <c r="AH152" s="11">
        <v>2.0836480799331096</v>
      </c>
      <c r="AI152" s="11">
        <v>2.1878304839297651</v>
      </c>
      <c r="AJ152" s="11">
        <v>2.2972220081262535</v>
      </c>
      <c r="AK152" s="11">
        <v>2.4120831085325665</v>
      </c>
      <c r="AL152" s="11">
        <v>2.5326872639591951</v>
      </c>
      <c r="AM152" s="11">
        <v>2.6593216271571545</v>
      </c>
      <c r="AN152" s="11">
        <v>2.7922877085150128</v>
      </c>
    </row>
    <row r="153" spans="1:40" x14ac:dyDescent="0.2">
      <c r="A153" s="6" t="s">
        <v>37</v>
      </c>
      <c r="B153" s="11">
        <v>0.28917381671999998</v>
      </c>
      <c r="C153" s="11">
        <v>0.30363250755600002</v>
      </c>
      <c r="D153" s="11">
        <v>0.31881413293380001</v>
      </c>
      <c r="E153" s="11">
        <v>0.33475483958049002</v>
      </c>
      <c r="F153" s="11">
        <v>0.35149258155951463</v>
      </c>
      <c r="G153" s="11">
        <v>0.36906721063749026</v>
      </c>
      <c r="H153" s="11">
        <v>0.38752057116936484</v>
      </c>
      <c r="I153" s="11">
        <v>0.40689659972783315</v>
      </c>
      <c r="J153" s="11">
        <v>0.42724142971422474</v>
      </c>
      <c r="K153" s="11">
        <v>0.44860350119993603</v>
      </c>
      <c r="L153" s="11">
        <v>0.47103367625993281</v>
      </c>
      <c r="M153" s="11">
        <v>0.49458536007292941</v>
      </c>
      <c r="N153" s="11">
        <v>0.51931462807657602</v>
      </c>
      <c r="O153" s="11">
        <v>0.54528035948040487</v>
      </c>
      <c r="P153" s="11">
        <v>0.57254437745442521</v>
      </c>
      <c r="Q153" s="11">
        <v>0.60117159632714645</v>
      </c>
      <c r="R153" s="11">
        <v>0.63123017614350374</v>
      </c>
      <c r="S153" s="11">
        <v>0.66279168495067897</v>
      </c>
      <c r="T153" s="11">
        <v>0.69593126919821291</v>
      </c>
      <c r="U153" s="11">
        <v>0.73072783265812358</v>
      </c>
      <c r="V153" s="11">
        <v>0.76726422429102981</v>
      </c>
      <c r="W153" s="11">
        <v>0.80562743550558136</v>
      </c>
      <c r="X153" s="11">
        <v>0.84590880728086038</v>
      </c>
      <c r="Y153" s="11">
        <v>0.88820424764490324</v>
      </c>
      <c r="Z153" s="11">
        <v>0.93261446002714832</v>
      </c>
      <c r="AA153" s="11">
        <v>0.97924518302850605</v>
      </c>
      <c r="AB153" s="11">
        <v>1.0282074421799314</v>
      </c>
      <c r="AC153" s="11">
        <v>1.0796178142889279</v>
      </c>
      <c r="AD153" s="11">
        <v>1.1335987050033742</v>
      </c>
      <c r="AE153" s="11">
        <v>1.1902786402535432</v>
      </c>
      <c r="AF153" s="11">
        <v>1.2497925722662204</v>
      </c>
      <c r="AG153" s="11">
        <v>1.3122822008795314</v>
      </c>
      <c r="AH153" s="11">
        <v>1.3778963109235081</v>
      </c>
      <c r="AI153" s="11">
        <v>1.4467911264696836</v>
      </c>
      <c r="AJ153" s="11">
        <v>1.5191306827931679</v>
      </c>
      <c r="AK153" s="11">
        <v>1.5950872169328265</v>
      </c>
      <c r="AL153" s="11">
        <v>1.6748415777794678</v>
      </c>
      <c r="AM153" s="11">
        <v>1.758583656668441</v>
      </c>
      <c r="AN153" s="11">
        <v>1.8465128395018633</v>
      </c>
    </row>
    <row r="155" spans="1:40" x14ac:dyDescent="0.2">
      <c r="A155" s="5" t="s">
        <v>32</v>
      </c>
    </row>
    <row r="156" spans="1:40" x14ac:dyDescent="0.2">
      <c r="A156" s="5" t="s">
        <v>4</v>
      </c>
    </row>
    <row r="157" spans="1:40" x14ac:dyDescent="0.2">
      <c r="A157" s="5" t="s">
        <v>72</v>
      </c>
    </row>
    <row r="158" spans="1:40" x14ac:dyDescent="0.2">
      <c r="A158" s="5" t="s">
        <v>6</v>
      </c>
    </row>
    <row r="159" spans="1:40" x14ac:dyDescent="0.2">
      <c r="A159" t="s">
        <v>156</v>
      </c>
      <c r="B159">
        <v>1000000</v>
      </c>
    </row>
    <row r="160" spans="1:40" x14ac:dyDescent="0.2">
      <c r="A160" s="6" t="s">
        <v>7</v>
      </c>
      <c r="B160" s="6">
        <v>2022</v>
      </c>
      <c r="C160" s="6">
        <v>2023</v>
      </c>
      <c r="D160" s="6">
        <v>2024</v>
      </c>
      <c r="E160" s="6">
        <v>2025</v>
      </c>
      <c r="F160" s="6">
        <v>2026</v>
      </c>
      <c r="G160" s="6">
        <v>2027</v>
      </c>
      <c r="H160" s="6">
        <v>2028</v>
      </c>
      <c r="I160" s="6">
        <v>2029</v>
      </c>
      <c r="J160" s="6">
        <v>2030</v>
      </c>
      <c r="K160" s="6">
        <v>2031</v>
      </c>
      <c r="L160" s="6">
        <v>2032</v>
      </c>
      <c r="M160" s="6">
        <v>2033</v>
      </c>
      <c r="N160" s="6">
        <v>2034</v>
      </c>
      <c r="O160" s="6">
        <v>2035</v>
      </c>
      <c r="P160" s="6">
        <v>2036</v>
      </c>
      <c r="Q160" s="6">
        <v>2037</v>
      </c>
      <c r="R160" s="6">
        <v>2038</v>
      </c>
      <c r="S160" s="6">
        <v>2039</v>
      </c>
      <c r="T160" s="6">
        <v>2040</v>
      </c>
      <c r="U160" s="6">
        <v>2041</v>
      </c>
      <c r="V160" s="6">
        <v>2042</v>
      </c>
      <c r="W160" s="6">
        <v>2043</v>
      </c>
      <c r="X160" s="6">
        <v>2044</v>
      </c>
      <c r="Y160" s="6">
        <v>2045</v>
      </c>
      <c r="Z160" s="6">
        <v>2046</v>
      </c>
      <c r="AA160" s="6">
        <v>2047</v>
      </c>
      <c r="AB160" s="6">
        <v>2048</v>
      </c>
      <c r="AC160" s="6">
        <v>2049</v>
      </c>
      <c r="AD160" s="6">
        <v>2050</v>
      </c>
      <c r="AE160" s="6">
        <v>2051</v>
      </c>
      <c r="AF160" s="6">
        <v>2052</v>
      </c>
      <c r="AG160" s="6">
        <v>2053</v>
      </c>
      <c r="AH160" s="6">
        <v>2054</v>
      </c>
      <c r="AI160" s="6">
        <v>2055</v>
      </c>
      <c r="AJ160" s="6">
        <v>2056</v>
      </c>
      <c r="AK160" s="6">
        <v>2057</v>
      </c>
      <c r="AL160" s="6">
        <v>2058</v>
      </c>
      <c r="AM160" s="6">
        <v>2059</v>
      </c>
      <c r="AN160" s="6">
        <v>2060</v>
      </c>
    </row>
    <row r="161" spans="1:40" x14ac:dyDescent="0.2">
      <c r="A161" s="6" t="s">
        <v>34</v>
      </c>
      <c r="B161" s="11">
        <v>10.634196905452798</v>
      </c>
      <c r="C161" s="11">
        <v>11.165906750725439</v>
      </c>
      <c r="D161" s="11">
        <v>11.724202088261713</v>
      </c>
      <c r="E161" s="11">
        <v>12.310412192674796</v>
      </c>
      <c r="F161" s="11">
        <v>12.925932802308537</v>
      </c>
      <c r="G161" s="11">
        <v>13.572229442423966</v>
      </c>
      <c r="H161" s="11">
        <v>14.250840914545165</v>
      </c>
      <c r="I161" s="11">
        <v>14.963382960272426</v>
      </c>
      <c r="J161" s="11">
        <v>15.711552108286043</v>
      </c>
      <c r="K161" s="11">
        <v>16.49712971370035</v>
      </c>
      <c r="L161" s="11">
        <v>17.321986199385368</v>
      </c>
      <c r="M161" s="11">
        <v>18.188085509354632</v>
      </c>
      <c r="N161" s="11">
        <v>19.097489784822372</v>
      </c>
      <c r="O161" s="11">
        <v>20.052364274063486</v>
      </c>
      <c r="P161" s="11">
        <v>21.054982487766665</v>
      </c>
      <c r="Q161" s="11">
        <v>22.107731612154996</v>
      </c>
      <c r="R161" s="11">
        <v>23.213118192762742</v>
      </c>
      <c r="S161" s="11">
        <v>24.37377410240088</v>
      </c>
      <c r="T161" s="11">
        <v>25.592462807520931</v>
      </c>
      <c r="U161" s="11">
        <v>26.872085947896977</v>
      </c>
      <c r="V161" s="11">
        <v>28.215690245291825</v>
      </c>
      <c r="W161" s="11">
        <v>29.626474757556416</v>
      </c>
      <c r="X161" s="11">
        <v>31.107798495434245</v>
      </c>
      <c r="Y161" s="11">
        <v>32.663188420205948</v>
      </c>
      <c r="Z161" s="11">
        <v>34.29634784121626</v>
      </c>
      <c r="AA161" s="11">
        <v>36.011165233277062</v>
      </c>
      <c r="AB161" s="11">
        <v>37.811723494940921</v>
      </c>
      <c r="AC161" s="11">
        <v>39.70230966968797</v>
      </c>
      <c r="AD161" s="11">
        <v>41.687425153172363</v>
      </c>
      <c r="AE161" s="11">
        <v>43.77179641083098</v>
      </c>
      <c r="AF161" s="11">
        <v>45.960386231372524</v>
      </c>
      <c r="AG161" s="11">
        <v>48.258405542941162</v>
      </c>
      <c r="AH161" s="11">
        <v>50.671325820088235</v>
      </c>
      <c r="AI161" s="11">
        <v>53.204892111092633</v>
      </c>
      <c r="AJ161" s="11">
        <v>55.865136716647264</v>
      </c>
      <c r="AK161" s="11">
        <v>58.658393552479644</v>
      </c>
      <c r="AL161" s="11">
        <v>61.59131323010363</v>
      </c>
      <c r="AM161" s="11">
        <v>64.670878891608808</v>
      </c>
      <c r="AN161" s="11">
        <v>67.904422836189255</v>
      </c>
    </row>
    <row r="162" spans="1:40" x14ac:dyDescent="0.2">
      <c r="A162" s="6" t="s">
        <v>35</v>
      </c>
      <c r="B162" s="11">
        <v>4.5309455813376003</v>
      </c>
      <c r="C162" s="11">
        <v>4.7574928604044793</v>
      </c>
      <c r="D162" s="11">
        <v>4.9953675034247027</v>
      </c>
      <c r="E162" s="11">
        <v>5.2451358785959386</v>
      </c>
      <c r="F162" s="11">
        <v>5.5073926725257367</v>
      </c>
      <c r="G162" s="11">
        <v>5.7827623061520237</v>
      </c>
      <c r="H162" s="11">
        <v>6.0719004214596266</v>
      </c>
      <c r="I162" s="11">
        <v>6.3754954425326069</v>
      </c>
      <c r="J162" s="11">
        <v>6.6942702146592366</v>
      </c>
      <c r="K162" s="11">
        <v>7.028983725392199</v>
      </c>
      <c r="L162" s="11">
        <v>7.3804329116618099</v>
      </c>
      <c r="M162" s="11">
        <v>7.7494545572449001</v>
      </c>
      <c r="N162" s="11">
        <v>8.1369272851071468</v>
      </c>
      <c r="O162" s="11">
        <v>8.5437736493625032</v>
      </c>
      <c r="P162" s="11">
        <v>8.9709623318306306</v>
      </c>
      <c r="Q162" s="11">
        <v>9.4195104484221623</v>
      </c>
      <c r="R162" s="11">
        <v>9.8904859708432689</v>
      </c>
      <c r="S162" s="11">
        <v>10.385010269385431</v>
      </c>
      <c r="T162" s="11">
        <v>10.904260782854704</v>
      </c>
      <c r="U162" s="11">
        <v>11.44947382199744</v>
      </c>
      <c r="V162" s="11">
        <v>12.021947513097313</v>
      </c>
      <c r="W162" s="11">
        <v>12.623044888752178</v>
      </c>
      <c r="X162" s="11">
        <v>13.254197133189789</v>
      </c>
      <c r="Y162" s="11">
        <v>13.916906989849279</v>
      </c>
      <c r="Z162" s="11">
        <v>14.612752339341743</v>
      </c>
      <c r="AA162" s="11">
        <v>15.343389956308828</v>
      </c>
      <c r="AB162" s="11">
        <v>16.110559454124271</v>
      </c>
      <c r="AC162" s="11">
        <v>16.916087426830487</v>
      </c>
      <c r="AD162" s="11">
        <v>17.761891798172009</v>
      </c>
      <c r="AE162" s="11">
        <v>18.64998638808061</v>
      </c>
      <c r="AF162" s="11">
        <v>19.58248570748464</v>
      </c>
      <c r="AG162" s="11">
        <v>20.561609992858877</v>
      </c>
      <c r="AH162" s="11">
        <v>21.589690492501823</v>
      </c>
      <c r="AI162" s="11">
        <v>22.669175017126907</v>
      </c>
      <c r="AJ162" s="11">
        <v>23.802633767983256</v>
      </c>
      <c r="AK162" s="11">
        <v>24.992765456382422</v>
      </c>
      <c r="AL162" s="11">
        <v>26.242403729201545</v>
      </c>
      <c r="AM162" s="11">
        <v>27.554523915661623</v>
      </c>
      <c r="AN162" s="11">
        <v>28.932250111444706</v>
      </c>
    </row>
    <row r="163" spans="1:40" x14ac:dyDescent="0.2">
      <c r="A163" s="6" t="s">
        <v>36</v>
      </c>
      <c r="B163" s="11">
        <v>1.0482038285183999</v>
      </c>
      <c r="C163" s="11">
        <v>1.10061401994432</v>
      </c>
      <c r="D163" s="11">
        <v>1.1556447209415359</v>
      </c>
      <c r="E163" s="11">
        <v>1.2134269569886129</v>
      </c>
      <c r="F163" s="11">
        <v>1.2740983048380434</v>
      </c>
      <c r="G163" s="11">
        <v>1.3378032200799459</v>
      </c>
      <c r="H163" s="11">
        <v>1.4046933810839433</v>
      </c>
      <c r="I163" s="11">
        <v>1.4749280501381403</v>
      </c>
      <c r="J163" s="11">
        <v>1.5486744526450473</v>
      </c>
      <c r="K163" s="11">
        <v>1.6261081752772997</v>
      </c>
      <c r="L163" s="11">
        <v>1.7074135840411651</v>
      </c>
      <c r="M163" s="11">
        <v>1.7927842632432229</v>
      </c>
      <c r="N163" s="11">
        <v>1.8824234764053844</v>
      </c>
      <c r="O163" s="11">
        <v>1.9765446502256536</v>
      </c>
      <c r="P163" s="11">
        <v>2.075371882736937</v>
      </c>
      <c r="Q163" s="11">
        <v>2.1791404768737834</v>
      </c>
      <c r="R163" s="11">
        <v>2.2880975007174729</v>
      </c>
      <c r="S163" s="11">
        <v>2.4025023757533464</v>
      </c>
      <c r="T163" s="11">
        <v>2.5226274945410134</v>
      </c>
      <c r="U163" s="11">
        <v>2.6487588692680646</v>
      </c>
      <c r="V163" s="11">
        <v>2.7811968127314675</v>
      </c>
      <c r="W163" s="11">
        <v>2.9202566533680412</v>
      </c>
      <c r="X163" s="11">
        <v>3.0662694860364441</v>
      </c>
      <c r="Y163" s="11">
        <v>3.2195829603382657</v>
      </c>
      <c r="Z163" s="11">
        <v>3.3805621083551789</v>
      </c>
      <c r="AA163" s="11">
        <v>3.5495902137729378</v>
      </c>
      <c r="AB163" s="11">
        <v>3.7270697244615847</v>
      </c>
      <c r="AC163" s="11">
        <v>3.9134232106846651</v>
      </c>
      <c r="AD163" s="11">
        <v>4.1090943712188972</v>
      </c>
      <c r="AE163" s="11">
        <v>4.3145490897798426</v>
      </c>
      <c r="AF163" s="11">
        <v>4.5302765442688342</v>
      </c>
      <c r="AG163" s="11">
        <v>4.7567903714822766</v>
      </c>
      <c r="AH163" s="11">
        <v>4.9946298900563919</v>
      </c>
      <c r="AI163" s="11">
        <v>5.2443613845592107</v>
      </c>
      <c r="AJ163" s="11">
        <v>5.5065794537871708</v>
      </c>
      <c r="AK163" s="11">
        <v>5.781908426476531</v>
      </c>
      <c r="AL163" s="11">
        <v>6.0710038478003572</v>
      </c>
      <c r="AM163" s="11">
        <v>6.3745540401903753</v>
      </c>
      <c r="AN163" s="11">
        <v>6.6932817421998951</v>
      </c>
    </row>
    <row r="164" spans="1:40" x14ac:dyDescent="0.2">
      <c r="A164" s="6" t="s">
        <v>37</v>
      </c>
      <c r="B164" s="11">
        <v>0.69316704789119998</v>
      </c>
      <c r="C164" s="11">
        <v>0.72782540028576004</v>
      </c>
      <c r="D164" s="11">
        <v>0.76421667030004792</v>
      </c>
      <c r="E164" s="11">
        <v>0.80242750381505057</v>
      </c>
      <c r="F164" s="11">
        <v>0.842548879005803</v>
      </c>
      <c r="G164" s="11">
        <v>0.88467632295609311</v>
      </c>
      <c r="H164" s="11">
        <v>0.92891013910389808</v>
      </c>
      <c r="I164" s="11">
        <v>0.97535564605909297</v>
      </c>
      <c r="J164" s="11">
        <v>1.0241234283620475</v>
      </c>
      <c r="K164" s="11">
        <v>1.07532959978015</v>
      </c>
      <c r="L164" s="11">
        <v>1.1290960797691578</v>
      </c>
      <c r="M164" s="11">
        <v>1.1855508837576152</v>
      </c>
      <c r="N164" s="11">
        <v>1.2448284279454962</v>
      </c>
      <c r="O164" s="11">
        <v>1.307069849342771</v>
      </c>
      <c r="P164" s="11">
        <v>1.3724233418099099</v>
      </c>
      <c r="Q164" s="11">
        <v>1.4410445089004054</v>
      </c>
      <c r="R164" s="11">
        <v>1.5130967343454254</v>
      </c>
      <c r="S164" s="11">
        <v>1.5887515710626969</v>
      </c>
      <c r="T164" s="11">
        <v>1.6681891496158319</v>
      </c>
      <c r="U164" s="11">
        <v>1.7515986070966234</v>
      </c>
      <c r="V164" s="11">
        <v>1.8391785374514544</v>
      </c>
      <c r="W164" s="11">
        <v>1.9311374643240276</v>
      </c>
      <c r="X164" s="11">
        <v>2.027694337540229</v>
      </c>
      <c r="Y164" s="11">
        <v>2.1290790544172404</v>
      </c>
      <c r="Z164" s="11">
        <v>2.2355330071381023</v>
      </c>
      <c r="AA164" s="11">
        <v>2.3473096574950074</v>
      </c>
      <c r="AB164" s="11">
        <v>2.4646751403697587</v>
      </c>
      <c r="AC164" s="11">
        <v>2.587908897388246</v>
      </c>
      <c r="AD164" s="11">
        <v>2.7173043422576582</v>
      </c>
      <c r="AE164" s="11">
        <v>2.8531695593705413</v>
      </c>
      <c r="AF164" s="11">
        <v>2.9958280373390687</v>
      </c>
      <c r="AG164" s="11">
        <v>3.1456194392060217</v>
      </c>
      <c r="AH164" s="11">
        <v>3.3029004111663243</v>
      </c>
      <c r="AI164" s="11">
        <v>3.4680454317246392</v>
      </c>
      <c r="AJ164" s="11">
        <v>3.6414477033108716</v>
      </c>
      <c r="AK164" s="11">
        <v>3.8235200884764162</v>
      </c>
      <c r="AL164" s="11">
        <v>4.0146960929002367</v>
      </c>
      <c r="AM164" s="11">
        <v>4.2154308975452484</v>
      </c>
      <c r="AN164" s="11">
        <v>4.426202442422511</v>
      </c>
    </row>
    <row r="167" spans="1:40" x14ac:dyDescent="0.2">
      <c r="A167" s="5" t="s">
        <v>32</v>
      </c>
    </row>
    <row r="168" spans="1:40" x14ac:dyDescent="0.2">
      <c r="A168" s="5" t="s">
        <v>4</v>
      </c>
    </row>
    <row r="169" spans="1:40" x14ac:dyDescent="0.2">
      <c r="A169" s="5" t="s">
        <v>176</v>
      </c>
    </row>
    <row r="170" spans="1:40" x14ac:dyDescent="0.2">
      <c r="A170" s="5" t="s">
        <v>6</v>
      </c>
    </row>
    <row r="171" spans="1:40" x14ac:dyDescent="0.2">
      <c r="A171" t="s">
        <v>156</v>
      </c>
      <c r="B171">
        <v>1000000</v>
      </c>
    </row>
    <row r="172" spans="1:40" x14ac:dyDescent="0.2">
      <c r="A172" s="6" t="s">
        <v>7</v>
      </c>
      <c r="B172" s="6">
        <v>2022</v>
      </c>
      <c r="C172" s="6">
        <v>2023</v>
      </c>
      <c r="D172" s="6">
        <v>2024</v>
      </c>
      <c r="E172" s="6">
        <v>2025</v>
      </c>
      <c r="F172" s="6">
        <v>2026</v>
      </c>
      <c r="G172" s="6">
        <v>2027</v>
      </c>
      <c r="H172" s="6">
        <v>2028</v>
      </c>
      <c r="I172" s="6">
        <v>2029</v>
      </c>
      <c r="J172" s="6">
        <v>2030</v>
      </c>
      <c r="K172" s="6">
        <v>2031</v>
      </c>
      <c r="L172" s="6">
        <v>2032</v>
      </c>
      <c r="M172" s="6">
        <v>2033</v>
      </c>
      <c r="N172" s="6">
        <v>2034</v>
      </c>
      <c r="O172" s="6">
        <v>2035</v>
      </c>
      <c r="P172" s="6">
        <v>2036</v>
      </c>
      <c r="Q172" s="6">
        <v>2037</v>
      </c>
      <c r="R172" s="6">
        <v>2038</v>
      </c>
      <c r="S172" s="6">
        <v>2039</v>
      </c>
      <c r="T172" s="6">
        <v>2040</v>
      </c>
      <c r="U172" s="6">
        <v>2041</v>
      </c>
      <c r="V172" s="6">
        <v>2042</v>
      </c>
      <c r="W172" s="6">
        <v>2043</v>
      </c>
      <c r="X172" s="6">
        <v>2044</v>
      </c>
      <c r="Y172" s="6">
        <v>2045</v>
      </c>
      <c r="Z172" s="6">
        <v>2046</v>
      </c>
      <c r="AA172" s="6">
        <v>2047</v>
      </c>
      <c r="AB172" s="6">
        <v>2048</v>
      </c>
      <c r="AC172" s="6">
        <v>2049</v>
      </c>
      <c r="AD172" s="6">
        <v>2050</v>
      </c>
      <c r="AE172" s="6">
        <v>2051</v>
      </c>
      <c r="AF172" s="6">
        <v>2052</v>
      </c>
      <c r="AG172" s="6">
        <v>2053</v>
      </c>
      <c r="AH172" s="6">
        <v>2054</v>
      </c>
      <c r="AI172" s="6">
        <v>2055</v>
      </c>
      <c r="AJ172" s="6">
        <v>2056</v>
      </c>
      <c r="AK172" s="6">
        <v>2057</v>
      </c>
      <c r="AL172" s="6">
        <v>2058</v>
      </c>
      <c r="AM172" s="6">
        <v>2059</v>
      </c>
      <c r="AN172" s="6">
        <v>2060</v>
      </c>
    </row>
    <row r="173" spans="1:40" x14ac:dyDescent="0.2">
      <c r="A173" s="6" t="s">
        <v>34</v>
      </c>
      <c r="B173" s="11">
        <v>60.376923983079131</v>
      </c>
      <c r="C173" s="11">
        <v>60.583379402383386</v>
      </c>
      <c r="D173" s="11">
        <v>60.78983482168767</v>
      </c>
      <c r="E173" s="11">
        <v>60.996290240991939</v>
      </c>
      <c r="F173" s="11">
        <v>61.548555604970311</v>
      </c>
      <c r="G173" s="11">
        <v>62.100820968948696</v>
      </c>
      <c r="H173" s="11">
        <v>62.653086332927096</v>
      </c>
      <c r="I173" s="11">
        <v>63.20535169690546</v>
      </c>
      <c r="J173" s="11">
        <v>63.757617060883824</v>
      </c>
      <c r="K173" s="11">
        <v>64.221477282815371</v>
      </c>
      <c r="L173" s="11">
        <v>64.68533750474694</v>
      </c>
      <c r="M173" s="11">
        <v>65.149197726678466</v>
      </c>
      <c r="N173" s="11">
        <v>65.61305794861002</v>
      </c>
      <c r="O173" s="11">
        <v>66.07691817054156</v>
      </c>
      <c r="P173" s="11">
        <v>66.451351256035394</v>
      </c>
      <c r="Q173" s="11">
        <v>66.825784341529214</v>
      </c>
      <c r="R173" s="11">
        <v>67.20021742702302</v>
      </c>
      <c r="S173" s="11">
        <v>67.57465051251684</v>
      </c>
      <c r="T173" s="11">
        <v>67.949083598010674</v>
      </c>
      <c r="U173" s="11">
        <v>68.236052529437941</v>
      </c>
      <c r="V173" s="11">
        <v>68.523021460865223</v>
      </c>
      <c r="W173" s="11">
        <v>68.809990392292534</v>
      </c>
      <c r="X173" s="11">
        <v>69.096959323719815</v>
      </c>
      <c r="Y173" s="11">
        <v>69.383928255147111</v>
      </c>
      <c r="Z173" s="11">
        <v>69.586978486056722</v>
      </c>
      <c r="AA173" s="11">
        <v>69.790028716966319</v>
      </c>
      <c r="AB173" s="11">
        <v>69.993078947875944</v>
      </c>
      <c r="AC173" s="11">
        <v>70.196129178785526</v>
      </c>
      <c r="AD173" s="11">
        <v>70.399179409695165</v>
      </c>
      <c r="AE173" s="11">
        <v>70.399179409695165</v>
      </c>
      <c r="AF173" s="11">
        <v>70.399179409695165</v>
      </c>
      <c r="AG173" s="11">
        <v>70.399179409695165</v>
      </c>
      <c r="AH173" s="11">
        <v>70.399179409695165</v>
      </c>
      <c r="AI173" s="11">
        <v>70.399179409695165</v>
      </c>
      <c r="AJ173" s="11">
        <v>70.399179409695165</v>
      </c>
      <c r="AK173" s="11">
        <v>70.399179409695165</v>
      </c>
      <c r="AL173" s="11">
        <v>70.399179409695165</v>
      </c>
      <c r="AM173" s="11">
        <v>70.399179409695165</v>
      </c>
      <c r="AN173" s="11">
        <v>70.399179409695165</v>
      </c>
    </row>
    <row r="174" spans="1:40" x14ac:dyDescent="0.2">
      <c r="A174" s="6" t="s">
        <v>35</v>
      </c>
      <c r="B174" s="11">
        <v>23.547942271091699</v>
      </c>
      <c r="C174" s="11">
        <v>23.628463105453736</v>
      </c>
      <c r="D174" s="11">
        <v>23.708983939815777</v>
      </c>
      <c r="E174" s="11">
        <v>23.789504774177825</v>
      </c>
      <c r="F174" s="11">
        <v>24.004896881813693</v>
      </c>
      <c r="G174" s="11">
        <v>24.220288989449568</v>
      </c>
      <c r="H174" s="11">
        <v>24.435681097085443</v>
      </c>
      <c r="I174" s="11">
        <v>24.651073204721314</v>
      </c>
      <c r="J174" s="11">
        <v>24.866465312357185</v>
      </c>
      <c r="K174" s="11">
        <v>25.047378035419413</v>
      </c>
      <c r="L174" s="11">
        <v>25.228290758481641</v>
      </c>
      <c r="M174" s="11">
        <v>25.409203481543862</v>
      </c>
      <c r="N174" s="11">
        <v>25.59011620460609</v>
      </c>
      <c r="O174" s="11">
        <v>25.771028927668315</v>
      </c>
      <c r="P174" s="11">
        <v>25.91706367240069</v>
      </c>
      <c r="Q174" s="11">
        <v>26.063098417133073</v>
      </c>
      <c r="R174" s="11">
        <v>26.209133161865452</v>
      </c>
      <c r="S174" s="11">
        <v>26.355167906597831</v>
      </c>
      <c r="T174" s="11">
        <v>26.501202651330214</v>
      </c>
      <c r="U174" s="11">
        <v>26.613125011481259</v>
      </c>
      <c r="V174" s="11">
        <v>26.725047371632304</v>
      </c>
      <c r="W174" s="11">
        <v>26.836969731783356</v>
      </c>
      <c r="X174" s="11">
        <v>26.9488920919344</v>
      </c>
      <c r="Y174" s="11">
        <v>27.060814452085452</v>
      </c>
      <c r="Z174" s="11">
        <v>27.140007209850509</v>
      </c>
      <c r="AA174" s="11">
        <v>27.219199967615566</v>
      </c>
      <c r="AB174" s="11">
        <v>27.29839272538063</v>
      </c>
      <c r="AC174" s="11">
        <v>27.377585483145687</v>
      </c>
      <c r="AD174" s="11">
        <v>27.456778240910744</v>
      </c>
      <c r="AE174" s="11">
        <v>27.456778240910744</v>
      </c>
      <c r="AF174" s="11">
        <v>27.456778240910744</v>
      </c>
      <c r="AG174" s="11">
        <v>27.456778240910744</v>
      </c>
      <c r="AH174" s="11">
        <v>27.456778240910744</v>
      </c>
      <c r="AI174" s="11">
        <v>27.456778240910744</v>
      </c>
      <c r="AJ174" s="11">
        <v>27.456778240910744</v>
      </c>
      <c r="AK174" s="11">
        <v>27.456778240910744</v>
      </c>
      <c r="AL174" s="11">
        <v>27.456778240910744</v>
      </c>
      <c r="AM174" s="11">
        <v>27.456778240910744</v>
      </c>
      <c r="AN174" s="11">
        <v>27.456778240910744</v>
      </c>
    </row>
    <row r="175" spans="1:40" x14ac:dyDescent="0.2">
      <c r="A175" s="6" t="s">
        <v>36</v>
      </c>
      <c r="B175" s="11">
        <v>6.4050402977369441</v>
      </c>
      <c r="C175" s="11">
        <v>6.4269419646834169</v>
      </c>
      <c r="D175" s="11">
        <v>6.4488436316298925</v>
      </c>
      <c r="E175" s="11">
        <v>6.470745298576368</v>
      </c>
      <c r="F175" s="11">
        <v>6.5293319518533259</v>
      </c>
      <c r="G175" s="11">
        <v>6.5879186051302829</v>
      </c>
      <c r="H175" s="11">
        <v>6.6465052584072417</v>
      </c>
      <c r="I175" s="11">
        <v>6.7050919116841987</v>
      </c>
      <c r="J175" s="11">
        <v>6.7636785649611548</v>
      </c>
      <c r="K175" s="11">
        <v>6.8128868256340809</v>
      </c>
      <c r="L175" s="11">
        <v>6.8620950863070078</v>
      </c>
      <c r="M175" s="11">
        <v>6.9113033469799312</v>
      </c>
      <c r="N175" s="11">
        <v>6.9605116076528573</v>
      </c>
      <c r="O175" s="11">
        <v>7.0097198683257824</v>
      </c>
      <c r="P175" s="11">
        <v>7.0494413188929892</v>
      </c>
      <c r="Q175" s="11">
        <v>7.0891627694601969</v>
      </c>
      <c r="R175" s="11">
        <v>7.1288842200274027</v>
      </c>
      <c r="S175" s="11">
        <v>7.1686056705946104</v>
      </c>
      <c r="T175" s="11">
        <v>7.2083271211618181</v>
      </c>
      <c r="U175" s="11">
        <v>7.2387700031229034</v>
      </c>
      <c r="V175" s="11">
        <v>7.269212885083987</v>
      </c>
      <c r="W175" s="11">
        <v>7.2996557670450741</v>
      </c>
      <c r="X175" s="11">
        <v>7.3300986490061577</v>
      </c>
      <c r="Y175" s="11">
        <v>7.3605415309672448</v>
      </c>
      <c r="Z175" s="11">
        <v>7.3820819610793391</v>
      </c>
      <c r="AA175" s="11">
        <v>7.4036223911914352</v>
      </c>
      <c r="AB175" s="11">
        <v>7.4251628213035321</v>
      </c>
      <c r="AC175" s="11">
        <v>7.4467032514156273</v>
      </c>
      <c r="AD175" s="11">
        <v>7.4682436815277233</v>
      </c>
      <c r="AE175" s="11">
        <v>7.4682436815277233</v>
      </c>
      <c r="AF175" s="11">
        <v>7.4682436815277233</v>
      </c>
      <c r="AG175" s="11">
        <v>7.4682436815277233</v>
      </c>
      <c r="AH175" s="11">
        <v>7.4682436815277233</v>
      </c>
      <c r="AI175" s="11">
        <v>7.4682436815277233</v>
      </c>
      <c r="AJ175" s="11">
        <v>7.4682436815277233</v>
      </c>
      <c r="AK175" s="11">
        <v>7.4682436815277233</v>
      </c>
      <c r="AL175" s="11">
        <v>7.4682436815277233</v>
      </c>
      <c r="AM175" s="11">
        <v>7.4682436815277233</v>
      </c>
      <c r="AN175" s="11">
        <v>7.4682436815277233</v>
      </c>
    </row>
    <row r="176" spans="1:40" x14ac:dyDescent="0.2">
      <c r="A176" s="6" t="s">
        <v>37</v>
      </c>
      <c r="B176" s="11">
        <v>3.8618625324590394</v>
      </c>
      <c r="C176" s="11">
        <v>3.8750679492944129</v>
      </c>
      <c r="D176" s="11">
        <v>3.8882733661297881</v>
      </c>
      <c r="E176" s="11">
        <v>3.9014787829651629</v>
      </c>
      <c r="F176" s="11">
        <v>3.9368030886174461</v>
      </c>
      <c r="G176" s="11">
        <v>3.9721273942697288</v>
      </c>
      <c r="H176" s="11">
        <v>4.0074516999220133</v>
      </c>
      <c r="I176" s="11">
        <v>4.0427760055742956</v>
      </c>
      <c r="J176" s="11">
        <v>4.0781003112265788</v>
      </c>
      <c r="K176" s="11">
        <v>4.1077699978087834</v>
      </c>
      <c r="L176" s="11">
        <v>4.1374396843909897</v>
      </c>
      <c r="M176" s="11">
        <v>4.1671093709731943</v>
      </c>
      <c r="N176" s="11">
        <v>4.1967790575553989</v>
      </c>
      <c r="O176" s="11">
        <v>4.2264487441376035</v>
      </c>
      <c r="P176" s="11">
        <v>4.2503984422737133</v>
      </c>
      <c r="Q176" s="11">
        <v>4.2743481404098231</v>
      </c>
      <c r="R176" s="11">
        <v>4.2982978385459347</v>
      </c>
      <c r="S176" s="11">
        <v>4.3222475366820445</v>
      </c>
      <c r="T176" s="11">
        <v>4.3461972348181552</v>
      </c>
      <c r="U176" s="11">
        <v>4.364552501882927</v>
      </c>
      <c r="V176" s="11">
        <v>4.382907768947697</v>
      </c>
      <c r="W176" s="11">
        <v>4.4012630360124705</v>
      </c>
      <c r="X176" s="11">
        <v>4.4196183030772422</v>
      </c>
      <c r="Y176" s="11">
        <v>4.4379735701420149</v>
      </c>
      <c r="Z176" s="11">
        <v>4.4509611824154831</v>
      </c>
      <c r="AA176" s="11">
        <v>4.4639487946889531</v>
      </c>
      <c r="AB176" s="11">
        <v>4.476936406962424</v>
      </c>
      <c r="AC176" s="11">
        <v>4.4899240192358922</v>
      </c>
      <c r="AD176" s="11">
        <v>4.5029116315093614</v>
      </c>
      <c r="AE176" s="11">
        <v>4.5029116315093614</v>
      </c>
      <c r="AF176" s="11">
        <v>4.5029116315093614</v>
      </c>
      <c r="AG176" s="11">
        <v>4.5029116315093614</v>
      </c>
      <c r="AH176" s="11">
        <v>4.5029116315093614</v>
      </c>
      <c r="AI176" s="11">
        <v>4.5029116315093614</v>
      </c>
      <c r="AJ176" s="11">
        <v>4.5029116315093614</v>
      </c>
      <c r="AK176" s="11">
        <v>4.5029116315093614</v>
      </c>
      <c r="AL176" s="11">
        <v>4.5029116315093614</v>
      </c>
      <c r="AM176" s="11">
        <v>4.5029116315093614</v>
      </c>
      <c r="AN176" s="11">
        <v>4.5029116315093614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9A4CF-ECBB-4F4A-811A-A6D1DB5FA7EF}">
  <sheetPr>
    <tabColor theme="4" tint="0.79998168889431442"/>
  </sheetPr>
  <dimension ref="A1:AN176"/>
  <sheetViews>
    <sheetView topLeftCell="A104" workbookViewId="0">
      <selection activeCell="B139" sqref="B139"/>
    </sheetView>
  </sheetViews>
  <sheetFormatPr baseColWidth="10" defaultRowHeight="16" x14ac:dyDescent="0.2"/>
  <sheetData>
    <row r="1" spans="1:40" x14ac:dyDescent="0.2">
      <c r="A1" s="5" t="s">
        <v>157</v>
      </c>
    </row>
    <row r="2" spans="1:40" x14ac:dyDescent="0.2">
      <c r="A2" s="5" t="s">
        <v>4</v>
      </c>
    </row>
    <row r="3" spans="1:40" x14ac:dyDescent="0.2">
      <c r="A3" s="5" t="s">
        <v>33</v>
      </c>
    </row>
    <row r="4" spans="1:40" x14ac:dyDescent="0.2">
      <c r="A4" s="5" t="s">
        <v>6</v>
      </c>
    </row>
    <row r="5" spans="1:40" x14ac:dyDescent="0.2">
      <c r="A5" s="5"/>
    </row>
    <row r="6" spans="1:40" x14ac:dyDescent="0.2">
      <c r="A6" s="6" t="s">
        <v>7</v>
      </c>
      <c r="B6" s="6">
        <v>2022</v>
      </c>
      <c r="C6" s="6">
        <v>2023</v>
      </c>
      <c r="D6" s="6">
        <v>2024</v>
      </c>
      <c r="E6" s="6">
        <v>2025</v>
      </c>
      <c r="F6" s="6">
        <v>2026</v>
      </c>
      <c r="G6" s="6">
        <v>2027</v>
      </c>
      <c r="H6" s="6">
        <v>2028</v>
      </c>
      <c r="I6" s="6">
        <v>2029</v>
      </c>
      <c r="J6" s="6">
        <v>2030</v>
      </c>
      <c r="K6" s="6">
        <v>2031</v>
      </c>
      <c r="L6" s="6">
        <v>2032</v>
      </c>
      <c r="M6" s="6">
        <v>2033</v>
      </c>
      <c r="N6" s="6">
        <v>2034</v>
      </c>
      <c r="O6" s="6">
        <v>2035</v>
      </c>
      <c r="P6" s="6">
        <v>2036</v>
      </c>
      <c r="Q6" s="6">
        <v>2037</v>
      </c>
      <c r="R6" s="6">
        <v>2038</v>
      </c>
      <c r="S6" s="6">
        <v>2039</v>
      </c>
      <c r="T6" s="6">
        <v>2040</v>
      </c>
      <c r="U6" s="6">
        <v>2041</v>
      </c>
      <c r="V6" s="6">
        <v>2042</v>
      </c>
      <c r="W6" s="6">
        <v>2043</v>
      </c>
      <c r="X6" s="6">
        <v>2044</v>
      </c>
      <c r="Y6" s="6">
        <v>2045</v>
      </c>
      <c r="Z6" s="6">
        <v>2046</v>
      </c>
      <c r="AA6" s="6">
        <v>2047</v>
      </c>
      <c r="AB6" s="6">
        <v>2048</v>
      </c>
      <c r="AC6" s="6">
        <v>2049</v>
      </c>
      <c r="AD6" s="6">
        <v>2050</v>
      </c>
      <c r="AE6" s="6">
        <v>2051</v>
      </c>
      <c r="AF6" s="6">
        <v>2052</v>
      </c>
      <c r="AG6" s="6">
        <v>2053</v>
      </c>
      <c r="AH6" s="6">
        <v>2054</v>
      </c>
      <c r="AI6" s="6">
        <v>2055</v>
      </c>
      <c r="AJ6" s="6">
        <v>2056</v>
      </c>
      <c r="AK6" s="6">
        <v>2057</v>
      </c>
      <c r="AL6" s="6">
        <v>2058</v>
      </c>
      <c r="AM6" s="6">
        <v>2059</v>
      </c>
      <c r="AN6" s="6">
        <v>2060</v>
      </c>
    </row>
    <row r="7" spans="1:40" x14ac:dyDescent="0.2">
      <c r="A7" s="6" t="s">
        <v>34</v>
      </c>
      <c r="B7" s="11">
        <f>Electricity!B7*Electricity!$B$5</f>
        <v>45305693.4381174</v>
      </c>
      <c r="C7" s="11">
        <f>Electricity!C7*Electricity!$B$5</f>
        <v>47574826.293547623</v>
      </c>
      <c r="D7" s="11">
        <f>Electricity!D7*Electricity!$B$5</f>
        <v>48037120.061488099</v>
      </c>
      <c r="E7" s="11">
        <f>Electricity!E7*Electricity!$B$5</f>
        <v>48501452.705432124</v>
      </c>
      <c r="F7" s="11">
        <f>Electricity!F7*Electricity!$B$5</f>
        <v>49244503.978934832</v>
      </c>
      <c r="G7" s="11">
        <f>Electricity!G7*Electricity!$B$5</f>
        <v>49993009.217279024</v>
      </c>
      <c r="H7" s="11">
        <f>Electricity!H7*Electricity!$B$5</f>
        <v>50746968.420464687</v>
      </c>
      <c r="I7" s="11">
        <f>Electricity!I7*Electricity!$B$5</f>
        <v>51506381.588491805</v>
      </c>
      <c r="J7" s="11">
        <f>Electricity!J7*Electricity!$B$5</f>
        <v>52271248.721360348</v>
      </c>
      <c r="K7" s="11">
        <f>Electricity!K7*Electricity!$B$5</f>
        <v>52968654.936669156</v>
      </c>
      <c r="L7" s="11">
        <f>Electricity!L7*Electricity!$B$5</f>
        <v>53670642.06091556</v>
      </c>
      <c r="M7" s="11">
        <f>Electricity!M7*Electricity!$B$5</f>
        <v>54377210.094099551</v>
      </c>
      <c r="N7" s="11">
        <f>Electricity!N7*Electricity!$B$5</f>
        <v>55088359.036221132</v>
      </c>
      <c r="O7" s="11">
        <f>Electricity!O7*Electricity!$B$5</f>
        <v>55804088.887280278</v>
      </c>
      <c r="P7" s="11">
        <f>Electricity!P7*Electricity!$B$5</f>
        <v>56448433.971469812</v>
      </c>
      <c r="Q7" s="11">
        <f>Electricity!Q7*Electricity!$B$5</f>
        <v>57096476.815861203</v>
      </c>
      <c r="R7" s="11">
        <f>Electricity!R7*Electricity!$B$5</f>
        <v>57748217.420454405</v>
      </c>
      <c r="S7" s="11">
        <f>Electricity!S7*Electricity!$B$5</f>
        <v>58403655.785249449</v>
      </c>
      <c r="T7" s="11">
        <f>Electricity!T7*Electricity!$B$5</f>
        <v>59062791.910246283</v>
      </c>
      <c r="U7" s="11">
        <f>Electricity!U7*Electricity!$B$5</f>
        <v>59649168.206757069</v>
      </c>
      <c r="V7" s="11">
        <f>Electricity!V7*Electricity!$B$5</f>
        <v>60238378.500408903</v>
      </c>
      <c r="W7" s="11">
        <f>Electricity!W7*Electricity!$B$5</f>
        <v>60830422.791201748</v>
      </c>
      <c r="X7" s="11">
        <f>Electricity!X7*Electricity!$B$5</f>
        <v>61425301.079135627</v>
      </c>
      <c r="Y7" s="11">
        <f>Electricity!Y7*Electricity!$B$5</f>
        <v>62023013.364210464</v>
      </c>
      <c r="Z7" s="11">
        <f>Electricity!Z7*Electricity!$B$5</f>
        <v>62548129.474582158</v>
      </c>
      <c r="AA7" s="11">
        <f>Electricity!AA7*Electricity!$B$5</f>
        <v>63075250.832598686</v>
      </c>
      <c r="AB7" s="11">
        <f>Electricity!AB7*Electricity!$B$5</f>
        <v>63604377.438260064</v>
      </c>
      <c r="AC7" s="11">
        <f>Electricity!AC7*Electricity!$B$5</f>
        <v>64135509.291566238</v>
      </c>
      <c r="AD7" s="11">
        <f>Electricity!AD7*Electricity!$B$5</f>
        <v>64668646.392517217</v>
      </c>
      <c r="AE7" s="11">
        <f>Electricity!AE7*Electricity!$B$5</f>
        <v>65016264.290009089</v>
      </c>
      <c r="AF7" s="11">
        <f>Electricity!AF7*Electricity!$B$5</f>
        <v>65363882.187501006</v>
      </c>
      <c r="AG7" s="11">
        <f>Electricity!AG7*Electricity!$B$5</f>
        <v>65711500.084992923</v>
      </c>
      <c r="AH7" s="11">
        <f>Electricity!AH7*Electricity!$B$5</f>
        <v>66059117.982484862</v>
      </c>
      <c r="AI7" s="11">
        <f>Electricity!AI7*Electricity!$B$5</f>
        <v>66406735.879976749</v>
      </c>
      <c r="AJ7" s="11">
        <f>Electricity!AJ7*Electricity!$B$5</f>
        <v>66754353.777468622</v>
      </c>
      <c r="AK7" s="11">
        <f>Electricity!AK7*Electricity!$B$5</f>
        <v>67101971.674960509</v>
      </c>
      <c r="AL7" s="11">
        <f>Electricity!AL7*Electricity!$B$5</f>
        <v>67449589.572452486</v>
      </c>
      <c r="AM7" s="11">
        <f>Electricity!AM7*Electricity!$B$5</f>
        <v>67797207.469944388</v>
      </c>
      <c r="AN7" s="11">
        <f>Electricity!AN7*Electricity!$B$5</f>
        <v>68144825.367436305</v>
      </c>
    </row>
    <row r="8" spans="1:40" x14ac:dyDescent="0.2">
      <c r="A8" s="6" t="s">
        <v>35</v>
      </c>
      <c r="B8" s="11">
        <f>Electricity!B8*Electricity!$B$5</f>
        <v>17669927.237955302</v>
      </c>
      <c r="C8" s="11">
        <f>Electricity!C8*Electricity!$B$5</f>
        <v>18554924.451461632</v>
      </c>
      <c r="D8" s="11">
        <f>Electricity!D8*Electricity!$B$5</f>
        <v>18735226.233029678</v>
      </c>
      <c r="E8" s="11">
        <f>Electricity!E8*Electricity!$B$5</f>
        <v>18916323.20804685</v>
      </c>
      <c r="F8" s="11">
        <f>Electricity!F8*Electricity!$B$5</f>
        <v>19206124.796776455</v>
      </c>
      <c r="G8" s="11">
        <f>Electricity!G8*Electricity!$B$5</f>
        <v>19498053.516879495</v>
      </c>
      <c r="H8" s="11">
        <f>Electricity!H8*Electricity!$B$5</f>
        <v>19792109.36835596</v>
      </c>
      <c r="I8" s="11">
        <f>Electricity!I8*Electricity!$B$5</f>
        <v>20088292.351205852</v>
      </c>
      <c r="J8" s="11">
        <f>Electricity!J8*Electricity!$B$5</f>
        <v>20386602.465429153</v>
      </c>
      <c r="K8" s="11">
        <f>Electricity!K8*Electricity!$B$5</f>
        <v>20658601.769371744</v>
      </c>
      <c r="L8" s="11">
        <f>Electricity!L8*Electricity!$B$5</f>
        <v>20932387.699265037</v>
      </c>
      <c r="M8" s="11">
        <f>Electricity!M8*Electricity!$B$5</f>
        <v>21207960.255109027</v>
      </c>
      <c r="N8" s="11">
        <f>Electricity!N8*Electricity!$B$5</f>
        <v>21485319.436903715</v>
      </c>
      <c r="O8" s="11">
        <f>Electricity!O8*Electricity!$B$5</f>
        <v>21764465.244649094</v>
      </c>
      <c r="P8" s="11">
        <f>Electricity!P8*Electricity!$B$5</f>
        <v>22015769.879668415</v>
      </c>
      <c r="Q8" s="11">
        <f>Electricity!Q8*Electricity!$B$5</f>
        <v>22268516.698853821</v>
      </c>
      <c r="R8" s="11">
        <f>Electricity!R8*Electricity!$B$5</f>
        <v>22522705.702205304</v>
      </c>
      <c r="S8" s="11">
        <f>Electricity!S8*Electricity!$B$5</f>
        <v>22778336.889722873</v>
      </c>
      <c r="T8" s="11">
        <f>Electricity!T8*Electricity!$B$5</f>
        <v>23035410.261406504</v>
      </c>
      <c r="U8" s="11">
        <f>Electricity!U8*Electricity!$B$5</f>
        <v>23264106.164881848</v>
      </c>
      <c r="V8" s="11">
        <f>Electricity!V8*Electricity!$B$5</f>
        <v>23493907.371454328</v>
      </c>
      <c r="W8" s="11">
        <f>Electricity!W8*Electricity!$B$5</f>
        <v>23724813.881123923</v>
      </c>
      <c r="X8" s="11">
        <f>Electricity!X8*Electricity!$B$5</f>
        <v>23956825.693890646</v>
      </c>
      <c r="Y8" s="11">
        <f>Electricity!Y8*Electricity!$B$5</f>
        <v>24189942.809754469</v>
      </c>
      <c r="Z8" s="11">
        <f>Electricity!Z8*Electricity!$B$5</f>
        <v>24394746.284938436</v>
      </c>
      <c r="AA8" s="11">
        <f>Electricity!AA8*Electricity!$B$5</f>
        <v>24600331.837987006</v>
      </c>
      <c r="AB8" s="11">
        <f>Electricity!AB8*Electricity!$B$5</f>
        <v>24806699.468900178</v>
      </c>
      <c r="AC8" s="11">
        <f>Electricity!AC8*Electricity!$B$5</f>
        <v>25013849.177677937</v>
      </c>
      <c r="AD8" s="11">
        <f>Electricity!AD8*Electricity!$B$5</f>
        <v>25221780.964320287</v>
      </c>
      <c r="AE8" s="11">
        <f>Electricity!AE8*Electricity!$B$5</f>
        <v>25357357.36739824</v>
      </c>
      <c r="AF8" s="11">
        <f>Electricity!AF8*Electricity!$B$5</f>
        <v>25492933.770476207</v>
      </c>
      <c r="AG8" s="11">
        <f>Electricity!AG8*Electricity!$B$5</f>
        <v>25628510.173554175</v>
      </c>
      <c r="AH8" s="11">
        <f>Electricity!AH8*Electricity!$B$5</f>
        <v>25764086.576632161</v>
      </c>
      <c r="AI8" s="11">
        <f>Electricity!AI8*Electricity!$B$5</f>
        <v>25899662.979710124</v>
      </c>
      <c r="AJ8" s="11">
        <f>Electricity!AJ8*Electricity!$B$5</f>
        <v>26035239.382788073</v>
      </c>
      <c r="AK8" s="11">
        <f>Electricity!AK8*Electricity!$B$5</f>
        <v>26170815.785866037</v>
      </c>
      <c r="AL8" s="11">
        <f>Electricity!AL8*Electricity!$B$5</f>
        <v>26306392.188944023</v>
      </c>
      <c r="AM8" s="11">
        <f>Electricity!AM8*Electricity!$B$5</f>
        <v>26441968.592021991</v>
      </c>
      <c r="AN8" s="11">
        <f>Electricity!AN8*Electricity!$B$5</f>
        <v>26577544.995099962</v>
      </c>
    </row>
    <row r="9" spans="1:40" x14ac:dyDescent="0.2">
      <c r="A9" s="6" t="s">
        <v>36</v>
      </c>
      <c r="B9" s="11">
        <f>Electricity!B9*Electricity!$B$5</f>
        <v>4806220.2087238431</v>
      </c>
      <c r="C9" s="11">
        <f>Electricity!C9*Electricity!$B$5</f>
        <v>5046939.4507975634</v>
      </c>
      <c r="D9" s="11">
        <f>Electricity!D9*Electricity!$B$5</f>
        <v>5095981.5353840729</v>
      </c>
      <c r="E9" s="11">
        <f>Electricity!E9*Electricity!$B$5</f>
        <v>5145239.9125887435</v>
      </c>
      <c r="F9" s="11">
        <f>Electricity!F9*Electricity!$B$5</f>
        <v>5224065.9447231963</v>
      </c>
      <c r="G9" s="11">
        <f>Electricity!G9*Electricity!$B$5</f>
        <v>5303470.556591223</v>
      </c>
      <c r="H9" s="11">
        <f>Electricity!H9*Electricity!$B$5</f>
        <v>5383453.7481928216</v>
      </c>
      <c r="I9" s="11">
        <f>Electricity!I9*Electricity!$B$5</f>
        <v>5464015.5195279922</v>
      </c>
      <c r="J9" s="11">
        <f>Electricity!J9*Electricity!$B$5</f>
        <v>5545155.8705967302</v>
      </c>
      <c r="K9" s="11">
        <f>Electricity!K9*Electricity!$B$5</f>
        <v>5619139.6812691148</v>
      </c>
      <c r="L9" s="11">
        <f>Electricity!L9*Electricity!$B$5</f>
        <v>5693609.4542000899</v>
      </c>
      <c r="M9" s="11">
        <f>Electricity!M9*Electricity!$B$5</f>
        <v>5768565.1893896572</v>
      </c>
      <c r="N9" s="11">
        <f>Electricity!N9*Electricity!$B$5</f>
        <v>5844006.8868378112</v>
      </c>
      <c r="O9" s="11">
        <f>Electricity!O9*Electricity!$B$5</f>
        <v>5919934.5465445537</v>
      </c>
      <c r="P9" s="11">
        <f>Electricity!P9*Electricity!$B$5</f>
        <v>5988289.4072698085</v>
      </c>
      <c r="Q9" s="11">
        <f>Electricity!Q9*Electricity!$B$5</f>
        <v>6057036.5420882395</v>
      </c>
      <c r="R9" s="11">
        <f>Electricity!R9*Electricity!$B$5</f>
        <v>6126175.9509998439</v>
      </c>
      <c r="S9" s="11">
        <f>Electricity!S9*Electricity!$B$5</f>
        <v>6195707.6340046218</v>
      </c>
      <c r="T9" s="11">
        <f>Electricity!T9*Electricity!$B$5</f>
        <v>6265631.5911025694</v>
      </c>
      <c r="U9" s="11">
        <f>Electricity!U9*Electricity!$B$5</f>
        <v>6327836.8768478641</v>
      </c>
      <c r="V9" s="11">
        <f>Electricity!V9*Electricity!$B$5</f>
        <v>6390342.8050355781</v>
      </c>
      <c r="W9" s="11">
        <f>Electricity!W9*Electricity!$B$5</f>
        <v>6453149.3756657075</v>
      </c>
      <c r="X9" s="11">
        <f>Electricity!X9*Electricity!$B$5</f>
        <v>6516256.5887382571</v>
      </c>
      <c r="Y9" s="11">
        <f>Electricity!Y9*Electricity!$B$5</f>
        <v>6579664.4442532165</v>
      </c>
      <c r="Z9" s="11">
        <f>Electricity!Z9*Electricity!$B$5</f>
        <v>6635370.9895032551</v>
      </c>
      <c r="AA9" s="11">
        <f>Electricity!AA9*Electricity!$B$5</f>
        <v>6691290.2599324668</v>
      </c>
      <c r="AB9" s="11">
        <f>Electricity!AB9*Electricity!$B$5</f>
        <v>6747422.2555408487</v>
      </c>
      <c r="AC9" s="11">
        <f>Electricity!AC9*Electricity!$B$5</f>
        <v>6803766.9763284</v>
      </c>
      <c r="AD9" s="11">
        <f>Electricity!AD9*Electricity!$B$5</f>
        <v>6860324.4222951196</v>
      </c>
      <c r="AE9" s="11">
        <f>Electricity!AE9*Electricity!$B$5</f>
        <v>6897201.2039323216</v>
      </c>
      <c r="AF9" s="11">
        <f>Electricity!AF9*Electricity!$B$5</f>
        <v>6934077.9855695283</v>
      </c>
      <c r="AG9" s="11">
        <f>Electricity!AG9*Electricity!$B$5</f>
        <v>6970954.7672067368</v>
      </c>
      <c r="AH9" s="11">
        <f>Electricity!AH9*Electricity!$B$5</f>
        <v>7007831.5488439491</v>
      </c>
      <c r="AI9" s="11">
        <f>Electricity!AI9*Electricity!$B$5</f>
        <v>7044708.3304811548</v>
      </c>
      <c r="AJ9" s="11">
        <f>Electricity!AJ9*Electricity!$B$5</f>
        <v>7081585.1121183569</v>
      </c>
      <c r="AK9" s="11">
        <f>Electricity!AK9*Electricity!$B$5</f>
        <v>7118461.8937555626</v>
      </c>
      <c r="AL9" s="11">
        <f>Electricity!AL9*Electricity!$B$5</f>
        <v>7155338.6753927749</v>
      </c>
      <c r="AM9" s="11">
        <f>Electricity!AM9*Electricity!$B$5</f>
        <v>7192215.4570299834</v>
      </c>
      <c r="AN9" s="11">
        <f>Electricity!AN9*Electricity!$B$5</f>
        <v>7229092.2386671901</v>
      </c>
    </row>
    <row r="10" spans="1:40" x14ac:dyDescent="0.2">
      <c r="A10" s="6" t="s">
        <v>37</v>
      </c>
      <c r="B10" s="11">
        <f>Electricity!B10*Electricity!$B$5</f>
        <v>2897868.0670246696</v>
      </c>
      <c r="C10" s="11">
        <f>Electricity!C10*Electricity!$B$5</f>
        <v>3043007.6100397073</v>
      </c>
      <c r="D10" s="11">
        <f>Electricity!D10*Electricity!$B$5</f>
        <v>3072577.1022168673</v>
      </c>
      <c r="E10" s="11">
        <f>Electricity!E10*Electricity!$B$5</f>
        <v>3102277.0061196829</v>
      </c>
      <c r="F10" s="11">
        <f>Electricity!F10*Electricity!$B$5</f>
        <v>3149804.4666713383</v>
      </c>
      <c r="G10" s="11">
        <f>Electricity!G10*Electricity!$B$5</f>
        <v>3197680.7767682369</v>
      </c>
      <c r="H10" s="11">
        <f>Electricity!H10*Electricity!$B$5</f>
        <v>3245905.9364103777</v>
      </c>
      <c r="I10" s="11">
        <f>Electricity!I10*Electricity!$B$5</f>
        <v>3294479.9455977599</v>
      </c>
      <c r="J10" s="11">
        <f>Electricity!J10*Electricity!$B$5</f>
        <v>3343402.8043303811</v>
      </c>
      <c r="K10" s="11">
        <f>Electricity!K10*Electricity!$B$5</f>
        <v>3388010.6901769661</v>
      </c>
      <c r="L10" s="11">
        <f>Electricity!L10*Electricity!$B$5</f>
        <v>3432911.5826794663</v>
      </c>
      <c r="M10" s="11">
        <f>Electricity!M10*Electricity!$B$5</f>
        <v>3478105.4818378813</v>
      </c>
      <c r="N10" s="11">
        <f>Electricity!N10*Electricity!$B$5</f>
        <v>3523592.3876522095</v>
      </c>
      <c r="O10" s="11">
        <f>Electricity!O10*Electricity!$B$5</f>
        <v>3569372.300122451</v>
      </c>
      <c r="P10" s="11">
        <f>Electricity!P10*Electricity!$B$5</f>
        <v>3610586.26026562</v>
      </c>
      <c r="Q10" s="11">
        <f>Electricity!Q10*Electricity!$B$5</f>
        <v>3652036.7386120269</v>
      </c>
      <c r="R10" s="11">
        <f>Electricity!R10*Electricity!$B$5</f>
        <v>3693723.7351616705</v>
      </c>
      <c r="S10" s="11">
        <f>Electricity!S10*Electricity!$B$5</f>
        <v>3735647.2499145512</v>
      </c>
      <c r="T10" s="11">
        <f>Electricity!T10*Electricity!$B$5</f>
        <v>3777807.2828706666</v>
      </c>
      <c r="U10" s="11">
        <f>Electricity!U10*Electricity!$B$5</f>
        <v>3815313.4110406232</v>
      </c>
      <c r="V10" s="11">
        <f>Electricity!V10*Electricity!$B$5</f>
        <v>3853000.8089185096</v>
      </c>
      <c r="W10" s="11">
        <f>Electricity!W10*Electricity!$B$5</f>
        <v>3890869.476504324</v>
      </c>
      <c r="X10" s="11">
        <f>Electricity!X10*Electricity!$B$5</f>
        <v>3928919.4137980659</v>
      </c>
      <c r="Y10" s="11">
        <f>Electricity!Y10*Electricity!$B$5</f>
        <v>3967150.6207997329</v>
      </c>
      <c r="Z10" s="11">
        <f>Electricity!Z10*Electricity!$B$5</f>
        <v>4000738.3907299037</v>
      </c>
      <c r="AA10" s="11">
        <f>Electricity!AA10*Electricity!$B$5</f>
        <v>4034454.4214298688</v>
      </c>
      <c r="AB10" s="11">
        <f>Electricity!AB10*Electricity!$B$5</f>
        <v>4068298.7128996286</v>
      </c>
      <c r="AC10" s="11">
        <f>Electricity!AC10*Electricity!$B$5</f>
        <v>4102271.2651391816</v>
      </c>
      <c r="AD10" s="11">
        <f>Electricity!AD10*Electricity!$B$5</f>
        <v>4136372.0781485275</v>
      </c>
      <c r="AE10" s="11">
        <f>Electricity!AE10*Electricity!$B$5</f>
        <v>4158606.6082533114</v>
      </c>
      <c r="AF10" s="11">
        <f>Electricity!AF10*Electricity!$B$5</f>
        <v>4180841.1383580975</v>
      </c>
      <c r="AG10" s="11">
        <f>Electricity!AG10*Electricity!$B$5</f>
        <v>4203075.6684628855</v>
      </c>
      <c r="AH10" s="11">
        <f>Electricity!AH10*Electricity!$B$5</f>
        <v>4225310.1985676754</v>
      </c>
      <c r="AI10" s="11">
        <f>Electricity!AI10*Electricity!$B$5</f>
        <v>4247544.7286724607</v>
      </c>
      <c r="AJ10" s="11">
        <f>Electricity!AJ10*Electricity!$B$5</f>
        <v>4269779.2587772449</v>
      </c>
      <c r="AK10" s="11">
        <f>Electricity!AK10*Electricity!$B$5</f>
        <v>4292013.7888820302</v>
      </c>
      <c r="AL10" s="11">
        <f>Electricity!AL10*Electricity!$B$5</f>
        <v>4314248.3189868191</v>
      </c>
      <c r="AM10" s="11">
        <f>Electricity!AM10*Electricity!$B$5</f>
        <v>4336482.8490916062</v>
      </c>
      <c r="AN10" s="11">
        <f>Electricity!AN10*Electricity!$B$5</f>
        <v>4358717.3791963942</v>
      </c>
    </row>
    <row r="12" spans="1:40" x14ac:dyDescent="0.2">
      <c r="A12" s="5" t="s">
        <v>157</v>
      </c>
    </row>
    <row r="13" spans="1:40" x14ac:dyDescent="0.2">
      <c r="A13" s="5" t="s">
        <v>4</v>
      </c>
    </row>
    <row r="14" spans="1:40" x14ac:dyDescent="0.2">
      <c r="A14" s="5" t="s">
        <v>38</v>
      </c>
    </row>
    <row r="15" spans="1:40" x14ac:dyDescent="0.2">
      <c r="A15" s="5" t="s">
        <v>6</v>
      </c>
    </row>
    <row r="16" spans="1:40" x14ac:dyDescent="0.2">
      <c r="A16" s="5"/>
    </row>
    <row r="17" spans="1:40" x14ac:dyDescent="0.2">
      <c r="A17" s="6" t="s">
        <v>7</v>
      </c>
      <c r="B17" s="6">
        <v>2022</v>
      </c>
      <c r="C17" s="6">
        <v>2023</v>
      </c>
      <c r="D17" s="6">
        <v>2024</v>
      </c>
      <c r="E17" s="6">
        <v>2025</v>
      </c>
      <c r="F17" s="6">
        <v>2026</v>
      </c>
      <c r="G17" s="6">
        <v>2027</v>
      </c>
      <c r="H17" s="6">
        <v>2028</v>
      </c>
      <c r="I17" s="6">
        <v>2029</v>
      </c>
      <c r="J17" s="6">
        <v>2030</v>
      </c>
      <c r="K17" s="6">
        <v>2031</v>
      </c>
      <c r="L17" s="6">
        <v>2032</v>
      </c>
      <c r="M17" s="6">
        <v>2033</v>
      </c>
      <c r="N17" s="6">
        <v>2034</v>
      </c>
      <c r="O17" s="6">
        <v>2035</v>
      </c>
      <c r="P17" s="6">
        <v>2036</v>
      </c>
      <c r="Q17" s="6">
        <v>2037</v>
      </c>
      <c r="R17" s="6">
        <v>2038</v>
      </c>
      <c r="S17" s="6">
        <v>2039</v>
      </c>
      <c r="T17" s="6">
        <v>2040</v>
      </c>
      <c r="U17" s="6">
        <v>2041</v>
      </c>
      <c r="V17" s="6">
        <v>2042</v>
      </c>
      <c r="W17" s="6">
        <v>2043</v>
      </c>
      <c r="X17" s="6">
        <v>2044</v>
      </c>
      <c r="Y17" s="6">
        <v>2045</v>
      </c>
      <c r="Z17" s="6">
        <v>2046</v>
      </c>
      <c r="AA17" s="6">
        <v>2047</v>
      </c>
      <c r="AB17" s="6">
        <v>2048</v>
      </c>
      <c r="AC17" s="6">
        <v>2049</v>
      </c>
      <c r="AD17" s="6">
        <v>2050</v>
      </c>
      <c r="AE17" s="6">
        <v>2051</v>
      </c>
      <c r="AF17" s="6">
        <v>2052</v>
      </c>
      <c r="AG17" s="6">
        <v>2053</v>
      </c>
      <c r="AH17" s="6">
        <v>2054</v>
      </c>
      <c r="AI17" s="6">
        <v>2055</v>
      </c>
      <c r="AJ17" s="6">
        <v>2056</v>
      </c>
      <c r="AK17" s="6">
        <v>2057</v>
      </c>
      <c r="AL17" s="6">
        <v>2058</v>
      </c>
      <c r="AM17" s="6">
        <v>2059</v>
      </c>
      <c r="AN17" s="6">
        <v>2060</v>
      </c>
    </row>
    <row r="18" spans="1:40" x14ac:dyDescent="0.2">
      <c r="A18" s="6" t="s">
        <v>34</v>
      </c>
      <c r="B18" s="11">
        <f>Electricity!B18*Electricity!$B$16</f>
        <v>2398364.1969534052</v>
      </c>
      <c r="C18" s="11">
        <f>Electricity!C18*Electricity!$B$16</f>
        <v>2554892.5416777232</v>
      </c>
      <c r="D18" s="11">
        <f>Electricity!D18*Electricity!$B$16</f>
        <v>2721636.650435403</v>
      </c>
      <c r="E18" s="11">
        <f>Electricity!E18*Electricity!$B$16</f>
        <v>2899263.2512555993</v>
      </c>
      <c r="F18" s="11">
        <f>Electricity!F18*Electricity!$B$16</f>
        <v>3088482.5859236042</v>
      </c>
      <c r="G18" s="11">
        <f>Electricity!G18*Electricity!$B$16</f>
        <v>3290051.2498899037</v>
      </c>
      <c r="H18" s="11">
        <f>Electricity!H18*Electricity!$B$16</f>
        <v>3504775.2175248526</v>
      </c>
      <c r="I18" s="11">
        <f>Electricity!I18*Electricity!$B$16</f>
        <v>3733513.0648154565</v>
      </c>
      <c r="J18" s="11">
        <f>Electricity!J18*Electricity!$B$16</f>
        <v>3977179.4023902654</v>
      </c>
      <c r="K18" s="11">
        <f>Electricity!K18*Electricity!$B$16</f>
        <v>4236748.5325993495</v>
      </c>
      <c r="L18" s="11">
        <f>Electricity!L18*Electricity!$B$16</f>
        <v>4513258.345272244</v>
      </c>
      <c r="M18" s="11">
        <f>Electricity!M18*Electricity!$B$16</f>
        <v>4807814.4677310763</v>
      </c>
      <c r="N18" s="11">
        <f>Electricity!N18*Electricity!$B$16</f>
        <v>5121594.6856527478</v>
      </c>
      <c r="O18" s="11">
        <f>Electricity!O18*Electricity!$B$16</f>
        <v>5455853.6524570594</v>
      </c>
      <c r="P18" s="11">
        <f>Electricity!P18*Electricity!$B$16</f>
        <v>5811927.9060512595</v>
      </c>
      <c r="Q18" s="11">
        <f>Electricity!Q18*Electricity!$B$16</f>
        <v>6191241.2129905857</v>
      </c>
      <c r="R18" s="11">
        <f>Electricity!R18*Electricity!$B$16</f>
        <v>6595310.2614234453</v>
      </c>
      <c r="S18" s="11">
        <f>Electricity!S18*Electricity!$B$16</f>
        <v>7025750.7255845219</v>
      </c>
      <c r="T18" s="11">
        <f>Electricity!T18*Electricity!$B$16</f>
        <v>7484283.7260847753</v>
      </c>
      <c r="U18" s="11">
        <f>Electricity!U18*Electricity!$B$16</f>
        <v>7972742.7118298681</v>
      </c>
      <c r="V18" s="11">
        <f>Electricity!V18*Electricity!$B$16</f>
        <v>8493080.7910844162</v>
      </c>
      <c r="W18" s="11">
        <f>Electricity!W18*Electricity!$B$16</f>
        <v>9047378.5409954078</v>
      </c>
      <c r="X18" s="11">
        <f>Electricity!X18*Electricity!$B$16</f>
        <v>9637852.3268012796</v>
      </c>
      <c r="Y18" s="11">
        <f>Electricity!Y18*Electricity!$B$16</f>
        <v>10266863.163991045</v>
      </c>
      <c r="Z18" s="11">
        <f>Electricity!Z18*Electricity!$B$16</f>
        <v>10936926.158848969</v>
      </c>
      <c r="AA18" s="11">
        <f>Electricity!AA18*Electricity!$B$16</f>
        <v>11650720.565132789</v>
      </c>
      <c r="AB18" s="11">
        <f>Electricity!AB18*Electricity!$B$16</f>
        <v>12411100.497097414</v>
      </c>
      <c r="AC18" s="11">
        <f>Electricity!AC18*Electricity!$B$16</f>
        <v>13221106.341699997</v>
      </c>
      <c r="AD18" s="11">
        <f>Electricity!AD18*Electricity!$B$16</f>
        <v>14083976.915618381</v>
      </c>
      <c r="AE18" s="11">
        <f>Electricity!AE18*Electricity!$B$16</f>
        <v>15003162.41569283</v>
      </c>
      <c r="AF18" s="11">
        <f>Electricity!AF18*Electricity!$B$16</f>
        <v>15982338.214573449</v>
      </c>
      <c r="AG18" s="11">
        <f>Electricity!AG18*Electricity!$B$16</f>
        <v>17025419.556735434</v>
      </c>
      <c r="AH18" s="11">
        <f>Electricity!AH18*Electricity!$B$16</f>
        <v>18136577.213624272</v>
      </c>
      <c r="AI18" s="11">
        <f>Electricity!AI18*Electricity!$B$16</f>
        <v>19320254.160528168</v>
      </c>
      <c r="AJ18" s="11">
        <f>Electricity!AJ18*Electricity!$B$16</f>
        <v>20581183.341860242</v>
      </c>
      <c r="AK18" s="11">
        <f>Electricity!AK18*Electricity!$B$16</f>
        <v>21924406.595885374</v>
      </c>
      <c r="AL18" s="11">
        <f>Electricity!AL18*Electricity!$B$16</f>
        <v>23355294.814562175</v>
      </c>
      <c r="AM18" s="11">
        <f>Electricity!AM18*Electricity!$B$16</f>
        <v>24879569.419109609</v>
      </c>
      <c r="AN18" s="11">
        <f>Electricity!AN18*Electricity!$B$16</f>
        <v>26503325.237168409</v>
      </c>
    </row>
    <row r="19" spans="1:40" x14ac:dyDescent="0.2">
      <c r="A19" s="6" t="s">
        <v>35</v>
      </c>
      <c r="B19" s="11">
        <f>Electricity!B19*Electricity!$B$16</f>
        <v>748810.54113024857</v>
      </c>
      <c r="C19" s="11">
        <f>Electricity!C19*Electricity!$B$16</f>
        <v>797681.38179078232</v>
      </c>
      <c r="D19" s="11">
        <f>Electricity!D19*Electricity!$B$16</f>
        <v>849741.75963820261</v>
      </c>
      <c r="E19" s="11">
        <f>Electricity!E19*Electricity!$B$16</f>
        <v>905199.83862731385</v>
      </c>
      <c r="F19" s="11">
        <f>Electricity!F19*Electricity!$B$16</f>
        <v>964277.36845578579</v>
      </c>
      <c r="G19" s="11">
        <f>Electricity!G19*Electricity!$B$16</f>
        <v>1027210.5712325943</v>
      </c>
      <c r="H19" s="11">
        <f>Electricity!H19*Electricity!$B$16</f>
        <v>1094251.0860145467</v>
      </c>
      <c r="I19" s="11">
        <f>Electricity!I19*Electricity!$B$16</f>
        <v>1165666.9749876312</v>
      </c>
      <c r="J19" s="11">
        <f>Electricity!J19*Electricity!$B$16</f>
        <v>1241743.7953164177</v>
      </c>
      <c r="K19" s="11">
        <f>Electricity!K19*Electricity!$B$16</f>
        <v>1322785.740947308</v>
      </c>
      <c r="L19" s="11">
        <f>Electricity!L19*Electricity!$B$16</f>
        <v>1409116.8589311531</v>
      </c>
      <c r="M19" s="11">
        <f>Electricity!M19*Electricity!$B$16</f>
        <v>1501082.3451287074</v>
      </c>
      <c r="N19" s="11">
        <f>Electricity!N19*Electricity!$B$16</f>
        <v>1599049.9244798173</v>
      </c>
      <c r="O19" s="11">
        <f>Electricity!O19*Electricity!$B$16</f>
        <v>1703411.3213553713</v>
      </c>
      <c r="P19" s="11">
        <f>Electricity!P19*Electricity!$B$16</f>
        <v>1814583.8258712075</v>
      </c>
      <c r="Q19" s="11">
        <f>Electricity!Q19*Electricity!$B$16</f>
        <v>1933011.9624269248</v>
      </c>
      <c r="R19" s="11">
        <f>Electricity!R19*Electricity!$B$16</f>
        <v>2059169.2671412569</v>
      </c>
      <c r="S19" s="11">
        <f>Electricity!S19*Electricity!$B$16</f>
        <v>2193560.181291095</v>
      </c>
      <c r="T19" s="11">
        <f>Electricity!T19*Electricity!$B$16</f>
        <v>2336722.0683251107</v>
      </c>
      <c r="U19" s="11">
        <f>Electricity!U19*Electricity!$B$16</f>
        <v>2489227.3625170179</v>
      </c>
      <c r="V19" s="11">
        <f>Electricity!V19*Electricity!$B$16</f>
        <v>2651685.8578498857</v>
      </c>
      <c r="W19" s="11">
        <f>Electricity!W19*Electricity!$B$16</f>
        <v>2824747.1462836345</v>
      </c>
      <c r="X19" s="11">
        <f>Electricity!X19*Electricity!$B$16</f>
        <v>3009103.2151551507</v>
      </c>
      <c r="Y19" s="11">
        <f>Electricity!Y19*Electricity!$B$16</f>
        <v>3205491.2140967515</v>
      </c>
      <c r="Z19" s="11">
        <f>Electricity!Z19*Electricity!$B$16</f>
        <v>3414696.4025365566</v>
      </c>
      <c r="AA19" s="11">
        <f>Electricity!AA19*Electricity!$B$16</f>
        <v>3637555.2895663455</v>
      </c>
      <c r="AB19" s="11">
        <f>Electricity!AB19*Electricity!$B$16</f>
        <v>3874958.9787317724</v>
      </c>
      <c r="AC19" s="11">
        <f>Electricity!AC19*Electricity!$B$16</f>
        <v>4127856.7311190031</v>
      </c>
      <c r="AD19" s="11">
        <f>Electricity!AD19*Electricity!$B$16</f>
        <v>4397259.7609849237</v>
      </c>
      <c r="AE19" s="11">
        <f>Electricity!AE19*Electricity!$B$16</f>
        <v>4684245.2791077159</v>
      </c>
      <c r="AF19" s="11">
        <f>Electricity!AF19*Electricity!$B$16</f>
        <v>4989960.800025194</v>
      </c>
      <c r="AG19" s="11">
        <f>Electricity!AG19*Electricity!$B$16</f>
        <v>5315628.7303834613</v>
      </c>
      <c r="AH19" s="11">
        <f>Electricity!AH19*Electricity!$B$16</f>
        <v>5662551.2567424206</v>
      </c>
      <c r="AI19" s="11">
        <f>Electricity!AI19*Electricity!$B$16</f>
        <v>6032115.5523820976</v>
      </c>
      <c r="AJ19" s="11">
        <f>Electricity!AJ19*Electricity!$B$16</f>
        <v>6425799.3239292167</v>
      </c>
      <c r="AK19" s="11">
        <f>Electricity!AK19*Electricity!$B$16</f>
        <v>6845176.7199823102</v>
      </c>
      <c r="AL19" s="11">
        <f>Electricity!AL19*Electricity!$B$16</f>
        <v>7291924.6253610402</v>
      </c>
      <c r="AM19" s="11">
        <f>Electricity!AM19*Electricity!$B$16</f>
        <v>7767829.366147344</v>
      </c>
      <c r="AN19" s="11">
        <f>Electricity!AN19*Electricity!$B$16</f>
        <v>8274793.8523285976</v>
      </c>
    </row>
    <row r="20" spans="1:40" x14ac:dyDescent="0.2">
      <c r="A20" s="6" t="s">
        <v>36</v>
      </c>
      <c r="B20" s="11">
        <f>Electricity!B20*Electricity!$B$16</f>
        <v>224281.4181163063</v>
      </c>
      <c r="C20" s="11">
        <f>Electricity!C20*Electricity!$B$16</f>
        <v>238919.06121269809</v>
      </c>
      <c r="D20" s="11">
        <f>Electricity!D20*Electricity!$B$16</f>
        <v>254512.02462593504</v>
      </c>
      <c r="E20" s="11">
        <f>Electricity!E20*Electricity!$B$16</f>
        <v>271122.65698016161</v>
      </c>
      <c r="F20" s="11">
        <f>Electricity!F20*Electricity!$B$16</f>
        <v>288817.37605922087</v>
      </c>
      <c r="G20" s="11">
        <f>Electricity!G20*Electricity!$B$16</f>
        <v>307666.93437884469</v>
      </c>
      <c r="H20" s="11">
        <f>Electricity!H20*Electricity!$B$16</f>
        <v>327746.70209131349</v>
      </c>
      <c r="I20" s="11">
        <f>Electricity!I20*Electricity!$B$16</f>
        <v>349136.96835378325</v>
      </c>
      <c r="J20" s="11">
        <f>Electricity!J20*Electricity!$B$16</f>
        <v>371923.26236530382</v>
      </c>
      <c r="K20" s="11">
        <f>Electricity!K20*Electricity!$B$16</f>
        <v>396196.69535619859</v>
      </c>
      <c r="L20" s="11">
        <f>Electricity!L20*Electricity!$B$16</f>
        <v>422054.32489725354</v>
      </c>
      <c r="M20" s="11">
        <f>Electricity!M20*Electricity!$B$16</f>
        <v>449599.54298540985</v>
      </c>
      <c r="N20" s="11">
        <f>Electricity!N20*Electricity!$B$16</f>
        <v>478942.48945772299</v>
      </c>
      <c r="O20" s="11">
        <f>Electricity!O20*Electricity!$B$16</f>
        <v>510200.49238663289</v>
      </c>
      <c r="P20" s="11">
        <f>Electricity!P20*Electricity!$B$16</f>
        <v>543498.53721746313</v>
      </c>
      <c r="Q20" s="11">
        <f>Electricity!Q20*Electricity!$B$16</f>
        <v>578969.76652400638</v>
      </c>
      <c r="R20" s="11">
        <f>Electricity!R20*Electricity!$B$16</f>
        <v>616756.01238047308</v>
      </c>
      <c r="S20" s="11">
        <f>Electricity!S20*Electricity!$B$16</f>
        <v>657008.36347849225</v>
      </c>
      <c r="T20" s="11">
        <f>Electricity!T20*Electricity!$B$16</f>
        <v>699887.76925679646</v>
      </c>
      <c r="U20" s="11">
        <f>Electricity!U20*Electricity!$B$16</f>
        <v>745565.68345920334</v>
      </c>
      <c r="V20" s="11">
        <f>Electricity!V20*Electricity!$B$16</f>
        <v>794224.74969416857</v>
      </c>
      <c r="W20" s="11">
        <f>Electricity!W20*Electricity!$B$16</f>
        <v>846059.53173712711</v>
      </c>
      <c r="X20" s="11">
        <f>Electricity!X20*Electricity!$B$16</f>
        <v>901277.29149574554</v>
      </c>
      <c r="Y20" s="11">
        <f>Electricity!Y20*Electricity!$B$16</f>
        <v>960098.81774878548</v>
      </c>
      <c r="Z20" s="11">
        <f>Electricity!Z20*Electricity!$B$16</f>
        <v>1022759.3089723019</v>
      </c>
      <c r="AA20" s="11">
        <f>Electricity!AA20*Electricity!$B$16</f>
        <v>1089509.3137831567</v>
      </c>
      <c r="AB20" s="11">
        <f>Electricity!AB20*Electricity!$B$16</f>
        <v>1160615.7327602408</v>
      </c>
      <c r="AC20" s="11">
        <f>Electricity!AC20*Electricity!$B$16</f>
        <v>1236362.88564917</v>
      </c>
      <c r="AD20" s="11">
        <f>Electricity!AD20*Electricity!$B$16</f>
        <v>1317053.6482177067</v>
      </c>
      <c r="AE20" s="11">
        <f>Electricity!AE20*Electricity!$B$16</f>
        <v>1403010.6633076249</v>
      </c>
      <c r="AF20" s="11">
        <f>Electricity!AF20*Electricity!$B$16</f>
        <v>1494577.6309254204</v>
      </c>
      <c r="AG20" s="11">
        <f>Electricity!AG20*Electricity!$B$16</f>
        <v>1592120.6825303121</v>
      </c>
      <c r="AH20" s="11">
        <f>Electricity!AH20*Electricity!$B$16</f>
        <v>1696029.845014638</v>
      </c>
      <c r="AI20" s="11">
        <f>Electricity!AI20*Electricity!$B$16</f>
        <v>1806720.6002303867</v>
      </c>
      <c r="AJ20" s="11">
        <f>Electricity!AJ20*Electricity!$B$16</f>
        <v>1924635.5462976396</v>
      </c>
      <c r="AK20" s="11">
        <f>Electricity!AK20*Electricity!$B$16</f>
        <v>2050246.1673376965</v>
      </c>
      <c r="AL20" s="11">
        <f>Electricity!AL20*Electricity!$B$16</f>
        <v>2184054.7187071717</v>
      </c>
      <c r="AM20" s="11">
        <f>Electricity!AM20*Electricity!$B$16</f>
        <v>2326596.2352711847</v>
      </c>
      <c r="AN20" s="11">
        <f>Electricity!AN20*Electricity!$B$16</f>
        <v>2478440.6707457639</v>
      </c>
    </row>
    <row r="21" spans="1:40" x14ac:dyDescent="0.2">
      <c r="A21" s="6" t="s">
        <v>37</v>
      </c>
      <c r="B21" s="11">
        <f>Electricity!B21*Electricity!$B$16</f>
        <v>245986.0714824005</v>
      </c>
      <c r="C21" s="11">
        <f>Electricity!C21*Electricity!$B$16</f>
        <v>262040.26068489466</v>
      </c>
      <c r="D21" s="11">
        <f>Electricity!D21*Electricity!$B$16</f>
        <v>279142.22055747715</v>
      </c>
      <c r="E21" s="11">
        <f>Electricity!E21*Electricity!$B$16</f>
        <v>297360.33346211276</v>
      </c>
      <c r="F21" s="11">
        <f>Electricity!F21*Electricity!$B$16</f>
        <v>316767.44471011322</v>
      </c>
      <c r="G21" s="11">
        <f>Electricity!G21*Electricity!$B$16</f>
        <v>337441.15383486188</v>
      </c>
      <c r="H21" s="11">
        <f>Electricity!H21*Electricity!$B$16</f>
        <v>359464.12487434386</v>
      </c>
      <c r="I21" s="11">
        <f>Electricity!I21*Electricity!$B$16</f>
        <v>382924.41690414934</v>
      </c>
      <c r="J21" s="11">
        <f>Electricity!J21*Electricity!$B$16</f>
        <v>407915.83614259132</v>
      </c>
      <c r="K21" s="11">
        <f>Electricity!K21*Electricity!$B$16</f>
        <v>434538.3110358307</v>
      </c>
      <c r="L21" s="11">
        <f>Electricity!L21*Electricity!$B$16</f>
        <v>462898.29182279418</v>
      </c>
      <c r="M21" s="11">
        <f>Electricity!M21*Electricity!$B$16</f>
        <v>493109.17617754632</v>
      </c>
      <c r="N21" s="11">
        <f>Electricity!N21*Electricity!$B$16</f>
        <v>525291.76263105101</v>
      </c>
      <c r="O21" s="11">
        <f>Electricity!O21*Electricity!$B$16</f>
        <v>559574.73358533939</v>
      </c>
      <c r="P21" s="11">
        <f>Electricity!P21*Electricity!$B$16</f>
        <v>596095.16985141125</v>
      </c>
      <c r="Q21" s="11">
        <f>Electricity!Q21*Electricity!$B$16</f>
        <v>634999.0987682651</v>
      </c>
      <c r="R21" s="11">
        <f>Electricity!R21*Electricity!$B$16</f>
        <v>676442.07809471234</v>
      </c>
      <c r="S21" s="11">
        <f>Electricity!S21*Electricity!$B$16</f>
        <v>720589.81800866895</v>
      </c>
      <c r="T21" s="11">
        <f>Electricity!T21*Electricity!$B$16</f>
        <v>767618.84370100254</v>
      </c>
      <c r="U21" s="11">
        <f>Electricity!U21*Electricity!$B$16</f>
        <v>817717.20121331979</v>
      </c>
      <c r="V21" s="11">
        <f>Electricity!V21*Electricity!$B$16</f>
        <v>871085.20934199134</v>
      </c>
      <c r="W21" s="11">
        <f>Electricity!W21*Electricity!$B$16</f>
        <v>927936.26061491377</v>
      </c>
      <c r="X21" s="11">
        <f>Electricity!X21*Electricity!$B$16</f>
        <v>988497.67454372102</v>
      </c>
      <c r="Y21" s="11">
        <f>Electricity!Y21*Electricity!$B$16</f>
        <v>1053011.6065631842</v>
      </c>
      <c r="Z21" s="11">
        <f>Electricity!Z21*Electricity!$B$16</f>
        <v>1121736.0162922021</v>
      </c>
      <c r="AA21" s="11">
        <f>Electricity!AA21*Electricity!$B$16</f>
        <v>1194945.6989879783</v>
      </c>
      <c r="AB21" s="11">
        <f>Electricity!AB21*Electricity!$B$16</f>
        <v>1272933.3843176835</v>
      </c>
      <c r="AC21" s="11">
        <f>Electricity!AC21*Electricity!$B$16</f>
        <v>1356010.9068410252</v>
      </c>
      <c r="AD21" s="11">
        <f>Electricity!AD21*Electricity!$B$16</f>
        <v>1444510.4528839365</v>
      </c>
      <c r="AE21" s="11">
        <f>Electricity!AE21*Electricity!$B$16</f>
        <v>1538785.8887890081</v>
      </c>
      <c r="AF21" s="11">
        <f>Electricity!AF21*Electricity!$B$16</f>
        <v>1639214.1758536869</v>
      </c>
      <c r="AG21" s="11">
        <f>Electricity!AG21*Electricity!$B$16</f>
        <v>1746196.8776138907</v>
      </c>
      <c r="AH21" s="11">
        <f>Electricity!AH21*Electricity!$B$16</f>
        <v>1860161.7654999255</v>
      </c>
      <c r="AI21" s="11">
        <f>Electricity!AI21*Electricity!$B$16</f>
        <v>1981564.5292849401</v>
      </c>
      <c r="AJ21" s="11">
        <f>Electricity!AJ21*Electricity!$B$16</f>
        <v>2110890.5991651532</v>
      </c>
      <c r="AK21" s="11">
        <f>Electricity!AK21*Electricity!$B$16</f>
        <v>2248657.0867574741</v>
      </c>
      <c r="AL21" s="11">
        <f>Electricity!AL21*Electricity!$B$16</f>
        <v>2395414.8527756077</v>
      </c>
      <c r="AM21" s="11">
        <f>Electricity!AM21*Electricity!$B$16</f>
        <v>2551750.7096522674</v>
      </c>
      <c r="AN21" s="11">
        <f>Electricity!AN21*Electricity!$B$16</f>
        <v>2718289.7679147082</v>
      </c>
    </row>
    <row r="23" spans="1:40" x14ac:dyDescent="0.2">
      <c r="A23" s="5" t="s">
        <v>157</v>
      </c>
    </row>
    <row r="24" spans="1:40" x14ac:dyDescent="0.2">
      <c r="A24" s="5" t="s">
        <v>4</v>
      </c>
    </row>
    <row r="25" spans="1:40" x14ac:dyDescent="0.2">
      <c r="A25" s="5" t="s">
        <v>45</v>
      </c>
    </row>
    <row r="26" spans="1:40" x14ac:dyDescent="0.2">
      <c r="A26" s="5" t="s">
        <v>6</v>
      </c>
    </row>
    <row r="27" spans="1:40" x14ac:dyDescent="0.2">
      <c r="A27" s="5"/>
    </row>
    <row r="28" spans="1:40" x14ac:dyDescent="0.2">
      <c r="A28" s="6" t="s">
        <v>7</v>
      </c>
      <c r="B28" s="6">
        <v>2022</v>
      </c>
      <c r="C28" s="6">
        <v>2023</v>
      </c>
      <c r="D28" s="6">
        <v>2024</v>
      </c>
      <c r="E28" s="6">
        <v>2025</v>
      </c>
      <c r="F28" s="6">
        <v>2026</v>
      </c>
      <c r="G28" s="6">
        <v>2027</v>
      </c>
      <c r="H28" s="6">
        <v>2028</v>
      </c>
      <c r="I28" s="6">
        <v>2029</v>
      </c>
      <c r="J28" s="6">
        <v>2030</v>
      </c>
      <c r="K28" s="6">
        <v>2031</v>
      </c>
      <c r="L28" s="6">
        <v>2032</v>
      </c>
      <c r="M28" s="6">
        <v>2033</v>
      </c>
      <c r="N28" s="6">
        <v>2034</v>
      </c>
      <c r="O28" s="6">
        <v>2035</v>
      </c>
      <c r="P28" s="6">
        <v>2036</v>
      </c>
      <c r="Q28" s="6">
        <v>2037</v>
      </c>
      <c r="R28" s="6">
        <v>2038</v>
      </c>
      <c r="S28" s="6">
        <v>2039</v>
      </c>
      <c r="T28" s="6">
        <v>2040</v>
      </c>
      <c r="U28" s="6">
        <v>2041</v>
      </c>
      <c r="V28" s="6">
        <v>2042</v>
      </c>
      <c r="W28" s="6">
        <v>2043</v>
      </c>
      <c r="X28" s="6">
        <v>2044</v>
      </c>
      <c r="Y28" s="6">
        <v>2045</v>
      </c>
      <c r="Z28" s="6">
        <v>2046</v>
      </c>
      <c r="AA28" s="6">
        <v>2047</v>
      </c>
      <c r="AB28" s="6">
        <v>2048</v>
      </c>
      <c r="AC28" s="6">
        <v>2049</v>
      </c>
      <c r="AD28" s="6">
        <v>2050</v>
      </c>
      <c r="AE28" s="6">
        <v>2051</v>
      </c>
      <c r="AF28" s="6">
        <v>2052</v>
      </c>
      <c r="AG28" s="6">
        <v>2053</v>
      </c>
      <c r="AH28" s="6">
        <v>2054</v>
      </c>
      <c r="AI28" s="6">
        <v>2055</v>
      </c>
      <c r="AJ28" s="6">
        <v>2056</v>
      </c>
      <c r="AK28" s="6">
        <v>2057</v>
      </c>
      <c r="AL28" s="6">
        <v>2058</v>
      </c>
      <c r="AM28" s="6">
        <v>2059</v>
      </c>
      <c r="AN28" s="6">
        <v>2060</v>
      </c>
    </row>
    <row r="29" spans="1:40" x14ac:dyDescent="0.2">
      <c r="A29" s="6" t="s">
        <v>34</v>
      </c>
      <c r="B29" s="11">
        <f>Electricity!B29*Electricity!$B$27</f>
        <v>5256826.6025942685</v>
      </c>
      <c r="C29" s="11">
        <f>Electricity!C29*Electricity!$B$27</f>
        <v>5599911.4300162606</v>
      </c>
      <c r="D29" s="11">
        <f>Electricity!D29*Electricity!$B$27</f>
        <v>5965387.5607293108</v>
      </c>
      <c r="E29" s="11">
        <f>Electricity!E29*Electricity!$B$27</f>
        <v>6354716.3547907518</v>
      </c>
      <c r="F29" s="11">
        <f>Electricity!F29*Electricity!$B$27</f>
        <v>6769454.5473769698</v>
      </c>
      <c r="G29" s="11">
        <f>Electricity!G29*Electricity!$B$27</f>
        <v>7211260.473404984</v>
      </c>
      <c r="H29" s="11">
        <f>Electricity!H29*Electricity!$B$27</f>
        <v>7681900.6984016048</v>
      </c>
      <c r="I29" s="11">
        <f>Electricity!I29*Electricity!$B$27</f>
        <v>8183257.082133824</v>
      </c>
      <c r="J29" s="11">
        <f>Electricity!J29*Electricity!$B$27</f>
        <v>8717334.3032443989</v>
      </c>
      <c r="K29" s="11">
        <f>Electricity!K29*Electricity!$B$27</f>
        <v>9286267.8749799524</v>
      </c>
      <c r="L29" s="11">
        <f>Electricity!L29*Electricity!$B$27</f>
        <v>9892332.684062602</v>
      </c>
      <c r="M29" s="11">
        <f>Electricity!M29*Electricity!$B$27</f>
        <v>10537952.08684786</v>
      </c>
      <c r="N29" s="11">
        <f>Electricity!N29*Electricity!$B$27</f>
        <v>11225707.599139858</v>
      </c>
      <c r="O29" s="11">
        <f>Electricity!O29*Electricity!$B$27</f>
        <v>11958349.218408795</v>
      </c>
      <c r="P29" s="11">
        <f>Electricity!P29*Electricity!$B$27</f>
        <v>12738806.419683987</v>
      </c>
      <c r="Q29" s="11">
        <f>Electricity!Q29*Electricity!$B$27</f>
        <v>13570199.86908987</v>
      </c>
      <c r="R29" s="11">
        <f>Electricity!R29*Electricity!$B$27</f>
        <v>14455853.901861474</v>
      </c>
      <c r="S29" s="11">
        <f>Electricity!S29*Electricity!$B$27</f>
        <v>15399309.814732956</v>
      </c>
      <c r="T29" s="11">
        <f>Electricity!T29*Electricity!$B$27</f>
        <v>16404340.025848949</v>
      </c>
      <c r="U29" s="11">
        <f>Electricity!U29*Electricity!$B$27</f>
        <v>17474963.158817157</v>
      </c>
      <c r="V29" s="11">
        <f>Electricity!V29*Electricity!$B$27</f>
        <v>18615460.111216102</v>
      </c>
      <c r="W29" s="11">
        <f>Electricity!W29*Electricity!$B$27</f>
        <v>19830391.171808001</v>
      </c>
      <c r="X29" s="11">
        <f>Electricity!X29*Electricity!$B$27</f>
        <v>21124614.25490015</v>
      </c>
      <c r="Y29" s="11">
        <f>Electricity!Y29*Electricity!$B$27</f>
        <v>22503304.32476509</v>
      </c>
      <c r="Z29" s="11">
        <f>Electricity!Z29*Electricity!$B$27</f>
        <v>23971974.087788381</v>
      </c>
      <c r="AA29" s="11">
        <f>Electricity!AA29*Electricity!$B$27</f>
        <v>25536496.035081562</v>
      </c>
      <c r="AB29" s="11">
        <f>Electricity!AB29*Electricity!$B$27</f>
        <v>27203125.923698142</v>
      </c>
      <c r="AC29" s="11">
        <f>Electricity!AC29*Electricity!$B$27</f>
        <v>28978527.790342335</v>
      </c>
      <c r="AD29" s="11">
        <f>Electricity!AD29*Electricity!$B$27</f>
        <v>30869800.59758817</v>
      </c>
      <c r="AE29" s="11">
        <f>Electricity!AE29*Electricity!$B$27</f>
        <v>32884506.619154152</v>
      </c>
      <c r="AF29" s="11">
        <f>Electricity!AF29*Electricity!$B$27</f>
        <v>35030701.677732289</v>
      </c>
      <c r="AG29" s="11">
        <f>Electricity!AG29*Electricity!$B$27</f>
        <v>37316967.356277764</v>
      </c>
      <c r="AH29" s="11">
        <f>Electricity!AH29*Electricity!$B$27</f>
        <v>39752445.311556406</v>
      </c>
      <c r="AI29" s="11">
        <f>Electricity!AI29*Electricity!$B$27</f>
        <v>42346873.827153049</v>
      </c>
      <c r="AJ29" s="11">
        <f>Electricity!AJ29*Electricity!$B$27</f>
        <v>45110626.752098262</v>
      </c>
      <c r="AK29" s="11">
        <f>Electricity!AK29*Electricity!$B$27</f>
        <v>48054754.980810203</v>
      </c>
      <c r="AL29" s="11">
        <f>Electricity!AL29*Electricity!$B$27</f>
        <v>51191030.640209183</v>
      </c>
      <c r="AM29" s="11">
        <f>Electricity!AM29*Electricity!$B$27</f>
        <v>54531994.160688005</v>
      </c>
      <c r="AN29" s="11">
        <f>Electricity!AN29*Electricity!$B$27</f>
        <v>58091004.419151492</v>
      </c>
    </row>
    <row r="30" spans="1:40" x14ac:dyDescent="0.2">
      <c r="A30" s="6" t="s">
        <v>35</v>
      </c>
      <c r="B30" s="11">
        <f>Electricity!B30*Electricity!$B$27</f>
        <v>1641271.6542036403</v>
      </c>
      <c r="C30" s="11">
        <f>Electricity!C30*Electricity!$B$27</f>
        <v>1748388.6365209138</v>
      </c>
      <c r="D30" s="11">
        <f>Electricity!D30*Electricity!$B$27</f>
        <v>1862496.5687344908</v>
      </c>
      <c r="E30" s="11">
        <f>Electricity!E30*Electricity!$B$27</f>
        <v>1984051.7125817274</v>
      </c>
      <c r="F30" s="11">
        <f>Electricity!F30*Electricity!$B$27</f>
        <v>2113540.1075520855</v>
      </c>
      <c r="G30" s="11">
        <f>Electricity!G30*Electricity!$B$27</f>
        <v>2251479.5143210129</v>
      </c>
      <c r="H30" s="11">
        <f>Electricity!H30*Electricity!$B$27</f>
        <v>2398421.4850213155</v>
      </c>
      <c r="I30" s="11">
        <f>Electricity!I30*Electricity!$B$27</f>
        <v>2554953.5686300173</v>
      </c>
      <c r="J30" s="11">
        <f>Electricity!J30*Electricity!$B$27</f>
        <v>2721701.6602889751</v>
      </c>
      <c r="K30" s="11">
        <f>Electricity!K30*Electricity!$B$27</f>
        <v>2899332.5039530164</v>
      </c>
      <c r="L30" s="11">
        <f>Electricity!L30*Electricity!$B$27</f>
        <v>3088556.3583724867</v>
      </c>
      <c r="M30" s="11">
        <f>Electricity!M30*Electricity!$B$27</f>
        <v>3290129.8370701461</v>
      </c>
      <c r="N30" s="11">
        <f>Electricity!N30*Electricity!$B$27</f>
        <v>3504858.9336681003</v>
      </c>
      <c r="O30" s="11">
        <f>Electricity!O30*Electricity!$B$27</f>
        <v>3733602.2446615691</v>
      </c>
      <c r="P30" s="11">
        <f>Electricity!P30*Electricity!$B$27</f>
        <v>3977274.4025257695</v>
      </c>
      <c r="Q30" s="11">
        <f>Electricity!Q30*Electricity!$B$27</f>
        <v>4236849.7328832615</v>
      </c>
      <c r="R30" s="11">
        <f>Electricity!R30*Electricity!$B$27</f>
        <v>4513366.1503549395</v>
      </c>
      <c r="S30" s="11">
        <f>Electricity!S30*Electricity!$B$27</f>
        <v>4807929.308672281</v>
      </c>
      <c r="T30" s="11">
        <f>Electricity!T30*Electricity!$B$27</f>
        <v>5121717.0216451455</v>
      </c>
      <c r="U30" s="11">
        <f>Electricity!U30*Electricity!$B$27</f>
        <v>5455983.9726623688</v>
      </c>
      <c r="V30" s="11">
        <f>Electricity!V30*Electricity!$B$27</f>
        <v>5812066.7315561576</v>
      </c>
      <c r="W30" s="11">
        <f>Electricity!W30*Electricity!$B$27</f>
        <v>6191389.0988902794</v>
      </c>
      <c r="X30" s="11">
        <f>Electricity!X30*Electricity!$B$27</f>
        <v>6595467.7990412228</v>
      </c>
      <c r="Y30" s="11">
        <f>Electricity!Y30*Electricity!$B$27</f>
        <v>7025918.5448361589</v>
      </c>
      <c r="Z30" s="11">
        <f>Electricity!Z30*Electricity!$B$27</f>
        <v>7484462.4979972765</v>
      </c>
      <c r="AA30" s="11">
        <f>Electricity!AA30*Electricity!$B$27</f>
        <v>7972933.1512245582</v>
      </c>
      <c r="AB30" s="11">
        <f>Electricity!AB30*Electricity!$B$27</f>
        <v>8493283.6594351679</v>
      </c>
      <c r="AC30" s="11">
        <f>Electricity!AC30*Electricity!$B$27</f>
        <v>9047594.6494733989</v>
      </c>
      <c r="AD30" s="11">
        <f>Electricity!AD30*Electricity!$B$27</f>
        <v>9638082.5395184774</v>
      </c>
      <c r="AE30" s="11">
        <f>Electricity!AE30*Electricity!$B$27</f>
        <v>10267108.401455369</v>
      </c>
      <c r="AF30" s="11">
        <f>Electricity!AF30*Electricity!$B$27</f>
        <v>10937187.401644923</v>
      </c>
      <c r="AG30" s="11">
        <f>Electricity!AG30*Electricity!$B$27</f>
        <v>11650998.85784238</v>
      </c>
      <c r="AH30" s="11">
        <f>Electricity!AH30*Electricity!$B$27</f>
        <v>12411396.952476885</v>
      </c>
      <c r="AI30" s="11">
        <f>Electricity!AI30*Electricity!$B$27</f>
        <v>13221422.145129232</v>
      </c>
      <c r="AJ30" s="11">
        <f>Electricity!AJ30*Electricity!$B$27</f>
        <v>14084313.329840634</v>
      </c>
      <c r="AK30" s="11">
        <f>Electricity!AK30*Electricity!$B$27</f>
        <v>15003520.785863817</v>
      </c>
      <c r="AL30" s="11">
        <f>Electricity!AL30*Electricity!$B$27</f>
        <v>15982719.973639967</v>
      </c>
      <c r="AM30" s="11">
        <f>Electricity!AM30*Electricity!$B$27</f>
        <v>17025826.231165029</v>
      </c>
      <c r="AN30" s="11">
        <f>Electricity!AN30*Electricity!$B$27</f>
        <v>18137010.429508839</v>
      </c>
    </row>
    <row r="31" spans="1:40" x14ac:dyDescent="0.2">
      <c r="A31" s="6" t="s">
        <v>36</v>
      </c>
      <c r="B31" s="11">
        <f>Electricity!B31*Electricity!$B$27</f>
        <v>491588.61140398885</v>
      </c>
      <c r="C31" s="11">
        <f>Electricity!C31*Electricity!$B$27</f>
        <v>523671.95876471815</v>
      </c>
      <c r="D31" s="11">
        <f>Electricity!D31*Electricity!$B$27</f>
        <v>557849.21382385702</v>
      </c>
      <c r="E31" s="11">
        <f>Electricity!E31*Electricity!$B$27</f>
        <v>594257.03468631452</v>
      </c>
      <c r="F31" s="11">
        <f>Electricity!F31*Electricity!$B$27</f>
        <v>633040.99839724298</v>
      </c>
      <c r="G31" s="11">
        <f>Electricity!G31*Electricity!$B$27</f>
        <v>674356.18303334678</v>
      </c>
      <c r="H31" s="11">
        <f>Electricity!H31*Electricity!$B$27</f>
        <v>718367.78778416209</v>
      </c>
      <c r="I31" s="11">
        <f>Electricity!I31*Electricity!$B$27</f>
        <v>765251.79350271053</v>
      </c>
      <c r="J31" s="11">
        <f>Electricity!J31*Electricity!$B$27</f>
        <v>815195.66636674618</v>
      </c>
      <c r="K31" s="11">
        <f>Electricity!K31*Electricity!$B$27</f>
        <v>868399.10746418848</v>
      </c>
      <c r="L31" s="11">
        <f>Electricity!L31*Electricity!$B$27</f>
        <v>925074.85129997181</v>
      </c>
      <c r="M31" s="11">
        <f>Electricity!M31*Electricity!$B$27</f>
        <v>985449.51641714538</v>
      </c>
      <c r="N31" s="11">
        <f>Electricity!N31*Electricity!$B$27</f>
        <v>1049764.5115334406</v>
      </c>
      <c r="O31" s="11">
        <f>Electricity!O31*Electricity!$B$27</f>
        <v>1118277.0008165087</v>
      </c>
      <c r="P31" s="11">
        <f>Electricity!P31*Electricity!$B$27</f>
        <v>1191260.9321574769</v>
      </c>
      <c r="Q31" s="11">
        <f>Electricity!Q31*Electricity!$B$27</f>
        <v>1269008.132554407</v>
      </c>
      <c r="R31" s="11">
        <f>Electricity!R31*Electricity!$B$27</f>
        <v>1351829.4749855376</v>
      </c>
      <c r="S31" s="11">
        <f>Electricity!S31*Electricity!$B$27</f>
        <v>1440056.1214380744</v>
      </c>
      <c r="T31" s="11">
        <f>Electricity!T31*Electricity!$B$27</f>
        <v>1534040.8470627973</v>
      </c>
      <c r="U31" s="11">
        <f>Electricity!U31*Electricity!$B$27</f>
        <v>1634159.4507491153</v>
      </c>
      <c r="V31" s="11">
        <f>Electricity!V31*Electricity!$B$27</f>
        <v>1740812.2577607816</v>
      </c>
      <c r="W31" s="11">
        <f>Electricity!W31*Electricity!$B$27</f>
        <v>1854425.7204405668</v>
      </c>
      <c r="X31" s="11">
        <f>Electricity!X31*Electricity!$B$27</f>
        <v>1975454.1233843276</v>
      </c>
      <c r="Y31" s="11">
        <f>Electricity!Y31*Electricity!$B$27</f>
        <v>2104381.3999026176</v>
      </c>
      <c r="Z31" s="11">
        <f>Electricity!Z31*Electricity!$B$27</f>
        <v>2241723.0670330003</v>
      </c>
      <c r="AA31" s="11">
        <f>Electricity!AA31*Electricity!$B$27</f>
        <v>2388028.286840206</v>
      </c>
      <c r="AB31" s="11">
        <f>Electricity!AB31*Electricity!$B$27</f>
        <v>2543882.0622462817</v>
      </c>
      <c r="AC31" s="11">
        <f>Electricity!AC31*Electricity!$B$27</f>
        <v>2709907.5761707765</v>
      </c>
      <c r="AD31" s="11">
        <f>Electricity!AD31*Electricity!$B$27</f>
        <v>2886768.6833340367</v>
      </c>
      <c r="AE31" s="11">
        <f>Electricity!AE31*Electricity!$B$27</f>
        <v>3075172.5646871147</v>
      </c>
      <c r="AF31" s="11">
        <f>Electricity!AF31*Electricity!$B$27</f>
        <v>3275872.5550820539</v>
      </c>
      <c r="AG31" s="11">
        <f>Electricity!AG31*Electricity!$B$27</f>
        <v>3489671.1554890219</v>
      </c>
      <c r="AH31" s="11">
        <f>Electricity!AH31*Electricity!$B$27</f>
        <v>3717423.241804671</v>
      </c>
      <c r="AI31" s="11">
        <f>Electricity!AI31*Electricity!$B$27</f>
        <v>3960039.4830821855</v>
      </c>
      <c r="AJ31" s="11">
        <f>Electricity!AJ31*Electricity!$B$27</f>
        <v>4218489.982850818</v>
      </c>
      <c r="AK31" s="11">
        <f>Electricity!AK31*Electricity!$B$27</f>
        <v>4493808.1580848144</v>
      </c>
      <c r="AL31" s="11">
        <f>Electricity!AL31*Electricity!$B$27</f>
        <v>4787094.8713317784</v>
      </c>
      <c r="AM31" s="11">
        <f>Electricity!AM31*Electricity!$B$27</f>
        <v>5099522.8325228598</v>
      </c>
      <c r="AN31" s="11">
        <f>Electricity!AN31*Electricity!$B$27</f>
        <v>5432341.2880654484</v>
      </c>
    </row>
    <row r="32" spans="1:40" x14ac:dyDescent="0.2">
      <c r="A32" s="6" t="s">
        <v>37</v>
      </c>
      <c r="B32" s="11">
        <f>Electricity!B32*Electricity!$B$27</f>
        <v>539161.70283018134</v>
      </c>
      <c r="C32" s="11">
        <f>Electricity!C32*Electricity!$B$27</f>
        <v>574349.89025807788</v>
      </c>
      <c r="D32" s="11">
        <f>Electricity!D32*Electricity!$B$27</f>
        <v>611834.62161326269</v>
      </c>
      <c r="E32" s="11">
        <f>Electricity!E32*Electricity!$B$27</f>
        <v>651765.7799785384</v>
      </c>
      <c r="F32" s="11">
        <f>Electricity!F32*Electricity!$B$27</f>
        <v>694303.03050020197</v>
      </c>
      <c r="G32" s="11">
        <f>Electricity!G32*Electricity!$B$27</f>
        <v>739616.45881076751</v>
      </c>
      <c r="H32" s="11">
        <f>Electricity!H32*Electricity!$B$27</f>
        <v>787887.25111811329</v>
      </c>
      <c r="I32" s="11">
        <f>Electricity!I32*Electricity!$B$27</f>
        <v>839308.41868039209</v>
      </c>
      <c r="J32" s="11">
        <f>Electricity!J32*Electricity!$B$27</f>
        <v>894085.56956352806</v>
      </c>
      <c r="K32" s="11">
        <f>Electricity!K32*Electricity!$B$27</f>
        <v>952437.73076717439</v>
      </c>
      <c r="L32" s="11">
        <f>Electricity!L32*Electricity!$B$27</f>
        <v>1014598.2240064206</v>
      </c>
      <c r="M32" s="11">
        <f>Electricity!M32*Electricity!$B$27</f>
        <v>1080815.5986510627</v>
      </c>
      <c r="N32" s="11">
        <f>Electricity!N32*Electricity!$B$27</f>
        <v>1151354.6255528058</v>
      </c>
      <c r="O32" s="11">
        <f>Electricity!O32*Electricity!$B$27</f>
        <v>1226497.3557342354</v>
      </c>
      <c r="P32" s="11">
        <f>Electricity!P32*Electricity!$B$27</f>
        <v>1306544.2481727165</v>
      </c>
      <c r="Q32" s="11">
        <f>Electricity!Q32*Electricity!$B$27</f>
        <v>1391815.3711887044</v>
      </c>
      <c r="R32" s="11">
        <f>Electricity!R32*Electricity!$B$27</f>
        <v>1482651.6822422023</v>
      </c>
      <c r="S32" s="11">
        <f>Electricity!S32*Electricity!$B$27</f>
        <v>1579416.3912546621</v>
      </c>
      <c r="T32" s="11">
        <f>Electricity!T32*Electricity!$B$27</f>
        <v>1682496.4129075841</v>
      </c>
      <c r="U32" s="11">
        <f>Electricity!U32*Electricity!$B$27</f>
        <v>1792303.9137248362</v>
      </c>
      <c r="V32" s="11">
        <f>Electricity!V32*Electricity!$B$27</f>
        <v>1909277.960124728</v>
      </c>
      <c r="W32" s="11">
        <f>Electricity!W32*Electricity!$B$27</f>
        <v>2033886.2740315897</v>
      </c>
      <c r="X32" s="11">
        <f>Electricity!X32*Electricity!$B$27</f>
        <v>2166627.1030666819</v>
      </c>
      <c r="Y32" s="11">
        <f>Electricity!Y32*Electricity!$B$27</f>
        <v>2308031.2127964194</v>
      </c>
      <c r="Z32" s="11">
        <f>Electricity!Z32*Electricity!$B$27</f>
        <v>2458664.0090039363</v>
      </c>
      <c r="AA32" s="11">
        <f>Electricity!AA32*Electricity!$B$27</f>
        <v>2619127.7984699029</v>
      </c>
      <c r="AB32" s="11">
        <f>Electricity!AB32*Electricity!$B$27</f>
        <v>2790064.1973023731</v>
      </c>
      <c r="AC32" s="11">
        <f>Electricity!AC32*Electricity!$B$27</f>
        <v>2972156.6964453678</v>
      </c>
      <c r="AD32" s="11">
        <f>Electricity!AD32*Electricity!$B$27</f>
        <v>3166133.3946244274</v>
      </c>
      <c r="AE32" s="11">
        <f>Electricity!AE32*Electricity!$B$27</f>
        <v>3372769.9096568357</v>
      </c>
      <c r="AF32" s="11">
        <f>Electricity!AF32*Electricity!$B$27</f>
        <v>3592892.4797674138</v>
      </c>
      <c r="AG32" s="11">
        <f>Electricity!AG32*Electricity!$B$27</f>
        <v>3827381.2673105397</v>
      </c>
      <c r="AH32" s="11">
        <f>Electricity!AH32*Electricity!$B$27</f>
        <v>4077173.8781083487</v>
      </c>
      <c r="AI32" s="11">
        <f>Electricity!AI32*Electricity!$B$27</f>
        <v>4343269.1104772352</v>
      </c>
      <c r="AJ32" s="11">
        <f>Electricity!AJ32*Electricity!$B$27</f>
        <v>4626730.9489331543</v>
      </c>
      <c r="AK32" s="11">
        <f>Electricity!AK32*Electricity!$B$27</f>
        <v>4928692.8185446346</v>
      </c>
      <c r="AL32" s="11">
        <f>Electricity!AL32*Electricity!$B$27</f>
        <v>5250362.116944531</v>
      </c>
      <c r="AM32" s="11">
        <f>Electricity!AM32*Electricity!$B$27</f>
        <v>5593025.0421218462</v>
      </c>
      <c r="AN32" s="11">
        <f>Electricity!AN32*Electricity!$B$27</f>
        <v>5958051.7352975886</v>
      </c>
    </row>
    <row r="34" spans="1:40" x14ac:dyDescent="0.2">
      <c r="A34" s="5" t="s">
        <v>157</v>
      </c>
    </row>
    <row r="35" spans="1:40" x14ac:dyDescent="0.2">
      <c r="A35" s="5" t="s">
        <v>4</v>
      </c>
    </row>
    <row r="36" spans="1:40" x14ac:dyDescent="0.2">
      <c r="A36" s="5" t="s">
        <v>48</v>
      </c>
    </row>
    <row r="37" spans="1:40" x14ac:dyDescent="0.2">
      <c r="A37" s="5" t="s">
        <v>6</v>
      </c>
    </row>
    <row r="38" spans="1:40" x14ac:dyDescent="0.2">
      <c r="A38" s="5"/>
    </row>
    <row r="39" spans="1:40" x14ac:dyDescent="0.2">
      <c r="A39" s="6" t="s">
        <v>7</v>
      </c>
      <c r="B39" s="6">
        <v>2022</v>
      </c>
      <c r="C39" s="6">
        <v>2023</v>
      </c>
      <c r="D39" s="6">
        <v>2024</v>
      </c>
      <c r="E39" s="6">
        <v>2025</v>
      </c>
      <c r="F39" s="6">
        <v>2026</v>
      </c>
      <c r="G39" s="6">
        <v>2027</v>
      </c>
      <c r="H39" s="6">
        <v>2028</v>
      </c>
      <c r="I39" s="6">
        <v>2029</v>
      </c>
      <c r="J39" s="6">
        <v>2030</v>
      </c>
      <c r="K39" s="6">
        <v>2031</v>
      </c>
      <c r="L39" s="6">
        <v>2032</v>
      </c>
      <c r="M39" s="6">
        <v>2033</v>
      </c>
      <c r="N39" s="6">
        <v>2034</v>
      </c>
      <c r="O39" s="6">
        <v>2035</v>
      </c>
      <c r="P39" s="6">
        <v>2036</v>
      </c>
      <c r="Q39" s="6">
        <v>2037</v>
      </c>
      <c r="R39" s="6">
        <v>2038</v>
      </c>
      <c r="S39" s="6">
        <v>2039</v>
      </c>
      <c r="T39" s="6">
        <v>2040</v>
      </c>
      <c r="U39" s="6">
        <v>2041</v>
      </c>
      <c r="V39" s="6">
        <v>2042</v>
      </c>
      <c r="W39" s="6">
        <v>2043</v>
      </c>
      <c r="X39" s="6">
        <v>2044</v>
      </c>
      <c r="Y39" s="6">
        <v>2045</v>
      </c>
      <c r="Z39" s="6">
        <v>2046</v>
      </c>
      <c r="AA39" s="6">
        <v>2047</v>
      </c>
      <c r="AB39" s="6">
        <v>2048</v>
      </c>
      <c r="AC39" s="6">
        <v>2049</v>
      </c>
      <c r="AD39" s="6">
        <v>2050</v>
      </c>
      <c r="AE39" s="6">
        <v>2051</v>
      </c>
      <c r="AF39" s="6">
        <v>2052</v>
      </c>
      <c r="AG39" s="6">
        <v>2053</v>
      </c>
      <c r="AH39" s="6">
        <v>2054</v>
      </c>
      <c r="AI39" s="6">
        <v>2055</v>
      </c>
      <c r="AJ39" s="6">
        <v>2056</v>
      </c>
      <c r="AK39" s="6">
        <v>2057</v>
      </c>
      <c r="AL39" s="6">
        <v>2058</v>
      </c>
      <c r="AM39" s="6">
        <v>2059</v>
      </c>
      <c r="AN39" s="6">
        <v>2060</v>
      </c>
    </row>
    <row r="40" spans="1:40" x14ac:dyDescent="0.2">
      <c r="A40" s="6" t="s">
        <v>34</v>
      </c>
      <c r="B40" s="11">
        <f>Electricity!B40*Electricity!$B$38</f>
        <v>3946736.7614551503</v>
      </c>
      <c r="C40" s="11">
        <f>Electricity!C40*Electricity!$B$38</f>
        <v>4204319.064058709</v>
      </c>
      <c r="D40" s="11">
        <f>Electricity!D40*Electricity!$B$38</f>
        <v>4478712.3795634909</v>
      </c>
      <c r="E40" s="11">
        <f>Electricity!E40*Electricity!$B$38</f>
        <v>4771013.8724559853</v>
      </c>
      <c r="F40" s="11">
        <f>Electricity!F40*Electricity!$B$38</f>
        <v>5082392.3132536523</v>
      </c>
      <c r="G40" s="11">
        <f>Electricity!G40*Electricity!$B$38</f>
        <v>5414092.7518458189</v>
      </c>
      <c r="H40" s="11">
        <f>Electricity!H40*Electricity!$B$38</f>
        <v>5767441.4958384419</v>
      </c>
      <c r="I40" s="11">
        <f>Electricity!I40*Electricity!$B$38</f>
        <v>6143851.4138086597</v>
      </c>
      <c r="J40" s="11">
        <f>Electricity!J40*Electricity!$B$38</f>
        <v>6544827.5846743071</v>
      </c>
      <c r="K40" s="11">
        <f>Electricity!K40*Electricity!$B$38</f>
        <v>6971973.3157673869</v>
      </c>
      <c r="L40" s="11">
        <f>Electricity!L40*Electricity!$B$38</f>
        <v>7426996.5536749</v>
      </c>
      <c r="M40" s="11">
        <f>Electricity!M40*Electricity!$B$38</f>
        <v>7911716.7134807808</v>
      </c>
      <c r="N40" s="11">
        <f>Electricity!N40*Electricity!$B$38</f>
        <v>8428071.9537157696</v>
      </c>
      <c r="O40" s="11">
        <f>Electricity!O40*Electricity!$B$38</f>
        <v>8978126.9261041954</v>
      </c>
      <c r="P40" s="11">
        <f>Electricity!P40*Electricity!$B$38</f>
        <v>9564081.0310950447</v>
      </c>
      <c r="Q40" s="11">
        <f>Electricity!Q40*Electricity!$B$38</f>
        <v>10188277.212187238</v>
      </c>
      <c r="R40" s="11">
        <f>Electricity!R40*Electricity!$B$38</f>
        <v>10853211.324213244</v>
      </c>
      <c r="S40" s="11">
        <f>Electricity!S40*Electricity!$B$38</f>
        <v>11561542.113040194</v>
      </c>
      <c r="T40" s="11">
        <f>Electricity!T40*Electricity!$B$38</f>
        <v>12316101.846592559</v>
      </c>
      <c r="U40" s="11">
        <f>Electricity!U40*Electricity!$B$38</f>
        <v>13119907.639704438</v>
      </c>
      <c r="V40" s="11">
        <f>Electricity!V40*Electricity!$B$38</f>
        <v>13976173.518084198</v>
      </c>
      <c r="W40" s="11">
        <f>Electricity!W40*Electricity!$B$38</f>
        <v>14888323.269629247</v>
      </c>
      <c r="X40" s="11">
        <f>Electricity!X40*Electricity!$B$38</f>
        <v>15860004.134477027</v>
      </c>
      <c r="Y40" s="11">
        <f>Electricity!Y40*Electricity!$B$38</f>
        <v>16895101.388532128</v>
      </c>
      <c r="Z40" s="11">
        <f>Electricity!Z40*Electricity!$B$38</f>
        <v>17997753.878781855</v>
      </c>
      <c r="AA40" s="11">
        <f>Electricity!AA40*Electricity!$B$38</f>
        <v>19172370.572518371</v>
      </c>
      <c r="AB40" s="11">
        <f>Electricity!AB40*Electricity!$B$38</f>
        <v>20423648.186639562</v>
      </c>
      <c r="AC40" s="11">
        <f>Electricity!AC40*Electricity!$B$38</f>
        <v>21756589.967519827</v>
      </c>
      <c r="AD40" s="11">
        <f>Electricity!AD40*Electricity!$B$38</f>
        <v>23176525.696541954</v>
      </c>
      <c r="AE40" s="11">
        <f>Electricity!AE40*Electricity!$B$38</f>
        <v>24689133.001282681</v>
      </c>
      <c r="AF40" s="11">
        <f>Electricity!AF40*Electricity!$B$38</f>
        <v>26300460.057564795</v>
      </c>
      <c r="AG40" s="11">
        <f>Electricity!AG40*Electricity!$B$38</f>
        <v>28016949.773150172</v>
      </c>
      <c r="AH40" s="11">
        <f>Electricity!AH40*Electricity!$B$38</f>
        <v>29845465.549772542</v>
      </c>
      <c r="AI40" s="11">
        <f>Electricity!AI40*Electricity!$B$38</f>
        <v>31793318.726519812</v>
      </c>
      <c r="AJ40" s="11">
        <f>Electricity!AJ40*Electricity!$B$38</f>
        <v>33868297.814298242</v>
      </c>
      <c r="AK40" s="11">
        <f>Electricity!AK40*Electricity!$B$38</f>
        <v>36078699.638273336</v>
      </c>
      <c r="AL40" s="11">
        <f>Electricity!AL40*Electricity!$B$38</f>
        <v>38433362.512810297</v>
      </c>
      <c r="AM40" s="11">
        <f>Electricity!AM40*Electricity!$B$38</f>
        <v>40941701.581564665</v>
      </c>
      <c r="AN40" s="11">
        <f>Electricity!AN40*Electricity!$B$38</f>
        <v>43613746.46403078</v>
      </c>
    </row>
    <row r="41" spans="1:40" x14ac:dyDescent="0.2">
      <c r="A41" s="6" t="s">
        <v>35</v>
      </c>
      <c r="B41" s="11">
        <f>Electricity!B41*Electricity!$B$38</f>
        <v>1232239.0793683499</v>
      </c>
      <c r="C41" s="11">
        <f>Electricity!C41*Electricity!$B$38</f>
        <v>1312660.7032581486</v>
      </c>
      <c r="D41" s="11">
        <f>Electricity!D41*Electricity!$B$38</f>
        <v>1398331.0144338498</v>
      </c>
      <c r="E41" s="11">
        <f>Electricity!E41*Electricity!$B$38</f>
        <v>1489592.566513407</v>
      </c>
      <c r="F41" s="11">
        <f>Electricity!F41*Electricity!$B$38</f>
        <v>1586810.2697488777</v>
      </c>
      <c r="G41" s="11">
        <f>Electricity!G41*Electricity!$B$38</f>
        <v>1690372.8501238076</v>
      </c>
      <c r="H41" s="11">
        <f>Electricity!H41*Electricity!$B$38</f>
        <v>1800694.4036780654</v>
      </c>
      <c r="I41" s="11">
        <f>Electricity!I41*Electricity!$B$38</f>
        <v>1918216.0522751017</v>
      </c>
      <c r="J41" s="11">
        <f>Electricity!J41*Electricity!$B$38</f>
        <v>2043407.7074322489</v>
      </c>
      <c r="K41" s="11">
        <f>Electricity!K41*Electricity!$B$38</f>
        <v>2176769.9492667406</v>
      </c>
      <c r="L41" s="11">
        <f>Electricity!L41*Electricity!$B$38</f>
        <v>2318836.0280704438</v>
      </c>
      <c r="M41" s="11">
        <f>Electricity!M41*Electricity!$B$38</f>
        <v>2470173.9965166235</v>
      </c>
      <c r="N41" s="11">
        <f>Electricity!N41*Electricity!$B$38</f>
        <v>2631388.9810243803</v>
      </c>
      <c r="O41" s="11">
        <f>Electricity!O41*Electricity!$B$38</f>
        <v>2803125.6013628473</v>
      </c>
      <c r="P41" s="11">
        <f>Electricity!P41*Electricity!$B$38</f>
        <v>2986070.5481699463</v>
      </c>
      <c r="Q41" s="11">
        <f>Electricity!Q41*Electricity!$B$38</f>
        <v>3180955.3286919426</v>
      </c>
      <c r="R41" s="11">
        <f>Electricity!R41*Electricity!$B$38</f>
        <v>3388559.1917226864</v>
      </c>
      <c r="S41" s="11">
        <f>Electricity!S41*Electricity!$B$38</f>
        <v>3609712.2434378886</v>
      </c>
      <c r="T41" s="11">
        <f>Electricity!T41*Electricity!$B$38</f>
        <v>3845298.7665831964</v>
      </c>
      <c r="U41" s="11">
        <f>Electricity!U41*Electricity!$B$38</f>
        <v>4096260.7562878104</v>
      </c>
      <c r="V41" s="11">
        <f>Electricity!V41*Electricity!$B$38</f>
        <v>4363601.6866416726</v>
      </c>
      <c r="W41" s="11">
        <f>Electricity!W41*Electricity!$B$38</f>
        <v>4648390.5230969135</v>
      </c>
      <c r="X41" s="11">
        <f>Electricity!X41*Electricity!$B$38</f>
        <v>4951765.99673717</v>
      </c>
      <c r="Y41" s="11">
        <f>Electricity!Y41*Electricity!$B$38</f>
        <v>5274941.1575055048</v>
      </c>
      <c r="Z41" s="11">
        <f>Electricity!Z41*Electricity!$B$38</f>
        <v>5619208.2245970489</v>
      </c>
      <c r="AA41" s="11">
        <f>Electricity!AA41*Electricity!$B$38</f>
        <v>5985943.7534107128</v>
      </c>
      <c r="AB41" s="11">
        <f>Electricity!AB41*Electricity!$B$38</f>
        <v>6376614.1397200432</v>
      </c>
      <c r="AC41" s="11">
        <f>Electricity!AC41*Electricity!$B$38</f>
        <v>6792781.4830718003</v>
      </c>
      <c r="AD41" s="11">
        <f>Electricity!AD41*Electricity!$B$38</f>
        <v>7236109.8328569885</v>
      </c>
      <c r="AE41" s="11">
        <f>Electricity!AE41*Electricity!$B$38</f>
        <v>7708371.8420294328</v>
      </c>
      <c r="AF41" s="11">
        <f>Electricity!AF41*Electricity!$B$38</f>
        <v>8211455.8550767908</v>
      </c>
      <c r="AG41" s="11">
        <f>Electricity!AG41*Electricity!$B$38</f>
        <v>8747373.458585348</v>
      </c>
      <c r="AH41" s="11">
        <f>Electricity!AH41*Electricity!$B$38</f>
        <v>9318267.5245896168</v>
      </c>
      <c r="AI41" s="11">
        <f>Electricity!AI41*Electricity!$B$38</f>
        <v>9926420.778868176</v>
      </c>
      <c r="AJ41" s="11">
        <f>Electricity!AJ41*Electricity!$B$38</f>
        <v>10574264.928446056</v>
      </c>
      <c r="AK41" s="11">
        <f>Electricity!AK41*Electricity!$B$38</f>
        <v>11264390.384800272</v>
      </c>
      <c r="AL41" s="11">
        <f>Electricity!AL41*Electricity!$B$38</f>
        <v>11999556.621646654</v>
      </c>
      <c r="AM41" s="11">
        <f>Electricity!AM41*Electricity!$B$38</f>
        <v>12782703.208723808</v>
      </c>
      <c r="AN41" s="11">
        <f>Electricity!AN41*Electricity!$B$38</f>
        <v>13616961.565692868</v>
      </c>
    </row>
    <row r="42" spans="1:40" x14ac:dyDescent="0.2">
      <c r="A42" s="6" t="s">
        <v>36</v>
      </c>
      <c r="B42" s="11">
        <f>Electricity!B42*Electricity!$B$38</f>
        <v>369076.43923109997</v>
      </c>
      <c r="C42" s="11">
        <f>Electricity!C42*Electricity!$B$38</f>
        <v>393164.07537200587</v>
      </c>
      <c r="D42" s="11">
        <f>Electricity!D42*Electricity!$B$38</f>
        <v>418823.78210095986</v>
      </c>
      <c r="E42" s="11">
        <f>Electricity!E42*Electricity!$B$38</f>
        <v>446158.16001850838</v>
      </c>
      <c r="F42" s="11">
        <f>Electricity!F42*Electricity!$B$38</f>
        <v>475276.50591512281</v>
      </c>
      <c r="G42" s="11">
        <f>Electricity!G42*Electricity!$B$38</f>
        <v>506295.24979553651</v>
      </c>
      <c r="H42" s="11">
        <f>Electricity!H42*Electricity!$B$38</f>
        <v>539338.42042531422</v>
      </c>
      <c r="I42" s="11">
        <f>Electricity!I42*Electricity!$B$38</f>
        <v>574538.14126114151</v>
      </c>
      <c r="J42" s="11">
        <f>Electricity!J42*Electricity!$B$38</f>
        <v>612035.15874782344</v>
      </c>
      <c r="K42" s="11">
        <f>Electricity!K42*Electricity!$B$38</f>
        <v>651979.40509438608</v>
      </c>
      <c r="L42" s="11">
        <f>Electricity!L42*Electricity!$B$38</f>
        <v>694530.59777955315</v>
      </c>
      <c r="M42" s="11">
        <f>Electricity!M42*Electricity!$B$38</f>
        <v>739858.87818372308</v>
      </c>
      <c r="N42" s="11">
        <f>Electricity!N42*Electricity!$B$38</f>
        <v>788145.49190102215</v>
      </c>
      <c r="O42" s="11">
        <f>Electricity!O42*Electricity!$B$38</f>
        <v>839583.51345167414</v>
      </c>
      <c r="P42" s="11">
        <f>Electricity!P42*Electricity!$B$38</f>
        <v>894378.61829244753</v>
      </c>
      <c r="Q42" s="11">
        <f>Electricity!Q42*Electricity!$B$38</f>
        <v>952749.90521207952</v>
      </c>
      <c r="R42" s="11">
        <f>Electricity!R42*Electricity!$B$38</f>
        <v>1014930.7724000316</v>
      </c>
      <c r="S42" s="11">
        <f>Electricity!S42*Electricity!$B$38</f>
        <v>1081169.8506915413</v>
      </c>
      <c r="T42" s="11">
        <f>Electricity!T42*Electricity!$B$38</f>
        <v>1151731.9977205708</v>
      </c>
      <c r="U42" s="11">
        <f>Electricity!U42*Electricity!$B$38</f>
        <v>1226899.3569557692</v>
      </c>
      <c r="V42" s="11">
        <f>Electricity!V42*Electricity!$B$38</f>
        <v>1306972.4858540276</v>
      </c>
      <c r="W42" s="11">
        <f>Electricity!W42*Electricity!$B$38</f>
        <v>1392271.5576425539</v>
      </c>
      <c r="X42" s="11">
        <f>Electricity!X42*Electricity!$B$38</f>
        <v>1483137.6415348046</v>
      </c>
      <c r="Y42" s="11">
        <f>Electricity!Y42*Electricity!$B$38</f>
        <v>1579934.0664992332</v>
      </c>
      <c r="Z42" s="11">
        <f>Electricity!Z42*Electricity!$B$38</f>
        <v>1683047.8740338988</v>
      </c>
      <c r="AA42" s="11">
        <f>Electricity!AA42*Electricity!$B$38</f>
        <v>1792891.3657558656</v>
      </c>
      <c r="AB42" s="11">
        <f>Electricity!AB42*Electricity!$B$38</f>
        <v>1909903.7519934429</v>
      </c>
      <c r="AC42" s="11">
        <f>Electricity!AC42*Electricity!$B$38</f>
        <v>2034552.9079731959</v>
      </c>
      <c r="AD42" s="11">
        <f>Electricity!AD42*Electricity!$B$38</f>
        <v>2167337.2446238319</v>
      </c>
      <c r="AE42" s="11">
        <f>Electricity!AE42*Electricity!$B$38</f>
        <v>2308787.7014774145</v>
      </c>
      <c r="AF42" s="11">
        <f>Electricity!AF42*Electricity!$B$38</f>
        <v>2459469.8696365263</v>
      </c>
      <c r="AG42" s="11">
        <f>Electricity!AG42*Electricity!$B$38</f>
        <v>2619986.253296094</v>
      </c>
      <c r="AH42" s="11">
        <f>Electricity!AH42*Electricity!$B$38</f>
        <v>2790978.6788625903</v>
      </c>
      <c r="AI42" s="11">
        <f>Electricity!AI42*Electricity!$B$38</f>
        <v>2973130.8613035115</v>
      </c>
      <c r="AJ42" s="11">
        <f>Electricity!AJ42*Electricity!$B$38</f>
        <v>3167171.137988674</v>
      </c>
      <c r="AK42" s="11">
        <f>Electricity!AK42*Electricity!$B$38</f>
        <v>3373875.3809546707</v>
      </c>
      <c r="AL42" s="11">
        <f>Electricity!AL42*Electricity!$B$38</f>
        <v>3594070.0992371622</v>
      </c>
      <c r="AM42" s="11">
        <f>Electricity!AM42*Electricity!$B$38</f>
        <v>3828635.7436757297</v>
      </c>
      <c r="AN42" s="11">
        <f>Electricity!AN42*Electricity!$B$38</f>
        <v>4078510.2274055928</v>
      </c>
    </row>
    <row r="43" spans="1:40" x14ac:dyDescent="0.2">
      <c r="A43" s="6" t="s">
        <v>37</v>
      </c>
      <c r="B43" s="11">
        <f>Electricity!B43*Electricity!$B$38</f>
        <v>404793.51399539999</v>
      </c>
      <c r="C43" s="11">
        <f>Electricity!C43*Electricity!$B$38</f>
        <v>431212.21169832908</v>
      </c>
      <c r="D43" s="11">
        <f>Electricity!D43*Electricity!$B$38</f>
        <v>459355.11585266568</v>
      </c>
      <c r="E43" s="11">
        <f>Electricity!E43*Electricity!$B$38</f>
        <v>489334.75614933175</v>
      </c>
      <c r="F43" s="11">
        <f>Electricity!F43*Electricity!$B$38</f>
        <v>521271.006487554</v>
      </c>
      <c r="G43" s="11">
        <f>Electricity!G43*Electricity!$B$38</f>
        <v>555291.56429187884</v>
      </c>
      <c r="H43" s="11">
        <f>Electricity!H43*Electricity!$B$38</f>
        <v>591532.46111163497</v>
      </c>
      <c r="I43" s="11">
        <f>Electricity!I43*Electricity!$B$38</f>
        <v>630138.60654447787</v>
      </c>
      <c r="J43" s="11">
        <f>Electricity!J43*Electricity!$B$38</f>
        <v>671264.36765890312</v>
      </c>
      <c r="K43" s="11">
        <f>Electricity!K43*Electricity!$B$38</f>
        <v>715074.18623255251</v>
      </c>
      <c r="L43" s="11">
        <f>Electricity!L43*Electricity!$B$38</f>
        <v>761743.23627434869</v>
      </c>
      <c r="M43" s="11">
        <f>Electricity!M43*Electricity!$B$38</f>
        <v>811458.12445956725</v>
      </c>
      <c r="N43" s="11">
        <f>Electricity!N43*Electricity!$B$38</f>
        <v>864417.63627854036</v>
      </c>
      <c r="O43" s="11">
        <f>Electricity!O43*Electricity!$B$38</f>
        <v>920833.53088248137</v>
      </c>
      <c r="P43" s="11">
        <f>Electricity!P43*Electricity!$B$38</f>
        <v>980931.38780461985</v>
      </c>
      <c r="Q43" s="11">
        <f>Electricity!Q43*Electricity!$B$38</f>
        <v>1044951.5089422809</v>
      </c>
      <c r="R43" s="11">
        <f>Electricity!R43*Electricity!$B$38</f>
        <v>1113149.8794064864</v>
      </c>
      <c r="S43" s="11">
        <f>Electricity!S43*Electricity!$B$38</f>
        <v>1185799.1910810454</v>
      </c>
      <c r="T43" s="11">
        <f>Electricity!T43*Electricity!$B$38</f>
        <v>1263189.932983852</v>
      </c>
      <c r="U43" s="11">
        <f>Electricity!U43*Electricity!$B$38</f>
        <v>1345631.5527901987</v>
      </c>
      <c r="V43" s="11">
        <f>Electricity!V43*Electricity!$B$38</f>
        <v>1433453.6941624819</v>
      </c>
      <c r="W43" s="11">
        <f>Electricity!W43*Electricity!$B$38</f>
        <v>1527007.5148337688</v>
      </c>
      <c r="X43" s="11">
        <f>Electricity!X43*Electricity!$B$38</f>
        <v>1626667.0907155923</v>
      </c>
      <c r="Y43" s="11">
        <f>Electricity!Y43*Electricity!$B$38</f>
        <v>1732830.9116443205</v>
      </c>
      <c r="Z43" s="11">
        <f>Electricity!Z43*Electricity!$B$38</f>
        <v>1845923.4747468568</v>
      </c>
      <c r="AA43" s="11">
        <f>Electricity!AA43*Electricity!$B$38</f>
        <v>1966396.9817967562</v>
      </c>
      <c r="AB43" s="11">
        <f>Electricity!AB43*Electricity!$B$38</f>
        <v>2094733.1473476472</v>
      </c>
      <c r="AC43" s="11">
        <f>Electricity!AC43*Electricity!$B$38</f>
        <v>2231445.1248738281</v>
      </c>
      <c r="AD43" s="11">
        <f>Electricity!AD43*Electricity!$B$38</f>
        <v>2377079.5586196873</v>
      </c>
      <c r="AE43" s="11">
        <f>Electricity!AE43*Electricity!$B$38</f>
        <v>2532218.7693623262</v>
      </c>
      <c r="AF43" s="11">
        <f>Electricity!AF43*Electricity!$B$38</f>
        <v>2697483.0828271583</v>
      </c>
      <c r="AG43" s="11">
        <f>Electricity!AG43*Electricity!$B$38</f>
        <v>2873533.3100666837</v>
      </c>
      <c r="AH43" s="11">
        <f>Electricity!AH43*Electricity!$B$38</f>
        <v>3061073.3897202602</v>
      </c>
      <c r="AI43" s="11">
        <f>Electricity!AI43*Electricity!$B$38</f>
        <v>3260853.2027199804</v>
      </c>
      <c r="AJ43" s="11">
        <f>Electricity!AJ43*Electricity!$B$38</f>
        <v>3473671.5706972554</v>
      </c>
      <c r="AK43" s="11">
        <f>Electricity!AK43*Electricity!$B$38</f>
        <v>3700379.4500793167</v>
      </c>
      <c r="AL43" s="11">
        <f>Electricity!AL43*Electricity!$B$38</f>
        <v>3941883.3346472103</v>
      </c>
      <c r="AM43" s="11">
        <f>Electricity!AM43*Electricity!$B$38</f>
        <v>4199148.8801604779</v>
      </c>
      <c r="AN43" s="11">
        <f>Electricity!AN43*Electricity!$B$38</f>
        <v>4473204.7655416187</v>
      </c>
    </row>
    <row r="45" spans="1:40" x14ac:dyDescent="0.2">
      <c r="A45" s="5" t="s">
        <v>157</v>
      </c>
    </row>
    <row r="46" spans="1:40" x14ac:dyDescent="0.2">
      <c r="A46" s="5" t="s">
        <v>4</v>
      </c>
    </row>
    <row r="47" spans="1:40" x14ac:dyDescent="0.2">
      <c r="A47" s="5" t="s">
        <v>50</v>
      </c>
    </row>
    <row r="48" spans="1:40" x14ac:dyDescent="0.2">
      <c r="A48" s="5" t="s">
        <v>6</v>
      </c>
    </row>
    <row r="49" spans="1:40" x14ac:dyDescent="0.2">
      <c r="A49" s="5"/>
    </row>
    <row r="50" spans="1:40" x14ac:dyDescent="0.2">
      <c r="A50" s="6" t="s">
        <v>7</v>
      </c>
      <c r="B50" s="6">
        <v>2022</v>
      </c>
      <c r="C50" s="6">
        <v>2023</v>
      </c>
      <c r="D50" s="6">
        <v>2024</v>
      </c>
      <c r="E50" s="6">
        <v>2025</v>
      </c>
      <c r="F50" s="6">
        <v>2026</v>
      </c>
      <c r="G50" s="6">
        <v>2027</v>
      </c>
      <c r="H50" s="6">
        <v>2028</v>
      </c>
      <c r="I50" s="6">
        <v>2029</v>
      </c>
      <c r="J50" s="6">
        <v>2030</v>
      </c>
      <c r="K50" s="6">
        <v>2031</v>
      </c>
      <c r="L50" s="6">
        <v>2032</v>
      </c>
      <c r="M50" s="6">
        <v>2033</v>
      </c>
      <c r="N50" s="6">
        <v>2034</v>
      </c>
      <c r="O50" s="6">
        <v>2035</v>
      </c>
      <c r="P50" s="6">
        <v>2036</v>
      </c>
      <c r="Q50" s="6">
        <v>2037</v>
      </c>
      <c r="R50" s="6">
        <v>2038</v>
      </c>
      <c r="S50" s="6">
        <v>2039</v>
      </c>
      <c r="T50" s="6">
        <v>2040</v>
      </c>
      <c r="U50" s="6">
        <v>2041</v>
      </c>
      <c r="V50" s="6">
        <v>2042</v>
      </c>
      <c r="W50" s="6">
        <v>2043</v>
      </c>
      <c r="X50" s="6">
        <v>2044</v>
      </c>
      <c r="Y50" s="6">
        <v>2045</v>
      </c>
      <c r="Z50" s="6">
        <v>2046</v>
      </c>
      <c r="AA50" s="6">
        <v>2047</v>
      </c>
      <c r="AB50" s="6">
        <v>2048</v>
      </c>
      <c r="AC50" s="6">
        <v>2049</v>
      </c>
      <c r="AD50" s="6">
        <v>2050</v>
      </c>
      <c r="AE50" s="6">
        <v>2051</v>
      </c>
      <c r="AF50" s="6">
        <v>2052</v>
      </c>
      <c r="AG50" s="6">
        <v>2053</v>
      </c>
      <c r="AH50" s="6">
        <v>2054</v>
      </c>
      <c r="AI50" s="6">
        <v>2055</v>
      </c>
      <c r="AJ50" s="6">
        <v>2056</v>
      </c>
      <c r="AK50" s="6">
        <v>2057</v>
      </c>
      <c r="AL50" s="6">
        <v>2058</v>
      </c>
      <c r="AM50" s="6">
        <v>2059</v>
      </c>
      <c r="AN50" s="6">
        <v>2060</v>
      </c>
    </row>
    <row r="51" spans="1:40" x14ac:dyDescent="0.2">
      <c r="A51" s="6" t="s">
        <v>34</v>
      </c>
      <c r="B51" s="11">
        <f>Electricity!B51*Electricity!$B$49</f>
        <v>6601434.2236457327</v>
      </c>
      <c r="C51" s="11">
        <f>Electricity!C51*Electricity!$B$49</f>
        <v>7032274.3659170056</v>
      </c>
      <c r="D51" s="11">
        <f>Electricity!D51*Electricity!$B$49</f>
        <v>7491233.1293702424</v>
      </c>
      <c r="E51" s="11">
        <f>Electricity!E51*Electricity!$B$49</f>
        <v>7980145.6653286349</v>
      </c>
      <c r="F51" s="11">
        <f>Electricity!F51*Electricity!$B$49</f>
        <v>8500966.8955819793</v>
      </c>
      <c r="G51" s="11">
        <f>Electricity!G51*Electricity!$B$49</f>
        <v>9055779.3291614838</v>
      </c>
      <c r="H51" s="11">
        <f>Electricity!H51*Electricity!$B$49</f>
        <v>9646801.3892735224</v>
      </c>
      <c r="I51" s="11">
        <f>Electricity!I51*Electricity!$B$49</f>
        <v>10276396.283687543</v>
      </c>
      <c r="J51" s="11">
        <f>Electricity!J51*Electricity!$B$49</f>
        <v>10947081.454046603</v>
      </c>
      <c r="K51" s="11">
        <f>Electricity!K51*Electricity!$B$49</f>
        <v>11661538.641883567</v>
      </c>
      <c r="L51" s="11">
        <f>Electricity!L51*Electricity!$B$49</f>
        <v>12422624.611592188</v>
      </c>
      <c r="M51" s="11">
        <f>Electricity!M51*Electricity!$B$49</f>
        <v>13233382.573228776</v>
      </c>
      <c r="N51" s="11">
        <f>Electricity!N51*Electricity!$B$49</f>
        <v>14097054.350818856</v>
      </c>
      <c r="O51" s="11">
        <f>Electricity!O51*Electricity!$B$49</f>
        <v>15017093.344823781</v>
      </c>
      <c r="P51" s="11">
        <f>Electricity!P51*Electricity!$B$49</f>
        <v>15997178.340597888</v>
      </c>
      <c r="Q51" s="11">
        <f>Electricity!Q51*Electricity!$B$49</f>
        <v>17041228.218049493</v>
      </c>
      <c r="R51" s="11">
        <f>Electricity!R51*Electricity!$B$49</f>
        <v>18153417.621322375</v>
      </c>
      <c r="S51" s="11">
        <f>Electricity!S51*Electricity!$B$49</f>
        <v>19338193.651153203</v>
      </c>
      <c r="T51" s="11">
        <f>Electricity!T51*Electricity!$B$49</f>
        <v>20600293.646649491</v>
      </c>
      <c r="U51" s="11">
        <f>Electricity!U51*Electricity!$B$49</f>
        <v>21944764.127588551</v>
      </c>
      <c r="V51" s="11">
        <f>Electricity!V51*Electricity!$B$49</f>
        <v>23376980.972978599</v>
      </c>
      <c r="W51" s="11">
        <f>Electricity!W51*Electricity!$B$49</f>
        <v>24902670.916566148</v>
      </c>
      <c r="X51" s="11">
        <f>Electricity!X51*Electricity!$B$49</f>
        <v>26527934.445239592</v>
      </c>
      <c r="Y51" s="11">
        <f>Electricity!Y51*Electricity!$B$49</f>
        <v>28259270.191888615</v>
      </c>
      <c r="Z51" s="11">
        <f>Electricity!Z51*Electricity!$B$49</f>
        <v>30103600.920254443</v>
      </c>
      <c r="AA51" s="11">
        <f>Electricity!AA51*Electricity!$B$49</f>
        <v>32068301.205671716</v>
      </c>
      <c r="AB51" s="11">
        <f>Electricity!AB51*Electricity!$B$49</f>
        <v>34161226.922383547</v>
      </c>
      <c r="AC51" s="11">
        <f>Electricity!AC51*Electricity!$B$49</f>
        <v>36390746.655335277</v>
      </c>
      <c r="AD51" s="11">
        <f>Electricity!AD51*Electricity!$B$49</f>
        <v>38765775.16204723</v>
      </c>
      <c r="AE51" s="11">
        <f>Electricity!AE51*Electricity!$B$49</f>
        <v>41295809.018364117</v>
      </c>
      <c r="AF51" s="11">
        <f>Electricity!AF51*Electricity!$B$49</f>
        <v>43990964.590610899</v>
      </c>
      <c r="AG51" s="11">
        <f>Electricity!AG51*Electricity!$B$49</f>
        <v>46862018.485987343</v>
      </c>
      <c r="AH51" s="11">
        <f>Electricity!AH51*Electricity!$B$49</f>
        <v>49920450.642942406</v>
      </c>
      <c r="AI51" s="11">
        <f>Electricity!AI51*Electricity!$B$49</f>
        <v>53178490.233825974</v>
      </c>
      <c r="AJ51" s="11">
        <f>Electricity!AJ51*Electricity!$B$49</f>
        <v>56649164.563359767</v>
      </c>
      <c r="AK51" s="11">
        <f>Electricity!AK51*Electricity!$B$49</f>
        <v>60346351.158449091</v>
      </c>
      <c r="AL51" s="11">
        <f>Electricity!AL51*Electricity!$B$49</f>
        <v>64284833.257616296</v>
      </c>
      <c r="AM51" s="11">
        <f>Electricity!AM51*Electricity!$B$49</f>
        <v>68480358.921931848</v>
      </c>
      <c r="AN51" s="11">
        <f>Electricity!AN51*Electricity!$B$49</f>
        <v>72949704.003797859</v>
      </c>
    </row>
    <row r="52" spans="1:40" x14ac:dyDescent="0.2">
      <c r="A52" s="6" t="s">
        <v>35</v>
      </c>
      <c r="B52" s="11">
        <f>Electricity!B52*Electricity!$B$49</f>
        <v>2061081.2734459527</v>
      </c>
      <c r="C52" s="11">
        <f>Electricity!C52*Electricity!$B$49</f>
        <v>2195596.9739740877</v>
      </c>
      <c r="D52" s="11">
        <f>Electricity!D52*Electricity!$B$49</f>
        <v>2338891.7915228358</v>
      </c>
      <c r="E52" s="11">
        <f>Electricity!E52*Electricity!$B$49</f>
        <v>2491538.6918899356</v>
      </c>
      <c r="F52" s="11">
        <f>Electricity!F52*Electricity!$B$49</f>
        <v>2654148.0352722015</v>
      </c>
      <c r="G52" s="11">
        <f>Electricity!G52*Electricity!$B$49</f>
        <v>2827370.0167970248</v>
      </c>
      <c r="H52" s="11">
        <f>Electricity!H52*Electricity!$B$49</f>
        <v>3011897.2663342664</v>
      </c>
      <c r="I52" s="11">
        <f>Electricity!I52*Electricity!$B$49</f>
        <v>3208467.6179838935</v>
      </c>
      <c r="J52" s="11">
        <f>Electricity!J52*Electricity!$B$49</f>
        <v>3417867.0603131927</v>
      </c>
      <c r="K52" s="11">
        <f>Electricity!K52*Electricity!$B$49</f>
        <v>3640932.8791401181</v>
      </c>
      <c r="L52" s="11">
        <f>Electricity!L52*Electricity!$B$49</f>
        <v>3878557.0054292353</v>
      </c>
      <c r="M52" s="11">
        <f>Electricity!M52*Electricity!$B$49</f>
        <v>4131689.581686812</v>
      </c>
      <c r="N52" s="11">
        <f>Electricity!N52*Electricity!$B$49</f>
        <v>4401342.7611153899</v>
      </c>
      <c r="O52" s="11">
        <f>Electricity!O52*Electricity!$B$49</f>
        <v>4688594.7547187367</v>
      </c>
      <c r="P52" s="11">
        <f>Electricity!P52*Electricity!$B$49</f>
        <v>4994594.1425396129</v>
      </c>
      <c r="Q52" s="11">
        <f>Electricity!Q52*Electricity!$B$49</f>
        <v>5320564.4662688458</v>
      </c>
      <c r="R52" s="11">
        <f>Electricity!R52*Electricity!$B$49</f>
        <v>5667809.1215893393</v>
      </c>
      <c r="S52" s="11">
        <f>Electricity!S52*Electricity!$B$49</f>
        <v>6037716.5698170634</v>
      </c>
      <c r="T52" s="11">
        <f>Electricity!T52*Electricity!$B$49</f>
        <v>6431765.8896778943</v>
      </c>
      <c r="U52" s="11">
        <f>Electricity!U52*Electricity!$B$49</f>
        <v>6851532.6914190492</v>
      </c>
      <c r="V52" s="11">
        <f>Electricity!V52*Electricity!$B$49</f>
        <v>7298695.4169028196</v>
      </c>
      <c r="W52" s="11">
        <f>Electricity!W52*Electricity!$B$49</f>
        <v>7775042.0508735925</v>
      </c>
      <c r="X52" s="11">
        <f>Electricity!X52*Electricity!$B$49</f>
        <v>8282477.2702331748</v>
      </c>
      <c r="Y52" s="11">
        <f>Electricity!Y52*Electricity!$B$49</f>
        <v>8823030.0599109251</v>
      </c>
      <c r="Z52" s="11">
        <f>Electricity!Z52*Electricity!$B$49</f>
        <v>9398861.8257807977</v>
      </c>
      <c r="AA52" s="11">
        <f>Electricity!AA52*Electricity!$B$49</f>
        <v>10012275.037064923</v>
      </c>
      <c r="AB52" s="11">
        <f>Electricity!AB52*Electricity!$B$49</f>
        <v>10665722.432780381</v>
      </c>
      <c r="AC52" s="11">
        <f>Electricity!AC52*Electricity!$B$49</f>
        <v>11361816.82904133</v>
      </c>
      <c r="AD52" s="11">
        <f>Electricity!AD52*Electricity!$B$49</f>
        <v>12103341.566431034</v>
      </c>
      <c r="AE52" s="11">
        <f>Electricity!AE52*Electricity!$B$49</f>
        <v>12893261.639217755</v>
      </c>
      <c r="AF52" s="11">
        <f>Electricity!AF52*Electricity!$B$49</f>
        <v>13734735.550914716</v>
      </c>
      <c r="AG52" s="11">
        <f>Electricity!AG52*Electricity!$B$49</f>
        <v>14631127.943588806</v>
      </c>
      <c r="AH52" s="11">
        <f>Electricity!AH52*Electricity!$B$49</f>
        <v>15586023.051416405</v>
      </c>
      <c r="AI52" s="11">
        <f>Electricity!AI52*Electricity!$B$49</f>
        <v>16603239.032280507</v>
      </c>
      <c r="AJ52" s="11">
        <f>Electricity!AJ52*Electricity!$B$49</f>
        <v>17686843.234714136</v>
      </c>
      <c r="AK52" s="11">
        <f>Electricity!AK52*Electricity!$B$49</f>
        <v>18841168.461235236</v>
      </c>
      <c r="AL52" s="11">
        <f>Electricity!AL52*Electricity!$B$49</f>
        <v>20070830.293101918</v>
      </c>
      <c r="AM52" s="11">
        <f>Electricity!AM52*Electricity!$B$49</f>
        <v>21380745.545761526</v>
      </c>
      <c r="AN52" s="11">
        <f>Electricity!AN52*Electricity!$B$49</f>
        <v>22776151.928787567</v>
      </c>
    </row>
    <row r="53" spans="1:40" x14ac:dyDescent="0.2">
      <c r="A53" s="6" t="s">
        <v>36</v>
      </c>
      <c r="B53" s="11">
        <f>Electricity!B53*Electricity!$B$49</f>
        <v>617328.69059733837</v>
      </c>
      <c r="C53" s="11">
        <f>Electricity!C53*Electricity!$B$49</f>
        <v>657618.41732557223</v>
      </c>
      <c r="D53" s="11">
        <f>Electricity!D53*Electricity!$B$49</f>
        <v>700537.63804065611</v>
      </c>
      <c r="E53" s="11">
        <f>Electricity!E53*Electricity!$B$49</f>
        <v>746257.96568684059</v>
      </c>
      <c r="F53" s="11">
        <f>Electricity!F53*Electricity!$B$49</f>
        <v>794962.2134631715</v>
      </c>
      <c r="G53" s="11">
        <f>Electricity!G53*Electricity!$B$49</f>
        <v>846845.12580393965</v>
      </c>
      <c r="H53" s="11">
        <f>Electricity!H53*Electricity!$B$49</f>
        <v>902114.15706630202</v>
      </c>
      <c r="I53" s="11">
        <f>Electricity!I53*Electricity!$B$49</f>
        <v>960990.30103865394</v>
      </c>
      <c r="J53" s="11">
        <f>Electricity!J53*Electricity!$B$49</f>
        <v>1023708.9745865599</v>
      </c>
      <c r="K53" s="11">
        <f>Electricity!K53*Electricity!$B$49</f>
        <v>1090520.9589695041</v>
      </c>
      <c r="L53" s="11">
        <f>Electricity!L53*Electricity!$B$49</f>
        <v>1161693.4025923314</v>
      </c>
      <c r="M53" s="11">
        <f>Electricity!M53*Electricity!$B$49</f>
        <v>1237510.8892008811</v>
      </c>
      <c r="N53" s="11">
        <f>Electricity!N53*Electricity!$B$49</f>
        <v>1318276.5757930153</v>
      </c>
      <c r="O53" s="11">
        <f>Electricity!O53*Electricity!$B$49</f>
        <v>1404313.404794984</v>
      </c>
      <c r="P53" s="11">
        <f>Electricity!P53*Electricity!$B$49</f>
        <v>1495965.3953500288</v>
      </c>
      <c r="Q53" s="11">
        <f>Electricity!Q53*Electricity!$B$49</f>
        <v>1593599.0188824562</v>
      </c>
      <c r="R53" s="11">
        <f>Electricity!R53*Electricity!$B$49</f>
        <v>1697604.6644373864</v>
      </c>
      <c r="S53" s="11">
        <f>Electricity!S53*Electricity!$B$49</f>
        <v>1808398.1996553524</v>
      </c>
      <c r="T53" s="11">
        <f>Electricity!T53*Electricity!$B$49</f>
        <v>1926422.6336233309</v>
      </c>
      <c r="U53" s="11">
        <f>Electricity!U53*Electricity!$B$49</f>
        <v>2052149.8882511163</v>
      </c>
      <c r="V53" s="11">
        <f>Electricity!V53*Electricity!$B$49</f>
        <v>2186082.6852559173</v>
      </c>
      <c r="W53" s="11">
        <f>Electricity!W53*Electricity!$B$49</f>
        <v>2328756.5563003034</v>
      </c>
      <c r="X53" s="11">
        <f>Electricity!X53*Electricity!$B$49</f>
        <v>2480741.9843210476</v>
      </c>
      <c r="Y53" s="11">
        <f>Electricity!Y53*Electricity!$B$49</f>
        <v>2642646.6846110015</v>
      </c>
      <c r="Z53" s="11">
        <f>Electricity!Z53*Electricity!$B$49</f>
        <v>2815118.0347749251</v>
      </c>
      <c r="AA53" s="11">
        <f>Electricity!AA53*Electricity!$B$49</f>
        <v>2998845.663275484</v>
      </c>
      <c r="AB53" s="11">
        <f>Electricity!AB53*Electricity!$B$49</f>
        <v>3194564.2069197283</v>
      </c>
      <c r="AC53" s="11">
        <f>Electricity!AC53*Electricity!$B$49</f>
        <v>3403056.2483118959</v>
      </c>
      <c r="AD53" s="11">
        <f>Electricity!AD53*Electricity!$B$49</f>
        <v>3625155.4450179911</v>
      </c>
      <c r="AE53" s="11">
        <f>Electricity!AE53*Electricity!$B$49</f>
        <v>3861749.8629541104</v>
      </c>
      <c r="AF53" s="11">
        <f>Electricity!AF53*Electricity!$B$49</f>
        <v>4113785.5273271129</v>
      </c>
      <c r="AG53" s="11">
        <f>Electricity!AG53*Electricity!$B$49</f>
        <v>4382270.2053261157</v>
      </c>
      <c r="AH53" s="11">
        <f>Electricity!AH53*Electricity!$B$49</f>
        <v>4668277.4356899383</v>
      </c>
      <c r="AI53" s="11">
        <f>Electricity!AI53*Electricity!$B$49</f>
        <v>4972950.8212627601</v>
      </c>
      <c r="AJ53" s="11">
        <f>Electricity!AJ53*Electricity!$B$49</f>
        <v>5297508.6017018184</v>
      </c>
      <c r="AK53" s="11">
        <f>Electricity!AK53*Electricity!$B$49</f>
        <v>5643248.5246211821</v>
      </c>
      <c r="AL53" s="11">
        <f>Electricity!AL53*Electricity!$B$49</f>
        <v>6011553.034648885</v>
      </c>
      <c r="AM53" s="11">
        <f>Electricity!AM53*Electricity!$B$49</f>
        <v>6403894.8011459643</v>
      </c>
      <c r="AN53" s="11">
        <f>Electricity!AN53*Electricity!$B$49</f>
        <v>6821842.6066899961</v>
      </c>
    </row>
    <row r="54" spans="1:40" x14ac:dyDescent="0.2">
      <c r="A54" s="6" t="s">
        <v>37</v>
      </c>
      <c r="B54" s="11">
        <f>Electricity!B54*Electricity!$B$49</f>
        <v>677070.17678417766</v>
      </c>
      <c r="C54" s="11">
        <f>Electricity!C54*Electricity!$B$49</f>
        <v>721258.90932482108</v>
      </c>
      <c r="D54" s="11">
        <f>Electricity!D54*Electricity!$B$49</f>
        <v>768331.60301233246</v>
      </c>
      <c r="E54" s="11">
        <f>Electricity!E54*Electricity!$B$49</f>
        <v>818476.47849524464</v>
      </c>
      <c r="F54" s="11">
        <f>Electricity!F54*Electricity!$B$49</f>
        <v>871894.04057251068</v>
      </c>
      <c r="G54" s="11">
        <f>Electricity!G54*Electricity!$B$49</f>
        <v>928797.87991399842</v>
      </c>
      <c r="H54" s="11">
        <f>Electricity!H54*Electricity!$B$49</f>
        <v>989415.52710497647</v>
      </c>
      <c r="I54" s="11">
        <f>Electricity!I54*Electricity!$B$49</f>
        <v>1053989.3624294915</v>
      </c>
      <c r="J54" s="11">
        <f>Electricity!J54*Electricity!$B$49</f>
        <v>1122777.5850304207</v>
      </c>
      <c r="K54" s="11">
        <f>Electricity!K54*Electricity!$B$49</f>
        <v>1196055.2453213916</v>
      </c>
      <c r="L54" s="11">
        <f>Electricity!L54*Electricity!$B$49</f>
        <v>1274115.3447786861</v>
      </c>
      <c r="M54" s="11">
        <f>Electricity!M54*Electricity!$B$49</f>
        <v>1357270.0075106437</v>
      </c>
      <c r="N54" s="11">
        <f>Electricity!N54*Electricity!$B$49</f>
        <v>1445851.7282891134</v>
      </c>
      <c r="O54" s="11">
        <f>Electricity!O54*Electricity!$B$49</f>
        <v>1540214.7020332082</v>
      </c>
      <c r="P54" s="11">
        <f>Electricity!P54*Electricity!$B$49</f>
        <v>1640736.240061322</v>
      </c>
      <c r="Q54" s="11">
        <f>Electricity!Q54*Electricity!$B$49</f>
        <v>1747818.2787743069</v>
      </c>
      <c r="R54" s="11">
        <f>Electricity!R54*Electricity!$B$49</f>
        <v>1861888.9868022949</v>
      </c>
      <c r="S54" s="11">
        <f>Electricity!S54*Electricity!$B$49</f>
        <v>1983404.4770413542</v>
      </c>
      <c r="T54" s="11">
        <f>Electricity!T54*Electricity!$B$49</f>
        <v>2112850.6304255887</v>
      </c>
      <c r="U54" s="11">
        <f>Electricity!U54*Electricity!$B$49</f>
        <v>2250745.0387270306</v>
      </c>
      <c r="V54" s="11">
        <f>Electricity!V54*Electricity!$B$49</f>
        <v>2397639.074151651</v>
      </c>
      <c r="W54" s="11">
        <f>Electricity!W54*Electricity!$B$49</f>
        <v>2554120.0940067843</v>
      </c>
      <c r="X54" s="11">
        <f>Electricity!X54*Electricity!$B$49</f>
        <v>2720813.7892553424</v>
      </c>
      <c r="Y54" s="11">
        <f>Electricity!Y54*Electricity!$B$49</f>
        <v>2898386.6863475502</v>
      </c>
      <c r="Z54" s="11">
        <f>Electricity!Z54*Electricity!$B$49</f>
        <v>3087548.8123337892</v>
      </c>
      <c r="AA54" s="11">
        <f>Electricity!AA54*Electricity!$B$49</f>
        <v>3289056.5339150471</v>
      </c>
      <c r="AB54" s="11">
        <f>Electricity!AB54*Electricity!$B$49</f>
        <v>3503715.5817829277</v>
      </c>
      <c r="AC54" s="11">
        <f>Electricity!AC54*Electricity!$B$49</f>
        <v>3732384.2723420793</v>
      </c>
      <c r="AD54" s="11">
        <f>Electricity!AD54*Electricity!$B$49</f>
        <v>3975976.9396971511</v>
      </c>
      <c r="AE54" s="11">
        <f>Electricity!AE54*Electricity!$B$49</f>
        <v>4235467.5916270884</v>
      </c>
      <c r="AF54" s="11">
        <f>Electricity!AF54*Electricity!$B$49</f>
        <v>4511893.8041652208</v>
      </c>
      <c r="AG54" s="11">
        <f>Electricity!AG54*Electricity!$B$49</f>
        <v>4806360.8703576755</v>
      </c>
      <c r="AH54" s="11">
        <f>Electricity!AH54*Electricity!$B$49</f>
        <v>5120046.2197889648</v>
      </c>
      <c r="AI54" s="11">
        <f>Electricity!AI54*Electricity!$B$49</f>
        <v>5454204.1265462535</v>
      </c>
      <c r="AJ54" s="11">
        <f>Electricity!AJ54*Electricity!$B$49</f>
        <v>5810170.7244471554</v>
      </c>
      <c r="AK54" s="11">
        <f>Electricity!AK54*Electricity!$B$49</f>
        <v>6189369.3495845227</v>
      </c>
      <c r="AL54" s="11">
        <f>Electricity!AL54*Electricity!$B$49</f>
        <v>6593316.2315503899</v>
      </c>
      <c r="AM54" s="11">
        <f>Electricity!AM54*Electricity!$B$49</f>
        <v>7023626.5560955731</v>
      </c>
      <c r="AN54" s="11">
        <f>Electricity!AN54*Electricity!$B$49</f>
        <v>7482020.9234664468</v>
      </c>
    </row>
    <row r="56" spans="1:40" x14ac:dyDescent="0.2">
      <c r="A56" s="5" t="s">
        <v>157</v>
      </c>
    </row>
    <row r="57" spans="1:40" x14ac:dyDescent="0.2">
      <c r="A57" s="5" t="s">
        <v>4</v>
      </c>
    </row>
    <row r="58" spans="1:40" x14ac:dyDescent="0.2">
      <c r="A58" s="5" t="s">
        <v>53</v>
      </c>
    </row>
    <row r="59" spans="1:40" x14ac:dyDescent="0.2">
      <c r="A59" s="5" t="s">
        <v>6</v>
      </c>
    </row>
    <row r="60" spans="1:40" x14ac:dyDescent="0.2">
      <c r="A60" s="5"/>
    </row>
    <row r="61" spans="1:40" x14ac:dyDescent="0.2">
      <c r="A61" s="6" t="s">
        <v>7</v>
      </c>
      <c r="B61" s="6">
        <v>2022</v>
      </c>
      <c r="C61" s="6">
        <v>2023</v>
      </c>
      <c r="D61" s="6">
        <v>2024</v>
      </c>
      <c r="E61" s="6">
        <v>2025</v>
      </c>
      <c r="F61" s="6">
        <v>2026</v>
      </c>
      <c r="G61" s="6">
        <v>2027</v>
      </c>
      <c r="H61" s="6">
        <v>2028</v>
      </c>
      <c r="I61" s="6">
        <v>2029</v>
      </c>
      <c r="J61" s="6">
        <v>2030</v>
      </c>
      <c r="K61" s="6">
        <v>2031</v>
      </c>
      <c r="L61" s="6">
        <v>2032</v>
      </c>
      <c r="M61" s="6">
        <v>2033</v>
      </c>
      <c r="N61" s="6">
        <v>2034</v>
      </c>
      <c r="O61" s="6">
        <v>2035</v>
      </c>
      <c r="P61" s="6">
        <v>2036</v>
      </c>
      <c r="Q61" s="6">
        <v>2037</v>
      </c>
      <c r="R61" s="6">
        <v>2038</v>
      </c>
      <c r="S61" s="6">
        <v>2039</v>
      </c>
      <c r="T61" s="6">
        <v>2040</v>
      </c>
      <c r="U61" s="6">
        <v>2041</v>
      </c>
      <c r="V61" s="6">
        <v>2042</v>
      </c>
      <c r="W61" s="6">
        <v>2043</v>
      </c>
      <c r="X61" s="6">
        <v>2044</v>
      </c>
      <c r="Y61" s="6">
        <v>2045</v>
      </c>
      <c r="Z61" s="6">
        <v>2046</v>
      </c>
      <c r="AA61" s="6">
        <v>2047</v>
      </c>
      <c r="AB61" s="6">
        <v>2048</v>
      </c>
      <c r="AC61" s="6">
        <v>2049</v>
      </c>
      <c r="AD61" s="6">
        <v>2050</v>
      </c>
      <c r="AE61" s="6">
        <v>2051</v>
      </c>
      <c r="AF61" s="6">
        <v>2052</v>
      </c>
      <c r="AG61" s="6">
        <v>2053</v>
      </c>
      <c r="AH61" s="6">
        <v>2054</v>
      </c>
      <c r="AI61" s="6">
        <v>2055</v>
      </c>
      <c r="AJ61" s="6">
        <v>2056</v>
      </c>
      <c r="AK61" s="6">
        <v>2057</v>
      </c>
      <c r="AL61" s="6">
        <v>2058</v>
      </c>
      <c r="AM61" s="6">
        <v>2059</v>
      </c>
      <c r="AN61" s="6">
        <v>2060</v>
      </c>
    </row>
    <row r="62" spans="1:40" x14ac:dyDescent="0.2">
      <c r="A62" s="6" t="s">
        <v>34</v>
      </c>
      <c r="B62" s="11">
        <f>Electricity!B62*Electricity!$B$60</f>
        <v>712290.10499999998</v>
      </c>
      <c r="C62" s="11">
        <f>Electricity!C62*Electricity!$B$60</f>
        <v>714725.74005049176</v>
      </c>
      <c r="D62" s="11">
        <f>Electricity!D62*Electricity!$B$60</f>
        <v>717161.37510098342</v>
      </c>
      <c r="E62" s="11">
        <f>Electricity!E62*Electricity!$B$60</f>
        <v>719597.0101514752</v>
      </c>
      <c r="F62" s="11">
        <f>Electricity!F62*Electricity!$B$60</f>
        <v>726112.29990367033</v>
      </c>
      <c r="G62" s="11">
        <f>Electricity!G62*Electricity!$B$60</f>
        <v>732627.58965586545</v>
      </c>
      <c r="H62" s="11">
        <f>Electricity!H62*Electricity!$B$60</f>
        <v>739142.87940806069</v>
      </c>
      <c r="I62" s="11">
        <f>Electricity!I62*Electricity!$B$60</f>
        <v>745658.16916025581</v>
      </c>
      <c r="J62" s="11">
        <f>Electricity!J62*Electricity!$B$60</f>
        <v>752173.45891245105</v>
      </c>
      <c r="K62" s="11">
        <f>Electricity!K62*Electricity!$B$60</f>
        <v>757645.79874674825</v>
      </c>
      <c r="L62" s="11">
        <f>Electricity!L62*Electricity!$B$60</f>
        <v>763118.13858104567</v>
      </c>
      <c r="M62" s="11">
        <f>Electricity!M62*Electricity!$B$60</f>
        <v>768590.47841534286</v>
      </c>
      <c r="N62" s="11">
        <f>Electricity!N62*Electricity!$B$60</f>
        <v>774062.81824964017</v>
      </c>
      <c r="O62" s="11">
        <f>Electricity!O62*Electricity!$B$60</f>
        <v>779535.1580839376</v>
      </c>
      <c r="P62" s="11">
        <f>Electricity!P62*Electricity!$B$60</f>
        <v>783952.49113417068</v>
      </c>
      <c r="Q62" s="11">
        <f>Electricity!Q62*Electricity!$B$60</f>
        <v>788369.82418440375</v>
      </c>
      <c r="R62" s="11">
        <f>Electricity!R62*Electricity!$B$60</f>
        <v>792787.15723463695</v>
      </c>
      <c r="S62" s="11">
        <f>Electricity!S62*Electricity!$B$60</f>
        <v>797204.49028486991</v>
      </c>
      <c r="T62" s="11">
        <f>Electricity!T62*Electricity!$B$60</f>
        <v>801621.82333510311</v>
      </c>
      <c r="U62" s="11">
        <f>Electricity!U62*Electricity!$B$60</f>
        <v>805007.30766940548</v>
      </c>
      <c r="V62" s="11">
        <f>Electricity!V62*Electricity!$B$60</f>
        <v>808392.79200370796</v>
      </c>
      <c r="W62" s="11">
        <f>Electricity!W62*Electricity!$B$60</f>
        <v>811778.27633801021</v>
      </c>
      <c r="X62" s="11">
        <f>Electricity!X62*Electricity!$B$60</f>
        <v>815163.7606723127</v>
      </c>
      <c r="Y62" s="11">
        <f>Electricity!Y62*Electricity!$B$60</f>
        <v>818549.24500661495</v>
      </c>
      <c r="Z62" s="11">
        <f>Electricity!Z62*Electricity!$B$60</f>
        <v>820944.70772239391</v>
      </c>
      <c r="AA62" s="11">
        <f>Electricity!AA62*Electricity!$B$60</f>
        <v>823340.17043817276</v>
      </c>
      <c r="AB62" s="11">
        <f>Electricity!AB62*Electricity!$B$60</f>
        <v>825735.63315395161</v>
      </c>
      <c r="AC62" s="11">
        <f>Electricity!AC62*Electricity!$B$60</f>
        <v>828131.09586973046</v>
      </c>
      <c r="AD62" s="11">
        <f>Electricity!AD62*Electricity!$B$60</f>
        <v>830526.55858550931</v>
      </c>
      <c r="AE62" s="11">
        <f>Electricity!AE62*Electricity!$B$60</f>
        <v>830526.55858550931</v>
      </c>
      <c r="AF62" s="11">
        <f>Electricity!AF62*Electricity!$B$60</f>
        <v>830526.55858550931</v>
      </c>
      <c r="AG62" s="11">
        <f>Electricity!AG62*Electricity!$B$60</f>
        <v>830526.55858550931</v>
      </c>
      <c r="AH62" s="11">
        <f>Electricity!AH62*Electricity!$B$60</f>
        <v>830526.55858550931</v>
      </c>
      <c r="AI62" s="11">
        <f>Electricity!AI62*Electricity!$B$60</f>
        <v>830526.55858550931</v>
      </c>
      <c r="AJ62" s="11">
        <f>Electricity!AJ62*Electricity!$B$60</f>
        <v>830526.55858550931</v>
      </c>
      <c r="AK62" s="11">
        <f>Electricity!AK62*Electricity!$B$60</f>
        <v>830526.55858550931</v>
      </c>
      <c r="AL62" s="11">
        <f>Electricity!AL62*Electricity!$B$60</f>
        <v>830526.55858550931</v>
      </c>
      <c r="AM62" s="11">
        <f>Electricity!AM62*Electricity!$B$60</f>
        <v>830526.55858550931</v>
      </c>
      <c r="AN62" s="11">
        <f>Electricity!AN62*Electricity!$B$60</f>
        <v>830526.55858550931</v>
      </c>
    </row>
    <row r="63" spans="1:40" x14ac:dyDescent="0.2">
      <c r="A63" s="6" t="s">
        <v>35</v>
      </c>
      <c r="B63" s="11">
        <f>Electricity!B63*Electricity!$B$60</f>
        <v>300967.64999999997</v>
      </c>
      <c r="C63" s="11">
        <f>Electricity!C63*Electricity!$B$60</f>
        <v>301996.79157063033</v>
      </c>
      <c r="D63" s="11">
        <f>Electricity!D63*Electricity!$B$60</f>
        <v>303025.93314126064</v>
      </c>
      <c r="E63" s="11">
        <f>Electricity!E63*Electricity!$B$60</f>
        <v>304055.07471189095</v>
      </c>
      <c r="F63" s="11">
        <f>Electricity!F63*Electricity!$B$60</f>
        <v>306808.01404380443</v>
      </c>
      <c r="G63" s="11">
        <f>Electricity!G63*Electricity!$B$60</f>
        <v>309560.9533757178</v>
      </c>
      <c r="H63" s="11">
        <f>Electricity!H63*Electricity!$B$60</f>
        <v>312313.89270763128</v>
      </c>
      <c r="I63" s="11">
        <f>Electricity!I63*Electricity!$B$60</f>
        <v>315066.83203954471</v>
      </c>
      <c r="J63" s="11">
        <f>Electricity!J63*Electricity!$B$60</f>
        <v>317819.77137145819</v>
      </c>
      <c r="K63" s="11">
        <f>Electricity!K63*Electricity!$B$60</f>
        <v>320132.02763947111</v>
      </c>
      <c r="L63" s="11">
        <f>Electricity!L63*Electricity!$B$60</f>
        <v>322444.28390748415</v>
      </c>
      <c r="M63" s="11">
        <f>Electricity!M63*Electricity!$B$60</f>
        <v>324756.54017549701</v>
      </c>
      <c r="N63" s="11">
        <f>Electricity!N63*Electricity!$B$60</f>
        <v>327068.79644350993</v>
      </c>
      <c r="O63" s="11">
        <f>Electricity!O63*Electricity!$B$60</f>
        <v>329381.05271152291</v>
      </c>
      <c r="P63" s="11">
        <f>Electricity!P63*Electricity!$B$60</f>
        <v>331247.53146514256</v>
      </c>
      <c r="Q63" s="11">
        <f>Electricity!Q63*Electricity!$B$60</f>
        <v>333114.01021876215</v>
      </c>
      <c r="R63" s="11">
        <f>Electricity!R63*Electricity!$B$60</f>
        <v>334980.48897238175</v>
      </c>
      <c r="S63" s="11">
        <f>Electricity!S63*Electricity!$B$60</f>
        <v>336846.9677260014</v>
      </c>
      <c r="T63" s="11">
        <f>Electricity!T63*Electricity!$B$60</f>
        <v>338713.44647962105</v>
      </c>
      <c r="U63" s="11">
        <f>Electricity!U63*Electricity!$B$60</f>
        <v>340143.93281805865</v>
      </c>
      <c r="V63" s="11">
        <f>Electricity!V63*Electricity!$B$60</f>
        <v>341574.41915649635</v>
      </c>
      <c r="W63" s="11">
        <f>Electricity!W63*Electricity!$B$60</f>
        <v>343004.90549493389</v>
      </c>
      <c r="X63" s="11">
        <f>Electricity!X63*Electricity!$B$60</f>
        <v>344435.39183337154</v>
      </c>
      <c r="Y63" s="11">
        <f>Electricity!Y63*Electricity!$B$60</f>
        <v>345865.87817180913</v>
      </c>
      <c r="Z63" s="11">
        <f>Electricity!Z63*Electricity!$B$60</f>
        <v>346878.04551650444</v>
      </c>
      <c r="AA63" s="11">
        <f>Electricity!AA63*Electricity!$B$60</f>
        <v>347890.21286119981</v>
      </c>
      <c r="AB63" s="11">
        <f>Electricity!AB63*Electricity!$B$60</f>
        <v>348902.38020589511</v>
      </c>
      <c r="AC63" s="11">
        <f>Electricity!AC63*Electricity!$B$60</f>
        <v>349914.54755059036</v>
      </c>
      <c r="AD63" s="11">
        <f>Electricity!AD63*Electricity!$B$60</f>
        <v>350926.71489528561</v>
      </c>
      <c r="AE63" s="11">
        <f>Electricity!AE63*Electricity!$B$60</f>
        <v>350926.71489528561</v>
      </c>
      <c r="AF63" s="11">
        <f>Electricity!AF63*Electricity!$B$60</f>
        <v>350926.71489528561</v>
      </c>
      <c r="AG63" s="11">
        <f>Electricity!AG63*Electricity!$B$60</f>
        <v>350926.71489528561</v>
      </c>
      <c r="AH63" s="11">
        <f>Electricity!AH63*Electricity!$B$60</f>
        <v>350926.71489528561</v>
      </c>
      <c r="AI63" s="11">
        <f>Electricity!AI63*Electricity!$B$60</f>
        <v>350926.71489528561</v>
      </c>
      <c r="AJ63" s="11">
        <f>Electricity!AJ63*Electricity!$B$60</f>
        <v>350926.71489528561</v>
      </c>
      <c r="AK63" s="11">
        <f>Electricity!AK63*Electricity!$B$60</f>
        <v>350926.71489528561</v>
      </c>
      <c r="AL63" s="11">
        <f>Electricity!AL63*Electricity!$B$60</f>
        <v>350926.71489528561</v>
      </c>
      <c r="AM63" s="11">
        <f>Electricity!AM63*Electricity!$B$60</f>
        <v>350926.71489528561</v>
      </c>
      <c r="AN63" s="11">
        <f>Electricity!AN63*Electricity!$B$60</f>
        <v>350926.71489528561</v>
      </c>
    </row>
    <row r="64" spans="1:40" x14ac:dyDescent="0.2">
      <c r="A64" s="6" t="s">
        <v>36</v>
      </c>
      <c r="B64" s="11">
        <f>Electricity!B64*Electricity!$B$60</f>
        <v>54620.055000000008</v>
      </c>
      <c r="C64" s="11">
        <f>Electricity!C64*Electricity!$B$60</f>
        <v>54806.82513689217</v>
      </c>
      <c r="D64" s="11">
        <f>Electricity!D64*Electricity!$B$60</f>
        <v>54993.595273784333</v>
      </c>
      <c r="E64" s="11">
        <f>Electricity!E64*Electricity!$B$60</f>
        <v>55180.365410676503</v>
      </c>
      <c r="F64" s="11">
        <f>Electricity!F64*Electricity!$B$60</f>
        <v>55679.972919060798</v>
      </c>
      <c r="G64" s="11">
        <f>Electricity!G64*Electricity!$B$60</f>
        <v>56179.580427445078</v>
      </c>
      <c r="H64" s="11">
        <f>Electricity!H64*Electricity!$B$60</f>
        <v>56679.187935829381</v>
      </c>
      <c r="I64" s="11">
        <f>Electricity!I64*Electricity!$B$60</f>
        <v>57178.795444213669</v>
      </c>
      <c r="J64" s="11">
        <f>Electricity!J64*Electricity!$B$60</f>
        <v>57678.402952597964</v>
      </c>
      <c r="K64" s="11">
        <f>Electricity!K64*Electricity!$B$60</f>
        <v>58098.034645681793</v>
      </c>
      <c r="L64" s="11">
        <f>Electricity!L64*Electricity!$B$60</f>
        <v>58517.666338765637</v>
      </c>
      <c r="M64" s="11">
        <f>Electricity!M64*Electricity!$B$60</f>
        <v>58937.298031849452</v>
      </c>
      <c r="N64" s="11">
        <f>Electricity!N64*Electricity!$B$60</f>
        <v>59356.929724933281</v>
      </c>
      <c r="O64" s="11">
        <f>Electricity!O64*Electricity!$B$60</f>
        <v>59776.561418017125</v>
      </c>
      <c r="P64" s="11">
        <f>Electricity!P64*Electricity!$B$60</f>
        <v>60115.292747377716</v>
      </c>
      <c r="Q64" s="11">
        <f>Electricity!Q64*Electricity!$B$60</f>
        <v>60454.024076738322</v>
      </c>
      <c r="R64" s="11">
        <f>Electricity!R64*Electricity!$B$60</f>
        <v>60792.755406098913</v>
      </c>
      <c r="S64" s="11">
        <f>Electricity!S64*Electricity!$B$60</f>
        <v>61131.486735459504</v>
      </c>
      <c r="T64" s="11">
        <f>Electricity!T64*Electricity!$B$60</f>
        <v>61470.21806482011</v>
      </c>
      <c r="U64" s="11">
        <f>Electricity!U64*Electricity!$B$60</f>
        <v>61729.824844758783</v>
      </c>
      <c r="V64" s="11">
        <f>Electricity!V64*Electricity!$B$60</f>
        <v>61989.431624697485</v>
      </c>
      <c r="W64" s="11">
        <f>Electricity!W64*Electricity!$B$60</f>
        <v>62249.038404636143</v>
      </c>
      <c r="X64" s="11">
        <f>Electricity!X64*Electricity!$B$60</f>
        <v>62508.645184574831</v>
      </c>
      <c r="Y64" s="11">
        <f>Electricity!Y64*Electricity!$B$60</f>
        <v>62768.251964513518</v>
      </c>
      <c r="Z64" s="11">
        <f>Electricity!Z64*Electricity!$B$60</f>
        <v>62951.941593735995</v>
      </c>
      <c r="AA64" s="11">
        <f>Electricity!AA64*Electricity!$B$60</f>
        <v>63135.63122295848</v>
      </c>
      <c r="AB64" s="11">
        <f>Electricity!AB64*Electricity!$B$60</f>
        <v>63319.320852180957</v>
      </c>
      <c r="AC64" s="11">
        <f>Electricity!AC64*Electricity!$B$60</f>
        <v>63503.010481403435</v>
      </c>
      <c r="AD64" s="11">
        <f>Electricity!AD64*Electricity!$B$60</f>
        <v>63686.700110625912</v>
      </c>
      <c r="AE64" s="11">
        <f>Electricity!AE64*Electricity!$B$60</f>
        <v>63686.700110625912</v>
      </c>
      <c r="AF64" s="11">
        <f>Electricity!AF64*Electricity!$B$60</f>
        <v>63686.700110625912</v>
      </c>
      <c r="AG64" s="11">
        <f>Electricity!AG64*Electricity!$B$60</f>
        <v>63686.700110625912</v>
      </c>
      <c r="AH64" s="11">
        <f>Electricity!AH64*Electricity!$B$60</f>
        <v>63686.700110625912</v>
      </c>
      <c r="AI64" s="11">
        <f>Electricity!AI64*Electricity!$B$60</f>
        <v>63686.700110625912</v>
      </c>
      <c r="AJ64" s="11">
        <f>Electricity!AJ64*Electricity!$B$60</f>
        <v>63686.700110625912</v>
      </c>
      <c r="AK64" s="11">
        <f>Electricity!AK64*Electricity!$B$60</f>
        <v>63686.700110625912</v>
      </c>
      <c r="AL64" s="11">
        <f>Electricity!AL64*Electricity!$B$60</f>
        <v>63686.700110625912</v>
      </c>
      <c r="AM64" s="11">
        <f>Electricity!AM64*Electricity!$B$60</f>
        <v>63686.700110625912</v>
      </c>
      <c r="AN64" s="11">
        <f>Electricity!AN64*Electricity!$B$60</f>
        <v>63686.700110625912</v>
      </c>
    </row>
    <row r="65" spans="1:40" x14ac:dyDescent="0.2">
      <c r="A65" s="6" t="s">
        <v>37</v>
      </c>
      <c r="B65" s="11">
        <f>Electricity!B65*Electricity!$B$60</f>
        <v>46817.19</v>
      </c>
      <c r="C65" s="11">
        <f>Electricity!C65*Electricity!$B$60</f>
        <v>46977.278688764716</v>
      </c>
      <c r="D65" s="11">
        <f>Electricity!D65*Electricity!$B$60</f>
        <v>47137.367377529423</v>
      </c>
      <c r="E65" s="11">
        <f>Electricity!E65*Electricity!$B$60</f>
        <v>47297.456066294137</v>
      </c>
      <c r="F65" s="11">
        <f>Electricity!F65*Electricity!$B$60</f>
        <v>47725.691073480681</v>
      </c>
      <c r="G65" s="11">
        <f>Electricity!G65*Electricity!$B$60</f>
        <v>48153.926080667203</v>
      </c>
      <c r="H65" s="11">
        <f>Electricity!H65*Electricity!$B$60</f>
        <v>48582.161087853747</v>
      </c>
      <c r="I65" s="11">
        <f>Electricity!I65*Electricity!$B$60</f>
        <v>49010.396095040283</v>
      </c>
      <c r="J65" s="11">
        <f>Electricity!J65*Electricity!$B$60</f>
        <v>49438.631102226827</v>
      </c>
      <c r="K65" s="11">
        <f>Electricity!K65*Electricity!$B$60</f>
        <v>49798.315410584386</v>
      </c>
      <c r="L65" s="11">
        <f>Electricity!L65*Electricity!$B$60</f>
        <v>50157.999718941966</v>
      </c>
      <c r="M65" s="11">
        <f>Electricity!M65*Electricity!$B$60</f>
        <v>50517.684027299525</v>
      </c>
      <c r="N65" s="11">
        <f>Electricity!N65*Electricity!$B$60</f>
        <v>50877.368335657091</v>
      </c>
      <c r="O65" s="11">
        <f>Electricity!O65*Electricity!$B$60</f>
        <v>51237.052644014671</v>
      </c>
      <c r="P65" s="11">
        <f>Electricity!P65*Electricity!$B$60</f>
        <v>51527.393783466614</v>
      </c>
      <c r="Q65" s="11">
        <f>Electricity!Q65*Electricity!$B$60</f>
        <v>51817.734922918549</v>
      </c>
      <c r="R65" s="11">
        <f>Electricity!R65*Electricity!$B$60</f>
        <v>52108.076062370492</v>
      </c>
      <c r="S65" s="11">
        <f>Electricity!S65*Electricity!$B$60</f>
        <v>52398.417201822427</v>
      </c>
      <c r="T65" s="11">
        <f>Electricity!T65*Electricity!$B$60</f>
        <v>52688.758341274377</v>
      </c>
      <c r="U65" s="11">
        <f>Electricity!U65*Electricity!$B$60</f>
        <v>52911.278438364672</v>
      </c>
      <c r="V65" s="11">
        <f>Electricity!V65*Electricity!$B$60</f>
        <v>53133.798535454982</v>
      </c>
      <c r="W65" s="11">
        <f>Electricity!W65*Electricity!$B$60</f>
        <v>53356.31863254527</v>
      </c>
      <c r="X65" s="11">
        <f>Electricity!X65*Electricity!$B$60</f>
        <v>53578.838729635572</v>
      </c>
      <c r="Y65" s="11">
        <f>Electricity!Y65*Electricity!$B$60</f>
        <v>53801.358826725867</v>
      </c>
      <c r="Z65" s="11">
        <f>Electricity!Z65*Electricity!$B$60</f>
        <v>53958.807080345134</v>
      </c>
      <c r="AA65" s="11">
        <f>Electricity!AA65*Electricity!$B$60</f>
        <v>54116.255333964407</v>
      </c>
      <c r="AB65" s="11">
        <f>Electricity!AB65*Electricity!$B$60</f>
        <v>54273.703587583674</v>
      </c>
      <c r="AC65" s="11">
        <f>Electricity!AC65*Electricity!$B$60</f>
        <v>54431.15184120294</v>
      </c>
      <c r="AD65" s="11">
        <f>Electricity!AD65*Electricity!$B$60</f>
        <v>54588.600094822199</v>
      </c>
      <c r="AE65" s="11">
        <f>Electricity!AE65*Electricity!$B$60</f>
        <v>54588.600094822199</v>
      </c>
      <c r="AF65" s="11">
        <f>Electricity!AF65*Electricity!$B$60</f>
        <v>54588.600094822199</v>
      </c>
      <c r="AG65" s="11">
        <f>Electricity!AG65*Electricity!$B$60</f>
        <v>54588.600094822199</v>
      </c>
      <c r="AH65" s="11">
        <f>Electricity!AH65*Electricity!$B$60</f>
        <v>54588.600094822199</v>
      </c>
      <c r="AI65" s="11">
        <f>Electricity!AI65*Electricity!$B$60</f>
        <v>54588.600094822199</v>
      </c>
      <c r="AJ65" s="11">
        <f>Electricity!AJ65*Electricity!$B$60</f>
        <v>54588.600094822199</v>
      </c>
      <c r="AK65" s="11">
        <f>Electricity!AK65*Electricity!$B$60</f>
        <v>54588.600094822199</v>
      </c>
      <c r="AL65" s="11">
        <f>Electricity!AL65*Electricity!$B$60</f>
        <v>54588.600094822199</v>
      </c>
      <c r="AM65" s="11">
        <f>Electricity!AM65*Electricity!$B$60</f>
        <v>54588.600094822199</v>
      </c>
      <c r="AN65" s="11">
        <f>Electricity!AN65*Electricity!$B$60</f>
        <v>54588.600094822199</v>
      </c>
    </row>
    <row r="67" spans="1:40" x14ac:dyDescent="0.2">
      <c r="A67" s="5" t="s">
        <v>157</v>
      </c>
    </row>
    <row r="68" spans="1:40" x14ac:dyDescent="0.2">
      <c r="A68" s="5" t="s">
        <v>4</v>
      </c>
    </row>
    <row r="69" spans="1:40" x14ac:dyDescent="0.2">
      <c r="A69" s="5" t="s">
        <v>55</v>
      </c>
    </row>
    <row r="70" spans="1:40" x14ac:dyDescent="0.2">
      <c r="A70" s="5" t="s">
        <v>6</v>
      </c>
    </row>
    <row r="71" spans="1:40" x14ac:dyDescent="0.2">
      <c r="A71" s="5"/>
    </row>
    <row r="72" spans="1:40" x14ac:dyDescent="0.2">
      <c r="A72" s="6" t="s">
        <v>7</v>
      </c>
      <c r="B72" s="6">
        <v>2022</v>
      </c>
      <c r="C72" s="6">
        <v>2023</v>
      </c>
      <c r="D72" s="6">
        <v>2024</v>
      </c>
      <c r="E72" s="6">
        <v>2025</v>
      </c>
      <c r="F72" s="6">
        <v>2026</v>
      </c>
      <c r="G72" s="6">
        <v>2027</v>
      </c>
      <c r="H72" s="6">
        <v>2028</v>
      </c>
      <c r="I72" s="6">
        <v>2029</v>
      </c>
      <c r="J72" s="6">
        <v>2030</v>
      </c>
      <c r="K72" s="6">
        <v>2031</v>
      </c>
      <c r="L72" s="6">
        <v>2032</v>
      </c>
      <c r="M72" s="6">
        <v>2033</v>
      </c>
      <c r="N72" s="6">
        <v>2034</v>
      </c>
      <c r="O72" s="6">
        <v>2035</v>
      </c>
      <c r="P72" s="6">
        <v>2036</v>
      </c>
      <c r="Q72" s="6">
        <v>2037</v>
      </c>
      <c r="R72" s="6">
        <v>2038</v>
      </c>
      <c r="S72" s="6">
        <v>2039</v>
      </c>
      <c r="T72" s="6">
        <v>2040</v>
      </c>
      <c r="U72" s="6">
        <v>2041</v>
      </c>
      <c r="V72" s="6">
        <v>2042</v>
      </c>
      <c r="W72" s="6">
        <v>2043</v>
      </c>
      <c r="X72" s="6">
        <v>2044</v>
      </c>
      <c r="Y72" s="6">
        <v>2045</v>
      </c>
      <c r="Z72" s="6">
        <v>2046</v>
      </c>
      <c r="AA72" s="6">
        <v>2047</v>
      </c>
      <c r="AB72" s="6">
        <v>2048</v>
      </c>
      <c r="AC72" s="6">
        <v>2049</v>
      </c>
      <c r="AD72" s="6">
        <v>2050</v>
      </c>
      <c r="AE72" s="6">
        <v>2051</v>
      </c>
      <c r="AF72" s="6">
        <v>2052</v>
      </c>
      <c r="AG72" s="6">
        <v>2053</v>
      </c>
      <c r="AH72" s="6">
        <v>2054</v>
      </c>
      <c r="AI72" s="6">
        <v>2055</v>
      </c>
      <c r="AJ72" s="6">
        <v>2056</v>
      </c>
      <c r="AK72" s="6">
        <v>2057</v>
      </c>
      <c r="AL72" s="6">
        <v>2058</v>
      </c>
      <c r="AM72" s="6">
        <v>2059</v>
      </c>
      <c r="AN72" s="6">
        <v>2060</v>
      </c>
    </row>
    <row r="73" spans="1:40" x14ac:dyDescent="0.2">
      <c r="A73" s="6" t="s">
        <v>34</v>
      </c>
      <c r="B73" s="11">
        <f>Electricity!B73*Electricity!$B$71</f>
        <v>3610566.1353599997</v>
      </c>
      <c r="C73" s="11">
        <f>Electricity!C73*Electricity!$B$71</f>
        <v>3622912.2586174626</v>
      </c>
      <c r="D73" s="11">
        <f>Electricity!D73*Electricity!$B$71</f>
        <v>3635258.3818749255</v>
      </c>
      <c r="E73" s="11">
        <f>Electricity!E73*Electricity!$B$71</f>
        <v>3647604.5051323879</v>
      </c>
      <c r="F73" s="11">
        <f>Electricity!F73*Electricity!$B$71</f>
        <v>3680630.2124617547</v>
      </c>
      <c r="G73" s="11">
        <f>Electricity!G73*Electricity!$B$71</f>
        <v>3713655.9197911215</v>
      </c>
      <c r="H73" s="11">
        <f>Electricity!H73*Electricity!$B$71</f>
        <v>3746681.6271204883</v>
      </c>
      <c r="I73" s="11">
        <f>Electricity!I73*Electricity!$B$71</f>
        <v>3779707.3344498556</v>
      </c>
      <c r="J73" s="11">
        <f>Electricity!J73*Electricity!$B$71</f>
        <v>3812733.041779222</v>
      </c>
      <c r="K73" s="11">
        <f>Electricity!K73*Electricity!$B$71</f>
        <v>3840472.0834255964</v>
      </c>
      <c r="L73" s="11">
        <f>Electricity!L73*Electricity!$B$71</f>
        <v>3868211.1250719712</v>
      </c>
      <c r="M73" s="11">
        <f>Electricity!M73*Electricity!$B$71</f>
        <v>3895950.1667183451</v>
      </c>
      <c r="N73" s="11">
        <f>Electricity!N73*Electricity!$B$71</f>
        <v>3923689.2083647191</v>
      </c>
      <c r="O73" s="11">
        <f>Electricity!O73*Electricity!$B$71</f>
        <v>3951428.2500110934</v>
      </c>
      <c r="P73" s="11">
        <f>Electricity!P73*Electricity!$B$71</f>
        <v>3973819.5102684274</v>
      </c>
      <c r="Q73" s="11">
        <f>Electricity!Q73*Electricity!$B$71</f>
        <v>3996210.7705257605</v>
      </c>
      <c r="R73" s="11">
        <f>Electricity!R73*Electricity!$B$71</f>
        <v>4018602.0307830926</v>
      </c>
      <c r="S73" s="11">
        <f>Electricity!S73*Electricity!$B$71</f>
        <v>4040993.2910404266</v>
      </c>
      <c r="T73" s="11">
        <f>Electricity!T73*Electricity!$B$71</f>
        <v>4063384.5512977601</v>
      </c>
      <c r="U73" s="11">
        <f>Electricity!U73*Electricity!$B$71</f>
        <v>4080545.4173598029</v>
      </c>
      <c r="V73" s="11">
        <f>Electricity!V73*Electricity!$B$71</f>
        <v>4097706.2834218475</v>
      </c>
      <c r="W73" s="11">
        <f>Electricity!W73*Electricity!$B$71</f>
        <v>4114867.1494838898</v>
      </c>
      <c r="X73" s="11">
        <f>Electricity!X73*Electricity!$B$71</f>
        <v>4132028.0155459349</v>
      </c>
      <c r="Y73" s="11">
        <f>Electricity!Y73*Electricity!$B$71</f>
        <v>4149188.8816079781</v>
      </c>
      <c r="Z73" s="11">
        <f>Electricity!Z73*Electricity!$B$71</f>
        <v>4161331.3731284915</v>
      </c>
      <c r="AA73" s="11">
        <f>Electricity!AA73*Electricity!$B$71</f>
        <v>4173473.8646490057</v>
      </c>
      <c r="AB73" s="11">
        <f>Electricity!AB73*Electricity!$B$71</f>
        <v>4185616.3561695213</v>
      </c>
      <c r="AC73" s="11">
        <f>Electricity!AC73*Electricity!$B$71</f>
        <v>4197758.8476900356</v>
      </c>
      <c r="AD73" s="11">
        <f>Electricity!AD73*Electricity!$B$71</f>
        <v>4209901.3392105484</v>
      </c>
      <c r="AE73" s="11">
        <f>Electricity!AE73*Electricity!$B$71</f>
        <v>4209901.3392105484</v>
      </c>
      <c r="AF73" s="11">
        <f>Electricity!AF73*Electricity!$B$71</f>
        <v>4209901.3392105484</v>
      </c>
      <c r="AG73" s="11">
        <f>Electricity!AG73*Electricity!$B$71</f>
        <v>4209901.3392105484</v>
      </c>
      <c r="AH73" s="11">
        <f>Electricity!AH73*Electricity!$B$71</f>
        <v>4209901.3392105484</v>
      </c>
      <c r="AI73" s="11">
        <f>Electricity!AI73*Electricity!$B$71</f>
        <v>4209901.3392105484</v>
      </c>
      <c r="AJ73" s="11">
        <f>Electricity!AJ73*Electricity!$B$71</f>
        <v>4209901.3392105484</v>
      </c>
      <c r="AK73" s="11">
        <f>Electricity!AK73*Electricity!$B$71</f>
        <v>4209901.3392105484</v>
      </c>
      <c r="AL73" s="11">
        <f>Electricity!AL73*Electricity!$B$71</f>
        <v>4209901.3392105484</v>
      </c>
      <c r="AM73" s="11">
        <f>Electricity!AM73*Electricity!$B$71</f>
        <v>4209901.3392105484</v>
      </c>
      <c r="AN73" s="11">
        <f>Electricity!AN73*Electricity!$B$71</f>
        <v>4209901.3392105484</v>
      </c>
    </row>
    <row r="74" spans="1:40" x14ac:dyDescent="0.2">
      <c r="A74" s="6" t="s">
        <v>35</v>
      </c>
      <c r="B74" s="11">
        <f>Electricity!B74*Electricity!$B$71</f>
        <v>1525591.3248000001</v>
      </c>
      <c r="C74" s="11">
        <f>Electricity!C74*Electricity!$B$71</f>
        <v>1530807.9965989282</v>
      </c>
      <c r="D74" s="11">
        <f>Electricity!D74*Electricity!$B$71</f>
        <v>1536024.6683978559</v>
      </c>
      <c r="E74" s="11">
        <f>Electricity!E74*Electricity!$B$71</f>
        <v>1541241.3401967839</v>
      </c>
      <c r="F74" s="11">
        <f>Electricity!F74*Electricity!$B$71</f>
        <v>1555195.8644204598</v>
      </c>
      <c r="G74" s="11">
        <f>Electricity!G74*Electricity!$B$71</f>
        <v>1569150.3886441363</v>
      </c>
      <c r="H74" s="11">
        <f>Electricity!H74*Electricity!$B$71</f>
        <v>1583104.9128678122</v>
      </c>
      <c r="I74" s="11">
        <f>Electricity!I74*Electricity!$B$71</f>
        <v>1597059.4370914884</v>
      </c>
      <c r="J74" s="11">
        <f>Electricity!J74*Electricity!$B$71</f>
        <v>1611013.9613151646</v>
      </c>
      <c r="K74" s="11">
        <f>Electricity!K74*Electricity!$B$71</f>
        <v>1622734.6831375761</v>
      </c>
      <c r="L74" s="11">
        <f>Electricity!L74*Electricity!$B$71</f>
        <v>1634455.4049599878</v>
      </c>
      <c r="M74" s="11">
        <f>Electricity!M74*Electricity!$B$71</f>
        <v>1646176.1267823994</v>
      </c>
      <c r="N74" s="11">
        <f>Electricity!N74*Electricity!$B$71</f>
        <v>1657896.8486048111</v>
      </c>
      <c r="O74" s="11">
        <f>Electricity!O74*Electricity!$B$71</f>
        <v>1669617.5704272229</v>
      </c>
      <c r="P74" s="11">
        <f>Electricity!P74*Electricity!$B$71</f>
        <v>1679078.6663106033</v>
      </c>
      <c r="Q74" s="11">
        <f>Electricity!Q74*Electricity!$B$71</f>
        <v>1688539.7621939837</v>
      </c>
      <c r="R74" s="11">
        <f>Electricity!R74*Electricity!$B$71</f>
        <v>1698000.8580773633</v>
      </c>
      <c r="S74" s="11">
        <f>Electricity!S74*Electricity!$B$71</f>
        <v>1707461.953960744</v>
      </c>
      <c r="T74" s="11">
        <f>Electricity!T74*Electricity!$B$71</f>
        <v>1716923.0498441241</v>
      </c>
      <c r="U74" s="11">
        <f>Electricity!U74*Electricity!$B$71</f>
        <v>1724174.1200111846</v>
      </c>
      <c r="V74" s="11">
        <f>Electricity!V74*Electricity!$B$71</f>
        <v>1731425.1901782458</v>
      </c>
      <c r="W74" s="11">
        <f>Electricity!W74*Electricity!$B$71</f>
        <v>1738676.2603453058</v>
      </c>
      <c r="X74" s="11">
        <f>Electricity!X74*Electricity!$B$71</f>
        <v>1745927.330512367</v>
      </c>
      <c r="Y74" s="11">
        <f>Electricity!Y74*Electricity!$B$71</f>
        <v>1753178.4006794274</v>
      </c>
      <c r="Z74" s="11">
        <f>Electricity!Z74*Electricity!$B$71</f>
        <v>1758309.0308993631</v>
      </c>
      <c r="AA74" s="11">
        <f>Electricity!AA74*Electricity!$B$71</f>
        <v>1763439.6611192985</v>
      </c>
      <c r="AB74" s="11">
        <f>Electricity!AB74*Electricity!$B$71</f>
        <v>1768570.2913392342</v>
      </c>
      <c r="AC74" s="11">
        <f>Electricity!AC74*Electricity!$B$71</f>
        <v>1773700.9215591697</v>
      </c>
      <c r="AD74" s="11">
        <f>Electricity!AD74*Electricity!$B$71</f>
        <v>1778831.5517791053</v>
      </c>
      <c r="AE74" s="11">
        <f>Electricity!AE74*Electricity!$B$71</f>
        <v>1778831.5517791053</v>
      </c>
      <c r="AF74" s="11">
        <f>Electricity!AF74*Electricity!$B$71</f>
        <v>1778831.5517791053</v>
      </c>
      <c r="AG74" s="11">
        <f>Electricity!AG74*Electricity!$B$71</f>
        <v>1778831.5517791053</v>
      </c>
      <c r="AH74" s="11">
        <f>Electricity!AH74*Electricity!$B$71</f>
        <v>1778831.5517791053</v>
      </c>
      <c r="AI74" s="11">
        <f>Electricity!AI74*Electricity!$B$71</f>
        <v>1778831.5517791053</v>
      </c>
      <c r="AJ74" s="11">
        <f>Electricity!AJ74*Electricity!$B$71</f>
        <v>1778831.5517791053</v>
      </c>
      <c r="AK74" s="11">
        <f>Electricity!AK74*Electricity!$B$71</f>
        <v>1778831.5517791053</v>
      </c>
      <c r="AL74" s="11">
        <f>Electricity!AL74*Electricity!$B$71</f>
        <v>1778831.5517791053</v>
      </c>
      <c r="AM74" s="11">
        <f>Electricity!AM74*Electricity!$B$71</f>
        <v>1778831.5517791053</v>
      </c>
      <c r="AN74" s="11">
        <f>Electricity!AN74*Electricity!$B$71</f>
        <v>1778831.5517791053</v>
      </c>
    </row>
    <row r="75" spans="1:40" x14ac:dyDescent="0.2">
      <c r="A75" s="6" t="s">
        <v>36</v>
      </c>
      <c r="B75" s="11">
        <f>Electricity!B75*Electricity!$B$71</f>
        <v>276866.57376</v>
      </c>
      <c r="C75" s="11">
        <f>Electricity!C75*Electricity!$B$71</f>
        <v>277813.30308647209</v>
      </c>
      <c r="D75" s="11">
        <f>Electricity!D75*Electricity!$B$71</f>
        <v>278760.03241294419</v>
      </c>
      <c r="E75" s="11">
        <f>Electricity!E75*Electricity!$B$71</f>
        <v>279706.76173941628</v>
      </c>
      <c r="F75" s="11">
        <f>Electricity!F75*Electricity!$B$71</f>
        <v>282239.24946889828</v>
      </c>
      <c r="G75" s="11">
        <f>Electricity!G75*Electricity!$B$71</f>
        <v>284771.73719838023</v>
      </c>
      <c r="H75" s="11">
        <f>Electricity!H75*Electricity!$B$71</f>
        <v>287304.22492786217</v>
      </c>
      <c r="I75" s="11">
        <f>Electricity!I75*Electricity!$B$71</f>
        <v>289836.71265734418</v>
      </c>
      <c r="J75" s="11">
        <f>Electricity!J75*Electricity!$B$71</f>
        <v>292369.20038682612</v>
      </c>
      <c r="K75" s="11">
        <f>Electricity!K75*Electricity!$B$71</f>
        <v>294496.29434718972</v>
      </c>
      <c r="L75" s="11">
        <f>Electricity!L75*Electricity!$B$71</f>
        <v>296623.38830755331</v>
      </c>
      <c r="M75" s="11">
        <f>Electricity!M75*Electricity!$B$71</f>
        <v>298750.48226791696</v>
      </c>
      <c r="N75" s="11">
        <f>Electricity!N75*Electricity!$B$71</f>
        <v>300877.57622828049</v>
      </c>
      <c r="O75" s="11">
        <f>Electricity!O75*Electricity!$B$71</f>
        <v>303004.67018864414</v>
      </c>
      <c r="P75" s="11">
        <f>Electricity!P75*Electricity!$B$71</f>
        <v>304721.68388599833</v>
      </c>
      <c r="Q75" s="11">
        <f>Electricity!Q75*Electricity!$B$71</f>
        <v>306438.69758335256</v>
      </c>
      <c r="R75" s="11">
        <f>Electricity!R75*Electricity!$B$71</f>
        <v>308155.71128070669</v>
      </c>
      <c r="S75" s="11">
        <f>Electricity!S75*Electricity!$B$71</f>
        <v>309872.72497806093</v>
      </c>
      <c r="T75" s="11">
        <f>Electricity!T75*Electricity!$B$71</f>
        <v>311589.73867541511</v>
      </c>
      <c r="U75" s="11">
        <f>Electricity!U75*Electricity!$B$71</f>
        <v>312905.67363165942</v>
      </c>
      <c r="V75" s="11">
        <f>Electricity!V75*Electricity!$B$71</f>
        <v>314221.60858790379</v>
      </c>
      <c r="W75" s="11">
        <f>Electricity!W75*Electricity!$B$71</f>
        <v>315537.54354414809</v>
      </c>
      <c r="X75" s="11">
        <f>Electricity!X75*Electricity!$B$71</f>
        <v>316853.47850039246</v>
      </c>
      <c r="Y75" s="11">
        <f>Electricity!Y75*Electricity!$B$71</f>
        <v>318169.41345663677</v>
      </c>
      <c r="Z75" s="11">
        <f>Electricity!Z75*Electricity!$B$71</f>
        <v>319100.52782988438</v>
      </c>
      <c r="AA75" s="11">
        <f>Electricity!AA75*Electricity!$B$71</f>
        <v>320031.64220313192</v>
      </c>
      <c r="AB75" s="11">
        <f>Electricity!AB75*Electricity!$B$71</f>
        <v>320962.75657637947</v>
      </c>
      <c r="AC75" s="11">
        <f>Electricity!AC75*Electricity!$B$71</f>
        <v>321893.87094962713</v>
      </c>
      <c r="AD75" s="11">
        <f>Electricity!AD75*Electricity!$B$71</f>
        <v>322824.98532287468</v>
      </c>
      <c r="AE75" s="11">
        <f>Electricity!AE75*Electricity!$B$71</f>
        <v>322824.98532287468</v>
      </c>
      <c r="AF75" s="11">
        <f>Electricity!AF75*Electricity!$B$71</f>
        <v>322824.98532287468</v>
      </c>
      <c r="AG75" s="11">
        <f>Electricity!AG75*Electricity!$B$71</f>
        <v>322824.98532287468</v>
      </c>
      <c r="AH75" s="11">
        <f>Electricity!AH75*Electricity!$B$71</f>
        <v>322824.98532287468</v>
      </c>
      <c r="AI75" s="11">
        <f>Electricity!AI75*Electricity!$B$71</f>
        <v>322824.98532287468</v>
      </c>
      <c r="AJ75" s="11">
        <f>Electricity!AJ75*Electricity!$B$71</f>
        <v>322824.98532287468</v>
      </c>
      <c r="AK75" s="11">
        <f>Electricity!AK75*Electricity!$B$71</f>
        <v>322824.98532287468</v>
      </c>
      <c r="AL75" s="11">
        <f>Electricity!AL75*Electricity!$B$71</f>
        <v>322824.98532287468</v>
      </c>
      <c r="AM75" s="11">
        <f>Electricity!AM75*Electricity!$B$71</f>
        <v>322824.98532287468</v>
      </c>
      <c r="AN75" s="11">
        <f>Electricity!AN75*Electricity!$B$71</f>
        <v>322824.98532287468</v>
      </c>
    </row>
    <row r="76" spans="1:40" x14ac:dyDescent="0.2">
      <c r="A76" s="6" t="s">
        <v>37</v>
      </c>
      <c r="B76" s="11">
        <f>Electricity!B76*Electricity!$B$71</f>
        <v>237314.20608</v>
      </c>
      <c r="C76" s="11">
        <f>Electricity!C76*Electricity!$B$71</f>
        <v>238125.68835983326</v>
      </c>
      <c r="D76" s="11">
        <f>Electricity!D76*Electricity!$B$71</f>
        <v>238937.17063966647</v>
      </c>
      <c r="E76" s="11">
        <f>Electricity!E76*Electricity!$B$71</f>
        <v>239748.6529194997</v>
      </c>
      <c r="F76" s="11">
        <f>Electricity!F76*Electricity!$B$71</f>
        <v>241919.35668762712</v>
      </c>
      <c r="G76" s="11">
        <f>Electricity!G76*Electricity!$B$71</f>
        <v>244090.06045575452</v>
      </c>
      <c r="H76" s="11">
        <f>Electricity!H76*Electricity!$B$71</f>
        <v>246260.76422388188</v>
      </c>
      <c r="I76" s="11">
        <f>Electricity!I76*Electricity!$B$71</f>
        <v>248431.4679920093</v>
      </c>
      <c r="J76" s="11">
        <f>Electricity!J76*Electricity!$B$71</f>
        <v>250602.1717601367</v>
      </c>
      <c r="K76" s="11">
        <f>Electricity!K76*Electricity!$B$71</f>
        <v>252425.39515473405</v>
      </c>
      <c r="L76" s="11">
        <f>Electricity!L76*Electricity!$B$71</f>
        <v>254248.61854933144</v>
      </c>
      <c r="M76" s="11">
        <f>Electricity!M76*Electricity!$B$71</f>
        <v>256071.8419439288</v>
      </c>
      <c r="N76" s="11">
        <f>Electricity!N76*Electricity!$B$71</f>
        <v>257895.06533852618</v>
      </c>
      <c r="O76" s="11">
        <f>Electricity!O76*Electricity!$B$71</f>
        <v>259718.28873312354</v>
      </c>
      <c r="P76" s="11">
        <f>Electricity!P76*Electricity!$B$71</f>
        <v>261190.0147594272</v>
      </c>
      <c r="Q76" s="11">
        <f>Electricity!Q76*Electricity!$B$71</f>
        <v>262661.74078573077</v>
      </c>
      <c r="R76" s="11">
        <f>Electricity!R76*Electricity!$B$71</f>
        <v>264133.46681203431</v>
      </c>
      <c r="S76" s="11">
        <f>Electricity!S76*Electricity!$B$71</f>
        <v>265605.19283833791</v>
      </c>
      <c r="T76" s="11">
        <f>Electricity!T76*Electricity!$B$71</f>
        <v>267076.91886464157</v>
      </c>
      <c r="U76" s="11">
        <f>Electricity!U76*Electricity!$B$71</f>
        <v>268204.86311285099</v>
      </c>
      <c r="V76" s="11">
        <f>Electricity!V76*Electricity!$B$71</f>
        <v>269332.80736106046</v>
      </c>
      <c r="W76" s="11">
        <f>Electricity!W76*Electricity!$B$71</f>
        <v>270460.75160926982</v>
      </c>
      <c r="X76" s="11">
        <f>Electricity!X76*Electricity!$B$71</f>
        <v>271588.69585747935</v>
      </c>
      <c r="Y76" s="11">
        <f>Electricity!Y76*Electricity!$B$71</f>
        <v>272716.64010568877</v>
      </c>
      <c r="Z76" s="11">
        <f>Electricity!Z76*Electricity!$B$71</f>
        <v>273514.73813990096</v>
      </c>
      <c r="AA76" s="11">
        <f>Electricity!AA76*Electricity!$B$71</f>
        <v>274312.83617411315</v>
      </c>
      <c r="AB76" s="11">
        <f>Electricity!AB76*Electricity!$B$71</f>
        <v>275110.93420832528</v>
      </c>
      <c r="AC76" s="11">
        <f>Electricity!AC76*Electricity!$B$71</f>
        <v>275909.03224253748</v>
      </c>
      <c r="AD76" s="11">
        <f>Electricity!AD76*Electricity!$B$71</f>
        <v>276707.13027674973</v>
      </c>
      <c r="AE76" s="11">
        <f>Electricity!AE76*Electricity!$B$71</f>
        <v>276707.13027674973</v>
      </c>
      <c r="AF76" s="11">
        <f>Electricity!AF76*Electricity!$B$71</f>
        <v>276707.13027674973</v>
      </c>
      <c r="AG76" s="11">
        <f>Electricity!AG76*Electricity!$B$71</f>
        <v>276707.13027674973</v>
      </c>
      <c r="AH76" s="11">
        <f>Electricity!AH76*Electricity!$B$71</f>
        <v>276707.13027674973</v>
      </c>
      <c r="AI76" s="11">
        <f>Electricity!AI76*Electricity!$B$71</f>
        <v>276707.13027674973</v>
      </c>
      <c r="AJ76" s="11">
        <f>Electricity!AJ76*Electricity!$B$71</f>
        <v>276707.13027674973</v>
      </c>
      <c r="AK76" s="11">
        <f>Electricity!AK76*Electricity!$B$71</f>
        <v>276707.13027674973</v>
      </c>
      <c r="AL76" s="11">
        <f>Electricity!AL76*Electricity!$B$71</f>
        <v>276707.13027674973</v>
      </c>
      <c r="AM76" s="11">
        <f>Electricity!AM76*Electricity!$B$71</f>
        <v>276707.13027674973</v>
      </c>
      <c r="AN76" s="11">
        <f>Electricity!AN76*Electricity!$B$71</f>
        <v>276707.13027674973</v>
      </c>
    </row>
    <row r="78" spans="1:40" x14ac:dyDescent="0.2">
      <c r="A78" s="5" t="s">
        <v>157</v>
      </c>
    </row>
    <row r="79" spans="1:40" x14ac:dyDescent="0.2">
      <c r="A79" s="5" t="s">
        <v>4</v>
      </c>
    </row>
    <row r="80" spans="1:40" x14ac:dyDescent="0.2">
      <c r="A80" s="5" t="s">
        <v>57</v>
      </c>
    </row>
    <row r="81" spans="1:40" x14ac:dyDescent="0.2">
      <c r="A81" s="5" t="s">
        <v>6</v>
      </c>
    </row>
    <row r="82" spans="1:40" x14ac:dyDescent="0.2">
      <c r="A82" s="5"/>
    </row>
    <row r="83" spans="1:40" x14ac:dyDescent="0.2">
      <c r="A83" s="6" t="s">
        <v>7</v>
      </c>
      <c r="B83" s="6">
        <v>2022</v>
      </c>
      <c r="C83" s="6">
        <v>2023</v>
      </c>
      <c r="D83" s="6">
        <v>2024</v>
      </c>
      <c r="E83" s="6">
        <v>2025</v>
      </c>
      <c r="F83" s="6">
        <v>2026</v>
      </c>
      <c r="G83" s="6">
        <v>2027</v>
      </c>
      <c r="H83" s="6">
        <v>2028</v>
      </c>
      <c r="I83" s="6">
        <v>2029</v>
      </c>
      <c r="J83" s="6">
        <v>2030</v>
      </c>
      <c r="K83" s="6">
        <v>2031</v>
      </c>
      <c r="L83" s="6">
        <v>2032</v>
      </c>
      <c r="M83" s="6">
        <v>2033</v>
      </c>
      <c r="N83" s="6">
        <v>2034</v>
      </c>
      <c r="O83" s="6">
        <v>2035</v>
      </c>
      <c r="P83" s="6">
        <v>2036</v>
      </c>
      <c r="Q83" s="6">
        <v>2037</v>
      </c>
      <c r="R83" s="6">
        <v>2038</v>
      </c>
      <c r="S83" s="6">
        <v>2039</v>
      </c>
      <c r="T83" s="6">
        <v>2040</v>
      </c>
      <c r="U83" s="6">
        <v>2041</v>
      </c>
      <c r="V83" s="6">
        <v>2042</v>
      </c>
      <c r="W83" s="6">
        <v>2043</v>
      </c>
      <c r="X83" s="6">
        <v>2044</v>
      </c>
      <c r="Y83" s="6">
        <v>2045</v>
      </c>
      <c r="Z83" s="6">
        <v>2046</v>
      </c>
      <c r="AA83" s="6">
        <v>2047</v>
      </c>
      <c r="AB83" s="6">
        <v>2048</v>
      </c>
      <c r="AC83" s="6">
        <v>2049</v>
      </c>
      <c r="AD83" s="6">
        <v>2050</v>
      </c>
      <c r="AE83" s="6">
        <v>2051</v>
      </c>
      <c r="AF83" s="6">
        <v>2052</v>
      </c>
      <c r="AG83" s="6">
        <v>2053</v>
      </c>
      <c r="AH83" s="6">
        <v>2054</v>
      </c>
      <c r="AI83" s="6">
        <v>2055</v>
      </c>
      <c r="AJ83" s="6">
        <v>2056</v>
      </c>
      <c r="AK83" s="6">
        <v>2057</v>
      </c>
      <c r="AL83" s="6">
        <v>2058</v>
      </c>
      <c r="AM83" s="6">
        <v>2059</v>
      </c>
      <c r="AN83" s="6">
        <v>2060</v>
      </c>
    </row>
    <row r="84" spans="1:40" x14ac:dyDescent="0.2">
      <c r="A84" s="6" t="s">
        <v>34</v>
      </c>
      <c r="B84" s="11">
        <f>Electricity!B84*Electricity!$B$82</f>
        <v>2326395.072096</v>
      </c>
      <c r="C84" s="11">
        <f>Electricity!C84*Electricity!$B$82</f>
        <v>2334350.0462548621</v>
      </c>
      <c r="D84" s="11">
        <f>Electricity!D84*Electricity!$B$82</f>
        <v>2342305.0204137242</v>
      </c>
      <c r="E84" s="11">
        <f>Electricity!E84*Electricity!$B$82</f>
        <v>2350259.9945725859</v>
      </c>
      <c r="F84" s="11">
        <f>Electricity!F84*Electricity!$B$82</f>
        <v>2371539.4393751845</v>
      </c>
      <c r="G84" s="11">
        <f>Electricity!G84*Electricity!$B$82</f>
        <v>2392818.884177783</v>
      </c>
      <c r="H84" s="11">
        <f>Electricity!H84*Electricity!$B$82</f>
        <v>2414098.3289803816</v>
      </c>
      <c r="I84" s="11">
        <f>Electricity!I84*Electricity!$B$82</f>
        <v>2435377.7737829792</v>
      </c>
      <c r="J84" s="11">
        <f>Electricity!J84*Electricity!$B$82</f>
        <v>2456657.2185855778</v>
      </c>
      <c r="K84" s="11">
        <f>Electricity!K84*Electricity!$B$82</f>
        <v>2474530.307561514</v>
      </c>
      <c r="L84" s="11">
        <f>Electricity!L84*Electricity!$B$82</f>
        <v>2492403.3965374501</v>
      </c>
      <c r="M84" s="11">
        <f>Electricity!M84*Electricity!$B$82</f>
        <v>2510276.4855133863</v>
      </c>
      <c r="N84" s="11">
        <f>Electricity!N84*Electricity!$B$82</f>
        <v>2528149.574489322</v>
      </c>
      <c r="O84" s="11">
        <f>Electricity!O84*Electricity!$B$82</f>
        <v>2546022.6634652582</v>
      </c>
      <c r="P84" s="11">
        <f>Electricity!P84*Electricity!$B$82</f>
        <v>2560450.0179486806</v>
      </c>
      <c r="Q84" s="11">
        <f>Electricity!Q84*Electricity!$B$82</f>
        <v>2574877.3724321034</v>
      </c>
      <c r="R84" s="11">
        <f>Electricity!R84*Electricity!$B$82</f>
        <v>2589304.7269155248</v>
      </c>
      <c r="S84" s="11">
        <f>Electricity!S84*Electricity!$B$82</f>
        <v>2603732.0813989476</v>
      </c>
      <c r="T84" s="11">
        <f>Electricity!T84*Electricity!$B$82</f>
        <v>2618159.43588237</v>
      </c>
      <c r="U84" s="11">
        <f>Electricity!U84*Electricity!$B$82</f>
        <v>2629216.6919311243</v>
      </c>
      <c r="V84" s="11">
        <f>Electricity!V84*Electricity!$B$82</f>
        <v>2640273.9479798791</v>
      </c>
      <c r="W84" s="11">
        <f>Electricity!W84*Electricity!$B$82</f>
        <v>2651331.2040286339</v>
      </c>
      <c r="X84" s="11">
        <f>Electricity!X84*Electricity!$B$82</f>
        <v>2662388.4600773882</v>
      </c>
      <c r="Y84" s="11">
        <f>Electricity!Y84*Electricity!$B$82</f>
        <v>2673445.7161261425</v>
      </c>
      <c r="Z84" s="11">
        <f>Electricity!Z84*Electricity!$B$82</f>
        <v>2681269.4843046684</v>
      </c>
      <c r="AA84" s="11">
        <f>Electricity!AA84*Electricity!$B$82</f>
        <v>2689093.2524831942</v>
      </c>
      <c r="AB84" s="11">
        <f>Electricity!AB84*Electricity!$B$82</f>
        <v>2696917.0206617196</v>
      </c>
      <c r="AC84" s="11">
        <f>Electricity!AC84*Electricity!$B$82</f>
        <v>2704740.7888402455</v>
      </c>
      <c r="AD84" s="11">
        <f>Electricity!AD84*Electricity!$B$82</f>
        <v>2712564.5570187708</v>
      </c>
      <c r="AE84" s="11">
        <f>Electricity!AE84*Electricity!$B$82</f>
        <v>2712564.5570187708</v>
      </c>
      <c r="AF84" s="11">
        <f>Electricity!AF84*Electricity!$B$82</f>
        <v>2712564.5570187708</v>
      </c>
      <c r="AG84" s="11">
        <f>Electricity!AG84*Electricity!$B$82</f>
        <v>2712564.5570187708</v>
      </c>
      <c r="AH84" s="11">
        <f>Electricity!AH84*Electricity!$B$82</f>
        <v>2712564.5570187708</v>
      </c>
      <c r="AI84" s="11">
        <f>Electricity!AI84*Electricity!$B$82</f>
        <v>2712564.5570187708</v>
      </c>
      <c r="AJ84" s="11">
        <f>Electricity!AJ84*Electricity!$B$82</f>
        <v>2712564.5570187708</v>
      </c>
      <c r="AK84" s="11">
        <f>Electricity!AK84*Electricity!$B$82</f>
        <v>2712564.5570187708</v>
      </c>
      <c r="AL84" s="11">
        <f>Electricity!AL84*Electricity!$B$82</f>
        <v>2712564.5570187708</v>
      </c>
      <c r="AM84" s="11">
        <f>Electricity!AM84*Electricity!$B$82</f>
        <v>2712564.5570187708</v>
      </c>
      <c r="AN84" s="11">
        <f>Electricity!AN84*Electricity!$B$82</f>
        <v>2712564.5570187708</v>
      </c>
    </row>
    <row r="85" spans="1:40" x14ac:dyDescent="0.2">
      <c r="A85" s="6" t="s">
        <v>35</v>
      </c>
      <c r="B85" s="11">
        <f>Electricity!B85*Electricity!$B$82</f>
        <v>982983.83328000002</v>
      </c>
      <c r="C85" s="11">
        <f>Electricity!C85*Electricity!$B$82</f>
        <v>986345.08996684314</v>
      </c>
      <c r="D85" s="11">
        <f>Electricity!D85*Electricity!$B$82</f>
        <v>989706.34665368614</v>
      </c>
      <c r="E85" s="11">
        <f>Electricity!E85*Electricity!$B$82</f>
        <v>993067.60334052925</v>
      </c>
      <c r="F85" s="11">
        <f>Electricity!F85*Electricity!$B$82</f>
        <v>1002058.9180458526</v>
      </c>
      <c r="G85" s="11">
        <f>Electricity!G85*Electricity!$B$82</f>
        <v>1011050.2327511759</v>
      </c>
      <c r="H85" s="11">
        <f>Electricity!H85*Electricity!$B$82</f>
        <v>1020041.5474564992</v>
      </c>
      <c r="I85" s="11">
        <f>Electricity!I85*Electricity!$B$82</f>
        <v>1029032.8621618223</v>
      </c>
      <c r="J85" s="11">
        <f>Electricity!J85*Electricity!$B$82</f>
        <v>1038024.1768671456</v>
      </c>
      <c r="K85" s="11">
        <f>Electricity!K85*Electricity!$B$82</f>
        <v>1045576.1862935974</v>
      </c>
      <c r="L85" s="11">
        <f>Electricity!L85*Electricity!$B$82</f>
        <v>1053128.1957200493</v>
      </c>
      <c r="M85" s="11">
        <f>Electricity!M85*Electricity!$B$82</f>
        <v>1060680.2051465011</v>
      </c>
      <c r="N85" s="11">
        <f>Electricity!N85*Electricity!$B$82</f>
        <v>1068232.2145729531</v>
      </c>
      <c r="O85" s="11">
        <f>Electricity!O85*Electricity!$B$82</f>
        <v>1075784.2239994048</v>
      </c>
      <c r="P85" s="11">
        <f>Electricity!P85*Electricity!$B$82</f>
        <v>1081880.2892740904</v>
      </c>
      <c r="Q85" s="11">
        <f>Electricity!Q85*Electricity!$B$82</f>
        <v>1087976.3545487761</v>
      </c>
      <c r="R85" s="11">
        <f>Electricity!R85*Electricity!$B$82</f>
        <v>1094072.4198234614</v>
      </c>
      <c r="S85" s="11">
        <f>Electricity!S85*Electricity!$B$82</f>
        <v>1100168.4850981468</v>
      </c>
      <c r="T85" s="11">
        <f>Electricity!T85*Electricity!$B$82</f>
        <v>1106264.5503728322</v>
      </c>
      <c r="U85" s="11">
        <f>Electricity!U85*Electricity!$B$82</f>
        <v>1110936.6303934327</v>
      </c>
      <c r="V85" s="11">
        <f>Electricity!V85*Electricity!$B$82</f>
        <v>1115608.7104140332</v>
      </c>
      <c r="W85" s="11">
        <f>Electricity!W85*Electricity!$B$82</f>
        <v>1120280.7904346338</v>
      </c>
      <c r="X85" s="11">
        <f>Electricity!X85*Electricity!$B$82</f>
        <v>1124952.8704552345</v>
      </c>
      <c r="Y85" s="11">
        <f>Electricity!Y85*Electricity!$B$82</f>
        <v>1129624.950475835</v>
      </c>
      <c r="Z85" s="11">
        <f>Electricity!Z85*Electricity!$B$82</f>
        <v>1132930.7680160569</v>
      </c>
      <c r="AA85" s="11">
        <f>Electricity!AA85*Electricity!$B$82</f>
        <v>1136236.5855562792</v>
      </c>
      <c r="AB85" s="11">
        <f>Electricity!AB85*Electricity!$B$82</f>
        <v>1139542.4030965012</v>
      </c>
      <c r="AC85" s="11">
        <f>Electricity!AC85*Electricity!$B$82</f>
        <v>1142848.2206367233</v>
      </c>
      <c r="AD85" s="11">
        <f>Electricity!AD85*Electricity!$B$82</f>
        <v>1146154.0381769454</v>
      </c>
      <c r="AE85" s="11">
        <f>Electricity!AE85*Electricity!$B$82</f>
        <v>1146154.0381769454</v>
      </c>
      <c r="AF85" s="11">
        <f>Electricity!AF85*Electricity!$B$82</f>
        <v>1146154.0381769454</v>
      </c>
      <c r="AG85" s="11">
        <f>Electricity!AG85*Electricity!$B$82</f>
        <v>1146154.0381769454</v>
      </c>
      <c r="AH85" s="11">
        <f>Electricity!AH85*Electricity!$B$82</f>
        <v>1146154.0381769454</v>
      </c>
      <c r="AI85" s="11">
        <f>Electricity!AI85*Electricity!$B$82</f>
        <v>1146154.0381769454</v>
      </c>
      <c r="AJ85" s="11">
        <f>Electricity!AJ85*Electricity!$B$82</f>
        <v>1146154.0381769454</v>
      </c>
      <c r="AK85" s="11">
        <f>Electricity!AK85*Electricity!$B$82</f>
        <v>1146154.0381769454</v>
      </c>
      <c r="AL85" s="11">
        <f>Electricity!AL85*Electricity!$B$82</f>
        <v>1146154.0381769454</v>
      </c>
      <c r="AM85" s="11">
        <f>Electricity!AM85*Electricity!$B$82</f>
        <v>1146154.0381769454</v>
      </c>
      <c r="AN85" s="11">
        <f>Electricity!AN85*Electricity!$B$82</f>
        <v>1146154.0381769454</v>
      </c>
    </row>
    <row r="86" spans="1:40" x14ac:dyDescent="0.2">
      <c r="A86" s="6" t="s">
        <v>36</v>
      </c>
      <c r="B86" s="11">
        <f>Electricity!B86*Electricity!$B$82</f>
        <v>178393.36233599999</v>
      </c>
      <c r="C86" s="11">
        <f>Electricity!C86*Electricity!$B$82</f>
        <v>179003.36817916782</v>
      </c>
      <c r="D86" s="11">
        <f>Electricity!D86*Electricity!$B$82</f>
        <v>179613.37402233563</v>
      </c>
      <c r="E86" s="11">
        <f>Electricity!E86*Electricity!$B$82</f>
        <v>180223.37986550346</v>
      </c>
      <c r="F86" s="11">
        <f>Electricity!F86*Electricity!$B$82</f>
        <v>181855.13697869176</v>
      </c>
      <c r="G86" s="11">
        <f>Electricity!G86*Electricity!$B$82</f>
        <v>183486.89409188004</v>
      </c>
      <c r="H86" s="11">
        <f>Electricity!H86*Electricity!$B$82</f>
        <v>185118.65120506837</v>
      </c>
      <c r="I86" s="11">
        <f>Electricity!I86*Electricity!$B$82</f>
        <v>186750.40831825664</v>
      </c>
      <c r="J86" s="11">
        <f>Electricity!J86*Electricity!$B$82</f>
        <v>188382.16543144491</v>
      </c>
      <c r="K86" s="11">
        <f>Electricity!K86*Electricity!$B$82</f>
        <v>189752.71529031952</v>
      </c>
      <c r="L86" s="11">
        <f>Electricity!L86*Electricity!$B$82</f>
        <v>191123.26514919414</v>
      </c>
      <c r="M86" s="11">
        <f>Electricity!M86*Electricity!$B$82</f>
        <v>192493.81500806869</v>
      </c>
      <c r="N86" s="11">
        <f>Electricity!N86*Electricity!$B$82</f>
        <v>193864.3648669433</v>
      </c>
      <c r="O86" s="11">
        <f>Electricity!O86*Electricity!$B$82</f>
        <v>195234.91472581789</v>
      </c>
      <c r="P86" s="11">
        <f>Electricity!P86*Electricity!$B$82</f>
        <v>196341.23768307565</v>
      </c>
      <c r="Q86" s="11">
        <f>Electricity!Q86*Electricity!$B$82</f>
        <v>197447.56064033342</v>
      </c>
      <c r="R86" s="11">
        <f>Electricity!R86*Electricity!$B$82</f>
        <v>198553.88359759111</v>
      </c>
      <c r="S86" s="11">
        <f>Electricity!S86*Electricity!$B$82</f>
        <v>199660.20655484888</v>
      </c>
      <c r="T86" s="11">
        <f>Electricity!T86*Electricity!$B$82</f>
        <v>200766.52951210659</v>
      </c>
      <c r="U86" s="11">
        <f>Electricity!U86*Electricity!$B$82</f>
        <v>201614.42551584519</v>
      </c>
      <c r="V86" s="11">
        <f>Electricity!V86*Electricity!$B$82</f>
        <v>202462.32151958381</v>
      </c>
      <c r="W86" s="11">
        <f>Electricity!W86*Electricity!$B$82</f>
        <v>203310.21752332244</v>
      </c>
      <c r="X86" s="11">
        <f>Electricity!X86*Electricity!$B$82</f>
        <v>204158.11352706107</v>
      </c>
      <c r="Y86" s="11">
        <f>Electricity!Y86*Electricity!$B$82</f>
        <v>205006.00953079967</v>
      </c>
      <c r="Z86" s="11">
        <f>Electricity!Z86*Electricity!$B$82</f>
        <v>205605.95419550664</v>
      </c>
      <c r="AA86" s="11">
        <f>Electricity!AA86*Electricity!$B$82</f>
        <v>206205.89886021361</v>
      </c>
      <c r="AB86" s="11">
        <f>Electricity!AB86*Electricity!$B$82</f>
        <v>206805.84352492058</v>
      </c>
      <c r="AC86" s="11">
        <f>Electricity!AC86*Electricity!$B$82</f>
        <v>207405.78818962755</v>
      </c>
      <c r="AD86" s="11">
        <f>Electricity!AD86*Electricity!$B$82</f>
        <v>208005.73285433452</v>
      </c>
      <c r="AE86" s="11">
        <f>Electricity!AE86*Electricity!$B$82</f>
        <v>208005.73285433452</v>
      </c>
      <c r="AF86" s="11">
        <f>Electricity!AF86*Electricity!$B$82</f>
        <v>208005.73285433452</v>
      </c>
      <c r="AG86" s="11">
        <f>Electricity!AG86*Electricity!$B$82</f>
        <v>208005.73285433452</v>
      </c>
      <c r="AH86" s="11">
        <f>Electricity!AH86*Electricity!$B$82</f>
        <v>208005.73285433452</v>
      </c>
      <c r="AI86" s="11">
        <f>Electricity!AI86*Electricity!$B$82</f>
        <v>208005.73285433452</v>
      </c>
      <c r="AJ86" s="11">
        <f>Electricity!AJ86*Electricity!$B$82</f>
        <v>208005.73285433452</v>
      </c>
      <c r="AK86" s="11">
        <f>Electricity!AK86*Electricity!$B$82</f>
        <v>208005.73285433452</v>
      </c>
      <c r="AL86" s="11">
        <f>Electricity!AL86*Electricity!$B$82</f>
        <v>208005.73285433452</v>
      </c>
      <c r="AM86" s="11">
        <f>Electricity!AM86*Electricity!$B$82</f>
        <v>208005.73285433452</v>
      </c>
      <c r="AN86" s="11">
        <f>Electricity!AN86*Electricity!$B$82</f>
        <v>208005.73285433452</v>
      </c>
    </row>
    <row r="87" spans="1:40" x14ac:dyDescent="0.2">
      <c r="A87" s="6" t="s">
        <v>37</v>
      </c>
      <c r="B87" s="11">
        <f>Electricity!B87*Electricity!$B$82</f>
        <v>152908.596288</v>
      </c>
      <c r="C87" s="11">
        <f>Electricity!C87*Electricity!$B$82</f>
        <v>153431.45843928671</v>
      </c>
      <c r="D87" s="11">
        <f>Electricity!D87*Electricity!$B$82</f>
        <v>153954.32059057339</v>
      </c>
      <c r="E87" s="11">
        <f>Electricity!E87*Electricity!$B$82</f>
        <v>154477.1827418601</v>
      </c>
      <c r="F87" s="11">
        <f>Electricity!F87*Electricity!$B$82</f>
        <v>155875.83169602149</v>
      </c>
      <c r="G87" s="11">
        <f>Electricity!G87*Electricity!$B$82</f>
        <v>157274.4806501829</v>
      </c>
      <c r="H87" s="11">
        <f>Electricity!H87*Electricity!$B$82</f>
        <v>158673.12960434429</v>
      </c>
      <c r="I87" s="11">
        <f>Electricity!I87*Electricity!$B$82</f>
        <v>160071.77855850567</v>
      </c>
      <c r="J87" s="11">
        <f>Electricity!J87*Electricity!$B$82</f>
        <v>161470.42751266708</v>
      </c>
      <c r="K87" s="11">
        <f>Electricity!K87*Electricity!$B$82</f>
        <v>162645.18453455961</v>
      </c>
      <c r="L87" s="11">
        <f>Electricity!L87*Electricity!$B$82</f>
        <v>163819.9415564521</v>
      </c>
      <c r="M87" s="11">
        <f>Electricity!M87*Electricity!$B$82</f>
        <v>164994.6985783446</v>
      </c>
      <c r="N87" s="11">
        <f>Electricity!N87*Electricity!$B$82</f>
        <v>166169.4556002371</v>
      </c>
      <c r="O87" s="11">
        <f>Electricity!O87*Electricity!$B$82</f>
        <v>167344.21262212965</v>
      </c>
      <c r="P87" s="11">
        <f>Electricity!P87*Electricity!$B$82</f>
        <v>168292.48944263626</v>
      </c>
      <c r="Q87" s="11">
        <f>Electricity!Q87*Electricity!$B$82</f>
        <v>169240.76626314293</v>
      </c>
      <c r="R87" s="11">
        <f>Electricity!R87*Electricity!$B$82</f>
        <v>170189.04308364954</v>
      </c>
      <c r="S87" s="11">
        <f>Electricity!S87*Electricity!$B$82</f>
        <v>171137.31990415615</v>
      </c>
      <c r="T87" s="11">
        <f>Electricity!T87*Electricity!$B$82</f>
        <v>172085.59672466278</v>
      </c>
      <c r="U87" s="11">
        <f>Electricity!U87*Electricity!$B$82</f>
        <v>172812.3647278673</v>
      </c>
      <c r="V87" s="11">
        <f>Electricity!V87*Electricity!$B$82</f>
        <v>173539.13273107182</v>
      </c>
      <c r="W87" s="11">
        <f>Electricity!W87*Electricity!$B$82</f>
        <v>174265.90073427637</v>
      </c>
      <c r="X87" s="11">
        <f>Electricity!X87*Electricity!$B$82</f>
        <v>174992.66873748091</v>
      </c>
      <c r="Y87" s="11">
        <f>Electricity!Y87*Electricity!$B$82</f>
        <v>175719.43674068543</v>
      </c>
      <c r="Z87" s="11">
        <f>Electricity!Z87*Electricity!$B$82</f>
        <v>176233.67502472</v>
      </c>
      <c r="AA87" s="11">
        <f>Electricity!AA87*Electricity!$B$82</f>
        <v>176747.91330875453</v>
      </c>
      <c r="AB87" s="11">
        <f>Electricity!AB87*Electricity!$B$82</f>
        <v>177262.15159278907</v>
      </c>
      <c r="AC87" s="11">
        <f>Electricity!AC87*Electricity!$B$82</f>
        <v>177776.38987682364</v>
      </c>
      <c r="AD87" s="11">
        <f>Electricity!AD87*Electricity!$B$82</f>
        <v>178290.62816085818</v>
      </c>
      <c r="AE87" s="11">
        <f>Electricity!AE87*Electricity!$B$82</f>
        <v>178290.62816085818</v>
      </c>
      <c r="AF87" s="11">
        <f>Electricity!AF87*Electricity!$B$82</f>
        <v>178290.62816085818</v>
      </c>
      <c r="AG87" s="11">
        <f>Electricity!AG87*Electricity!$B$82</f>
        <v>178290.62816085818</v>
      </c>
      <c r="AH87" s="11">
        <f>Electricity!AH87*Electricity!$B$82</f>
        <v>178290.62816085818</v>
      </c>
      <c r="AI87" s="11">
        <f>Electricity!AI87*Electricity!$B$82</f>
        <v>178290.62816085818</v>
      </c>
      <c r="AJ87" s="11">
        <f>Electricity!AJ87*Electricity!$B$82</f>
        <v>178290.62816085818</v>
      </c>
      <c r="AK87" s="11">
        <f>Electricity!AK87*Electricity!$B$82</f>
        <v>178290.62816085818</v>
      </c>
      <c r="AL87" s="11">
        <f>Electricity!AL87*Electricity!$B$82</f>
        <v>178290.62816085818</v>
      </c>
      <c r="AM87" s="11">
        <f>Electricity!AM87*Electricity!$B$82</f>
        <v>178290.62816085818</v>
      </c>
      <c r="AN87" s="11">
        <f>Electricity!AN87*Electricity!$B$82</f>
        <v>178290.62816085818</v>
      </c>
    </row>
    <row r="89" spans="1:40" x14ac:dyDescent="0.2">
      <c r="A89" s="5" t="s">
        <v>157</v>
      </c>
    </row>
    <row r="90" spans="1:40" x14ac:dyDescent="0.2">
      <c r="A90" s="5" t="s">
        <v>4</v>
      </c>
    </row>
    <row r="91" spans="1:40" x14ac:dyDescent="0.2">
      <c r="A91" s="5" t="s">
        <v>59</v>
      </c>
    </row>
    <row r="92" spans="1:40" x14ac:dyDescent="0.2">
      <c r="A92" s="5" t="s">
        <v>6</v>
      </c>
    </row>
    <row r="93" spans="1:40" x14ac:dyDescent="0.2">
      <c r="A93" s="5"/>
    </row>
    <row r="94" spans="1:40" x14ac:dyDescent="0.2">
      <c r="A94" s="6" t="s">
        <v>7</v>
      </c>
      <c r="B94" s="6">
        <v>2022</v>
      </c>
      <c r="C94" s="6">
        <v>2023</v>
      </c>
      <c r="D94" s="6">
        <v>2024</v>
      </c>
      <c r="E94" s="6">
        <v>2025</v>
      </c>
      <c r="F94" s="6">
        <v>2026</v>
      </c>
      <c r="G94" s="6">
        <v>2027</v>
      </c>
      <c r="H94" s="6">
        <v>2028</v>
      </c>
      <c r="I94" s="6">
        <v>2029</v>
      </c>
      <c r="J94" s="6">
        <v>2030</v>
      </c>
      <c r="K94" s="6">
        <v>2031</v>
      </c>
      <c r="L94" s="6">
        <v>2032</v>
      </c>
      <c r="M94" s="6">
        <v>2033</v>
      </c>
      <c r="N94" s="6">
        <v>2034</v>
      </c>
      <c r="O94" s="6">
        <v>2035</v>
      </c>
      <c r="P94" s="6">
        <v>2036</v>
      </c>
      <c r="Q94" s="6">
        <v>2037</v>
      </c>
      <c r="R94" s="6">
        <v>2038</v>
      </c>
      <c r="S94" s="6">
        <v>2039</v>
      </c>
      <c r="T94" s="6">
        <v>2040</v>
      </c>
      <c r="U94" s="6">
        <v>2041</v>
      </c>
      <c r="V94" s="6">
        <v>2042</v>
      </c>
      <c r="W94" s="6">
        <v>2043</v>
      </c>
      <c r="X94" s="6">
        <v>2044</v>
      </c>
      <c r="Y94" s="6">
        <v>2045</v>
      </c>
      <c r="Z94" s="6">
        <v>2046</v>
      </c>
      <c r="AA94" s="6">
        <v>2047</v>
      </c>
      <c r="AB94" s="6">
        <v>2048</v>
      </c>
      <c r="AC94" s="6">
        <v>2049</v>
      </c>
      <c r="AD94" s="6">
        <v>2050</v>
      </c>
      <c r="AE94" s="6">
        <v>2051</v>
      </c>
      <c r="AF94" s="6">
        <v>2052</v>
      </c>
      <c r="AG94" s="6">
        <v>2053</v>
      </c>
      <c r="AH94" s="6">
        <v>2054</v>
      </c>
      <c r="AI94" s="6">
        <v>2055</v>
      </c>
      <c r="AJ94" s="6">
        <v>2056</v>
      </c>
      <c r="AK94" s="6">
        <v>2057</v>
      </c>
      <c r="AL94" s="6">
        <v>2058</v>
      </c>
      <c r="AM94" s="6">
        <v>2059</v>
      </c>
      <c r="AN94" s="6">
        <v>2060</v>
      </c>
    </row>
    <row r="95" spans="1:40" x14ac:dyDescent="0.2">
      <c r="A95" s="6" t="s">
        <v>34</v>
      </c>
      <c r="B95" s="11">
        <f>Electricity!B95*Electricity!$B$93</f>
        <v>552817.17540000007</v>
      </c>
      <c r="C95" s="11">
        <f>Electricity!C95*Electricity!$B$93</f>
        <v>554707.50193895726</v>
      </c>
      <c r="D95" s="11">
        <f>Electricity!D95*Electricity!$B$93</f>
        <v>556597.82847791433</v>
      </c>
      <c r="E95" s="11">
        <f>Electricity!E95*Electricity!$B$93</f>
        <v>558488.1550168714</v>
      </c>
      <c r="F95" s="11">
        <f>Electricity!F95*Electricity!$B$93</f>
        <v>563544.75211465242</v>
      </c>
      <c r="G95" s="11">
        <f>Electricity!G95*Electricity!$B$93</f>
        <v>568601.34921243333</v>
      </c>
      <c r="H95" s="11">
        <f>Electricity!H95*Electricity!$B$93</f>
        <v>573657.94631021447</v>
      </c>
      <c r="I95" s="11">
        <f>Electricity!I95*Electricity!$B$93</f>
        <v>578714.54340799537</v>
      </c>
      <c r="J95" s="11">
        <f>Electricity!J95*Electricity!$B$93</f>
        <v>583771.14050577639</v>
      </c>
      <c r="K95" s="11">
        <f>Electricity!K95*Electricity!$B$93</f>
        <v>588018.2912506616</v>
      </c>
      <c r="L95" s="11">
        <f>Electricity!L95*Electricity!$B$93</f>
        <v>592265.4419955468</v>
      </c>
      <c r="M95" s="11">
        <f>Electricity!M95*Electricity!$B$93</f>
        <v>596512.59274043201</v>
      </c>
      <c r="N95" s="11">
        <f>Electricity!N95*Electricity!$B$93</f>
        <v>600759.74348531722</v>
      </c>
      <c r="O95" s="11">
        <f>Electricity!O95*Electricity!$B$93</f>
        <v>605006.89423020254</v>
      </c>
      <c r="P95" s="11">
        <f>Electricity!P95*Electricity!$B$93</f>
        <v>608435.24113898177</v>
      </c>
      <c r="Q95" s="11">
        <f>Electricity!Q95*Electricity!$B$93</f>
        <v>611863.58804776135</v>
      </c>
      <c r="R95" s="11">
        <f>Electricity!R95*Electricity!$B$93</f>
        <v>615291.93495654082</v>
      </c>
      <c r="S95" s="11">
        <f>Electricity!S95*Electricity!$B$93</f>
        <v>618720.2818653204</v>
      </c>
      <c r="T95" s="11">
        <f>Electricity!T95*Electricity!$B$93</f>
        <v>622148.62877409987</v>
      </c>
      <c r="U95" s="11">
        <f>Electricity!U95*Electricity!$B$93</f>
        <v>624776.14511036838</v>
      </c>
      <c r="V95" s="11">
        <f>Electricity!V95*Electricity!$B$93</f>
        <v>627403.66144663701</v>
      </c>
      <c r="W95" s="11">
        <f>Electricity!W95*Electricity!$B$93</f>
        <v>630031.17778290552</v>
      </c>
      <c r="X95" s="11">
        <f>Electricity!X95*Electricity!$B$93</f>
        <v>632658.69411917427</v>
      </c>
      <c r="Y95" s="11">
        <f>Electricity!Y95*Electricity!$B$93</f>
        <v>635286.2104554429</v>
      </c>
      <c r="Z95" s="11">
        <f>Electricity!Z95*Electricity!$B$93</f>
        <v>637145.35874771478</v>
      </c>
      <c r="AA95" s="11">
        <f>Electricity!AA95*Electricity!$B$93</f>
        <v>639004.50703998655</v>
      </c>
      <c r="AB95" s="11">
        <f>Electricity!AB95*Electricity!$B$93</f>
        <v>640863.65533225844</v>
      </c>
      <c r="AC95" s="11">
        <f>Electricity!AC95*Electricity!$B$93</f>
        <v>642722.80362453021</v>
      </c>
      <c r="AD95" s="11">
        <f>Electricity!AD95*Electricity!$B$93</f>
        <v>644581.95191680221</v>
      </c>
      <c r="AE95" s="11">
        <f>Electricity!AE95*Electricity!$B$93</f>
        <v>644581.95191680221</v>
      </c>
      <c r="AF95" s="11">
        <f>Electricity!AF95*Electricity!$B$93</f>
        <v>644581.95191680221</v>
      </c>
      <c r="AG95" s="11">
        <f>Electricity!AG95*Electricity!$B$93</f>
        <v>644581.95191680221</v>
      </c>
      <c r="AH95" s="11">
        <f>Electricity!AH95*Electricity!$B$93</f>
        <v>644581.95191680221</v>
      </c>
      <c r="AI95" s="11">
        <f>Electricity!AI95*Electricity!$B$93</f>
        <v>644581.95191680221</v>
      </c>
      <c r="AJ95" s="11">
        <f>Electricity!AJ95*Electricity!$B$93</f>
        <v>644581.95191680221</v>
      </c>
      <c r="AK95" s="11">
        <f>Electricity!AK95*Electricity!$B$93</f>
        <v>644581.95191680221</v>
      </c>
      <c r="AL95" s="11">
        <f>Electricity!AL95*Electricity!$B$93</f>
        <v>644581.95191680221</v>
      </c>
      <c r="AM95" s="11">
        <f>Electricity!AM95*Electricity!$B$93</f>
        <v>644581.95191680221</v>
      </c>
      <c r="AN95" s="11">
        <f>Electricity!AN95*Electricity!$B$93</f>
        <v>644581.95191680221</v>
      </c>
    </row>
    <row r="96" spans="1:40" x14ac:dyDescent="0.2">
      <c r="A96" s="6" t="s">
        <v>35</v>
      </c>
      <c r="B96" s="11">
        <f>Electricity!B96*Electricity!$B$93</f>
        <v>233584.72199999998</v>
      </c>
      <c r="C96" s="11">
        <f>Electricity!C96*Electricity!$B$93</f>
        <v>234383.45152350306</v>
      </c>
      <c r="D96" s="11">
        <f>Electricity!D96*Electricity!$B$93</f>
        <v>235182.18104700602</v>
      </c>
      <c r="E96" s="11">
        <f>Electricity!E96*Electricity!$B$93</f>
        <v>235980.910570509</v>
      </c>
      <c r="F96" s="11">
        <f>Electricity!F96*Electricity!$B$93</f>
        <v>238117.50089351507</v>
      </c>
      <c r="G96" s="11">
        <f>Electricity!G96*Electricity!$B$93</f>
        <v>240254.09121652113</v>
      </c>
      <c r="H96" s="11">
        <f>Electricity!H96*Electricity!$B$93</f>
        <v>242390.6815395272</v>
      </c>
      <c r="I96" s="11">
        <f>Electricity!I96*Electricity!$B$93</f>
        <v>244527.27186253323</v>
      </c>
      <c r="J96" s="11">
        <f>Electricity!J96*Electricity!$B$93</f>
        <v>246663.8621855393</v>
      </c>
      <c r="K96" s="11">
        <f>Electricity!K96*Electricity!$B$93</f>
        <v>248458.43292281474</v>
      </c>
      <c r="L96" s="11">
        <f>Electricity!L96*Electricity!$B$93</f>
        <v>250253.00366009018</v>
      </c>
      <c r="M96" s="11">
        <f>Electricity!M96*Electricity!$B$93</f>
        <v>252047.57439736562</v>
      </c>
      <c r="N96" s="11">
        <f>Electricity!N96*Electricity!$B$93</f>
        <v>253842.14513464106</v>
      </c>
      <c r="O96" s="11">
        <f>Electricity!O96*Electricity!$B$93</f>
        <v>255636.71587191653</v>
      </c>
      <c r="P96" s="11">
        <f>Electricity!P96*Electricity!$B$93</f>
        <v>257085.3131573163</v>
      </c>
      <c r="Q96" s="11">
        <f>Electricity!Q96*Electricity!$B$93</f>
        <v>258533.91044271609</v>
      </c>
      <c r="R96" s="11">
        <f>Electricity!R96*Electricity!$B$93</f>
        <v>259982.50772811589</v>
      </c>
      <c r="S96" s="11">
        <f>Electricity!S96*Electricity!$B$93</f>
        <v>261431.1050135156</v>
      </c>
      <c r="T96" s="11">
        <f>Electricity!T96*Electricity!$B$93</f>
        <v>262879.70229891536</v>
      </c>
      <c r="U96" s="11">
        <f>Electricity!U96*Electricity!$B$93</f>
        <v>263989.92046916974</v>
      </c>
      <c r="V96" s="11">
        <f>Electricity!V96*Electricity!$B$93</f>
        <v>265100.13863942411</v>
      </c>
      <c r="W96" s="11">
        <f>Electricity!W96*Electricity!$B$93</f>
        <v>266210.35680967837</v>
      </c>
      <c r="X96" s="11">
        <f>Electricity!X96*Electricity!$B$93</f>
        <v>267320.57497993275</v>
      </c>
      <c r="Y96" s="11">
        <f>Electricity!Y96*Electricity!$B$93</f>
        <v>268430.79315018712</v>
      </c>
      <c r="Z96" s="11">
        <f>Electricity!Z96*Electricity!$B$93</f>
        <v>269216.34876664</v>
      </c>
      <c r="AA96" s="11">
        <f>Electricity!AA96*Electricity!$B$93</f>
        <v>270001.90438309289</v>
      </c>
      <c r="AB96" s="11">
        <f>Electricity!AB96*Electricity!$B$93</f>
        <v>270787.45999954583</v>
      </c>
      <c r="AC96" s="11">
        <f>Electricity!AC96*Electricity!$B$93</f>
        <v>271573.01561599871</v>
      </c>
      <c r="AD96" s="11">
        <f>Electricity!AD96*Electricity!$B$93</f>
        <v>272358.57123245165</v>
      </c>
      <c r="AE96" s="11">
        <f>Electricity!AE96*Electricity!$B$93</f>
        <v>272358.57123245165</v>
      </c>
      <c r="AF96" s="11">
        <f>Electricity!AF96*Electricity!$B$93</f>
        <v>272358.57123245165</v>
      </c>
      <c r="AG96" s="11">
        <f>Electricity!AG96*Electricity!$B$93</f>
        <v>272358.57123245165</v>
      </c>
      <c r="AH96" s="11">
        <f>Electricity!AH96*Electricity!$B$93</f>
        <v>272358.57123245165</v>
      </c>
      <c r="AI96" s="11">
        <f>Electricity!AI96*Electricity!$B$93</f>
        <v>272358.57123245165</v>
      </c>
      <c r="AJ96" s="11">
        <f>Electricity!AJ96*Electricity!$B$93</f>
        <v>272358.57123245165</v>
      </c>
      <c r="AK96" s="11">
        <f>Electricity!AK96*Electricity!$B$93</f>
        <v>272358.57123245165</v>
      </c>
      <c r="AL96" s="11">
        <f>Electricity!AL96*Electricity!$B$93</f>
        <v>272358.57123245165</v>
      </c>
      <c r="AM96" s="11">
        <f>Electricity!AM96*Electricity!$B$93</f>
        <v>272358.57123245165</v>
      </c>
      <c r="AN96" s="11">
        <f>Electricity!AN96*Electricity!$B$93</f>
        <v>272358.57123245165</v>
      </c>
    </row>
    <row r="97" spans="1:40" x14ac:dyDescent="0.2">
      <c r="A97" s="6" t="s">
        <v>36</v>
      </c>
      <c r="B97" s="11">
        <f>Electricity!B97*Electricity!$B$93</f>
        <v>42391.301399999997</v>
      </c>
      <c r="C97" s="11">
        <f>Electricity!C97*Electricity!$B$93</f>
        <v>42536.256017228327</v>
      </c>
      <c r="D97" s="11">
        <f>Electricity!D97*Electricity!$B$93</f>
        <v>42681.210634456642</v>
      </c>
      <c r="E97" s="11">
        <f>Electricity!E97*Electricity!$B$93</f>
        <v>42826.165251684964</v>
      </c>
      <c r="F97" s="11">
        <f>Electricity!F97*Electricity!$B$93</f>
        <v>43213.916828823101</v>
      </c>
      <c r="G97" s="11">
        <f>Electricity!G97*Electricity!$B$93</f>
        <v>43601.668405961245</v>
      </c>
      <c r="H97" s="11">
        <f>Electricity!H97*Electricity!$B$93</f>
        <v>43989.419983099375</v>
      </c>
      <c r="I97" s="11">
        <f>Electricity!I97*Electricity!$B$93</f>
        <v>44377.171560237512</v>
      </c>
      <c r="J97" s="11">
        <f>Electricity!J97*Electricity!$B$93</f>
        <v>44764.923137375648</v>
      </c>
      <c r="K97" s="11">
        <f>Electricity!K97*Electricity!$B$93</f>
        <v>45090.604493399711</v>
      </c>
      <c r="L97" s="11">
        <f>Electricity!L97*Electricity!$B$93</f>
        <v>45416.285849423773</v>
      </c>
      <c r="M97" s="11">
        <f>Electricity!M97*Electricity!$B$93</f>
        <v>45741.967205447836</v>
      </c>
      <c r="N97" s="11">
        <f>Electricity!N97*Electricity!$B$93</f>
        <v>46067.648561471891</v>
      </c>
      <c r="O97" s="11">
        <f>Electricity!O97*Electricity!$B$93</f>
        <v>46393.329917495961</v>
      </c>
      <c r="P97" s="11">
        <f>Electricity!P97*Electricity!$B$93</f>
        <v>46656.223498920357</v>
      </c>
      <c r="Q97" s="11">
        <f>Electricity!Q97*Electricity!$B$93</f>
        <v>46919.117080344768</v>
      </c>
      <c r="R97" s="11">
        <f>Electricity!R97*Electricity!$B$93</f>
        <v>47182.010661769171</v>
      </c>
      <c r="S97" s="11">
        <f>Electricity!S97*Electricity!$B$93</f>
        <v>47444.904243193574</v>
      </c>
      <c r="T97" s="11">
        <f>Electricity!T97*Electricity!$B$93</f>
        <v>47707.79782461797</v>
      </c>
      <c r="U97" s="11">
        <f>Electricity!U97*Electricity!$B$93</f>
        <v>47909.281862923388</v>
      </c>
      <c r="V97" s="11">
        <f>Electricity!V97*Electricity!$B$93</f>
        <v>48110.765901228813</v>
      </c>
      <c r="W97" s="11">
        <f>Electricity!W97*Electricity!$B$93</f>
        <v>48312.249939534224</v>
      </c>
      <c r="X97" s="11">
        <f>Electricity!X97*Electricity!$B$93</f>
        <v>48513.733977839649</v>
      </c>
      <c r="Y97" s="11">
        <f>Electricity!Y97*Electricity!$B$93</f>
        <v>48715.218016145067</v>
      </c>
      <c r="Z97" s="11">
        <f>Electricity!Z97*Electricity!$B$93</f>
        <v>48857.781813205038</v>
      </c>
      <c r="AA97" s="11">
        <f>Electricity!AA97*Electricity!$B$93</f>
        <v>49000.345610265009</v>
      </c>
      <c r="AB97" s="11">
        <f>Electricity!AB97*Electricity!$B$93</f>
        <v>49142.909407324973</v>
      </c>
      <c r="AC97" s="11">
        <f>Electricity!AC97*Electricity!$B$93</f>
        <v>49285.473204384944</v>
      </c>
      <c r="AD97" s="11">
        <f>Electricity!AD97*Electricity!$B$93</f>
        <v>49428.037001444922</v>
      </c>
      <c r="AE97" s="11">
        <f>Electricity!AE97*Electricity!$B$93</f>
        <v>49428.037001444922</v>
      </c>
      <c r="AF97" s="11">
        <f>Electricity!AF97*Electricity!$B$93</f>
        <v>49428.037001444922</v>
      </c>
      <c r="AG97" s="11">
        <f>Electricity!AG97*Electricity!$B$93</f>
        <v>49428.037001444922</v>
      </c>
      <c r="AH97" s="11">
        <f>Electricity!AH97*Electricity!$B$93</f>
        <v>49428.037001444922</v>
      </c>
      <c r="AI97" s="11">
        <f>Electricity!AI97*Electricity!$B$93</f>
        <v>49428.037001444922</v>
      </c>
      <c r="AJ97" s="11">
        <f>Electricity!AJ97*Electricity!$B$93</f>
        <v>49428.037001444922</v>
      </c>
      <c r="AK97" s="11">
        <f>Electricity!AK97*Electricity!$B$93</f>
        <v>49428.037001444922</v>
      </c>
      <c r="AL97" s="11">
        <f>Electricity!AL97*Electricity!$B$93</f>
        <v>49428.037001444922</v>
      </c>
      <c r="AM97" s="11">
        <f>Electricity!AM97*Electricity!$B$93</f>
        <v>49428.037001444922</v>
      </c>
      <c r="AN97" s="11">
        <f>Electricity!AN97*Electricity!$B$93</f>
        <v>49428.037001444922</v>
      </c>
    </row>
    <row r="98" spans="1:40" x14ac:dyDescent="0.2">
      <c r="A98" s="6" t="s">
        <v>37</v>
      </c>
      <c r="B98" s="11">
        <f>Electricity!B98*Electricity!$B$93</f>
        <v>36335.4012</v>
      </c>
      <c r="C98" s="11">
        <f>Electricity!C98*Electricity!$B$93</f>
        <v>36459.648014767139</v>
      </c>
      <c r="D98" s="11">
        <f>Electricity!D98*Electricity!$B$93</f>
        <v>36583.894829534263</v>
      </c>
      <c r="E98" s="11">
        <f>Electricity!E98*Electricity!$B$93</f>
        <v>36708.141644301402</v>
      </c>
      <c r="F98" s="11">
        <f>Electricity!F98*Electricity!$B$93</f>
        <v>37040.500138991236</v>
      </c>
      <c r="G98" s="11">
        <f>Electricity!G98*Electricity!$B$93</f>
        <v>37372.858633681062</v>
      </c>
      <c r="H98" s="11">
        <f>Electricity!H98*Electricity!$B$93</f>
        <v>37705.217128370896</v>
      </c>
      <c r="I98" s="11">
        <f>Electricity!I98*Electricity!$B$93</f>
        <v>38037.575623060729</v>
      </c>
      <c r="J98" s="11">
        <f>Electricity!J98*Electricity!$B$93</f>
        <v>38369.934117750556</v>
      </c>
      <c r="K98" s="11">
        <f>Electricity!K98*Electricity!$B$93</f>
        <v>38649.089565771181</v>
      </c>
      <c r="L98" s="11">
        <f>Electricity!L98*Electricity!$B$93</f>
        <v>38928.245013791806</v>
      </c>
      <c r="M98" s="11">
        <f>Electricity!M98*Electricity!$B$93</f>
        <v>39207.400461812431</v>
      </c>
      <c r="N98" s="11">
        <f>Electricity!N98*Electricity!$B$93</f>
        <v>39486.555909833049</v>
      </c>
      <c r="O98" s="11">
        <f>Electricity!O98*Electricity!$B$93</f>
        <v>39765.711357853681</v>
      </c>
      <c r="P98" s="11">
        <f>Electricity!P98*Electricity!$B$93</f>
        <v>39991.048713360309</v>
      </c>
      <c r="Q98" s="11">
        <f>Electricity!Q98*Electricity!$B$93</f>
        <v>40216.386068866937</v>
      </c>
      <c r="R98" s="11">
        <f>Electricity!R98*Electricity!$B$93</f>
        <v>40441.723424373573</v>
      </c>
      <c r="S98" s="11">
        <f>Electricity!S98*Electricity!$B$93</f>
        <v>40667.060779880208</v>
      </c>
      <c r="T98" s="11">
        <f>Electricity!T98*Electricity!$B$93</f>
        <v>40892.398135386837</v>
      </c>
      <c r="U98" s="11">
        <f>Electricity!U98*Electricity!$B$93</f>
        <v>41065.098739648623</v>
      </c>
      <c r="V98" s="11">
        <f>Electricity!V98*Electricity!$B$93</f>
        <v>41237.79934391041</v>
      </c>
      <c r="W98" s="11">
        <f>Electricity!W98*Electricity!$B$93</f>
        <v>41410.49994817219</v>
      </c>
      <c r="X98" s="11">
        <f>Electricity!X98*Electricity!$B$93</f>
        <v>41583.200552433984</v>
      </c>
      <c r="Y98" s="11">
        <f>Electricity!Y98*Electricity!$B$93</f>
        <v>41755.901156695771</v>
      </c>
      <c r="Z98" s="11">
        <f>Electricity!Z98*Electricity!$B$93</f>
        <v>41878.098697032889</v>
      </c>
      <c r="AA98" s="11">
        <f>Electricity!AA98*Electricity!$B$93</f>
        <v>42000.296237370007</v>
      </c>
      <c r="AB98" s="11">
        <f>Electricity!AB98*Electricity!$B$93</f>
        <v>42122.493777707117</v>
      </c>
      <c r="AC98" s="11">
        <f>Electricity!AC98*Electricity!$B$93</f>
        <v>42244.691318044235</v>
      </c>
      <c r="AD98" s="11">
        <f>Electricity!AD98*Electricity!$B$93</f>
        <v>42366.88885838136</v>
      </c>
      <c r="AE98" s="11">
        <f>Electricity!AE98*Electricity!$B$93</f>
        <v>42366.88885838136</v>
      </c>
      <c r="AF98" s="11">
        <f>Electricity!AF98*Electricity!$B$93</f>
        <v>42366.88885838136</v>
      </c>
      <c r="AG98" s="11">
        <f>Electricity!AG98*Electricity!$B$93</f>
        <v>42366.88885838136</v>
      </c>
      <c r="AH98" s="11">
        <f>Electricity!AH98*Electricity!$B$93</f>
        <v>42366.88885838136</v>
      </c>
      <c r="AI98" s="11">
        <f>Electricity!AI98*Electricity!$B$93</f>
        <v>42366.88885838136</v>
      </c>
      <c r="AJ98" s="11">
        <f>Electricity!AJ98*Electricity!$B$93</f>
        <v>42366.88885838136</v>
      </c>
      <c r="AK98" s="11">
        <f>Electricity!AK98*Electricity!$B$93</f>
        <v>42366.88885838136</v>
      </c>
      <c r="AL98" s="11">
        <f>Electricity!AL98*Electricity!$B$93</f>
        <v>42366.88885838136</v>
      </c>
      <c r="AM98" s="11">
        <f>Electricity!AM98*Electricity!$B$93</f>
        <v>42366.88885838136</v>
      </c>
      <c r="AN98" s="11">
        <f>Electricity!AN98*Electricity!$B$93</f>
        <v>42366.88885838136</v>
      </c>
    </row>
    <row r="100" spans="1:40" x14ac:dyDescent="0.2">
      <c r="A100" s="5" t="s">
        <v>157</v>
      </c>
    </row>
    <row r="101" spans="1:40" x14ac:dyDescent="0.2">
      <c r="A101" s="5" t="s">
        <v>4</v>
      </c>
    </row>
    <row r="102" spans="1:40" x14ac:dyDescent="0.2">
      <c r="A102" s="5" t="s">
        <v>61</v>
      </c>
    </row>
    <row r="103" spans="1:40" x14ac:dyDescent="0.2">
      <c r="A103" s="5" t="s">
        <v>6</v>
      </c>
    </row>
    <row r="104" spans="1:40" x14ac:dyDescent="0.2">
      <c r="A104" s="5"/>
    </row>
    <row r="105" spans="1:40" x14ac:dyDescent="0.2">
      <c r="A105" s="6" t="s">
        <v>7</v>
      </c>
      <c r="B105" s="6">
        <v>2022</v>
      </c>
      <c r="C105" s="6">
        <v>2023</v>
      </c>
      <c r="D105" s="6">
        <v>2024</v>
      </c>
      <c r="E105" s="6">
        <v>2025</v>
      </c>
      <c r="F105" s="6">
        <v>2026</v>
      </c>
      <c r="G105" s="6">
        <v>2027</v>
      </c>
      <c r="H105" s="6">
        <v>2028</v>
      </c>
      <c r="I105" s="6">
        <v>2029</v>
      </c>
      <c r="J105" s="6">
        <v>2030</v>
      </c>
      <c r="K105" s="6">
        <v>2031</v>
      </c>
      <c r="L105" s="6">
        <v>2032</v>
      </c>
      <c r="M105" s="6">
        <v>2033</v>
      </c>
      <c r="N105" s="6">
        <v>2034</v>
      </c>
      <c r="O105" s="6">
        <v>2035</v>
      </c>
      <c r="P105" s="6">
        <v>2036</v>
      </c>
      <c r="Q105" s="6">
        <v>2037</v>
      </c>
      <c r="R105" s="6">
        <v>2038</v>
      </c>
      <c r="S105" s="6">
        <v>2039</v>
      </c>
      <c r="T105" s="6">
        <v>2040</v>
      </c>
      <c r="U105" s="6">
        <v>2041</v>
      </c>
      <c r="V105" s="6">
        <v>2042</v>
      </c>
      <c r="W105" s="6">
        <v>2043</v>
      </c>
      <c r="X105" s="6">
        <v>2044</v>
      </c>
      <c r="Y105" s="6">
        <v>2045</v>
      </c>
      <c r="Z105" s="6">
        <v>2046</v>
      </c>
      <c r="AA105" s="6">
        <v>2047</v>
      </c>
      <c r="AB105" s="6">
        <v>2048</v>
      </c>
      <c r="AC105" s="6">
        <v>2049</v>
      </c>
      <c r="AD105" s="6">
        <v>2050</v>
      </c>
      <c r="AE105" s="6">
        <v>2051</v>
      </c>
      <c r="AF105" s="6">
        <v>2052</v>
      </c>
      <c r="AG105" s="6">
        <v>2053</v>
      </c>
      <c r="AH105" s="6">
        <v>2054</v>
      </c>
      <c r="AI105" s="6">
        <v>2055</v>
      </c>
      <c r="AJ105" s="6">
        <v>2056</v>
      </c>
      <c r="AK105" s="6">
        <v>2057</v>
      </c>
      <c r="AL105" s="6">
        <v>2058</v>
      </c>
      <c r="AM105" s="6">
        <v>2059</v>
      </c>
      <c r="AN105" s="6">
        <v>2060</v>
      </c>
    </row>
    <row r="106" spans="1:40" x14ac:dyDescent="0.2">
      <c r="A106" s="6" t="s">
        <v>34</v>
      </c>
      <c r="B106" s="11">
        <f>Electricity!B106*Electricity!$B$104</f>
        <v>2409580.8946800004</v>
      </c>
      <c r="C106" s="11">
        <f>Electricity!C106*Electricity!$B$104</f>
        <v>2417820.3179752007</v>
      </c>
      <c r="D106" s="11">
        <f>Electricity!D106*Electricity!$B$104</f>
        <v>2426059.7412704006</v>
      </c>
      <c r="E106" s="11">
        <f>Electricity!E106*Electricity!$B$104</f>
        <v>2434299.1645656014</v>
      </c>
      <c r="F106" s="11">
        <f>Electricity!F106*Electricity!$B$104</f>
        <v>2456339.5068362472</v>
      </c>
      <c r="G106" s="11">
        <f>Electricity!G106*Electricity!$B$104</f>
        <v>2478379.849106892</v>
      </c>
      <c r="H106" s="11">
        <f>Electricity!H106*Electricity!$B$104</f>
        <v>2500420.1913775378</v>
      </c>
      <c r="I106" s="11">
        <f>Electricity!I106*Electricity!$B$104</f>
        <v>2522460.5336481826</v>
      </c>
      <c r="J106" s="11">
        <f>Electricity!J106*Electricity!$B$104</f>
        <v>2544500.8759188284</v>
      </c>
      <c r="K106" s="11">
        <f>Electricity!K106*Electricity!$B$104</f>
        <v>2563013.0599592328</v>
      </c>
      <c r="L106" s="11">
        <f>Electricity!L106*Electricity!$B$104</f>
        <v>2581525.2439996372</v>
      </c>
      <c r="M106" s="11">
        <f>Electricity!M106*Electricity!$B$104</f>
        <v>2600037.4280400416</v>
      </c>
      <c r="N106" s="11">
        <f>Electricity!N106*Electricity!$B$104</f>
        <v>2618549.6120804455</v>
      </c>
      <c r="O106" s="11">
        <f>Electricity!O106*Electricity!$B$104</f>
        <v>2637061.7961208508</v>
      </c>
      <c r="P106" s="11">
        <f>Electricity!P106*Electricity!$B$104</f>
        <v>2652005.0351867368</v>
      </c>
      <c r="Q106" s="11">
        <f>Electricity!Q106*Electricity!$B$104</f>
        <v>2666948.2742526238</v>
      </c>
      <c r="R106" s="11">
        <f>Electricity!R106*Electricity!$B$104</f>
        <v>2681891.5133185098</v>
      </c>
      <c r="S106" s="11">
        <f>Electricity!S106*Electricity!$B$104</f>
        <v>2696834.7523843958</v>
      </c>
      <c r="T106" s="11">
        <f>Electricity!T106*Electricity!$B$104</f>
        <v>2711777.9914502823</v>
      </c>
      <c r="U106" s="11">
        <f>Electricity!U106*Electricity!$B$104</f>
        <v>2723230.6261477321</v>
      </c>
      <c r="V106" s="11">
        <f>Electricity!V106*Electricity!$B$104</f>
        <v>2734683.2608451825</v>
      </c>
      <c r="W106" s="11">
        <f>Electricity!W106*Electricity!$B$104</f>
        <v>2746135.8955426323</v>
      </c>
      <c r="X106" s="11">
        <f>Electricity!X106*Electricity!$B$104</f>
        <v>2757588.5302400836</v>
      </c>
      <c r="Y106" s="11">
        <f>Electricity!Y106*Electricity!$B$104</f>
        <v>2769041.1649375339</v>
      </c>
      <c r="Z106" s="11">
        <f>Electricity!Z106*Electricity!$B$104</f>
        <v>2777144.6906686104</v>
      </c>
      <c r="AA106" s="11">
        <f>Electricity!AA106*Electricity!$B$104</f>
        <v>2785248.2163996878</v>
      </c>
      <c r="AB106" s="11">
        <f>Electricity!AB106*Electricity!$B$104</f>
        <v>2793351.7421307643</v>
      </c>
      <c r="AC106" s="11">
        <f>Electricity!AC106*Electricity!$B$104</f>
        <v>2801455.2678618417</v>
      </c>
      <c r="AD106" s="11">
        <f>Electricity!AD106*Electricity!$B$104</f>
        <v>2809558.7935929182</v>
      </c>
      <c r="AE106" s="11">
        <f>Electricity!AE106*Electricity!$B$104</f>
        <v>2809558.7935929182</v>
      </c>
      <c r="AF106" s="11">
        <f>Electricity!AF106*Electricity!$B$104</f>
        <v>2809558.7935929182</v>
      </c>
      <c r="AG106" s="11">
        <f>Electricity!AG106*Electricity!$B$104</f>
        <v>2809558.7935929182</v>
      </c>
      <c r="AH106" s="11">
        <f>Electricity!AH106*Electricity!$B$104</f>
        <v>2809558.7935929182</v>
      </c>
      <c r="AI106" s="11">
        <f>Electricity!AI106*Electricity!$B$104</f>
        <v>2809558.7935929182</v>
      </c>
      <c r="AJ106" s="11">
        <f>Electricity!AJ106*Electricity!$B$104</f>
        <v>2809558.7935929182</v>
      </c>
      <c r="AK106" s="11">
        <f>Electricity!AK106*Electricity!$B$104</f>
        <v>2809558.7935929182</v>
      </c>
      <c r="AL106" s="11">
        <f>Electricity!AL106*Electricity!$B$104</f>
        <v>2809558.7935929182</v>
      </c>
      <c r="AM106" s="11">
        <f>Electricity!AM106*Electricity!$B$104</f>
        <v>2809558.7935929182</v>
      </c>
      <c r="AN106" s="11">
        <f>Electricity!AN106*Electricity!$B$104</f>
        <v>2809558.7935929182</v>
      </c>
    </row>
    <row r="107" spans="1:40" x14ac:dyDescent="0.2">
      <c r="A107" s="6" t="s">
        <v>35</v>
      </c>
      <c r="B107" s="11">
        <f>Electricity!B107*Electricity!$B$104</f>
        <v>1018132.7724</v>
      </c>
      <c r="C107" s="11">
        <f>Electricity!C107*Electricity!$B$104</f>
        <v>1021614.2188627608</v>
      </c>
      <c r="D107" s="11">
        <f>Electricity!D107*Electricity!$B$104</f>
        <v>1025095.6653255214</v>
      </c>
      <c r="E107" s="11">
        <f>Electricity!E107*Electricity!$B$104</f>
        <v>1028577.1117882821</v>
      </c>
      <c r="F107" s="11">
        <f>Electricity!F107*Electricity!$B$104</f>
        <v>1037889.9324660196</v>
      </c>
      <c r="G107" s="11">
        <f>Electricity!G107*Electricity!$B$104</f>
        <v>1047202.753143757</v>
      </c>
      <c r="H107" s="11">
        <f>Electricity!H107*Electricity!$B$104</f>
        <v>1056515.5738214946</v>
      </c>
      <c r="I107" s="11">
        <f>Electricity!I107*Electricity!$B$104</f>
        <v>1065828.3944992323</v>
      </c>
      <c r="J107" s="11">
        <f>Electricity!J107*Electricity!$B$104</f>
        <v>1075141.2151769698</v>
      </c>
      <c r="K107" s="11">
        <f>Electricity!K107*Electricity!$B$104</f>
        <v>1082963.2647715067</v>
      </c>
      <c r="L107" s="11">
        <f>Electricity!L107*Electricity!$B$104</f>
        <v>1090785.314366044</v>
      </c>
      <c r="M107" s="11">
        <f>Electricity!M107*Electricity!$B$104</f>
        <v>1098607.3639605809</v>
      </c>
      <c r="N107" s="11">
        <f>Electricity!N107*Electricity!$B$104</f>
        <v>1106429.4135551178</v>
      </c>
      <c r="O107" s="11">
        <f>Electricity!O107*Electricity!$B$104</f>
        <v>1114251.4631496554</v>
      </c>
      <c r="P107" s="11">
        <f>Electricity!P107*Electricity!$B$104</f>
        <v>1120565.5078253818</v>
      </c>
      <c r="Q107" s="11">
        <f>Electricity!Q107*Electricity!$B$104</f>
        <v>1126879.5525011085</v>
      </c>
      <c r="R107" s="11">
        <f>Electricity!R107*Electricity!$B$104</f>
        <v>1133193.5971768352</v>
      </c>
      <c r="S107" s="11">
        <f>Electricity!S107*Electricity!$B$104</f>
        <v>1139507.6418525616</v>
      </c>
      <c r="T107" s="11">
        <f>Electricity!T107*Electricity!$B$104</f>
        <v>1145821.6865282883</v>
      </c>
      <c r="U107" s="11">
        <f>Electricity!U107*Electricity!$B$104</f>
        <v>1150660.827949746</v>
      </c>
      <c r="V107" s="11">
        <f>Electricity!V107*Electricity!$B$104</f>
        <v>1155499.969371204</v>
      </c>
      <c r="W107" s="11">
        <f>Electricity!W107*Electricity!$B$104</f>
        <v>1160339.1107926616</v>
      </c>
      <c r="X107" s="11">
        <f>Electricity!X107*Electricity!$B$104</f>
        <v>1165178.2522141198</v>
      </c>
      <c r="Y107" s="11">
        <f>Electricity!Y107*Electricity!$B$104</f>
        <v>1170017.3936355775</v>
      </c>
      <c r="Z107" s="11">
        <f>Electricity!Z107*Electricity!$B$104</f>
        <v>1173441.4185923706</v>
      </c>
      <c r="AA107" s="11">
        <f>Electricity!AA107*Electricity!$B$104</f>
        <v>1176865.4435491639</v>
      </c>
      <c r="AB107" s="11">
        <f>Electricity!AB107*Electricity!$B$104</f>
        <v>1180289.4685059567</v>
      </c>
      <c r="AC107" s="11">
        <f>Electricity!AC107*Electricity!$B$104</f>
        <v>1183713.49346275</v>
      </c>
      <c r="AD107" s="11">
        <f>Electricity!AD107*Electricity!$B$104</f>
        <v>1187137.5184195428</v>
      </c>
      <c r="AE107" s="11">
        <f>Electricity!AE107*Electricity!$B$104</f>
        <v>1187137.5184195428</v>
      </c>
      <c r="AF107" s="11">
        <f>Electricity!AF107*Electricity!$B$104</f>
        <v>1187137.5184195428</v>
      </c>
      <c r="AG107" s="11">
        <f>Electricity!AG107*Electricity!$B$104</f>
        <v>1187137.5184195428</v>
      </c>
      <c r="AH107" s="11">
        <f>Electricity!AH107*Electricity!$B$104</f>
        <v>1187137.5184195428</v>
      </c>
      <c r="AI107" s="11">
        <f>Electricity!AI107*Electricity!$B$104</f>
        <v>1187137.5184195428</v>
      </c>
      <c r="AJ107" s="11">
        <f>Electricity!AJ107*Electricity!$B$104</f>
        <v>1187137.5184195428</v>
      </c>
      <c r="AK107" s="11">
        <f>Electricity!AK107*Electricity!$B$104</f>
        <v>1187137.5184195428</v>
      </c>
      <c r="AL107" s="11">
        <f>Electricity!AL107*Electricity!$B$104</f>
        <v>1187137.5184195428</v>
      </c>
      <c r="AM107" s="11">
        <f>Electricity!AM107*Electricity!$B$104</f>
        <v>1187137.5184195428</v>
      </c>
      <c r="AN107" s="11">
        <f>Electricity!AN107*Electricity!$B$104</f>
        <v>1187137.5184195428</v>
      </c>
    </row>
    <row r="108" spans="1:40" x14ac:dyDescent="0.2">
      <c r="A108" s="6" t="s">
        <v>36</v>
      </c>
      <c r="B108" s="11">
        <f>Electricity!B108*Electricity!$B$104</f>
        <v>184772.24387999999</v>
      </c>
      <c r="C108" s="11">
        <f>Electricity!C108*Electricity!$B$104</f>
        <v>185404.0619417603</v>
      </c>
      <c r="D108" s="11">
        <f>Electricity!D108*Electricity!$B$104</f>
        <v>186035.88000352055</v>
      </c>
      <c r="E108" s="11">
        <f>Electricity!E108*Electricity!$B$104</f>
        <v>186667.69806528083</v>
      </c>
      <c r="F108" s="11">
        <f>Electricity!F108*Electricity!$B$104</f>
        <v>188357.80255864802</v>
      </c>
      <c r="G108" s="11">
        <f>Electricity!G108*Electricity!$B$104</f>
        <v>190047.90705201519</v>
      </c>
      <c r="H108" s="11">
        <f>Electricity!H108*Electricity!$B$104</f>
        <v>191738.01154538235</v>
      </c>
      <c r="I108" s="11">
        <f>Electricity!I108*Electricity!$B$104</f>
        <v>193428.11603874955</v>
      </c>
      <c r="J108" s="11">
        <f>Electricity!J108*Electricity!$B$104</f>
        <v>195118.22053211671</v>
      </c>
      <c r="K108" s="11">
        <f>Electricity!K108*Electricity!$B$104</f>
        <v>196537.77768075492</v>
      </c>
      <c r="L108" s="11">
        <f>Electricity!L108*Electricity!$B$104</f>
        <v>197957.33482939313</v>
      </c>
      <c r="M108" s="11">
        <f>Electricity!M108*Electricity!$B$104</f>
        <v>199376.89197803134</v>
      </c>
      <c r="N108" s="11">
        <f>Electricity!N108*Electricity!$B$104</f>
        <v>200796.44912666953</v>
      </c>
      <c r="O108" s="11">
        <f>Electricity!O108*Electricity!$B$104</f>
        <v>202216.00627530779</v>
      </c>
      <c r="P108" s="11">
        <f>Electricity!P108*Electricity!$B$104</f>
        <v>203361.88845719889</v>
      </c>
      <c r="Q108" s="11">
        <f>Electricity!Q108*Electricity!$B$104</f>
        <v>204507.77063909007</v>
      </c>
      <c r="R108" s="11">
        <f>Electricity!R108*Electricity!$B$104</f>
        <v>205653.65282098117</v>
      </c>
      <c r="S108" s="11">
        <f>Electricity!S108*Electricity!$B$104</f>
        <v>206799.53500287229</v>
      </c>
      <c r="T108" s="11">
        <f>Electricity!T108*Electricity!$B$104</f>
        <v>207945.41718476341</v>
      </c>
      <c r="U108" s="11">
        <f>Electricity!U108*Electricity!$B$104</f>
        <v>208823.63173902797</v>
      </c>
      <c r="V108" s="11">
        <f>Electricity!V108*Electricity!$B$104</f>
        <v>209701.84629329253</v>
      </c>
      <c r="W108" s="11">
        <f>Electricity!W108*Electricity!$B$104</f>
        <v>210580.06084755709</v>
      </c>
      <c r="X108" s="11">
        <f>Electricity!X108*Electricity!$B$104</f>
        <v>211458.27540182174</v>
      </c>
      <c r="Y108" s="11">
        <f>Electricity!Y108*Electricity!$B$104</f>
        <v>212336.4899560863</v>
      </c>
      <c r="Z108" s="11">
        <f>Electricity!Z108*Electricity!$B$104</f>
        <v>212957.88707787465</v>
      </c>
      <c r="AA108" s="11">
        <f>Electricity!AA108*Electricity!$B$104</f>
        <v>213579.28419966303</v>
      </c>
      <c r="AB108" s="11">
        <f>Electricity!AB108*Electricity!$B$104</f>
        <v>214200.68132145138</v>
      </c>
      <c r="AC108" s="11">
        <f>Electricity!AC108*Electricity!$B$104</f>
        <v>214822.07844323976</v>
      </c>
      <c r="AD108" s="11">
        <f>Electricity!AD108*Electricity!$B$104</f>
        <v>215443.47556502814</v>
      </c>
      <c r="AE108" s="11">
        <f>Electricity!AE108*Electricity!$B$104</f>
        <v>215443.47556502814</v>
      </c>
      <c r="AF108" s="11">
        <f>Electricity!AF108*Electricity!$B$104</f>
        <v>215443.47556502814</v>
      </c>
      <c r="AG108" s="11">
        <f>Electricity!AG108*Electricity!$B$104</f>
        <v>215443.47556502814</v>
      </c>
      <c r="AH108" s="11">
        <f>Electricity!AH108*Electricity!$B$104</f>
        <v>215443.47556502814</v>
      </c>
      <c r="AI108" s="11">
        <f>Electricity!AI108*Electricity!$B$104</f>
        <v>215443.47556502814</v>
      </c>
      <c r="AJ108" s="11">
        <f>Electricity!AJ108*Electricity!$B$104</f>
        <v>215443.47556502814</v>
      </c>
      <c r="AK108" s="11">
        <f>Electricity!AK108*Electricity!$B$104</f>
        <v>215443.47556502814</v>
      </c>
      <c r="AL108" s="11">
        <f>Electricity!AL108*Electricity!$B$104</f>
        <v>215443.47556502814</v>
      </c>
      <c r="AM108" s="11">
        <f>Electricity!AM108*Electricity!$B$104</f>
        <v>215443.47556502814</v>
      </c>
      <c r="AN108" s="11">
        <f>Electricity!AN108*Electricity!$B$104</f>
        <v>215443.47556502814</v>
      </c>
    </row>
    <row r="109" spans="1:40" x14ac:dyDescent="0.2">
      <c r="A109" s="6" t="s">
        <v>37</v>
      </c>
      <c r="B109" s="11">
        <f>Electricity!B109*Electricity!$B$104</f>
        <v>158376.20903999999</v>
      </c>
      <c r="C109" s="11">
        <f>Electricity!C109*Electricity!$B$104</f>
        <v>158917.76737865168</v>
      </c>
      <c r="D109" s="11">
        <f>Electricity!D109*Electricity!$B$104</f>
        <v>159459.32571730332</v>
      </c>
      <c r="E109" s="11">
        <f>Electricity!E109*Electricity!$B$104</f>
        <v>160000.88405595502</v>
      </c>
      <c r="F109" s="11">
        <f>Electricity!F109*Electricity!$B$104</f>
        <v>161449.54505026972</v>
      </c>
      <c r="G109" s="11">
        <f>Electricity!G109*Electricity!$B$104</f>
        <v>162898.20604458445</v>
      </c>
      <c r="H109" s="11">
        <f>Electricity!H109*Electricity!$B$104</f>
        <v>164346.86703889916</v>
      </c>
      <c r="I109" s="11">
        <f>Electricity!I109*Electricity!$B$104</f>
        <v>165795.52803321389</v>
      </c>
      <c r="J109" s="11">
        <f>Electricity!J109*Electricity!$B$104</f>
        <v>167244.18902752863</v>
      </c>
      <c r="K109" s="11">
        <f>Electricity!K109*Electricity!$B$104</f>
        <v>168460.95229778992</v>
      </c>
      <c r="L109" s="11">
        <f>Electricity!L109*Electricity!$B$104</f>
        <v>169677.71556805127</v>
      </c>
      <c r="M109" s="11">
        <f>Electricity!M109*Electricity!$B$104</f>
        <v>170894.47883831259</v>
      </c>
      <c r="N109" s="11">
        <f>Electricity!N109*Electricity!$B$104</f>
        <v>172111.24210857388</v>
      </c>
      <c r="O109" s="11">
        <f>Electricity!O109*Electricity!$B$104</f>
        <v>173328.00537883525</v>
      </c>
      <c r="P109" s="11">
        <f>Electricity!P109*Electricity!$B$104</f>
        <v>174310.19010617048</v>
      </c>
      <c r="Q109" s="11">
        <f>Electricity!Q109*Electricity!$B$104</f>
        <v>175292.37483350578</v>
      </c>
      <c r="R109" s="11">
        <f>Electricity!R109*Electricity!$B$104</f>
        <v>176274.55956084101</v>
      </c>
      <c r="S109" s="11">
        <f>Electricity!S109*Electricity!$B$104</f>
        <v>177256.74428817624</v>
      </c>
      <c r="T109" s="11">
        <f>Electricity!T109*Electricity!$B$104</f>
        <v>178238.9290155115</v>
      </c>
      <c r="U109" s="11">
        <f>Electricity!U109*Electricity!$B$104</f>
        <v>178991.68434773822</v>
      </c>
      <c r="V109" s="11">
        <f>Electricity!V109*Electricity!$B$104</f>
        <v>179744.43967996503</v>
      </c>
      <c r="W109" s="11">
        <f>Electricity!W109*Electricity!$B$104</f>
        <v>180497.19501219181</v>
      </c>
      <c r="X109" s="11">
        <f>Electricity!X109*Electricity!$B$104</f>
        <v>181249.95034441864</v>
      </c>
      <c r="Y109" s="11">
        <f>Electricity!Y109*Electricity!$B$104</f>
        <v>182002.70567664542</v>
      </c>
      <c r="Z109" s="11">
        <f>Electricity!Z109*Electricity!$B$104</f>
        <v>182535.33178103541</v>
      </c>
      <c r="AA109" s="11">
        <f>Electricity!AA109*Electricity!$B$104</f>
        <v>183067.95788542545</v>
      </c>
      <c r="AB109" s="11">
        <f>Electricity!AB109*Electricity!$B$104</f>
        <v>183600.58398981547</v>
      </c>
      <c r="AC109" s="11">
        <f>Electricity!AC109*Electricity!$B$104</f>
        <v>184133.21009420554</v>
      </c>
      <c r="AD109" s="11">
        <f>Electricity!AD109*Electricity!$B$104</f>
        <v>184665.83619859553</v>
      </c>
      <c r="AE109" s="11">
        <f>Electricity!AE109*Electricity!$B$104</f>
        <v>184665.83619859553</v>
      </c>
      <c r="AF109" s="11">
        <f>Electricity!AF109*Electricity!$B$104</f>
        <v>184665.83619859553</v>
      </c>
      <c r="AG109" s="11">
        <f>Electricity!AG109*Electricity!$B$104</f>
        <v>184665.83619859553</v>
      </c>
      <c r="AH109" s="11">
        <f>Electricity!AH109*Electricity!$B$104</f>
        <v>184665.83619859553</v>
      </c>
      <c r="AI109" s="11">
        <f>Electricity!AI109*Electricity!$B$104</f>
        <v>184665.83619859553</v>
      </c>
      <c r="AJ109" s="11">
        <f>Electricity!AJ109*Electricity!$B$104</f>
        <v>184665.83619859553</v>
      </c>
      <c r="AK109" s="11">
        <f>Electricity!AK109*Electricity!$B$104</f>
        <v>184665.83619859553</v>
      </c>
      <c r="AL109" s="11">
        <f>Electricity!AL109*Electricity!$B$104</f>
        <v>184665.83619859553</v>
      </c>
      <c r="AM109" s="11">
        <f>Electricity!AM109*Electricity!$B$104</f>
        <v>184665.83619859553</v>
      </c>
      <c r="AN109" s="11">
        <f>Electricity!AN109*Electricity!$B$104</f>
        <v>184665.83619859553</v>
      </c>
    </row>
    <row r="111" spans="1:40" x14ac:dyDescent="0.2">
      <c r="A111" s="5" t="s">
        <v>157</v>
      </c>
    </row>
    <row r="112" spans="1:40" x14ac:dyDescent="0.2">
      <c r="A112" s="5" t="s">
        <v>4</v>
      </c>
    </row>
    <row r="113" spans="1:40" x14ac:dyDescent="0.2">
      <c r="A113" s="5" t="s">
        <v>63</v>
      </c>
    </row>
    <row r="114" spans="1:40" x14ac:dyDescent="0.2">
      <c r="A114" s="5" t="s">
        <v>6</v>
      </c>
    </row>
    <row r="115" spans="1:40" x14ac:dyDescent="0.2">
      <c r="A115" s="5"/>
    </row>
    <row r="116" spans="1:40" x14ac:dyDescent="0.2">
      <c r="A116" s="6" t="s">
        <v>7</v>
      </c>
      <c r="B116" s="6">
        <v>2022</v>
      </c>
      <c r="C116" s="6">
        <v>2023</v>
      </c>
      <c r="D116" s="6">
        <v>2024</v>
      </c>
      <c r="E116" s="6">
        <v>2025</v>
      </c>
      <c r="F116" s="6">
        <v>2026</v>
      </c>
      <c r="G116" s="6">
        <v>2027</v>
      </c>
      <c r="H116" s="6">
        <v>2028</v>
      </c>
      <c r="I116" s="6">
        <v>2029</v>
      </c>
      <c r="J116" s="6">
        <v>2030</v>
      </c>
      <c r="K116" s="6">
        <v>2031</v>
      </c>
      <c r="L116" s="6">
        <v>2032</v>
      </c>
      <c r="M116" s="6">
        <v>2033</v>
      </c>
      <c r="N116" s="6">
        <v>2034</v>
      </c>
      <c r="O116" s="6">
        <v>2035</v>
      </c>
      <c r="P116" s="6">
        <v>2036</v>
      </c>
      <c r="Q116" s="6">
        <v>2037</v>
      </c>
      <c r="R116" s="6">
        <v>2038</v>
      </c>
      <c r="S116" s="6">
        <v>2039</v>
      </c>
      <c r="T116" s="6">
        <v>2040</v>
      </c>
      <c r="U116" s="6">
        <v>2041</v>
      </c>
      <c r="V116" s="6">
        <v>2042</v>
      </c>
      <c r="W116" s="6">
        <v>2043</v>
      </c>
      <c r="X116" s="6">
        <v>2044</v>
      </c>
      <c r="Y116" s="6">
        <v>2045</v>
      </c>
      <c r="Z116" s="6">
        <v>2046</v>
      </c>
      <c r="AA116" s="6">
        <v>2047</v>
      </c>
      <c r="AB116" s="6">
        <v>2048</v>
      </c>
      <c r="AC116" s="6">
        <v>2049</v>
      </c>
      <c r="AD116" s="6">
        <v>2050</v>
      </c>
      <c r="AE116" s="6">
        <v>2051</v>
      </c>
      <c r="AF116" s="6">
        <v>2052</v>
      </c>
      <c r="AG116" s="6">
        <v>2053</v>
      </c>
      <c r="AH116" s="6">
        <v>2054</v>
      </c>
      <c r="AI116" s="6">
        <v>2055</v>
      </c>
      <c r="AJ116" s="6">
        <v>2056</v>
      </c>
      <c r="AK116" s="6">
        <v>2057</v>
      </c>
      <c r="AL116" s="6">
        <v>2058</v>
      </c>
      <c r="AM116" s="6">
        <v>2059</v>
      </c>
      <c r="AN116" s="6">
        <v>2060</v>
      </c>
    </row>
    <row r="117" spans="1:40" x14ac:dyDescent="0.2">
      <c r="A117" s="6" t="s">
        <v>34</v>
      </c>
      <c r="B117" s="11">
        <f>Electricity!B117*Electricity!$B$115</f>
        <v>3560259.6079199999</v>
      </c>
      <c r="C117" s="11">
        <f>Electricity!C117*Electricity!$B$115</f>
        <v>3572433.7108999928</v>
      </c>
      <c r="D117" s="11">
        <f>Electricity!D117*Electricity!$B$115</f>
        <v>3584607.8138799849</v>
      </c>
      <c r="E117" s="11">
        <f>Electricity!E117*Electricity!$B$115</f>
        <v>3596781.9168599783</v>
      </c>
      <c r="F117" s="11">
        <f>Electricity!F117*Electricity!$B$115</f>
        <v>3629347.472348968</v>
      </c>
      <c r="G117" s="11">
        <f>Electricity!G117*Electricity!$B$115</f>
        <v>3661913.0278379568</v>
      </c>
      <c r="H117" s="11">
        <f>Electricity!H117*Electricity!$B$115</f>
        <v>3694478.5833269465</v>
      </c>
      <c r="I117" s="11">
        <f>Electricity!I117*Electricity!$B$115</f>
        <v>3727044.1388159357</v>
      </c>
      <c r="J117" s="11">
        <f>Electricity!J117*Electricity!$B$115</f>
        <v>3759609.6943049259</v>
      </c>
      <c r="K117" s="11">
        <f>Electricity!K117*Electricity!$B$115</f>
        <v>3786962.2439698689</v>
      </c>
      <c r="L117" s="11">
        <f>Electricity!L117*Electricity!$B$115</f>
        <v>3814314.7936348128</v>
      </c>
      <c r="M117" s="11">
        <f>Electricity!M117*Electricity!$B$115</f>
        <v>3841667.3432997554</v>
      </c>
      <c r="N117" s="11">
        <f>Electricity!N117*Electricity!$B$115</f>
        <v>3869019.8929646988</v>
      </c>
      <c r="O117" s="11">
        <f>Electricity!O117*Electricity!$B$115</f>
        <v>3896372.4426296423</v>
      </c>
      <c r="P117" s="11">
        <f>Electricity!P117*Electricity!$B$115</f>
        <v>3918451.7222982473</v>
      </c>
      <c r="Q117" s="11">
        <f>Electricity!Q117*Electricity!$B$115</f>
        <v>3940531.0019668532</v>
      </c>
      <c r="R117" s="11">
        <f>Electricity!R117*Electricity!$B$115</f>
        <v>3962610.2816354567</v>
      </c>
      <c r="S117" s="11">
        <f>Electricity!S117*Electricity!$B$115</f>
        <v>3984689.5613040626</v>
      </c>
      <c r="T117" s="11">
        <f>Electricity!T117*Electricity!$B$115</f>
        <v>4006768.8409726676</v>
      </c>
      <c r="U117" s="11">
        <f>Electricity!U117*Electricity!$B$115</f>
        <v>4023690.6022663503</v>
      </c>
      <c r="V117" s="11">
        <f>Electricity!V117*Electricity!$B$115</f>
        <v>4040612.3635600349</v>
      </c>
      <c r="W117" s="11">
        <f>Electricity!W117*Electricity!$B$115</f>
        <v>4057534.1248537176</v>
      </c>
      <c r="X117" s="11">
        <f>Electricity!X117*Electricity!$B$115</f>
        <v>4074455.8861474013</v>
      </c>
      <c r="Y117" s="11">
        <f>Electricity!Y117*Electricity!$B$115</f>
        <v>4091377.6474410845</v>
      </c>
      <c r="Z117" s="11">
        <f>Electricity!Z117*Electricity!$B$115</f>
        <v>4103350.9559138538</v>
      </c>
      <c r="AA117" s="11">
        <f>Electricity!AA117*Electricity!$B$115</f>
        <v>4115324.2643866222</v>
      </c>
      <c r="AB117" s="11">
        <f>Electricity!AB117*Electricity!$B$115</f>
        <v>4127297.5728593911</v>
      </c>
      <c r="AC117" s="11">
        <f>Electricity!AC117*Electricity!$B$115</f>
        <v>4139270.8813321604</v>
      </c>
      <c r="AD117" s="11">
        <f>Electricity!AD117*Electricity!$B$115</f>
        <v>4151244.1898049284</v>
      </c>
      <c r="AE117" s="11">
        <f>Electricity!AE117*Electricity!$B$115</f>
        <v>4151244.1898049284</v>
      </c>
      <c r="AF117" s="11">
        <f>Electricity!AF117*Electricity!$B$115</f>
        <v>4151244.1898049284</v>
      </c>
      <c r="AG117" s="11">
        <f>Electricity!AG117*Electricity!$B$115</f>
        <v>4151244.1898049284</v>
      </c>
      <c r="AH117" s="11">
        <f>Electricity!AH117*Electricity!$B$115</f>
        <v>4151244.1898049284</v>
      </c>
      <c r="AI117" s="11">
        <f>Electricity!AI117*Electricity!$B$115</f>
        <v>4151244.1898049284</v>
      </c>
      <c r="AJ117" s="11">
        <f>Electricity!AJ117*Electricity!$B$115</f>
        <v>4151244.1898049284</v>
      </c>
      <c r="AK117" s="11">
        <f>Electricity!AK117*Electricity!$B$115</f>
        <v>4151244.1898049284</v>
      </c>
      <c r="AL117" s="11">
        <f>Electricity!AL117*Electricity!$B$115</f>
        <v>4151244.1898049284</v>
      </c>
      <c r="AM117" s="11">
        <f>Electricity!AM117*Electricity!$B$115</f>
        <v>4151244.1898049284</v>
      </c>
      <c r="AN117" s="11">
        <f>Electricity!AN117*Electricity!$B$115</f>
        <v>4151244.1898049284</v>
      </c>
    </row>
    <row r="118" spans="1:40" x14ac:dyDescent="0.2">
      <c r="A118" s="6" t="s">
        <v>35</v>
      </c>
      <c r="B118" s="11">
        <f>Electricity!B118*Electricity!$B$115</f>
        <v>1504335.0456000001</v>
      </c>
      <c r="C118" s="11">
        <f>Electricity!C118*Electricity!$B$115</f>
        <v>1509479.0327746449</v>
      </c>
      <c r="D118" s="11">
        <f>Electricity!D118*Electricity!$B$115</f>
        <v>1514623.0199492893</v>
      </c>
      <c r="E118" s="11">
        <f>Electricity!E118*Electricity!$B$115</f>
        <v>1519767.0071239343</v>
      </c>
      <c r="F118" s="11">
        <f>Electricity!F118*Electricity!$B$115</f>
        <v>1533527.1009925215</v>
      </c>
      <c r="G118" s="11">
        <f>Electricity!G118*Electricity!$B$115</f>
        <v>1547287.1948611084</v>
      </c>
      <c r="H118" s="11">
        <f>Electricity!H118*Electricity!$B$115</f>
        <v>1561047.2887296956</v>
      </c>
      <c r="I118" s="11">
        <f>Electricity!I118*Electricity!$B$115</f>
        <v>1574807.3825982828</v>
      </c>
      <c r="J118" s="11">
        <f>Electricity!J118*Electricity!$B$115</f>
        <v>1588567.4764668699</v>
      </c>
      <c r="K118" s="11">
        <f>Electricity!K118*Electricity!$B$115</f>
        <v>1600124.8918182545</v>
      </c>
      <c r="L118" s="11">
        <f>Electricity!L118*Electricity!$B$115</f>
        <v>1611682.307169639</v>
      </c>
      <c r="M118" s="11">
        <f>Electricity!M118*Electricity!$B$115</f>
        <v>1623239.7225210234</v>
      </c>
      <c r="N118" s="11">
        <f>Electricity!N118*Electricity!$B$115</f>
        <v>1634797.1378724079</v>
      </c>
      <c r="O118" s="11">
        <f>Electricity!O118*Electricity!$B$115</f>
        <v>1646354.5532237925</v>
      </c>
      <c r="P118" s="11">
        <f>Electricity!P118*Electricity!$B$115</f>
        <v>1655683.8263232033</v>
      </c>
      <c r="Q118" s="11">
        <f>Electricity!Q118*Electricity!$B$115</f>
        <v>1665013.0994226139</v>
      </c>
      <c r="R118" s="11">
        <f>Electricity!R118*Electricity!$B$115</f>
        <v>1674342.3725220237</v>
      </c>
      <c r="S118" s="11">
        <f>Electricity!S118*Electricity!$B$115</f>
        <v>1683671.6456214346</v>
      </c>
      <c r="T118" s="11">
        <f>Electricity!T118*Electricity!$B$115</f>
        <v>1693000.9187208454</v>
      </c>
      <c r="U118" s="11">
        <f>Electricity!U118*Electricity!$B$115</f>
        <v>1700150.9587040916</v>
      </c>
      <c r="V118" s="11">
        <f>Electricity!V118*Electricity!$B$115</f>
        <v>1707300.9986873388</v>
      </c>
      <c r="W118" s="11">
        <f>Electricity!W118*Electricity!$B$115</f>
        <v>1714451.038670585</v>
      </c>
      <c r="X118" s="11">
        <f>Electricity!X118*Electricity!$B$115</f>
        <v>1721601.0786538315</v>
      </c>
      <c r="Y118" s="11">
        <f>Electricity!Y118*Electricity!$B$115</f>
        <v>1728751.1186370775</v>
      </c>
      <c r="Z118" s="11">
        <f>Electricity!Z118*Electricity!$B$115</f>
        <v>1733810.2630621914</v>
      </c>
      <c r="AA118" s="11">
        <f>Electricity!AA118*Electricity!$B$115</f>
        <v>1738869.4074873049</v>
      </c>
      <c r="AB118" s="11">
        <f>Electricity!AB118*Electricity!$B$115</f>
        <v>1743928.5519124188</v>
      </c>
      <c r="AC118" s="11">
        <f>Electricity!AC118*Electricity!$B$115</f>
        <v>1748987.6963375323</v>
      </c>
      <c r="AD118" s="11">
        <f>Electricity!AD118*Electricity!$B$115</f>
        <v>1754046.8407626457</v>
      </c>
      <c r="AE118" s="11">
        <f>Electricity!AE118*Electricity!$B$115</f>
        <v>1754046.8407626457</v>
      </c>
      <c r="AF118" s="11">
        <f>Electricity!AF118*Electricity!$B$115</f>
        <v>1754046.8407626457</v>
      </c>
      <c r="AG118" s="11">
        <f>Electricity!AG118*Electricity!$B$115</f>
        <v>1754046.8407626457</v>
      </c>
      <c r="AH118" s="11">
        <f>Electricity!AH118*Electricity!$B$115</f>
        <v>1754046.8407626457</v>
      </c>
      <c r="AI118" s="11">
        <f>Electricity!AI118*Electricity!$B$115</f>
        <v>1754046.8407626457</v>
      </c>
      <c r="AJ118" s="11">
        <f>Electricity!AJ118*Electricity!$B$115</f>
        <v>1754046.8407626457</v>
      </c>
      <c r="AK118" s="11">
        <f>Electricity!AK118*Electricity!$B$115</f>
        <v>1754046.8407626457</v>
      </c>
      <c r="AL118" s="11">
        <f>Electricity!AL118*Electricity!$B$115</f>
        <v>1754046.8407626457</v>
      </c>
      <c r="AM118" s="11">
        <f>Electricity!AM118*Electricity!$B$115</f>
        <v>1754046.8407626457</v>
      </c>
      <c r="AN118" s="11">
        <f>Electricity!AN118*Electricity!$B$115</f>
        <v>1754046.8407626457</v>
      </c>
    </row>
    <row r="119" spans="1:40" x14ac:dyDescent="0.2">
      <c r="A119" s="6" t="s">
        <v>36</v>
      </c>
      <c r="B119" s="11">
        <f>Electricity!B119*Electricity!$B$115</f>
        <v>273008.95272</v>
      </c>
      <c r="C119" s="11">
        <f>Electricity!C119*Electricity!$B$115</f>
        <v>273942.49113317626</v>
      </c>
      <c r="D119" s="11">
        <f>Electricity!D119*Electricity!$B$115</f>
        <v>274876.02954635251</v>
      </c>
      <c r="E119" s="11">
        <f>Electricity!E119*Electricity!$B$115</f>
        <v>275809.56795952882</v>
      </c>
      <c r="F119" s="11">
        <f>Electricity!F119*Electricity!$B$115</f>
        <v>278306.77018012427</v>
      </c>
      <c r="G119" s="11">
        <f>Electricity!G119*Electricity!$B$115</f>
        <v>280803.97240071971</v>
      </c>
      <c r="H119" s="11">
        <f>Electricity!H119*Electricity!$B$115</f>
        <v>283301.17462131515</v>
      </c>
      <c r="I119" s="11">
        <f>Electricity!I119*Electricity!$B$115</f>
        <v>285798.37684191059</v>
      </c>
      <c r="J119" s="11">
        <f>Electricity!J119*Electricity!$B$115</f>
        <v>288295.57906250603</v>
      </c>
      <c r="K119" s="11">
        <f>Electricity!K119*Electricity!$B$115</f>
        <v>290393.03592257207</v>
      </c>
      <c r="L119" s="11">
        <f>Electricity!L119*Electricity!$B$115</f>
        <v>292490.49278263818</v>
      </c>
      <c r="M119" s="11">
        <f>Electricity!M119*Electricity!$B$115</f>
        <v>294587.94964270422</v>
      </c>
      <c r="N119" s="11">
        <f>Electricity!N119*Electricity!$B$115</f>
        <v>296685.40650277032</v>
      </c>
      <c r="O119" s="11">
        <f>Electricity!O119*Electricity!$B$115</f>
        <v>298782.86336283636</v>
      </c>
      <c r="P119" s="11">
        <f>Electricity!P119*Electricity!$B$115</f>
        <v>300475.95366606279</v>
      </c>
      <c r="Q119" s="11">
        <f>Electricity!Q119*Electricity!$B$115</f>
        <v>302169.04396928917</v>
      </c>
      <c r="R119" s="11">
        <f>Electricity!R119*Electricity!$B$115</f>
        <v>303862.13427251548</v>
      </c>
      <c r="S119" s="11">
        <f>Electricity!S119*Electricity!$B$115</f>
        <v>305555.2245757418</v>
      </c>
      <c r="T119" s="11">
        <f>Electricity!T119*Electricity!$B$115</f>
        <v>307248.31487896823</v>
      </c>
      <c r="U119" s="11">
        <f>Electricity!U119*Electricity!$B$115</f>
        <v>308545.91472777957</v>
      </c>
      <c r="V119" s="11">
        <f>Electricity!V119*Electricity!$B$115</f>
        <v>309843.51457659109</v>
      </c>
      <c r="W119" s="11">
        <f>Electricity!W119*Electricity!$B$115</f>
        <v>311141.11442540243</v>
      </c>
      <c r="X119" s="11">
        <f>Electricity!X119*Electricity!$B$115</f>
        <v>312438.71427421382</v>
      </c>
      <c r="Y119" s="11">
        <f>Electricity!Y119*Electricity!$B$115</f>
        <v>313736.31412302516</v>
      </c>
      <c r="Z119" s="11">
        <f>Electricity!Z119*Electricity!$B$115</f>
        <v>314654.45514832361</v>
      </c>
      <c r="AA119" s="11">
        <f>Electricity!AA119*Electricity!$B$115</f>
        <v>315572.59617362201</v>
      </c>
      <c r="AB119" s="11">
        <f>Electricity!AB119*Electricity!$B$115</f>
        <v>316490.7371989204</v>
      </c>
      <c r="AC119" s="11">
        <f>Electricity!AC119*Electricity!$B$115</f>
        <v>317408.87822421885</v>
      </c>
      <c r="AD119" s="11">
        <f>Electricity!AD119*Electricity!$B$115</f>
        <v>318327.01924951718</v>
      </c>
      <c r="AE119" s="11">
        <f>Electricity!AE119*Electricity!$B$115</f>
        <v>318327.01924951718</v>
      </c>
      <c r="AF119" s="11">
        <f>Electricity!AF119*Electricity!$B$115</f>
        <v>318327.01924951718</v>
      </c>
      <c r="AG119" s="11">
        <f>Electricity!AG119*Electricity!$B$115</f>
        <v>318327.01924951718</v>
      </c>
      <c r="AH119" s="11">
        <f>Electricity!AH119*Electricity!$B$115</f>
        <v>318327.01924951718</v>
      </c>
      <c r="AI119" s="11">
        <f>Electricity!AI119*Electricity!$B$115</f>
        <v>318327.01924951718</v>
      </c>
      <c r="AJ119" s="11">
        <f>Electricity!AJ119*Electricity!$B$115</f>
        <v>318327.01924951718</v>
      </c>
      <c r="AK119" s="11">
        <f>Electricity!AK119*Electricity!$B$115</f>
        <v>318327.01924951718</v>
      </c>
      <c r="AL119" s="11">
        <f>Electricity!AL119*Electricity!$B$115</f>
        <v>318327.01924951718</v>
      </c>
      <c r="AM119" s="11">
        <f>Electricity!AM119*Electricity!$B$115</f>
        <v>318327.01924951718</v>
      </c>
      <c r="AN119" s="11">
        <f>Electricity!AN119*Electricity!$B$115</f>
        <v>318327.01924951718</v>
      </c>
    </row>
    <row r="120" spans="1:40" x14ac:dyDescent="0.2">
      <c r="A120" s="6" t="s">
        <v>37</v>
      </c>
      <c r="B120" s="11">
        <f>Electricity!B120*Electricity!$B$115</f>
        <v>234007.67376000001</v>
      </c>
      <c r="C120" s="11">
        <f>Electricity!C120*Electricity!$B$115</f>
        <v>234807.84954272251</v>
      </c>
      <c r="D120" s="11">
        <f>Electricity!D120*Electricity!$B$115</f>
        <v>235608.02532544502</v>
      </c>
      <c r="E120" s="11">
        <f>Electricity!E120*Electricity!$B$115</f>
        <v>236408.20110816756</v>
      </c>
      <c r="F120" s="11">
        <f>Electricity!F120*Electricity!$B$115</f>
        <v>238548.66015439222</v>
      </c>
      <c r="G120" s="11">
        <f>Electricity!G120*Electricity!$B$115</f>
        <v>240689.11920061687</v>
      </c>
      <c r="H120" s="11">
        <f>Electricity!H120*Electricity!$B$115</f>
        <v>242829.57824684153</v>
      </c>
      <c r="I120" s="11">
        <f>Electricity!I120*Electricity!$B$115</f>
        <v>244970.03729306618</v>
      </c>
      <c r="J120" s="11">
        <f>Electricity!J120*Electricity!$B$115</f>
        <v>247110.49633929087</v>
      </c>
      <c r="K120" s="11">
        <f>Electricity!K120*Electricity!$B$115</f>
        <v>248908.31650506181</v>
      </c>
      <c r="L120" s="11">
        <f>Electricity!L120*Electricity!$B$115</f>
        <v>250706.13667083273</v>
      </c>
      <c r="M120" s="11">
        <f>Electricity!M120*Electricity!$B$115</f>
        <v>252503.95683660361</v>
      </c>
      <c r="N120" s="11">
        <f>Electricity!N120*Electricity!$B$115</f>
        <v>254301.77700237455</v>
      </c>
      <c r="O120" s="11">
        <f>Electricity!O120*Electricity!$B$115</f>
        <v>256099.59716814553</v>
      </c>
      <c r="P120" s="11">
        <f>Electricity!P120*Electricity!$B$115</f>
        <v>257550.81742805385</v>
      </c>
      <c r="Q120" s="11">
        <f>Electricity!Q120*Electricity!$B$115</f>
        <v>259002.03768796218</v>
      </c>
      <c r="R120" s="11">
        <f>Electricity!R120*Electricity!$B$115</f>
        <v>260453.25794787038</v>
      </c>
      <c r="S120" s="11">
        <f>Electricity!S120*Electricity!$B$115</f>
        <v>261904.47820777877</v>
      </c>
      <c r="T120" s="11">
        <f>Electricity!T120*Electricity!$B$115</f>
        <v>263355.69846768706</v>
      </c>
      <c r="U120" s="11">
        <f>Electricity!U120*Electricity!$B$115</f>
        <v>264467.92690952535</v>
      </c>
      <c r="V120" s="11">
        <f>Electricity!V120*Electricity!$B$115</f>
        <v>265580.15535136376</v>
      </c>
      <c r="W120" s="11">
        <f>Electricity!W120*Electricity!$B$115</f>
        <v>266692.38379320211</v>
      </c>
      <c r="X120" s="11">
        <f>Electricity!X120*Electricity!$B$115</f>
        <v>267804.6122350404</v>
      </c>
      <c r="Y120" s="11">
        <f>Electricity!Y120*Electricity!$B$115</f>
        <v>268916.84067687875</v>
      </c>
      <c r="Z120" s="11">
        <f>Electricity!Z120*Electricity!$B$115</f>
        <v>269703.81869856309</v>
      </c>
      <c r="AA120" s="11">
        <f>Electricity!AA120*Electricity!$B$115</f>
        <v>270490.79672024742</v>
      </c>
      <c r="AB120" s="11">
        <f>Electricity!AB120*Electricity!$B$115</f>
        <v>271277.77474193176</v>
      </c>
      <c r="AC120" s="11">
        <f>Electricity!AC120*Electricity!$B$115</f>
        <v>272064.7527636161</v>
      </c>
      <c r="AD120" s="11">
        <f>Electricity!AD120*Electricity!$B$115</f>
        <v>272851.73078530043</v>
      </c>
      <c r="AE120" s="11">
        <f>Electricity!AE120*Electricity!$B$115</f>
        <v>272851.73078530043</v>
      </c>
      <c r="AF120" s="11">
        <f>Electricity!AF120*Electricity!$B$115</f>
        <v>272851.73078530043</v>
      </c>
      <c r="AG120" s="11">
        <f>Electricity!AG120*Electricity!$B$115</f>
        <v>272851.73078530043</v>
      </c>
      <c r="AH120" s="11">
        <f>Electricity!AH120*Electricity!$B$115</f>
        <v>272851.73078530043</v>
      </c>
      <c r="AI120" s="11">
        <f>Electricity!AI120*Electricity!$B$115</f>
        <v>272851.73078530043</v>
      </c>
      <c r="AJ120" s="11">
        <f>Electricity!AJ120*Electricity!$B$115</f>
        <v>272851.73078530043</v>
      </c>
      <c r="AK120" s="11">
        <f>Electricity!AK120*Electricity!$B$115</f>
        <v>272851.73078530043</v>
      </c>
      <c r="AL120" s="11">
        <f>Electricity!AL120*Electricity!$B$115</f>
        <v>272851.73078530043</v>
      </c>
      <c r="AM120" s="11">
        <f>Electricity!AM120*Electricity!$B$115</f>
        <v>272851.73078530043</v>
      </c>
      <c r="AN120" s="11">
        <f>Electricity!AN120*Electricity!$B$115</f>
        <v>272851.73078530043</v>
      </c>
    </row>
    <row r="122" spans="1:40" x14ac:dyDescent="0.2">
      <c r="A122" s="5" t="s">
        <v>157</v>
      </c>
    </row>
    <row r="123" spans="1:40" x14ac:dyDescent="0.2">
      <c r="A123" s="5" t="s">
        <v>4</v>
      </c>
    </row>
    <row r="124" spans="1:40" x14ac:dyDescent="0.2">
      <c r="A124" s="5" t="s">
        <v>65</v>
      </c>
    </row>
    <row r="125" spans="1:40" x14ac:dyDescent="0.2">
      <c r="A125" s="5" t="s">
        <v>6</v>
      </c>
    </row>
    <row r="126" spans="1:40" x14ac:dyDescent="0.2">
      <c r="A126" s="5"/>
    </row>
    <row r="127" spans="1:40" x14ac:dyDescent="0.2">
      <c r="A127" s="6" t="s">
        <v>7</v>
      </c>
      <c r="B127" s="6">
        <v>2022</v>
      </c>
      <c r="C127" s="6">
        <v>2023</v>
      </c>
      <c r="D127" s="6">
        <v>2024</v>
      </c>
      <c r="E127" s="6">
        <v>2025</v>
      </c>
      <c r="F127" s="6">
        <v>2026</v>
      </c>
      <c r="G127" s="6">
        <v>2027</v>
      </c>
      <c r="H127" s="6">
        <v>2028</v>
      </c>
      <c r="I127" s="6">
        <v>2029</v>
      </c>
      <c r="J127" s="6">
        <v>2030</v>
      </c>
      <c r="K127" s="6">
        <v>2031</v>
      </c>
      <c r="L127" s="6">
        <v>2032</v>
      </c>
      <c r="M127" s="6">
        <v>2033</v>
      </c>
      <c r="N127" s="6">
        <v>2034</v>
      </c>
      <c r="O127" s="6">
        <v>2035</v>
      </c>
      <c r="P127" s="6">
        <v>2036</v>
      </c>
      <c r="Q127" s="6">
        <v>2037</v>
      </c>
      <c r="R127" s="6">
        <v>2038</v>
      </c>
      <c r="S127" s="6">
        <v>2039</v>
      </c>
      <c r="T127" s="6">
        <v>2040</v>
      </c>
      <c r="U127" s="6">
        <v>2041</v>
      </c>
      <c r="V127" s="6">
        <v>2042</v>
      </c>
      <c r="W127" s="6">
        <v>2043</v>
      </c>
      <c r="X127" s="6">
        <v>2044</v>
      </c>
      <c r="Y127" s="6">
        <v>2045</v>
      </c>
      <c r="Z127" s="6">
        <v>2046</v>
      </c>
      <c r="AA127" s="6">
        <v>2047</v>
      </c>
      <c r="AB127" s="6">
        <v>2048</v>
      </c>
      <c r="AC127" s="6">
        <v>2049</v>
      </c>
      <c r="AD127" s="6">
        <v>2050</v>
      </c>
      <c r="AE127" s="6">
        <v>2051</v>
      </c>
      <c r="AF127" s="6">
        <v>2052</v>
      </c>
      <c r="AG127" s="6">
        <v>2053</v>
      </c>
      <c r="AH127" s="6">
        <v>2054</v>
      </c>
      <c r="AI127" s="6">
        <v>2055</v>
      </c>
      <c r="AJ127" s="6">
        <v>2056</v>
      </c>
      <c r="AK127" s="6">
        <v>2057</v>
      </c>
      <c r="AL127" s="6">
        <v>2058</v>
      </c>
      <c r="AM127" s="6">
        <v>2059</v>
      </c>
      <c r="AN127" s="6">
        <v>2060</v>
      </c>
    </row>
    <row r="128" spans="1:40" x14ac:dyDescent="0.2">
      <c r="A128" s="6" t="s">
        <v>34</v>
      </c>
      <c r="B128" s="11">
        <f>Electricity!B128*Electricity!$B$126</f>
        <v>2804955.7836527997</v>
      </c>
      <c r="C128" s="11">
        <f>Electricity!C128*Electricity!$B$126</f>
        <v>2804955.7836527997</v>
      </c>
      <c r="D128" s="11">
        <f>Electricity!D128*Electricity!$B$126</f>
        <v>2804955.7836527997</v>
      </c>
      <c r="E128" s="11">
        <f>Electricity!E128*Electricity!$B$126</f>
        <v>2804955.7836527997</v>
      </c>
      <c r="F128" s="11">
        <f>Electricity!F128*Electricity!$B$126</f>
        <v>2804955.7836527997</v>
      </c>
      <c r="G128" s="11">
        <f>Electricity!G128*Electricity!$B$126</f>
        <v>2804955.7836527997</v>
      </c>
      <c r="H128" s="11">
        <f>Electricity!H128*Electricity!$B$126</f>
        <v>2804955.7836527997</v>
      </c>
      <c r="I128" s="11">
        <f>Electricity!I128*Electricity!$B$126</f>
        <v>2804955.7836527997</v>
      </c>
      <c r="J128" s="11">
        <f>Electricity!J128*Electricity!$B$126</f>
        <v>2804955.7836527997</v>
      </c>
      <c r="K128" s="11">
        <f>Electricity!K128*Electricity!$B$126</f>
        <v>2804955.7836527997</v>
      </c>
      <c r="L128" s="11">
        <f>Electricity!L128*Electricity!$B$126</f>
        <v>2804955.7836527997</v>
      </c>
      <c r="M128" s="11">
        <f>Electricity!M128*Electricity!$B$126</f>
        <v>2804955.7836527997</v>
      </c>
      <c r="N128" s="11">
        <f>Electricity!N128*Electricity!$B$126</f>
        <v>2804955.7836527997</v>
      </c>
      <c r="O128" s="11">
        <f>Electricity!O128*Electricity!$B$126</f>
        <v>2804955.7836527997</v>
      </c>
      <c r="P128" s="11">
        <f>Electricity!P128*Electricity!$B$126</f>
        <v>2804955.7836527997</v>
      </c>
      <c r="Q128" s="11">
        <f>Electricity!Q128*Electricity!$B$126</f>
        <v>2804955.7836527997</v>
      </c>
      <c r="R128" s="11">
        <f>Electricity!R128*Electricity!$B$126</f>
        <v>2804955.7836527997</v>
      </c>
      <c r="S128" s="11">
        <f>Electricity!S128*Electricity!$B$126</f>
        <v>2804955.7836527997</v>
      </c>
      <c r="T128" s="11">
        <f>Electricity!T128*Electricity!$B$126</f>
        <v>2804955.7836527997</v>
      </c>
      <c r="U128" s="11">
        <f>Electricity!U128*Electricity!$B$126</f>
        <v>2804955.7836527997</v>
      </c>
      <c r="V128" s="11">
        <f>Electricity!V128*Electricity!$B$126</f>
        <v>2804955.7836527997</v>
      </c>
      <c r="W128" s="11">
        <f>Electricity!W128*Electricity!$B$126</f>
        <v>2804955.7836527997</v>
      </c>
      <c r="X128" s="11">
        <f>Electricity!X128*Electricity!$B$126</f>
        <v>2804955.7836527997</v>
      </c>
      <c r="Y128" s="11">
        <f>Electricity!Y128*Electricity!$B$126</f>
        <v>2804955.7836527997</v>
      </c>
      <c r="Z128" s="11">
        <f>Electricity!Z128*Electricity!$B$126</f>
        <v>2804955.7836527997</v>
      </c>
      <c r="AA128" s="11">
        <f>Electricity!AA128*Electricity!$B$126</f>
        <v>2804955.7836527997</v>
      </c>
      <c r="AB128" s="11">
        <f>Electricity!AB128*Electricity!$B$126</f>
        <v>2804955.7836527997</v>
      </c>
      <c r="AC128" s="11">
        <f>Electricity!AC128*Electricity!$B$126</f>
        <v>2804955.7836527997</v>
      </c>
      <c r="AD128" s="11">
        <f>Electricity!AD128*Electricity!$B$126</f>
        <v>2804955.7836527997</v>
      </c>
      <c r="AE128" s="11">
        <f>Electricity!AE128*Electricity!$B$126</f>
        <v>2804955.7836527997</v>
      </c>
      <c r="AF128" s="11">
        <f>Electricity!AF128*Electricity!$B$126</f>
        <v>2804955.7836527997</v>
      </c>
      <c r="AG128" s="11">
        <f>Electricity!AG128*Electricity!$B$126</f>
        <v>2804955.7836527997</v>
      </c>
      <c r="AH128" s="11">
        <f>Electricity!AH128*Electricity!$B$126</f>
        <v>2804955.7836527997</v>
      </c>
      <c r="AI128" s="11">
        <f>Electricity!AI128*Electricity!$B$126</f>
        <v>2804955.7836527997</v>
      </c>
      <c r="AJ128" s="11">
        <f>Electricity!AJ128*Electricity!$B$126</f>
        <v>2804955.7836527997</v>
      </c>
      <c r="AK128" s="11">
        <f>Electricity!AK128*Electricity!$B$126</f>
        <v>2804955.7836527997</v>
      </c>
      <c r="AL128" s="11">
        <f>Electricity!AL128*Electricity!$B$126</f>
        <v>2804955.7836527997</v>
      </c>
      <c r="AM128" s="11">
        <f>Electricity!AM128*Electricity!$B$126</f>
        <v>2804955.7836527997</v>
      </c>
      <c r="AN128" s="11">
        <f>Electricity!AN128*Electricity!$B$126</f>
        <v>2804955.7836527997</v>
      </c>
    </row>
    <row r="129" spans="1:40" x14ac:dyDescent="0.2">
      <c r="A129" s="6" t="s">
        <v>35</v>
      </c>
      <c r="B129" s="11">
        <f>Electricity!B129*Electricity!$B$126</f>
        <v>1195116.2957376</v>
      </c>
      <c r="C129" s="11">
        <f>Electricity!C129*Electricity!$B$126</f>
        <v>1195116.2957376</v>
      </c>
      <c r="D129" s="11">
        <f>Electricity!D129*Electricity!$B$126</f>
        <v>1195116.2957376</v>
      </c>
      <c r="E129" s="11">
        <f>Electricity!E129*Electricity!$B$126</f>
        <v>1195116.2957376</v>
      </c>
      <c r="F129" s="11">
        <f>Electricity!F129*Electricity!$B$126</f>
        <v>1195116.2957376</v>
      </c>
      <c r="G129" s="11">
        <f>Electricity!G129*Electricity!$B$126</f>
        <v>1195116.2957376</v>
      </c>
      <c r="H129" s="11">
        <f>Electricity!H129*Electricity!$B$126</f>
        <v>1195116.2957376</v>
      </c>
      <c r="I129" s="11">
        <f>Electricity!I129*Electricity!$B$126</f>
        <v>1195116.2957376</v>
      </c>
      <c r="J129" s="11">
        <f>Electricity!J129*Electricity!$B$126</f>
        <v>1195116.2957376</v>
      </c>
      <c r="K129" s="11">
        <f>Electricity!K129*Electricity!$B$126</f>
        <v>1195116.2957376</v>
      </c>
      <c r="L129" s="11">
        <f>Electricity!L129*Electricity!$B$126</f>
        <v>1195116.2957376</v>
      </c>
      <c r="M129" s="11">
        <f>Electricity!M129*Electricity!$B$126</f>
        <v>1195116.2957376</v>
      </c>
      <c r="N129" s="11">
        <f>Electricity!N129*Electricity!$B$126</f>
        <v>1195116.2957376</v>
      </c>
      <c r="O129" s="11">
        <f>Electricity!O129*Electricity!$B$126</f>
        <v>1195116.2957376</v>
      </c>
      <c r="P129" s="11">
        <f>Electricity!P129*Electricity!$B$126</f>
        <v>1195116.2957376</v>
      </c>
      <c r="Q129" s="11">
        <f>Electricity!Q129*Electricity!$B$126</f>
        <v>1195116.2957376</v>
      </c>
      <c r="R129" s="11">
        <f>Electricity!R129*Electricity!$B$126</f>
        <v>1195116.2957376</v>
      </c>
      <c r="S129" s="11">
        <f>Electricity!S129*Electricity!$B$126</f>
        <v>1195116.2957376</v>
      </c>
      <c r="T129" s="11">
        <f>Electricity!T129*Electricity!$B$126</f>
        <v>1195116.2957376</v>
      </c>
      <c r="U129" s="11">
        <f>Electricity!U129*Electricity!$B$126</f>
        <v>1195116.2957376</v>
      </c>
      <c r="V129" s="11">
        <f>Electricity!V129*Electricity!$B$126</f>
        <v>1195116.2957376</v>
      </c>
      <c r="W129" s="11">
        <f>Electricity!W129*Electricity!$B$126</f>
        <v>1195116.2957376</v>
      </c>
      <c r="X129" s="11">
        <f>Electricity!X129*Electricity!$B$126</f>
        <v>1195116.2957376</v>
      </c>
      <c r="Y129" s="11">
        <f>Electricity!Y129*Electricity!$B$126</f>
        <v>1195116.2957376</v>
      </c>
      <c r="Z129" s="11">
        <f>Electricity!Z129*Electricity!$B$126</f>
        <v>1195116.2957376</v>
      </c>
      <c r="AA129" s="11">
        <f>Electricity!AA129*Electricity!$B$126</f>
        <v>1195116.2957376</v>
      </c>
      <c r="AB129" s="11">
        <f>Electricity!AB129*Electricity!$B$126</f>
        <v>1195116.2957376</v>
      </c>
      <c r="AC129" s="11">
        <f>Electricity!AC129*Electricity!$B$126</f>
        <v>1195116.2957376</v>
      </c>
      <c r="AD129" s="11">
        <f>Electricity!AD129*Electricity!$B$126</f>
        <v>1195116.2957376</v>
      </c>
      <c r="AE129" s="11">
        <f>Electricity!AE129*Electricity!$B$126</f>
        <v>1195116.2957376</v>
      </c>
      <c r="AF129" s="11">
        <f>Electricity!AF129*Electricity!$B$126</f>
        <v>1195116.2957376</v>
      </c>
      <c r="AG129" s="11">
        <f>Electricity!AG129*Electricity!$B$126</f>
        <v>1195116.2957376</v>
      </c>
      <c r="AH129" s="11">
        <f>Electricity!AH129*Electricity!$B$126</f>
        <v>1195116.2957376</v>
      </c>
      <c r="AI129" s="11">
        <f>Electricity!AI129*Electricity!$B$126</f>
        <v>1195116.2957376</v>
      </c>
      <c r="AJ129" s="11">
        <f>Electricity!AJ129*Electricity!$B$126</f>
        <v>1195116.2957376</v>
      </c>
      <c r="AK129" s="11">
        <f>Electricity!AK129*Electricity!$B$126</f>
        <v>1195116.2957376</v>
      </c>
      <c r="AL129" s="11">
        <f>Electricity!AL129*Electricity!$B$126</f>
        <v>1195116.2957376</v>
      </c>
      <c r="AM129" s="11">
        <f>Electricity!AM129*Electricity!$B$126</f>
        <v>1195116.2957376</v>
      </c>
      <c r="AN129" s="11">
        <f>Electricity!AN129*Electricity!$B$126</f>
        <v>1195116.2957376</v>
      </c>
    </row>
    <row r="130" spans="1:40" x14ac:dyDescent="0.2">
      <c r="A130" s="6" t="s">
        <v>36</v>
      </c>
      <c r="B130" s="11">
        <f>Electricity!B130*Electricity!$B$126</f>
        <v>276482.1281184</v>
      </c>
      <c r="C130" s="11">
        <f>Electricity!C130*Electricity!$B$126</f>
        <v>276482.1281184</v>
      </c>
      <c r="D130" s="11">
        <f>Electricity!D130*Electricity!$B$126</f>
        <v>276482.1281184</v>
      </c>
      <c r="E130" s="11">
        <f>Electricity!E130*Electricity!$B$126</f>
        <v>276482.1281184</v>
      </c>
      <c r="F130" s="11">
        <f>Electricity!F130*Electricity!$B$126</f>
        <v>276482.1281184</v>
      </c>
      <c r="G130" s="11">
        <f>Electricity!G130*Electricity!$B$126</f>
        <v>276482.1281184</v>
      </c>
      <c r="H130" s="11">
        <f>Electricity!H130*Electricity!$B$126</f>
        <v>276482.1281184</v>
      </c>
      <c r="I130" s="11">
        <f>Electricity!I130*Electricity!$B$126</f>
        <v>276482.1281184</v>
      </c>
      <c r="J130" s="11">
        <f>Electricity!J130*Electricity!$B$126</f>
        <v>276482.1281184</v>
      </c>
      <c r="K130" s="11">
        <f>Electricity!K130*Electricity!$B$126</f>
        <v>276482.1281184</v>
      </c>
      <c r="L130" s="11">
        <f>Electricity!L130*Electricity!$B$126</f>
        <v>276482.1281184</v>
      </c>
      <c r="M130" s="11">
        <f>Electricity!M130*Electricity!$B$126</f>
        <v>276482.1281184</v>
      </c>
      <c r="N130" s="11">
        <f>Electricity!N130*Electricity!$B$126</f>
        <v>276482.1281184</v>
      </c>
      <c r="O130" s="11">
        <f>Electricity!O130*Electricity!$B$126</f>
        <v>276482.1281184</v>
      </c>
      <c r="P130" s="11">
        <f>Electricity!P130*Electricity!$B$126</f>
        <v>276482.1281184</v>
      </c>
      <c r="Q130" s="11">
        <f>Electricity!Q130*Electricity!$B$126</f>
        <v>276482.1281184</v>
      </c>
      <c r="R130" s="11">
        <f>Electricity!R130*Electricity!$B$126</f>
        <v>276482.1281184</v>
      </c>
      <c r="S130" s="11">
        <f>Electricity!S130*Electricity!$B$126</f>
        <v>276482.1281184</v>
      </c>
      <c r="T130" s="11">
        <f>Electricity!T130*Electricity!$B$126</f>
        <v>276482.1281184</v>
      </c>
      <c r="U130" s="11">
        <f>Electricity!U130*Electricity!$B$126</f>
        <v>276482.1281184</v>
      </c>
      <c r="V130" s="11">
        <f>Electricity!V130*Electricity!$B$126</f>
        <v>276482.1281184</v>
      </c>
      <c r="W130" s="11">
        <f>Electricity!W130*Electricity!$B$126</f>
        <v>276482.1281184</v>
      </c>
      <c r="X130" s="11">
        <f>Electricity!X130*Electricity!$B$126</f>
        <v>276482.1281184</v>
      </c>
      <c r="Y130" s="11">
        <f>Electricity!Y130*Electricity!$B$126</f>
        <v>276482.1281184</v>
      </c>
      <c r="Z130" s="11">
        <f>Electricity!Z130*Electricity!$B$126</f>
        <v>276482.1281184</v>
      </c>
      <c r="AA130" s="11">
        <f>Electricity!AA130*Electricity!$B$126</f>
        <v>276482.1281184</v>
      </c>
      <c r="AB130" s="11">
        <f>Electricity!AB130*Electricity!$B$126</f>
        <v>276482.1281184</v>
      </c>
      <c r="AC130" s="11">
        <f>Electricity!AC130*Electricity!$B$126</f>
        <v>276482.1281184</v>
      </c>
      <c r="AD130" s="11">
        <f>Electricity!AD130*Electricity!$B$126</f>
        <v>276482.1281184</v>
      </c>
      <c r="AE130" s="11">
        <f>Electricity!AE130*Electricity!$B$126</f>
        <v>276482.1281184</v>
      </c>
      <c r="AF130" s="11">
        <f>Electricity!AF130*Electricity!$B$126</f>
        <v>276482.1281184</v>
      </c>
      <c r="AG130" s="11">
        <f>Electricity!AG130*Electricity!$B$126</f>
        <v>276482.1281184</v>
      </c>
      <c r="AH130" s="11">
        <f>Electricity!AH130*Electricity!$B$126</f>
        <v>276482.1281184</v>
      </c>
      <c r="AI130" s="11">
        <f>Electricity!AI130*Electricity!$B$126</f>
        <v>276482.1281184</v>
      </c>
      <c r="AJ130" s="11">
        <f>Electricity!AJ130*Electricity!$B$126</f>
        <v>276482.1281184</v>
      </c>
      <c r="AK130" s="11">
        <f>Electricity!AK130*Electricity!$B$126</f>
        <v>276482.1281184</v>
      </c>
      <c r="AL130" s="11">
        <f>Electricity!AL130*Electricity!$B$126</f>
        <v>276482.1281184</v>
      </c>
      <c r="AM130" s="11">
        <f>Electricity!AM130*Electricity!$B$126</f>
        <v>276482.1281184</v>
      </c>
      <c r="AN130" s="11">
        <f>Electricity!AN130*Electricity!$B$126</f>
        <v>276482.1281184</v>
      </c>
    </row>
    <row r="131" spans="1:40" x14ac:dyDescent="0.2">
      <c r="A131" s="6" t="s">
        <v>37</v>
      </c>
      <c r="B131" s="11">
        <f>Electricity!B131*Electricity!$B$126</f>
        <v>182834.95569119998</v>
      </c>
      <c r="C131" s="11">
        <f>Electricity!C131*Electricity!$B$126</f>
        <v>182834.95569119998</v>
      </c>
      <c r="D131" s="11">
        <f>Electricity!D131*Electricity!$B$126</f>
        <v>182834.95569119998</v>
      </c>
      <c r="E131" s="11">
        <f>Electricity!E131*Electricity!$B$126</f>
        <v>182834.95569119998</v>
      </c>
      <c r="F131" s="11">
        <f>Electricity!F131*Electricity!$B$126</f>
        <v>182834.95569119998</v>
      </c>
      <c r="G131" s="11">
        <f>Electricity!G131*Electricity!$B$126</f>
        <v>182834.95569119998</v>
      </c>
      <c r="H131" s="11">
        <f>Electricity!H131*Electricity!$B$126</f>
        <v>182834.95569119998</v>
      </c>
      <c r="I131" s="11">
        <f>Electricity!I131*Electricity!$B$126</f>
        <v>182834.95569119998</v>
      </c>
      <c r="J131" s="11">
        <f>Electricity!J131*Electricity!$B$126</f>
        <v>182834.95569119998</v>
      </c>
      <c r="K131" s="11">
        <f>Electricity!K131*Electricity!$B$126</f>
        <v>182834.95569119998</v>
      </c>
      <c r="L131" s="11">
        <f>Electricity!L131*Electricity!$B$126</f>
        <v>182834.95569119998</v>
      </c>
      <c r="M131" s="11">
        <f>Electricity!M131*Electricity!$B$126</f>
        <v>182834.95569119998</v>
      </c>
      <c r="N131" s="11">
        <f>Electricity!N131*Electricity!$B$126</f>
        <v>182834.95569119998</v>
      </c>
      <c r="O131" s="11">
        <f>Electricity!O131*Electricity!$B$126</f>
        <v>182834.95569119998</v>
      </c>
      <c r="P131" s="11">
        <f>Electricity!P131*Electricity!$B$126</f>
        <v>182834.95569119998</v>
      </c>
      <c r="Q131" s="11">
        <f>Electricity!Q131*Electricity!$B$126</f>
        <v>182834.95569119998</v>
      </c>
      <c r="R131" s="11">
        <f>Electricity!R131*Electricity!$B$126</f>
        <v>182834.95569119998</v>
      </c>
      <c r="S131" s="11">
        <f>Electricity!S131*Electricity!$B$126</f>
        <v>182834.95569119998</v>
      </c>
      <c r="T131" s="11">
        <f>Electricity!T131*Electricity!$B$126</f>
        <v>182834.95569119998</v>
      </c>
      <c r="U131" s="11">
        <f>Electricity!U131*Electricity!$B$126</f>
        <v>182834.95569119998</v>
      </c>
      <c r="V131" s="11">
        <f>Electricity!V131*Electricity!$B$126</f>
        <v>182834.95569119998</v>
      </c>
      <c r="W131" s="11">
        <f>Electricity!W131*Electricity!$B$126</f>
        <v>182834.95569119998</v>
      </c>
      <c r="X131" s="11">
        <f>Electricity!X131*Electricity!$B$126</f>
        <v>182834.95569119998</v>
      </c>
      <c r="Y131" s="11">
        <f>Electricity!Y131*Electricity!$B$126</f>
        <v>182834.95569119998</v>
      </c>
      <c r="Z131" s="11">
        <f>Electricity!Z131*Electricity!$B$126</f>
        <v>182834.95569119998</v>
      </c>
      <c r="AA131" s="11">
        <f>Electricity!AA131*Electricity!$B$126</f>
        <v>182834.95569119998</v>
      </c>
      <c r="AB131" s="11">
        <f>Electricity!AB131*Electricity!$B$126</f>
        <v>182834.95569119998</v>
      </c>
      <c r="AC131" s="11">
        <f>Electricity!AC131*Electricity!$B$126</f>
        <v>182834.95569119998</v>
      </c>
      <c r="AD131" s="11">
        <f>Electricity!AD131*Electricity!$B$126</f>
        <v>182834.95569119998</v>
      </c>
      <c r="AE131" s="11">
        <f>Electricity!AE131*Electricity!$B$126</f>
        <v>182834.95569119998</v>
      </c>
      <c r="AF131" s="11">
        <f>Electricity!AF131*Electricity!$B$126</f>
        <v>182834.95569119998</v>
      </c>
      <c r="AG131" s="11">
        <f>Electricity!AG131*Electricity!$B$126</f>
        <v>182834.95569119998</v>
      </c>
      <c r="AH131" s="11">
        <f>Electricity!AH131*Electricity!$B$126</f>
        <v>182834.95569119998</v>
      </c>
      <c r="AI131" s="11">
        <f>Electricity!AI131*Electricity!$B$126</f>
        <v>182834.95569119998</v>
      </c>
      <c r="AJ131" s="11">
        <f>Electricity!AJ131*Electricity!$B$126</f>
        <v>182834.95569119998</v>
      </c>
      <c r="AK131" s="11">
        <f>Electricity!AK131*Electricity!$B$126</f>
        <v>182834.95569119998</v>
      </c>
      <c r="AL131" s="11">
        <f>Electricity!AL131*Electricity!$B$126</f>
        <v>182834.95569119998</v>
      </c>
      <c r="AM131" s="11">
        <f>Electricity!AM131*Electricity!$B$126</f>
        <v>182834.95569119998</v>
      </c>
      <c r="AN131" s="11">
        <f>Electricity!AN131*Electricity!$B$126</f>
        <v>182834.95569119998</v>
      </c>
    </row>
    <row r="133" spans="1:40" x14ac:dyDescent="0.2">
      <c r="A133" s="5" t="s">
        <v>157</v>
      </c>
    </row>
    <row r="134" spans="1:40" x14ac:dyDescent="0.2">
      <c r="A134" s="5" t="s">
        <v>4</v>
      </c>
    </row>
    <row r="135" spans="1:40" x14ac:dyDescent="0.2">
      <c r="A135" s="5" t="s">
        <v>68</v>
      </c>
    </row>
    <row r="136" spans="1:40" x14ac:dyDescent="0.2">
      <c r="A136" s="5" t="s">
        <v>6</v>
      </c>
    </row>
    <row r="137" spans="1:40" x14ac:dyDescent="0.2">
      <c r="A137" s="5"/>
    </row>
    <row r="138" spans="1:40" x14ac:dyDescent="0.2">
      <c r="A138" s="6" t="s">
        <v>7</v>
      </c>
      <c r="B138" s="6">
        <v>2022</v>
      </c>
      <c r="C138" s="6">
        <v>2023</v>
      </c>
      <c r="D138" s="6">
        <v>2024</v>
      </c>
      <c r="E138" s="6">
        <v>2025</v>
      </c>
      <c r="F138" s="6">
        <v>2026</v>
      </c>
      <c r="G138" s="6">
        <v>2027</v>
      </c>
      <c r="H138" s="6">
        <v>2028</v>
      </c>
      <c r="I138" s="6">
        <v>2029</v>
      </c>
      <c r="J138" s="6">
        <v>2030</v>
      </c>
      <c r="K138" s="6">
        <v>2031</v>
      </c>
      <c r="L138" s="6">
        <v>2032</v>
      </c>
      <c r="M138" s="6">
        <v>2033</v>
      </c>
      <c r="N138" s="6">
        <v>2034</v>
      </c>
      <c r="O138" s="6">
        <v>2035</v>
      </c>
      <c r="P138" s="6">
        <v>2036</v>
      </c>
      <c r="Q138" s="6">
        <v>2037</v>
      </c>
      <c r="R138" s="6">
        <v>2038</v>
      </c>
      <c r="S138" s="6">
        <v>2039</v>
      </c>
      <c r="T138" s="6">
        <v>2040</v>
      </c>
      <c r="U138" s="6">
        <v>2041</v>
      </c>
      <c r="V138" s="6">
        <v>2042</v>
      </c>
      <c r="W138" s="6">
        <v>2043</v>
      </c>
      <c r="X138" s="6">
        <v>2044</v>
      </c>
      <c r="Y138" s="6">
        <v>2045</v>
      </c>
      <c r="Z138" s="6">
        <v>2046</v>
      </c>
      <c r="AA138" s="6">
        <v>2047</v>
      </c>
      <c r="AB138" s="6">
        <v>2048</v>
      </c>
      <c r="AC138" s="6">
        <v>2049</v>
      </c>
      <c r="AD138" s="6">
        <v>2050</v>
      </c>
      <c r="AE138" s="6">
        <v>2051</v>
      </c>
      <c r="AF138" s="6">
        <v>2052</v>
      </c>
      <c r="AG138" s="6">
        <v>2053</v>
      </c>
      <c r="AH138" s="6">
        <v>2054</v>
      </c>
      <c r="AI138" s="6">
        <v>2055</v>
      </c>
      <c r="AJ138" s="6">
        <v>2056</v>
      </c>
      <c r="AK138" s="6">
        <v>2057</v>
      </c>
      <c r="AL138" s="6">
        <v>2058</v>
      </c>
      <c r="AM138" s="6">
        <v>2059</v>
      </c>
      <c r="AN138" s="6">
        <v>2060</v>
      </c>
    </row>
    <row r="139" spans="1:40" x14ac:dyDescent="0.2">
      <c r="A139" s="6" t="s">
        <v>34</v>
      </c>
      <c r="B139" s="11">
        <f>Electricity!B139*Electricity!$B$137</f>
        <v>4168749.0780000002</v>
      </c>
      <c r="C139" s="11">
        <f>Electricity!C139*Electricity!$B$137</f>
        <v>4377186.5319000008</v>
      </c>
      <c r="D139" s="11">
        <f>Electricity!D139*Electricity!$B$137</f>
        <v>4596045.8584949998</v>
      </c>
      <c r="E139" s="11">
        <f>Electricity!E139*Electricity!$B$137</f>
        <v>4825848.1514197513</v>
      </c>
      <c r="F139" s="11">
        <f>Electricity!F139*Electricity!$B$137</f>
        <v>5067140.5589907393</v>
      </c>
      <c r="G139" s="11">
        <f>Electricity!G139*Electricity!$B$137</f>
        <v>5320497.5869402764</v>
      </c>
      <c r="H139" s="11">
        <f>Electricity!H139*Electricity!$B$137</f>
        <v>5586522.4662872897</v>
      </c>
      <c r="I139" s="11">
        <f>Electricity!I139*Electricity!$B$137</f>
        <v>5865848.5896016546</v>
      </c>
      <c r="J139" s="11">
        <f>Electricity!J139*Electricity!$B$137</f>
        <v>6159141.0190817378</v>
      </c>
      <c r="K139" s="11">
        <f>Electricity!K139*Electricity!$B$137</f>
        <v>6467098.0700358246</v>
      </c>
      <c r="L139" s="11">
        <f>Electricity!L139*Electricity!$B$137</f>
        <v>6790452.9735376146</v>
      </c>
      <c r="M139" s="11">
        <f>Electricity!M139*Electricity!$B$137</f>
        <v>7129975.6222144971</v>
      </c>
      <c r="N139" s="11">
        <f>Electricity!N139*Electricity!$B$137</f>
        <v>7486474.4033252224</v>
      </c>
      <c r="O139" s="11">
        <f>Electricity!O139*Electricity!$B$137</f>
        <v>7860798.1234914847</v>
      </c>
      <c r="P139" s="11">
        <f>Electricity!P139*Electricity!$B$137</f>
        <v>8253838.0296660578</v>
      </c>
      <c r="Q139" s="11">
        <f>Electricity!Q139*Electricity!$B$137</f>
        <v>8666529.9311493617</v>
      </c>
      <c r="R139" s="11">
        <f>Electricity!R139*Electricity!$B$137</f>
        <v>9099856.4277068302</v>
      </c>
      <c r="S139" s="11">
        <f>Electricity!S139*Electricity!$B$137</f>
        <v>9554849.2490921691</v>
      </c>
      <c r="T139" s="11">
        <f>Electricity!T139*Electricity!$B$137</f>
        <v>10032591.711546779</v>
      </c>
      <c r="U139" s="11">
        <f>Electricity!U139*Electricity!$B$137</f>
        <v>10534221.297124119</v>
      </c>
      <c r="V139" s="11">
        <f>Electricity!V139*Electricity!$B$137</f>
        <v>11060932.361980326</v>
      </c>
      <c r="W139" s="11">
        <f>Electricity!W139*Electricity!$B$137</f>
        <v>11613978.980079344</v>
      </c>
      <c r="X139" s="11">
        <f>Electricity!X139*Electricity!$B$137</f>
        <v>12194677.92908331</v>
      </c>
      <c r="Y139" s="11">
        <f>Electricity!Y139*Electricity!$B$137</f>
        <v>12804411.825537477</v>
      </c>
      <c r="Z139" s="11">
        <f>Electricity!Z139*Electricity!$B$137</f>
        <v>13444632.41681435</v>
      </c>
      <c r="AA139" s="11">
        <f>Electricity!AA139*Electricity!$B$137</f>
        <v>14116864.037655067</v>
      </c>
      <c r="AB139" s="11">
        <f>Electricity!AB139*Electricity!$B$137</f>
        <v>14822707.239537824</v>
      </c>
      <c r="AC139" s="11">
        <f>Electricity!AC139*Electricity!$B$137</f>
        <v>15563842.601514714</v>
      </c>
      <c r="AD139" s="11">
        <f>Electricity!AD139*Electricity!$B$137</f>
        <v>16342034.731590444</v>
      </c>
      <c r="AE139" s="11">
        <f>Electricity!AE139*Electricity!$B$137</f>
        <v>17159136.468169972</v>
      </c>
      <c r="AF139" s="11">
        <f>Electricity!AF139*Electricity!$B$137</f>
        <v>18017093.291578472</v>
      </c>
      <c r="AG139" s="11">
        <f>Electricity!AG139*Electricity!$B$137</f>
        <v>18917947.956157397</v>
      </c>
      <c r="AH139" s="11">
        <f>Electricity!AH139*Electricity!$B$137</f>
        <v>19863845.353965264</v>
      </c>
      <c r="AI139" s="11">
        <f>Electricity!AI139*Electricity!$B$137</f>
        <v>20857037.621663529</v>
      </c>
      <c r="AJ139" s="11">
        <f>Electricity!AJ139*Electricity!$B$137</f>
        <v>21899889.502746709</v>
      </c>
      <c r="AK139" s="11">
        <f>Electricity!AK139*Electricity!$B$137</f>
        <v>22994883.977884047</v>
      </c>
      <c r="AL139" s="11">
        <f>Electricity!AL139*Electricity!$B$137</f>
        <v>24144628.176778246</v>
      </c>
      <c r="AM139" s="11">
        <f>Electricity!AM139*Electricity!$B$137</f>
        <v>25351859.585617166</v>
      </c>
      <c r="AN139" s="11">
        <f>Electricity!AN139*Electricity!$B$137</f>
        <v>26619452.564898025</v>
      </c>
    </row>
    <row r="140" spans="1:40" x14ac:dyDescent="0.2">
      <c r="A140" s="6" t="s">
        <v>35</v>
      </c>
      <c r="B140" s="11">
        <f>Electricity!B140*Electricity!$B$137</f>
        <v>1776191.9760000005</v>
      </c>
      <c r="C140" s="11">
        <f>Electricity!C140*Electricity!$B$137</f>
        <v>1865001.5748000003</v>
      </c>
      <c r="D140" s="11">
        <f>Electricity!D140*Electricity!$B$137</f>
        <v>1958251.6535400003</v>
      </c>
      <c r="E140" s="11">
        <f>Electricity!E140*Electricity!$B$137</f>
        <v>2056164.2362170005</v>
      </c>
      <c r="F140" s="11">
        <f>Electricity!F140*Electricity!$B$137</f>
        <v>2158972.4480278511</v>
      </c>
      <c r="G140" s="11">
        <f>Electricity!G140*Electricity!$B$137</f>
        <v>2266921.0704292436</v>
      </c>
      <c r="H140" s="11">
        <f>Electricity!H140*Electricity!$B$137</f>
        <v>2380267.1239507054</v>
      </c>
      <c r="I140" s="11">
        <f>Electricity!I140*Electricity!$B$137</f>
        <v>2499280.4801482414</v>
      </c>
      <c r="J140" s="11">
        <f>Electricity!J140*Electricity!$B$137</f>
        <v>2624244.5041556535</v>
      </c>
      <c r="K140" s="11">
        <f>Electricity!K140*Electricity!$B$137</f>
        <v>2755456.7293634363</v>
      </c>
      <c r="L140" s="11">
        <f>Electricity!L140*Electricity!$B$137</f>
        <v>2893229.5658316072</v>
      </c>
      <c r="M140" s="11">
        <f>Electricity!M140*Electricity!$B$137</f>
        <v>3037891.0441231881</v>
      </c>
      <c r="N140" s="11">
        <f>Electricity!N140*Electricity!$B$137</f>
        <v>3189785.5963293482</v>
      </c>
      <c r="O140" s="11">
        <f>Electricity!O140*Electricity!$B$137</f>
        <v>3349274.8761458155</v>
      </c>
      <c r="P140" s="11">
        <f>Electricity!P140*Electricity!$B$137</f>
        <v>3516738.6199531066</v>
      </c>
      <c r="Q140" s="11">
        <f>Electricity!Q140*Electricity!$B$137</f>
        <v>3692575.5509507619</v>
      </c>
      <c r="R140" s="11">
        <f>Electricity!R140*Electricity!$B$137</f>
        <v>3877204.3284983006</v>
      </c>
      <c r="S140" s="11">
        <f>Electricity!S140*Electricity!$B$137</f>
        <v>4071064.5449232138</v>
      </c>
      <c r="T140" s="11">
        <f>Electricity!T140*Electricity!$B$137</f>
        <v>4274617.7721693749</v>
      </c>
      <c r="U140" s="11">
        <f>Electricity!U140*Electricity!$B$137</f>
        <v>4488348.6607778454</v>
      </c>
      <c r="V140" s="11">
        <f>Electricity!V140*Electricity!$B$137</f>
        <v>4712766.0938167376</v>
      </c>
      <c r="W140" s="11">
        <f>Electricity!W140*Electricity!$B$137</f>
        <v>4948404.3985075746</v>
      </c>
      <c r="X140" s="11">
        <f>Electricity!X140*Electricity!$B$137</f>
        <v>5195824.618432953</v>
      </c>
      <c r="Y140" s="11">
        <f>Electricity!Y140*Electricity!$B$137</f>
        <v>5455615.8493546005</v>
      </c>
      <c r="Z140" s="11">
        <f>Electricity!Z140*Electricity!$B$137</f>
        <v>5728396.6418223307</v>
      </c>
      <c r="AA140" s="11">
        <f>Electricity!AA140*Electricity!$B$137</f>
        <v>6014816.473913447</v>
      </c>
      <c r="AB140" s="11">
        <f>Electricity!AB140*Electricity!$B$137</f>
        <v>6315557.2976091206</v>
      </c>
      <c r="AC140" s="11">
        <f>Electricity!AC140*Electricity!$B$137</f>
        <v>6631335.1624895763</v>
      </c>
      <c r="AD140" s="11">
        <f>Electricity!AD140*Electricity!$B$137</f>
        <v>6962901.9206140544</v>
      </c>
      <c r="AE140" s="11">
        <f>Electricity!AE140*Electricity!$B$137</f>
        <v>7311047.0166447582</v>
      </c>
      <c r="AF140" s="11">
        <f>Electricity!AF140*Electricity!$B$137</f>
        <v>7676599.367476996</v>
      </c>
      <c r="AG140" s="11">
        <f>Electricity!AG140*Electricity!$B$137</f>
        <v>8060429.335850847</v>
      </c>
      <c r="AH140" s="11">
        <f>Electricity!AH140*Electricity!$B$137</f>
        <v>8463450.8026433885</v>
      </c>
      <c r="AI140" s="11">
        <f>Electricity!AI140*Electricity!$B$137</f>
        <v>8886623.3427755591</v>
      </c>
      <c r="AJ140" s="11">
        <f>Electricity!AJ140*Electricity!$B$137</f>
        <v>9330954.5099143386</v>
      </c>
      <c r="AK140" s="11">
        <f>Electricity!AK140*Electricity!$B$137</f>
        <v>9797502.2354100551</v>
      </c>
      <c r="AL140" s="11">
        <f>Electricity!AL140*Electricity!$B$137</f>
        <v>10287377.347180558</v>
      </c>
      <c r="AM140" s="11">
        <f>Electricity!AM140*Electricity!$B$137</f>
        <v>10801746.214539587</v>
      </c>
      <c r="AN140" s="11">
        <f>Electricity!AN140*Electricity!$B$137</f>
        <v>11341833.525266569</v>
      </c>
    </row>
    <row r="141" spans="1:40" x14ac:dyDescent="0.2">
      <c r="A141" s="6" t="s">
        <v>36</v>
      </c>
      <c r="B141" s="11">
        <f>Electricity!B141*Electricity!$B$137</f>
        <v>410910.08400000003</v>
      </c>
      <c r="C141" s="11">
        <f>Electricity!C141*Electricity!$B$137</f>
        <v>431455.58820000006</v>
      </c>
      <c r="D141" s="11">
        <f>Electricity!D141*Electricity!$B$137</f>
        <v>453028.36761000002</v>
      </c>
      <c r="E141" s="11">
        <f>Electricity!E141*Electricity!$B$137</f>
        <v>475679.78599050012</v>
      </c>
      <c r="F141" s="11">
        <f>Electricity!F141*Electricity!$B$137</f>
        <v>499463.77529002511</v>
      </c>
      <c r="G141" s="11">
        <f>Electricity!G141*Electricity!$B$137</f>
        <v>524436.96405452641</v>
      </c>
      <c r="H141" s="11">
        <f>Electricity!H141*Electricity!$B$137</f>
        <v>550658.81225725275</v>
      </c>
      <c r="I141" s="11">
        <f>Electricity!I141*Electricity!$B$137</f>
        <v>578191.75287011545</v>
      </c>
      <c r="J141" s="11">
        <f>Electricity!J141*Electricity!$B$137</f>
        <v>607101.34051362122</v>
      </c>
      <c r="K141" s="11">
        <f>Electricity!K141*Electricity!$B$137</f>
        <v>637456.40753930225</v>
      </c>
      <c r="L141" s="11">
        <f>Electricity!L141*Electricity!$B$137</f>
        <v>669329.22791626735</v>
      </c>
      <c r="M141" s="11">
        <f>Electricity!M141*Electricity!$B$137</f>
        <v>702795.68931208074</v>
      </c>
      <c r="N141" s="11">
        <f>Electricity!N141*Electricity!$B$137</f>
        <v>737935.47377768497</v>
      </c>
      <c r="O141" s="11">
        <f>Electricity!O141*Electricity!$B$137</f>
        <v>774832.24746656918</v>
      </c>
      <c r="P141" s="11">
        <f>Electricity!P141*Electricity!$B$137</f>
        <v>813573.8598398976</v>
      </c>
      <c r="Q141" s="11">
        <f>Electricity!Q141*Electricity!$B$137</f>
        <v>854252.55283189251</v>
      </c>
      <c r="R141" s="11">
        <f>Electricity!R141*Electricity!$B$137</f>
        <v>896965.18047348736</v>
      </c>
      <c r="S141" s="11">
        <f>Electricity!S141*Electricity!$B$137</f>
        <v>941813.43949716142</v>
      </c>
      <c r="T141" s="11">
        <f>Electricity!T141*Electricity!$B$137</f>
        <v>988904.11147201946</v>
      </c>
      <c r="U141" s="11">
        <f>Electricity!U141*Electricity!$B$137</f>
        <v>1038349.3170456206</v>
      </c>
      <c r="V141" s="11">
        <f>Electricity!V141*Electricity!$B$137</f>
        <v>1090266.782897902</v>
      </c>
      <c r="W141" s="11">
        <f>Electricity!W141*Electricity!$B$137</f>
        <v>1144780.122042797</v>
      </c>
      <c r="X141" s="11">
        <f>Electricity!X141*Electricity!$B$137</f>
        <v>1202019.1281449369</v>
      </c>
      <c r="Y141" s="11">
        <f>Electricity!Y141*Electricity!$B$137</f>
        <v>1262120.0845521837</v>
      </c>
      <c r="Z141" s="11">
        <f>Electricity!Z141*Electricity!$B$137</f>
        <v>1325226.0887797929</v>
      </c>
      <c r="AA141" s="11">
        <f>Electricity!AA141*Electricity!$B$137</f>
        <v>1391487.3932187823</v>
      </c>
      <c r="AB141" s="11">
        <f>Electricity!AB141*Electricity!$B$137</f>
        <v>1461061.7628797218</v>
      </c>
      <c r="AC141" s="11">
        <f>Electricity!AC141*Electricity!$B$137</f>
        <v>1534114.8510237078</v>
      </c>
      <c r="AD141" s="11">
        <f>Electricity!AD141*Electricity!$B$137</f>
        <v>1610820.593574893</v>
      </c>
      <c r="AE141" s="11">
        <f>Electricity!AE141*Electricity!$B$137</f>
        <v>1691361.6232536379</v>
      </c>
      <c r="AF141" s="11">
        <f>Electricity!AF141*Electricity!$B$137</f>
        <v>1775929.70441632</v>
      </c>
      <c r="AG141" s="11">
        <f>Electricity!AG141*Electricity!$B$137</f>
        <v>1864726.1896371362</v>
      </c>
      <c r="AH141" s="11">
        <f>Electricity!AH141*Electricity!$B$137</f>
        <v>1957962.4991189931</v>
      </c>
      <c r="AI141" s="11">
        <f>Electricity!AI141*Electricity!$B$137</f>
        <v>2055860.6240749429</v>
      </c>
      <c r="AJ141" s="11">
        <f>Electricity!AJ141*Electricity!$B$137</f>
        <v>2158653.6552786902</v>
      </c>
      <c r="AK141" s="11">
        <f>Electricity!AK141*Electricity!$B$137</f>
        <v>2266586.3380426243</v>
      </c>
      <c r="AL141" s="11">
        <f>Electricity!AL141*Electricity!$B$137</f>
        <v>2379915.6549447556</v>
      </c>
      <c r="AM141" s="11">
        <f>Electricity!AM141*Electricity!$B$137</f>
        <v>2498911.437691994</v>
      </c>
      <c r="AN141" s="11">
        <f>Electricity!AN141*Electricity!$B$137</f>
        <v>2623857.009576594</v>
      </c>
    </row>
    <row r="142" spans="1:40" x14ac:dyDescent="0.2">
      <c r="A142" s="6" t="s">
        <v>37</v>
      </c>
      <c r="B142" s="11">
        <f>Electricity!B142*Electricity!$B$137</f>
        <v>271730.86200000002</v>
      </c>
      <c r="C142" s="11">
        <f>Electricity!C142*Electricity!$B$137</f>
        <v>285317.40510000003</v>
      </c>
      <c r="D142" s="11">
        <f>Electricity!D142*Electricity!$B$137</f>
        <v>299583.27535500005</v>
      </c>
      <c r="E142" s="11">
        <f>Electricity!E142*Electricity!$B$137</f>
        <v>314562.43912275007</v>
      </c>
      <c r="F142" s="11">
        <f>Electricity!F142*Electricity!$B$137</f>
        <v>330290.56107888761</v>
      </c>
      <c r="G142" s="11">
        <f>Electricity!G142*Electricity!$B$137</f>
        <v>346805.08913283196</v>
      </c>
      <c r="H142" s="11">
        <f>Electricity!H142*Electricity!$B$137</f>
        <v>364145.34358947357</v>
      </c>
      <c r="I142" s="11">
        <f>Electricity!I142*Electricity!$B$137</f>
        <v>382352.61076894728</v>
      </c>
      <c r="J142" s="11">
        <f>Electricity!J142*Electricity!$B$137</f>
        <v>401470.2413073947</v>
      </c>
      <c r="K142" s="11">
        <f>Electricity!K142*Electricity!$B$137</f>
        <v>421543.75337276439</v>
      </c>
      <c r="L142" s="11">
        <f>Electricity!L142*Electricity!$B$137</f>
        <v>442620.94104140258</v>
      </c>
      <c r="M142" s="11">
        <f>Electricity!M142*Electricity!$B$137</f>
        <v>464751.98809347278</v>
      </c>
      <c r="N142" s="11">
        <f>Electricity!N142*Electricity!$B$137</f>
        <v>487989.58749814646</v>
      </c>
      <c r="O142" s="11">
        <f>Electricity!O142*Electricity!$B$137</f>
        <v>512389.06687305385</v>
      </c>
      <c r="P142" s="11">
        <f>Electricity!P142*Electricity!$B$137</f>
        <v>538008.52021670656</v>
      </c>
      <c r="Q142" s="11">
        <f>Electricity!Q142*Electricity!$B$137</f>
        <v>564908.94622754189</v>
      </c>
      <c r="R142" s="11">
        <f>Electricity!R142*Electricity!$B$137</f>
        <v>593154.39353891904</v>
      </c>
      <c r="S142" s="11">
        <f>Electricity!S142*Electricity!$B$137</f>
        <v>622812.11321586475</v>
      </c>
      <c r="T142" s="11">
        <f>Electricity!T142*Electricity!$B$137</f>
        <v>653952.71887665801</v>
      </c>
      <c r="U142" s="11">
        <f>Electricity!U142*Electricity!$B$137</f>
        <v>686650.35482049105</v>
      </c>
      <c r="V142" s="11">
        <f>Electricity!V142*Electricity!$B$137</f>
        <v>720982.87256151577</v>
      </c>
      <c r="W142" s="11">
        <f>Electricity!W142*Electricity!$B$137</f>
        <v>757032.01618959161</v>
      </c>
      <c r="X142" s="11">
        <f>Electricity!X142*Electricity!$B$137</f>
        <v>794883.61699907109</v>
      </c>
      <c r="Y142" s="11">
        <f>Electricity!Y142*Electricity!$B$137</f>
        <v>834627.79784902465</v>
      </c>
      <c r="Z142" s="11">
        <f>Electricity!Z142*Electricity!$B$137</f>
        <v>876359.18774147599</v>
      </c>
      <c r="AA142" s="11">
        <f>Electricity!AA142*Electricity!$B$137</f>
        <v>920177.14712854952</v>
      </c>
      <c r="AB142" s="11">
        <f>Electricity!AB142*Electricity!$B$137</f>
        <v>966186.00448497734</v>
      </c>
      <c r="AC142" s="11">
        <f>Electricity!AC142*Electricity!$B$137</f>
        <v>1014495.3047092262</v>
      </c>
      <c r="AD142" s="11">
        <f>Electricity!AD142*Electricity!$B$137</f>
        <v>1065220.0699446872</v>
      </c>
      <c r="AE142" s="11">
        <f>Electricity!AE142*Electricity!$B$137</f>
        <v>1118481.073441922</v>
      </c>
      <c r="AF142" s="11">
        <f>Electricity!AF142*Electricity!$B$137</f>
        <v>1174405.127114018</v>
      </c>
      <c r="AG142" s="11">
        <f>Electricity!AG142*Electricity!$B$137</f>
        <v>1233125.3834697192</v>
      </c>
      <c r="AH142" s="11">
        <f>Electricity!AH142*Electricity!$B$137</f>
        <v>1294781.6526432049</v>
      </c>
      <c r="AI142" s="11">
        <f>Electricity!AI142*Electricity!$B$137</f>
        <v>1359520.7352753654</v>
      </c>
      <c r="AJ142" s="11">
        <f>Electricity!AJ142*Electricity!$B$137</f>
        <v>1427496.7720391338</v>
      </c>
      <c r="AK142" s="11">
        <f>Electricity!AK142*Electricity!$B$137</f>
        <v>1498871.6106410904</v>
      </c>
      <c r="AL142" s="11">
        <f>Electricity!AL142*Electricity!$B$137</f>
        <v>1573815.1911731448</v>
      </c>
      <c r="AM142" s="11">
        <f>Electricity!AM142*Electricity!$B$137</f>
        <v>1652505.9507318023</v>
      </c>
      <c r="AN142" s="11">
        <f>Electricity!AN142*Electricity!$B$137</f>
        <v>1735131.2482683929</v>
      </c>
    </row>
    <row r="144" spans="1:40" x14ac:dyDescent="0.2">
      <c r="A144" s="5" t="s">
        <v>157</v>
      </c>
    </row>
    <row r="145" spans="1:40" x14ac:dyDescent="0.2">
      <c r="A145" s="5" t="s">
        <v>4</v>
      </c>
    </row>
    <row r="146" spans="1:40" x14ac:dyDescent="0.2">
      <c r="A146" s="5" t="s">
        <v>70</v>
      </c>
    </row>
    <row r="147" spans="1:40" x14ac:dyDescent="0.2">
      <c r="A147" s="5" t="s">
        <v>6</v>
      </c>
    </row>
    <row r="148" spans="1:40" x14ac:dyDescent="0.2">
      <c r="A148" s="5"/>
    </row>
    <row r="149" spans="1:40" x14ac:dyDescent="0.2">
      <c r="A149" s="6" t="s">
        <v>7</v>
      </c>
      <c r="B149" s="6">
        <v>2022</v>
      </c>
      <c r="C149" s="6">
        <v>2023</v>
      </c>
      <c r="D149" s="6">
        <v>2024</v>
      </c>
      <c r="E149" s="6">
        <v>2025</v>
      </c>
      <c r="F149" s="6">
        <v>2026</v>
      </c>
      <c r="G149" s="6">
        <v>2027</v>
      </c>
      <c r="H149" s="6">
        <v>2028</v>
      </c>
      <c r="I149" s="6">
        <v>2029</v>
      </c>
      <c r="J149" s="6">
        <v>2030</v>
      </c>
      <c r="K149" s="6">
        <v>2031</v>
      </c>
      <c r="L149" s="6">
        <v>2032</v>
      </c>
      <c r="M149" s="6">
        <v>2033</v>
      </c>
      <c r="N149" s="6">
        <v>2034</v>
      </c>
      <c r="O149" s="6">
        <v>2035</v>
      </c>
      <c r="P149" s="6">
        <v>2036</v>
      </c>
      <c r="Q149" s="6">
        <v>2037</v>
      </c>
      <c r="R149" s="6">
        <v>2038</v>
      </c>
      <c r="S149" s="6">
        <v>2039</v>
      </c>
      <c r="T149" s="6">
        <v>2040</v>
      </c>
      <c r="U149" s="6">
        <v>2041</v>
      </c>
      <c r="V149" s="6">
        <v>2042</v>
      </c>
      <c r="W149" s="6">
        <v>2043</v>
      </c>
      <c r="X149" s="6">
        <v>2044</v>
      </c>
      <c r="Y149" s="6">
        <v>2045</v>
      </c>
      <c r="Z149" s="6">
        <v>2046</v>
      </c>
      <c r="AA149" s="6">
        <v>2047</v>
      </c>
      <c r="AB149" s="6">
        <v>2048</v>
      </c>
      <c r="AC149" s="6">
        <v>2049</v>
      </c>
      <c r="AD149" s="6">
        <v>2050</v>
      </c>
      <c r="AE149" s="6">
        <v>2051</v>
      </c>
      <c r="AF149" s="6">
        <v>2052</v>
      </c>
      <c r="AG149" s="6">
        <v>2053</v>
      </c>
      <c r="AH149" s="6">
        <v>2054</v>
      </c>
      <c r="AI149" s="6">
        <v>2055</v>
      </c>
      <c r="AJ149" s="6">
        <v>2056</v>
      </c>
      <c r="AK149" s="6">
        <v>2057</v>
      </c>
      <c r="AL149" s="6">
        <v>2058</v>
      </c>
      <c r="AM149" s="6">
        <v>2059</v>
      </c>
      <c r="AN149" s="6">
        <v>2060</v>
      </c>
    </row>
    <row r="150" spans="1:40" x14ac:dyDescent="0.2">
      <c r="A150" s="6" t="s">
        <v>34</v>
      </c>
      <c r="B150" s="11">
        <f>Electricity!B150*Electricity!$B$148</f>
        <v>4436349.5296799997</v>
      </c>
      <c r="C150" s="11">
        <f>Electricity!C150*Electricity!$B$148</f>
        <v>4658167.0061640004</v>
      </c>
      <c r="D150" s="11">
        <f>Electricity!D150*Electricity!$B$148</f>
        <v>4891075.3564721998</v>
      </c>
      <c r="E150" s="11">
        <f>Electricity!E150*Electricity!$B$148</f>
        <v>5135629.1242958102</v>
      </c>
      <c r="F150" s="11">
        <f>Electricity!F150*Electricity!$B$148</f>
        <v>5392410.5805106023</v>
      </c>
      <c r="G150" s="11">
        <f>Electricity!G150*Electricity!$B$148</f>
        <v>5662031.1095361309</v>
      </c>
      <c r="H150" s="11">
        <f>Electricity!H150*Electricity!$B$148</f>
        <v>5945132.665012938</v>
      </c>
      <c r="I150" s="11">
        <f>Electricity!I150*Electricity!$B$148</f>
        <v>6242389.2982635861</v>
      </c>
      <c r="J150" s="11">
        <f>Electricity!J150*Electricity!$B$148</f>
        <v>6554508.7631767653</v>
      </c>
      <c r="K150" s="11">
        <f>Electricity!K150*Electricity!$B$148</f>
        <v>6882234.2013356034</v>
      </c>
      <c r="L150" s="11">
        <f>Electricity!L150*Electricity!$B$148</f>
        <v>7226345.9114023838</v>
      </c>
      <c r="M150" s="11">
        <f>Electricity!M150*Electricity!$B$148</f>
        <v>7587663.2069725022</v>
      </c>
      <c r="N150" s="11">
        <f>Electricity!N150*Electricity!$B$148</f>
        <v>7967046.3673211299</v>
      </c>
      <c r="O150" s="11">
        <f>Electricity!O150*Electricity!$B$148</f>
        <v>8365398.6856871881</v>
      </c>
      <c r="P150" s="11">
        <f>Electricity!P150*Electricity!$B$148</f>
        <v>8783668.6199715454</v>
      </c>
      <c r="Q150" s="11">
        <f>Electricity!Q150*Electricity!$B$148</f>
        <v>9222852.0509701241</v>
      </c>
      <c r="R150" s="11">
        <f>Electricity!R150*Electricity!$B$148</f>
        <v>9683994.6535186283</v>
      </c>
      <c r="S150" s="11">
        <f>Electricity!S150*Electricity!$B$148</f>
        <v>10168194.386194563</v>
      </c>
      <c r="T150" s="11">
        <f>Electricity!T150*Electricity!$B$148</f>
        <v>10676604.105504289</v>
      </c>
      <c r="U150" s="11">
        <f>Electricity!U150*Electricity!$B$148</f>
        <v>11210434.310779504</v>
      </c>
      <c r="V150" s="11">
        <f>Electricity!V150*Electricity!$B$148</f>
        <v>11770956.026318479</v>
      </c>
      <c r="W150" s="11">
        <f>Electricity!W150*Electricity!$B$148</f>
        <v>12359503.827634405</v>
      </c>
      <c r="X150" s="11">
        <f>Electricity!X150*Electricity!$B$148</f>
        <v>12977479.019016126</v>
      </c>
      <c r="Y150" s="11">
        <f>Electricity!Y150*Electricity!$B$148</f>
        <v>13626352.969966929</v>
      </c>
      <c r="Z150" s="11">
        <f>Electricity!Z150*Electricity!$B$148</f>
        <v>14307670.618465276</v>
      </c>
      <c r="AA150" s="11">
        <f>Electricity!AA150*Electricity!$B$148</f>
        <v>15023054.149388544</v>
      </c>
      <c r="AB150" s="11">
        <f>Electricity!AB150*Electricity!$B$148</f>
        <v>15774206.85685797</v>
      </c>
      <c r="AC150" s="11">
        <f>Electricity!AC150*Electricity!$B$148</f>
        <v>16562917.199700866</v>
      </c>
      <c r="AD150" s="11">
        <f>Electricity!AD150*Electricity!$B$148</f>
        <v>17391063.059685912</v>
      </c>
      <c r="AE150" s="11">
        <f>Electricity!AE150*Electricity!$B$148</f>
        <v>18260616.212670207</v>
      </c>
      <c r="AF150" s="11">
        <f>Electricity!AF150*Electricity!$B$148</f>
        <v>19173647.023303721</v>
      </c>
      <c r="AG150" s="11">
        <f>Electricity!AG150*Electricity!$B$148</f>
        <v>20132329.374468908</v>
      </c>
      <c r="AH150" s="11">
        <f>Electricity!AH150*Electricity!$B$148</f>
        <v>21138945.843192354</v>
      </c>
      <c r="AI150" s="11">
        <f>Electricity!AI150*Electricity!$B$148</f>
        <v>22195893.135351975</v>
      </c>
      <c r="AJ150" s="11">
        <f>Electricity!AJ150*Electricity!$B$148</f>
        <v>23305687.792119574</v>
      </c>
      <c r="AK150" s="11">
        <f>Electricity!AK150*Electricity!$B$148</f>
        <v>24470972.181725554</v>
      </c>
      <c r="AL150" s="11">
        <f>Electricity!AL150*Electricity!$B$148</f>
        <v>25694520.790811833</v>
      </c>
      <c r="AM150" s="11">
        <f>Electricity!AM150*Electricity!$B$148</f>
        <v>26979246.830352422</v>
      </c>
      <c r="AN150" s="11">
        <f>Electricity!AN150*Electricity!$B$148</f>
        <v>28328209.171870049</v>
      </c>
    </row>
    <row r="151" spans="1:40" x14ac:dyDescent="0.2">
      <c r="A151" s="6" t="s">
        <v>35</v>
      </c>
      <c r="B151" s="11">
        <f>Electricity!B151*Electricity!$B$148</f>
        <v>1890209.3385599998</v>
      </c>
      <c r="C151" s="11">
        <f>Electricity!C151*Electricity!$B$148</f>
        <v>1984719.8054880002</v>
      </c>
      <c r="D151" s="11">
        <f>Electricity!D151*Electricity!$B$148</f>
        <v>2083955.7957623999</v>
      </c>
      <c r="E151" s="11">
        <f>Electricity!E151*Electricity!$B$148</f>
        <v>2188153.5855505201</v>
      </c>
      <c r="F151" s="11">
        <f>Electricity!F151*Electricity!$B$148</f>
        <v>2297561.2648280468</v>
      </c>
      <c r="G151" s="11">
        <f>Electricity!G151*Electricity!$B$148</f>
        <v>2412439.3280694485</v>
      </c>
      <c r="H151" s="11">
        <f>Electricity!H151*Electricity!$B$148</f>
        <v>2533061.2944729212</v>
      </c>
      <c r="I151" s="11">
        <f>Electricity!I151*Electricity!$B$148</f>
        <v>2659714.3591965679</v>
      </c>
      <c r="J151" s="11">
        <f>Electricity!J151*Electricity!$B$148</f>
        <v>2792700.0771563961</v>
      </c>
      <c r="K151" s="11">
        <f>Electricity!K151*Electricity!$B$148</f>
        <v>2932335.0810142155</v>
      </c>
      <c r="L151" s="11">
        <f>Electricity!L151*Electricity!$B$148</f>
        <v>3078951.8350649262</v>
      </c>
      <c r="M151" s="11">
        <f>Electricity!M151*Electricity!$B$148</f>
        <v>3232899.4268181729</v>
      </c>
      <c r="N151" s="11">
        <f>Electricity!N151*Electricity!$B$148</f>
        <v>3394544.398159082</v>
      </c>
      <c r="O151" s="11">
        <f>Electricity!O151*Electricity!$B$148</f>
        <v>3564271.6180670364</v>
      </c>
      <c r="P151" s="11">
        <f>Electricity!P151*Electricity!$B$148</f>
        <v>3742485.1989703882</v>
      </c>
      <c r="Q151" s="11">
        <f>Electricity!Q151*Electricity!$B$148</f>
        <v>3929609.4589189081</v>
      </c>
      <c r="R151" s="11">
        <f>Electricity!R151*Electricity!$B$148</f>
        <v>4126089.931864853</v>
      </c>
      <c r="S151" s="11">
        <f>Electricity!S151*Electricity!$B$148</f>
        <v>4332394.4284580955</v>
      </c>
      <c r="T151" s="11">
        <f>Electricity!T151*Electricity!$B$148</f>
        <v>4549014.1498810006</v>
      </c>
      <c r="U151" s="11">
        <f>Electricity!U151*Electricity!$B$148</f>
        <v>4776464.8573750518</v>
      </c>
      <c r="V151" s="11">
        <f>Electricity!V151*Electricity!$B$148</f>
        <v>5015288.100243804</v>
      </c>
      <c r="W151" s="11">
        <f>Electricity!W151*Electricity!$B$148</f>
        <v>5266052.5052559944</v>
      </c>
      <c r="X151" s="11">
        <f>Electricity!X151*Electricity!$B$148</f>
        <v>5529355.1305187941</v>
      </c>
      <c r="Y151" s="11">
        <f>Electricity!Y151*Electricity!$B$148</f>
        <v>5805822.8870447334</v>
      </c>
      <c r="Z151" s="11">
        <f>Electricity!Z151*Electricity!$B$148</f>
        <v>6096114.0313969692</v>
      </c>
      <c r="AA151" s="11">
        <f>Electricity!AA151*Electricity!$B$148</f>
        <v>6400919.7329668198</v>
      </c>
      <c r="AB151" s="11">
        <f>Electricity!AB151*Electricity!$B$148</f>
        <v>6720965.7196151605</v>
      </c>
      <c r="AC151" s="11">
        <f>Electricity!AC151*Electricity!$B$148</f>
        <v>7057014.0055959187</v>
      </c>
      <c r="AD151" s="11">
        <f>Electricity!AD151*Electricity!$B$148</f>
        <v>7409864.7058757134</v>
      </c>
      <c r="AE151" s="11">
        <f>Electricity!AE151*Electricity!$B$148</f>
        <v>7780357.9411694994</v>
      </c>
      <c r="AF151" s="11">
        <f>Electricity!AF151*Electricity!$B$148</f>
        <v>8169375.8382279761</v>
      </c>
      <c r="AG151" s="11">
        <f>Electricity!AG151*Electricity!$B$148</f>
        <v>8577844.6301393751</v>
      </c>
      <c r="AH151" s="11">
        <f>Electricity!AH151*Electricity!$B$148</f>
        <v>9006736.8616463449</v>
      </c>
      <c r="AI151" s="11">
        <f>Electricity!AI151*Electricity!$B$148</f>
        <v>9457073.704728663</v>
      </c>
      <c r="AJ151" s="11">
        <f>Electricity!AJ151*Electricity!$B$148</f>
        <v>9929927.3899650965</v>
      </c>
      <c r="AK151" s="11">
        <f>Electricity!AK151*Electricity!$B$148</f>
        <v>10426423.759463353</v>
      </c>
      <c r="AL151" s="11">
        <f>Electricity!AL151*Electricity!$B$148</f>
        <v>10947744.947436521</v>
      </c>
      <c r="AM151" s="11">
        <f>Electricity!AM151*Electricity!$B$148</f>
        <v>11495132.194808345</v>
      </c>
      <c r="AN151" s="11">
        <f>Electricity!AN151*Electricity!$B$148</f>
        <v>12069888.804548765</v>
      </c>
    </row>
    <row r="152" spans="1:40" x14ac:dyDescent="0.2">
      <c r="A152" s="6" t="s">
        <v>36</v>
      </c>
      <c r="B152" s="11">
        <f>Electricity!B152*Electricity!$B$148</f>
        <v>437287.23503999994</v>
      </c>
      <c r="C152" s="11">
        <f>Electricity!C152*Electricity!$B$148</f>
        <v>459151.59679200005</v>
      </c>
      <c r="D152" s="11">
        <f>Electricity!D152*Electricity!$B$148</f>
        <v>482109.17663159996</v>
      </c>
      <c r="E152" s="11">
        <f>Electricity!E152*Electricity!$B$148</f>
        <v>506214.6354631799</v>
      </c>
      <c r="F152" s="11">
        <f>Electricity!F152*Electricity!$B$148</f>
        <v>531525.36723633914</v>
      </c>
      <c r="G152" s="11">
        <f>Electricity!G152*Electricity!$B$148</f>
        <v>558101.63559815602</v>
      </c>
      <c r="H152" s="11">
        <f>Electricity!H152*Electricity!$B$148</f>
        <v>586006.71737806383</v>
      </c>
      <c r="I152" s="11">
        <f>Electricity!I152*Electricity!$B$148</f>
        <v>615307.05324696726</v>
      </c>
      <c r="J152" s="11">
        <f>Electricity!J152*Electricity!$B$148</f>
        <v>646072.40590931557</v>
      </c>
      <c r="K152" s="11">
        <f>Electricity!K152*Electricity!$B$148</f>
        <v>678376.02620478126</v>
      </c>
      <c r="L152" s="11">
        <f>Electricity!L152*Electricity!$B$148</f>
        <v>712294.82751502038</v>
      </c>
      <c r="M152" s="11">
        <f>Electricity!M152*Electricity!$B$148</f>
        <v>747909.56889077125</v>
      </c>
      <c r="N152" s="11">
        <f>Electricity!N152*Electricity!$B$148</f>
        <v>785305.04733531002</v>
      </c>
      <c r="O152" s="11">
        <f>Electricity!O152*Electricity!$B$148</f>
        <v>824570.29970207566</v>
      </c>
      <c r="P152" s="11">
        <f>Electricity!P152*Electricity!$B$148</f>
        <v>865798.81468717929</v>
      </c>
      <c r="Q152" s="11">
        <f>Electricity!Q152*Electricity!$B$148</f>
        <v>909088.75542153837</v>
      </c>
      <c r="R152" s="11">
        <f>Electricity!R152*Electricity!$B$148</f>
        <v>954543.19319261529</v>
      </c>
      <c r="S152" s="11">
        <f>Electricity!S152*Electricity!$B$148</f>
        <v>1002270.352852246</v>
      </c>
      <c r="T152" s="11">
        <f>Electricity!T152*Electricity!$B$148</f>
        <v>1052383.8704948584</v>
      </c>
      <c r="U152" s="11">
        <f>Electricity!U152*Electricity!$B$148</f>
        <v>1105003.0640196013</v>
      </c>
      <c r="V152" s="11">
        <f>Electricity!V152*Electricity!$B$148</f>
        <v>1160253.2172205814</v>
      </c>
      <c r="W152" s="11">
        <f>Electricity!W152*Electricity!$B$148</f>
        <v>1218265.8780816107</v>
      </c>
      <c r="X152" s="11">
        <f>Electricity!X152*Electricity!$B$148</f>
        <v>1279179.1719856912</v>
      </c>
      <c r="Y152" s="11">
        <f>Electricity!Y152*Electricity!$B$148</f>
        <v>1343138.1305849755</v>
      </c>
      <c r="Z152" s="11">
        <f>Electricity!Z152*Electricity!$B$148</f>
        <v>1410295.0371142244</v>
      </c>
      <c r="AA152" s="11">
        <f>Electricity!AA152*Electricity!$B$148</f>
        <v>1480809.7889699358</v>
      </c>
      <c r="AB152" s="11">
        <f>Electricity!AB152*Electricity!$B$148</f>
        <v>1554850.2784184327</v>
      </c>
      <c r="AC152" s="11">
        <f>Electricity!AC152*Electricity!$B$148</f>
        <v>1632592.7923393543</v>
      </c>
      <c r="AD152" s="11">
        <f>Electricity!AD152*Electricity!$B$148</f>
        <v>1714222.4319563219</v>
      </c>
      <c r="AE152" s="11">
        <f>Electricity!AE152*Electricity!$B$148</f>
        <v>1799933.5535541382</v>
      </c>
      <c r="AF152" s="11">
        <f>Electricity!AF152*Electricity!$B$148</f>
        <v>1889930.2312318452</v>
      </c>
      <c r="AG152" s="11">
        <f>Electricity!AG152*Electricity!$B$148</f>
        <v>1984426.7427934373</v>
      </c>
      <c r="AH152" s="11">
        <f>Electricity!AH152*Electricity!$B$148</f>
        <v>2083648.0799331097</v>
      </c>
      <c r="AI152" s="11">
        <f>Electricity!AI152*Electricity!$B$148</f>
        <v>2187830.4839297649</v>
      </c>
      <c r="AJ152" s="11">
        <f>Electricity!AJ152*Electricity!$B$148</f>
        <v>2297222.0081262537</v>
      </c>
      <c r="AK152" s="11">
        <f>Electricity!AK152*Electricity!$B$148</f>
        <v>2412083.1085325666</v>
      </c>
      <c r="AL152" s="11">
        <f>Electricity!AL152*Electricity!$B$148</f>
        <v>2532687.263959195</v>
      </c>
      <c r="AM152" s="11">
        <f>Electricity!AM152*Electricity!$B$148</f>
        <v>2659321.6271571545</v>
      </c>
      <c r="AN152" s="11">
        <f>Electricity!AN152*Electricity!$B$148</f>
        <v>2792287.7085150126</v>
      </c>
    </row>
    <row r="153" spans="1:40" x14ac:dyDescent="0.2">
      <c r="A153" s="6" t="s">
        <v>37</v>
      </c>
      <c r="B153" s="11">
        <f>Electricity!B153*Electricity!$B$148</f>
        <v>289173.81672</v>
      </c>
      <c r="C153" s="11">
        <f>Electricity!C153*Electricity!$B$148</f>
        <v>303632.50755600003</v>
      </c>
      <c r="D153" s="11">
        <f>Electricity!D153*Electricity!$B$148</f>
        <v>318814.13293379999</v>
      </c>
      <c r="E153" s="11">
        <f>Electricity!E153*Electricity!$B$148</f>
        <v>334754.83958049002</v>
      </c>
      <c r="F153" s="11">
        <f>Electricity!F153*Electricity!$B$148</f>
        <v>351492.58155951463</v>
      </c>
      <c r="G153" s="11">
        <f>Electricity!G153*Electricity!$B$148</f>
        <v>369067.21063749027</v>
      </c>
      <c r="H153" s="11">
        <f>Electricity!H153*Electricity!$B$148</f>
        <v>387520.57116936485</v>
      </c>
      <c r="I153" s="11">
        <f>Electricity!I153*Electricity!$B$148</f>
        <v>406896.59972783318</v>
      </c>
      <c r="J153" s="11">
        <f>Electricity!J153*Electricity!$B$148</f>
        <v>427241.42971422477</v>
      </c>
      <c r="K153" s="11">
        <f>Electricity!K153*Electricity!$B$148</f>
        <v>448603.50119993603</v>
      </c>
      <c r="L153" s="11">
        <f>Electricity!L153*Electricity!$B$148</f>
        <v>471033.67625993281</v>
      </c>
      <c r="M153" s="11">
        <f>Electricity!M153*Electricity!$B$148</f>
        <v>494585.36007292941</v>
      </c>
      <c r="N153" s="11">
        <f>Electricity!N153*Electricity!$B$148</f>
        <v>519314.62807657605</v>
      </c>
      <c r="O153" s="11">
        <f>Electricity!O153*Electricity!$B$148</f>
        <v>545280.35948040488</v>
      </c>
      <c r="P153" s="11">
        <f>Electricity!P153*Electricity!$B$148</f>
        <v>572544.37745442521</v>
      </c>
      <c r="Q153" s="11">
        <f>Electricity!Q153*Electricity!$B$148</f>
        <v>601171.5963271464</v>
      </c>
      <c r="R153" s="11">
        <f>Electricity!R153*Electricity!$B$148</f>
        <v>631230.17614350375</v>
      </c>
      <c r="S153" s="11">
        <f>Electricity!S153*Electricity!$B$148</f>
        <v>662791.68495067896</v>
      </c>
      <c r="T153" s="11">
        <f>Electricity!T153*Electricity!$B$148</f>
        <v>695931.26919821289</v>
      </c>
      <c r="U153" s="11">
        <f>Electricity!U153*Electricity!$B$148</f>
        <v>730727.83265812357</v>
      </c>
      <c r="V153" s="11">
        <f>Electricity!V153*Electricity!$B$148</f>
        <v>767264.22429102985</v>
      </c>
      <c r="W153" s="11">
        <f>Electricity!W153*Electricity!$B$148</f>
        <v>805627.43550558132</v>
      </c>
      <c r="X153" s="11">
        <f>Electricity!X153*Electricity!$B$148</f>
        <v>845908.80728086038</v>
      </c>
      <c r="Y153" s="11">
        <f>Electricity!Y153*Electricity!$B$148</f>
        <v>888204.24764490325</v>
      </c>
      <c r="Z153" s="11">
        <f>Electricity!Z153*Electricity!$B$148</f>
        <v>932614.46002714837</v>
      </c>
      <c r="AA153" s="11">
        <f>Electricity!AA153*Electricity!$B$148</f>
        <v>979245.183028506</v>
      </c>
      <c r="AB153" s="11">
        <f>Electricity!AB153*Electricity!$B$148</f>
        <v>1028207.4421799314</v>
      </c>
      <c r="AC153" s="11">
        <f>Electricity!AC153*Electricity!$B$148</f>
        <v>1079617.8142889279</v>
      </c>
      <c r="AD153" s="11">
        <f>Electricity!AD153*Electricity!$B$148</f>
        <v>1133598.7050033743</v>
      </c>
      <c r="AE153" s="11">
        <f>Electricity!AE153*Electricity!$B$148</f>
        <v>1190278.6402535432</v>
      </c>
      <c r="AF153" s="11">
        <f>Electricity!AF153*Electricity!$B$148</f>
        <v>1249792.5722662203</v>
      </c>
      <c r="AG153" s="11">
        <f>Electricity!AG153*Electricity!$B$148</f>
        <v>1312282.2008795314</v>
      </c>
      <c r="AH153" s="11">
        <f>Electricity!AH153*Electricity!$B$148</f>
        <v>1377896.3109235081</v>
      </c>
      <c r="AI153" s="11">
        <f>Electricity!AI153*Electricity!$B$148</f>
        <v>1446791.1264696836</v>
      </c>
      <c r="AJ153" s="11">
        <f>Electricity!AJ153*Electricity!$B$148</f>
        <v>1519130.6827931679</v>
      </c>
      <c r="AK153" s="11">
        <f>Electricity!AK153*Electricity!$B$148</f>
        <v>1595087.2169328264</v>
      </c>
      <c r="AL153" s="11">
        <f>Electricity!AL153*Electricity!$B$148</f>
        <v>1674841.5777794679</v>
      </c>
      <c r="AM153" s="11">
        <f>Electricity!AM153*Electricity!$B$148</f>
        <v>1758583.6566684409</v>
      </c>
      <c r="AN153" s="11">
        <f>Electricity!AN153*Electricity!$B$148</f>
        <v>1846512.8395018633</v>
      </c>
    </row>
    <row r="155" spans="1:40" x14ac:dyDescent="0.2">
      <c r="A155" s="5" t="s">
        <v>157</v>
      </c>
    </row>
    <row r="156" spans="1:40" x14ac:dyDescent="0.2">
      <c r="A156" s="5" t="s">
        <v>4</v>
      </c>
    </row>
    <row r="157" spans="1:40" x14ac:dyDescent="0.2">
      <c r="A157" s="5" t="s">
        <v>72</v>
      </c>
    </row>
    <row r="158" spans="1:40" x14ac:dyDescent="0.2">
      <c r="A158" s="5" t="s">
        <v>6</v>
      </c>
    </row>
    <row r="159" spans="1:40" x14ac:dyDescent="0.2">
      <c r="A159" s="5"/>
    </row>
    <row r="160" spans="1:40" x14ac:dyDescent="0.2">
      <c r="A160" s="6" t="s">
        <v>7</v>
      </c>
      <c r="B160" s="6">
        <v>2022</v>
      </c>
      <c r="C160" s="6">
        <v>2023</v>
      </c>
      <c r="D160" s="6">
        <v>2024</v>
      </c>
      <c r="E160" s="6">
        <v>2025</v>
      </c>
      <c r="F160" s="6">
        <v>2026</v>
      </c>
      <c r="G160" s="6">
        <v>2027</v>
      </c>
      <c r="H160" s="6">
        <v>2028</v>
      </c>
      <c r="I160" s="6">
        <v>2029</v>
      </c>
      <c r="J160" s="6">
        <v>2030</v>
      </c>
      <c r="K160" s="6">
        <v>2031</v>
      </c>
      <c r="L160" s="6">
        <v>2032</v>
      </c>
      <c r="M160" s="6">
        <v>2033</v>
      </c>
      <c r="N160" s="6">
        <v>2034</v>
      </c>
      <c r="O160" s="6">
        <v>2035</v>
      </c>
      <c r="P160" s="6">
        <v>2036</v>
      </c>
      <c r="Q160" s="6">
        <v>2037</v>
      </c>
      <c r="R160" s="6">
        <v>2038</v>
      </c>
      <c r="S160" s="6">
        <v>2039</v>
      </c>
      <c r="T160" s="6">
        <v>2040</v>
      </c>
      <c r="U160" s="6">
        <v>2041</v>
      </c>
      <c r="V160" s="6">
        <v>2042</v>
      </c>
      <c r="W160" s="6">
        <v>2043</v>
      </c>
      <c r="X160" s="6">
        <v>2044</v>
      </c>
      <c r="Y160" s="6">
        <v>2045</v>
      </c>
      <c r="Z160" s="6">
        <v>2046</v>
      </c>
      <c r="AA160" s="6">
        <v>2047</v>
      </c>
      <c r="AB160" s="6">
        <v>2048</v>
      </c>
      <c r="AC160" s="6">
        <v>2049</v>
      </c>
      <c r="AD160" s="6">
        <v>2050</v>
      </c>
      <c r="AE160" s="6">
        <v>2051</v>
      </c>
      <c r="AF160" s="6">
        <v>2052</v>
      </c>
      <c r="AG160" s="6">
        <v>2053</v>
      </c>
      <c r="AH160" s="6">
        <v>2054</v>
      </c>
      <c r="AI160" s="6">
        <v>2055</v>
      </c>
      <c r="AJ160" s="6">
        <v>2056</v>
      </c>
      <c r="AK160" s="6">
        <v>2057</v>
      </c>
      <c r="AL160" s="6">
        <v>2058</v>
      </c>
      <c r="AM160" s="6">
        <v>2059</v>
      </c>
      <c r="AN160" s="6">
        <v>2060</v>
      </c>
    </row>
    <row r="161" spans="1:40" x14ac:dyDescent="0.2">
      <c r="A161" s="6" t="s">
        <v>34</v>
      </c>
      <c r="B161" s="11">
        <f>Electricity!B161*Electricity!$B$159</f>
        <v>10634196.905452799</v>
      </c>
      <c r="C161" s="11">
        <f>Electricity!C161*Electricity!$B$159</f>
        <v>11165906.750725439</v>
      </c>
      <c r="D161" s="11">
        <f>Electricity!D161*Electricity!$B$159</f>
        <v>11724202.088261712</v>
      </c>
      <c r="E161" s="11">
        <f>Electricity!E161*Electricity!$B$159</f>
        <v>12310412.192674797</v>
      </c>
      <c r="F161" s="11">
        <f>Electricity!F161*Electricity!$B$159</f>
        <v>12925932.802308537</v>
      </c>
      <c r="G161" s="11">
        <f>Electricity!G161*Electricity!$B$159</f>
        <v>13572229.442423966</v>
      </c>
      <c r="H161" s="11">
        <f>Electricity!H161*Electricity!$B$159</f>
        <v>14250840.914545165</v>
      </c>
      <c r="I161" s="11">
        <f>Electricity!I161*Electricity!$B$159</f>
        <v>14963382.960272426</v>
      </c>
      <c r="J161" s="11">
        <f>Electricity!J161*Electricity!$B$159</f>
        <v>15711552.108286042</v>
      </c>
      <c r="K161" s="11">
        <f>Electricity!K161*Electricity!$B$159</f>
        <v>16497129.71370035</v>
      </c>
      <c r="L161" s="11">
        <f>Electricity!L161*Electricity!$B$159</f>
        <v>17321986.199385367</v>
      </c>
      <c r="M161" s="11">
        <f>Electricity!M161*Electricity!$B$159</f>
        <v>18188085.509354632</v>
      </c>
      <c r="N161" s="11">
        <f>Electricity!N161*Electricity!$B$159</f>
        <v>19097489.784822371</v>
      </c>
      <c r="O161" s="11">
        <f>Electricity!O161*Electricity!$B$159</f>
        <v>20052364.274063487</v>
      </c>
      <c r="P161" s="11">
        <f>Electricity!P161*Electricity!$B$159</f>
        <v>21054982.487766664</v>
      </c>
      <c r="Q161" s="11">
        <f>Electricity!Q161*Electricity!$B$159</f>
        <v>22107731.612154998</v>
      </c>
      <c r="R161" s="11">
        <f>Electricity!R161*Electricity!$B$159</f>
        <v>23213118.192762744</v>
      </c>
      <c r="S161" s="11">
        <f>Electricity!S161*Electricity!$B$159</f>
        <v>24373774.10240088</v>
      </c>
      <c r="T161" s="11">
        <f>Electricity!T161*Electricity!$B$159</f>
        <v>25592462.80752093</v>
      </c>
      <c r="U161" s="11">
        <f>Electricity!U161*Electricity!$B$159</f>
        <v>26872085.947896976</v>
      </c>
      <c r="V161" s="11">
        <f>Electricity!V161*Electricity!$B$159</f>
        <v>28215690.245291825</v>
      </c>
      <c r="W161" s="11">
        <f>Electricity!W161*Electricity!$B$159</f>
        <v>29626474.757556416</v>
      </c>
      <c r="X161" s="11">
        <f>Electricity!X161*Electricity!$B$159</f>
        <v>31107798.495434247</v>
      </c>
      <c r="Y161" s="11">
        <f>Electricity!Y161*Electricity!$B$159</f>
        <v>32663188.420205947</v>
      </c>
      <c r="Z161" s="11">
        <f>Electricity!Z161*Electricity!$B$159</f>
        <v>34296347.841216259</v>
      </c>
      <c r="AA161" s="11">
        <f>Electricity!AA161*Electricity!$B$159</f>
        <v>36011165.23327706</v>
      </c>
      <c r="AB161" s="11">
        <f>Electricity!AB161*Electricity!$B$159</f>
        <v>37811723.494940922</v>
      </c>
      <c r="AC161" s="11">
        <f>Electricity!AC161*Electricity!$B$159</f>
        <v>39702309.669687971</v>
      </c>
      <c r="AD161" s="11">
        <f>Electricity!AD161*Electricity!$B$159</f>
        <v>41687425.153172366</v>
      </c>
      <c r="AE161" s="11">
        <f>Electricity!AE161*Electricity!$B$159</f>
        <v>43771796.410830982</v>
      </c>
      <c r="AF161" s="11">
        <f>Electricity!AF161*Electricity!$B$159</f>
        <v>45960386.231372528</v>
      </c>
      <c r="AG161" s="11">
        <f>Electricity!AG161*Electricity!$B$159</f>
        <v>48258405.542941161</v>
      </c>
      <c r="AH161" s="11">
        <f>Electricity!AH161*Electricity!$B$159</f>
        <v>50671325.820088238</v>
      </c>
      <c r="AI161" s="11">
        <f>Electricity!AI161*Electricity!$B$159</f>
        <v>53204892.111092634</v>
      </c>
      <c r="AJ161" s="11">
        <f>Electricity!AJ161*Electricity!$B$159</f>
        <v>55865136.716647267</v>
      </c>
      <c r="AK161" s="11">
        <f>Electricity!AK161*Electricity!$B$159</f>
        <v>58658393.552479647</v>
      </c>
      <c r="AL161" s="11">
        <f>Electricity!AL161*Electricity!$B$159</f>
        <v>61591313.230103627</v>
      </c>
      <c r="AM161" s="11">
        <f>Electricity!AM161*Electricity!$B$159</f>
        <v>64670878.891608812</v>
      </c>
      <c r="AN161" s="11">
        <f>Electricity!AN161*Electricity!$B$159</f>
        <v>67904422.836189255</v>
      </c>
    </row>
    <row r="162" spans="1:40" x14ac:dyDescent="0.2">
      <c r="A162" s="6" t="s">
        <v>35</v>
      </c>
      <c r="B162" s="11">
        <f>Electricity!B162*Electricity!$B$159</f>
        <v>4530945.5813376</v>
      </c>
      <c r="C162" s="11">
        <f>Electricity!C162*Electricity!$B$159</f>
        <v>4757492.8604044793</v>
      </c>
      <c r="D162" s="11">
        <f>Electricity!D162*Electricity!$B$159</f>
        <v>4995367.5034247031</v>
      </c>
      <c r="E162" s="11">
        <f>Electricity!E162*Electricity!$B$159</f>
        <v>5245135.8785959389</v>
      </c>
      <c r="F162" s="11">
        <f>Electricity!F162*Electricity!$B$159</f>
        <v>5507392.6725257365</v>
      </c>
      <c r="G162" s="11">
        <f>Electricity!G162*Electricity!$B$159</f>
        <v>5782762.3061520234</v>
      </c>
      <c r="H162" s="11">
        <f>Electricity!H162*Electricity!$B$159</f>
        <v>6071900.4214596264</v>
      </c>
      <c r="I162" s="11">
        <f>Electricity!I162*Electricity!$B$159</f>
        <v>6375495.4425326074</v>
      </c>
      <c r="J162" s="11">
        <f>Electricity!J162*Electricity!$B$159</f>
        <v>6694270.2146592364</v>
      </c>
      <c r="K162" s="11">
        <f>Electricity!K162*Electricity!$B$159</f>
        <v>7028983.7253921991</v>
      </c>
      <c r="L162" s="11">
        <f>Electricity!L162*Electricity!$B$159</f>
        <v>7380432.9116618102</v>
      </c>
      <c r="M162" s="11">
        <f>Electricity!M162*Electricity!$B$159</f>
        <v>7749454.5572448997</v>
      </c>
      <c r="N162" s="11">
        <f>Electricity!N162*Electricity!$B$159</f>
        <v>8136927.2851071469</v>
      </c>
      <c r="O162" s="11">
        <f>Electricity!O162*Electricity!$B$159</f>
        <v>8543773.6493625026</v>
      </c>
      <c r="P162" s="11">
        <f>Electricity!P162*Electricity!$B$159</f>
        <v>8970962.3318306301</v>
      </c>
      <c r="Q162" s="11">
        <f>Electricity!Q162*Electricity!$B$159</f>
        <v>9419510.4484221619</v>
      </c>
      <c r="R162" s="11">
        <f>Electricity!R162*Electricity!$B$159</f>
        <v>9890485.9708432686</v>
      </c>
      <c r="S162" s="11">
        <f>Electricity!S162*Electricity!$B$159</f>
        <v>10385010.269385431</v>
      </c>
      <c r="T162" s="11">
        <f>Electricity!T162*Electricity!$B$159</f>
        <v>10904260.782854704</v>
      </c>
      <c r="U162" s="11">
        <f>Electricity!U162*Electricity!$B$159</f>
        <v>11449473.821997439</v>
      </c>
      <c r="V162" s="11">
        <f>Electricity!V162*Electricity!$B$159</f>
        <v>12021947.513097312</v>
      </c>
      <c r="W162" s="11">
        <f>Electricity!W162*Electricity!$B$159</f>
        <v>12623044.888752177</v>
      </c>
      <c r="X162" s="11">
        <f>Electricity!X162*Electricity!$B$159</f>
        <v>13254197.13318979</v>
      </c>
      <c r="Y162" s="11">
        <f>Electricity!Y162*Electricity!$B$159</f>
        <v>13916906.989849279</v>
      </c>
      <c r="Z162" s="11">
        <f>Electricity!Z162*Electricity!$B$159</f>
        <v>14612752.339341743</v>
      </c>
      <c r="AA162" s="11">
        <f>Electricity!AA162*Electricity!$B$159</f>
        <v>15343389.956308829</v>
      </c>
      <c r="AB162" s="11">
        <f>Electricity!AB162*Electricity!$B$159</f>
        <v>16110559.45412427</v>
      </c>
      <c r="AC162" s="11">
        <f>Electricity!AC162*Electricity!$B$159</f>
        <v>16916087.426830485</v>
      </c>
      <c r="AD162" s="11">
        <f>Electricity!AD162*Electricity!$B$159</f>
        <v>17761891.798172008</v>
      </c>
      <c r="AE162" s="11">
        <f>Electricity!AE162*Electricity!$B$159</f>
        <v>18649986.388080608</v>
      </c>
      <c r="AF162" s="11">
        <f>Electricity!AF162*Electricity!$B$159</f>
        <v>19582485.70748464</v>
      </c>
      <c r="AG162" s="11">
        <f>Electricity!AG162*Electricity!$B$159</f>
        <v>20561609.992858876</v>
      </c>
      <c r="AH162" s="11">
        <f>Electricity!AH162*Electricity!$B$159</f>
        <v>21589690.492501825</v>
      </c>
      <c r="AI162" s="11">
        <f>Electricity!AI162*Electricity!$B$159</f>
        <v>22669175.017126907</v>
      </c>
      <c r="AJ162" s="11">
        <f>Electricity!AJ162*Electricity!$B$159</f>
        <v>23802633.767983254</v>
      </c>
      <c r="AK162" s="11">
        <f>Electricity!AK162*Electricity!$B$159</f>
        <v>24992765.456382424</v>
      </c>
      <c r="AL162" s="11">
        <f>Electricity!AL162*Electricity!$B$159</f>
        <v>26242403.729201544</v>
      </c>
      <c r="AM162" s="11">
        <f>Electricity!AM162*Electricity!$B$159</f>
        <v>27554523.915661622</v>
      </c>
      <c r="AN162" s="11">
        <f>Electricity!AN162*Electricity!$B$159</f>
        <v>28932250.111444704</v>
      </c>
    </row>
    <row r="163" spans="1:40" x14ac:dyDescent="0.2">
      <c r="A163" s="6" t="s">
        <v>36</v>
      </c>
      <c r="B163" s="11">
        <f>Electricity!B163*Electricity!$B$159</f>
        <v>1048203.8285183999</v>
      </c>
      <c r="C163" s="11">
        <f>Electricity!C163*Electricity!$B$159</f>
        <v>1100614.01994432</v>
      </c>
      <c r="D163" s="11">
        <f>Electricity!D163*Electricity!$B$159</f>
        <v>1155644.7209415359</v>
      </c>
      <c r="E163" s="11">
        <f>Electricity!E163*Electricity!$B$159</f>
        <v>1213426.9569886129</v>
      </c>
      <c r="F163" s="11">
        <f>Electricity!F163*Electricity!$B$159</f>
        <v>1274098.3048380434</v>
      </c>
      <c r="G163" s="11">
        <f>Electricity!G163*Electricity!$B$159</f>
        <v>1337803.2200799459</v>
      </c>
      <c r="H163" s="11">
        <f>Electricity!H163*Electricity!$B$159</f>
        <v>1404693.3810839432</v>
      </c>
      <c r="I163" s="11">
        <f>Electricity!I163*Electricity!$B$159</f>
        <v>1474928.0501381403</v>
      </c>
      <c r="J163" s="11">
        <f>Electricity!J163*Electricity!$B$159</f>
        <v>1548674.4526450473</v>
      </c>
      <c r="K163" s="11">
        <f>Electricity!K163*Electricity!$B$159</f>
        <v>1626108.1752772997</v>
      </c>
      <c r="L163" s="11">
        <f>Electricity!L163*Electricity!$B$159</f>
        <v>1707413.584041165</v>
      </c>
      <c r="M163" s="11">
        <f>Electricity!M163*Electricity!$B$159</f>
        <v>1792784.2632432228</v>
      </c>
      <c r="N163" s="11">
        <f>Electricity!N163*Electricity!$B$159</f>
        <v>1882423.4764053845</v>
      </c>
      <c r="O163" s="11">
        <f>Electricity!O163*Electricity!$B$159</f>
        <v>1976544.6502256535</v>
      </c>
      <c r="P163" s="11">
        <f>Electricity!P163*Electricity!$B$159</f>
        <v>2075371.8827369369</v>
      </c>
      <c r="Q163" s="11">
        <f>Electricity!Q163*Electricity!$B$159</f>
        <v>2179140.4768737834</v>
      </c>
      <c r="R163" s="11">
        <f>Electricity!R163*Electricity!$B$159</f>
        <v>2288097.5007174728</v>
      </c>
      <c r="S163" s="11">
        <f>Electricity!S163*Electricity!$B$159</f>
        <v>2402502.3757533464</v>
      </c>
      <c r="T163" s="11">
        <f>Electricity!T163*Electricity!$B$159</f>
        <v>2522627.4945410136</v>
      </c>
      <c r="U163" s="11">
        <f>Electricity!U163*Electricity!$B$159</f>
        <v>2648758.8692680644</v>
      </c>
      <c r="V163" s="11">
        <f>Electricity!V163*Electricity!$B$159</f>
        <v>2781196.8127314677</v>
      </c>
      <c r="W163" s="11">
        <f>Electricity!W163*Electricity!$B$159</f>
        <v>2920256.6533680414</v>
      </c>
      <c r="X163" s="11">
        <f>Electricity!X163*Electricity!$B$159</f>
        <v>3066269.4860364441</v>
      </c>
      <c r="Y163" s="11">
        <f>Electricity!Y163*Electricity!$B$159</f>
        <v>3219582.9603382656</v>
      </c>
      <c r="Z163" s="11">
        <f>Electricity!Z163*Electricity!$B$159</f>
        <v>3380562.108355179</v>
      </c>
      <c r="AA163" s="11">
        <f>Electricity!AA163*Electricity!$B$159</f>
        <v>3549590.2137729377</v>
      </c>
      <c r="AB163" s="11">
        <f>Electricity!AB163*Electricity!$B$159</f>
        <v>3727069.7244615848</v>
      </c>
      <c r="AC163" s="11">
        <f>Electricity!AC163*Electricity!$B$159</f>
        <v>3913423.210684665</v>
      </c>
      <c r="AD163" s="11">
        <f>Electricity!AD163*Electricity!$B$159</f>
        <v>4109094.3712188974</v>
      </c>
      <c r="AE163" s="11">
        <f>Electricity!AE163*Electricity!$B$159</f>
        <v>4314549.0897798426</v>
      </c>
      <c r="AF163" s="11">
        <f>Electricity!AF163*Electricity!$B$159</f>
        <v>4530276.5442688344</v>
      </c>
      <c r="AG163" s="11">
        <f>Electricity!AG163*Electricity!$B$159</f>
        <v>4756790.3714822764</v>
      </c>
      <c r="AH163" s="11">
        <f>Electricity!AH163*Electricity!$B$159</f>
        <v>4994629.8900563922</v>
      </c>
      <c r="AI163" s="11">
        <f>Electricity!AI163*Electricity!$B$159</f>
        <v>5244361.3845592104</v>
      </c>
      <c r="AJ163" s="11">
        <f>Electricity!AJ163*Electricity!$B$159</f>
        <v>5506579.4537871713</v>
      </c>
      <c r="AK163" s="11">
        <f>Electricity!AK163*Electricity!$B$159</f>
        <v>5781908.4264765307</v>
      </c>
      <c r="AL163" s="11">
        <f>Electricity!AL163*Electricity!$B$159</f>
        <v>6071003.8478003573</v>
      </c>
      <c r="AM163" s="11">
        <f>Electricity!AM163*Electricity!$B$159</f>
        <v>6374554.0401903754</v>
      </c>
      <c r="AN163" s="11">
        <f>Electricity!AN163*Electricity!$B$159</f>
        <v>6693281.742199895</v>
      </c>
    </row>
    <row r="164" spans="1:40" x14ac:dyDescent="0.2">
      <c r="A164" s="6" t="s">
        <v>37</v>
      </c>
      <c r="B164" s="11">
        <f>Electricity!B164*Electricity!$B$159</f>
        <v>693167.04789119994</v>
      </c>
      <c r="C164" s="11">
        <f>Electricity!C164*Electricity!$B$159</f>
        <v>727825.40028576006</v>
      </c>
      <c r="D164" s="11">
        <f>Electricity!D164*Electricity!$B$159</f>
        <v>764216.67030004796</v>
      </c>
      <c r="E164" s="11">
        <f>Electricity!E164*Electricity!$B$159</f>
        <v>802427.50381505059</v>
      </c>
      <c r="F164" s="11">
        <f>Electricity!F164*Electricity!$B$159</f>
        <v>842548.87900580303</v>
      </c>
      <c r="G164" s="11">
        <f>Electricity!G164*Electricity!$B$159</f>
        <v>884676.32295609312</v>
      </c>
      <c r="H164" s="11">
        <f>Electricity!H164*Electricity!$B$159</f>
        <v>928910.13910389808</v>
      </c>
      <c r="I164" s="11">
        <f>Electricity!I164*Electricity!$B$159</f>
        <v>975355.64605909295</v>
      </c>
      <c r="J164" s="11">
        <f>Electricity!J164*Electricity!$B$159</f>
        <v>1024123.4283620475</v>
      </c>
      <c r="K164" s="11">
        <f>Electricity!K164*Electricity!$B$159</f>
        <v>1075329.59978015</v>
      </c>
      <c r="L164" s="11">
        <f>Electricity!L164*Electricity!$B$159</f>
        <v>1129096.0797691578</v>
      </c>
      <c r="M164" s="11">
        <f>Electricity!M164*Electricity!$B$159</f>
        <v>1185550.8837576152</v>
      </c>
      <c r="N164" s="11">
        <f>Electricity!N164*Electricity!$B$159</f>
        <v>1244828.4279454963</v>
      </c>
      <c r="O164" s="11">
        <f>Electricity!O164*Electricity!$B$159</f>
        <v>1307069.8493427711</v>
      </c>
      <c r="P164" s="11">
        <f>Electricity!P164*Electricity!$B$159</f>
        <v>1372423.3418099098</v>
      </c>
      <c r="Q164" s="11">
        <f>Electricity!Q164*Electricity!$B$159</f>
        <v>1441044.5089004054</v>
      </c>
      <c r="R164" s="11">
        <f>Electricity!R164*Electricity!$B$159</f>
        <v>1513096.7343454254</v>
      </c>
      <c r="S164" s="11">
        <f>Electricity!S164*Electricity!$B$159</f>
        <v>1588751.5710626969</v>
      </c>
      <c r="T164" s="11">
        <f>Electricity!T164*Electricity!$B$159</f>
        <v>1668189.1496158319</v>
      </c>
      <c r="U164" s="11">
        <f>Electricity!U164*Electricity!$B$159</f>
        <v>1751598.6070966234</v>
      </c>
      <c r="V164" s="11">
        <f>Electricity!V164*Electricity!$B$159</f>
        <v>1839178.5374514544</v>
      </c>
      <c r="W164" s="11">
        <f>Electricity!W164*Electricity!$B$159</f>
        <v>1931137.4643240275</v>
      </c>
      <c r="X164" s="11">
        <f>Electricity!X164*Electricity!$B$159</f>
        <v>2027694.3375402291</v>
      </c>
      <c r="Y164" s="11">
        <f>Electricity!Y164*Electricity!$B$159</f>
        <v>2129079.0544172404</v>
      </c>
      <c r="Z164" s="11">
        <f>Electricity!Z164*Electricity!$B$159</f>
        <v>2235533.0071381023</v>
      </c>
      <c r="AA164" s="11">
        <f>Electricity!AA164*Electricity!$B$159</f>
        <v>2347309.6574950074</v>
      </c>
      <c r="AB164" s="11">
        <f>Electricity!AB164*Electricity!$B$159</f>
        <v>2464675.1403697585</v>
      </c>
      <c r="AC164" s="11">
        <f>Electricity!AC164*Electricity!$B$159</f>
        <v>2587908.8973882459</v>
      </c>
      <c r="AD164" s="11">
        <f>Electricity!AD164*Electricity!$B$159</f>
        <v>2717304.342257658</v>
      </c>
      <c r="AE164" s="11">
        <f>Electricity!AE164*Electricity!$B$159</f>
        <v>2853169.5593705415</v>
      </c>
      <c r="AF164" s="11">
        <f>Electricity!AF164*Electricity!$B$159</f>
        <v>2995828.0373390685</v>
      </c>
      <c r="AG164" s="11">
        <f>Electricity!AG164*Electricity!$B$159</f>
        <v>3145619.4392060218</v>
      </c>
      <c r="AH164" s="11">
        <f>Electricity!AH164*Electricity!$B$159</f>
        <v>3302900.4111663243</v>
      </c>
      <c r="AI164" s="11">
        <f>Electricity!AI164*Electricity!$B$159</f>
        <v>3468045.4317246391</v>
      </c>
      <c r="AJ164" s="11">
        <f>Electricity!AJ164*Electricity!$B$159</f>
        <v>3641447.7033108715</v>
      </c>
      <c r="AK164" s="11">
        <f>Electricity!AK164*Electricity!$B$159</f>
        <v>3823520.0884764162</v>
      </c>
      <c r="AL164" s="11">
        <f>Electricity!AL164*Electricity!$B$159</f>
        <v>4014696.0929002366</v>
      </c>
      <c r="AM164" s="11">
        <f>Electricity!AM164*Electricity!$B$159</f>
        <v>4215430.8975452483</v>
      </c>
      <c r="AN164" s="11">
        <f>Electricity!AN164*Electricity!$B$159</f>
        <v>4426202.4424225111</v>
      </c>
    </row>
    <row r="167" spans="1:40" x14ac:dyDescent="0.2">
      <c r="A167" s="5" t="s">
        <v>157</v>
      </c>
    </row>
    <row r="168" spans="1:40" x14ac:dyDescent="0.2">
      <c r="A168" s="5" t="s">
        <v>4</v>
      </c>
    </row>
    <row r="169" spans="1:40" x14ac:dyDescent="0.2">
      <c r="A169" s="5" t="s">
        <v>74</v>
      </c>
    </row>
    <row r="170" spans="1:40" x14ac:dyDescent="0.2">
      <c r="A170" s="5" t="s">
        <v>6</v>
      </c>
    </row>
    <row r="171" spans="1:40" x14ac:dyDescent="0.2">
      <c r="A171" s="5"/>
    </row>
    <row r="172" spans="1:40" x14ac:dyDescent="0.2">
      <c r="A172" s="6" t="s">
        <v>7</v>
      </c>
      <c r="B172" s="6">
        <v>2022</v>
      </c>
      <c r="C172" s="6">
        <v>2023</v>
      </c>
      <c r="D172" s="6">
        <v>2024</v>
      </c>
      <c r="E172" s="6">
        <v>2025</v>
      </c>
      <c r="F172" s="6">
        <v>2026</v>
      </c>
      <c r="G172" s="6">
        <v>2027</v>
      </c>
      <c r="H172" s="6">
        <v>2028</v>
      </c>
      <c r="I172" s="6">
        <v>2029</v>
      </c>
      <c r="J172" s="6">
        <v>2030</v>
      </c>
      <c r="K172" s="6">
        <v>2031</v>
      </c>
      <c r="L172" s="6">
        <v>2032</v>
      </c>
      <c r="M172" s="6">
        <v>2033</v>
      </c>
      <c r="N172" s="6">
        <v>2034</v>
      </c>
      <c r="O172" s="6">
        <v>2035</v>
      </c>
      <c r="P172" s="6">
        <v>2036</v>
      </c>
      <c r="Q172" s="6">
        <v>2037</v>
      </c>
      <c r="R172" s="6">
        <v>2038</v>
      </c>
      <c r="S172" s="6">
        <v>2039</v>
      </c>
      <c r="T172" s="6">
        <v>2040</v>
      </c>
      <c r="U172" s="6">
        <v>2041</v>
      </c>
      <c r="V172" s="6">
        <v>2042</v>
      </c>
      <c r="W172" s="6">
        <v>2043</v>
      </c>
      <c r="X172" s="6">
        <v>2044</v>
      </c>
      <c r="Y172" s="6">
        <v>2045</v>
      </c>
      <c r="Z172" s="6">
        <v>2046</v>
      </c>
      <c r="AA172" s="6">
        <v>2047</v>
      </c>
      <c r="AB172" s="6">
        <v>2048</v>
      </c>
      <c r="AC172" s="6">
        <v>2049</v>
      </c>
      <c r="AD172" s="6">
        <v>2050</v>
      </c>
      <c r="AE172" s="6">
        <v>2051</v>
      </c>
      <c r="AF172" s="6">
        <v>2052</v>
      </c>
      <c r="AG172" s="6">
        <v>2053</v>
      </c>
      <c r="AH172" s="6">
        <v>2054</v>
      </c>
      <c r="AI172" s="6">
        <v>2055</v>
      </c>
      <c r="AJ172" s="6">
        <v>2056</v>
      </c>
      <c r="AK172" s="6">
        <v>2057</v>
      </c>
      <c r="AL172" s="6">
        <v>2058</v>
      </c>
      <c r="AM172" s="6">
        <v>2059</v>
      </c>
      <c r="AN172" s="6">
        <v>2060</v>
      </c>
    </row>
    <row r="173" spans="1:40" x14ac:dyDescent="0.2">
      <c r="A173" s="6" t="s">
        <v>34</v>
      </c>
      <c r="B173" s="11">
        <f>Electricity!B173*Electricity!$B$171</f>
        <v>60376923.983079128</v>
      </c>
      <c r="C173" s="11">
        <f>Electricity!C173*Electricity!$B$171</f>
        <v>60583379.402383387</v>
      </c>
      <c r="D173" s="11">
        <f>Electricity!D173*Electricity!$B$171</f>
        <v>60789834.821687669</v>
      </c>
      <c r="E173" s="11">
        <f>Electricity!E173*Electricity!$B$171</f>
        <v>60996290.240991943</v>
      </c>
      <c r="F173" s="11">
        <f>Electricity!F173*Electricity!$B$171</f>
        <v>61548555.604970314</v>
      </c>
      <c r="G173" s="11">
        <f>Electricity!G173*Electricity!$B$171</f>
        <v>62100820.9689487</v>
      </c>
      <c r="H173" s="11">
        <f>Electricity!H173*Electricity!$B$171</f>
        <v>62653086.332927093</v>
      </c>
      <c r="I173" s="11">
        <f>Electricity!I173*Electricity!$B$171</f>
        <v>63205351.696905456</v>
      </c>
      <c r="J173" s="11">
        <f>Electricity!J173*Electricity!$B$171</f>
        <v>63757617.060883828</v>
      </c>
      <c r="K173" s="11">
        <f>Electricity!K173*Electricity!$B$171</f>
        <v>64221477.282815374</v>
      </c>
      <c r="L173" s="11">
        <f>Electricity!L173*Electricity!$B$171</f>
        <v>64685337.504746936</v>
      </c>
      <c r="M173" s="11">
        <f>Electricity!M173*Electricity!$B$171</f>
        <v>65149197.726678468</v>
      </c>
      <c r="N173" s="11">
        <f>Electricity!N173*Electricity!$B$171</f>
        <v>65613057.948610023</v>
      </c>
      <c r="O173" s="11">
        <f>Electricity!O173*Electricity!$B$171</f>
        <v>66076918.170541562</v>
      </c>
      <c r="P173" s="11">
        <f>Electricity!P173*Electricity!$B$171</f>
        <v>66451351.256035395</v>
      </c>
      <c r="Q173" s="11">
        <f>Electricity!Q173*Electricity!$B$171</f>
        <v>66825784.341529213</v>
      </c>
      <c r="R173" s="11">
        <f>Electricity!R173*Electricity!$B$171</f>
        <v>67200217.427023023</v>
      </c>
      <c r="S173" s="11">
        <f>Electricity!S173*Electricity!$B$171</f>
        <v>67574650.512516841</v>
      </c>
      <c r="T173" s="11">
        <f>Electricity!T173*Electricity!$B$171</f>
        <v>67949083.598010674</v>
      </c>
      <c r="U173" s="11">
        <f>Electricity!U173*Electricity!$B$171</f>
        <v>68236052.529437944</v>
      </c>
      <c r="V173" s="11">
        <f>Electricity!V173*Electricity!$B$171</f>
        <v>68523021.460865229</v>
      </c>
      <c r="W173" s="11">
        <f>Electricity!W173*Electricity!$B$171</f>
        <v>68809990.392292529</v>
      </c>
      <c r="X173" s="11">
        <f>Electricity!X173*Electricity!$B$171</f>
        <v>69096959.323719814</v>
      </c>
      <c r="Y173" s="11">
        <f>Electricity!Y173*Electricity!$B$171</f>
        <v>69383928.255147114</v>
      </c>
      <c r="Z173" s="11">
        <f>Electricity!Z173*Electricity!$B$171</f>
        <v>69586978.486056715</v>
      </c>
      <c r="AA173" s="11">
        <f>Electricity!AA173*Electricity!$B$171</f>
        <v>69790028.716966316</v>
      </c>
      <c r="AB173" s="11">
        <f>Electricity!AB173*Electricity!$B$171</f>
        <v>69993078.947875947</v>
      </c>
      <c r="AC173" s="11">
        <f>Electricity!AC173*Electricity!$B$171</f>
        <v>70196129.178785533</v>
      </c>
      <c r="AD173" s="11">
        <f>Electricity!AD173*Electricity!$B$171</f>
        <v>70399179.409695163</v>
      </c>
      <c r="AE173" s="11">
        <f>Electricity!AE173*Electricity!$B$171</f>
        <v>70399179.409695163</v>
      </c>
      <c r="AF173" s="11">
        <f>Electricity!AF173*Electricity!$B$171</f>
        <v>70399179.409695163</v>
      </c>
      <c r="AG173" s="11">
        <f>Electricity!AG173*Electricity!$B$171</f>
        <v>70399179.409695163</v>
      </c>
      <c r="AH173" s="11">
        <f>Electricity!AH173*Electricity!$B$171</f>
        <v>70399179.409695163</v>
      </c>
      <c r="AI173" s="11">
        <f>Electricity!AI173*Electricity!$B$171</f>
        <v>70399179.409695163</v>
      </c>
      <c r="AJ173" s="11">
        <f>Electricity!AJ173*Electricity!$B$171</f>
        <v>70399179.409695163</v>
      </c>
      <c r="AK173" s="11">
        <f>Electricity!AK173*Electricity!$B$171</f>
        <v>70399179.409695163</v>
      </c>
      <c r="AL173" s="11">
        <f>Electricity!AL173*Electricity!$B$171</f>
        <v>70399179.409695163</v>
      </c>
      <c r="AM173" s="11">
        <f>Electricity!AM173*Electricity!$B$171</f>
        <v>70399179.409695163</v>
      </c>
      <c r="AN173" s="11">
        <f>Electricity!AN173*Electricity!$B$171</f>
        <v>70399179.409695163</v>
      </c>
    </row>
    <row r="174" spans="1:40" x14ac:dyDescent="0.2">
      <c r="A174" s="6" t="s">
        <v>35</v>
      </c>
      <c r="B174" s="11">
        <f>Electricity!B174*Electricity!$B$171</f>
        <v>23547942.2710917</v>
      </c>
      <c r="C174" s="11">
        <f>Electricity!C174*Electricity!$B$171</f>
        <v>23628463.105453737</v>
      </c>
      <c r="D174" s="11">
        <f>Electricity!D174*Electricity!$B$171</f>
        <v>23708983.939815778</v>
      </c>
      <c r="E174" s="11">
        <f>Electricity!E174*Electricity!$B$171</f>
        <v>23789504.774177823</v>
      </c>
      <c r="F174" s="11">
        <f>Electricity!F174*Electricity!$B$171</f>
        <v>24004896.881813694</v>
      </c>
      <c r="G174" s="11">
        <f>Electricity!G174*Electricity!$B$171</f>
        <v>24220288.989449568</v>
      </c>
      <c r="H174" s="11">
        <f>Electricity!H174*Electricity!$B$171</f>
        <v>24435681.097085442</v>
      </c>
      <c r="I174" s="11">
        <f>Electricity!I174*Electricity!$B$171</f>
        <v>24651073.204721313</v>
      </c>
      <c r="J174" s="11">
        <f>Electricity!J174*Electricity!$B$171</f>
        <v>24866465.312357184</v>
      </c>
      <c r="K174" s="11">
        <f>Electricity!K174*Electricity!$B$171</f>
        <v>25047378.035419412</v>
      </c>
      <c r="L174" s="11">
        <f>Electricity!L174*Electricity!$B$171</f>
        <v>25228290.75848164</v>
      </c>
      <c r="M174" s="11">
        <f>Electricity!M174*Electricity!$B$171</f>
        <v>25409203.481543861</v>
      </c>
      <c r="N174" s="11">
        <f>Electricity!N174*Electricity!$B$171</f>
        <v>25590116.20460609</v>
      </c>
      <c r="O174" s="11">
        <f>Electricity!O174*Electricity!$B$171</f>
        <v>25771028.927668314</v>
      </c>
      <c r="P174" s="11">
        <f>Electricity!P174*Electricity!$B$171</f>
        <v>25917063.672400691</v>
      </c>
      <c r="Q174" s="11">
        <f>Electricity!Q174*Electricity!$B$171</f>
        <v>26063098.417133074</v>
      </c>
      <c r="R174" s="11">
        <f>Electricity!R174*Electricity!$B$171</f>
        <v>26209133.16186545</v>
      </c>
      <c r="S174" s="11">
        <f>Electricity!S174*Electricity!$B$171</f>
        <v>26355167.90659783</v>
      </c>
      <c r="T174" s="11">
        <f>Electricity!T174*Electricity!$B$171</f>
        <v>26501202.651330214</v>
      </c>
      <c r="U174" s="11">
        <f>Electricity!U174*Electricity!$B$171</f>
        <v>26613125.011481259</v>
      </c>
      <c r="V174" s="11">
        <f>Electricity!V174*Electricity!$B$171</f>
        <v>26725047.371632304</v>
      </c>
      <c r="W174" s="11">
        <f>Electricity!W174*Electricity!$B$171</f>
        <v>26836969.731783357</v>
      </c>
      <c r="X174" s="11">
        <f>Electricity!X174*Electricity!$B$171</f>
        <v>26948892.091934402</v>
      </c>
      <c r="Y174" s="11">
        <f>Electricity!Y174*Electricity!$B$171</f>
        <v>27060814.452085454</v>
      </c>
      <c r="Z174" s="11">
        <f>Electricity!Z174*Electricity!$B$171</f>
        <v>27140007.209850509</v>
      </c>
      <c r="AA174" s="11">
        <f>Electricity!AA174*Electricity!$B$171</f>
        <v>27219199.967615567</v>
      </c>
      <c r="AB174" s="11">
        <f>Electricity!AB174*Electricity!$B$171</f>
        <v>27298392.725380629</v>
      </c>
      <c r="AC174" s="11">
        <f>Electricity!AC174*Electricity!$B$171</f>
        <v>27377585.483145688</v>
      </c>
      <c r="AD174" s="11">
        <f>Electricity!AD174*Electricity!$B$171</f>
        <v>27456778.240910742</v>
      </c>
      <c r="AE174" s="11">
        <f>Electricity!AE174*Electricity!$B$171</f>
        <v>27456778.240910742</v>
      </c>
      <c r="AF174" s="11">
        <f>Electricity!AF174*Electricity!$B$171</f>
        <v>27456778.240910742</v>
      </c>
      <c r="AG174" s="11">
        <f>Electricity!AG174*Electricity!$B$171</f>
        <v>27456778.240910742</v>
      </c>
      <c r="AH174" s="11">
        <f>Electricity!AH174*Electricity!$B$171</f>
        <v>27456778.240910742</v>
      </c>
      <c r="AI174" s="11">
        <f>Electricity!AI174*Electricity!$B$171</f>
        <v>27456778.240910742</v>
      </c>
      <c r="AJ174" s="11">
        <f>Electricity!AJ174*Electricity!$B$171</f>
        <v>27456778.240910742</v>
      </c>
      <c r="AK174" s="11">
        <f>Electricity!AK174*Electricity!$B$171</f>
        <v>27456778.240910742</v>
      </c>
      <c r="AL174" s="11">
        <f>Electricity!AL174*Electricity!$B$171</f>
        <v>27456778.240910742</v>
      </c>
      <c r="AM174" s="11">
        <f>Electricity!AM174*Electricity!$B$171</f>
        <v>27456778.240910742</v>
      </c>
      <c r="AN174" s="11">
        <f>Electricity!AN174*Electricity!$B$171</f>
        <v>27456778.240910742</v>
      </c>
    </row>
    <row r="175" spans="1:40" x14ac:dyDescent="0.2">
      <c r="A175" s="6" t="s">
        <v>36</v>
      </c>
      <c r="B175" s="11">
        <f>Electricity!B175*Electricity!$B$171</f>
        <v>6405040.2977369437</v>
      </c>
      <c r="C175" s="11">
        <f>Electricity!C175*Electricity!$B$171</f>
        <v>6426941.9646834172</v>
      </c>
      <c r="D175" s="11">
        <f>Electricity!D175*Electricity!$B$171</f>
        <v>6448843.6316298926</v>
      </c>
      <c r="E175" s="11">
        <f>Electricity!E175*Electricity!$B$171</f>
        <v>6470745.298576368</v>
      </c>
      <c r="F175" s="11">
        <f>Electricity!F175*Electricity!$B$171</f>
        <v>6529331.9518533256</v>
      </c>
      <c r="G175" s="11">
        <f>Electricity!G175*Electricity!$B$171</f>
        <v>6587918.6051302832</v>
      </c>
      <c r="H175" s="11">
        <f>Electricity!H175*Electricity!$B$171</f>
        <v>6646505.2584072417</v>
      </c>
      <c r="I175" s="11">
        <f>Electricity!I175*Electricity!$B$171</f>
        <v>6705091.9116841983</v>
      </c>
      <c r="J175" s="11">
        <f>Electricity!J175*Electricity!$B$171</f>
        <v>6763678.5649611549</v>
      </c>
      <c r="K175" s="11">
        <f>Electricity!K175*Electricity!$B$171</f>
        <v>6812886.8256340809</v>
      </c>
      <c r="L175" s="11">
        <f>Electricity!L175*Electricity!$B$171</f>
        <v>6862095.0863070078</v>
      </c>
      <c r="M175" s="11">
        <f>Electricity!M175*Electricity!$B$171</f>
        <v>6911303.346979931</v>
      </c>
      <c r="N175" s="11">
        <f>Electricity!N175*Electricity!$B$171</f>
        <v>6960511.607652857</v>
      </c>
      <c r="O175" s="11">
        <f>Electricity!O175*Electricity!$B$171</f>
        <v>7009719.868325782</v>
      </c>
      <c r="P175" s="11">
        <f>Electricity!P175*Electricity!$B$171</f>
        <v>7049441.3188929893</v>
      </c>
      <c r="Q175" s="11">
        <f>Electricity!Q175*Electricity!$B$171</f>
        <v>7089162.7694601966</v>
      </c>
      <c r="R175" s="11">
        <f>Electricity!R175*Electricity!$B$171</f>
        <v>7128884.220027403</v>
      </c>
      <c r="S175" s="11">
        <f>Electricity!S175*Electricity!$B$171</f>
        <v>7168605.6705946103</v>
      </c>
      <c r="T175" s="11">
        <f>Electricity!T175*Electricity!$B$171</f>
        <v>7208327.1211618185</v>
      </c>
      <c r="U175" s="11">
        <f>Electricity!U175*Electricity!$B$171</f>
        <v>7238770.0031229034</v>
      </c>
      <c r="V175" s="11">
        <f>Electricity!V175*Electricity!$B$171</f>
        <v>7269212.8850839874</v>
      </c>
      <c r="W175" s="11">
        <f>Electricity!W175*Electricity!$B$171</f>
        <v>7299655.7670450741</v>
      </c>
      <c r="X175" s="11">
        <f>Electricity!X175*Electricity!$B$171</f>
        <v>7330098.6490061581</v>
      </c>
      <c r="Y175" s="11">
        <f>Electricity!Y175*Electricity!$B$171</f>
        <v>7360541.5309672449</v>
      </c>
      <c r="Z175" s="11">
        <f>Electricity!Z175*Electricity!$B$171</f>
        <v>7382081.9610793395</v>
      </c>
      <c r="AA175" s="11">
        <f>Electricity!AA175*Electricity!$B$171</f>
        <v>7403622.391191435</v>
      </c>
      <c r="AB175" s="11">
        <f>Electricity!AB175*Electricity!$B$171</f>
        <v>7425162.8213035325</v>
      </c>
      <c r="AC175" s="11">
        <f>Electricity!AC175*Electricity!$B$171</f>
        <v>7446703.2514156271</v>
      </c>
      <c r="AD175" s="11">
        <f>Electricity!AD175*Electricity!$B$171</f>
        <v>7468243.6815277236</v>
      </c>
      <c r="AE175" s="11">
        <f>Electricity!AE175*Electricity!$B$171</f>
        <v>7468243.6815277236</v>
      </c>
      <c r="AF175" s="11">
        <f>Electricity!AF175*Electricity!$B$171</f>
        <v>7468243.6815277236</v>
      </c>
      <c r="AG175" s="11">
        <f>Electricity!AG175*Electricity!$B$171</f>
        <v>7468243.6815277236</v>
      </c>
      <c r="AH175" s="11">
        <f>Electricity!AH175*Electricity!$B$171</f>
        <v>7468243.6815277236</v>
      </c>
      <c r="AI175" s="11">
        <f>Electricity!AI175*Electricity!$B$171</f>
        <v>7468243.6815277236</v>
      </c>
      <c r="AJ175" s="11">
        <f>Electricity!AJ175*Electricity!$B$171</f>
        <v>7468243.6815277236</v>
      </c>
      <c r="AK175" s="11">
        <f>Electricity!AK175*Electricity!$B$171</f>
        <v>7468243.6815277236</v>
      </c>
      <c r="AL175" s="11">
        <f>Electricity!AL175*Electricity!$B$171</f>
        <v>7468243.6815277236</v>
      </c>
      <c r="AM175" s="11">
        <f>Electricity!AM175*Electricity!$B$171</f>
        <v>7468243.6815277236</v>
      </c>
      <c r="AN175" s="11">
        <f>Electricity!AN175*Electricity!$B$171</f>
        <v>7468243.6815277236</v>
      </c>
    </row>
    <row r="176" spans="1:40" x14ac:dyDescent="0.2">
      <c r="A176" s="6" t="s">
        <v>37</v>
      </c>
      <c r="B176" s="11">
        <f>Electricity!B176*Electricity!$B$171</f>
        <v>3861862.5324590392</v>
      </c>
      <c r="C176" s="11">
        <f>Electricity!C176*Electricity!$B$171</f>
        <v>3875067.949294413</v>
      </c>
      <c r="D176" s="11">
        <f>Electricity!D176*Electricity!$B$171</f>
        <v>3888273.3661297881</v>
      </c>
      <c r="E176" s="11">
        <f>Electricity!E176*Electricity!$B$171</f>
        <v>3901478.7829651628</v>
      </c>
      <c r="F176" s="11">
        <f>Electricity!F176*Electricity!$B$171</f>
        <v>3936803.0886174459</v>
      </c>
      <c r="G176" s="11">
        <f>Electricity!G176*Electricity!$B$171</f>
        <v>3972127.394269729</v>
      </c>
      <c r="H176" s="11">
        <f>Electricity!H176*Electricity!$B$171</f>
        <v>4007451.6999220136</v>
      </c>
      <c r="I176" s="11">
        <f>Electricity!I176*Electricity!$B$171</f>
        <v>4042776.0055742958</v>
      </c>
      <c r="J176" s="11">
        <f>Electricity!J176*Electricity!$B$171</f>
        <v>4078100.3112265789</v>
      </c>
      <c r="K176" s="11">
        <f>Electricity!K176*Electricity!$B$171</f>
        <v>4107769.9978087833</v>
      </c>
      <c r="L176" s="11">
        <f>Electricity!L176*Electricity!$B$171</f>
        <v>4137439.6843909896</v>
      </c>
      <c r="M176" s="11">
        <f>Electricity!M176*Electricity!$B$171</f>
        <v>4167109.3709731945</v>
      </c>
      <c r="N176" s="11">
        <f>Electricity!N176*Electricity!$B$171</f>
        <v>4196779.0575553989</v>
      </c>
      <c r="O176" s="11">
        <f>Electricity!O176*Electricity!$B$171</f>
        <v>4226448.7441376038</v>
      </c>
      <c r="P176" s="11">
        <f>Electricity!P176*Electricity!$B$171</f>
        <v>4250398.4422737136</v>
      </c>
      <c r="Q176" s="11">
        <f>Electricity!Q176*Electricity!$B$171</f>
        <v>4274348.1404098235</v>
      </c>
      <c r="R176" s="11">
        <f>Electricity!R176*Electricity!$B$171</f>
        <v>4298297.8385459343</v>
      </c>
      <c r="S176" s="11">
        <f>Electricity!S176*Electricity!$B$171</f>
        <v>4322247.5366820442</v>
      </c>
      <c r="T176" s="11">
        <f>Electricity!T176*Electricity!$B$171</f>
        <v>4346197.2348181549</v>
      </c>
      <c r="U176" s="11">
        <f>Electricity!U176*Electricity!$B$171</f>
        <v>4364552.5018829266</v>
      </c>
      <c r="V176" s="11">
        <f>Electricity!V176*Electricity!$B$171</f>
        <v>4382907.7689476972</v>
      </c>
      <c r="W176" s="11">
        <f>Electricity!W176*Electricity!$B$171</f>
        <v>4401263.0360124707</v>
      </c>
      <c r="X176" s="11">
        <f>Electricity!X176*Electricity!$B$171</f>
        <v>4419618.3030772423</v>
      </c>
      <c r="Y176" s="11">
        <f>Electricity!Y176*Electricity!$B$171</f>
        <v>4437973.5701420149</v>
      </c>
      <c r="Z176" s="11">
        <f>Electricity!Z176*Electricity!$B$171</f>
        <v>4450961.1824154835</v>
      </c>
      <c r="AA176" s="11">
        <f>Electricity!AA176*Electricity!$B$171</f>
        <v>4463948.7946889531</v>
      </c>
      <c r="AB176" s="11">
        <f>Electricity!AB176*Electricity!$B$171</f>
        <v>4476936.4069624236</v>
      </c>
      <c r="AC176" s="11">
        <f>Electricity!AC176*Electricity!$B$171</f>
        <v>4489924.0192358922</v>
      </c>
      <c r="AD176" s="11">
        <f>Electricity!AD176*Electricity!$B$171</f>
        <v>4502911.6315093618</v>
      </c>
      <c r="AE176" s="11">
        <f>Electricity!AE176*Electricity!$B$171</f>
        <v>4502911.6315093618</v>
      </c>
      <c r="AF176" s="11">
        <f>Electricity!AF176*Electricity!$B$171</f>
        <v>4502911.6315093618</v>
      </c>
      <c r="AG176" s="11">
        <f>Electricity!AG176*Electricity!$B$171</f>
        <v>4502911.6315093618</v>
      </c>
      <c r="AH176" s="11">
        <f>Electricity!AH176*Electricity!$B$171</f>
        <v>4502911.6315093618</v>
      </c>
      <c r="AI176" s="11">
        <f>Electricity!AI176*Electricity!$B$171</f>
        <v>4502911.6315093618</v>
      </c>
      <c r="AJ176" s="11">
        <f>Electricity!AJ176*Electricity!$B$171</f>
        <v>4502911.6315093618</v>
      </c>
      <c r="AK176" s="11">
        <f>Electricity!AK176*Electricity!$B$171</f>
        <v>4502911.6315093618</v>
      </c>
      <c r="AL176" s="11">
        <f>Electricity!AL176*Electricity!$B$171</f>
        <v>4502911.6315093618</v>
      </c>
      <c r="AM176" s="11">
        <f>Electricity!AM176*Electricity!$B$171</f>
        <v>4502911.6315093618</v>
      </c>
      <c r="AN176" s="11">
        <f>Electricity!AN176*Electricity!$B$171</f>
        <v>4502911.6315093618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4696E-A60D-2941-8034-43D77D1C6C06}">
  <dimension ref="A1:AP56"/>
  <sheetViews>
    <sheetView workbookViewId="0">
      <selection activeCell="U15" sqref="U15"/>
    </sheetView>
  </sheetViews>
  <sheetFormatPr baseColWidth="10" defaultRowHeight="16" x14ac:dyDescent="0.2"/>
  <sheetData>
    <row r="1" spans="1:42" s="3" customFormat="1" x14ac:dyDescent="0.2">
      <c r="A1" s="10" t="s">
        <v>11</v>
      </c>
      <c r="B1" s="8">
        <v>2022</v>
      </c>
      <c r="C1" s="8">
        <v>2023</v>
      </c>
      <c r="D1" s="8">
        <v>2024</v>
      </c>
      <c r="E1" s="8">
        <v>2025</v>
      </c>
      <c r="F1" s="8">
        <v>2026</v>
      </c>
      <c r="G1" s="8">
        <v>2027</v>
      </c>
      <c r="H1" s="8">
        <v>2028</v>
      </c>
      <c r="I1" s="8">
        <v>2029</v>
      </c>
      <c r="J1" s="8">
        <v>2030</v>
      </c>
      <c r="K1" s="8">
        <v>2031</v>
      </c>
      <c r="L1" s="8">
        <v>2032</v>
      </c>
      <c r="M1" s="8">
        <v>2033</v>
      </c>
      <c r="N1" s="8">
        <v>2034</v>
      </c>
      <c r="O1" s="8">
        <v>2035</v>
      </c>
      <c r="P1" s="8">
        <v>2036</v>
      </c>
      <c r="Q1" s="8">
        <v>2037</v>
      </c>
      <c r="R1" s="8">
        <v>2038</v>
      </c>
      <c r="S1" s="8">
        <v>2039</v>
      </c>
      <c r="T1" s="8">
        <v>2040</v>
      </c>
      <c r="U1" s="8">
        <v>2041</v>
      </c>
      <c r="V1" s="8">
        <v>2042</v>
      </c>
      <c r="W1" s="8">
        <v>2043</v>
      </c>
      <c r="X1" s="8">
        <v>2044</v>
      </c>
      <c r="Y1" s="8">
        <v>2045</v>
      </c>
      <c r="Z1" s="8">
        <v>2046</v>
      </c>
      <c r="AA1" s="8">
        <v>2047</v>
      </c>
      <c r="AB1" s="8">
        <v>2048</v>
      </c>
      <c r="AC1" s="8">
        <v>2049</v>
      </c>
      <c r="AD1" s="8">
        <v>2050</v>
      </c>
      <c r="AE1" s="8">
        <v>2051</v>
      </c>
      <c r="AF1" s="8">
        <v>2052</v>
      </c>
      <c r="AG1" s="8">
        <v>2053</v>
      </c>
      <c r="AH1" s="8">
        <v>2054</v>
      </c>
      <c r="AI1" s="8">
        <v>2055</v>
      </c>
      <c r="AJ1" s="8">
        <v>2056</v>
      </c>
      <c r="AK1" s="8">
        <v>2057</v>
      </c>
      <c r="AL1" s="8">
        <v>2058</v>
      </c>
      <c r="AM1" s="8">
        <v>2059</v>
      </c>
      <c r="AN1" s="8">
        <v>2060</v>
      </c>
    </row>
    <row r="2" spans="1:42" x14ac:dyDescent="0.2">
      <c r="A2" s="10" t="s">
        <v>40</v>
      </c>
      <c r="B2" s="4">
        <f>'Commercial-Conversion'!B17+'Commercial-Conversion'!B32+'Commercial-Conversion'!B47+'Commercial-Conversion'!B62+'Commercial-Conversion'!B77+'Commercial-Conversion'!B92+'Commercial-Conversion'!B122+'Commercial-Conversion'!B152</f>
        <v>7420588.1681196541</v>
      </c>
      <c r="C2" s="4">
        <f>'Commercial-Conversion'!C17+'Commercial-Conversion'!C32+'Commercial-Conversion'!C47+'Commercial-Conversion'!C62+'Commercial-Conversion'!C77+'Commercial-Conversion'!C92+'Commercial-Conversion'!C122+'Commercial-Conversion'!C152</f>
        <v>7755874.2757369736</v>
      </c>
      <c r="D2" s="4">
        <f>'Commercial-Conversion'!D17+'Commercial-Conversion'!D32+'Commercial-Conversion'!D47+'Commercial-Conversion'!D62+'Commercial-Conversion'!D77+'Commercial-Conversion'!D92+'Commercial-Conversion'!D122+'Commercial-Conversion'!D152</f>
        <v>8112504.9818514977</v>
      </c>
      <c r="E2" s="4">
        <f>'Commercial-Conversion'!E17+'Commercial-Conversion'!E32+'Commercial-Conversion'!E47+'Commercial-Conversion'!E62+'Commercial-Conversion'!E77+'Commercial-Conversion'!E92+'Commercial-Conversion'!E122+'Commercial-Conversion'!E152</f>
        <v>8491873.33372261</v>
      </c>
      <c r="F2" s="4">
        <f>'Commercial-Conversion'!F17+'Commercial-Conversion'!F32+'Commercial-Conversion'!F47+'Commercial-Conversion'!F62+'Commercial-Conversion'!F77+'Commercial-Conversion'!F92+'Commercial-Conversion'!F122+'Commercial-Conversion'!F152</f>
        <v>8909263.7360791825</v>
      </c>
      <c r="G2" s="4">
        <f>'Commercial-Conversion'!G17+'Commercial-Conversion'!G32+'Commercial-Conversion'!G47+'Commercial-Conversion'!G62+'Commercial-Conversion'!G77+'Commercial-Conversion'!G92+'Commercial-Conversion'!G122+'Commercial-Conversion'!G152</f>
        <v>9352456.5624855906</v>
      </c>
      <c r="H2" s="4">
        <f>'Commercial-Conversion'!H17+'Commercial-Conversion'!H32+'Commercial-Conversion'!H47+'Commercial-Conversion'!H62+'Commercial-Conversion'!H77+'Commercial-Conversion'!H92+'Commercial-Conversion'!H122+'Commercial-Conversion'!H152</f>
        <v>9823135.7985231485</v>
      </c>
      <c r="I2" s="4">
        <f>'Commercial-Conversion'!I17+'Commercial-Conversion'!I32+'Commercial-Conversion'!I47+'Commercial-Conversion'!I62+'Commercial-Conversion'!I77+'Commercial-Conversion'!I92+'Commercial-Conversion'!I122+'Commercial-Conversion'!I152</f>
        <v>10323095.334463999</v>
      </c>
      <c r="J2" s="4">
        <f>'Commercial-Conversion'!J17+'Commercial-Conversion'!J32+'Commercial-Conversion'!J47+'Commercial-Conversion'!J62+'Commercial-Conversion'!J77+'Commercial-Conversion'!J92+'Commercial-Conversion'!J122+'Commercial-Conversion'!J152</f>
        <v>10854246.138159785</v>
      </c>
      <c r="K2" s="4">
        <f>'Commercial-Conversion'!K17+'Commercial-Conversion'!K32+'Commercial-Conversion'!K47+'Commercial-Conversion'!K62+'Commercial-Conversion'!K77+'Commercial-Conversion'!K92+'Commercial-Conversion'!K122+'Commercial-Conversion'!K152</f>
        <v>11415095.860090172</v>
      </c>
      <c r="L2" s="4">
        <f>'Commercial-Conversion'!L17+'Commercial-Conversion'!L32+'Commercial-Conversion'!L47+'Commercial-Conversion'!L62+'Commercial-Conversion'!L77+'Commercial-Conversion'!L92+'Commercial-Conversion'!L122+'Commercial-Conversion'!L152</f>
        <v>12011341.081004076</v>
      </c>
      <c r="M2" s="4">
        <f>'Commercial-Conversion'!M17+'Commercial-Conversion'!M32+'Commercial-Conversion'!M47+'Commercial-Conversion'!M62+'Commercial-Conversion'!M77+'Commercial-Conversion'!M92+'Commercial-Conversion'!M122+'Commercial-Conversion'!M152</f>
        <v>12645291.874940138</v>
      </c>
      <c r="N2" s="4">
        <f>'Commercial-Conversion'!N17+'Commercial-Conversion'!N32+'Commercial-Conversion'!N47+'Commercial-Conversion'!N62+'Commercial-Conversion'!N77+'Commercial-Conversion'!N92+'Commercial-Conversion'!N122+'Commercial-Conversion'!N152</f>
        <v>13319409.082057459</v>
      </c>
      <c r="O2" s="4">
        <f>'Commercial-Conversion'!O17+'Commercial-Conversion'!O32+'Commercial-Conversion'!O47+'Commercial-Conversion'!O62+'Commercial-Conversion'!O77+'Commercial-Conversion'!O92+'Commercial-Conversion'!O122+'Commercial-Conversion'!O152</f>
        <v>14036314.148330254</v>
      </c>
      <c r="P2" s="4">
        <f>'Commercial-Conversion'!P17+'Commercial-Conversion'!P32+'Commercial-Conversion'!P47+'Commercial-Conversion'!P62+'Commercial-Conversion'!P77+'Commercial-Conversion'!P92+'Commercial-Conversion'!P122+'Commercial-Conversion'!P152</f>
        <v>14795230.786119444</v>
      </c>
      <c r="Q2" s="4">
        <f>'Commercial-Conversion'!Q17+'Commercial-Conversion'!Q32+'Commercial-Conversion'!Q47+'Commercial-Conversion'!Q62+'Commercial-Conversion'!Q77+'Commercial-Conversion'!Q92+'Commercial-Conversion'!Q122+'Commercial-Conversion'!Q152</f>
        <v>15602702.604068143</v>
      </c>
      <c r="R2" s="4">
        <f>'Commercial-Conversion'!R17+'Commercial-Conversion'!R32+'Commercial-Conversion'!R47+'Commercial-Conversion'!R62+'Commercial-Conversion'!R77+'Commercial-Conversion'!R92+'Commercial-Conversion'!R122+'Commercial-Conversion'!R152</f>
        <v>16461898.53789838</v>
      </c>
      <c r="S2" s="4">
        <f>'Commercial-Conversion'!S17+'Commercial-Conversion'!S32+'Commercial-Conversion'!S47+'Commercial-Conversion'!S62+'Commercial-Conversion'!S77+'Commercial-Conversion'!S92+'Commercial-Conversion'!S122+'Commercial-Conversion'!S152</f>
        <v>17376194.34274007</v>
      </c>
      <c r="T2" s="4">
        <f>'Commercial-Conversion'!T17+'Commercial-Conversion'!T32+'Commercial-Conversion'!T47+'Commercial-Conversion'!T62+'Commercial-Conversion'!T77+'Commercial-Conversion'!T92+'Commercial-Conversion'!T122+'Commercial-Conversion'!T152</f>
        <v>18349186.091122523</v>
      </c>
      <c r="U2" s="4">
        <f>'Commercial-Conversion'!U17+'Commercial-Conversion'!U32+'Commercial-Conversion'!U47+'Commercial-Conversion'!U62+'Commercial-Conversion'!U77+'Commercial-Conversion'!U92+'Commercial-Conversion'!U122+'Commercial-Conversion'!U152</f>
        <v>19381214.068491854</v>
      </c>
      <c r="V2" s="4">
        <f>'Commercial-Conversion'!V17+'Commercial-Conversion'!V32+'Commercial-Conversion'!V47+'Commercial-Conversion'!V62+'Commercial-Conversion'!V77+'Commercial-Conversion'!V92+'Commercial-Conversion'!V122+'Commercial-Conversion'!V152</f>
        <v>20479849.540826034</v>
      </c>
      <c r="W2" s="4">
        <f>'Commercial-Conversion'!W17+'Commercial-Conversion'!W32+'Commercial-Conversion'!W47+'Commercial-Conversion'!W62+'Commercial-Conversion'!W77+'Commercial-Conversion'!W92+'Commercial-Conversion'!W122+'Commercial-Conversion'!W152</f>
        <v>21649439.62143933</v>
      </c>
      <c r="X2" s="4">
        <f>'Commercial-Conversion'!X17+'Commercial-Conversion'!X32+'Commercial-Conversion'!X47+'Commercial-Conversion'!X62+'Commercial-Conversion'!X77+'Commercial-Conversion'!X92+'Commercial-Conversion'!X122+'Commercial-Conversion'!X152</f>
        <v>22894615.136375021</v>
      </c>
      <c r="Y2" s="4">
        <f>'Commercial-Conversion'!Y17+'Commercial-Conversion'!Y32+'Commercial-Conversion'!Y47+'Commercial-Conversion'!Y62+'Commercial-Conversion'!Y77+'Commercial-Conversion'!Y92+'Commercial-Conversion'!Y122+'Commercial-Conversion'!Y152</f>
        <v>24220309.140810788</v>
      </c>
      <c r="Z2" s="4">
        <f>'Commercial-Conversion'!Z17+'Commercial-Conversion'!Z32+'Commercial-Conversion'!Z47+'Commercial-Conversion'!Z62+'Commercial-Conversion'!Z77+'Commercial-Conversion'!Z92+'Commercial-Conversion'!Z122+'Commercial-Conversion'!Z152</f>
        <v>25628427.651014082</v>
      </c>
      <c r="AA2" s="4">
        <f>'Commercial-Conversion'!AA17+'Commercial-Conversion'!AA32+'Commercial-Conversion'!AA47+'Commercial-Conversion'!AA62+'Commercial-Conversion'!AA77+'Commercial-Conversion'!AA92+'Commercial-Conversion'!AA122+'Commercial-Conversion'!AA152</f>
        <v>27127917.635299366</v>
      </c>
      <c r="AB2" s="4">
        <f>'Commercial-Conversion'!AB17+'Commercial-Conversion'!AB32+'Commercial-Conversion'!AB47+'Commercial-Conversion'!AB62+'Commercial-Conversion'!AB77+'Commercial-Conversion'!AB92+'Commercial-Conversion'!AB122+'Commercial-Conversion'!AB152</f>
        <v>28724742.418841057</v>
      </c>
      <c r="AC2" s="4">
        <f>'Commercial-Conversion'!AC17+'Commercial-Conversion'!AC32+'Commercial-Conversion'!AC47+'Commercial-Conversion'!AC62+'Commercial-Conversion'!AC77+'Commercial-Conversion'!AC92+'Commercial-Conversion'!AC122+'Commercial-Conversion'!AC152</f>
        <v>30425254.521006718</v>
      </c>
      <c r="AD2" s="4">
        <f>'Commercial-Conversion'!AD17+'Commercial-Conversion'!AD32+'Commercial-Conversion'!AD47+'Commercial-Conversion'!AD62+'Commercial-Conversion'!AD77+'Commercial-Conversion'!AD92+'Commercial-Conversion'!AD122+'Commercial-Conversion'!AD152</f>
        <v>32236221.055970985</v>
      </c>
      <c r="AE2" s="4">
        <f>'Commercial-Conversion'!AE17+'Commercial-Conversion'!AE32+'Commercial-Conversion'!AE47+'Commercial-Conversion'!AE62+'Commercial-Conversion'!AE77+'Commercial-Conversion'!AE92+'Commercial-Conversion'!AE122+'Commercial-Conversion'!AE152</f>
        <v>34156747.546155207</v>
      </c>
      <c r="AF2" s="4">
        <f>'Commercial-Conversion'!AF17+'Commercial-Conversion'!AF32+'Commercial-Conversion'!AF47+'Commercial-Conversion'!AF62+'Commercial-Conversion'!AF77+'Commercial-Conversion'!AF92+'Commercial-Conversion'!AF122+'Commercial-Conversion'!AF152</f>
        <v>36202616.481364921</v>
      </c>
      <c r="AG2" s="4">
        <f>'Commercial-Conversion'!AG17+'Commercial-Conversion'!AG32+'Commercial-Conversion'!AG47+'Commercial-Conversion'!AG62+'Commercial-Conversion'!AG77+'Commercial-Conversion'!AG92+'Commercial-Conversion'!AG122+'Commercial-Conversion'!AG152</f>
        <v>38382008.289521985</v>
      </c>
      <c r="AH2" s="4">
        <f>'Commercial-Conversion'!AH17+'Commercial-Conversion'!AH32+'Commercial-Conversion'!AH47+'Commercial-Conversion'!AH62+'Commercial-Conversion'!AH77+'Commercial-Conversion'!AH92+'Commercial-Conversion'!AH122+'Commercial-Conversion'!AH152</f>
        <v>40703637.291125268</v>
      </c>
      <c r="AI2" s="4">
        <f>'Commercial-Conversion'!AI17+'Commercial-Conversion'!AI32+'Commercial-Conversion'!AI47+'Commercial-Conversion'!AI62+'Commercial-Conversion'!AI77+'Commercial-Conversion'!AI92+'Commercial-Conversion'!AI122+'Commercial-Conversion'!AI152</f>
        <v>43176786.543550581</v>
      </c>
      <c r="AJ2" s="4">
        <f>'Commercial-Conversion'!AJ17+'Commercial-Conversion'!AJ32+'Commercial-Conversion'!AJ47+'Commercial-Conversion'!AJ62+'Commercial-Conversion'!AJ77+'Commercial-Conversion'!AJ92+'Commercial-Conversion'!AJ122+'Commercial-Conversion'!AJ152</f>
        <v>45811344.959450759</v>
      </c>
      <c r="AK2" s="4">
        <f>'Commercial-Conversion'!AK17+'Commercial-Conversion'!AK32+'Commercial-Conversion'!AK47+'Commercial-Conversion'!AK62+'Commercial-Conversion'!AK77+'Commercial-Conversion'!AK92+'Commercial-Conversion'!AK122+'Commercial-Conversion'!AK152</f>
        <v>48617846.847674385</v>
      </c>
      <c r="AL2" s="4">
        <f>'Commercial-Conversion'!AL17+'Commercial-Conversion'!AL32+'Commercial-Conversion'!AL47+'Commercial-Conversion'!AL62+'Commercial-Conversion'!AL77+'Commercial-Conversion'!AL92+'Commercial-Conversion'!AL122+'Commercial-Conversion'!AL152</f>
        <v>51607514.034807704</v>
      </c>
      <c r="AM2" s="4">
        <f>'Commercial-Conversion'!AM17+'Commercial-Conversion'!AM32+'Commercial-Conversion'!AM47+'Commercial-Conversion'!AM62+'Commercial-Conversion'!AM77+'Commercial-Conversion'!AM92+'Commercial-Conversion'!AM122+'Commercial-Conversion'!AM152</f>
        <v>54792300.735763431</v>
      </c>
      <c r="AN2" s="4">
        <f>'Commercial-Conversion'!AN17+'Commercial-Conversion'!AN32+'Commercial-Conversion'!AN47+'Commercial-Conversion'!AN62+'Commercial-Conversion'!AN77+'Commercial-Conversion'!AN92+'Commercial-Conversion'!AN122+'Commercial-Conversion'!AN152</f>
        <v>58184941.352831587</v>
      </c>
    </row>
    <row r="3" spans="1:42" x14ac:dyDescent="0.2">
      <c r="A3" s="10" t="s">
        <v>41</v>
      </c>
      <c r="B3" s="4">
        <f>'Commercial-Conversion'!B18+'Commercial-Conversion'!B33+'Commercial-Conversion'!B48+'Commercial-Conversion'!B63+'Commercial-Conversion'!B78+'Commercial-Conversion'!B93+'Commercial-Conversion'!B108+'Commercial-Conversion'!B123+'Commercial-Conversion'!B138+'Commercial-Conversion'!B153</f>
        <v>5359282.5791786565</v>
      </c>
      <c r="C3" s="4">
        <f>'Commercial-Conversion'!C18+'Commercial-Conversion'!C33+'Commercial-Conversion'!C48+'Commercial-Conversion'!C63+'Commercial-Conversion'!C78+'Commercial-Conversion'!C93+'Commercial-Conversion'!C108+'Commercial-Conversion'!C123+'Commercial-Conversion'!C138+'Commercial-Conversion'!C153</f>
        <v>5566922.1123801591</v>
      </c>
      <c r="D3" s="4">
        <f>'Commercial-Conversion'!D18+'Commercial-Conversion'!D33+'Commercial-Conversion'!D48+'Commercial-Conversion'!D63+'Commercial-Conversion'!D78+'Commercial-Conversion'!D93+'Commercial-Conversion'!D108+'Commercial-Conversion'!D123+'Commercial-Conversion'!D138+'Commercial-Conversion'!D153</f>
        <v>5787600.2781136483</v>
      </c>
      <c r="E3" s="4">
        <f>'Commercial-Conversion'!E18+'Commercial-Conversion'!E33+'Commercial-Conversion'!E48+'Commercial-Conversion'!E63+'Commercial-Conversion'!E78+'Commercial-Conversion'!E93+'Commercial-Conversion'!E108+'Commercial-Conversion'!E123+'Commercial-Conversion'!E138+'Commercial-Conversion'!E153</f>
        <v>6022168.0378679102</v>
      </c>
      <c r="F3" s="4">
        <f>'Commercial-Conversion'!F18+'Commercial-Conversion'!F33+'Commercial-Conversion'!F48+'Commercial-Conversion'!F63+'Commercial-Conversion'!F78+'Commercial-Conversion'!F93+'Commercial-Conversion'!F108+'Commercial-Conversion'!F123+'Commercial-Conversion'!F138+'Commercial-Conversion'!F153</f>
        <v>6284694.8220135197</v>
      </c>
      <c r="G3" s="4">
        <f>'Commercial-Conversion'!G18+'Commercial-Conversion'!G33+'Commercial-Conversion'!G48+'Commercial-Conversion'!G63+'Commercial-Conversion'!G78+'Commercial-Conversion'!G93+'Commercial-Conversion'!G108+'Commercial-Conversion'!G123+'Commercial-Conversion'!G138+'Commercial-Conversion'!G153</f>
        <v>6562983.3608561931</v>
      </c>
      <c r="H3" s="4">
        <f>'Commercial-Conversion'!H18+'Commercial-Conversion'!H33+'Commercial-Conversion'!H48+'Commercial-Conversion'!H63+'Commercial-Conversion'!H78+'Commercial-Conversion'!H93+'Commercial-Conversion'!H108+'Commercial-Conversion'!H123+'Commercial-Conversion'!H138+'Commercial-Conversion'!H153</f>
        <v>6858062.3394371057</v>
      </c>
      <c r="I3" s="4">
        <f>'Commercial-Conversion'!I18+'Commercial-Conversion'!I33+'Commercial-Conversion'!I48+'Commercial-Conversion'!I63+'Commercial-Conversion'!I78+'Commercial-Conversion'!I93+'Commercial-Conversion'!I108+'Commercial-Conversion'!I123+'Commercial-Conversion'!I138+'Commercial-Conversion'!I153</f>
        <v>7171027.5795429358</v>
      </c>
      <c r="J3" s="4">
        <f>'Commercial-Conversion'!J18+'Commercial-Conversion'!J33+'Commercial-Conversion'!J48+'Commercial-Conversion'!J63+'Commercial-Conversion'!J78+'Commercial-Conversion'!J93+'Commercial-Conversion'!J108+'Commercial-Conversion'!J123+'Commercial-Conversion'!J138+'Commercial-Conversion'!J153</f>
        <v>7503046.4213605318</v>
      </c>
      <c r="K3" s="4">
        <f>'Commercial-Conversion'!K18+'Commercial-Conversion'!K33+'Commercial-Conversion'!K48+'Commercial-Conversion'!K63+'Commercial-Conversion'!K78+'Commercial-Conversion'!K93+'Commercial-Conversion'!K108+'Commercial-Conversion'!K123+'Commercial-Conversion'!K138+'Commercial-Conversion'!K153</f>
        <v>7851997.3322846657</v>
      </c>
      <c r="L3" s="4">
        <f>'Commercial-Conversion'!L18+'Commercial-Conversion'!L33+'Commercial-Conversion'!L48+'Commercial-Conversion'!L63+'Commercial-Conversion'!L78+'Commercial-Conversion'!L93+'Commercial-Conversion'!L108+'Commercial-Conversion'!L123+'Commercial-Conversion'!L138+'Commercial-Conversion'!L153</f>
        <v>8222570.0556121934</v>
      </c>
      <c r="M3" s="4">
        <f>'Commercial-Conversion'!M18+'Commercial-Conversion'!M33+'Commercial-Conversion'!M48+'Commercial-Conversion'!M63+'Commercial-Conversion'!M78+'Commercial-Conversion'!M93+'Commercial-Conversion'!M108+'Commercial-Conversion'!M123+'Commercial-Conversion'!M138+'Commercial-Conversion'!M153</f>
        <v>8616175.730864685</v>
      </c>
      <c r="N3" s="4">
        <f>'Commercial-Conversion'!N18+'Commercial-Conversion'!N33+'Commercial-Conversion'!N48+'Commercial-Conversion'!N63+'Commercial-Conversion'!N78+'Commercial-Conversion'!N93+'Commercial-Conversion'!N108+'Commercial-Conversion'!N123+'Commercial-Conversion'!N138+'Commercial-Conversion'!N153</f>
        <v>9034317.5950582325</v>
      </c>
      <c r="O3" s="4">
        <f>'Commercial-Conversion'!O18+'Commercial-Conversion'!O33+'Commercial-Conversion'!O48+'Commercial-Conversion'!O63+'Commercial-Conversion'!O78+'Commercial-Conversion'!O93+'Commercial-Conversion'!O108+'Commercial-Conversion'!O123+'Commercial-Conversion'!O138+'Commercial-Conversion'!O153</f>
        <v>9478596.993412083</v>
      </c>
      <c r="P3" s="4">
        <f>'Commercial-Conversion'!P18+'Commercial-Conversion'!P33+'Commercial-Conversion'!P48+'Commercial-Conversion'!P63+'Commercial-Conversion'!P78+'Commercial-Conversion'!P93+'Commercial-Conversion'!P108+'Commercial-Conversion'!P123+'Commercial-Conversion'!P138+'Commercial-Conversion'!P153</f>
        <v>9947315.8222720139</v>
      </c>
      <c r="Q3" s="4">
        <f>'Commercial-Conversion'!Q18+'Commercial-Conversion'!Q33+'Commercial-Conversion'!Q48+'Commercial-Conversion'!Q63+'Commercial-Conversion'!Q78+'Commercial-Conversion'!Q93+'Commercial-Conversion'!Q108+'Commercial-Conversion'!Q123+'Commercial-Conversion'!Q138+'Commercial-Conversion'!Q153</f>
        <v>10445695.230210399</v>
      </c>
      <c r="R3" s="4">
        <f>'Commercial-Conversion'!R18+'Commercial-Conversion'!R33+'Commercial-Conversion'!R48+'Commercial-Conversion'!R63+'Commercial-Conversion'!R78+'Commercial-Conversion'!R93+'Commercial-Conversion'!R108+'Commercial-Conversion'!R123+'Commercial-Conversion'!R138+'Commercial-Conversion'!R153</f>
        <v>10975671.0038574</v>
      </c>
      <c r="S3" s="4">
        <f>'Commercial-Conversion'!S18+'Commercial-Conversion'!S33+'Commercial-Conversion'!S48+'Commercial-Conversion'!S63+'Commercial-Conversion'!S78+'Commercial-Conversion'!S93+'Commercial-Conversion'!S108+'Commercial-Conversion'!S123+'Commercial-Conversion'!S138+'Commercial-Conversion'!S153</f>
        <v>11539305.268235542</v>
      </c>
      <c r="T3" s="4">
        <f>'Commercial-Conversion'!T18+'Commercial-Conversion'!T33+'Commercial-Conversion'!T48+'Commercial-Conversion'!T63+'Commercial-Conversion'!T78+'Commercial-Conversion'!T93+'Commercial-Conversion'!T108+'Commercial-Conversion'!T123+'Commercial-Conversion'!T138+'Commercial-Conversion'!T153</f>
        <v>12138794.732187774</v>
      </c>
      <c r="U3" s="4">
        <f>'Commercial-Conversion'!U18+'Commercial-Conversion'!U33+'Commercial-Conversion'!U48+'Commercial-Conversion'!U63+'Commercial-Conversion'!U78+'Commercial-Conversion'!U93+'Commercial-Conversion'!U108+'Commercial-Conversion'!U123+'Commercial-Conversion'!U138+'Commercial-Conversion'!U153</f>
        <v>12773150.23095125</v>
      </c>
      <c r="V3" s="4">
        <f>'Commercial-Conversion'!V18+'Commercial-Conversion'!V33+'Commercial-Conversion'!V48+'Commercial-Conversion'!V63+'Commercial-Conversion'!V78+'Commercial-Conversion'!V93+'Commercial-Conversion'!V108+'Commercial-Conversion'!V123+'Commercial-Conversion'!V138+'Commercial-Conversion'!V153</f>
        <v>13448193.805943303</v>
      </c>
      <c r="W3" s="4">
        <f>'Commercial-Conversion'!W18+'Commercial-Conversion'!W33+'Commercial-Conversion'!W48+'Commercial-Conversion'!W63+'Commercial-Conversion'!W78+'Commercial-Conversion'!W93+'Commercial-Conversion'!W108+'Commercial-Conversion'!W123+'Commercial-Conversion'!W138+'Commercial-Conversion'!W153</f>
        <v>14166580.949282337</v>
      </c>
      <c r="X3" s="4">
        <f>'Commercial-Conversion'!X18+'Commercial-Conversion'!X33+'Commercial-Conversion'!X48+'Commercial-Conversion'!X63+'Commercial-Conversion'!X78+'Commercial-Conversion'!X93+'Commercial-Conversion'!X108+'Commercial-Conversion'!X123+'Commercial-Conversion'!X138+'Commercial-Conversion'!X153</f>
        <v>14931140.462789366</v>
      </c>
      <c r="Y3" s="4">
        <f>'Commercial-Conversion'!Y18+'Commercial-Conversion'!Y33+'Commercial-Conversion'!Y48+'Commercial-Conversion'!Y63+'Commercial-Conversion'!Y78+'Commercial-Conversion'!Y93+'Commercial-Conversion'!Y108+'Commercial-Conversion'!Y123+'Commercial-Conversion'!Y138+'Commercial-Conversion'!Y153</f>
        <v>15744885.76898111</v>
      </c>
      <c r="Z3" s="4">
        <f>'Commercial-Conversion'!Z18+'Commercial-Conversion'!Z33+'Commercial-Conversion'!Z48+'Commercial-Conversion'!Z63+'Commercial-Conversion'!Z78+'Commercial-Conversion'!Z93+'Commercial-Conversion'!Z108+'Commercial-Conversion'!Z123+'Commercial-Conversion'!Z138+'Commercial-Conversion'!Z153</f>
        <v>16607832.673645711</v>
      </c>
      <c r="AA3" s="4">
        <f>'Commercial-Conversion'!AA18+'Commercial-Conversion'!AA33+'Commercial-Conversion'!AA48+'Commercial-Conversion'!AA63+'Commercial-Conversion'!AA78+'Commercial-Conversion'!AA93+'Commercial-Conversion'!AA108+'Commercial-Conversion'!AA123+'Commercial-Conversion'!AA138+'Commercial-Conversion'!AA153</f>
        <v>17526595.061305553</v>
      </c>
      <c r="AB3" s="4">
        <f>'Commercial-Conversion'!AB18+'Commercial-Conversion'!AB33+'Commercial-Conversion'!AB48+'Commercial-Conversion'!AB63+'Commercial-Conversion'!AB78+'Commercial-Conversion'!AB93+'Commercial-Conversion'!AB108+'Commercial-Conversion'!AB123+'Commercial-Conversion'!AB138+'Commercial-Conversion'!AB153</f>
        <v>18504815.708639145</v>
      </c>
      <c r="AC3" s="4">
        <f>'Commercial-Conversion'!AC18+'Commercial-Conversion'!AC33+'Commercial-Conversion'!AC48+'Commercial-Conversion'!AC63+'Commercial-Conversion'!AC78+'Commercial-Conversion'!AC93+'Commercial-Conversion'!AC108+'Commercial-Conversion'!AC123+'Commercial-Conversion'!AC138+'Commercial-Conversion'!AC153</f>
        <v>19546375.136786163</v>
      </c>
      <c r="AD3" s="4">
        <f>'Commercial-Conversion'!AD18+'Commercial-Conversion'!AD33+'Commercial-Conversion'!AD48+'Commercial-Conversion'!AD63+'Commercial-Conversion'!AD78+'Commercial-Conversion'!AD93+'Commercial-Conversion'!AD108+'Commercial-Conversion'!AD123+'Commercial-Conversion'!AD138+'Commercial-Conversion'!AD153</f>
        <v>20655407.127651025</v>
      </c>
      <c r="AE3" s="4">
        <f>'Commercial-Conversion'!AE18+'Commercial-Conversion'!AE33+'Commercial-Conversion'!AE48+'Commercial-Conversion'!AE63+'Commercial-Conversion'!AE78+'Commercial-Conversion'!AE93+'Commercial-Conversion'!AE108+'Commercial-Conversion'!AE123+'Commercial-Conversion'!AE138+'Commercial-Conversion'!AE153</f>
        <v>21828586.336280089</v>
      </c>
      <c r="AF3" s="4">
        <f>'Commercial-Conversion'!AF18+'Commercial-Conversion'!AF33+'Commercial-Conversion'!AF48+'Commercial-Conversion'!AF63+'Commercial-Conversion'!AF78+'Commercial-Conversion'!AF93+'Commercial-Conversion'!AF108+'Commercial-Conversion'!AF123+'Commercial-Conversion'!AF138+'Commercial-Conversion'!AF153</f>
        <v>23078332.648364488</v>
      </c>
      <c r="AG3" s="4">
        <f>'Commercial-Conversion'!AG18+'Commercial-Conversion'!AG33+'Commercial-Conversion'!AG48+'Commercial-Conversion'!AG63+'Commercial-Conversion'!AG78+'Commercial-Conversion'!AG93+'Commercial-Conversion'!AG108+'Commercial-Conversion'!AG123+'Commercial-Conversion'!AG138+'Commercial-Conversion'!AG153</f>
        <v>24409643.1873517</v>
      </c>
      <c r="AH3" s="4">
        <f>'Commercial-Conversion'!AH18+'Commercial-Conversion'!AH33+'Commercial-Conversion'!AH48+'Commercial-Conversion'!AH63+'Commercial-Conversion'!AH78+'Commercial-Conversion'!AH93+'Commercial-Conversion'!AH108+'Commercial-Conversion'!AH123+'Commercial-Conversion'!AH138+'Commercial-Conversion'!AH153</f>
        <v>25827841.212087069</v>
      </c>
      <c r="AI3" s="4">
        <f>'Commercial-Conversion'!AI18+'Commercial-Conversion'!AI33+'Commercial-Conversion'!AI48+'Commercial-Conversion'!AI63+'Commercial-Conversion'!AI78+'Commercial-Conversion'!AI93+'Commercial-Conversion'!AI108+'Commercial-Conversion'!AI123+'Commercial-Conversion'!AI138+'Commercial-Conversion'!AI153</f>
        <v>27338597.401918944</v>
      </c>
      <c r="AJ3" s="4">
        <f>'Commercial-Conversion'!AJ18+'Commercial-Conversion'!AJ33+'Commercial-Conversion'!AJ48+'Commercial-Conversion'!AJ63+'Commercial-Conversion'!AJ78+'Commercial-Conversion'!AJ93+'Commercial-Conversion'!AJ108+'Commercial-Conversion'!AJ123+'Commercial-Conversion'!AJ138+'Commercial-Conversion'!AJ153</f>
        <v>28947952.530968133</v>
      </c>
      <c r="AK3" s="4">
        <f>'Commercial-Conversion'!AK18+'Commercial-Conversion'!AK33+'Commercial-Conversion'!AK48+'Commercial-Conversion'!AK63+'Commercial-Conversion'!AK78+'Commercial-Conversion'!AK93+'Commercial-Conversion'!AK108+'Commercial-Conversion'!AK123+'Commercial-Conversion'!AK138+'Commercial-Conversion'!AK153</f>
        <v>30662341.622225255</v>
      </c>
      <c r="AL3" s="4">
        <f>'Commercial-Conversion'!AL18+'Commercial-Conversion'!AL33+'Commercial-Conversion'!AL48+'Commercial-Conversion'!AL63+'Commercial-Conversion'!AL78+'Commercial-Conversion'!AL93+'Commercial-Conversion'!AL108+'Commercial-Conversion'!AL123+'Commercial-Conversion'!AL138+'Commercial-Conversion'!AL153</f>
        <v>32488619.678056143</v>
      </c>
      <c r="AM3" s="4">
        <f>'Commercial-Conversion'!AM18+'Commercial-Conversion'!AM33+'Commercial-Conversion'!AM48+'Commercial-Conversion'!AM63+'Commercial-Conversion'!AM78+'Commercial-Conversion'!AM93+'Commercial-Conversion'!AM108+'Commercial-Conversion'!AM123+'Commercial-Conversion'!AM138+'Commercial-Conversion'!AM153</f>
        <v>34434089.089999117</v>
      </c>
      <c r="AN3" s="4">
        <f>'Commercial-Conversion'!AN18+'Commercial-Conversion'!AN33+'Commercial-Conversion'!AN48+'Commercial-Conversion'!AN63+'Commercial-Conversion'!AN78+'Commercial-Conversion'!AN93+'Commercial-Conversion'!AN108+'Commercial-Conversion'!AN123+'Commercial-Conversion'!AN138+'Commercial-Conversion'!AN153</f>
        <v>36506528.837452449</v>
      </c>
    </row>
    <row r="4" spans="1:42" x14ac:dyDescent="0.2">
      <c r="A4" s="10" t="s">
        <v>42</v>
      </c>
      <c r="B4" s="4">
        <f>'Commercial-Conversion'!B49+'Commercial-Conversion'!B79+'Commercial-Conversion'!B94+'Commercial-Conversion'!B109+'Commercial-Conversion'!B124+'Commercial-Conversion'!B139+'Commercial-Conversion'!B154</f>
        <v>2299912.3367749481</v>
      </c>
      <c r="C4" s="4">
        <f>'Commercial-Conversion'!C49+'Commercial-Conversion'!C79+'Commercial-Conversion'!C94+'Commercial-Conversion'!C109+'Commercial-Conversion'!C124+'Commercial-Conversion'!C139+'Commercial-Conversion'!C154</f>
        <v>2339649.0243040454</v>
      </c>
      <c r="D4" s="4">
        <f>'Commercial-Conversion'!D49+'Commercial-Conversion'!D79+'Commercial-Conversion'!D94+'Commercial-Conversion'!D109+'Commercial-Conversion'!D124+'Commercial-Conversion'!D139+'Commercial-Conversion'!D154</f>
        <v>2381580.8548520189</v>
      </c>
      <c r="E4" s="4">
        <f>'Commercial-Conversion'!E49+'Commercial-Conversion'!E79+'Commercial-Conversion'!E94+'Commercial-Conversion'!E109+'Commercial-Conversion'!E124+'Commercial-Conversion'!E139+'Commercial-Conversion'!E154</f>
        <v>2425851.0936092082</v>
      </c>
      <c r="F4" s="4">
        <f>'Commercial-Conversion'!F49+'Commercial-Conversion'!F79+'Commercial-Conversion'!F94+'Commercial-Conversion'!F109+'Commercial-Conversion'!F124+'Commercial-Conversion'!F139+'Commercial-Conversion'!F154</f>
        <v>2482833.4368244875</v>
      </c>
      <c r="G4" s="4">
        <f>'Commercial-Conversion'!G49+'Commercial-Conversion'!G79+'Commercial-Conversion'!G94+'Commercial-Conversion'!G109+'Commercial-Conversion'!G124+'Commercial-Conversion'!G139+'Commercial-Conversion'!G154</f>
        <v>2542469.3793112878</v>
      </c>
      <c r="H4" s="4">
        <f>'Commercial-Conversion'!H49+'Commercial-Conversion'!H79+'Commercial-Conversion'!H94+'Commercial-Conversion'!H109+'Commercial-Conversion'!H124+'Commercial-Conversion'!H139+'Commercial-Conversion'!H154</f>
        <v>2604932.1072362741</v>
      </c>
      <c r="I4" s="4">
        <f>'Commercial-Conversion'!I49+'Commercial-Conversion'!I79+'Commercial-Conversion'!I94+'Commercial-Conversion'!I109+'Commercial-Conversion'!I124+'Commercial-Conversion'!I139+'Commercial-Conversion'!I154</f>
        <v>2670406.1096966774</v>
      </c>
      <c r="J4" s="4">
        <f>'Commercial-Conversion'!J49+'Commercial-Conversion'!J79+'Commercial-Conversion'!J94+'Commercial-Conversion'!J109+'Commercial-Conversion'!J124+'Commercial-Conversion'!J139+'Commercial-Conversion'!J154</f>
        <v>2739087.9164018468</v>
      </c>
      <c r="K4" s="4">
        <f>'Commercial-Conversion'!K49+'Commercial-Conversion'!K79+'Commercial-Conversion'!K94+'Commercial-Conversion'!K109+'Commercial-Conversion'!K124+'Commercial-Conversion'!K139+'Commercial-Conversion'!K154</f>
        <v>2808573.8987555825</v>
      </c>
      <c r="L4" s="4">
        <f>'Commercial-Conversion'!L49+'Commercial-Conversion'!L79+'Commercial-Conversion'!L94+'Commercial-Conversion'!L109+'Commercial-Conversion'!L124+'Commercial-Conversion'!L139+'Commercial-Conversion'!L154</f>
        <v>2881700.0612000101</v>
      </c>
      <c r="M4" s="4">
        <f>'Commercial-Conversion'!M49+'Commercial-Conversion'!M79+'Commercial-Conversion'!M94+'Commercial-Conversion'!M109+'Commercial-Conversion'!M124+'Commercial-Conversion'!M139+'Commercial-Conversion'!M154</f>
        <v>2958703.9787309612</v>
      </c>
      <c r="N4" s="4">
        <f>'Commercial-Conversion'!N49+'Commercial-Conversion'!N79+'Commercial-Conversion'!N94+'Commercial-Conversion'!N109+'Commercial-Conversion'!N124+'Commercial-Conversion'!N139+'Commercial-Conversion'!N154</f>
        <v>3039838.7315877541</v>
      </c>
      <c r="O4" s="4">
        <f>'Commercial-Conversion'!O49+'Commercial-Conversion'!O79+'Commercial-Conversion'!O94+'Commercial-Conversion'!O109+'Commercial-Conversion'!O124+'Commercial-Conversion'!O139+'Commercial-Conversion'!O154</f>
        <v>3125373.9171971316</v>
      </c>
      <c r="P4" s="4">
        <f>'Commercial-Conversion'!P49+'Commercial-Conversion'!P79+'Commercial-Conversion'!P94+'Commercial-Conversion'!P109+'Commercial-Conversion'!P124+'Commercial-Conversion'!P139+'Commercial-Conversion'!P154</f>
        <v>3212953.5363992136</v>
      </c>
      <c r="Q4" s="4">
        <f>'Commercial-Conversion'!Q49+'Commercial-Conversion'!Q79+'Commercial-Conversion'!Q94+'Commercial-Conversion'!Q109+'Commercial-Conversion'!Q124+'Commercial-Conversion'!Q139+'Commercial-Conversion'!Q154</f>
        <v>3305526.7170764105</v>
      </c>
      <c r="R4" s="4">
        <f>'Commercial-Conversion'!R49+'Commercial-Conversion'!R79+'Commercial-Conversion'!R94+'Commercial-Conversion'!R109+'Commercial-Conversion'!R124+'Commercial-Conversion'!R139+'Commercial-Conversion'!R154</f>
        <v>3403419.3621557998</v>
      </c>
      <c r="S4" s="4">
        <f>'Commercial-Conversion'!S49+'Commercial-Conversion'!S79+'Commercial-Conversion'!S94+'Commercial-Conversion'!S109+'Commercial-Conversion'!S124+'Commercial-Conversion'!S139+'Commercial-Conversion'!S154</f>
        <v>3506978.6444974281</v>
      </c>
      <c r="T4" s="4">
        <f>'Commercial-Conversion'!T49+'Commercial-Conversion'!T79+'Commercial-Conversion'!T94+'Commercial-Conversion'!T109+'Commercial-Conversion'!T124+'Commercial-Conversion'!T139+'Commercial-Conversion'!T154</f>
        <v>3616574.3950685607</v>
      </c>
      <c r="U4" s="4">
        <f>'Commercial-Conversion'!U49+'Commercial-Conversion'!U79+'Commercial-Conversion'!U94+'Commercial-Conversion'!U109+'Commercial-Conversion'!U124+'Commercial-Conversion'!U139+'Commercial-Conversion'!U154</f>
        <v>3730015.4096903177</v>
      </c>
      <c r="V4" s="4">
        <f>'Commercial-Conversion'!V49+'Commercial-Conversion'!V79+'Commercial-Conversion'!V94+'Commercial-Conversion'!V109+'Commercial-Conversion'!V124+'Commercial-Conversion'!V139+'Commercial-Conversion'!V154</f>
        <v>3850306.5404009805</v>
      </c>
      <c r="W4" s="4">
        <f>'Commercial-Conversion'!W49+'Commercial-Conversion'!W79+'Commercial-Conversion'!W94+'Commercial-Conversion'!W109+'Commercial-Conversion'!W124+'Commercial-Conversion'!W139+'Commercial-Conversion'!W154</f>
        <v>3977894.8574719997</v>
      </c>
      <c r="X4" s="4">
        <f>'Commercial-Conversion'!X49+'Commercial-Conversion'!X79+'Commercial-Conversion'!X94+'Commercial-Conversion'!X109+'Commercial-Conversion'!X124+'Commercial-Conversion'!X139+'Commercial-Conversion'!X154</f>
        <v>4113256.6090493342</v>
      </c>
      <c r="Y4" s="4">
        <f>'Commercial-Conversion'!Y49+'Commercial-Conversion'!Y79+'Commercial-Conversion'!Y94+'Commercial-Conversion'!Y109+'Commercial-Conversion'!Y124+'Commercial-Conversion'!Y139+'Commercial-Conversion'!Y154</f>
        <v>4256899.1254365426</v>
      </c>
      <c r="Z4" s="4">
        <f>'Commercial-Conversion'!Z49+'Commercial-Conversion'!Z79+'Commercial-Conversion'!Z94+'Commercial-Conversion'!Z109+'Commercial-Conversion'!Z124+'Commercial-Conversion'!Z139+'Commercial-Conversion'!Z154</f>
        <v>4406882.4683622662</v>
      </c>
      <c r="AA4" s="4">
        <f>'Commercial-Conversion'!AA49+'Commercial-Conversion'!AA79+'Commercial-Conversion'!AA94+'Commercial-Conversion'!AA109+'Commercial-Conversion'!AA124+'Commercial-Conversion'!AA139+'Commercial-Conversion'!AA154</f>
        <v>4566262.7298330665</v>
      </c>
      <c r="AB4" s="4">
        <f>'Commercial-Conversion'!AB49+'Commercial-Conversion'!AB79+'Commercial-Conversion'!AB94+'Commercial-Conversion'!AB109+'Commercial-Conversion'!AB124+'Commercial-Conversion'!AB139+'Commercial-Conversion'!AB154</f>
        <v>4735653.1962327361</v>
      </c>
      <c r="AC4" s="4">
        <f>'Commercial-Conversion'!AC49+'Commercial-Conversion'!AC79+'Commercial-Conversion'!AC94+'Commercial-Conversion'!AC109+'Commercial-Conversion'!AC124+'Commercial-Conversion'!AC139+'Commercial-Conversion'!AC154</f>
        <v>4915707.1798521522</v>
      </c>
      <c r="AD4" s="4">
        <f>'Commercial-Conversion'!AD49+'Commercial-Conversion'!AD79+'Commercial-Conversion'!AD94+'Commercial-Conversion'!AD109+'Commercial-Conversion'!AD124+'Commercial-Conversion'!AD139+'Commercial-Conversion'!AD154</f>
        <v>5107120.6311651682</v>
      </c>
      <c r="AE4" s="4">
        <f>'Commercial-Conversion'!AE49+'Commercial-Conversion'!AE79+'Commercial-Conversion'!AE94+'Commercial-Conversion'!AE109+'Commercial-Conversion'!AE124+'Commercial-Conversion'!AE139+'Commercial-Conversion'!AE154</f>
        <v>5304633.3797909301</v>
      </c>
      <c r="AF4" s="4">
        <f>'Commercial-Conversion'!AF49+'Commercial-Conversion'!AF79+'Commercial-Conversion'!AF94+'Commercial-Conversion'!AF109+'Commercial-Conversion'!AF124+'Commercial-Conversion'!AF139+'Commercial-Conversion'!AF154</f>
        <v>5515036.7242834978</v>
      </c>
      <c r="AG4" s="4">
        <f>'Commercial-Conversion'!AG49+'Commercial-Conversion'!AG79+'Commercial-Conversion'!AG94+'Commercial-Conversion'!AG109+'Commercial-Conversion'!AG124+'Commercial-Conversion'!AG139+'Commercial-Conversion'!AG154</f>
        <v>5739171.9645739272</v>
      </c>
      <c r="AH4" s="4">
        <f>'Commercial-Conversion'!AH49+'Commercial-Conversion'!AH79+'Commercial-Conversion'!AH94+'Commercial-Conversion'!AH109+'Commercial-Conversion'!AH124+'Commercial-Conversion'!AH139+'Commercial-Conversion'!AH154</f>
        <v>5977935.3077194635</v>
      </c>
      <c r="AI4" s="4">
        <f>'Commercial-Conversion'!AI49+'Commercial-Conversion'!AI79+'Commercial-Conversion'!AI94+'Commercial-Conversion'!AI109+'Commercial-Conversion'!AI124+'Commercial-Conversion'!AI139+'Commercial-Conversion'!AI154</f>
        <v>6232281.4513966683</v>
      </c>
      <c r="AJ4" s="4">
        <f>'Commercial-Conversion'!AJ49+'Commercial-Conversion'!AJ79+'Commercial-Conversion'!AJ94+'Commercial-Conversion'!AJ109+'Commercial-Conversion'!AJ124+'Commercial-Conversion'!AJ139+'Commercial-Conversion'!AJ154</f>
        <v>6503227.4012698531</v>
      </c>
      <c r="AK4" s="4">
        <f>'Commercial-Conversion'!AK49+'Commercial-Conversion'!AK79+'Commercial-Conversion'!AK94+'Commercial-Conversion'!AK109+'Commercial-Conversion'!AK124+'Commercial-Conversion'!AK139+'Commercial-Conversion'!AK154</f>
        <v>6791856.5374986716</v>
      </c>
      <c r="AL4" s="4">
        <f>'Commercial-Conversion'!AL49+'Commercial-Conversion'!AL79+'Commercial-Conversion'!AL94+'Commercial-Conversion'!AL109+'Commercial-Conversion'!AL124+'Commercial-Conversion'!AL139+'Commercial-Conversion'!AL154</f>
        <v>7099322.9466447998</v>
      </c>
      <c r="AM4" s="4">
        <f>'Commercial-Conversion'!AM49+'Commercial-Conversion'!AM79+'Commercial-Conversion'!AM94+'Commercial-Conversion'!AM109+'Commercial-Conversion'!AM124+'Commercial-Conversion'!AM139+'Commercial-Conversion'!AM154</f>
        <v>7426856.0362988766</v>
      </c>
      <c r="AN4" s="4">
        <f>'Commercial-Conversion'!AN49+'Commercial-Conversion'!AN79+'Commercial-Conversion'!AN94+'Commercial-Conversion'!AN109+'Commercial-Conversion'!AN124+'Commercial-Conversion'!AN139+'Commercial-Conversion'!AN154</f>
        <v>7775765.4508793838</v>
      </c>
    </row>
    <row r="5" spans="1:42" x14ac:dyDescent="0.2">
      <c r="A5" s="10" t="s">
        <v>43</v>
      </c>
      <c r="B5" s="4">
        <f>'Commercial-Conversion'!B80+'Commercial-Conversion'!B110+'Commercial-Conversion'!B125+'Commercial-Conversion'!B155+'Commercial-Conversion'!B207</f>
        <v>639821.05080976943</v>
      </c>
      <c r="C5" s="4">
        <f>'Commercial-Conversion'!C80+'Commercial-Conversion'!C110+'Commercial-Conversion'!C125+'Commercial-Conversion'!C155+'Commercial-Conversion'!C207</f>
        <v>642008.88209712761</v>
      </c>
      <c r="D5" s="4">
        <f>'Commercial-Conversion'!D80+'Commercial-Conversion'!D110+'Commercial-Conversion'!D125+'Commercial-Conversion'!D155+'Commercial-Conversion'!D207</f>
        <v>644196.71338448592</v>
      </c>
      <c r="E5" s="4">
        <f>'Commercial-Conversion'!E80+'Commercial-Conversion'!E110+'Commercial-Conversion'!E125+'Commercial-Conversion'!E155+'Commercial-Conversion'!E207</f>
        <v>646384.54467184411</v>
      </c>
      <c r="F5" s="4">
        <f>'Commercial-Conversion'!F80+'Commercial-Conversion'!F110+'Commercial-Conversion'!F125+'Commercial-Conversion'!F155+'Commercial-Conversion'!F207</f>
        <v>652236.96281764959</v>
      </c>
      <c r="G5" s="4">
        <f>'Commercial-Conversion'!G80+'Commercial-Conversion'!G110+'Commercial-Conversion'!G125+'Commercial-Conversion'!G155+'Commercial-Conversion'!G207</f>
        <v>658089.38096345495</v>
      </c>
      <c r="H5" s="4">
        <f>'Commercial-Conversion'!H80+'Commercial-Conversion'!H110+'Commercial-Conversion'!H125+'Commercial-Conversion'!H155+'Commercial-Conversion'!H207</f>
        <v>663941.79910926044</v>
      </c>
      <c r="I5" s="4">
        <f>'Commercial-Conversion'!I80+'Commercial-Conversion'!I110+'Commercial-Conversion'!I125+'Commercial-Conversion'!I155+'Commercial-Conversion'!I207</f>
        <v>669794.2172550658</v>
      </c>
      <c r="J5" s="4">
        <f>'Commercial-Conversion'!J80+'Commercial-Conversion'!J110+'Commercial-Conversion'!J125+'Commercial-Conversion'!J155+'Commercial-Conversion'!J207</f>
        <v>675646.63540087128</v>
      </c>
      <c r="K5" s="4">
        <f>'Commercial-Conversion'!K80+'Commercial-Conversion'!K110+'Commercial-Conversion'!K125+'Commercial-Conversion'!K155+'Commercial-Conversion'!K207</f>
        <v>680562.21431821166</v>
      </c>
      <c r="L5" s="4">
        <f>'Commercial-Conversion'!L80+'Commercial-Conversion'!L110+'Commercial-Conversion'!L125+'Commercial-Conversion'!L155+'Commercial-Conversion'!L207</f>
        <v>685477.79323555226</v>
      </c>
      <c r="M5" s="4">
        <f>'Commercial-Conversion'!M80+'Commercial-Conversion'!M110+'Commercial-Conversion'!M125+'Commercial-Conversion'!M155+'Commercial-Conversion'!M207</f>
        <v>690393.37215289276</v>
      </c>
      <c r="N5" s="4">
        <f>'Commercial-Conversion'!N80+'Commercial-Conversion'!N110+'Commercial-Conversion'!N125+'Commercial-Conversion'!N155+'Commercial-Conversion'!N207</f>
        <v>695308.95107023325</v>
      </c>
      <c r="O5" s="4">
        <f>'Commercial-Conversion'!O80+'Commercial-Conversion'!O110+'Commercial-Conversion'!O125+'Commercial-Conversion'!O155+'Commercial-Conversion'!O207</f>
        <v>700224.52998757374</v>
      </c>
      <c r="P5" s="4">
        <f>'Commercial-Conversion'!P80+'Commercial-Conversion'!P110+'Commercial-Conversion'!P125+'Commercial-Conversion'!P155+'Commercial-Conversion'!P207</f>
        <v>704192.43948700011</v>
      </c>
      <c r="Q5" s="4">
        <f>'Commercial-Conversion'!Q80+'Commercial-Conversion'!Q110+'Commercial-Conversion'!Q125+'Commercial-Conversion'!Q155+'Commercial-Conversion'!Q207</f>
        <v>708160.34898642648</v>
      </c>
      <c r="R5" s="4">
        <f>'Commercial-Conversion'!R80+'Commercial-Conversion'!R110+'Commercial-Conversion'!R125+'Commercial-Conversion'!R155+'Commercial-Conversion'!R207</f>
        <v>712128.25848585274</v>
      </c>
      <c r="S5" s="4">
        <f>'Commercial-Conversion'!S80+'Commercial-Conversion'!S110+'Commercial-Conversion'!S125+'Commercial-Conversion'!S155+'Commercial-Conversion'!S207</f>
        <v>716096.167985279</v>
      </c>
      <c r="T5" s="4">
        <f>'Commercial-Conversion'!T80+'Commercial-Conversion'!T110+'Commercial-Conversion'!T125+'Commercial-Conversion'!T155+'Commercial-Conversion'!T207</f>
        <v>720064.07748470525</v>
      </c>
      <c r="U5" s="4">
        <f>'Commercial-Conversion'!U80+'Commercial-Conversion'!U110+'Commercial-Conversion'!U125+'Commercial-Conversion'!U155+'Commercial-Conversion'!U207</f>
        <v>723105.1195110766</v>
      </c>
      <c r="V5" s="4">
        <f>'Commercial-Conversion'!V80+'Commercial-Conversion'!V110+'Commercial-Conversion'!V125+'Commercial-Conversion'!V155+'Commercial-Conversion'!V207</f>
        <v>726146.16153744771</v>
      </c>
      <c r="W5" s="4">
        <f>'Commercial-Conversion'!W80+'Commercial-Conversion'!W110+'Commercial-Conversion'!W125+'Commercial-Conversion'!W155+'Commercial-Conversion'!W207</f>
        <v>729187.20356381906</v>
      </c>
      <c r="X5" s="4">
        <f>'Commercial-Conversion'!X80+'Commercial-Conversion'!X110+'Commercial-Conversion'!X125+'Commercial-Conversion'!X155+'Commercial-Conversion'!X207</f>
        <v>732228.24559019029</v>
      </c>
      <c r="Y5" s="4">
        <f>'Commercial-Conversion'!Y80+'Commercial-Conversion'!Y110+'Commercial-Conversion'!Y125+'Commercial-Conversion'!Y155+'Commercial-Conversion'!Y207</f>
        <v>735269.2876165614</v>
      </c>
      <c r="Z5" s="4">
        <f>'Commercial-Conversion'!Z80+'Commercial-Conversion'!Z110+'Commercial-Conversion'!Z125+'Commercial-Conversion'!Z155+'Commercial-Conversion'!Z207</f>
        <v>737421.03373970219</v>
      </c>
      <c r="AA5" s="4">
        <f>'Commercial-Conversion'!AA80+'Commercial-Conversion'!AA110+'Commercial-Conversion'!AA125+'Commercial-Conversion'!AA155+'Commercial-Conversion'!AA207</f>
        <v>739572.77986284299</v>
      </c>
      <c r="AB5" s="4">
        <f>'Commercial-Conversion'!AB80+'Commercial-Conversion'!AB110+'Commercial-Conversion'!AB125+'Commercial-Conversion'!AB155+'Commercial-Conversion'!AB207</f>
        <v>741724.52598598367</v>
      </c>
      <c r="AC5" s="4">
        <f>'Commercial-Conversion'!AC80+'Commercial-Conversion'!AC110+'Commercial-Conversion'!AC125+'Commercial-Conversion'!AC155+'Commercial-Conversion'!AC207</f>
        <v>743876.27210912423</v>
      </c>
      <c r="AD5" s="4">
        <f>'Commercial-Conversion'!AD80+'Commercial-Conversion'!AD110+'Commercial-Conversion'!AD125+'Commercial-Conversion'!AD155+'Commercial-Conversion'!AD207</f>
        <v>746028.01823226502</v>
      </c>
      <c r="AE5" s="4">
        <f>'Commercial-Conversion'!AE80+'Commercial-Conversion'!AE110+'Commercial-Conversion'!AE125+'Commercial-Conversion'!AE155+'Commercial-Conversion'!AE207</f>
        <v>746028.01823226502</v>
      </c>
      <c r="AF5" s="4">
        <f>'Commercial-Conversion'!AF80+'Commercial-Conversion'!AF110+'Commercial-Conversion'!AF125+'Commercial-Conversion'!AF155+'Commercial-Conversion'!AF207</f>
        <v>746028.01823226502</v>
      </c>
      <c r="AG5" s="4">
        <f>'Commercial-Conversion'!AG80+'Commercial-Conversion'!AG110+'Commercial-Conversion'!AG125+'Commercial-Conversion'!AG155+'Commercial-Conversion'!AG207</f>
        <v>746028.01823226502</v>
      </c>
      <c r="AH5" s="4">
        <f>'Commercial-Conversion'!AH80+'Commercial-Conversion'!AH110+'Commercial-Conversion'!AH125+'Commercial-Conversion'!AH155+'Commercial-Conversion'!AH207</f>
        <v>746028.01823226502</v>
      </c>
      <c r="AI5" s="4">
        <f>'Commercial-Conversion'!AI80+'Commercial-Conversion'!AI110+'Commercial-Conversion'!AI125+'Commercial-Conversion'!AI155+'Commercial-Conversion'!AI207</f>
        <v>746028.01823226502</v>
      </c>
      <c r="AJ5" s="4">
        <f>'Commercial-Conversion'!AJ80+'Commercial-Conversion'!AJ110+'Commercial-Conversion'!AJ125+'Commercial-Conversion'!AJ155+'Commercial-Conversion'!AJ207</f>
        <v>746028.01823226502</v>
      </c>
      <c r="AK5" s="4">
        <f>'Commercial-Conversion'!AK80+'Commercial-Conversion'!AK110+'Commercial-Conversion'!AK125+'Commercial-Conversion'!AK155+'Commercial-Conversion'!AK207</f>
        <v>746028.01823226502</v>
      </c>
      <c r="AL5" s="4">
        <f>'Commercial-Conversion'!AL80+'Commercial-Conversion'!AL110+'Commercial-Conversion'!AL125+'Commercial-Conversion'!AL155+'Commercial-Conversion'!AL207</f>
        <v>746028.01823226502</v>
      </c>
      <c r="AM5" s="4">
        <f>'Commercial-Conversion'!AM80+'Commercial-Conversion'!AM110+'Commercial-Conversion'!AM125+'Commercial-Conversion'!AM155+'Commercial-Conversion'!AM207</f>
        <v>746028.01823226502</v>
      </c>
      <c r="AN5" s="4">
        <f>'Commercial-Conversion'!AN80+'Commercial-Conversion'!AN110+'Commercial-Conversion'!AN125+'Commercial-Conversion'!AN155+'Commercial-Conversion'!AN207</f>
        <v>746028.01823226502</v>
      </c>
    </row>
    <row r="6" spans="1:42" x14ac:dyDescent="0.2">
      <c r="A6" s="10" t="s">
        <v>8</v>
      </c>
      <c r="B6" s="4">
        <f>'Commercial-Conversion'!B7+'Commercial-Conversion'!B21+'Commercial-Conversion'!B36+'Commercial-Conversion'!B51+'Commercial-Conversion'!B66+'Commercial-Conversion'!B81+'Commercial-Conversion'!B96+'Commercial-Conversion'!B111+'Commercial-Conversion'!B126+'Commercial-Conversion'!B141+'Commercial-Conversion'!B156+'Commercial-Conversion'!B167+'Commercial-Conversion'!B177+'Commercial-Conversion'!B187+'Commercial-Conversion'!B197+'Commercial-Conversion'!B208</f>
        <v>989804.97371746902</v>
      </c>
      <c r="C6" s="4">
        <f>'Commercial-Conversion'!C7+'Commercial-Conversion'!C21+'Commercial-Conversion'!C36+'Commercial-Conversion'!C51+'Commercial-Conversion'!C66+'Commercial-Conversion'!C81+'Commercial-Conversion'!C96+'Commercial-Conversion'!C111+'Commercial-Conversion'!C126+'Commercial-Conversion'!C141+'Commercial-Conversion'!C156+'Commercial-Conversion'!C167+'Commercial-Conversion'!C177+'Commercial-Conversion'!C187+'Commercial-Conversion'!C197+'Commercial-Conversion'!C208</f>
        <v>1016431.4730912198</v>
      </c>
      <c r="D6" s="4">
        <f>'Commercial-Conversion'!D7+'Commercial-Conversion'!D21+'Commercial-Conversion'!D36+'Commercial-Conversion'!D51+'Commercial-Conversion'!D66+'Commercial-Conversion'!D81+'Commercial-Conversion'!D96+'Commercial-Conversion'!D111+'Commercial-Conversion'!D126+'Commercial-Conversion'!D141+'Commercial-Conversion'!D156+'Commercial-Conversion'!D167+'Commercial-Conversion'!D177+'Commercial-Conversion'!D187+'Commercial-Conversion'!D197+'Commercial-Conversion'!D208</f>
        <v>1030514.8253536799</v>
      </c>
      <c r="E6" s="4">
        <f>'Commercial-Conversion'!E7+'Commercial-Conversion'!E21+'Commercial-Conversion'!E36+'Commercial-Conversion'!E51+'Commercial-Conversion'!E66+'Commercial-Conversion'!E81+'Commercial-Conversion'!E96+'Commercial-Conversion'!E111+'Commercial-Conversion'!E126+'Commercial-Conversion'!E141+'Commercial-Conversion'!E156+'Commercial-Conversion'!E167+'Commercial-Conversion'!E177+'Commercial-Conversion'!E187+'Commercial-Conversion'!E197+'Commercial-Conversion'!E208</f>
        <v>1045193.8308173523</v>
      </c>
      <c r="F6" s="4">
        <f>'Commercial-Conversion'!F7+'Commercial-Conversion'!F21+'Commercial-Conversion'!F36+'Commercial-Conversion'!F51+'Commercial-Conversion'!F66+'Commercial-Conversion'!F81+'Commercial-Conversion'!F96+'Commercial-Conversion'!F111+'Commercial-Conversion'!F126+'Commercial-Conversion'!F141+'Commercial-Conversion'!F156+'Commercial-Conversion'!F167+'Commercial-Conversion'!F177+'Commercial-Conversion'!F187+'Commercial-Conversion'!F197+'Commercial-Conversion'!F208</f>
        <v>1065563.7909111511</v>
      </c>
      <c r="G6" s="4">
        <f>'Commercial-Conversion'!G7+'Commercial-Conversion'!G21+'Commercial-Conversion'!G36+'Commercial-Conversion'!G51+'Commercial-Conversion'!G66+'Commercial-Conversion'!G81+'Commercial-Conversion'!G96+'Commercial-Conversion'!G111+'Commercial-Conversion'!G126+'Commercial-Conversion'!G141+'Commercial-Conversion'!G156+'Commercial-Conversion'!G167+'Commercial-Conversion'!G177+'Commercial-Conversion'!G187+'Commercial-Conversion'!G197+'Commercial-Conversion'!G208</f>
        <v>1086632.3611796754</v>
      </c>
      <c r="H6" s="4">
        <f>'Commercial-Conversion'!H7+'Commercial-Conversion'!H21+'Commercial-Conversion'!H36+'Commercial-Conversion'!H51+'Commercial-Conversion'!H66+'Commercial-Conversion'!H81+'Commercial-Conversion'!H96+'Commercial-Conversion'!H111+'Commercial-Conversion'!H126+'Commercial-Conversion'!H141+'Commercial-Conversion'!H156+'Commercial-Conversion'!H167+'Commercial-Conversion'!H177+'Commercial-Conversion'!H187+'Commercial-Conversion'!H197+'Commercial-Conversion'!H208</f>
        <v>1108442.5170320182</v>
      </c>
      <c r="I6" s="4">
        <f>'Commercial-Conversion'!I7+'Commercial-Conversion'!I21+'Commercial-Conversion'!I36+'Commercial-Conversion'!I51+'Commercial-Conversion'!I66+'Commercial-Conversion'!I81+'Commercial-Conversion'!I96+'Commercial-Conversion'!I111+'Commercial-Conversion'!I126+'Commercial-Conversion'!I141+'Commercial-Conversion'!I156+'Commercial-Conversion'!I167+'Commercial-Conversion'!I177+'Commercial-Conversion'!I187+'Commercial-Conversion'!I197+'Commercial-Conversion'!I208</f>
        <v>1131040.0366179631</v>
      </c>
      <c r="J6" s="4">
        <f>'Commercial-Conversion'!J7+'Commercial-Conversion'!J21+'Commercial-Conversion'!J36+'Commercial-Conversion'!J51+'Commercial-Conversion'!J66+'Commercial-Conversion'!J81+'Commercial-Conversion'!J96+'Commercial-Conversion'!J111+'Commercial-Conversion'!J126+'Commercial-Conversion'!J141+'Commercial-Conversion'!J156+'Commercial-Conversion'!J167+'Commercial-Conversion'!J177+'Commercial-Conversion'!J187+'Commercial-Conversion'!J197+'Commercial-Conversion'!J208</f>
        <v>1154473.6836461462</v>
      </c>
      <c r="K6" s="4">
        <f>'Commercial-Conversion'!K7+'Commercial-Conversion'!K21+'Commercial-Conversion'!K36+'Commercial-Conversion'!K51+'Commercial-Conversion'!K66+'Commercial-Conversion'!K81+'Commercial-Conversion'!K96+'Commercial-Conversion'!K111+'Commercial-Conversion'!K126+'Commercial-Conversion'!K141+'Commercial-Conversion'!K156+'Commercial-Conversion'!K167+'Commercial-Conversion'!K177+'Commercial-Conversion'!K187+'Commercial-Conversion'!K197+'Commercial-Conversion'!K208</f>
        <v>1177486.6772746374</v>
      </c>
      <c r="L6" s="4">
        <f>'Commercial-Conversion'!L7+'Commercial-Conversion'!L21+'Commercial-Conversion'!L36+'Commercial-Conversion'!L51+'Commercial-Conversion'!L66+'Commercial-Conversion'!L81+'Commercial-Conversion'!L96+'Commercial-Conversion'!L111+'Commercial-Conversion'!L126+'Commercial-Conversion'!L141+'Commercial-Conversion'!L156+'Commercial-Conversion'!L167+'Commercial-Conversion'!L177+'Commercial-Conversion'!L187+'Commercial-Conversion'!L197+'Commercial-Conversion'!L208</f>
        <v>1201436.7498343072</v>
      </c>
      <c r="M6" s="4">
        <f>'Commercial-Conversion'!M7+'Commercial-Conversion'!M21+'Commercial-Conversion'!M36+'Commercial-Conversion'!M51+'Commercial-Conversion'!M66+'Commercial-Conversion'!M81+'Commercial-Conversion'!M96+'Commercial-Conversion'!M111+'Commercial-Conversion'!M126+'Commercial-Conversion'!M141+'Commercial-Conversion'!M156+'Commercial-Conversion'!M167+'Commercial-Conversion'!M177+'Commercial-Conversion'!M187+'Commercial-Conversion'!M197+'Commercial-Conversion'!M208</f>
        <v>1226382.8418254312</v>
      </c>
      <c r="N6" s="4">
        <f>'Commercial-Conversion'!N7+'Commercial-Conversion'!N21+'Commercial-Conversion'!N36+'Commercial-Conversion'!N51+'Commercial-Conversion'!N66+'Commercial-Conversion'!N81+'Commercial-Conversion'!N96+'Commercial-Conversion'!N111+'Commercial-Conversion'!N126+'Commercial-Conversion'!N141+'Commercial-Conversion'!N156+'Commercial-Conversion'!N167+'Commercial-Conversion'!N177+'Commercial-Conversion'!N187+'Commercial-Conversion'!N197+'Commercial-Conversion'!N208</f>
        <v>1252387.7378829219</v>
      </c>
      <c r="O6" s="4">
        <f>'Commercial-Conversion'!O7+'Commercial-Conversion'!O21+'Commercial-Conversion'!O36+'Commercial-Conversion'!O51+'Commercial-Conversion'!O66+'Commercial-Conversion'!O81+'Commercial-Conversion'!O96+'Commercial-Conversion'!O111+'Commercial-Conversion'!O126+'Commercial-Conversion'!O141+'Commercial-Conversion'!O156+'Commercial-Conversion'!O167+'Commercial-Conversion'!O177+'Commercial-Conversion'!O187+'Commercial-Conversion'!O197+'Commercial-Conversion'!O208</f>
        <v>1279518.3175325836</v>
      </c>
      <c r="P6" s="4">
        <f>'Commercial-Conversion'!P7+'Commercial-Conversion'!P21+'Commercial-Conversion'!P36+'Commercial-Conversion'!P51+'Commercial-Conversion'!P66+'Commercial-Conversion'!P81+'Commercial-Conversion'!P96+'Commercial-Conversion'!P111+'Commercial-Conversion'!P126+'Commercial-Conversion'!P141+'Commercial-Conversion'!P156+'Commercial-Conversion'!P167+'Commercial-Conversion'!P177+'Commercial-Conversion'!P187+'Commercial-Conversion'!P197+'Commercial-Conversion'!P208</f>
        <v>1306505.9746373803</v>
      </c>
      <c r="Q6" s="4">
        <f>'Commercial-Conversion'!Q7+'Commercial-Conversion'!Q21+'Commercial-Conversion'!Q36+'Commercial-Conversion'!Q51+'Commercial-Conversion'!Q66+'Commercial-Conversion'!Q81+'Commercial-Conversion'!Q96+'Commercial-Conversion'!Q111+'Commercial-Conversion'!Q126+'Commercial-Conversion'!Q141+'Commercial-Conversion'!Q156+'Commercial-Conversion'!Q167+'Commercial-Conversion'!Q177+'Commercial-Conversion'!Q187+'Commercial-Conversion'!Q197+'Commercial-Conversion'!Q208</f>
        <v>1334760.0475471308</v>
      </c>
      <c r="R6" s="4">
        <f>'Commercial-Conversion'!R7+'Commercial-Conversion'!R21+'Commercial-Conversion'!R36+'Commercial-Conversion'!R51+'Commercial-Conversion'!R66+'Commercial-Conversion'!R81+'Commercial-Conversion'!R96+'Commercial-Conversion'!R111+'Commercial-Conversion'!R126+'Commercial-Conversion'!R141+'Commercial-Conversion'!R156+'Commercial-Conversion'!R167+'Commercial-Conversion'!R177+'Commercial-Conversion'!R187+'Commercial-Conversion'!R197+'Commercial-Conversion'!R208</f>
        <v>1364361.3739944631</v>
      </c>
      <c r="S6" s="4">
        <f>'Commercial-Conversion'!S7+'Commercial-Conversion'!S21+'Commercial-Conversion'!S36+'Commercial-Conversion'!S51+'Commercial-Conversion'!S66+'Commercial-Conversion'!S81+'Commercial-Conversion'!S96+'Commercial-Conversion'!S111+'Commercial-Conversion'!S126+'Commercial-Conversion'!S141+'Commercial-Conversion'!S156+'Commercial-Conversion'!S167+'Commercial-Conversion'!S177+'Commercial-Conversion'!S187+'Commercial-Conversion'!S197+'Commercial-Conversion'!S208</f>
        <v>1395396.0642443553</v>
      </c>
      <c r="T6" s="4">
        <f>'Commercial-Conversion'!T7+'Commercial-Conversion'!T21+'Commercial-Conversion'!T36+'Commercial-Conversion'!T51+'Commercial-Conversion'!T66+'Commercial-Conversion'!T81+'Commercial-Conversion'!T96+'Commercial-Conversion'!T111+'Commercial-Conversion'!T126+'Commercial-Conversion'!T141+'Commercial-Conversion'!T156+'Commercial-Conversion'!T167+'Commercial-Conversion'!T177+'Commercial-Conversion'!T187+'Commercial-Conversion'!T197+'Commercial-Conversion'!T208</f>
        <v>1427955.8450383875</v>
      </c>
      <c r="U6" s="4">
        <f>'Commercial-Conversion'!U7+'Commercial-Conversion'!U21+'Commercial-Conversion'!U36+'Commercial-Conversion'!U51+'Commercial-Conversion'!U66+'Commercial-Conversion'!U81+'Commercial-Conversion'!U96+'Commercial-Conversion'!U111+'Commercial-Conversion'!U126+'Commercial-Conversion'!U141+'Commercial-Conversion'!U156+'Commercial-Conversion'!U167+'Commercial-Conversion'!U177+'Commercial-Conversion'!U187+'Commercial-Conversion'!U197+'Commercial-Conversion'!U208</f>
        <v>1460812.346385255</v>
      </c>
      <c r="V6" s="4">
        <f>'Commercial-Conversion'!V7+'Commercial-Conversion'!V21+'Commercial-Conversion'!V36+'Commercial-Conversion'!V51+'Commercial-Conversion'!V66+'Commercial-Conversion'!V81+'Commercial-Conversion'!V96+'Commercial-Conversion'!V111+'Commercial-Conversion'!V126+'Commercial-Conversion'!V141+'Commercial-Conversion'!V156+'Commercial-Conversion'!V167+'Commercial-Conversion'!V177+'Commercial-Conversion'!V187+'Commercial-Conversion'!V197+'Commercial-Conversion'!V208</f>
        <v>1495389.4736538348</v>
      </c>
      <c r="W6" s="4">
        <f>'Commercial-Conversion'!W7+'Commercial-Conversion'!W21+'Commercial-Conversion'!W36+'Commercial-Conversion'!W51+'Commercial-Conversion'!W66+'Commercial-Conversion'!W81+'Commercial-Conversion'!W96+'Commercial-Conversion'!W111+'Commercial-Conversion'!W126+'Commercial-Conversion'!W141+'Commercial-Conversion'!W156+'Commercial-Conversion'!W167+'Commercial-Conversion'!W177+'Commercial-Conversion'!W187+'Commercial-Conversion'!W197+'Commercial-Conversion'!W208</f>
        <v>1531798.098488014</v>
      </c>
      <c r="X6" s="4">
        <f>'Commercial-Conversion'!X7+'Commercial-Conversion'!X21+'Commercial-Conversion'!X36+'Commercial-Conversion'!X51+'Commercial-Conversion'!X66+'Commercial-Conversion'!X81+'Commercial-Conversion'!X96+'Commercial-Conversion'!X111+'Commercial-Conversion'!X126+'Commercial-Conversion'!X141+'Commercial-Conversion'!X156+'Commercial-Conversion'!X167+'Commercial-Conversion'!X177+'Commercial-Conversion'!X187+'Commercial-Conversion'!X197+'Commercial-Conversion'!X208</f>
        <v>1570156.324300969</v>
      </c>
      <c r="Y6" s="4">
        <f>'Commercial-Conversion'!Y7+'Commercial-Conversion'!Y21+'Commercial-Conversion'!Y36+'Commercial-Conversion'!Y51+'Commercial-Conversion'!Y66+'Commercial-Conversion'!Y81+'Commercial-Conversion'!Y96+'Commercial-Conversion'!Y111+'Commercial-Conversion'!Y126+'Commercial-Conversion'!Y141+'Commercial-Conversion'!Y156+'Commercial-Conversion'!Y167+'Commercial-Conversion'!Y177+'Commercial-Conversion'!Y187+'Commercial-Conversion'!Y197+'Commercial-Conversion'!Y208</f>
        <v>1610589.9580425322</v>
      </c>
      <c r="Z6" s="4">
        <f>'Commercial-Conversion'!Z7+'Commercial-Conversion'!Z21+'Commercial-Conversion'!Z36+'Commercial-Conversion'!Z51+'Commercial-Conversion'!Z66+'Commercial-Conversion'!Z81+'Commercial-Conversion'!Z96+'Commercial-Conversion'!Z111+'Commercial-Conversion'!Z126+'Commercial-Conversion'!Z141+'Commercial-Conversion'!Z156+'Commercial-Conversion'!Z167+'Commercial-Conversion'!Z177+'Commercial-Conversion'!Z187+'Commercial-Conversion'!Z197+'Commercial-Conversion'!Z208</f>
        <v>1651945.6788679403</v>
      </c>
      <c r="AA6" s="4">
        <f>'Commercial-Conversion'!AA7+'Commercial-Conversion'!AA21+'Commercial-Conversion'!AA36+'Commercial-Conversion'!AA51+'Commercial-Conversion'!AA66+'Commercial-Conversion'!AA81+'Commercial-Conversion'!AA96+'Commercial-Conversion'!AA111+'Commercial-Conversion'!AA126+'Commercial-Conversion'!AA141+'Commercial-Conversion'!AA156+'Commercial-Conversion'!AA167+'Commercial-Conversion'!AA177+'Commercial-Conversion'!AA187+'Commercial-Conversion'!AA197+'Commercial-Conversion'!AA208</f>
        <v>1695647.5717661341</v>
      </c>
      <c r="AB6" s="4">
        <f>'Commercial-Conversion'!AB7+'Commercial-Conversion'!AB21+'Commercial-Conversion'!AB36+'Commercial-Conversion'!AB51+'Commercial-Conversion'!AB66+'Commercial-Conversion'!AB81+'Commercial-Conversion'!AB96+'Commercial-Conversion'!AB111+'Commercial-Conversion'!AB126+'Commercial-Conversion'!AB141+'Commercial-Conversion'!AB156+'Commercial-Conversion'!AB167+'Commercial-Conversion'!AB177+'Commercial-Conversion'!AB187+'Commercial-Conversion'!AB197+'Commercial-Conversion'!AB208</f>
        <v>1741847.7028649866</v>
      </c>
      <c r="AC6" s="4">
        <f>'Commercial-Conversion'!AC7+'Commercial-Conversion'!AC21+'Commercial-Conversion'!AC36+'Commercial-Conversion'!AC51+'Commercial-Conversion'!AC66+'Commercial-Conversion'!AC81+'Commercial-Conversion'!AC96+'Commercial-Conversion'!AC111+'Commercial-Conversion'!AC126+'Commercial-Conversion'!AC141+'Commercial-Conversion'!AC156+'Commercial-Conversion'!AC167+'Commercial-Conversion'!AC177+'Commercial-Conversion'!AC187+'Commercial-Conversion'!AC197+'Commercial-Conversion'!AC208</f>
        <v>1790708.057436394</v>
      </c>
      <c r="AD6" s="4">
        <f>'Commercial-Conversion'!AD7+'Commercial-Conversion'!AD21+'Commercial-Conversion'!AD36+'Commercial-Conversion'!AD51+'Commercial-Conversion'!AD66+'Commercial-Conversion'!AD81+'Commercial-Conversion'!AD96+'Commercial-Conversion'!AD111+'Commercial-Conversion'!AD126+'Commercial-Conversion'!AD141+'Commercial-Conversion'!AD156+'Commercial-Conversion'!AD167+'Commercial-Conversion'!AD177+'Commercial-Conversion'!AD187+'Commercial-Conversion'!AD197+'Commercial-Conversion'!AD208</f>
        <v>1842401.1869957624</v>
      </c>
      <c r="AE6" s="4">
        <f>'Commercial-Conversion'!AE7+'Commercial-Conversion'!AE21+'Commercial-Conversion'!AE36+'Commercial-Conversion'!AE51+'Commercial-Conversion'!AE66+'Commercial-Conversion'!AE81+'Commercial-Conversion'!AE96+'Commercial-Conversion'!AE111+'Commercial-Conversion'!AE126+'Commercial-Conversion'!AE141+'Commercial-Conversion'!AE156+'Commercial-Conversion'!AE167+'Commercial-Conversion'!AE177+'Commercial-Conversion'!AE187+'Commercial-Conversion'!AE197+'Commercial-Conversion'!AE208</f>
        <v>1893959.7429437977</v>
      </c>
      <c r="AF6" s="4">
        <f>'Commercial-Conversion'!AF7+'Commercial-Conversion'!AF21+'Commercial-Conversion'!AF36+'Commercial-Conversion'!AF51+'Commercial-Conversion'!AF66+'Commercial-Conversion'!AF81+'Commercial-Conversion'!AF96+'Commercial-Conversion'!AF111+'Commercial-Conversion'!AF126+'Commercial-Conversion'!AF141+'Commercial-Conversion'!AF156+'Commercial-Conversion'!AF167+'Commercial-Conversion'!AF177+'Commercial-Conversion'!AF187+'Commercial-Conversion'!AF197+'Commercial-Conversion'!AF208</f>
        <v>1948716.1521721245</v>
      </c>
      <c r="AG6" s="4">
        <f>'Commercial-Conversion'!AG7+'Commercial-Conversion'!AG21+'Commercial-Conversion'!AG36+'Commercial-Conversion'!AG51+'Commercial-Conversion'!AG66+'Commercial-Conversion'!AG81+'Commercial-Conversion'!AG96+'Commercial-Conversion'!AG111+'Commercial-Conversion'!AG126+'Commercial-Conversion'!AG141+'Commercial-Conversion'!AG156+'Commercial-Conversion'!AG167+'Commercial-Conversion'!AG177+'Commercial-Conversion'!AG187+'Commercial-Conversion'!AG197+'Commercial-Conversion'!AG208</f>
        <v>2006878.9836692242</v>
      </c>
      <c r="AH6" s="4">
        <f>'Commercial-Conversion'!AH7+'Commercial-Conversion'!AH21+'Commercial-Conversion'!AH36+'Commercial-Conversion'!AH51+'Commercial-Conversion'!AH66+'Commercial-Conversion'!AH81+'Commercial-Conversion'!AH96+'Commercial-Conversion'!AH111+'Commercial-Conversion'!AH126+'Commercial-Conversion'!AH141+'Commercial-Conversion'!AH156+'Commercial-Conversion'!AH167+'Commercial-Conversion'!AH177+'Commercial-Conversion'!AH187+'Commercial-Conversion'!AH197+'Commercial-Conversion'!AH208</f>
        <v>2068670.4117151597</v>
      </c>
      <c r="AI6" s="4">
        <f>'Commercial-Conversion'!AI7+'Commercial-Conversion'!AI21+'Commercial-Conversion'!AI36+'Commercial-Conversion'!AI51+'Commercial-Conversion'!AI66+'Commercial-Conversion'!AI81+'Commercial-Conversion'!AI96+'Commercial-Conversion'!AI111+'Commercial-Conversion'!AI126+'Commercial-Conversion'!AI141+'Commercial-Conversion'!AI156+'Commercial-Conversion'!AI167+'Commercial-Conversion'!AI177+'Commercial-Conversion'!AI187+'Commercial-Conversion'!AI197+'Commercial-Conversion'!AI208</f>
        <v>2134327.1034815782</v>
      </c>
      <c r="AJ6" s="4">
        <f>'Commercial-Conversion'!AJ7+'Commercial-Conversion'!AJ21+'Commercial-Conversion'!AJ36+'Commercial-Conversion'!AJ51+'Commercial-Conversion'!AJ66+'Commercial-Conversion'!AJ81+'Commercial-Conversion'!AJ96+'Commercial-Conversion'!AJ111+'Commercial-Conversion'!AJ126+'Commercial-Conversion'!AJ141+'Commercial-Conversion'!AJ156+'Commercial-Conversion'!AJ167+'Commercial-Conversion'!AJ177+'Commercial-Conversion'!AJ187+'Commercial-Conversion'!AJ197+'Commercial-Conversion'!AJ208</f>
        <v>2204101.1645433735</v>
      </c>
      <c r="AK6" s="4">
        <f>'Commercial-Conversion'!AK7+'Commercial-Conversion'!AK21+'Commercial-Conversion'!AK36+'Commercial-Conversion'!AK51+'Commercial-Conversion'!AK66+'Commercial-Conversion'!AK81+'Commercial-Conversion'!AK96+'Commercial-Conversion'!AK111+'Commercial-Conversion'!AK126+'Commercial-Conversion'!AK141+'Commercial-Conversion'!AK156+'Commercial-Conversion'!AK167+'Commercial-Conversion'!AK177+'Commercial-Conversion'!AK187+'Commercial-Conversion'!AK197+'Commercial-Conversion'!AK208</f>
        <v>2278261.1460807482</v>
      </c>
      <c r="AL6" s="4">
        <f>'Commercial-Conversion'!AL7+'Commercial-Conversion'!AL21+'Commercial-Conversion'!AL36+'Commercial-Conversion'!AL51+'Commercial-Conversion'!AL66+'Commercial-Conversion'!AL81+'Commercial-Conversion'!AL96+'Commercial-Conversion'!AL111+'Commercial-Conversion'!AL126+'Commercial-Conversion'!AL141+'Commercial-Conversion'!AL156+'Commercial-Conversion'!AL167+'Commercial-Conversion'!AL177+'Commercial-Conversion'!AL187+'Commercial-Conversion'!AL197+'Commercial-Conversion'!AL208</f>
        <v>2357093.1177969547</v>
      </c>
      <c r="AM6" s="4">
        <f>'Commercial-Conversion'!AM7+'Commercial-Conversion'!AM21+'Commercial-Conversion'!AM36+'Commercial-Conversion'!AM51+'Commercial-Conversion'!AM66+'Commercial-Conversion'!AM81+'Commercial-Conversion'!AM96+'Commercial-Conversion'!AM111+'Commercial-Conversion'!AM126+'Commercial-Conversion'!AM141+'Commercial-Conversion'!AM156+'Commercial-Conversion'!AM167+'Commercial-Conversion'!AM177+'Commercial-Conversion'!AM187+'Commercial-Conversion'!AM197+'Commercial-Conversion'!AM208</f>
        <v>2440901.8108396926</v>
      </c>
      <c r="AN6" s="4">
        <f>'Commercial-Conversion'!AN7+'Commercial-Conversion'!AN21+'Commercial-Conversion'!AN36+'Commercial-Conversion'!AN51+'Commercial-Conversion'!AN66+'Commercial-Conversion'!AN81+'Commercial-Conversion'!AN96+'Commercial-Conversion'!AN111+'Commercial-Conversion'!AN126+'Commercial-Conversion'!AN141+'Commercial-Conversion'!AN156+'Commercial-Conversion'!AN167+'Commercial-Conversion'!AN177+'Commercial-Conversion'!AN187+'Commercial-Conversion'!AN197+'Commercial-Conversion'!AN208</f>
        <v>2530011.8352939175</v>
      </c>
    </row>
    <row r="7" spans="1:42" x14ac:dyDescent="0.2">
      <c r="A7" s="10" t="s">
        <v>9</v>
      </c>
      <c r="B7" s="4">
        <f>'Commercial-Conversion'!B8+'Commercial-Conversion'!B22+'Commercial-Conversion'!B37+'Commercial-Conversion'!B52+'Commercial-Conversion'!B67+'Commercial-Conversion'!B82+'Commercial-Conversion'!B97+'Commercial-Conversion'!B112+'Commercial-Conversion'!B127+'Commercial-Conversion'!B142+'Commercial-Conversion'!B157+'Commercial-Conversion'!B168+'Commercial-Conversion'!B178+'Commercial-Conversion'!B188+'Commercial-Conversion'!B198+'Commercial-Conversion'!B209</f>
        <v>10147170.92865634</v>
      </c>
      <c r="C7" s="4">
        <f>'Commercial-Conversion'!C8+'Commercial-Conversion'!C22+'Commercial-Conversion'!C37+'Commercial-Conversion'!C52+'Commercial-Conversion'!C67+'Commercial-Conversion'!C82+'Commercial-Conversion'!C97+'Commercial-Conversion'!C112+'Commercial-Conversion'!C127+'Commercial-Conversion'!C142+'Commercial-Conversion'!C157+'Commercial-Conversion'!C168+'Commercial-Conversion'!C178+'Commercial-Conversion'!C188+'Commercial-Conversion'!C198+'Commercial-Conversion'!C209</f>
        <v>10420137.624300094</v>
      </c>
      <c r="D7" s="4">
        <f>'Commercial-Conversion'!D8+'Commercial-Conversion'!D22+'Commercial-Conversion'!D37+'Commercial-Conversion'!D52+'Commercial-Conversion'!D67+'Commercial-Conversion'!D82+'Commercial-Conversion'!D97+'Commercial-Conversion'!D112+'Commercial-Conversion'!D127+'Commercial-Conversion'!D142+'Commercial-Conversion'!D157+'Commercial-Conversion'!D168+'Commercial-Conversion'!D178+'Commercial-Conversion'!D188+'Commercial-Conversion'!D198+'Commercial-Conversion'!D209</f>
        <v>10564516.036744554</v>
      </c>
      <c r="E7" s="4">
        <f>'Commercial-Conversion'!E8+'Commercial-Conversion'!E22+'Commercial-Conversion'!E37+'Commercial-Conversion'!E52+'Commercial-Conversion'!E67+'Commercial-Conversion'!E82+'Commercial-Conversion'!E97+'Commercial-Conversion'!E112+'Commercial-Conversion'!E127+'Commercial-Conversion'!E142+'Commercial-Conversion'!E157+'Commercial-Conversion'!E168+'Commercial-Conversion'!E178+'Commercial-Conversion'!E188+'Commercial-Conversion'!E198+'Commercial-Conversion'!E209</f>
        <v>10715000.915019657</v>
      </c>
      <c r="F7" s="4">
        <f>'Commercial-Conversion'!F8+'Commercial-Conversion'!F22+'Commercial-Conversion'!F37+'Commercial-Conversion'!F52+'Commercial-Conversion'!F67+'Commercial-Conversion'!F82+'Commercial-Conversion'!F97+'Commercial-Conversion'!F112+'Commercial-Conversion'!F127+'Commercial-Conversion'!F142+'Commercial-Conversion'!F157+'Commercial-Conversion'!F168+'Commercial-Conversion'!F178+'Commercial-Conversion'!F188+'Commercial-Conversion'!F198+'Commercial-Conversion'!F209</f>
        <v>10923827.648933718</v>
      </c>
      <c r="G7" s="4">
        <f>'Commercial-Conversion'!G8+'Commercial-Conversion'!G22+'Commercial-Conversion'!G37+'Commercial-Conversion'!G52+'Commercial-Conversion'!G67+'Commercial-Conversion'!G82+'Commercial-Conversion'!G97+'Commercial-Conversion'!G112+'Commercial-Conversion'!G127+'Commercial-Conversion'!G142+'Commercial-Conversion'!G157+'Commercial-Conversion'!G168+'Commercial-Conversion'!G178+'Commercial-Conversion'!G188+'Commercial-Conversion'!G198+'Commercial-Conversion'!G209</f>
        <v>11139816.332565898</v>
      </c>
      <c r="H7" s="4">
        <f>'Commercial-Conversion'!H8+'Commercial-Conversion'!H22+'Commercial-Conversion'!H37+'Commercial-Conversion'!H52+'Commercial-Conversion'!H67+'Commercial-Conversion'!H82+'Commercial-Conversion'!H97+'Commercial-Conversion'!H112+'Commercial-Conversion'!H127+'Commercial-Conversion'!H142+'Commercial-Conversion'!H157+'Commercial-Conversion'!H168+'Commercial-Conversion'!H178+'Commercial-Conversion'!H188+'Commercial-Conversion'!H198+'Commercial-Conversion'!H209</f>
        <v>11363407.537128847</v>
      </c>
      <c r="I7" s="4">
        <f>'Commercial-Conversion'!I8+'Commercial-Conversion'!I22+'Commercial-Conversion'!I37+'Commercial-Conversion'!I52+'Commercial-Conversion'!I67+'Commercial-Conversion'!I82+'Commercial-Conversion'!I97+'Commercial-Conversion'!I112+'Commercial-Conversion'!I127+'Commercial-Conversion'!I142+'Commercial-Conversion'!I157+'Commercial-Conversion'!I168+'Commercial-Conversion'!I178+'Commercial-Conversion'!I188+'Commercial-Conversion'!I198+'Commercial-Conversion'!I209</f>
        <v>11595070.56668805</v>
      </c>
      <c r="J7" s="4">
        <f>'Commercial-Conversion'!J8+'Commercial-Conversion'!J22+'Commercial-Conversion'!J37+'Commercial-Conversion'!J52+'Commercial-Conversion'!J67+'Commercial-Conversion'!J82+'Commercial-Conversion'!J97+'Commercial-Conversion'!J112+'Commercial-Conversion'!J127+'Commercial-Conversion'!J142+'Commercial-Conversion'!J157+'Commercial-Conversion'!J168+'Commercial-Conversion'!J178+'Commercial-Conversion'!J188+'Commercial-Conversion'!J198+'Commercial-Conversion'!J209</f>
        <v>11835305.332357589</v>
      </c>
      <c r="K7" s="4">
        <f>'Commercial-Conversion'!K8+'Commercial-Conversion'!K22+'Commercial-Conversion'!K37+'Commercial-Conversion'!K52+'Commercial-Conversion'!K67+'Commercial-Conversion'!K82+'Commercial-Conversion'!K97+'Commercial-Conversion'!K112+'Commercial-Conversion'!K127+'Commercial-Conversion'!K142+'Commercial-Conversion'!K157+'Commercial-Conversion'!K168+'Commercial-Conversion'!K178+'Commercial-Conversion'!K188+'Commercial-Conversion'!K198+'Commercial-Conversion'!K209</f>
        <v>12071227.723176003</v>
      </c>
      <c r="L7" s="4">
        <f>'Commercial-Conversion'!L8+'Commercial-Conversion'!L22+'Commercial-Conversion'!L37+'Commercial-Conversion'!L52+'Commercial-Conversion'!L67+'Commercial-Conversion'!L82+'Commercial-Conversion'!L97+'Commercial-Conversion'!L112+'Commercial-Conversion'!L127+'Commercial-Conversion'!L142+'Commercial-Conversion'!L157+'Commercial-Conversion'!L168+'Commercial-Conversion'!L178+'Commercial-Conversion'!L188+'Commercial-Conversion'!L198+'Commercial-Conversion'!L209</f>
        <v>12316756.775008226</v>
      </c>
      <c r="M7" s="4">
        <f>'Commercial-Conversion'!M8+'Commercial-Conversion'!M22+'Commercial-Conversion'!M37+'Commercial-Conversion'!M52+'Commercial-Conversion'!M67+'Commercial-Conversion'!M82+'Commercial-Conversion'!M97+'Commercial-Conversion'!M112+'Commercial-Conversion'!M127+'Commercial-Conversion'!M142+'Commercial-Conversion'!M157+'Commercial-Conversion'!M168+'Commercial-Conversion'!M178+'Commercial-Conversion'!M188+'Commercial-Conversion'!M198+'Commercial-Conversion'!M209</f>
        <v>12572496.728359919</v>
      </c>
      <c r="N7" s="4">
        <f>'Commercial-Conversion'!N8+'Commercial-Conversion'!N22+'Commercial-Conversion'!N37+'Commercial-Conversion'!N52+'Commercial-Conversion'!N67+'Commercial-Conversion'!N82+'Commercial-Conversion'!N97+'Commercial-Conversion'!N112+'Commercial-Conversion'!N127+'Commercial-Conversion'!N142+'Commercial-Conversion'!N157+'Commercial-Conversion'!N168+'Commercial-Conversion'!N178+'Commercial-Conversion'!N188+'Commercial-Conversion'!N198+'Commercial-Conversion'!N209</f>
        <v>12839091.232640862</v>
      </c>
      <c r="O7" s="4">
        <f>'Commercial-Conversion'!O8+'Commercial-Conversion'!O22+'Commercial-Conversion'!O37+'Commercial-Conversion'!O52+'Commercial-Conversion'!O67+'Commercial-Conversion'!O82+'Commercial-Conversion'!O97+'Commercial-Conversion'!O112+'Commercial-Conversion'!O127+'Commercial-Conversion'!O142+'Commercial-Conversion'!O157+'Commercial-Conversion'!O168+'Commercial-Conversion'!O178+'Commercial-Conversion'!O188+'Commercial-Conversion'!O198+'Commercial-Conversion'!O209</f>
        <v>13117225.916841019</v>
      </c>
      <c r="P7" s="4">
        <f>'Commercial-Conversion'!P8+'Commercial-Conversion'!P22+'Commercial-Conversion'!P37+'Commercial-Conversion'!P52+'Commercial-Conversion'!P67+'Commercial-Conversion'!P82+'Commercial-Conversion'!P97+'Commercial-Conversion'!P112+'Commercial-Conversion'!P127+'Commercial-Conversion'!P142+'Commercial-Conversion'!P157+'Commercial-Conversion'!P168+'Commercial-Conversion'!P178+'Commercial-Conversion'!P188+'Commercial-Conversion'!P198+'Commercial-Conversion'!P209</f>
        <v>13393895.441255268</v>
      </c>
      <c r="Q7" s="4">
        <f>'Commercial-Conversion'!Q8+'Commercial-Conversion'!Q22+'Commercial-Conversion'!Q37+'Commercial-Conversion'!Q52+'Commercial-Conversion'!Q67+'Commercial-Conversion'!Q82+'Commercial-Conversion'!Q97+'Commercial-Conversion'!Q112+'Commercial-Conversion'!Q127+'Commercial-Conversion'!Q142+'Commercial-Conversion'!Q157+'Commercial-Conversion'!Q168+'Commercial-Conversion'!Q178+'Commercial-Conversion'!Q188+'Commercial-Conversion'!Q198+'Commercial-Conversion'!Q209</f>
        <v>13683547.890420251</v>
      </c>
      <c r="R7" s="4">
        <f>'Commercial-Conversion'!R8+'Commercial-Conversion'!R22+'Commercial-Conversion'!R37+'Commercial-Conversion'!R52+'Commercial-Conversion'!R67+'Commercial-Conversion'!R82+'Commercial-Conversion'!R97+'Commercial-Conversion'!R112+'Commercial-Conversion'!R127+'Commercial-Conversion'!R142+'Commercial-Conversion'!R157+'Commercial-Conversion'!R168+'Commercial-Conversion'!R178+'Commercial-Conversion'!R188+'Commercial-Conversion'!R198+'Commercial-Conversion'!R209</f>
        <v>13987011.988623608</v>
      </c>
      <c r="S7" s="4">
        <f>'Commercial-Conversion'!S8+'Commercial-Conversion'!S22+'Commercial-Conversion'!S37+'Commercial-Conversion'!S52+'Commercial-Conversion'!S67+'Commercial-Conversion'!S82+'Commercial-Conversion'!S97+'Commercial-Conversion'!S112+'Commercial-Conversion'!S127+'Commercial-Conversion'!S142+'Commercial-Conversion'!S157+'Commercial-Conversion'!S168+'Commercial-Conversion'!S178+'Commercial-Conversion'!S188+'Commercial-Conversion'!S198+'Commercial-Conversion'!S209</f>
        <v>14305170.512550825</v>
      </c>
      <c r="T7" s="4">
        <f>'Commercial-Conversion'!T8+'Commercial-Conversion'!T22+'Commercial-Conversion'!T37+'Commercial-Conversion'!T52+'Commercial-Conversion'!T67+'Commercial-Conversion'!T82+'Commercial-Conversion'!T97+'Commercial-Conversion'!T112+'Commercial-Conversion'!T127+'Commercial-Conversion'!T142+'Commercial-Conversion'!T157+'Commercial-Conversion'!T168+'Commercial-Conversion'!T178+'Commercial-Conversion'!T188+'Commercial-Conversion'!T198+'Commercial-Conversion'!T209</f>
        <v>14638963.817295615</v>
      </c>
      <c r="U7" s="4">
        <f>'Commercial-Conversion'!U8+'Commercial-Conversion'!U22+'Commercial-Conversion'!U37+'Commercial-Conversion'!U52+'Commercial-Conversion'!U67+'Commercial-Conversion'!U82+'Commercial-Conversion'!U97+'Commercial-Conversion'!U112+'Commercial-Conversion'!U127+'Commercial-Conversion'!U142+'Commercial-Conversion'!U157+'Commercial-Conversion'!U168+'Commercial-Conversion'!U178+'Commercial-Conversion'!U188+'Commercial-Conversion'!U198+'Commercial-Conversion'!U209</f>
        <v>14975799.051631436</v>
      </c>
      <c r="V7" s="4">
        <f>'Commercial-Conversion'!V8+'Commercial-Conversion'!V22+'Commercial-Conversion'!V37+'Commercial-Conversion'!V52+'Commercial-Conversion'!V67+'Commercial-Conversion'!V82+'Commercial-Conversion'!V97+'Commercial-Conversion'!V112+'Commercial-Conversion'!V127+'Commercial-Conversion'!V142+'Commercial-Conversion'!V157+'Commercial-Conversion'!V168+'Commercial-Conversion'!V178+'Commercial-Conversion'!V188+'Commercial-Conversion'!V198+'Commercial-Conversion'!V209</f>
        <v>15330273.636980165</v>
      </c>
      <c r="W7" s="4">
        <f>'Commercial-Conversion'!W8+'Commercial-Conversion'!W22+'Commercial-Conversion'!W37+'Commercial-Conversion'!W52+'Commercial-Conversion'!W67+'Commercial-Conversion'!W82+'Commercial-Conversion'!W97+'Commercial-Conversion'!W112+'Commercial-Conversion'!W127+'Commercial-Conversion'!W142+'Commercial-Conversion'!W157+'Commercial-Conversion'!W168+'Commercial-Conversion'!W178+'Commercial-Conversion'!W188+'Commercial-Conversion'!W198+'Commercial-Conversion'!W209</f>
        <v>15703524.196135655</v>
      </c>
      <c r="X7" s="4">
        <f>'Commercial-Conversion'!X8+'Commercial-Conversion'!X22+'Commercial-Conversion'!X37+'Commercial-Conversion'!X52+'Commercial-Conversion'!X67+'Commercial-Conversion'!X82+'Commercial-Conversion'!X97+'Commercial-Conversion'!X112+'Commercial-Conversion'!X127+'Commercial-Conversion'!X142+'Commercial-Conversion'!X157+'Commercial-Conversion'!X168+'Commercial-Conversion'!X178+'Commercial-Conversion'!X188+'Commercial-Conversion'!X198+'Commercial-Conversion'!X209</f>
        <v>16096761.489781704</v>
      </c>
      <c r="Y7" s="4">
        <f>'Commercial-Conversion'!Y8+'Commercial-Conversion'!Y22+'Commercial-Conversion'!Y37+'Commercial-Conversion'!Y52+'Commercial-Conversion'!Y67+'Commercial-Conversion'!Y82+'Commercial-Conversion'!Y97+'Commercial-Conversion'!Y112+'Commercial-Conversion'!Y127+'Commercial-Conversion'!Y142+'Commercial-Conversion'!Y157+'Commercial-Conversion'!Y168+'Commercial-Conversion'!Y178+'Commercial-Conversion'!Y188+'Commercial-Conversion'!Y198+'Commercial-Conversion'!Y209</f>
        <v>16511275.25290513</v>
      </c>
      <c r="Z7" s="4">
        <f>'Commercial-Conversion'!Z8+'Commercial-Conversion'!Z22+'Commercial-Conversion'!Z37+'Commercial-Conversion'!Z52+'Commercial-Conversion'!Z67+'Commercial-Conversion'!Z82+'Commercial-Conversion'!Z97+'Commercial-Conversion'!Z112+'Commercial-Conversion'!Z127+'Commercial-Conversion'!Z142+'Commercial-Conversion'!Z157+'Commercial-Conversion'!Z168+'Commercial-Conversion'!Z178+'Commercial-Conversion'!Z188+'Commercial-Conversion'!Z198+'Commercial-Conversion'!Z209</f>
        <v>16935242.014558215</v>
      </c>
      <c r="AA7" s="4">
        <f>'Commercial-Conversion'!AA8+'Commercial-Conversion'!AA22+'Commercial-Conversion'!AA37+'Commercial-Conversion'!AA52+'Commercial-Conversion'!AA67+'Commercial-Conversion'!AA82+'Commercial-Conversion'!AA97+'Commercial-Conversion'!AA112+'Commercial-Conversion'!AA127+'Commercial-Conversion'!AA142+'Commercial-Conversion'!AA157+'Commercial-Conversion'!AA168+'Commercial-Conversion'!AA178+'Commercial-Conversion'!AA188+'Commercial-Conversion'!AA198+'Commercial-Conversion'!AA209</f>
        <v>17383261.038206402</v>
      </c>
      <c r="AB7" s="4">
        <f>'Commercial-Conversion'!AB8+'Commercial-Conversion'!AB22+'Commercial-Conversion'!AB37+'Commercial-Conversion'!AB52+'Commercial-Conversion'!AB67+'Commercial-Conversion'!AB82+'Commercial-Conversion'!AB97+'Commercial-Conversion'!AB112+'Commercial-Conversion'!AB127+'Commercial-Conversion'!AB142+'Commercial-Conversion'!AB157+'Commercial-Conversion'!AB168+'Commercial-Conversion'!AB178+'Commercial-Conversion'!AB188+'Commercial-Conversion'!AB198+'Commercial-Conversion'!AB209</f>
        <v>17856891.25989056</v>
      </c>
      <c r="AC7" s="4">
        <f>'Commercial-Conversion'!AC8+'Commercial-Conversion'!AC22+'Commercial-Conversion'!AC37+'Commercial-Conversion'!AC52+'Commercial-Conversion'!AC67+'Commercial-Conversion'!AC82+'Commercial-Conversion'!AC97+'Commercial-Conversion'!AC112+'Commercial-Conversion'!AC127+'Commercial-Conversion'!AC142+'Commercial-Conversion'!AC157+'Commercial-Conversion'!AC168+'Commercial-Conversion'!AC178+'Commercial-Conversion'!AC188+'Commercial-Conversion'!AC198+'Commercial-Conversion'!AC209</f>
        <v>18357793.30367494</v>
      </c>
      <c r="AD7" s="4">
        <f>'Commercial-Conversion'!AD8+'Commercial-Conversion'!AD22+'Commercial-Conversion'!AD37+'Commercial-Conversion'!AD52+'Commercial-Conversion'!AD67+'Commercial-Conversion'!AD82+'Commercial-Conversion'!AD97+'Commercial-Conversion'!AD112+'Commercial-Conversion'!AD127+'Commercial-Conversion'!AD142+'Commercial-Conversion'!AD157+'Commercial-Conversion'!AD168+'Commercial-Conversion'!AD178+'Commercial-Conversion'!AD188+'Commercial-Conversion'!AD198+'Commercial-Conversion'!AD209</f>
        <v>18887736.115510315</v>
      </c>
      <c r="AE7" s="4">
        <f>'Commercial-Conversion'!AE8+'Commercial-Conversion'!AE22+'Commercial-Conversion'!AE37+'Commercial-Conversion'!AE52+'Commercial-Conversion'!AE67+'Commercial-Conversion'!AE82+'Commercial-Conversion'!AE97+'Commercial-Conversion'!AE112+'Commercial-Conversion'!AE127+'Commercial-Conversion'!AE142+'Commercial-Conversion'!AE157+'Commercial-Conversion'!AE168+'Commercial-Conversion'!AE178+'Commercial-Conversion'!AE188+'Commercial-Conversion'!AE198+'Commercial-Conversion'!AE209</f>
        <v>19416299.397088282</v>
      </c>
      <c r="AF7" s="4">
        <f>'Commercial-Conversion'!AF8+'Commercial-Conversion'!AF22+'Commercial-Conversion'!AF37+'Commercial-Conversion'!AF52+'Commercial-Conversion'!AF67+'Commercial-Conversion'!AF82+'Commercial-Conversion'!AF97+'Commercial-Conversion'!AF112+'Commercial-Conversion'!AF127+'Commercial-Conversion'!AF142+'Commercial-Conversion'!AF157+'Commercial-Conversion'!AF168+'Commercial-Conversion'!AF178+'Commercial-Conversion'!AF188+'Commercial-Conversion'!AF198+'Commercial-Conversion'!AF209</f>
        <v>19977646.119083829</v>
      </c>
      <c r="AG7" s="4">
        <f>'Commercial-Conversion'!AG8+'Commercial-Conversion'!AG22+'Commercial-Conversion'!AG37+'Commercial-Conversion'!AG52+'Commercial-Conversion'!AG67+'Commercial-Conversion'!AG82+'Commercial-Conversion'!AG97+'Commercial-Conversion'!AG112+'Commercial-Conversion'!AG127+'Commercial-Conversion'!AG142+'Commercial-Conversion'!AG157+'Commercial-Conversion'!AG168+'Commercial-Conversion'!AG178+'Commercial-Conversion'!AG188+'Commercial-Conversion'!AG198+'Commercial-Conversion'!AG209</f>
        <v>20573914.467514925</v>
      </c>
      <c r="AH7" s="4">
        <f>'Commercial-Conversion'!AH8+'Commercial-Conversion'!AH22+'Commercial-Conversion'!AH37+'Commercial-Conversion'!AH52+'Commercial-Conversion'!AH67+'Commercial-Conversion'!AH82+'Commercial-Conversion'!AH97+'Commercial-Conversion'!AH112+'Commercial-Conversion'!AH127+'Commercial-Conversion'!AH142+'Commercial-Conversion'!AH157+'Commercial-Conversion'!AH168+'Commercial-Conversion'!AH178+'Commercial-Conversion'!AH188+'Commercial-Conversion'!AH198+'Commercial-Conversion'!AH209</f>
        <v>21207382.105662808</v>
      </c>
      <c r="AI7" s="4">
        <f>'Commercial-Conversion'!AI8+'Commercial-Conversion'!AI22+'Commercial-Conversion'!AI37+'Commercial-Conversion'!AI52+'Commercial-Conversion'!AI67+'Commercial-Conversion'!AI82+'Commercial-Conversion'!AI97+'Commercial-Conversion'!AI112+'Commercial-Conversion'!AI127+'Commercial-Conversion'!AI142+'Commercial-Conversion'!AI157+'Commercial-Conversion'!AI168+'Commercial-Conversion'!AI178+'Commercial-Conversion'!AI188+'Commercial-Conversion'!AI198+'Commercial-Conversion'!AI209</f>
        <v>21880475.27347111</v>
      </c>
      <c r="AJ7" s="4">
        <f>'Commercial-Conversion'!AJ8+'Commercial-Conversion'!AJ22+'Commercial-Conversion'!AJ37+'Commercial-Conversion'!AJ52+'Commercial-Conversion'!AJ67+'Commercial-Conversion'!AJ82+'Commercial-Conversion'!AJ97+'Commercial-Conversion'!AJ112+'Commercial-Conversion'!AJ127+'Commercial-Conversion'!AJ142+'Commercial-Conversion'!AJ157+'Commercial-Conversion'!AJ168+'Commercial-Conversion'!AJ178+'Commercial-Conversion'!AJ188+'Commercial-Conversion'!AJ198+'Commercial-Conversion'!AJ209</f>
        <v>22595778.480637148</v>
      </c>
      <c r="AK7" s="4">
        <f>'Commercial-Conversion'!AK8+'Commercial-Conversion'!AK22+'Commercial-Conversion'!AK37+'Commercial-Conversion'!AK52+'Commercial-Conversion'!AK67+'Commercial-Conversion'!AK82+'Commercial-Conversion'!AK97+'Commercial-Conversion'!AK112+'Commercial-Conversion'!AK127+'Commercial-Conversion'!AK142+'Commercial-Conversion'!AK157+'Commercial-Conversion'!AK168+'Commercial-Conversion'!AK178+'Commercial-Conversion'!AK188+'Commercial-Conversion'!AK198+'Commercial-Conversion'!AK209</f>
        <v>23356044.832133867</v>
      </c>
      <c r="AL7" s="4">
        <f>'Commercial-Conversion'!AL8+'Commercial-Conversion'!AL22+'Commercial-Conversion'!AL37+'Commercial-Conversion'!AL52+'Commercial-Conversion'!AL67+'Commercial-Conversion'!AL82+'Commercial-Conversion'!AL97+'Commercial-Conversion'!AL112+'Commercial-Conversion'!AL127+'Commercial-Conversion'!AL142+'Commercial-Conversion'!AL157+'Commercial-Conversion'!AL168+'Commercial-Conversion'!AL178+'Commercial-Conversion'!AL188+'Commercial-Conversion'!AL198+'Commercial-Conversion'!AL209</f>
        <v>24164207.027428254</v>
      </c>
      <c r="AM7" s="4">
        <f>'Commercial-Conversion'!AM8+'Commercial-Conversion'!AM22+'Commercial-Conversion'!AM37+'Commercial-Conversion'!AM52+'Commercial-Conversion'!AM67+'Commercial-Conversion'!AM82+'Commercial-Conversion'!AM97+'Commercial-Conversion'!AM112+'Commercial-Conversion'!AM127+'Commercial-Conversion'!AM142+'Commercial-Conversion'!AM157+'Commercial-Conversion'!AM168+'Commercial-Conversion'!AM178+'Commercial-Conversion'!AM188+'Commercial-Conversion'!AM198+'Commercial-Conversion'!AM209</f>
        <v>25023389.077355303</v>
      </c>
      <c r="AN7" s="4">
        <f>'Commercial-Conversion'!AN8+'Commercial-Conversion'!AN22+'Commercial-Conversion'!AN37+'Commercial-Conversion'!AN52+'Commercial-Conversion'!AN67+'Commercial-Conversion'!AN82+'Commercial-Conversion'!AN97+'Commercial-Conversion'!AN112+'Commercial-Conversion'!AN127+'Commercial-Conversion'!AN142+'Commercial-Conversion'!AN157+'Commercial-Conversion'!AN168+'Commercial-Conversion'!AN178+'Commercial-Conversion'!AN188+'Commercial-Conversion'!AN198+'Commercial-Conversion'!AN209</f>
        <v>25936918.785474628</v>
      </c>
    </row>
    <row r="8" spans="1:42" x14ac:dyDescent="0.2">
      <c r="A8" s="10" t="s">
        <v>10</v>
      </c>
      <c r="B8" s="4">
        <f>'Commercial-Conversion'!B9+'Commercial-Conversion'!B23+'Commercial-Conversion'!B38+'Commercial-Conversion'!B53+'Commercial-Conversion'!B68+'Commercial-Conversion'!B83+'Commercial-Conversion'!B98+'Commercial-Conversion'!B113+'Commercial-Conversion'!B128+'Commercial-Conversion'!B143+'Commercial-Conversion'!B158+'Commercial-Conversion'!B169+'Commercial-Conversion'!B179+'Commercial-Conversion'!B189+'Commercial-Conversion'!B199+'Commercial-Conversion'!B210</f>
        <v>8814.505726432848</v>
      </c>
      <c r="C8" s="4">
        <f>'Commercial-Conversion'!C9+'Commercial-Conversion'!C23+'Commercial-Conversion'!C38+'Commercial-Conversion'!C53+'Commercial-Conversion'!C68+'Commercial-Conversion'!C83+'Commercial-Conversion'!C98+'Commercial-Conversion'!C113+'Commercial-Conversion'!C128+'Commercial-Conversion'!C143+'Commercial-Conversion'!C158+'Commercial-Conversion'!C169+'Commercial-Conversion'!C179+'Commercial-Conversion'!C189+'Commercial-Conversion'!C199+'Commercial-Conversion'!C210</f>
        <v>9051.6437014231597</v>
      </c>
      <c r="D8" s="4">
        <f>'Commercial-Conversion'!D9+'Commercial-Conversion'!D23+'Commercial-Conversion'!D38+'Commercial-Conversion'!D53+'Commercial-Conversion'!D68+'Commercial-Conversion'!D83+'Commercial-Conversion'!D98+'Commercial-Conversion'!D113+'Commercial-Conversion'!D128+'Commercial-Conversion'!D143+'Commercial-Conversion'!D158+'Commercial-Conversion'!D169+'Commercial-Conversion'!D179+'Commercial-Conversion'!D189+'Commercial-Conversion'!D199+'Commercial-Conversion'!D210</f>
        <v>9177.0999996230203</v>
      </c>
      <c r="E8" s="4">
        <f>'Commercial-Conversion'!E9+'Commercial-Conversion'!E23+'Commercial-Conversion'!E38+'Commercial-Conversion'!E53+'Commercial-Conversion'!E68+'Commercial-Conversion'!E83+'Commercial-Conversion'!E98+'Commercial-Conversion'!E113+'Commercial-Conversion'!E128+'Commercial-Conversion'!E143+'Commercial-Conversion'!E158+'Commercial-Conversion'!E169+'Commercial-Conversion'!E179+'Commercial-Conversion'!E189+'Commercial-Conversion'!E199+'Commercial-Conversion'!E210</f>
        <v>9307.8628982497103</v>
      </c>
      <c r="F8" s="4">
        <f>'Commercial-Conversion'!F9+'Commercial-Conversion'!F23+'Commercial-Conversion'!F38+'Commercial-Conversion'!F53+'Commercial-Conversion'!F68+'Commercial-Conversion'!F83+'Commercial-Conversion'!F98+'Commercial-Conversion'!F113+'Commercial-Conversion'!F128+'Commercial-Conversion'!F143+'Commercial-Conversion'!F158+'Commercial-Conversion'!F169+'Commercial-Conversion'!F179+'Commercial-Conversion'!F189+'Commercial-Conversion'!F199+'Commercial-Conversion'!F210</f>
        <v>9489.3012072596139</v>
      </c>
      <c r="G8" s="4">
        <f>'Commercial-Conversion'!G9+'Commercial-Conversion'!G23+'Commercial-Conversion'!G38+'Commercial-Conversion'!G53+'Commercial-Conversion'!G68+'Commercial-Conversion'!G83+'Commercial-Conversion'!G98+'Commercial-Conversion'!G113+'Commercial-Conversion'!G128+'Commercial-Conversion'!G143+'Commercial-Conversion'!G158+'Commercial-Conversion'!G169+'Commercial-Conversion'!G179+'Commercial-Conversion'!G189+'Commercial-Conversion'!G199+'Commercial-Conversion'!G210</f>
        <v>9676.9631441156434</v>
      </c>
      <c r="H8" s="4">
        <f>'Commercial-Conversion'!H9+'Commercial-Conversion'!H23+'Commercial-Conversion'!H38+'Commercial-Conversion'!H53+'Commercial-Conversion'!H68+'Commercial-Conversion'!H83+'Commercial-Conversion'!H98+'Commercial-Conversion'!H113+'Commercial-Conversion'!H128+'Commercial-Conversion'!H143+'Commercial-Conversion'!H158+'Commercial-Conversion'!H169+'Commercial-Conversion'!H179+'Commercial-Conversion'!H189+'Commercial-Conversion'!H199+'Commercial-Conversion'!H210</f>
        <v>9871.231522163007</v>
      </c>
      <c r="I8" s="4">
        <f>'Commercial-Conversion'!I9+'Commercial-Conversion'!I23+'Commercial-Conversion'!I38+'Commercial-Conversion'!I53+'Commercial-Conversion'!I68+'Commercial-Conversion'!I83+'Commercial-Conversion'!I98+'Commercial-Conversion'!I113+'Commercial-Conversion'!I128+'Commercial-Conversion'!I143+'Commercial-Conversion'!I158+'Commercial-Conversion'!I169+'Commercial-Conversion'!I179+'Commercial-Conversion'!I189+'Commercial-Conversion'!I199+'Commercial-Conversion'!I210</f>
        <v>10072.51411837818</v>
      </c>
      <c r="J8" s="4">
        <f>'Commercial-Conversion'!J9+'Commercial-Conversion'!J23+'Commercial-Conversion'!J38+'Commercial-Conversion'!J53+'Commercial-Conversion'!J68+'Commercial-Conversion'!J83+'Commercial-Conversion'!J98+'Commercial-Conversion'!J113+'Commercial-Conversion'!J128+'Commercial-Conversion'!J143+'Commercial-Conversion'!J158+'Commercial-Conversion'!J169+'Commercial-Conversion'!J179+'Commercial-Conversion'!J189+'Commercial-Conversion'!J199+'Commercial-Conversion'!J210</f>
        <v>10281.24530158406</v>
      </c>
      <c r="K8" s="4">
        <f>'Commercial-Conversion'!K9+'Commercial-Conversion'!K23+'Commercial-Conversion'!K38+'Commercial-Conversion'!K53+'Commercial-Conversion'!K68+'Commercial-Conversion'!K83+'Commercial-Conversion'!K98+'Commercial-Conversion'!K113+'Commercial-Conversion'!K128+'Commercial-Conversion'!K143+'Commercial-Conversion'!K158+'Commercial-Conversion'!K169+'Commercial-Conversion'!K179+'Commercial-Conversion'!K189+'Commercial-Conversion'!K199+'Commercial-Conversion'!K210</f>
        <v>10486.234854731076</v>
      </c>
      <c r="L8" s="4">
        <f>'Commercial-Conversion'!L9+'Commercial-Conversion'!L23+'Commercial-Conversion'!L38+'Commercial-Conversion'!L53+'Commercial-Conversion'!L68+'Commercial-Conversion'!L83+'Commercial-Conversion'!L98+'Commercial-Conversion'!L113+'Commercial-Conversion'!L128+'Commercial-Conversion'!L143+'Commercial-Conversion'!L158+'Commercial-Conversion'!L169+'Commercial-Conversion'!L179+'Commercial-Conversion'!L189+'Commercial-Conversion'!L199+'Commercial-Conversion'!L210</f>
        <v>10699.572247324963</v>
      </c>
      <c r="M8" s="4">
        <f>'Commercial-Conversion'!M9+'Commercial-Conversion'!M23+'Commercial-Conversion'!M38+'Commercial-Conversion'!M53+'Commercial-Conversion'!M68+'Commercial-Conversion'!M83+'Commercial-Conversion'!M98+'Commercial-Conversion'!M113+'Commercial-Conversion'!M128+'Commercial-Conversion'!M143+'Commercial-Conversion'!M158+'Commercial-Conversion'!M169+'Commercial-Conversion'!M179+'Commercial-Conversion'!M189+'Commercial-Conversion'!M199+'Commercial-Conversion'!M210</f>
        <v>10921.782490252945</v>
      </c>
      <c r="N8" s="4">
        <f>'Commercial-Conversion'!N9+'Commercial-Conversion'!N23+'Commercial-Conversion'!N38+'Commercial-Conversion'!N53+'Commercial-Conversion'!N68+'Commercial-Conversion'!N83+'Commercial-Conversion'!N98+'Commercial-Conversion'!N113+'Commercial-Conversion'!N128+'Commercial-Conversion'!N143+'Commercial-Conversion'!N158+'Commercial-Conversion'!N169+'Commercial-Conversion'!N179+'Commercial-Conversion'!N189+'Commercial-Conversion'!N199+'Commercial-Conversion'!N210</f>
        <v>11153.424832828525</v>
      </c>
      <c r="O8" s="4">
        <f>'Commercial-Conversion'!O9+'Commercial-Conversion'!O23+'Commercial-Conversion'!O38+'Commercial-Conversion'!O53+'Commercial-Conversion'!O68+'Commercial-Conversion'!O83+'Commercial-Conversion'!O98+'Commercial-Conversion'!O113+'Commercial-Conversion'!O128+'Commercial-Conversion'!O143+'Commercial-Conversion'!O158+'Commercial-Conversion'!O169+'Commercial-Conversion'!O179+'Commercial-Conversion'!O189+'Commercial-Conversion'!O199+'Commercial-Conversion'!O210</f>
        <v>11395.094996038952</v>
      </c>
      <c r="P8" s="4">
        <f>'Commercial-Conversion'!P9+'Commercial-Conversion'!P23+'Commercial-Conversion'!P38+'Commercial-Conversion'!P53+'Commercial-Conversion'!P68+'Commercial-Conversion'!P83+'Commercial-Conversion'!P98+'Commercial-Conversion'!P113+'Commercial-Conversion'!P128+'Commercial-Conversion'!P143+'Commercial-Conversion'!P158+'Commercial-Conversion'!P169+'Commercial-Conversion'!P179+'Commercial-Conversion'!P189+'Commercial-Conversion'!P199+'Commercial-Conversion'!P210</f>
        <v>11635.497521167797</v>
      </c>
      <c r="Q8" s="4">
        <f>'Commercial-Conversion'!Q9+'Commercial-Conversion'!Q23+'Commercial-Conversion'!Q38+'Commercial-Conversion'!Q53+'Commercial-Conversion'!Q68+'Commercial-Conversion'!Q83+'Commercial-Conversion'!Q98+'Commercial-Conversion'!Q113+'Commercial-Conversion'!Q128+'Commercial-Conversion'!Q143+'Commercial-Conversion'!Q158+'Commercial-Conversion'!Q169+'Commercial-Conversion'!Q179+'Commercial-Conversion'!Q189+'Commercial-Conversion'!Q199+'Commercial-Conversion'!Q210</f>
        <v>11887.181432286536</v>
      </c>
      <c r="R8" s="4">
        <f>'Commercial-Conversion'!R9+'Commercial-Conversion'!R23+'Commercial-Conversion'!R38+'Commercial-Conversion'!R53+'Commercial-Conversion'!R68+'Commercial-Conversion'!R83+'Commercial-Conversion'!R98+'Commercial-Conversion'!R113+'Commercial-Conversion'!R128+'Commercial-Conversion'!R143+'Commercial-Conversion'!R158+'Commercial-Conversion'!R169+'Commercial-Conversion'!R179+'Commercial-Conversion'!R189+'Commercial-Conversion'!R199+'Commercial-Conversion'!R210</f>
        <v>12150.866769898277</v>
      </c>
      <c r="S8" s="4">
        <f>'Commercial-Conversion'!S9+'Commercial-Conversion'!S23+'Commercial-Conversion'!S38+'Commercial-Conversion'!S53+'Commercial-Conversion'!S68+'Commercial-Conversion'!S83+'Commercial-Conversion'!S98+'Commercial-Conversion'!S113+'Commercial-Conversion'!S128+'Commercial-Conversion'!S143+'Commercial-Conversion'!S158+'Commercial-Conversion'!S169+'Commercial-Conversion'!S179+'Commercial-Conversion'!S189+'Commercial-Conversion'!S199+'Commercial-Conversion'!S210</f>
        <v>12427.320534225266</v>
      </c>
      <c r="T8" s="4">
        <f>'Commercial-Conversion'!T9+'Commercial-Conversion'!T23+'Commercial-Conversion'!T38+'Commercial-Conversion'!T53+'Commercial-Conversion'!T68+'Commercial-Conversion'!T83+'Commercial-Conversion'!T98+'Commercial-Conversion'!T113+'Commercial-Conversion'!T128+'Commercial-Conversion'!T143+'Commercial-Conversion'!T158+'Commercial-Conversion'!T169+'Commercial-Conversion'!T179+'Commercial-Conversion'!T189+'Commercial-Conversion'!T199+'Commercial-Conversion'!T210</f>
        <v>12717.35974834465</v>
      </c>
      <c r="U8" s="4">
        <f>'Commercial-Conversion'!U9+'Commercial-Conversion'!U23+'Commercial-Conversion'!U38+'Commercial-Conversion'!U53+'Commercial-Conversion'!U68+'Commercial-Conversion'!U83+'Commercial-Conversion'!U98+'Commercial-Conversion'!U113+'Commercial-Conversion'!U128+'Commercial-Conversion'!U143+'Commercial-Conversion'!U158+'Commercial-Conversion'!U169+'Commercial-Conversion'!U179+'Commercial-Conversion'!U189+'Commercial-Conversion'!U199+'Commercial-Conversion'!U210</f>
        <v>13010.04728206779</v>
      </c>
      <c r="V8" s="4">
        <f>'Commercial-Conversion'!V9+'Commercial-Conversion'!V23+'Commercial-Conversion'!V38+'Commercial-Conversion'!V53+'Commercial-Conversion'!V68+'Commercial-Conversion'!V83+'Commercial-Conversion'!V98+'Commercial-Conversion'!V113+'Commercial-Conversion'!V128+'Commercial-Conversion'!V143+'Commercial-Conversion'!V158+'Commercial-Conversion'!V169+'Commercial-Conversion'!V179+'Commercial-Conversion'!V189+'Commercial-Conversion'!V199+'Commercial-Conversion'!V210</f>
        <v>13318.061932833458</v>
      </c>
      <c r="W8" s="4">
        <f>'Commercial-Conversion'!W9+'Commercial-Conversion'!W23+'Commercial-Conversion'!W38+'Commercial-Conversion'!W53+'Commercial-Conversion'!W68+'Commercial-Conversion'!W83+'Commercial-Conversion'!W98+'Commercial-Conversion'!W113+'Commercial-Conversion'!W128+'Commercial-Conversion'!W143+'Commercial-Conversion'!W158+'Commercial-Conversion'!W169+'Commercial-Conversion'!W179+'Commercial-Conversion'!W189+'Commercial-Conversion'!W199+'Commercial-Conversion'!W210</f>
        <v>13642.391235445048</v>
      </c>
      <c r="X8" s="4">
        <f>'Commercial-Conversion'!X9+'Commercial-Conversion'!X23+'Commercial-Conversion'!X38+'Commercial-Conversion'!X53+'Commercial-Conversion'!X68+'Commercial-Conversion'!X83+'Commercial-Conversion'!X98+'Commercial-Conversion'!X113+'Commercial-Conversion'!X128+'Commercial-Conversion'!X143+'Commercial-Conversion'!X158+'Commercial-Conversion'!X169+'Commercial-Conversion'!X179+'Commercial-Conversion'!X189+'Commercial-Conversion'!X199+'Commercial-Conversion'!X210</f>
        <v>13984.087133097601</v>
      </c>
      <c r="Y8" s="4">
        <f>'Commercial-Conversion'!Y9+'Commercial-Conversion'!Y23+'Commercial-Conversion'!Y38+'Commercial-Conversion'!Y53+'Commercial-Conversion'!Y68+'Commercial-Conversion'!Y83+'Commercial-Conversion'!Y98+'Commercial-Conversion'!Y113+'Commercial-Conversion'!Y128+'Commercial-Conversion'!Y143+'Commercial-Conversion'!Y158+'Commercial-Conversion'!Y169+'Commercial-Conversion'!Y179+'Commercial-Conversion'!Y189+'Commercial-Conversion'!Y199+'Commercial-Conversion'!Y210</f>
        <v>14344.270178832543</v>
      </c>
      <c r="Z8" s="4">
        <f>'Commercial-Conversion'!Z9+'Commercial-Conversion'!Z23+'Commercial-Conversion'!Z38+'Commercial-Conversion'!Z53+'Commercial-Conversion'!Z68+'Commercial-Conversion'!Z83+'Commercial-Conversion'!Z98+'Commercial-Conversion'!Z113+'Commercial-Conversion'!Z128+'Commercial-Conversion'!Z143+'Commercial-Conversion'!Z158+'Commercial-Conversion'!Z169+'Commercial-Conversion'!Z179+'Commercial-Conversion'!Z189+'Commercial-Conversion'!Z199+'Commercial-Conversion'!Z210</f>
        <v>14712.671564623026</v>
      </c>
      <c r="AA8" s="4">
        <f>'Commercial-Conversion'!AA9+'Commercial-Conversion'!AA23+'Commercial-Conversion'!AA38+'Commercial-Conversion'!AA53+'Commercial-Conversion'!AA68+'Commercial-Conversion'!AA83+'Commercial-Conversion'!AA98+'Commercial-Conversion'!AA113+'Commercial-Conversion'!AA128+'Commercial-Conversion'!AA143+'Commercial-Conversion'!AA158+'Commercial-Conversion'!AA169+'Commercial-Conversion'!AA179+'Commercial-Conversion'!AA189+'Commercial-Conversion'!AA199+'Commercial-Conversion'!AA210</f>
        <v>15101.971774469142</v>
      </c>
      <c r="AB8" s="4">
        <f>'Commercial-Conversion'!AB9+'Commercial-Conversion'!AB23+'Commercial-Conversion'!AB38+'Commercial-Conversion'!AB53+'Commercial-Conversion'!AB68+'Commercial-Conversion'!AB83+'Commercial-Conversion'!AB98+'Commercial-Conversion'!AB113+'Commercial-Conversion'!AB128+'Commercial-Conversion'!AB143+'Commercial-Conversion'!AB158+'Commercial-Conversion'!AB169+'Commercial-Conversion'!AB179+'Commercial-Conversion'!AB189+'Commercial-Conversion'!AB199+'Commercial-Conversion'!AB210</f>
        <v>15513.525231261257</v>
      </c>
      <c r="AC8" s="4">
        <f>'Commercial-Conversion'!AC9+'Commercial-Conversion'!AC23+'Commercial-Conversion'!AC38+'Commercial-Conversion'!AC53+'Commercial-Conversion'!AC68+'Commercial-Conversion'!AC83+'Commercial-Conversion'!AC98+'Commercial-Conversion'!AC113+'Commercial-Conversion'!AC128+'Commercial-Conversion'!AC143+'Commercial-Conversion'!AC158+'Commercial-Conversion'!AC169+'Commercial-Conversion'!AC179+'Commercial-Conversion'!AC189+'Commercial-Conversion'!AC199+'Commercial-Conversion'!AC210</f>
        <v>15948.774699298639</v>
      </c>
      <c r="AD8" s="4">
        <f>'Commercial-Conversion'!AD9+'Commercial-Conversion'!AD23+'Commercial-Conversion'!AD38+'Commercial-Conversion'!AD53+'Commercial-Conversion'!AD68+'Commercial-Conversion'!AD83+'Commercial-Conversion'!AD98+'Commercial-Conversion'!AD113+'Commercial-Conversion'!AD128+'Commercial-Conversion'!AD143+'Commercial-Conversion'!AD158+'Commercial-Conversion'!AD169+'Commercial-Conversion'!AD179+'Commercial-Conversion'!AD189+'Commercial-Conversion'!AD199+'Commercial-Conversion'!AD210</f>
        <v>16409.257047133746</v>
      </c>
      <c r="AE8" s="4">
        <f>'Commercial-Conversion'!AE9+'Commercial-Conversion'!AE23+'Commercial-Conversion'!AE38+'Commercial-Conversion'!AE53+'Commercial-Conversion'!AE68+'Commercial-Conversion'!AE83+'Commercial-Conversion'!AE98+'Commercial-Conversion'!AE113+'Commercial-Conversion'!AE128+'Commercial-Conversion'!AE143+'Commercial-Conversion'!AE158+'Commercial-Conversion'!AE169+'Commercial-Conversion'!AE179+'Commercial-Conversion'!AE189+'Commercial-Conversion'!AE199+'Commercial-Conversion'!AE210</f>
        <v>16868.551433526747</v>
      </c>
      <c r="AF8" s="4">
        <f>'Commercial-Conversion'!AF9+'Commercial-Conversion'!AF23+'Commercial-Conversion'!AF38+'Commercial-Conversion'!AF53+'Commercial-Conversion'!AF68+'Commercial-Conversion'!AF83+'Commercial-Conversion'!AF98+'Commercial-Conversion'!AF113+'Commercial-Conversion'!AF128+'Commercial-Conversion'!AF143+'Commercial-Conversion'!AF158+'Commercial-Conversion'!AF169+'Commercial-Conversion'!AF179+'Commercial-Conversion'!AF189+'Commercial-Conversion'!AF199+'Commercial-Conversion'!AF210</f>
        <v>17356.330368078405</v>
      </c>
      <c r="AG8" s="4">
        <f>'Commercial-Conversion'!AG9+'Commercial-Conversion'!AG23+'Commercial-Conversion'!AG38+'Commercial-Conversion'!AG53+'Commercial-Conversion'!AG68+'Commercial-Conversion'!AG83+'Commercial-Conversion'!AG98+'Commercial-Conversion'!AG113+'Commercial-Conversion'!AG128+'Commercial-Conversion'!AG143+'Commercial-Conversion'!AG158+'Commercial-Conversion'!AG169+'Commercial-Conversion'!AG179+'Commercial-Conversion'!AG189+'Commercial-Conversion'!AG199+'Commercial-Conversion'!AG210</f>
        <v>17874.451493158558</v>
      </c>
      <c r="AH8" s="4">
        <f>'Commercial-Conversion'!AH9+'Commercial-Conversion'!AH23+'Commercial-Conversion'!AH38+'Commercial-Conversion'!AH53+'Commercial-Conversion'!AH68+'Commercial-Conversion'!AH83+'Commercial-Conversion'!AH98+'Commercial-Conversion'!AH113+'Commercial-Conversion'!AH128+'Commercial-Conversion'!AH143+'Commercial-Conversion'!AH158+'Commercial-Conversion'!AH169+'Commercial-Conversion'!AH179+'Commercial-Conversion'!AH189+'Commercial-Conversion'!AH199+'Commercial-Conversion'!AH210</f>
        <v>18424.893619921357</v>
      </c>
      <c r="AI8" s="4">
        <f>'Commercial-Conversion'!AI9+'Commercial-Conversion'!AI23+'Commercial-Conversion'!AI38+'Commercial-Conversion'!AI53+'Commercial-Conversion'!AI68+'Commercial-Conversion'!AI83+'Commercial-Conversion'!AI98+'Commercial-Conversion'!AI113+'Commercial-Conversion'!AI128+'Commercial-Conversion'!AI143+'Commercial-Conversion'!AI158+'Commercial-Conversion'!AI169+'Commercial-Conversion'!AI179+'Commercial-Conversion'!AI189+'Commercial-Conversion'!AI199+'Commercial-Conversion'!AI210</f>
        <v>19009.764632863207</v>
      </c>
      <c r="AJ8" s="4">
        <f>'Commercial-Conversion'!AJ9+'Commercial-Conversion'!AJ23+'Commercial-Conversion'!AJ38+'Commercial-Conversion'!AJ53+'Commercial-Conversion'!AJ68+'Commercial-Conversion'!AJ83+'Commercial-Conversion'!AJ98+'Commercial-Conversion'!AJ113+'Commercial-Conversion'!AJ128+'Commercial-Conversion'!AJ143+'Commercial-Conversion'!AJ158+'Commercial-Conversion'!AJ169+'Commercial-Conversion'!AJ179+'Commercial-Conversion'!AJ189+'Commercial-Conversion'!AJ199+'Commercial-Conversion'!AJ210</f>
        <v>19631.309910094766</v>
      </c>
      <c r="AK8" s="4">
        <f>'Commercial-Conversion'!AK9+'Commercial-Conversion'!AK23+'Commercial-Conversion'!AK38+'Commercial-Conversion'!AK53+'Commercial-Conversion'!AK68+'Commercial-Conversion'!AK83+'Commercial-Conversion'!AK98+'Commercial-Conversion'!AK113+'Commercial-Conversion'!AK128+'Commercial-Conversion'!AK143+'Commercial-Conversion'!AK158+'Commercial-Conversion'!AK169+'Commercial-Conversion'!AK179+'Commercial-Conversion'!AK189+'Commercial-Conversion'!AK199+'Commercial-Conversion'!AK210</f>
        <v>20291.921292976389</v>
      </c>
      <c r="AL8" s="4">
        <f>'Commercial-Conversion'!AL9+'Commercial-Conversion'!AL23+'Commercial-Conversion'!AL38+'Commercial-Conversion'!AL53+'Commercial-Conversion'!AL68+'Commercial-Conversion'!AL83+'Commercial-Conversion'!AL98+'Commercial-Conversion'!AL113+'Commercial-Conversion'!AL128+'Commercial-Conversion'!AL143+'Commercial-Conversion'!AL158+'Commercial-Conversion'!AL169+'Commercial-Conversion'!AL179+'Commercial-Conversion'!AL189+'Commercial-Conversion'!AL199+'Commercial-Conversion'!AL210</f>
        <v>20994.146640961699</v>
      </c>
      <c r="AM8" s="4">
        <f>'Commercial-Conversion'!AM9+'Commercial-Conversion'!AM23+'Commercial-Conversion'!AM38+'Commercial-Conversion'!AM53+'Commercial-Conversion'!AM68+'Commercial-Conversion'!AM83+'Commercial-Conversion'!AM98+'Commercial-Conversion'!AM113+'Commercial-Conversion'!AM128+'Commercial-Conversion'!AM143+'Commercial-Conversion'!AM158+'Commercial-Conversion'!AM169+'Commercial-Conversion'!AM179+'Commercial-Conversion'!AM189+'Commercial-Conversion'!AM199+'Commercial-Conversion'!AM210</f>
        <v>21740.700009833196</v>
      </c>
      <c r="AN8" s="4">
        <f>'Commercial-Conversion'!AN9+'Commercial-Conversion'!AN23+'Commercial-Conversion'!AN38+'Commercial-Conversion'!AN53+'Commercial-Conversion'!AN68+'Commercial-Conversion'!AN83+'Commercial-Conversion'!AN98+'Commercial-Conversion'!AN113+'Commercial-Conversion'!AN128+'Commercial-Conversion'!AN143+'Commercial-Conversion'!AN158+'Commercial-Conversion'!AN169+'Commercial-Conversion'!AN179+'Commercial-Conversion'!AN189+'Commercial-Conversion'!AN199+'Commercial-Conversion'!AN210</f>
        <v>22534.472494005302</v>
      </c>
    </row>
    <row r="9" spans="1:42" x14ac:dyDescent="0.2">
      <c r="A9" s="10" t="s">
        <v>44</v>
      </c>
      <c r="B9" s="4">
        <f>'Commercial-Conversion'!B144+'Commercial-Conversion'!B129+'Commercial-Conversion'!B84</f>
        <v>434127.25872929086</v>
      </c>
      <c r="C9" s="4">
        <f>'Commercial-Conversion'!C144+'Commercial-Conversion'!C129+'Commercial-Conversion'!C84</f>
        <v>435611.73192400823</v>
      </c>
      <c r="D9" s="4">
        <f>'Commercial-Conversion'!D144+'Commercial-Conversion'!D129+'Commercial-Conversion'!D84</f>
        <v>437096.20511872554</v>
      </c>
      <c r="E9" s="4">
        <f>'Commercial-Conversion'!E144+'Commercial-Conversion'!E129+'Commercial-Conversion'!E84</f>
        <v>438580.67831344297</v>
      </c>
      <c r="F9" s="4">
        <f>'Commercial-Conversion'!F144+'Commercial-Conversion'!F129+'Commercial-Conversion'!F84</f>
        <v>442551.62338216259</v>
      </c>
      <c r="G9" s="4">
        <f>'Commercial-Conversion'!G144+'Commercial-Conversion'!G129+'Commercial-Conversion'!G84</f>
        <v>446522.56845088216</v>
      </c>
      <c r="H9" s="4">
        <f>'Commercial-Conversion'!H144+'Commercial-Conversion'!H129+'Commercial-Conversion'!H84</f>
        <v>450493.51351960184</v>
      </c>
      <c r="I9" s="4">
        <f>'Commercial-Conversion'!I144+'Commercial-Conversion'!I129+'Commercial-Conversion'!I84</f>
        <v>454464.45858832146</v>
      </c>
      <c r="J9" s="4">
        <f>'Commercial-Conversion'!J144+'Commercial-Conversion'!J129+'Commercial-Conversion'!J84</f>
        <v>458435.40365704114</v>
      </c>
      <c r="K9" s="4">
        <f>'Commercial-Conversion'!K144+'Commercial-Conversion'!K129+'Commercial-Conversion'!K84</f>
        <v>461770.69060602743</v>
      </c>
      <c r="L9" s="4">
        <f>'Commercial-Conversion'!L144+'Commercial-Conversion'!L129+'Commercial-Conversion'!L84</f>
        <v>465105.97755501373</v>
      </c>
      <c r="M9" s="4">
        <f>'Commercial-Conversion'!M144+'Commercial-Conversion'!M129+'Commercial-Conversion'!M84</f>
        <v>468441.26450399996</v>
      </c>
      <c r="N9" s="4">
        <f>'Commercial-Conversion'!N144+'Commercial-Conversion'!N129+'Commercial-Conversion'!N84</f>
        <v>471776.55145298626</v>
      </c>
      <c r="O9" s="4">
        <f>'Commercial-Conversion'!O144+'Commercial-Conversion'!O129+'Commercial-Conversion'!O84</f>
        <v>475111.83840197261</v>
      </c>
      <c r="P9" s="4">
        <f>'Commercial-Conversion'!P144+'Commercial-Conversion'!P129+'Commercial-Conversion'!P84</f>
        <v>477804.11880083056</v>
      </c>
      <c r="Q9" s="4">
        <f>'Commercial-Conversion'!Q144+'Commercial-Conversion'!Q129+'Commercial-Conversion'!Q84</f>
        <v>480496.39919968863</v>
      </c>
      <c r="R9" s="4">
        <f>'Commercial-Conversion'!R144+'Commercial-Conversion'!R129+'Commercial-Conversion'!R84</f>
        <v>483188.67959854659</v>
      </c>
      <c r="S9" s="4">
        <f>'Commercial-Conversion'!S144+'Commercial-Conversion'!S129+'Commercial-Conversion'!S84</f>
        <v>485880.9599974046</v>
      </c>
      <c r="T9" s="4">
        <f>'Commercial-Conversion'!T144+'Commercial-Conversion'!T129+'Commercial-Conversion'!T84</f>
        <v>488573.24039626255</v>
      </c>
      <c r="U9" s="4">
        <f>'Commercial-Conversion'!U144+'Commercial-Conversion'!U129+'Commercial-Conversion'!U84</f>
        <v>490636.62864664634</v>
      </c>
      <c r="V9" s="4">
        <f>'Commercial-Conversion'!V144+'Commercial-Conversion'!V129+'Commercial-Conversion'!V84</f>
        <v>492700.01689703029</v>
      </c>
      <c r="W9" s="4">
        <f>'Commercial-Conversion'!W144+'Commercial-Conversion'!W129+'Commercial-Conversion'!W84</f>
        <v>494763.4051474139</v>
      </c>
      <c r="X9" s="4">
        <f>'Commercial-Conversion'!X144+'Commercial-Conversion'!X129+'Commercial-Conversion'!X84</f>
        <v>496826.79339779785</v>
      </c>
      <c r="Y9" s="4">
        <f>'Commercial-Conversion'!Y144+'Commercial-Conversion'!Y129+'Commercial-Conversion'!Y84</f>
        <v>498890.18164818163</v>
      </c>
      <c r="Z9" s="4">
        <f>'Commercial-Conversion'!Z144+'Commercial-Conversion'!Z129+'Commercial-Conversion'!Z84</f>
        <v>500350.17056967504</v>
      </c>
      <c r="AA9" s="4">
        <f>'Commercial-Conversion'!AA144+'Commercial-Conversion'!AA129+'Commercial-Conversion'!AA84</f>
        <v>501810.15949116834</v>
      </c>
      <c r="AB9" s="4">
        <f>'Commercial-Conversion'!AB144+'Commercial-Conversion'!AB129+'Commercial-Conversion'!AB84</f>
        <v>503270.14841266157</v>
      </c>
      <c r="AC9" s="4">
        <f>'Commercial-Conversion'!AC144+'Commercial-Conversion'!AC129+'Commercial-Conversion'!AC84</f>
        <v>504730.13733415492</v>
      </c>
      <c r="AD9" s="4">
        <f>'Commercial-Conversion'!AD144+'Commercial-Conversion'!AD129+'Commercial-Conversion'!AD84</f>
        <v>506190.12625564815</v>
      </c>
      <c r="AE9" s="4">
        <f>'Commercial-Conversion'!AE144+'Commercial-Conversion'!AE129+'Commercial-Conversion'!AE84</f>
        <v>506190.12625564815</v>
      </c>
      <c r="AF9" s="4">
        <f>'Commercial-Conversion'!AF144+'Commercial-Conversion'!AF129+'Commercial-Conversion'!AF84</f>
        <v>506190.12625564815</v>
      </c>
      <c r="AG9" s="4">
        <f>'Commercial-Conversion'!AG144+'Commercial-Conversion'!AG129+'Commercial-Conversion'!AG84</f>
        <v>506190.12625564815</v>
      </c>
      <c r="AH9" s="4">
        <f>'Commercial-Conversion'!AH144+'Commercial-Conversion'!AH129+'Commercial-Conversion'!AH84</f>
        <v>506190.12625564815</v>
      </c>
      <c r="AI9" s="4">
        <f>'Commercial-Conversion'!AI144+'Commercial-Conversion'!AI129+'Commercial-Conversion'!AI84</f>
        <v>506190.12625564815</v>
      </c>
      <c r="AJ9" s="4">
        <f>'Commercial-Conversion'!AJ144+'Commercial-Conversion'!AJ129+'Commercial-Conversion'!AJ84</f>
        <v>506190.12625564815</v>
      </c>
      <c r="AK9" s="4">
        <f>'Commercial-Conversion'!AK144+'Commercial-Conversion'!AK129+'Commercial-Conversion'!AK84</f>
        <v>506190.12625564815</v>
      </c>
      <c r="AL9" s="4">
        <f>'Commercial-Conversion'!AL144+'Commercial-Conversion'!AL129+'Commercial-Conversion'!AL84</f>
        <v>506190.12625564815</v>
      </c>
      <c r="AM9" s="4">
        <f>'Commercial-Conversion'!AM144+'Commercial-Conversion'!AM129+'Commercial-Conversion'!AM84</f>
        <v>506190.12625564815</v>
      </c>
      <c r="AN9" s="4">
        <f>'Commercial-Conversion'!AN144+'Commercial-Conversion'!AN129+'Commercial-Conversion'!AN84</f>
        <v>506190.12625564815</v>
      </c>
      <c r="AO9" s="4"/>
      <c r="AP9" s="4"/>
    </row>
    <row r="11" spans="1:42" x14ac:dyDescent="0.2">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row>
    <row r="14" spans="1:42" x14ac:dyDescent="0.2">
      <c r="A14" s="12" t="s">
        <v>11</v>
      </c>
      <c r="B14" s="3" t="s">
        <v>40</v>
      </c>
      <c r="C14" s="3" t="s">
        <v>130</v>
      </c>
      <c r="D14" s="3" t="s">
        <v>41</v>
      </c>
      <c r="E14" s="3" t="s">
        <v>131</v>
      </c>
      <c r="F14" s="3" t="s">
        <v>42</v>
      </c>
      <c r="G14" s="3" t="s">
        <v>132</v>
      </c>
      <c r="H14" s="3" t="s">
        <v>43</v>
      </c>
      <c r="I14" s="3" t="s">
        <v>133</v>
      </c>
      <c r="J14" s="3" t="s">
        <v>8</v>
      </c>
      <c r="K14" s="3" t="s">
        <v>134</v>
      </c>
      <c r="L14" s="3" t="s">
        <v>9</v>
      </c>
      <c r="M14" s="3" t="s">
        <v>135</v>
      </c>
      <c r="N14" s="3" t="s">
        <v>10</v>
      </c>
      <c r="O14" s="3" t="s">
        <v>136</v>
      </c>
      <c r="P14" s="3" t="s">
        <v>44</v>
      </c>
      <c r="Q14" s="3" t="s">
        <v>137</v>
      </c>
    </row>
    <row r="15" spans="1:42" x14ac:dyDescent="0.2">
      <c r="A15" s="30">
        <v>2019</v>
      </c>
      <c r="B15" s="3"/>
      <c r="C15" s="14">
        <f>_xlfn.FORECAST.LINEAR(A15,B$16:B$20,A$16:A$20)</f>
        <v>6379155.5144389868</v>
      </c>
      <c r="D15" s="3"/>
      <c r="E15" s="14">
        <f>_xlfn.FORECAST.LINEAR(A15,D$16:D$29,A$16:A$29)</f>
        <v>4304780.15320611</v>
      </c>
      <c r="F15" s="3"/>
      <c r="G15" s="14">
        <f>_xlfn.FORECAST.LINEAR(A15,F$16:F$25,A$16:A$25)</f>
        <v>2123372.4080512077</v>
      </c>
      <c r="H15" s="3"/>
      <c r="I15" s="14">
        <f>_xlfn.FORECAST.LINEAR(A15,H$16:H$30,A$16:A$30)</f>
        <v>620356.00542429835</v>
      </c>
      <c r="J15" s="3"/>
      <c r="K15" s="14">
        <f>_xlfn.FORECAST.LINEAR(A15,J$16:J$30,A$16:A$30)</f>
        <v>920047.56509218365</v>
      </c>
      <c r="L15" s="3"/>
      <c r="M15" s="14">
        <f>_xlfn.FORECAST.LINEAR(A15,L$16:L$25,A$16:A$25)</f>
        <v>9559672.7911792397</v>
      </c>
      <c r="N15" s="3"/>
      <c r="O15" s="14">
        <f>_xlfn.FORECAST.LINEAR(A15,N$16:N$28,A$16:A$28)</f>
        <v>8238.0256380270002</v>
      </c>
      <c r="P15" s="3"/>
      <c r="Q15" s="14">
        <f>_xlfn.FORECAST.LINEAR(A15,P$16:P$28,A$16:A$28)</f>
        <v>421286.81179249566</v>
      </c>
    </row>
    <row r="16" spans="1:42" x14ac:dyDescent="0.2">
      <c r="A16" s="30">
        <v>2020</v>
      </c>
      <c r="B16" s="4"/>
      <c r="C16" s="14">
        <f t="shared" ref="C16:C17" si="0">_xlfn.FORECAST.LINEAR(A16,B$16:B$20,A$16:A$20)</f>
        <v>6725113.9213049412</v>
      </c>
      <c r="D16" s="4"/>
      <c r="E16" s="14">
        <f t="shared" ref="E16:E17" si="1">_xlfn.FORECAST.LINEAR(A16,D$16:D$29,A$16:A$29)</f>
        <v>4600360.2395888567</v>
      </c>
      <c r="F16" s="22"/>
      <c r="G16" s="14">
        <f t="shared" ref="G16:G17" si="2">_xlfn.FORECAST.LINEAR(A16,F$16:F$25,A$16:A$25)</f>
        <v>2176461.9287858158</v>
      </c>
      <c r="H16" s="22"/>
      <c r="I16" s="14">
        <f t="shared" ref="I16:I17" si="3">_xlfn.FORECAST.LINEAR(A16,H$16:H$30,A$16:A$30)</f>
        <v>625306.72719156742</v>
      </c>
      <c r="J16" s="22"/>
      <c r="K16" s="14">
        <f t="shared" ref="K16:K17" si="4">_xlfn.FORECAST.LINEAR(A16,J$16:J$30,A$16:A$30)</f>
        <v>941630.24161342531</v>
      </c>
      <c r="L16" s="22"/>
      <c r="M16" s="14">
        <f t="shared" ref="M16:M17" si="5">_xlfn.FORECAST.LINEAR(A16,L$16:L$25,A$16:A$25)</f>
        <v>9759510.5846523643</v>
      </c>
      <c r="N16" s="22"/>
      <c r="O16" s="14">
        <f t="shared" ref="O16:O17" si="6">_xlfn.FORECAST.LINEAR(A16,N$16:N$28,A$16:A$28)</f>
        <v>8423.365327833686</v>
      </c>
      <c r="P16" s="22"/>
      <c r="Q16" s="14">
        <f t="shared" ref="Q16:Q17" si="7">_xlfn.FORECAST.LINEAR(A16,P$16:P$28,A$16:A$28)</f>
        <v>424589.14338484872</v>
      </c>
    </row>
    <row r="17" spans="1:17" x14ac:dyDescent="0.2">
      <c r="A17" s="30">
        <v>2021</v>
      </c>
      <c r="B17" s="4"/>
      <c r="C17" s="14">
        <f t="shared" si="0"/>
        <v>7071072.3281707764</v>
      </c>
      <c r="D17" s="4"/>
      <c r="E17" s="14">
        <f t="shared" si="1"/>
        <v>4895940.3259716034</v>
      </c>
      <c r="F17" s="22"/>
      <c r="G17" s="14">
        <f t="shared" si="2"/>
        <v>2229551.4495204091</v>
      </c>
      <c r="H17" s="22"/>
      <c r="I17" s="14">
        <f t="shared" si="3"/>
        <v>630257.4489588365</v>
      </c>
      <c r="J17" s="22"/>
      <c r="K17" s="14">
        <f t="shared" si="4"/>
        <v>963212.91813466698</v>
      </c>
      <c r="L17" s="22"/>
      <c r="M17" s="14">
        <f t="shared" si="5"/>
        <v>9959348.3781255484</v>
      </c>
      <c r="N17" s="22"/>
      <c r="O17" s="14">
        <f t="shared" si="6"/>
        <v>8608.7050176403718</v>
      </c>
      <c r="P17" s="22"/>
      <c r="Q17" s="14">
        <f t="shared" si="7"/>
        <v>427891.47497720178</v>
      </c>
    </row>
    <row r="18" spans="1:17" x14ac:dyDescent="0.2">
      <c r="A18" s="8">
        <v>2022</v>
      </c>
      <c r="B18" s="4" cm="1">
        <f t="array" ref="B18:B56">TRANSPOSE(B2:AN2)</f>
        <v>7420588.1681196541</v>
      </c>
      <c r="C18" s="4"/>
      <c r="D18" s="4" cm="1">
        <f t="array" ref="D18:D56">TRANSPOSE(B3:AN3)</f>
        <v>5359282.5791786565</v>
      </c>
      <c r="E18" s="4"/>
      <c r="F18" s="22" cm="1">
        <f t="array" ref="F18:F56">TRANSPOSE(B4:AN4)</f>
        <v>2299912.3367749481</v>
      </c>
      <c r="G18" s="4"/>
      <c r="H18" s="22" cm="1">
        <f t="array" ref="H18:H56">TRANSPOSE(B5:AN5)</f>
        <v>639821.05080976943</v>
      </c>
      <c r="I18" s="4"/>
      <c r="J18" s="22" cm="1">
        <f t="array" ref="J18:J56">TRANSPOSE(B6:AN6)</f>
        <v>989804.97371746902</v>
      </c>
      <c r="K18" s="4"/>
      <c r="L18" s="22" cm="1">
        <f t="array" ref="L18:L56">TRANSPOSE(B7:AN7)</f>
        <v>10147170.92865634</v>
      </c>
      <c r="M18" s="4"/>
      <c r="N18" s="22" cm="1">
        <f t="array" ref="N18:N56">TRANSPOSE(B8:AN8)</f>
        <v>8814.505726432848</v>
      </c>
      <c r="O18" s="4"/>
      <c r="P18" s="22" cm="1">
        <f t="array" ref="P18:P56">TRANSPOSE(B9:AN9)</f>
        <v>434127.25872929086</v>
      </c>
      <c r="Q18" s="4"/>
    </row>
    <row r="19" spans="1:17" x14ac:dyDescent="0.2">
      <c r="A19" s="8">
        <v>2023</v>
      </c>
      <c r="B19" s="4">
        <v>7755874.2757369736</v>
      </c>
      <c r="C19" s="4"/>
      <c r="D19" s="4">
        <v>5566922.1123801591</v>
      </c>
      <c r="E19" s="4"/>
      <c r="F19" s="22">
        <v>2339649.0243040454</v>
      </c>
      <c r="G19" s="4"/>
      <c r="H19" s="22">
        <v>642008.88209712761</v>
      </c>
      <c r="I19" s="4"/>
      <c r="J19" s="22">
        <v>1016431.4730912198</v>
      </c>
      <c r="K19" s="4"/>
      <c r="L19" s="22">
        <v>10420137.624300094</v>
      </c>
      <c r="M19" s="4"/>
      <c r="N19" s="22">
        <v>9051.6437014231597</v>
      </c>
      <c r="O19" s="4"/>
      <c r="P19" s="22">
        <v>435611.73192400823</v>
      </c>
      <c r="Q19" s="4"/>
    </row>
    <row r="20" spans="1:17" x14ac:dyDescent="0.2">
      <c r="A20" s="8">
        <v>2024</v>
      </c>
      <c r="B20" s="4">
        <v>8112504.9818514977</v>
      </c>
      <c r="C20" s="4"/>
      <c r="D20" s="4">
        <v>5787600.2781136483</v>
      </c>
      <c r="E20" s="4"/>
      <c r="F20" s="22">
        <v>2381580.8548520189</v>
      </c>
      <c r="G20" s="4"/>
      <c r="H20" s="22">
        <v>644196.71338448592</v>
      </c>
      <c r="I20" s="4"/>
      <c r="J20" s="22">
        <v>1030514.8253536799</v>
      </c>
      <c r="K20" s="4"/>
      <c r="L20" s="22">
        <v>10564516.036744554</v>
      </c>
      <c r="M20" s="4"/>
      <c r="N20" s="22">
        <v>9177.0999996230203</v>
      </c>
      <c r="O20" s="4"/>
      <c r="P20" s="22">
        <v>437096.20511872554</v>
      </c>
      <c r="Q20" s="4"/>
    </row>
    <row r="21" spans="1:17" x14ac:dyDescent="0.2">
      <c r="A21" s="8">
        <v>2025</v>
      </c>
      <c r="B21" s="4">
        <v>8491873.33372261</v>
      </c>
      <c r="C21" s="4"/>
      <c r="D21" s="4">
        <v>6022168.0378679102</v>
      </c>
      <c r="E21" s="4"/>
      <c r="F21" s="22">
        <v>2425851.0936092082</v>
      </c>
      <c r="G21" s="4"/>
      <c r="H21" s="22">
        <v>646384.54467184411</v>
      </c>
      <c r="I21" s="4"/>
      <c r="J21" s="22">
        <v>1045193.8308173523</v>
      </c>
      <c r="K21" s="4"/>
      <c r="L21" s="22">
        <v>10715000.915019657</v>
      </c>
      <c r="M21" s="4"/>
      <c r="N21" s="22">
        <v>9307.8628982497103</v>
      </c>
      <c r="O21" s="4"/>
      <c r="P21" s="22">
        <v>438580.67831344297</v>
      </c>
      <c r="Q21" s="4"/>
    </row>
    <row r="22" spans="1:17" x14ac:dyDescent="0.2">
      <c r="A22" s="8">
        <v>2026</v>
      </c>
      <c r="B22" s="4">
        <v>8909263.7360791825</v>
      </c>
      <c r="C22" s="4"/>
      <c r="D22" s="4">
        <v>6284694.8220135197</v>
      </c>
      <c r="E22" s="4"/>
      <c r="F22" s="22">
        <v>2482833.4368244875</v>
      </c>
      <c r="G22" s="4"/>
      <c r="H22" s="22">
        <v>652236.96281764959</v>
      </c>
      <c r="I22" s="4"/>
      <c r="J22" s="22">
        <v>1065563.7909111511</v>
      </c>
      <c r="K22" s="4"/>
      <c r="L22" s="22">
        <v>10923827.648933718</v>
      </c>
      <c r="M22" s="4"/>
      <c r="N22" s="22">
        <v>9489.3012072596139</v>
      </c>
      <c r="O22" s="4"/>
      <c r="P22" s="22">
        <v>442551.62338216259</v>
      </c>
      <c r="Q22" s="4"/>
    </row>
    <row r="23" spans="1:17" x14ac:dyDescent="0.2">
      <c r="A23" s="8">
        <v>2027</v>
      </c>
      <c r="B23" s="4">
        <v>9352456.5624855906</v>
      </c>
      <c r="C23" s="4"/>
      <c r="D23" s="4">
        <v>6562983.3608561931</v>
      </c>
      <c r="E23" s="4"/>
      <c r="F23" s="22">
        <v>2542469.3793112878</v>
      </c>
      <c r="G23" s="4"/>
      <c r="H23" s="22">
        <v>658089.38096345495</v>
      </c>
      <c r="I23" s="4"/>
      <c r="J23" s="22">
        <v>1086632.3611796754</v>
      </c>
      <c r="K23" s="4"/>
      <c r="L23" s="22">
        <v>11139816.332565898</v>
      </c>
      <c r="M23" s="4"/>
      <c r="N23" s="22">
        <v>9676.9631441156434</v>
      </c>
      <c r="O23" s="4"/>
      <c r="P23" s="22">
        <v>446522.56845088216</v>
      </c>
      <c r="Q23" s="4"/>
    </row>
    <row r="24" spans="1:17" x14ac:dyDescent="0.2">
      <c r="A24" s="8">
        <v>2028</v>
      </c>
      <c r="B24" s="4">
        <v>9823135.7985231485</v>
      </c>
      <c r="C24" s="4"/>
      <c r="D24" s="4">
        <v>6858062.3394371057</v>
      </c>
      <c r="E24" s="4"/>
      <c r="F24" s="22">
        <v>2604932.1072362741</v>
      </c>
      <c r="G24" s="4"/>
      <c r="H24" s="22">
        <v>663941.79910926044</v>
      </c>
      <c r="I24" s="4"/>
      <c r="J24" s="22">
        <v>1108442.5170320182</v>
      </c>
      <c r="K24" s="4"/>
      <c r="L24" s="22">
        <v>11363407.537128847</v>
      </c>
      <c r="M24" s="4"/>
      <c r="N24" s="22">
        <v>9871.231522163007</v>
      </c>
      <c r="O24" s="4"/>
      <c r="P24" s="22">
        <v>450493.51351960184</v>
      </c>
      <c r="Q24" s="4"/>
    </row>
    <row r="25" spans="1:17" x14ac:dyDescent="0.2">
      <c r="A25" s="8">
        <v>2029</v>
      </c>
      <c r="B25" s="4">
        <v>10323095.334463999</v>
      </c>
      <c r="C25" s="4"/>
      <c r="D25" s="4">
        <v>7171027.5795429358</v>
      </c>
      <c r="E25" s="4"/>
      <c r="F25" s="22">
        <v>2670406.1096966774</v>
      </c>
      <c r="G25" s="4"/>
      <c r="H25" s="22">
        <v>669794.2172550658</v>
      </c>
      <c r="I25" s="4"/>
      <c r="J25" s="22">
        <v>1131040.0366179631</v>
      </c>
      <c r="K25" s="4"/>
      <c r="L25" s="22">
        <v>11595070.56668805</v>
      </c>
      <c r="M25" s="4"/>
      <c r="N25" s="22">
        <v>10072.51411837818</v>
      </c>
      <c r="O25" s="4"/>
      <c r="P25" s="22">
        <v>454464.45858832146</v>
      </c>
      <c r="Q25" s="4"/>
    </row>
    <row r="26" spans="1:17" x14ac:dyDescent="0.2">
      <c r="A26" s="8">
        <v>2030</v>
      </c>
      <c r="B26" s="4">
        <v>10854246.138159785</v>
      </c>
      <c r="C26" s="4"/>
      <c r="D26" s="4">
        <v>7503046.4213605318</v>
      </c>
      <c r="E26" s="4"/>
      <c r="F26" s="22">
        <v>2739087.9164018468</v>
      </c>
      <c r="G26" s="4"/>
      <c r="H26" s="22">
        <v>675646.63540087128</v>
      </c>
      <c r="I26" s="4"/>
      <c r="J26" s="22">
        <v>1154473.6836461462</v>
      </c>
      <c r="K26" s="4"/>
      <c r="L26" s="22">
        <v>11835305.332357589</v>
      </c>
      <c r="M26" s="4"/>
      <c r="N26" s="22">
        <v>10281.24530158406</v>
      </c>
      <c r="O26" s="4"/>
      <c r="P26" s="22">
        <v>458435.40365704114</v>
      </c>
      <c r="Q26" s="4"/>
    </row>
    <row r="27" spans="1:17" x14ac:dyDescent="0.2">
      <c r="A27" s="8">
        <v>2031</v>
      </c>
      <c r="B27" s="4">
        <v>11415095.860090172</v>
      </c>
      <c r="C27" s="4"/>
      <c r="D27" s="4">
        <v>7851997.3322846657</v>
      </c>
      <c r="E27" s="4"/>
      <c r="F27" s="22">
        <v>2808573.8987555825</v>
      </c>
      <c r="G27" s="4"/>
      <c r="H27" s="22">
        <v>680562.21431821166</v>
      </c>
      <c r="I27" s="4"/>
      <c r="J27" s="22">
        <v>1177486.6772746374</v>
      </c>
      <c r="K27" s="4"/>
      <c r="L27" s="22">
        <v>12071227.723176003</v>
      </c>
      <c r="M27" s="4"/>
      <c r="N27" s="22">
        <v>10486.234854731076</v>
      </c>
      <c r="O27" s="4"/>
      <c r="P27" s="22">
        <v>461770.69060602743</v>
      </c>
      <c r="Q27" s="4"/>
    </row>
    <row r="28" spans="1:17" x14ac:dyDescent="0.2">
      <c r="A28" s="8">
        <v>2032</v>
      </c>
      <c r="B28" s="4">
        <v>12011341.081004076</v>
      </c>
      <c r="C28" s="4"/>
      <c r="D28" s="4">
        <v>8222570.0556121934</v>
      </c>
      <c r="E28" s="4"/>
      <c r="F28" s="22">
        <v>2881700.0612000101</v>
      </c>
      <c r="G28" s="4"/>
      <c r="H28" s="22">
        <v>685477.79323555226</v>
      </c>
      <c r="I28" s="4"/>
      <c r="J28" s="22">
        <v>1201436.7498343072</v>
      </c>
      <c r="K28" s="4"/>
      <c r="L28" s="22">
        <v>12316756.775008226</v>
      </c>
      <c r="M28" s="4"/>
      <c r="N28" s="22">
        <v>10699.572247324963</v>
      </c>
      <c r="O28" s="4"/>
      <c r="P28" s="22">
        <v>465105.97755501373</v>
      </c>
      <c r="Q28" s="4"/>
    </row>
    <row r="29" spans="1:17" x14ac:dyDescent="0.2">
      <c r="A29" s="8">
        <v>2033</v>
      </c>
      <c r="B29" s="4">
        <v>12645291.874940138</v>
      </c>
      <c r="C29" s="4"/>
      <c r="D29" s="4">
        <v>8616175.730864685</v>
      </c>
      <c r="E29" s="4"/>
      <c r="F29" s="22">
        <v>2958703.9787309612</v>
      </c>
      <c r="G29" s="4"/>
      <c r="H29" s="22">
        <v>690393.37215289276</v>
      </c>
      <c r="I29" s="4"/>
      <c r="J29" s="22">
        <v>1226382.8418254312</v>
      </c>
      <c r="K29" s="4"/>
      <c r="L29" s="22">
        <v>12572496.728359919</v>
      </c>
      <c r="M29" s="4"/>
      <c r="N29" s="22">
        <v>10921.782490252945</v>
      </c>
      <c r="O29" s="4"/>
      <c r="P29" s="22">
        <v>468441.26450399996</v>
      </c>
      <c r="Q29" s="4"/>
    </row>
    <row r="30" spans="1:17" x14ac:dyDescent="0.2">
      <c r="A30" s="8">
        <v>2034</v>
      </c>
      <c r="B30" s="4">
        <v>13319409.082057459</v>
      </c>
      <c r="C30" s="4"/>
      <c r="D30" s="4">
        <v>9034317.5950582325</v>
      </c>
      <c r="E30" s="4"/>
      <c r="F30" s="22">
        <v>3039838.7315877541</v>
      </c>
      <c r="G30" s="4"/>
      <c r="H30" s="22">
        <v>695308.95107023325</v>
      </c>
      <c r="I30" s="4"/>
      <c r="J30" s="22">
        <v>1252387.7378829219</v>
      </c>
      <c r="K30" s="4"/>
      <c r="L30" s="22">
        <v>12839091.232640862</v>
      </c>
      <c r="M30" s="4"/>
      <c r="N30" s="22">
        <v>11153.424832828525</v>
      </c>
      <c r="O30" s="4"/>
      <c r="P30" s="22">
        <v>471776.55145298626</v>
      </c>
      <c r="Q30" s="4"/>
    </row>
    <row r="31" spans="1:17" x14ac:dyDescent="0.2">
      <c r="A31" s="8">
        <v>2035</v>
      </c>
      <c r="B31" s="4">
        <v>14036314.148330254</v>
      </c>
      <c r="C31" s="4"/>
      <c r="D31" s="4">
        <v>9478596.993412083</v>
      </c>
      <c r="E31" s="4"/>
      <c r="F31" s="22">
        <v>3125373.9171971316</v>
      </c>
      <c r="G31" s="4"/>
      <c r="H31" s="22">
        <v>700224.52998757374</v>
      </c>
      <c r="I31" s="4"/>
      <c r="J31" s="22">
        <v>1279518.3175325836</v>
      </c>
      <c r="K31" s="4"/>
      <c r="L31" s="22">
        <v>13117225.916841019</v>
      </c>
      <c r="M31" s="4"/>
      <c r="N31" s="22">
        <v>11395.094996038952</v>
      </c>
      <c r="O31" s="4"/>
      <c r="P31" s="22">
        <v>475111.83840197261</v>
      </c>
      <c r="Q31" s="4"/>
    </row>
    <row r="32" spans="1:17" x14ac:dyDescent="0.2">
      <c r="A32" s="8">
        <v>2036</v>
      </c>
      <c r="B32" s="4">
        <v>14795230.786119444</v>
      </c>
      <c r="C32" s="4"/>
      <c r="D32" s="4">
        <v>9947315.8222720139</v>
      </c>
      <c r="E32" s="4"/>
      <c r="F32" s="22">
        <v>3212953.5363992136</v>
      </c>
      <c r="G32" s="4"/>
      <c r="H32" s="22">
        <v>704192.43948700011</v>
      </c>
      <c r="I32" s="4"/>
      <c r="J32" s="22">
        <v>1306505.9746373803</v>
      </c>
      <c r="K32" s="4"/>
      <c r="L32" s="22">
        <v>13393895.441255268</v>
      </c>
      <c r="M32" s="4"/>
      <c r="N32" s="22">
        <v>11635.497521167797</v>
      </c>
      <c r="O32" s="4"/>
      <c r="P32" s="22">
        <v>477804.11880083056</v>
      </c>
      <c r="Q32" s="4"/>
    </row>
    <row r="33" spans="1:17" x14ac:dyDescent="0.2">
      <c r="A33" s="8">
        <v>2037</v>
      </c>
      <c r="B33" s="4">
        <v>15602702.604068143</v>
      </c>
      <c r="C33" s="4"/>
      <c r="D33" s="4">
        <v>10445695.230210399</v>
      </c>
      <c r="E33" s="4"/>
      <c r="F33" s="22">
        <v>3305526.7170764105</v>
      </c>
      <c r="G33" s="4"/>
      <c r="H33" s="22">
        <v>708160.34898642648</v>
      </c>
      <c r="I33" s="4"/>
      <c r="J33" s="22">
        <v>1334760.0475471308</v>
      </c>
      <c r="K33" s="4"/>
      <c r="L33" s="22">
        <v>13683547.890420251</v>
      </c>
      <c r="M33" s="4"/>
      <c r="N33" s="22">
        <v>11887.181432286536</v>
      </c>
      <c r="O33" s="4"/>
      <c r="P33" s="22">
        <v>480496.39919968863</v>
      </c>
      <c r="Q33" s="4"/>
    </row>
    <row r="34" spans="1:17" x14ac:dyDescent="0.2">
      <c r="A34" s="8">
        <v>2038</v>
      </c>
      <c r="B34" s="4">
        <v>16461898.53789838</v>
      </c>
      <c r="C34" s="4"/>
      <c r="D34" s="4">
        <v>10975671.0038574</v>
      </c>
      <c r="E34" s="4"/>
      <c r="F34" s="22">
        <v>3403419.3621557998</v>
      </c>
      <c r="G34" s="4"/>
      <c r="H34" s="22">
        <v>712128.25848585274</v>
      </c>
      <c r="I34" s="4"/>
      <c r="J34" s="22">
        <v>1364361.3739944631</v>
      </c>
      <c r="K34" s="4"/>
      <c r="L34" s="22">
        <v>13987011.988623608</v>
      </c>
      <c r="M34" s="4"/>
      <c r="N34" s="22">
        <v>12150.866769898277</v>
      </c>
      <c r="O34" s="4"/>
      <c r="P34" s="22">
        <v>483188.67959854659</v>
      </c>
      <c r="Q34" s="4"/>
    </row>
    <row r="35" spans="1:17" x14ac:dyDescent="0.2">
      <c r="A35" s="8">
        <v>2039</v>
      </c>
      <c r="B35" s="4">
        <v>17376194.34274007</v>
      </c>
      <c r="C35" s="4"/>
      <c r="D35" s="4">
        <v>11539305.268235542</v>
      </c>
      <c r="E35" s="4"/>
      <c r="F35" s="22">
        <v>3506978.6444974281</v>
      </c>
      <c r="G35" s="4"/>
      <c r="H35" s="22">
        <v>716096.167985279</v>
      </c>
      <c r="I35" s="4"/>
      <c r="J35" s="22">
        <v>1395396.0642443553</v>
      </c>
      <c r="K35" s="4"/>
      <c r="L35" s="22">
        <v>14305170.512550825</v>
      </c>
      <c r="M35" s="4"/>
      <c r="N35" s="22">
        <v>12427.320534225266</v>
      </c>
      <c r="O35" s="4"/>
      <c r="P35" s="22">
        <v>485880.9599974046</v>
      </c>
      <c r="Q35" s="4"/>
    </row>
    <row r="36" spans="1:17" x14ac:dyDescent="0.2">
      <c r="A36" s="8">
        <v>2040</v>
      </c>
      <c r="B36" s="4">
        <v>18349186.091122523</v>
      </c>
      <c r="C36" s="4"/>
      <c r="D36" s="4">
        <v>12138794.732187774</v>
      </c>
      <c r="E36" s="4"/>
      <c r="F36" s="22">
        <v>3616574.3950685607</v>
      </c>
      <c r="G36" s="4"/>
      <c r="H36" s="22">
        <v>720064.07748470525</v>
      </c>
      <c r="I36" s="4"/>
      <c r="J36" s="22">
        <v>1427955.8450383875</v>
      </c>
      <c r="K36" s="4"/>
      <c r="L36" s="22">
        <v>14638963.817295615</v>
      </c>
      <c r="M36" s="4"/>
      <c r="N36" s="22">
        <v>12717.35974834465</v>
      </c>
      <c r="O36" s="4"/>
      <c r="P36" s="22">
        <v>488573.24039626255</v>
      </c>
      <c r="Q36" s="4"/>
    </row>
    <row r="37" spans="1:17" x14ac:dyDescent="0.2">
      <c r="A37" s="8">
        <v>2041</v>
      </c>
      <c r="B37" s="4">
        <v>19381214.068491854</v>
      </c>
      <c r="C37" s="4"/>
      <c r="D37" s="4">
        <v>12773150.23095125</v>
      </c>
      <c r="E37" s="4"/>
      <c r="F37" s="22">
        <v>3730015.4096903177</v>
      </c>
      <c r="G37" s="4"/>
      <c r="H37" s="22">
        <v>723105.1195110766</v>
      </c>
      <c r="I37" s="4"/>
      <c r="J37" s="22">
        <v>1460812.346385255</v>
      </c>
      <c r="K37" s="4"/>
      <c r="L37" s="22">
        <v>14975799.051631436</v>
      </c>
      <c r="M37" s="4"/>
      <c r="N37" s="22">
        <v>13010.04728206779</v>
      </c>
      <c r="O37" s="4"/>
      <c r="P37" s="22">
        <v>490636.62864664634</v>
      </c>
      <c r="Q37" s="4"/>
    </row>
    <row r="38" spans="1:17" x14ac:dyDescent="0.2">
      <c r="A38" s="8">
        <v>2042</v>
      </c>
      <c r="B38" s="4">
        <v>20479849.540826034</v>
      </c>
      <c r="C38" s="4"/>
      <c r="D38" s="4">
        <v>13448193.805943303</v>
      </c>
      <c r="E38" s="4"/>
      <c r="F38" s="22">
        <v>3850306.5404009805</v>
      </c>
      <c r="G38" s="4"/>
      <c r="H38" s="22">
        <v>726146.16153744771</v>
      </c>
      <c r="I38" s="4"/>
      <c r="J38" s="22">
        <v>1495389.4736538348</v>
      </c>
      <c r="K38" s="4"/>
      <c r="L38" s="22">
        <v>15330273.636980165</v>
      </c>
      <c r="M38" s="4"/>
      <c r="N38" s="22">
        <v>13318.061932833458</v>
      </c>
      <c r="O38" s="4"/>
      <c r="P38" s="22">
        <v>492700.01689703029</v>
      </c>
      <c r="Q38" s="4"/>
    </row>
    <row r="39" spans="1:17" x14ac:dyDescent="0.2">
      <c r="A39" s="8">
        <v>2043</v>
      </c>
      <c r="B39" s="4">
        <v>21649439.62143933</v>
      </c>
      <c r="C39" s="4"/>
      <c r="D39" s="4">
        <v>14166580.949282337</v>
      </c>
      <c r="E39" s="4"/>
      <c r="F39" s="22">
        <v>3977894.8574719997</v>
      </c>
      <c r="G39" s="4"/>
      <c r="H39" s="22">
        <v>729187.20356381906</v>
      </c>
      <c r="I39" s="4"/>
      <c r="J39" s="22">
        <v>1531798.098488014</v>
      </c>
      <c r="K39" s="4"/>
      <c r="L39" s="22">
        <v>15703524.196135655</v>
      </c>
      <c r="M39" s="4"/>
      <c r="N39" s="22">
        <v>13642.391235445048</v>
      </c>
      <c r="O39" s="4"/>
      <c r="P39" s="22">
        <v>494763.4051474139</v>
      </c>
      <c r="Q39" s="4"/>
    </row>
    <row r="40" spans="1:17" x14ac:dyDescent="0.2">
      <c r="A40" s="8">
        <v>2044</v>
      </c>
      <c r="B40" s="4">
        <v>22894615.136375021</v>
      </c>
      <c r="C40" s="4"/>
      <c r="D40" s="4">
        <v>14931140.462789366</v>
      </c>
      <c r="E40" s="4"/>
      <c r="F40" s="22">
        <v>4113256.6090493342</v>
      </c>
      <c r="G40" s="4"/>
      <c r="H40" s="22">
        <v>732228.24559019029</v>
      </c>
      <c r="I40" s="4"/>
      <c r="J40" s="22">
        <v>1570156.324300969</v>
      </c>
      <c r="K40" s="4"/>
      <c r="L40" s="22">
        <v>16096761.489781704</v>
      </c>
      <c r="M40" s="4"/>
      <c r="N40" s="22">
        <v>13984.087133097601</v>
      </c>
      <c r="O40" s="4"/>
      <c r="P40" s="22">
        <v>496826.79339779785</v>
      </c>
      <c r="Q40" s="4"/>
    </row>
    <row r="41" spans="1:17" x14ac:dyDescent="0.2">
      <c r="A41" s="8">
        <v>2045</v>
      </c>
      <c r="B41" s="4">
        <v>24220309.140810788</v>
      </c>
      <c r="C41" s="4"/>
      <c r="D41" s="4">
        <v>15744885.76898111</v>
      </c>
      <c r="E41" s="4"/>
      <c r="F41" s="22">
        <v>4256899.1254365426</v>
      </c>
      <c r="G41" s="4"/>
      <c r="H41" s="22">
        <v>735269.2876165614</v>
      </c>
      <c r="I41" s="4"/>
      <c r="J41" s="22">
        <v>1610589.9580425322</v>
      </c>
      <c r="K41" s="4"/>
      <c r="L41" s="22">
        <v>16511275.25290513</v>
      </c>
      <c r="M41" s="4"/>
      <c r="N41" s="22">
        <v>14344.270178832543</v>
      </c>
      <c r="O41" s="4"/>
      <c r="P41" s="22">
        <v>498890.18164818163</v>
      </c>
      <c r="Q41" s="4"/>
    </row>
    <row r="42" spans="1:17" x14ac:dyDescent="0.2">
      <c r="A42" s="8">
        <v>2046</v>
      </c>
      <c r="B42" s="4">
        <v>25628427.651014082</v>
      </c>
      <c r="C42" s="4"/>
      <c r="D42" s="4">
        <v>16607832.673645711</v>
      </c>
      <c r="E42" s="4"/>
      <c r="F42" s="22">
        <v>4406882.4683622662</v>
      </c>
      <c r="G42" s="4"/>
      <c r="H42" s="22">
        <v>737421.03373970219</v>
      </c>
      <c r="I42" s="4"/>
      <c r="J42" s="22">
        <v>1651945.6788679403</v>
      </c>
      <c r="K42" s="4"/>
      <c r="L42" s="22">
        <v>16935242.014558215</v>
      </c>
      <c r="M42" s="4"/>
      <c r="N42" s="22">
        <v>14712.671564623026</v>
      </c>
      <c r="O42" s="4"/>
      <c r="P42" s="22">
        <v>500350.17056967504</v>
      </c>
      <c r="Q42" s="4"/>
    </row>
    <row r="43" spans="1:17" x14ac:dyDescent="0.2">
      <c r="A43" s="8">
        <v>2047</v>
      </c>
      <c r="B43" s="4">
        <v>27127917.635299366</v>
      </c>
      <c r="C43" s="4"/>
      <c r="D43" s="4">
        <v>17526595.061305553</v>
      </c>
      <c r="E43" s="4"/>
      <c r="F43" s="22">
        <v>4566262.7298330665</v>
      </c>
      <c r="G43" s="4"/>
      <c r="H43" s="22">
        <v>739572.77986284299</v>
      </c>
      <c r="I43" s="4"/>
      <c r="J43" s="22">
        <v>1695647.5717661341</v>
      </c>
      <c r="K43" s="4"/>
      <c r="L43" s="22">
        <v>17383261.038206402</v>
      </c>
      <c r="M43" s="4"/>
      <c r="N43" s="22">
        <v>15101.971774469142</v>
      </c>
      <c r="O43" s="4"/>
      <c r="P43" s="22">
        <v>501810.15949116834</v>
      </c>
      <c r="Q43" s="4"/>
    </row>
    <row r="44" spans="1:17" x14ac:dyDescent="0.2">
      <c r="A44" s="8">
        <v>2048</v>
      </c>
      <c r="B44" s="4">
        <v>28724742.418841057</v>
      </c>
      <c r="C44" s="4"/>
      <c r="D44" s="4">
        <v>18504815.708639145</v>
      </c>
      <c r="E44" s="4"/>
      <c r="F44" s="22">
        <v>4735653.1962327361</v>
      </c>
      <c r="G44" s="4"/>
      <c r="H44" s="22">
        <v>741724.52598598367</v>
      </c>
      <c r="I44" s="4"/>
      <c r="J44" s="22">
        <v>1741847.7028649866</v>
      </c>
      <c r="K44" s="4"/>
      <c r="L44" s="22">
        <v>17856891.25989056</v>
      </c>
      <c r="M44" s="4"/>
      <c r="N44" s="22">
        <v>15513.525231261257</v>
      </c>
      <c r="O44" s="4"/>
      <c r="P44" s="22">
        <v>503270.14841266157</v>
      </c>
      <c r="Q44" s="4"/>
    </row>
    <row r="45" spans="1:17" x14ac:dyDescent="0.2">
      <c r="A45" s="8">
        <v>2049</v>
      </c>
      <c r="B45" s="4">
        <v>30425254.521006718</v>
      </c>
      <c r="C45" s="4"/>
      <c r="D45" s="4">
        <v>19546375.136786163</v>
      </c>
      <c r="E45" s="4"/>
      <c r="F45" s="22">
        <v>4915707.1798521522</v>
      </c>
      <c r="G45" s="4"/>
      <c r="H45" s="22">
        <v>743876.27210912423</v>
      </c>
      <c r="I45" s="4"/>
      <c r="J45" s="22">
        <v>1790708.057436394</v>
      </c>
      <c r="K45" s="4"/>
      <c r="L45" s="22">
        <v>18357793.30367494</v>
      </c>
      <c r="M45" s="4"/>
      <c r="N45" s="22">
        <v>15948.774699298639</v>
      </c>
      <c r="O45" s="4"/>
      <c r="P45" s="22">
        <v>504730.13733415492</v>
      </c>
      <c r="Q45" s="4"/>
    </row>
    <row r="46" spans="1:17" x14ac:dyDescent="0.2">
      <c r="A46" s="8">
        <v>2050</v>
      </c>
      <c r="B46" s="4">
        <v>32236221.055970985</v>
      </c>
      <c r="C46" s="4"/>
      <c r="D46" s="4">
        <v>20655407.127651025</v>
      </c>
      <c r="E46" s="4"/>
      <c r="F46" s="22">
        <v>5107120.6311651682</v>
      </c>
      <c r="G46" s="4"/>
      <c r="H46" s="22">
        <v>746028.01823226502</v>
      </c>
      <c r="I46" s="4"/>
      <c r="J46" s="22">
        <v>1842401.1869957624</v>
      </c>
      <c r="K46" s="4"/>
      <c r="L46" s="22">
        <v>18887736.115510315</v>
      </c>
      <c r="M46" s="4"/>
      <c r="N46" s="22">
        <v>16409.257047133746</v>
      </c>
      <c r="O46" s="4"/>
      <c r="P46" s="22">
        <v>506190.12625564815</v>
      </c>
      <c r="Q46" s="4"/>
    </row>
    <row r="47" spans="1:17" x14ac:dyDescent="0.2">
      <c r="A47" s="8">
        <v>2051</v>
      </c>
      <c r="B47" s="4">
        <v>34156747.546155207</v>
      </c>
      <c r="C47" s="4"/>
      <c r="D47" s="4">
        <v>21828586.336280089</v>
      </c>
      <c r="E47" s="4"/>
      <c r="F47" s="22">
        <v>5304633.3797909301</v>
      </c>
      <c r="G47" s="4"/>
      <c r="H47" s="22">
        <v>746028.01823226502</v>
      </c>
      <c r="I47" s="4"/>
      <c r="J47" s="22">
        <v>1893959.7429437977</v>
      </c>
      <c r="K47" s="4"/>
      <c r="L47" s="22">
        <v>19416299.397088282</v>
      </c>
      <c r="M47" s="4"/>
      <c r="N47" s="22">
        <v>16868.551433526747</v>
      </c>
      <c r="O47" s="4"/>
      <c r="P47" s="22">
        <v>506190.12625564815</v>
      </c>
      <c r="Q47" s="4"/>
    </row>
    <row r="48" spans="1:17" x14ac:dyDescent="0.2">
      <c r="A48" s="8">
        <v>2052</v>
      </c>
      <c r="B48" s="4">
        <v>36202616.481364921</v>
      </c>
      <c r="C48" s="4"/>
      <c r="D48" s="4">
        <v>23078332.648364488</v>
      </c>
      <c r="E48" s="4"/>
      <c r="F48" s="22">
        <v>5515036.7242834978</v>
      </c>
      <c r="G48" s="4"/>
      <c r="H48" s="22">
        <v>746028.01823226502</v>
      </c>
      <c r="I48" s="4"/>
      <c r="J48" s="22">
        <v>1948716.1521721245</v>
      </c>
      <c r="K48" s="4"/>
      <c r="L48" s="22">
        <v>19977646.119083829</v>
      </c>
      <c r="M48" s="4"/>
      <c r="N48" s="22">
        <v>17356.330368078405</v>
      </c>
      <c r="O48" s="4"/>
      <c r="P48" s="22">
        <v>506190.12625564815</v>
      </c>
      <c r="Q48" s="4"/>
    </row>
    <row r="49" spans="1:17" x14ac:dyDescent="0.2">
      <c r="A49" s="8">
        <v>2053</v>
      </c>
      <c r="B49" s="4">
        <v>38382008.289521985</v>
      </c>
      <c r="C49" s="4"/>
      <c r="D49" s="4">
        <v>24409643.1873517</v>
      </c>
      <c r="E49" s="4"/>
      <c r="F49" s="22">
        <v>5739171.9645739272</v>
      </c>
      <c r="G49" s="4"/>
      <c r="H49" s="22">
        <v>746028.01823226502</v>
      </c>
      <c r="I49" s="4"/>
      <c r="J49" s="22">
        <v>2006878.9836692242</v>
      </c>
      <c r="K49" s="4"/>
      <c r="L49" s="22">
        <v>20573914.467514925</v>
      </c>
      <c r="M49" s="4"/>
      <c r="N49" s="22">
        <v>17874.451493158558</v>
      </c>
      <c r="O49" s="4"/>
      <c r="P49" s="22">
        <v>506190.12625564815</v>
      </c>
      <c r="Q49" s="4"/>
    </row>
    <row r="50" spans="1:17" x14ac:dyDescent="0.2">
      <c r="A50" s="8">
        <v>2054</v>
      </c>
      <c r="B50" s="4">
        <v>40703637.291125268</v>
      </c>
      <c r="C50" s="4"/>
      <c r="D50" s="4">
        <v>25827841.212087069</v>
      </c>
      <c r="E50" s="4"/>
      <c r="F50" s="22">
        <v>5977935.3077194635</v>
      </c>
      <c r="G50" s="4"/>
      <c r="H50" s="22">
        <v>746028.01823226502</v>
      </c>
      <c r="I50" s="4"/>
      <c r="J50" s="22">
        <v>2068670.4117151597</v>
      </c>
      <c r="K50" s="4"/>
      <c r="L50" s="22">
        <v>21207382.105662808</v>
      </c>
      <c r="M50" s="4"/>
      <c r="N50" s="22">
        <v>18424.893619921357</v>
      </c>
      <c r="O50" s="4"/>
      <c r="P50" s="22">
        <v>506190.12625564815</v>
      </c>
      <c r="Q50" s="4"/>
    </row>
    <row r="51" spans="1:17" x14ac:dyDescent="0.2">
      <c r="A51" s="8">
        <v>2055</v>
      </c>
      <c r="B51" s="4">
        <v>43176786.543550581</v>
      </c>
      <c r="C51" s="4"/>
      <c r="D51" s="4">
        <v>27338597.401918944</v>
      </c>
      <c r="E51" s="4"/>
      <c r="F51" s="22">
        <v>6232281.4513966683</v>
      </c>
      <c r="G51" s="4"/>
      <c r="H51" s="22">
        <v>746028.01823226502</v>
      </c>
      <c r="I51" s="4"/>
      <c r="J51" s="22">
        <v>2134327.1034815782</v>
      </c>
      <c r="K51" s="4"/>
      <c r="L51" s="22">
        <v>21880475.27347111</v>
      </c>
      <c r="M51" s="4"/>
      <c r="N51" s="22">
        <v>19009.764632863207</v>
      </c>
      <c r="O51" s="4"/>
      <c r="P51" s="22">
        <v>506190.12625564815</v>
      </c>
      <c r="Q51" s="4"/>
    </row>
    <row r="52" spans="1:17" x14ac:dyDescent="0.2">
      <c r="A52" s="8">
        <v>2056</v>
      </c>
      <c r="B52" s="4">
        <v>45811344.959450759</v>
      </c>
      <c r="C52" s="4"/>
      <c r="D52" s="4">
        <v>28947952.530968133</v>
      </c>
      <c r="E52" s="4"/>
      <c r="F52" s="22">
        <v>6503227.4012698531</v>
      </c>
      <c r="G52" s="4"/>
      <c r="H52" s="22">
        <v>746028.01823226502</v>
      </c>
      <c r="I52" s="4"/>
      <c r="J52" s="22">
        <v>2204101.1645433735</v>
      </c>
      <c r="K52" s="4"/>
      <c r="L52" s="22">
        <v>22595778.480637148</v>
      </c>
      <c r="M52" s="4"/>
      <c r="N52" s="22">
        <v>19631.309910094766</v>
      </c>
      <c r="O52" s="4"/>
      <c r="P52" s="22">
        <v>506190.12625564815</v>
      </c>
      <c r="Q52" s="4"/>
    </row>
    <row r="53" spans="1:17" x14ac:dyDescent="0.2">
      <c r="A53" s="8">
        <v>2057</v>
      </c>
      <c r="B53" s="4">
        <v>48617846.847674385</v>
      </c>
      <c r="C53" s="4"/>
      <c r="D53" s="4">
        <v>30662341.622225255</v>
      </c>
      <c r="E53" s="4"/>
      <c r="F53" s="22">
        <v>6791856.5374986716</v>
      </c>
      <c r="G53" s="4"/>
      <c r="H53" s="22">
        <v>746028.01823226502</v>
      </c>
      <c r="I53" s="4"/>
      <c r="J53" s="22">
        <v>2278261.1460807482</v>
      </c>
      <c r="K53" s="4"/>
      <c r="L53" s="22">
        <v>23356044.832133867</v>
      </c>
      <c r="M53" s="4"/>
      <c r="N53" s="22">
        <v>20291.921292976389</v>
      </c>
      <c r="O53" s="4"/>
      <c r="P53" s="22">
        <v>506190.12625564815</v>
      </c>
      <c r="Q53" s="4"/>
    </row>
    <row r="54" spans="1:17" x14ac:dyDescent="0.2">
      <c r="A54" s="8">
        <v>2058</v>
      </c>
      <c r="B54" s="4">
        <v>51607514.034807704</v>
      </c>
      <c r="C54" s="4"/>
      <c r="D54" s="4">
        <v>32488619.678056143</v>
      </c>
      <c r="E54" s="4"/>
      <c r="F54" s="22">
        <v>7099322.9466447998</v>
      </c>
      <c r="G54" s="4"/>
      <c r="H54" s="22">
        <v>746028.01823226502</v>
      </c>
      <c r="I54" s="4"/>
      <c r="J54" s="22">
        <v>2357093.1177969547</v>
      </c>
      <c r="K54" s="4"/>
      <c r="L54" s="22">
        <v>24164207.027428254</v>
      </c>
      <c r="M54" s="4"/>
      <c r="N54" s="22">
        <v>20994.146640961699</v>
      </c>
      <c r="O54" s="4"/>
      <c r="P54" s="22">
        <v>506190.12625564815</v>
      </c>
      <c r="Q54" s="4"/>
    </row>
    <row r="55" spans="1:17" x14ac:dyDescent="0.2">
      <c r="A55" s="8">
        <v>2059</v>
      </c>
      <c r="B55" s="4">
        <v>54792300.735763431</v>
      </c>
      <c r="C55" s="4"/>
      <c r="D55" s="4">
        <v>34434089.089999117</v>
      </c>
      <c r="E55" s="4"/>
      <c r="F55" s="22">
        <v>7426856.0362988766</v>
      </c>
      <c r="G55" s="4"/>
      <c r="H55" s="22">
        <v>746028.01823226502</v>
      </c>
      <c r="I55" s="4"/>
      <c r="J55" s="22">
        <v>2440901.8108396926</v>
      </c>
      <c r="K55" s="4"/>
      <c r="L55" s="22">
        <v>25023389.077355303</v>
      </c>
      <c r="M55" s="4"/>
      <c r="N55" s="22">
        <v>21740.700009833196</v>
      </c>
      <c r="O55" s="4"/>
      <c r="P55" s="22">
        <v>506190.12625564815</v>
      </c>
      <c r="Q55" s="4"/>
    </row>
    <row r="56" spans="1:17" x14ac:dyDescent="0.2">
      <c r="A56" s="8">
        <v>2060</v>
      </c>
      <c r="B56" s="4">
        <v>58184941.352831587</v>
      </c>
      <c r="C56" s="4"/>
      <c r="D56" s="4">
        <v>36506528.837452449</v>
      </c>
      <c r="E56" s="4"/>
      <c r="F56" s="22">
        <v>7775765.4508793838</v>
      </c>
      <c r="G56" s="4"/>
      <c r="H56" s="22">
        <v>746028.01823226502</v>
      </c>
      <c r="I56" s="4"/>
      <c r="J56" s="22">
        <v>2530011.8352939175</v>
      </c>
      <c r="K56" s="4"/>
      <c r="L56" s="22">
        <v>25936918.785474628</v>
      </c>
      <c r="M56" s="4"/>
      <c r="N56" s="22">
        <v>22534.472494005302</v>
      </c>
      <c r="O56" s="4"/>
      <c r="P56" s="22">
        <v>506190.12625564815</v>
      </c>
      <c r="Q56"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A2F4F-30DA-C64F-B200-41AFB408D22F}">
  <dimension ref="A1:AN56"/>
  <sheetViews>
    <sheetView workbookViewId="0">
      <selection activeCell="B5" sqref="B5"/>
    </sheetView>
  </sheetViews>
  <sheetFormatPr baseColWidth="10" defaultRowHeight="16" x14ac:dyDescent="0.2"/>
  <sheetData>
    <row r="1" spans="1:40" s="3" customFormat="1" x14ac:dyDescent="0.2">
      <c r="A1" s="10" t="s">
        <v>11</v>
      </c>
      <c r="B1" s="8">
        <v>2022</v>
      </c>
      <c r="C1" s="8">
        <v>2023</v>
      </c>
      <c r="D1" s="8">
        <v>2024</v>
      </c>
      <c r="E1" s="8">
        <v>2025</v>
      </c>
      <c r="F1" s="8">
        <v>2026</v>
      </c>
      <c r="G1" s="8">
        <v>2027</v>
      </c>
      <c r="H1" s="8">
        <v>2028</v>
      </c>
      <c r="I1" s="8">
        <v>2029</v>
      </c>
      <c r="J1" s="8">
        <v>2030</v>
      </c>
      <c r="K1" s="8">
        <v>2031</v>
      </c>
      <c r="L1" s="8">
        <v>2032</v>
      </c>
      <c r="M1" s="8">
        <v>2033</v>
      </c>
      <c r="N1" s="8">
        <v>2034</v>
      </c>
      <c r="O1" s="8">
        <v>2035</v>
      </c>
      <c r="P1" s="8">
        <v>2036</v>
      </c>
      <c r="Q1" s="8">
        <v>2037</v>
      </c>
      <c r="R1" s="8">
        <v>2038</v>
      </c>
      <c r="S1" s="8">
        <v>2039</v>
      </c>
      <c r="T1" s="8">
        <v>2040</v>
      </c>
      <c r="U1" s="8">
        <v>2041</v>
      </c>
      <c r="V1" s="8">
        <v>2042</v>
      </c>
      <c r="W1" s="8">
        <v>2043</v>
      </c>
      <c r="X1" s="8">
        <v>2044</v>
      </c>
      <c r="Y1" s="8">
        <v>2045</v>
      </c>
      <c r="Z1" s="8">
        <v>2046</v>
      </c>
      <c r="AA1" s="8">
        <v>2047</v>
      </c>
      <c r="AB1" s="8">
        <v>2048</v>
      </c>
      <c r="AC1" s="8">
        <v>2049</v>
      </c>
      <c r="AD1" s="8">
        <v>2050</v>
      </c>
      <c r="AE1" s="8">
        <v>2051</v>
      </c>
      <c r="AF1" s="8">
        <v>2052</v>
      </c>
      <c r="AG1" s="8">
        <v>2053</v>
      </c>
      <c r="AH1" s="8">
        <v>2054</v>
      </c>
      <c r="AI1" s="8">
        <v>2055</v>
      </c>
      <c r="AJ1" s="8">
        <v>2056</v>
      </c>
      <c r="AK1" s="8">
        <v>2057</v>
      </c>
      <c r="AL1" s="8">
        <v>2058</v>
      </c>
      <c r="AM1" s="8">
        <v>2059</v>
      </c>
      <c r="AN1" s="8">
        <v>2060</v>
      </c>
    </row>
    <row r="2" spans="1:40" x14ac:dyDescent="0.2">
      <c r="A2" s="10" t="s">
        <v>34</v>
      </c>
      <c r="B2" s="4">
        <f>'Electricity-Conversion'!B7+'Electricity-Conversion'!B18+'Electricity-Conversion'!B29+'Electricity-Conversion'!B40+'Electricity-Conversion'!B51+'Electricity-Conversion'!B62+'Electricity-Conversion'!B73+'Electricity-Conversion'!B84+'Electricity-Conversion'!B95+'Electricity-Conversion'!B106+'Electricity-Conversion'!B117+'Electricity-Conversion'!B128+'Electricity-Conversion'!B139+'Electricity-Conversion'!B150+'Electricity-Conversion'!B161+'Electricity-Conversion'!B173</f>
        <v>159102139.4930867</v>
      </c>
      <c r="C2" s="4">
        <f>'Electricity-Conversion'!C7+'Electricity-Conversion'!C18+'Electricity-Conversion'!C29+'Electricity-Conversion'!C40+'Electricity-Conversion'!C51+'Electricity-Conversion'!C62+'Electricity-Conversion'!C73+'Electricity-Conversion'!C84+'Electricity-Conversion'!C95+'Electricity-Conversion'!C106+'Electricity-Conversion'!C117+'Electricity-Conversion'!C128+'Electricity-Conversion'!C139+'Electricity-Conversion'!C150+'Electricity-Conversion'!C161+'Electricity-Conversion'!C173</f>
        <v>163772768.74577987</v>
      </c>
      <c r="D2" s="4">
        <f>'Electricity-Conversion'!D7+'Electricity-Conversion'!D18+'Electricity-Conversion'!D29+'Electricity-Conversion'!D40+'Electricity-Conversion'!D51+'Electricity-Conversion'!D62+'Electricity-Conversion'!D73+'Electricity-Conversion'!D84+'Electricity-Conversion'!D95+'Electricity-Conversion'!D106+'Electricity-Conversion'!D117+'Electricity-Conversion'!D128+'Electricity-Conversion'!D139+'Electricity-Conversion'!D150+'Electricity-Conversion'!D161+'Electricity-Conversion'!D173</f>
        <v>166762193.85117382</v>
      </c>
      <c r="E2" s="4">
        <f>'Electricity-Conversion'!E7+'Electricity-Conversion'!E18+'Electricity-Conversion'!E29+'Electricity-Conversion'!E40+'Electricity-Conversion'!E51+'Electricity-Conversion'!E62+'Electricity-Conversion'!E73+'Electricity-Conversion'!E84+'Electricity-Conversion'!E95+'Electricity-Conversion'!E106+'Electricity-Conversion'!E117+'Electricity-Conversion'!E128+'Electricity-Conversion'!E139+'Electricity-Conversion'!E150+'Electricity-Conversion'!E161+'Electricity-Conversion'!E173</f>
        <v>169886758.08859712</v>
      </c>
      <c r="F2" s="4">
        <f>'Electricity-Conversion'!F7+'Electricity-Conversion'!F18+'Electricity-Conversion'!F29+'Electricity-Conversion'!F40+'Electricity-Conversion'!F51+'Electricity-Conversion'!F62+'Electricity-Conversion'!F73+'Electricity-Conversion'!F84+'Electricity-Conversion'!F95+'Electricity-Conversion'!F106+'Electricity-Conversion'!F117+'Electricity-Conversion'!F128+'Electricity-Conversion'!F139+'Electricity-Conversion'!F150+'Electricity-Conversion'!F161+'Electricity-Conversion'!F173</f>
        <v>173852309.33454451</v>
      </c>
      <c r="G2" s="4">
        <f>'Electricity-Conversion'!G7+'Electricity-Conversion'!G18+'Electricity-Conversion'!G29+'Electricity-Conversion'!G40+'Electricity-Conversion'!G51+'Electricity-Conversion'!G62+'Electricity-Conversion'!G73+'Electricity-Conversion'!G84+'Electricity-Conversion'!G95+'Electricity-Conversion'!G106+'Electricity-Conversion'!G117+'Electricity-Conversion'!G128+'Electricity-Conversion'!G139+'Electricity-Conversion'!G150+'Electricity-Conversion'!G161+'Electricity-Conversion'!G173</f>
        <v>177972724.53286514</v>
      </c>
      <c r="H2" s="4">
        <f>'Electricity-Conversion'!H7+'Electricity-Conversion'!H18+'Electricity-Conversion'!H29+'Electricity-Conversion'!H40+'Electricity-Conversion'!H51+'Electricity-Conversion'!H62+'Electricity-Conversion'!H73+'Electricity-Conversion'!H84+'Electricity-Conversion'!H95+'Electricity-Conversion'!H106+'Electricity-Conversion'!H117+'Electricity-Conversion'!H128+'Electricity-Conversion'!H139+'Electricity-Conversion'!H150+'Electricity-Conversion'!H161+'Electricity-Conversion'!H173</f>
        <v>182256904.94045204</v>
      </c>
      <c r="I2" s="4">
        <f>'Electricity-Conversion'!I7+'Electricity-Conversion'!I18+'Electricity-Conversion'!I29+'Electricity-Conversion'!I40+'Electricity-Conversion'!I51+'Electricity-Conversion'!I62+'Electricity-Conversion'!I73+'Electricity-Conversion'!I84+'Electricity-Conversion'!I95+'Electricity-Conversion'!I106+'Electricity-Conversion'!I117+'Electricity-Conversion'!I128+'Electricity-Conversion'!I139+'Electricity-Conversion'!I150+'Electricity-Conversion'!I161+'Electricity-Conversion'!I173</f>
        <v>186714290.25489843</v>
      </c>
      <c r="J2" s="4">
        <f>'Electricity-Conversion'!J7+'Electricity-Conversion'!J18+'Electricity-Conversion'!J29+'Electricity-Conversion'!J40+'Electricity-Conversion'!J51+'Electricity-Conversion'!J62+'Electricity-Conversion'!J73+'Electricity-Conversion'!J84+'Electricity-Conversion'!J95+'Electricity-Conversion'!J106+'Electricity-Conversion'!J117+'Electricity-Conversion'!J128+'Electricity-Conversion'!J139+'Electricity-Conversion'!J150+'Electricity-Conversion'!J161+'Electricity-Conversion'!J173</f>
        <v>191354891.63080388</v>
      </c>
      <c r="K2" s="4">
        <f>'Electricity-Conversion'!K7+'Electricity-Conversion'!K18+'Electricity-Conversion'!K29+'Electricity-Conversion'!K40+'Electricity-Conversion'!K51+'Electricity-Conversion'!K62+'Electricity-Conversion'!K73+'Electricity-Conversion'!K84+'Electricity-Conversion'!K95+'Electricity-Conversion'!K106+'Electricity-Conversion'!K117+'Electricity-Conversion'!K128+'Electricity-Conversion'!K139+'Electricity-Conversion'!K150+'Electricity-Conversion'!K161+'Electricity-Conversion'!K173</f>
        <v>196008720.13835302</v>
      </c>
      <c r="L2" s="4">
        <f>'Electricity-Conversion'!L7+'Electricity-Conversion'!L18+'Electricity-Conversion'!L29+'Electricity-Conversion'!L40+'Electricity-Conversion'!L51+'Electricity-Conversion'!L62+'Electricity-Conversion'!L73+'Electricity-Conversion'!L84+'Electricity-Conversion'!L95+'Electricity-Conversion'!L106+'Electricity-Conversion'!L117+'Electricity-Conversion'!L128+'Electricity-Conversion'!L139+'Electricity-Conversion'!L150+'Electricity-Conversion'!L161+'Electricity-Conversion'!L173</f>
        <v>200866770.76806307</v>
      </c>
      <c r="M2" s="4">
        <f>'Electricity-Conversion'!M7+'Electricity-Conversion'!M18+'Electricity-Conversion'!M29+'Electricity-Conversion'!M40+'Electricity-Conversion'!M51+'Electricity-Conversion'!M62+'Electricity-Conversion'!M73+'Electricity-Conversion'!M84+'Electricity-Conversion'!M95+'Electricity-Conversion'!M106+'Electricity-Conversion'!M117+'Electricity-Conversion'!M128+'Electricity-Conversion'!M139+'Electricity-Conversion'!M150+'Electricity-Conversion'!M161+'Electricity-Conversion'!M173</f>
        <v>205940988.27898824</v>
      </c>
      <c r="N2" s="4">
        <f>'Electricity-Conversion'!N7+'Electricity-Conversion'!N18+'Electricity-Conversion'!N29+'Electricity-Conversion'!N40+'Electricity-Conversion'!N51+'Electricity-Conversion'!N62+'Electricity-Conversion'!N73+'Electricity-Conversion'!N84+'Electricity-Conversion'!N95+'Electricity-Conversion'!N106+'Electricity-Conversion'!N117+'Electricity-Conversion'!N128+'Electricity-Conversion'!N139+'Electricity-Conversion'!N150+'Electricity-Conversion'!N161+'Electricity-Conversion'!N173</f>
        <v>211244042.76291406</v>
      </c>
      <c r="O2" s="4">
        <f>'Electricity-Conversion'!O7+'Electricity-Conversion'!O18+'Electricity-Conversion'!O29+'Electricity-Conversion'!O40+'Electricity-Conversion'!O51+'Electricity-Conversion'!O62+'Electricity-Conversion'!O73+'Electricity-Conversion'!O84+'Electricity-Conversion'!O95+'Electricity-Conversion'!O106+'Electricity-Conversion'!O117+'Electricity-Conversion'!O128+'Electricity-Conversion'!O139+'Electricity-Conversion'!O150+'Electricity-Conversion'!O161+'Electricity-Conversion'!O173</f>
        <v>216789374.27105159</v>
      </c>
      <c r="P2" s="4">
        <f>'Electricity-Conversion'!P7+'Electricity-Conversion'!P18+'Electricity-Conversion'!P29+'Electricity-Conversion'!P40+'Electricity-Conversion'!P51+'Electricity-Conversion'!P62+'Electricity-Conversion'!P73+'Electricity-Conversion'!P84+'Electricity-Conversion'!P95+'Electricity-Conversion'!P106+'Electricity-Conversion'!P117+'Electricity-Conversion'!P128+'Electricity-Conversion'!P139+'Electricity-Conversion'!P150+'Electricity-Conversion'!P161+'Electricity-Conversion'!P173</f>
        <v>222406337.86396566</v>
      </c>
      <c r="Q2" s="4">
        <f>'Electricity-Conversion'!Q7+'Electricity-Conversion'!Q18+'Electricity-Conversion'!Q29+'Electricity-Conversion'!Q40+'Electricity-Conversion'!Q51+'Electricity-Conversion'!Q62+'Electricity-Conversion'!Q73+'Electricity-Conversion'!Q84+'Electricity-Conversion'!Q95+'Electricity-Conversion'!Q106+'Electricity-Conversion'!Q117+'Electricity-Conversion'!Q128+'Electricity-Conversion'!Q139+'Electricity-Conversion'!Q150+'Electricity-Conversion'!Q161+'Electricity-Conversion'!Q173</f>
        <v>228294077.87904438</v>
      </c>
      <c r="R2" s="4">
        <f>'Electricity-Conversion'!R7+'Electricity-Conversion'!R18+'Electricity-Conversion'!R29+'Electricity-Conversion'!R40+'Electricity-Conversion'!R51+'Electricity-Conversion'!R62+'Electricity-Conversion'!R73+'Electricity-Conversion'!R84+'Electricity-Conversion'!R95+'Electricity-Conversion'!R106+'Electricity-Conversion'!R117+'Electricity-Conversion'!R128+'Electricity-Conversion'!R139+'Electricity-Conversion'!R150+'Electricity-Conversion'!R161+'Electricity-Conversion'!R173</f>
        <v>234468640.65878272</v>
      </c>
      <c r="S2" s="4">
        <f>'Electricity-Conversion'!S7+'Electricity-Conversion'!S18+'Electricity-Conversion'!S29+'Electricity-Conversion'!S40+'Electricity-Conversion'!S51+'Electricity-Conversion'!S62+'Electricity-Conversion'!S73+'Electricity-Conversion'!S84+'Electricity-Conversion'!S95+'Electricity-Conversion'!S106+'Electricity-Conversion'!S117+'Electricity-Conversion'!S128+'Electricity-Conversion'!S139+'Electricity-Conversion'!S150+'Electricity-Conversion'!S161+'Electricity-Conversion'!S173</f>
        <v>240947050.58189559</v>
      </c>
      <c r="T2" s="4">
        <f>'Electricity-Conversion'!T7+'Electricity-Conversion'!T18+'Electricity-Conversion'!T29+'Electricity-Conversion'!T40+'Electricity-Conversion'!T51+'Electricity-Conversion'!T62+'Electricity-Conversion'!T73+'Electricity-Conversion'!T84+'Electricity-Conversion'!T95+'Electricity-Conversion'!T106+'Electricity-Conversion'!T117+'Electricity-Conversion'!T128+'Electricity-Conversion'!T139+'Electricity-Conversion'!T150+'Electricity-Conversion'!T161+'Electricity-Conversion'!T173</f>
        <v>247747370.43336976</v>
      </c>
      <c r="U2" s="4">
        <f>'Electricity-Conversion'!U7+'Electricity-Conversion'!U18+'Electricity-Conversion'!U29+'Electricity-Conversion'!U40+'Electricity-Conversion'!U51+'Electricity-Conversion'!U62+'Electricity-Conversion'!U73+'Electricity-Conversion'!U84+'Electricity-Conversion'!U95+'Electricity-Conversion'!U106+'Electricity-Conversion'!U117+'Electricity-Conversion'!U128+'Electricity-Conversion'!U139+'Electricity-Conversion'!U150+'Electricity-Conversion'!U161+'Electricity-Conversion'!U173</f>
        <v>254705762.50407326</v>
      </c>
      <c r="V2" s="4">
        <f>'Electricity-Conversion'!V7+'Electricity-Conversion'!V18+'Electricity-Conversion'!V29+'Electricity-Conversion'!V40+'Electricity-Conversion'!V51+'Electricity-Conversion'!V62+'Electricity-Conversion'!V73+'Electricity-Conversion'!V84+'Electricity-Conversion'!V95+'Electricity-Conversion'!V106+'Electricity-Conversion'!V117+'Electricity-Conversion'!V128+'Electricity-Conversion'!V139+'Electricity-Conversion'!V150+'Electricity-Conversion'!V161+'Electricity-Conversion'!V173</f>
        <v>262024702.08113816</v>
      </c>
      <c r="W2" s="4">
        <f>'Electricity-Conversion'!W7+'Electricity-Conversion'!W18+'Electricity-Conversion'!W29+'Electricity-Conversion'!W40+'Electricity-Conversion'!W51+'Electricity-Conversion'!W62+'Electricity-Conversion'!W73+'Electricity-Conversion'!W84+'Electricity-Conversion'!W95+'Electricity-Conversion'!W106+'Electricity-Conversion'!W117+'Electricity-Conversion'!W128+'Electricity-Conversion'!W139+'Electricity-Conversion'!W150+'Electricity-Conversion'!W161+'Electricity-Conversion'!W173</f>
        <v>269725768.25944585</v>
      </c>
      <c r="X2" s="4">
        <f>'Electricity-Conversion'!X7+'Electricity-Conversion'!X18+'Electricity-Conversion'!X29+'Electricity-Conversion'!X40+'Electricity-Conversion'!X51+'Electricity-Conversion'!X62+'Electricity-Conversion'!X73+'Electricity-Conversion'!X84+'Electricity-Conversion'!X95+'Electricity-Conversion'!X106+'Electricity-Conversion'!X117+'Electricity-Conversion'!X128+'Electricity-Conversion'!X139+'Electricity-Conversion'!X150+'Electricity-Conversion'!X161+'Electricity-Conversion'!X173</f>
        <v>277831860.13826227</v>
      </c>
      <c r="Y2" s="4">
        <f>'Electricity-Conversion'!Y7+'Electricity-Conversion'!Y18+'Electricity-Conversion'!Y29+'Electricity-Conversion'!Y40+'Electricity-Conversion'!Y51+'Electricity-Conversion'!Y62+'Electricity-Conversion'!Y73+'Electricity-Conversion'!Y84+'Electricity-Conversion'!Y95+'Electricity-Conversion'!Y106+'Electricity-Conversion'!Y117+'Electricity-Conversion'!Y128+'Electricity-Conversion'!Y139+'Electricity-Conversion'!Y150+'Electricity-Conversion'!Y161+'Electricity-Conversion'!Y173</f>
        <v>286367278.5534724</v>
      </c>
      <c r="Z2" s="4">
        <f>'Electricity-Conversion'!Z7+'Electricity-Conversion'!Z18+'Electricity-Conversion'!Z29+'Electricity-Conversion'!Z40+'Electricity-Conversion'!Z51+'Electricity-Conversion'!Z62+'Electricity-Conversion'!Z73+'Electricity-Conversion'!Z84+'Electricity-Conversion'!Z95+'Electricity-Conversion'!Z106+'Electricity-Conversion'!Z117+'Electricity-Conversion'!Z128+'Electricity-Conversion'!Z139+'Electricity-Conversion'!Z150+'Electricity-Conversion'!Z161+'Electricity-Conversion'!Z173</f>
        <v>295180156.23694694</v>
      </c>
      <c r="AA2" s="4">
        <f>'Electricity-Conversion'!AA7+'Electricity-Conversion'!AA18+'Electricity-Conversion'!AA29+'Electricity-Conversion'!AA40+'Electricity-Conversion'!AA51+'Electricity-Conversion'!AA62+'Electricity-Conversion'!AA73+'Electricity-Conversion'!AA84+'Electricity-Conversion'!AA95+'Electricity-Conversion'!AA106+'Electricity-Conversion'!AA117+'Electricity-Conversion'!AA128+'Electricity-Conversion'!AA139+'Electricity-Conversion'!AA150+'Electricity-Conversion'!AA161+'Electricity-Conversion'!AA173</f>
        <v>304474691.40733963</v>
      </c>
      <c r="AB2" s="4">
        <f>'Electricity-Conversion'!AB7+'Electricity-Conversion'!AB18+'Electricity-Conversion'!AB29+'Electricity-Conversion'!AB40+'Electricity-Conversion'!AB51+'Electricity-Conversion'!AB62+'Electricity-Conversion'!AB73+'Electricity-Conversion'!AB84+'Electricity-Conversion'!AB95+'Electricity-Conversion'!AB106+'Electricity-Conversion'!AB117+'Electricity-Conversion'!AB128+'Electricity-Conversion'!AB139+'Electricity-Conversion'!AB150+'Electricity-Conversion'!AB161+'Electricity-Conversion'!AB173</f>
        <v>314279933.2712518</v>
      </c>
      <c r="AC2" s="4">
        <f>'Electricity-Conversion'!AC7+'Electricity-Conversion'!AC18+'Electricity-Conversion'!AC29+'Electricity-Conversion'!AC40+'Electricity-Conversion'!AC51+'Electricity-Conversion'!AC62+'Electricity-Conversion'!AC73+'Electricity-Conversion'!AC84+'Electricity-Conversion'!AC95+'Electricity-Conversion'!AC106+'Electricity-Conversion'!AC117+'Electricity-Conversion'!AC128+'Electricity-Conversion'!AC139+'Electricity-Conversion'!AC150+'Electricity-Conversion'!AC161+'Electricity-Conversion'!AC173</f>
        <v>324626714.16502416</v>
      </c>
      <c r="AD2" s="4">
        <f>'Electricity-Conversion'!AD7+'Electricity-Conversion'!AD18+'Electricity-Conversion'!AD29+'Electricity-Conversion'!AD40+'Electricity-Conversion'!AD51+'Electricity-Conversion'!AD62+'Electricity-Conversion'!AD73+'Electricity-Conversion'!AD84+'Electricity-Conversion'!AD95+'Electricity-Conversion'!AD106+'Electricity-Conversion'!AD117+'Electricity-Conversion'!AD128+'Electricity-Conversion'!AD139+'Electricity-Conversion'!AD150+'Electricity-Conversion'!AD161+'Electricity-Conversion'!AD173</f>
        <v>335547760.29223913</v>
      </c>
      <c r="AE2" s="4">
        <f>'Electricity-Conversion'!AE7+'Electricity-Conversion'!AE18+'Electricity-Conversion'!AE29+'Electricity-Conversion'!AE40+'Electricity-Conversion'!AE51+'Electricity-Conversion'!AE62+'Electricity-Conversion'!AE73+'Electricity-Conversion'!AE84+'Electricity-Conversion'!AE95+'Electricity-Conversion'!AE106+'Electricity-Conversion'!AE117+'Electricity-Conversion'!AE128+'Electricity-Conversion'!AE139+'Electricity-Conversion'!AE150+'Electricity-Conversion'!AE161+'Electricity-Conversion'!AE173</f>
        <v>346642937.01965147</v>
      </c>
      <c r="AF2" s="4">
        <f>'Electricity-Conversion'!AF7+'Electricity-Conversion'!AF18+'Electricity-Conversion'!AF29+'Electricity-Conversion'!AF40+'Electricity-Conversion'!AF51+'Electricity-Conversion'!AF62+'Electricity-Conversion'!AF73+'Electricity-Conversion'!AF84+'Electricity-Conversion'!AF95+'Electricity-Conversion'!AF106+'Electricity-Conversion'!AF117+'Electricity-Conversion'!AF128+'Electricity-Conversion'!AF139+'Electricity-Conversion'!AF150+'Electricity-Conversion'!AF161+'Electricity-Conversion'!AF173</f>
        <v>358381985.85771459</v>
      </c>
      <c r="AG2" s="4">
        <f>'Electricity-Conversion'!AG7+'Electricity-Conversion'!AG18+'Electricity-Conversion'!AG29+'Electricity-Conversion'!AG40+'Electricity-Conversion'!AG51+'Electricity-Conversion'!AG62+'Electricity-Conversion'!AG73+'Electricity-Conversion'!AG84+'Electricity-Conversion'!AG95+'Electricity-Conversion'!AG106+'Electricity-Conversion'!AG117+'Electricity-Conversion'!AG128+'Electricity-Conversion'!AG139+'Electricity-Conversion'!AG150+'Electricity-Conversion'!AG161+'Electricity-Conversion'!AG173</f>
        <v>370804050.71418852</v>
      </c>
      <c r="AH2" s="4">
        <f>'Electricity-Conversion'!AH7+'Electricity-Conversion'!AH18+'Electricity-Conversion'!AH29+'Electricity-Conversion'!AH40+'Electricity-Conversion'!AH51+'Electricity-Conversion'!AH62+'Electricity-Conversion'!AH73+'Electricity-Conversion'!AH84+'Electricity-Conversion'!AH95+'Electricity-Conversion'!AH106+'Electricity-Conversion'!AH117+'Electricity-Conversion'!AH128+'Electricity-Conversion'!AH139+'Electricity-Conversion'!AH150+'Electricity-Conversion'!AH161+'Electricity-Conversion'!AH173</f>
        <v>383950686.30110371</v>
      </c>
      <c r="AI2" s="4">
        <f>'Electricity-Conversion'!AI7+'Electricity-Conversion'!AI18+'Electricity-Conversion'!AI29+'Electricity-Conversion'!AI40+'Electricity-Conversion'!AI51+'Electricity-Conversion'!AI62+'Electricity-Conversion'!AI73+'Electricity-Conversion'!AI84+'Electricity-Conversion'!AI95+'Electricity-Conversion'!AI106+'Electricity-Conversion'!AI117+'Electricity-Conversion'!AI128+'Electricity-Conversion'!AI139+'Electricity-Conversion'!AI150+'Electricity-Conversion'!AI161+'Electricity-Conversion'!AI173</f>
        <v>397866008.27958935</v>
      </c>
      <c r="AJ2" s="4">
        <f>'Electricity-Conversion'!AJ7+'Electricity-Conversion'!AJ18+'Electricity-Conversion'!AJ29+'Electricity-Conversion'!AJ40+'Electricity-Conversion'!AJ51+'Electricity-Conversion'!AJ62+'Electricity-Conversion'!AJ73+'Electricity-Conversion'!AJ84+'Electricity-Conversion'!AJ95+'Electricity-Conversion'!AJ106+'Electricity-Conversion'!AJ117+'Electricity-Conversion'!AJ128+'Electricity-Conversion'!AJ139+'Electricity-Conversion'!AJ150+'Electricity-Conversion'!AJ161+'Electricity-Conversion'!AJ173</f>
        <v>412596852.8440761</v>
      </c>
      <c r="AK2" s="4">
        <f>'Electricity-Conversion'!AK7+'Electricity-Conversion'!AK18+'Electricity-Conversion'!AK29+'Electricity-Conversion'!AK40+'Electricity-Conversion'!AK51+'Electricity-Conversion'!AK62+'Electricity-Conversion'!AK73+'Electricity-Conversion'!AK84+'Electricity-Conversion'!AK95+'Electricity-Conversion'!AK106+'Electricity-Conversion'!AK117+'Electricity-Conversion'!AK128+'Electricity-Conversion'!AK139+'Electricity-Conversion'!AK150+'Electricity-Conversion'!AK161+'Electricity-Conversion'!AK173</f>
        <v>428192946.34394515</v>
      </c>
      <c r="AL2" s="4">
        <f>'Electricity-Conversion'!AL7+'Electricity-Conversion'!AL18+'Electricity-Conversion'!AL29+'Electricity-Conversion'!AL40+'Electricity-Conversion'!AL51+'Electricity-Conversion'!AL62+'Electricity-Conversion'!AL73+'Electricity-Conversion'!AL84+'Electricity-Conversion'!AL95+'Electricity-Conversion'!AL106+'Electricity-Conversion'!AL117+'Electricity-Conversion'!AL128+'Electricity-Conversion'!AL139+'Electricity-Conversion'!AL150+'Electricity-Conversion'!AL161+'Electricity-Conversion'!AL173</f>
        <v>444707085.57882154</v>
      </c>
      <c r="AM2" s="4">
        <f>'Electricity-Conversion'!AM7+'Electricity-Conversion'!AM18+'Electricity-Conversion'!AM29+'Electricity-Conversion'!AM40+'Electricity-Conversion'!AM51+'Electricity-Conversion'!AM62+'Electricity-Conversion'!AM73+'Electricity-Conversion'!AM84+'Electricity-Conversion'!AM95+'Electricity-Conversion'!AM106+'Electricity-Conversion'!AM117+'Electricity-Conversion'!AM128+'Electricity-Conversion'!AM139+'Electricity-Conversion'!AM150+'Electricity-Conversion'!AM161+'Electricity-Conversion'!AM173</f>
        <v>462195329.44429433</v>
      </c>
      <c r="AN2" s="4">
        <f>'Electricity-Conversion'!AN7+'Electricity-Conversion'!AN18+'Electricity-Conversion'!AN29+'Electricity-Conversion'!AN40+'Electricity-Conversion'!AN51+'Electricity-Conversion'!AN62+'Electricity-Conversion'!AN73+'Electricity-Conversion'!AN84+'Electricity-Conversion'!AN95+'Electricity-Conversion'!AN106+'Electricity-Conversion'!AN117+'Electricity-Conversion'!AN128+'Electricity-Conversion'!AN139+'Electricity-Conversion'!AN150+'Electricity-Conversion'!AN161+'Electricity-Conversion'!AN173</f>
        <v>480717202.64801961</v>
      </c>
    </row>
    <row r="3" spans="1:40" x14ac:dyDescent="0.2">
      <c r="A3" s="10" t="s">
        <v>35</v>
      </c>
      <c r="B3" s="4">
        <f>'Electricity-Conversion'!B8+'Electricity-Conversion'!B19+'Electricity-Conversion'!B30+'Electricity-Conversion'!B41+'Electricity-Conversion'!B52+'Electricity-Conversion'!B63+'Electricity-Conversion'!B74+'Electricity-Conversion'!B85+'Electricity-Conversion'!B96+'Electricity-Conversion'!B107+'Electricity-Conversion'!B118+'Electricity-Conversion'!B129+'Electricity-Conversion'!B140+'Electricity-Conversion'!B151+'Electricity-Conversion'!B162+'Electricity-Conversion'!B174</f>
        <v>61859330.596910387</v>
      </c>
      <c r="C3" s="4">
        <f>'Electricity-Conversion'!C8+'Electricity-Conversion'!C19+'Electricity-Conversion'!C30+'Electricity-Conversion'!C41+'Electricity-Conversion'!C52+'Electricity-Conversion'!C63+'Electricity-Conversion'!C74+'Electricity-Conversion'!C85+'Electricity-Conversion'!C96+'Electricity-Conversion'!C107+'Electricity-Conversion'!C118+'Electricity-Conversion'!C129+'Electricity-Conversion'!C140+'Electricity-Conversion'!C151+'Electricity-Conversion'!C162+'Electricity-Conversion'!C174</f>
        <v>63624672.370186687</v>
      </c>
      <c r="D3" s="4">
        <f>'Electricity-Conversion'!D8+'Electricity-Conversion'!D19+'Electricity-Conversion'!D30+'Electricity-Conversion'!D41+'Electricity-Conversion'!D52+'Electricity-Conversion'!D63+'Electricity-Conversion'!D74+'Electricity-Conversion'!D85+'Electricity-Conversion'!D96+'Electricity-Conversion'!D107+'Electricity-Conversion'!D118+'Electricity-Conversion'!D129+'Electricity-Conversion'!D140+'Electricity-Conversion'!D151+'Electricity-Conversion'!D162+'Electricity-Conversion'!D174</f>
        <v>64730020.370154157</v>
      </c>
      <c r="E3" s="4">
        <f>'Electricity-Conversion'!E8+'Electricity-Conversion'!E19+'Electricity-Conversion'!E30+'Electricity-Conversion'!E41+'Electricity-Conversion'!E52+'Electricity-Conversion'!E63+'Electricity-Conversion'!E74+'Electricity-Conversion'!E85+'Electricity-Conversion'!E96+'Electricity-Conversion'!E107+'Electricity-Conversion'!E118+'Electricity-Conversion'!E129+'Electricity-Conversion'!E140+'Electricity-Conversion'!E151+'Electricity-Conversion'!E162+'Electricity-Conversion'!E174</f>
        <v>65883469.835670039</v>
      </c>
      <c r="F3" s="4">
        <f>'Electricity-Conversion'!F8+'Electricity-Conversion'!F19+'Electricity-Conversion'!F30+'Electricity-Conversion'!F41+'Electricity-Conversion'!F52+'Electricity-Conversion'!F63+'Electricity-Conversion'!F74+'Electricity-Conversion'!F85+'Electricity-Conversion'!F96+'Electricity-Conversion'!F107+'Electricity-Conversion'!F118+'Electricity-Conversion'!F129+'Electricity-Conversion'!F140+'Electricity-Conversion'!F151+'Electricity-Conversion'!F162+'Electricity-Conversion'!F174</f>
        <v>67362437.471600503</v>
      </c>
      <c r="G3" s="4">
        <f>'Electricity-Conversion'!G8+'Electricity-Conversion'!G19+'Electricity-Conversion'!G30+'Electricity-Conversion'!G41+'Electricity-Conversion'!G52+'Electricity-Conversion'!G63+'Electricity-Conversion'!G74+'Electricity-Conversion'!G85+'Electricity-Conversion'!G96+'Electricity-Conversion'!G107+'Electricity-Conversion'!G118+'Electricity-Conversion'!G129+'Electricity-Conversion'!G140+'Electricity-Conversion'!G151+'Electricity-Conversion'!G162+'Electricity-Conversion'!G174</f>
        <v>68896520.073184237</v>
      </c>
      <c r="H3" s="4">
        <f>'Electricity-Conversion'!H8+'Electricity-Conversion'!H19+'Electricity-Conversion'!H30+'Electricity-Conversion'!H41+'Electricity-Conversion'!H52+'Electricity-Conversion'!H63+'Electricity-Conversion'!H74+'Electricity-Conversion'!H85+'Electricity-Conversion'!H96+'Electricity-Conversion'!H107+'Electricity-Conversion'!H118+'Electricity-Conversion'!H129+'Electricity-Conversion'!H140+'Electricity-Conversion'!H151+'Electricity-Conversion'!H162+'Electricity-Conversion'!H174</f>
        <v>70488813.739233106</v>
      </c>
      <c r="I3" s="4">
        <f>'Electricity-Conversion'!I8+'Electricity-Conversion'!I19+'Electricity-Conversion'!I30+'Electricity-Conversion'!I41+'Electricity-Conversion'!I52+'Electricity-Conversion'!I63+'Electricity-Conversion'!I74+'Electricity-Conversion'!I85+'Electricity-Conversion'!I96+'Electricity-Conversion'!I107+'Electricity-Conversion'!I118+'Electricity-Conversion'!I129+'Electricity-Conversion'!I140+'Electricity-Conversion'!I151+'Electricity-Conversion'!I162+'Electricity-Conversion'!I174</f>
        <v>72142598.527671725</v>
      </c>
      <c r="J3" s="4">
        <f>'Electricity-Conversion'!J8+'Electricity-Conversion'!J19+'Electricity-Conversion'!J30+'Electricity-Conversion'!J41+'Electricity-Conversion'!J52+'Electricity-Conversion'!J63+'Electricity-Conversion'!J74+'Electricity-Conversion'!J85+'Electricity-Conversion'!J96+'Electricity-Conversion'!J107+'Electricity-Conversion'!J118+'Electricity-Conversion'!J129+'Electricity-Conversion'!J140+'Electricity-Conversion'!J151+'Electricity-Conversion'!J162+'Electricity-Conversion'!J174</f>
        <v>73861349.556229204</v>
      </c>
      <c r="K3" s="4">
        <f>'Electricity-Conversion'!K8+'Electricity-Conversion'!K19+'Electricity-Conversion'!K30+'Electricity-Conversion'!K41+'Electricity-Conversion'!K52+'Electricity-Conversion'!K63+'Electricity-Conversion'!K74+'Electricity-Conversion'!K85+'Electricity-Conversion'!K96+'Electricity-Conversion'!K107+'Electricity-Conversion'!K118+'Electricity-Conversion'!K129+'Electricity-Conversion'!K140+'Electricity-Conversion'!K151+'Electricity-Conversion'!K162+'Electricity-Conversion'!K174</f>
        <v>75577682.196189016</v>
      </c>
      <c r="L3" s="4">
        <f>'Electricity-Conversion'!L8+'Electricity-Conversion'!L19+'Electricity-Conversion'!L30+'Electricity-Conversion'!L41+'Electricity-Conversion'!L52+'Electricity-Conversion'!L63+'Electricity-Conversion'!L74+'Electricity-Conversion'!L85+'Electricity-Conversion'!L96+'Electricity-Conversion'!L107+'Electricity-Conversion'!L118+'Electricity-Conversion'!L129+'Electricity-Conversion'!L140+'Electricity-Conversion'!L151+'Electricity-Conversion'!L162+'Electricity-Conversion'!L174</f>
        <v>77366223.826629236</v>
      </c>
      <c r="M3" s="4">
        <f>'Electricity-Conversion'!M8+'Electricity-Conversion'!M19+'Electricity-Conversion'!M30+'Electricity-Conversion'!M41+'Electricity-Conversion'!M52+'Electricity-Conversion'!M63+'Electricity-Conversion'!M74+'Electricity-Conversion'!M85+'Electricity-Conversion'!M96+'Electricity-Conversion'!M107+'Electricity-Conversion'!M118+'Electricity-Conversion'!M129+'Electricity-Conversion'!M140+'Electricity-Conversion'!M151+'Electricity-Conversion'!M162+'Electricity-Conversion'!M174</f>
        <v>79231108.353962392</v>
      </c>
      <c r="N3" s="4">
        <f>'Electricity-Conversion'!N8+'Electricity-Conversion'!N19+'Electricity-Conversion'!N30+'Electricity-Conversion'!N41+'Electricity-Conversion'!N52+'Electricity-Conversion'!N63+'Electricity-Conversion'!N74+'Electricity-Conversion'!N85+'Electricity-Conversion'!N96+'Electricity-Conversion'!N107+'Electricity-Conversion'!N118+'Electricity-Conversion'!N129+'Electricity-Conversion'!N140+'Electricity-Conversion'!N151+'Electricity-Conversion'!N162+'Electricity-Conversion'!N174</f>
        <v>81176716.373314098</v>
      </c>
      <c r="O3" s="4">
        <f>'Electricity-Conversion'!O8+'Electricity-Conversion'!O19+'Electricity-Conversion'!O30+'Electricity-Conversion'!O41+'Electricity-Conversion'!O52+'Electricity-Conversion'!O63+'Electricity-Conversion'!O74+'Electricity-Conversion'!O85+'Electricity-Conversion'!O96+'Electricity-Conversion'!O107+'Electricity-Conversion'!O118+'Electricity-Conversion'!O129+'Electricity-Conversion'!O140+'Electricity-Conversion'!O151+'Electricity-Conversion'!O162+'Electricity-Conversion'!O174</f>
        <v>83207690.113112405</v>
      </c>
      <c r="P3" s="4">
        <f>'Electricity-Conversion'!P8+'Electricity-Conversion'!P19+'Electricity-Conversion'!P30+'Electricity-Conversion'!P41+'Electricity-Conversion'!P52+'Electricity-Conversion'!P63+'Electricity-Conversion'!P74+'Electricity-Conversion'!P85+'Electricity-Conversion'!P96+'Electricity-Conversion'!P107+'Electricity-Conversion'!P118+'Electricity-Conversion'!P129+'Electricity-Conversion'!P140+'Electricity-Conversion'!P151+'Electricity-Conversion'!P162+'Electricity-Conversion'!P174</f>
        <v>85256200.052023083</v>
      </c>
      <c r="Q3" s="4">
        <f>'Electricity-Conversion'!Q8+'Electricity-Conversion'!Q19+'Electricity-Conversion'!Q30+'Electricity-Conversion'!Q41+'Electricity-Conversion'!Q52+'Electricity-Conversion'!Q63+'Electricity-Conversion'!Q74+'Electricity-Conversion'!Q85+'Electricity-Conversion'!Q96+'Electricity-Conversion'!Q107+'Electricity-Conversion'!Q118+'Electricity-Conversion'!Q129+'Electricity-Conversion'!Q140+'Electricity-Conversion'!Q151+'Electricity-Conversion'!Q162+'Electricity-Conversion'!Q174</f>
        <v>87399865.049615264</v>
      </c>
      <c r="R3" s="4">
        <f>'Electricity-Conversion'!R8+'Electricity-Conversion'!R19+'Electricity-Conversion'!R30+'Electricity-Conversion'!R41+'Electricity-Conversion'!R52+'Electricity-Conversion'!R63+'Electricity-Conversion'!R74+'Electricity-Conversion'!R85+'Electricity-Conversion'!R96+'Electricity-Conversion'!R107+'Electricity-Conversion'!R118+'Electricity-Conversion'!R129+'Electricity-Conversion'!R140+'Electricity-Conversion'!R151+'Electricity-Conversion'!R162+'Electricity-Conversion'!R174</f>
        <v>89644211.366123185</v>
      </c>
      <c r="S3" s="4">
        <f>'Electricity-Conversion'!S8+'Electricity-Conversion'!S19+'Electricity-Conversion'!S30+'Electricity-Conversion'!S41+'Electricity-Conversion'!S52+'Electricity-Conversion'!S63+'Electricity-Conversion'!S74+'Electricity-Conversion'!S85+'Electricity-Conversion'!S96+'Electricity-Conversion'!S107+'Electricity-Conversion'!S118+'Electricity-Conversion'!S129+'Electricity-Conversion'!S140+'Electricity-Conversion'!S151+'Electricity-Conversion'!S162+'Electricity-Conversion'!S174</f>
        <v>91995096.437315792</v>
      </c>
      <c r="T3" s="4">
        <f>'Electricity-Conversion'!T8+'Electricity-Conversion'!T19+'Electricity-Conversion'!T30+'Electricity-Conversion'!T41+'Electricity-Conversion'!T52+'Electricity-Conversion'!T63+'Electricity-Conversion'!T74+'Electricity-Conversion'!T85+'Electricity-Conversion'!T96+'Electricity-Conversion'!T107+'Electricity-Conversion'!T118+'Electricity-Conversion'!T129+'Electricity-Conversion'!T140+'Electricity-Conversion'!T151+'Electricity-Conversion'!T162+'Electricity-Conversion'!T174</f>
        <v>94458729.013855368</v>
      </c>
      <c r="U3" s="4">
        <f>'Electricity-Conversion'!U8+'Electricity-Conversion'!U19+'Electricity-Conversion'!U30+'Electricity-Conversion'!U41+'Electricity-Conversion'!U52+'Electricity-Conversion'!U63+'Electricity-Conversion'!U74+'Electricity-Conversion'!U85+'Electricity-Conversion'!U96+'Electricity-Conversion'!U107+'Electricity-Conversion'!U118+'Electricity-Conversion'!U129+'Electricity-Conversion'!U140+'Electricity-Conversion'!U151+'Electricity-Conversion'!U162+'Electricity-Conversion'!U174</f>
        <v>96969695.985482976</v>
      </c>
      <c r="V3" s="4">
        <f>'Electricity-Conversion'!V8+'Electricity-Conversion'!V19+'Electricity-Conversion'!V30+'Electricity-Conversion'!V41+'Electricity-Conversion'!V52+'Electricity-Conversion'!V63+'Electricity-Conversion'!V74+'Electricity-Conversion'!V85+'Electricity-Conversion'!V96+'Electricity-Conversion'!V107+'Electricity-Conversion'!V118+'Electricity-Conversion'!V129+'Electricity-Conversion'!V140+'Electricity-Conversion'!V151+'Electricity-Conversion'!V162+'Electricity-Conversion'!V174</f>
        <v>99606631.865379378</v>
      </c>
      <c r="W3" s="4">
        <f>'Electricity-Conversion'!W8+'Electricity-Conversion'!W19+'Electricity-Conversion'!W30+'Electricity-Conversion'!W41+'Electricity-Conversion'!W52+'Electricity-Conversion'!W63+'Electricity-Conversion'!W74+'Electricity-Conversion'!W85+'Electricity-Conversion'!W96+'Electricity-Conversion'!W107+'Electricity-Conversion'!W118+'Electricity-Conversion'!W129+'Electricity-Conversion'!W140+'Electricity-Conversion'!W151+'Electricity-Conversion'!W162+'Electricity-Conversion'!W174</f>
        <v>102376932.98285285</v>
      </c>
      <c r="X3" s="4">
        <f>'Electricity-Conversion'!X8+'Electricity-Conversion'!X19+'Electricity-Conversion'!X30+'Electricity-Conversion'!X41+'Electricity-Conversion'!X52+'Electricity-Conversion'!X63+'Electricity-Conversion'!X74+'Electricity-Conversion'!X85+'Electricity-Conversion'!X96+'Electricity-Conversion'!X107+'Electricity-Conversion'!X118+'Electricity-Conversion'!X129+'Electricity-Conversion'!X140+'Electricity-Conversion'!X151+'Electricity-Conversion'!X162+'Electricity-Conversion'!X174</f>
        <v>105288440.74351977</v>
      </c>
      <c r="Y3" s="4">
        <f>'Electricity-Conversion'!Y8+'Electricity-Conversion'!Y19+'Electricity-Conversion'!Y30+'Electricity-Conversion'!Y41+'Electricity-Conversion'!Y52+'Electricity-Conversion'!Y63+'Electricity-Conversion'!Y74+'Electricity-Conversion'!Y85+'Electricity-Conversion'!Y96+'Electricity-Conversion'!Y107+'Electricity-Conversion'!Y118+'Electricity-Conversion'!Y129+'Electricity-Conversion'!Y140+'Electricity-Conversion'!Y151+'Electricity-Conversion'!Y162+'Electricity-Conversion'!Y174</f>
        <v>108349468.79492539</v>
      </c>
      <c r="Z3" s="4">
        <f>'Electricity-Conversion'!Z8+'Electricity-Conversion'!Z19+'Electricity-Conversion'!Z30+'Electricity-Conversion'!Z41+'Electricity-Conversion'!Z52+'Electricity-Conversion'!Z63+'Electricity-Conversion'!Z74+'Electricity-Conversion'!Z85+'Electricity-Conversion'!Z96+'Electricity-Conversion'!Z107+'Electricity-Conversion'!Z118+'Electricity-Conversion'!Z129+'Electricity-Conversion'!Z140+'Electricity-Conversion'!Z151+'Electricity-Conversion'!Z162+'Electricity-Conversion'!Z174</f>
        <v>111498947.62885238</v>
      </c>
      <c r="AA3" s="4">
        <f>'Electricity-Conversion'!AA8+'Electricity-Conversion'!AA19+'Electricity-Conversion'!AA30+'Electricity-Conversion'!AA41+'Electricity-Conversion'!AA52+'Electricity-Conversion'!AA63+'Electricity-Conversion'!AA74+'Electricity-Conversion'!AA85+'Electricity-Conversion'!AA96+'Electricity-Conversion'!AA107+'Electricity-Conversion'!AA118+'Electricity-Conversion'!AA129+'Electricity-Conversion'!AA140+'Electricity-Conversion'!AA151+'Electricity-Conversion'!AA162+'Electricity-Conversion'!AA174</f>
        <v>114815784.71075216</v>
      </c>
      <c r="AB3" s="4">
        <f>'Electricity-Conversion'!AB8+'Electricity-Conversion'!AB19+'Electricity-Conversion'!AB30+'Electricity-Conversion'!AB41+'Electricity-Conversion'!AB52+'Electricity-Conversion'!AB63+'Electricity-Conversion'!AB74+'Electricity-Conversion'!AB85+'Electricity-Conversion'!AB96+'Electricity-Conversion'!AB107+'Electricity-Conversion'!AB118+'Electricity-Conversion'!AB129+'Electricity-Conversion'!AB140+'Electricity-Conversion'!AB151+'Electricity-Conversion'!AB162+'Electricity-Conversion'!AB174</f>
        <v>118309890.72709388</v>
      </c>
      <c r="AC3" s="4">
        <f>'Electricity-Conversion'!AC8+'Electricity-Conversion'!AC19+'Electricity-Conversion'!AC30+'Electricity-Conversion'!AC41+'Electricity-Conversion'!AC52+'Electricity-Conversion'!AC63+'Electricity-Conversion'!AC74+'Electricity-Conversion'!AC85+'Electricity-Conversion'!AC96+'Electricity-Conversion'!AC107+'Electricity-Conversion'!AC118+'Electricity-Conversion'!AC129+'Electricity-Conversion'!AC140+'Electricity-Conversion'!AC151+'Electricity-Conversion'!AC162+'Electricity-Conversion'!AC174</f>
        <v>121991775.1393455</v>
      </c>
      <c r="AD3" s="4">
        <f>'Electricity-Conversion'!AD8+'Electricity-Conversion'!AD19+'Electricity-Conversion'!AD30+'Electricity-Conversion'!AD41+'Electricity-Conversion'!AD52+'Electricity-Conversion'!AD63+'Electricity-Conversion'!AD74+'Electricity-Conversion'!AD85+'Electricity-Conversion'!AD96+'Electricity-Conversion'!AD107+'Electricity-Conversion'!AD118+'Electricity-Conversion'!AD129+'Electricity-Conversion'!AD140+'Electricity-Conversion'!AD151+'Electricity-Conversion'!AD162+'Electricity-Conversion'!AD174</f>
        <v>125872582.86068781</v>
      </c>
      <c r="AE3" s="4">
        <f>'Electricity-Conversion'!AE8+'Electricity-Conversion'!AE19+'Electricity-Conversion'!AE30+'Electricity-Conversion'!AE41+'Electricity-Conversion'!AE52+'Electricity-Conversion'!AE63+'Electricity-Conversion'!AE74+'Electricity-Conversion'!AE85+'Electricity-Conversion'!AE96+'Electricity-Conversion'!AE107+'Electricity-Conversion'!AE118+'Electricity-Conversion'!AE129+'Electricity-Conversion'!AE140+'Electricity-Conversion'!AE151+'Electricity-Conversion'!AE162+'Electricity-Conversion'!AE174</f>
        <v>129793085.6470177</v>
      </c>
      <c r="AF3" s="4">
        <f>'Electricity-Conversion'!AF8+'Electricity-Conversion'!AF19+'Electricity-Conversion'!AF30+'Electricity-Conversion'!AF41+'Electricity-Conversion'!AF52+'Electricity-Conversion'!AF63+'Electricity-Conversion'!AF74+'Electricity-Conversion'!AF85+'Electricity-Conversion'!AF96+'Electricity-Conversion'!AF107+'Electricity-Conversion'!AF118+'Electricity-Conversion'!AF129+'Electricity-Conversion'!AF140+'Electricity-Conversion'!AF151+'Electricity-Conversion'!AF162+'Electricity-Conversion'!AF174</f>
        <v>133936084.06324175</v>
      </c>
      <c r="AG3" s="4">
        <f>'Electricity-Conversion'!AG8+'Electricity-Conversion'!AG19+'Electricity-Conversion'!AG30+'Electricity-Conversion'!AG41+'Electricity-Conversion'!AG52+'Electricity-Conversion'!AG63+'Electricity-Conversion'!AG74+'Electricity-Conversion'!AG85+'Electricity-Conversion'!AG96+'Electricity-Conversion'!AG107+'Electricity-Conversion'!AG118+'Electricity-Conversion'!AG129+'Electricity-Conversion'!AG140+'Electricity-Conversion'!AG151+'Electricity-Conversion'!AG162+'Electricity-Conversion'!AG174</f>
        <v>138314872.89471757</v>
      </c>
      <c r="AH3" s="4">
        <f>'Electricity-Conversion'!AH8+'Electricity-Conversion'!AH19+'Electricity-Conversion'!AH30+'Electricity-Conversion'!AH41+'Electricity-Conversion'!AH52+'Electricity-Conversion'!AH63+'Electricity-Conversion'!AH74+'Electricity-Conversion'!AH85+'Electricity-Conversion'!AH96+'Electricity-Conversion'!AH107+'Electricity-Conversion'!AH118+'Electricity-Conversion'!AH129+'Electricity-Conversion'!AH140+'Electricity-Conversion'!AH151+'Electricity-Conversion'!AH162+'Electricity-Conversion'!AH174</f>
        <v>142943553.29056334</v>
      </c>
      <c r="AI3" s="4">
        <f>'Electricity-Conversion'!AI8+'Electricity-Conversion'!AI19+'Electricity-Conversion'!AI30+'Electricity-Conversion'!AI41+'Electricity-Conversion'!AI52+'Electricity-Conversion'!AI63+'Electricity-Conversion'!AI74+'Electricity-Conversion'!AI85+'Electricity-Conversion'!AI96+'Electricity-Conversion'!AI107+'Electricity-Conversion'!AI118+'Electricity-Conversion'!AI129+'Electricity-Conversion'!AI140+'Electricity-Conversion'!AI151+'Electricity-Conversion'!AI162+'Electricity-Conversion'!AI174</f>
        <v>147837082.32491556</v>
      </c>
      <c r="AJ3" s="4">
        <f>'Electricity-Conversion'!AJ8+'Electricity-Conversion'!AJ19+'Electricity-Conversion'!AJ30+'Electricity-Conversion'!AJ41+'Electricity-Conversion'!AJ52+'Electricity-Conversion'!AJ63+'Electricity-Conversion'!AJ74+'Electricity-Conversion'!AJ85+'Electricity-Conversion'!AJ96+'Electricity-Conversion'!AJ107+'Electricity-Conversion'!AJ118+'Electricity-Conversion'!AJ129+'Electricity-Conversion'!AJ140+'Electricity-Conversion'!AJ151+'Electricity-Conversion'!AJ162+'Electricity-Conversion'!AJ174</f>
        <v>153011325.63949513</v>
      </c>
      <c r="AK3" s="4">
        <f>'Electricity-Conversion'!AK8+'Electricity-Conversion'!AK19+'Electricity-Conversion'!AK30+'Electricity-Conversion'!AK41+'Electricity-Conversion'!AK52+'Electricity-Conversion'!AK63+'Electricity-Conversion'!AK74+'Electricity-Conversion'!AK85+'Electricity-Conversion'!AK96+'Electricity-Conversion'!AK107+'Electricity-Conversion'!AK118+'Electricity-Conversion'!AK129+'Electricity-Conversion'!AK140+'Electricity-Conversion'!AK151+'Electricity-Conversion'!AK162+'Electricity-Conversion'!AK174</f>
        <v>158483113.36091781</v>
      </c>
      <c r="AL3" s="4">
        <f>'Electricity-Conversion'!AL8+'Electricity-Conversion'!AL19+'Electricity-Conversion'!AL30+'Electricity-Conversion'!AL41+'Electricity-Conversion'!AL52+'Electricity-Conversion'!AL63+'Electricity-Conversion'!AL74+'Electricity-Conversion'!AL85+'Electricity-Conversion'!AL96+'Electricity-Conversion'!AL107+'Electricity-Conversion'!AL118+'Electricity-Conversion'!AL129+'Electricity-Conversion'!AL140+'Electricity-Conversion'!AL151+'Electricity-Conversion'!AL162+'Electricity-Conversion'!AL174</f>
        <v>164270299.49842656</v>
      </c>
      <c r="AM3" s="4">
        <f>'Electricity-Conversion'!AM8+'Electricity-Conversion'!AM19+'Electricity-Conversion'!AM30+'Electricity-Conversion'!AM41+'Electricity-Conversion'!AM52+'Electricity-Conversion'!AM63+'Electricity-Conversion'!AM74+'Electricity-Conversion'!AM85+'Electricity-Conversion'!AM96+'Electricity-Conversion'!AM107+'Electricity-Conversion'!AM118+'Electricity-Conversion'!AM129+'Electricity-Conversion'!AM140+'Electricity-Conversion'!AM151+'Electricity-Conversion'!AM162+'Electricity-Conversion'!AM174</f>
        <v>170391825.04074356</v>
      </c>
      <c r="AN3" s="4">
        <f>'Electricity-Conversion'!AN8+'Electricity-Conversion'!AN19+'Electricity-Conversion'!AN30+'Electricity-Conversion'!AN41+'Electricity-Conversion'!AN52+'Electricity-Conversion'!AN63+'Electricity-Conversion'!AN74+'Electricity-Conversion'!AN85+'Electricity-Conversion'!AN96+'Electricity-Conversion'!AN107+'Electricity-Conversion'!AN118+'Electricity-Conversion'!AN129+'Electricity-Conversion'!AN140+'Electricity-Conversion'!AN151+'Electricity-Conversion'!AN162+'Electricity-Conversion'!AN174</f>
        <v>176867784.98459217</v>
      </c>
    </row>
    <row r="4" spans="1:40" x14ac:dyDescent="0.2">
      <c r="A4" s="10" t="s">
        <v>36</v>
      </c>
      <c r="B4" s="4">
        <f>'Electricity-Conversion'!B141+'Electricity-Conversion'!B152+'Electricity-Conversion'!B163+'Electricity-Conversion'!B175+'Electricity-Conversion'!B130+'Electricity-Conversion'!B119+'Electricity-Conversion'!B108+'Electricity-Conversion'!B97+'Electricity-Conversion'!B86+'Electricity-Conversion'!B75+'Electricity-Conversion'!B64+'Electricity-Conversion'!B53+'Electricity-Conversion'!B42+'Electricity-Conversion'!B31+'Electricity-Conversion'!B20+'Electricity-Conversion'!B9</f>
        <v>16096471.430582318</v>
      </c>
      <c r="C4" s="4">
        <f>'Electricity-Conversion'!C141+'Electricity-Conversion'!C152+'Electricity-Conversion'!C163+'Electricity-Conversion'!C175+'Electricity-Conversion'!C130+'Electricity-Conversion'!C119+'Electricity-Conversion'!C108+'Electricity-Conversion'!C97+'Electricity-Conversion'!C86+'Electricity-Conversion'!C75+'Electricity-Conversion'!C64+'Electricity-Conversion'!C53+'Electricity-Conversion'!C42+'Electricity-Conversion'!C31+'Electricity-Conversion'!C20+'Electricity-Conversion'!C9</f>
        <v>16568464.566705395</v>
      </c>
      <c r="D4" s="4">
        <f>'Electricity-Conversion'!D141+'Electricity-Conversion'!D152+'Electricity-Conversion'!D163+'Electricity-Conversion'!D175+'Electricity-Conversion'!D130+'Electricity-Conversion'!D119+'Electricity-Conversion'!D108+'Electricity-Conversion'!D97+'Electricity-Conversion'!D86+'Electricity-Conversion'!D75+'Electricity-Conversion'!D64+'Electricity-Conversion'!D53+'Electricity-Conversion'!D42+'Electricity-Conversion'!D31+'Electricity-Conversion'!D20+'Electricity-Conversion'!D9</f>
        <v>16860772.3408003</v>
      </c>
      <c r="E4" s="4">
        <f>'Electricity-Conversion'!E141+'Electricity-Conversion'!E152+'Electricity-Conversion'!E163+'Electricity-Conversion'!E175+'Electricity-Conversion'!E130+'Electricity-Conversion'!E119+'Electricity-Conversion'!E108+'Electricity-Conversion'!E97+'Electricity-Conversion'!E86+'Electricity-Conversion'!E75+'Electricity-Conversion'!E64+'Electricity-Conversion'!E53+'Electricity-Conversion'!E42+'Electricity-Conversion'!E31+'Electricity-Conversion'!E20+'Electricity-Conversion'!E9</f>
        <v>17165998.473389722</v>
      </c>
      <c r="F4" s="4">
        <f>'Electricity-Conversion'!F141+'Electricity-Conversion'!F152+'Electricity-Conversion'!F163+'Electricity-Conversion'!F175+'Electricity-Conversion'!F130+'Electricity-Conversion'!F119+'Electricity-Conversion'!F108+'Electricity-Conversion'!F97+'Electricity-Conversion'!F86+'Electricity-Conversion'!F75+'Electricity-Conversion'!F64+'Electricity-Conversion'!F53+'Electricity-Conversion'!F42+'Electricity-Conversion'!F31+'Electricity-Conversion'!F20+'Electricity-Conversion'!F9</f>
        <v>17556717.41482833</v>
      </c>
      <c r="G4" s="4">
        <f>'Electricity-Conversion'!G141+'Electricity-Conversion'!G152+'Electricity-Conversion'!G163+'Electricity-Conversion'!G175+'Electricity-Conversion'!G130+'Electricity-Conversion'!G119+'Electricity-Conversion'!G108+'Electricity-Conversion'!G97+'Electricity-Conversion'!G86+'Electricity-Conversion'!G75+'Electricity-Conversion'!G64+'Electricity-Conversion'!G53+'Electricity-Conversion'!G42+'Electricity-Conversion'!G31+'Electricity-Conversion'!G20+'Electricity-Conversion'!G9</f>
        <v>17962268.362160604</v>
      </c>
      <c r="H4" s="4">
        <f>'Electricity-Conversion'!H141+'Electricity-Conversion'!H152+'Electricity-Conversion'!H163+'Electricity-Conversion'!H175+'Electricity-Conversion'!H130+'Electricity-Conversion'!H119+'Electricity-Conversion'!H108+'Electricity-Conversion'!H97+'Electricity-Conversion'!H86+'Electricity-Conversion'!H75+'Electricity-Conversion'!H64+'Electricity-Conversion'!H53+'Electricity-Conversion'!H42+'Electricity-Conversion'!H31+'Electricity-Conversion'!H20+'Electricity-Conversion'!H9</f>
        <v>18383497.783023376</v>
      </c>
      <c r="I4" s="4">
        <f>'Electricity-Conversion'!I141+'Electricity-Conversion'!I152+'Electricity-Conversion'!I163+'Electricity-Conversion'!I175+'Electricity-Conversion'!I130+'Electricity-Conversion'!I119+'Electricity-Conversion'!I108+'Electricity-Conversion'!I97+'Electricity-Conversion'!I86+'Electricity-Conversion'!I75+'Electricity-Conversion'!I64+'Electricity-Conversion'!I53+'Electricity-Conversion'!I42+'Electricity-Conversion'!I31+'Electricity-Conversion'!I20+'Electricity-Conversion'!I9</f>
        <v>18821303.200602815</v>
      </c>
      <c r="J4" s="4">
        <f>'Electricity-Conversion'!J141+'Electricity-Conversion'!J152+'Electricity-Conversion'!J163+'Electricity-Conversion'!J175+'Electricity-Conversion'!J130+'Electricity-Conversion'!J119+'Electricity-Conversion'!J108+'Electricity-Conversion'!J97+'Electricity-Conversion'!J86+'Electricity-Conversion'!J75+'Electricity-Conversion'!J64+'Electricity-Conversion'!J53+'Electricity-Conversion'!J42+'Electricity-Conversion'!J31+'Electricity-Conversion'!J20+'Electricity-Conversion'!J9</f>
        <v>19276636.316313572</v>
      </c>
      <c r="K4" s="4">
        <f>'Electricity-Conversion'!K141+'Electricity-Conversion'!K152+'Electricity-Conversion'!K163+'Electricity-Conversion'!K175+'Electricity-Conversion'!K130+'Electricity-Conversion'!K119+'Electricity-Conversion'!K108+'Electricity-Conversion'!K97+'Electricity-Conversion'!K86+'Electricity-Conversion'!K75+'Electricity-Conversion'!K64+'Electricity-Conversion'!K53+'Electricity-Conversion'!K42+'Electricity-Conversion'!K31+'Electricity-Conversion'!K20+'Electricity-Conversion'!K9</f>
        <v>19731913.873307176</v>
      </c>
      <c r="L4" s="4">
        <f>'Electricity-Conversion'!L141+'Electricity-Conversion'!L152+'Electricity-Conversion'!L163+'Electricity-Conversion'!L175+'Electricity-Conversion'!L130+'Electricity-Conversion'!L119+'Electricity-Conversion'!L108+'Electricity-Conversion'!L97+'Electricity-Conversion'!L86+'Electricity-Conversion'!L75+'Electricity-Conversion'!L64+'Electricity-Conversion'!L53+'Electricity-Conversion'!L42+'Electricity-Conversion'!L31+'Electricity-Conversion'!L20+'Electricity-Conversion'!L9</f>
        <v>20206705.917924028</v>
      </c>
      <c r="M4" s="4">
        <f>'Electricity-Conversion'!M141+'Electricity-Conversion'!M152+'Electricity-Conversion'!M163+'Electricity-Conversion'!M175+'Electricity-Conversion'!M130+'Electricity-Conversion'!M119+'Electricity-Conversion'!M108+'Electricity-Conversion'!M97+'Electricity-Conversion'!M86+'Electricity-Conversion'!M75+'Electricity-Conversion'!M64+'Electricity-Conversion'!M53+'Electricity-Conversion'!M42+'Electricity-Conversion'!M31+'Electricity-Conversion'!M20+'Electricity-Conversion'!M9</f>
        <v>20702147.416855238</v>
      </c>
      <c r="N4" s="4">
        <f>'Electricity-Conversion'!N141+'Electricity-Conversion'!N152+'Electricity-Conversion'!N163+'Electricity-Conversion'!N175+'Electricity-Conversion'!N130+'Electricity-Conversion'!N119+'Electricity-Conversion'!N108+'Electricity-Conversion'!N97+'Electricity-Conversion'!N86+'Electricity-Conversion'!N75+'Electricity-Conversion'!N64+'Electricity-Conversion'!N53+'Electricity-Conversion'!N42+'Electricity-Conversion'!N31+'Electricity-Conversion'!N20+'Electricity-Conversion'!N9</f>
        <v>21219442.063823719</v>
      </c>
      <c r="O4" s="4">
        <f>'Electricity-Conversion'!O141+'Electricity-Conversion'!O152+'Electricity-Conversion'!O163+'Electricity-Conversion'!O175+'Electricity-Conversion'!O130+'Electricity-Conversion'!O119+'Electricity-Conversion'!O108+'Electricity-Conversion'!O97+'Electricity-Conversion'!O86+'Electricity-Conversion'!O75+'Electricity-Conversion'!O64+'Electricity-Conversion'!O53+'Electricity-Conversion'!O42+'Electricity-Conversion'!O31+'Electricity-Conversion'!O20+'Electricity-Conversion'!O9</f>
        <v>21759866.497720957</v>
      </c>
      <c r="P4" s="4">
        <f>'Electricity-Conversion'!P141+'Electricity-Conversion'!P152+'Electricity-Conversion'!P163+'Electricity-Conversion'!P175+'Electricity-Conversion'!P130+'Electricity-Conversion'!P119+'Electricity-Conversion'!P108+'Electricity-Conversion'!P97+'Electricity-Conversion'!P86+'Electricity-Conversion'!P75+'Electricity-Conversion'!P64+'Electricity-Conversion'!P53+'Electricity-Conversion'!P42+'Electricity-Conversion'!P31+'Electricity-Conversion'!P20+'Electricity-Conversion'!P9</f>
        <v>22305733.174501266</v>
      </c>
      <c r="Q4" s="4">
        <f>'Electricity-Conversion'!Q141+'Electricity-Conversion'!Q152+'Electricity-Conversion'!Q163+'Electricity-Conversion'!Q175+'Electricity-Conversion'!Q130+'Electricity-Conversion'!Q119+'Electricity-Conversion'!Q108+'Electricity-Conversion'!Q97+'Electricity-Conversion'!Q86+'Electricity-Conversion'!Q75+'Electricity-Conversion'!Q64+'Electricity-Conversion'!Q53+'Electricity-Conversion'!Q42+'Electricity-Conversion'!Q31+'Electricity-Conversion'!Q20+'Electricity-Conversion'!Q9</f>
        <v>22877426.261956144</v>
      </c>
      <c r="R4" s="4">
        <f>'Electricity-Conversion'!R141+'Electricity-Conversion'!R152+'Electricity-Conversion'!R163+'Electricity-Conversion'!R175+'Electricity-Conversion'!R130+'Electricity-Conversion'!R119+'Electricity-Conversion'!R108+'Electricity-Conversion'!R97+'Electricity-Conversion'!R86+'Electricity-Conversion'!R75+'Electricity-Conversion'!R64+'Electricity-Conversion'!R53+'Electricity-Conversion'!R42+'Electricity-Conversion'!R31+'Electricity-Conversion'!R20+'Electricity-Conversion'!R9</f>
        <v>23476469.245772317</v>
      </c>
      <c r="S4" s="4">
        <f>'Electricity-Conversion'!S141+'Electricity-Conversion'!S152+'Electricity-Conversion'!S163+'Electricity-Conversion'!S175+'Electricity-Conversion'!S130+'Electricity-Conversion'!S119+'Electricity-Conversion'!S108+'Electricity-Conversion'!S97+'Electricity-Conversion'!S86+'Electricity-Conversion'!S75+'Electricity-Conversion'!S64+'Electricity-Conversion'!S53+'Electricity-Conversion'!S42+'Electricity-Conversion'!S31+'Electricity-Conversion'!S20+'Electricity-Conversion'!S9</f>
        <v>24104478.218174025</v>
      </c>
      <c r="T4" s="4">
        <f>'Electricity-Conversion'!T141+'Electricity-Conversion'!T152+'Electricity-Conversion'!T163+'Electricity-Conversion'!T175+'Electricity-Conversion'!T130+'Electricity-Conversion'!T119+'Electricity-Conversion'!T108+'Electricity-Conversion'!T97+'Electricity-Conversion'!T86+'Electricity-Conversion'!T75+'Electricity-Conversion'!T64+'Electricity-Conversion'!T53+'Electricity-Conversion'!T42+'Electricity-Conversion'!T31+'Electricity-Conversion'!T20+'Electricity-Conversion'!T9</f>
        <v>24763167.580694869</v>
      </c>
      <c r="U4" s="4">
        <f>'Electricity-Conversion'!U141+'Electricity-Conversion'!U152+'Electricity-Conversion'!U163+'Electricity-Conversion'!U175+'Electricity-Conversion'!U130+'Electricity-Conversion'!U119+'Electricity-Conversion'!U108+'Electricity-Conversion'!U97+'Electricity-Conversion'!U86+'Electricity-Conversion'!U75+'Electricity-Conversion'!U64+'Electricity-Conversion'!U53+'Electricity-Conversion'!U42+'Electricity-Conversion'!U31+'Electricity-Conversion'!U20+'Electricity-Conversion'!U9</f>
        <v>25435503.390159652</v>
      </c>
      <c r="V4" s="4">
        <f>'Electricity-Conversion'!V141+'Electricity-Conversion'!V152+'Electricity-Conversion'!V163+'Electricity-Conversion'!V175+'Electricity-Conversion'!V130+'Electricity-Conversion'!V119+'Electricity-Conversion'!V108+'Electricity-Conversion'!V97+'Electricity-Conversion'!V86+'Electricity-Conversion'!V75+'Electricity-Conversion'!V64+'Electricity-Conversion'!V53+'Electricity-Conversion'!V42+'Electricity-Conversion'!V31+'Electricity-Conversion'!V20+'Electricity-Conversion'!V9</f>
        <v>26142176.298156105</v>
      </c>
      <c r="W4" s="4">
        <f>'Electricity-Conversion'!W141+'Electricity-Conversion'!W152+'Electricity-Conversion'!W163+'Electricity-Conversion'!W175+'Electricity-Conversion'!W130+'Electricity-Conversion'!W119+'Electricity-Conversion'!W108+'Electricity-Conversion'!W97+'Electricity-Conversion'!W86+'Electricity-Conversion'!W75+'Electricity-Conversion'!W64+'Electricity-Conversion'!W53+'Electricity-Conversion'!W42+'Electricity-Conversion'!W31+'Electricity-Conversion'!W20+'Electricity-Conversion'!W9</f>
        <v>26885233.51512678</v>
      </c>
      <c r="X4" s="4">
        <f>'Electricity-Conversion'!X141+'Electricity-Conversion'!X152+'Electricity-Conversion'!X163+'Electricity-Conversion'!X175+'Electricity-Conversion'!X130+'Electricity-Conversion'!X119+'Electricity-Conversion'!X108+'Electricity-Conversion'!X97+'Electricity-Conversion'!X86+'Electricity-Conversion'!X75+'Electricity-Conversion'!X64+'Electricity-Conversion'!X53+'Electricity-Conversion'!X42+'Electricity-Conversion'!X31+'Electricity-Conversion'!X20+'Electricity-Conversion'!X9</f>
        <v>27666847.153631717</v>
      </c>
      <c r="Y4" s="4">
        <f>'Electricity-Conversion'!Y141+'Electricity-Conversion'!Y152+'Electricity-Conversion'!Y163+'Electricity-Conversion'!Y175+'Electricity-Conversion'!Y130+'Electricity-Conversion'!Y119+'Electricity-Conversion'!Y108+'Electricity-Conversion'!Y97+'Electricity-Conversion'!Y86+'Electricity-Conversion'!Y75+'Electricity-Conversion'!Y64+'Electricity-Conversion'!Y53+'Electricity-Conversion'!Y42+'Electricity-Conversion'!Y31+'Electricity-Conversion'!Y20+'Electricity-Conversion'!Y9</f>
        <v>28489321.944623131</v>
      </c>
      <c r="Z4" s="4">
        <f>'Electricity-Conversion'!Z141+'Electricity-Conversion'!Z152+'Electricity-Conversion'!Z163+'Electricity-Conversion'!Z175+'Electricity-Conversion'!Z130+'Electricity-Conversion'!Z119+'Electricity-Conversion'!Z108+'Electricity-Conversion'!Z97+'Electricity-Conversion'!Z86+'Electricity-Conversion'!Z75+'Electricity-Conversion'!Z64+'Electricity-Conversion'!Z53+'Electricity-Conversion'!Z42+'Electricity-Conversion'!Z31+'Electricity-Conversion'!Z20+'Electricity-Conversion'!Z9</f>
        <v>29336795.145422846</v>
      </c>
      <c r="AA4" s="4">
        <f>'Electricity-Conversion'!AA141+'Electricity-Conversion'!AA152+'Electricity-Conversion'!AA163+'Electricity-Conversion'!AA175+'Electricity-Conversion'!AA130+'Electricity-Conversion'!AA119+'Electricity-Conversion'!AA108+'Electricity-Conversion'!AA97+'Electricity-Conversion'!AA86+'Electricity-Conversion'!AA75+'Electricity-Conversion'!AA64+'Electricity-Conversion'!AA53+'Electricity-Conversion'!AA42+'Electricity-Conversion'!AA31+'Electricity-Conversion'!AA20+'Electricity-Conversion'!AA9</f>
        <v>30230082.20312852</v>
      </c>
      <c r="AB4" s="4">
        <f>'Electricity-Conversion'!AB141+'Electricity-Conversion'!AB152+'Electricity-Conversion'!AB163+'Electricity-Conversion'!AB175+'Electricity-Conversion'!AB130+'Electricity-Conversion'!AB119+'Electricity-Conversion'!AB108+'Electricity-Conversion'!AB97+'Electricity-Conversion'!AB86+'Electricity-Conversion'!AB75+'Electricity-Conversion'!AB64+'Electricity-Conversion'!AB53+'Electricity-Conversion'!AB42+'Electricity-Conversion'!AB31+'Electricity-Conversion'!AB20+'Electricity-Conversion'!AB9</f>
        <v>31171936.97352339</v>
      </c>
      <c r="AC4" s="4">
        <f>'Electricity-Conversion'!AC141+'Electricity-Conversion'!AC152+'Electricity-Conversion'!AC163+'Electricity-Conversion'!AC175+'Electricity-Conversion'!AC130+'Electricity-Conversion'!AC119+'Electricity-Conversion'!AC108+'Electricity-Conversion'!AC97+'Electricity-Conversion'!AC86+'Electricity-Conversion'!AC75+'Electricity-Conversion'!AC64+'Electricity-Conversion'!AC53+'Electricity-Conversion'!AC42+'Electricity-Conversion'!AC31+'Electricity-Conversion'!AC20+'Electricity-Conversion'!AC9</f>
        <v>32165281.927507695</v>
      </c>
      <c r="AD4" s="4">
        <f>'Electricity-Conversion'!AD141+'Electricity-Conversion'!AD152+'Electricity-Conversion'!AD163+'Electricity-Conversion'!AD175+'Electricity-Conversion'!AD130+'Electricity-Conversion'!AD119+'Electricity-Conversion'!AD108+'Electricity-Conversion'!AD97+'Electricity-Conversion'!AD86+'Electricity-Conversion'!AD75+'Electricity-Conversion'!AD64+'Electricity-Conversion'!AD53+'Electricity-Conversion'!AD42+'Electricity-Conversion'!AD31+'Electricity-Conversion'!AD20+'Electricity-Conversion'!AD9</f>
        <v>33213218.599988747</v>
      </c>
      <c r="AE4" s="4">
        <f>'Electricity-Conversion'!AE141+'Electricity-Conversion'!AE152+'Electricity-Conversion'!AE163+'Electricity-Conversion'!AE175+'Electricity-Conversion'!AE130+'Electricity-Conversion'!AE119+'Electricity-Conversion'!AE108+'Electricity-Conversion'!AE97+'Electricity-Conversion'!AE86+'Electricity-Conversion'!AE75+'Electricity-Conversion'!AE64+'Electricity-Conversion'!AE53+'Electricity-Conversion'!AE42+'Electricity-Conversion'!AE31+'Electricity-Conversion'!AE20+'Electricity-Conversion'!AE9</f>
        <v>34274208.022696152</v>
      </c>
      <c r="AF4" s="4">
        <f>'Electricity-Conversion'!AF141+'Electricity-Conversion'!AF152+'Electricity-Conversion'!AF163+'Electricity-Conversion'!AF175+'Electricity-Conversion'!AF130+'Electricity-Conversion'!AF119+'Electricity-Conversion'!AF108+'Electricity-Conversion'!AF97+'Electricity-Conversion'!AF86+'Electricity-Conversion'!AF75+'Electricity-Conversion'!AF64+'Electricity-Conversion'!AF53+'Electricity-Conversion'!AF42+'Electricity-Conversion'!AF31+'Electricity-Conversion'!AF20+'Electricity-Conversion'!AF9</f>
        <v>35396361.808207586</v>
      </c>
      <c r="AG4" s="4">
        <f>'Electricity-Conversion'!AG141+'Electricity-Conversion'!AG152+'Electricity-Conversion'!AG163+'Electricity-Conversion'!AG175+'Electricity-Conversion'!AG130+'Electricity-Conversion'!AG119+'Electricity-Conversion'!AG108+'Electricity-Conversion'!AG97+'Electricity-Conversion'!AG86+'Electricity-Conversion'!AG75+'Electricity-Conversion'!AG64+'Electricity-Conversion'!AG53+'Electricity-Conversion'!AG42+'Electricity-Conversion'!AG31+'Electricity-Conversion'!AG20+'Electricity-Conversion'!AG9</f>
        <v>36583388.127511077</v>
      </c>
      <c r="AH4" s="4">
        <f>'Electricity-Conversion'!AH141+'Electricity-Conversion'!AH152+'Electricity-Conversion'!AH163+'Electricity-Conversion'!AH175+'Electricity-Conversion'!AH130+'Electricity-Conversion'!AH119+'Electricity-Conversion'!AH108+'Electricity-Conversion'!AH97+'Electricity-Conversion'!AH86+'Electricity-Conversion'!AH75+'Electricity-Conversion'!AH64+'Electricity-Conversion'!AH53+'Electricity-Conversion'!AH42+'Electricity-Conversion'!AH31+'Electricity-Conversion'!AH20+'Electricity-Conversion'!AH9</f>
        <v>37839222.979074225</v>
      </c>
      <c r="AI4" s="4">
        <f>'Electricity-Conversion'!AI141+'Electricity-Conversion'!AI152+'Electricity-Conversion'!AI163+'Electricity-Conversion'!AI175+'Electricity-Conversion'!AI130+'Electricity-Conversion'!AI119+'Electricity-Conversion'!AI108+'Electricity-Conversion'!AI97+'Electricity-Conversion'!AI86+'Electricity-Conversion'!AI75+'Electricity-Conversion'!AI64+'Electricity-Conversion'!AI53+'Electricity-Conversion'!AI42+'Electricity-Conversion'!AI31+'Electricity-Conversion'!AI20+'Electricity-Conversion'!AI9</f>
        <v>39168044.348673865</v>
      </c>
      <c r="AJ4" s="4">
        <f>'Electricity-Conversion'!AJ141+'Electricity-Conversion'!AJ152+'Electricity-Conversion'!AJ163+'Electricity-Conversion'!AJ175+'Electricity-Conversion'!AJ130+'Electricity-Conversion'!AJ119+'Electricity-Conversion'!AJ108+'Electricity-Conversion'!AJ97+'Electricity-Conversion'!AJ86+'Electricity-Conversion'!AJ75+'Electricity-Conversion'!AJ64+'Electricity-Conversion'!AJ53+'Electricity-Conversion'!AJ42+'Electricity-Conversion'!AJ31+'Electricity-Conversion'!AJ20+'Electricity-Conversion'!AJ9</f>
        <v>40574287.257899366</v>
      </c>
      <c r="AK4" s="4">
        <f>'Electricity-Conversion'!AK141+'Electricity-Conversion'!AK152+'Electricity-Conversion'!AK163+'Electricity-Conversion'!AK175+'Electricity-Conversion'!AK130+'Electricity-Conversion'!AK119+'Electricity-Conversion'!AK108+'Electricity-Conversion'!AK97+'Electricity-Conversion'!AK86+'Electricity-Conversion'!AK75+'Electricity-Conversion'!AK64+'Electricity-Conversion'!AK53+'Electricity-Conversion'!AK42+'Electricity-Conversion'!AK31+'Electricity-Conversion'!AK20+'Electricity-Conversion'!AK9</f>
        <v>42062659.757555589</v>
      </c>
      <c r="AL4" s="4">
        <f>'Electricity-Conversion'!AL141+'Electricity-Conversion'!AL152+'Electricity-Conversion'!AL163+'Electricity-Conversion'!AL175+'Electricity-Conversion'!AL130+'Electricity-Conversion'!AL119+'Electricity-Conversion'!AL108+'Electricity-Conversion'!AL97+'Electricity-Conversion'!AL86+'Electricity-Conversion'!AL75+'Electricity-Conversion'!AL64+'Electricity-Conversion'!AL53+'Electricity-Conversion'!AL42+'Electricity-Conversion'!AL31+'Electricity-Conversion'!AL20+'Electricity-Conversion'!AL9</f>
        <v>43638159.925772034</v>
      </c>
      <c r="AM4" s="4">
        <f>'Electricity-Conversion'!AM141+'Electricity-Conversion'!AM152+'Electricity-Conversion'!AM163+'Electricity-Conversion'!AM175+'Electricity-Conversion'!AM130+'Electricity-Conversion'!AM119+'Electricity-Conversion'!AM108+'Electricity-Conversion'!AM97+'Electricity-Conversion'!AM86+'Electricity-Conversion'!AM75+'Electricity-Conversion'!AM64+'Electricity-Conversion'!AM53+'Electricity-Conversion'!AM42+'Electricity-Conversion'!AM31+'Electricity-Conversion'!AM20+'Electricity-Conversion'!AM9</f>
        <v>45306093.934435196</v>
      </c>
      <c r="AN4" s="4">
        <f>'Electricity-Conversion'!AN141+'Electricity-Conversion'!AN152+'Electricity-Conversion'!AN163+'Electricity-Conversion'!AN175+'Electricity-Conversion'!AN130+'Electricity-Conversion'!AN119+'Electricity-Conversion'!AN108+'Electricity-Conversion'!AN97+'Electricity-Conversion'!AN86+'Electricity-Conversion'!AN75+'Electricity-Conversion'!AN64+'Electricity-Conversion'!AN53+'Electricity-Conversion'!AN42+'Electricity-Conversion'!AN31+'Electricity-Conversion'!AN20+'Electricity-Conversion'!AN9</f>
        <v>47072095.251615435</v>
      </c>
    </row>
    <row r="5" spans="1:40" x14ac:dyDescent="0.2">
      <c r="A5" s="10" t="s">
        <v>37</v>
      </c>
      <c r="B5" s="4">
        <f>'Electricity-Conversion'!B10+'Electricity-Conversion'!B21+'Electricity-Conversion'!B32+'Electricity-Conversion'!B43+'Electricity-Conversion'!B54+'Electricity-Conversion'!B65+'Electricity-Conversion'!B76+'Electricity-Conversion'!B87+'Electricity-Conversion'!B98+'Electricity-Conversion'!B109+'Electricity-Conversion'!B120+'Electricity-Conversion'!B131+'Electricity-Conversion'!B142+'Electricity-Conversion'!B153+'Electricity-Conversion'!B164+'Electricity-Conversion'!B176</f>
        <v>10929408.023246268</v>
      </c>
      <c r="C5" s="4">
        <f>'Electricity-Conversion'!C10+'Electricity-Conversion'!C21+'Electricity-Conversion'!C32+'Electricity-Conversion'!C43+'Electricity-Conversion'!C54+'Electricity-Conversion'!C65+'Electricity-Conversion'!C76+'Electricity-Conversion'!C87+'Electricity-Conversion'!C98+'Electricity-Conversion'!C109+'Electricity-Conversion'!C120+'Electricity-Conversion'!C131+'Electricity-Conversion'!C142+'Electricity-Conversion'!C153+'Electricity-Conversion'!C164+'Electricity-Conversion'!C176</f>
        <v>11275266.790357228</v>
      </c>
      <c r="D5" s="4">
        <f>'Electricity-Conversion'!D10+'Electricity-Conversion'!D21+'Electricity-Conversion'!D32+'Electricity-Conversion'!D43+'Electricity-Conversion'!D54+'Electricity-Conversion'!D65+'Electricity-Conversion'!D76+'Electricity-Conversion'!D87+'Electricity-Conversion'!D98+'Electricity-Conversion'!D109+'Electricity-Conversion'!D120+'Electricity-Conversion'!D131+'Electricity-Conversion'!D142+'Electricity-Conversion'!D153+'Electricity-Conversion'!D164+'Electricity-Conversion'!D176</f>
        <v>11516643.168142494</v>
      </c>
      <c r="E5" s="4">
        <f>'Electricity-Conversion'!E10+'Electricity-Conversion'!E21+'Electricity-Conversion'!E32+'Electricity-Conversion'!E43+'Electricity-Conversion'!E54+'Electricity-Conversion'!E65+'Electricity-Conversion'!E76+'Electricity-Conversion'!E87+'Electricity-Conversion'!E98+'Electricity-Conversion'!E109+'Electricity-Conversion'!E120+'Electricity-Conversion'!E131+'Electricity-Conversion'!E142+'Electricity-Conversion'!E153+'Electricity-Conversion'!E164+'Electricity-Conversion'!E176</f>
        <v>11769913.393915644</v>
      </c>
      <c r="F5" s="4">
        <f>'Electricity-Conversion'!F10+'Electricity-Conversion'!F21+'Electricity-Conversion'!F32+'Electricity-Conversion'!F43+'Electricity-Conversion'!F54+'Electricity-Conversion'!F65+'Electricity-Conversion'!F76+'Electricity-Conversion'!F87+'Electricity-Conversion'!F98+'Electricity-Conversion'!F109+'Electricity-Conversion'!F120+'Electricity-Conversion'!F131+'Electricity-Conversion'!F142+'Electricity-Conversion'!F153+'Electricity-Conversion'!F164+'Electricity-Conversion'!F176</f>
        <v>12080569.639695352</v>
      </c>
      <c r="G5" s="4">
        <f>'Electricity-Conversion'!G10+'Electricity-Conversion'!G21+'Electricity-Conversion'!G32+'Electricity-Conversion'!G43+'Electricity-Conversion'!G54+'Electricity-Conversion'!G65+'Electricity-Conversion'!G76+'Electricity-Conversion'!G87+'Electricity-Conversion'!G98+'Electricity-Conversion'!G109+'Electricity-Conversion'!G120+'Electricity-Conversion'!G131+'Electricity-Conversion'!G142+'Electricity-Conversion'!G153+'Electricity-Conversion'!G164+'Electricity-Conversion'!G176</f>
        <v>12404817.457372576</v>
      </c>
      <c r="H5" s="4">
        <f>'Electricity-Conversion'!H10+'Electricity-Conversion'!H21+'Electricity-Conversion'!H32+'Electricity-Conversion'!H43+'Electricity-Conversion'!H54+'Electricity-Conversion'!H65+'Electricity-Conversion'!H76+'Electricity-Conversion'!H87+'Electricity-Conversion'!H98+'Electricity-Conversion'!H109+'Electricity-Conversion'!H120+'Electricity-Conversion'!H131+'Electricity-Conversion'!H142+'Electricity-Conversion'!H153+'Electricity-Conversion'!H164+'Electricity-Conversion'!H176</f>
        <v>12743465.727425588</v>
      </c>
      <c r="I5" s="4">
        <f>'Electricity-Conversion'!I10+'Electricity-Conversion'!I21+'Electricity-Conversion'!I32+'Electricity-Conversion'!I43+'Electricity-Conversion'!I54+'Electricity-Conversion'!I65+'Electricity-Conversion'!I76+'Electricity-Conversion'!I87+'Electricity-Conversion'!I98+'Electricity-Conversion'!I109+'Electricity-Conversion'!I120+'Electricity-Conversion'!I131+'Electricity-Conversion'!I142+'Electricity-Conversion'!I153+'Electricity-Conversion'!I164+'Electricity-Conversion'!I176</f>
        <v>13097373.351572534</v>
      </c>
      <c r="J5" s="4">
        <f>'Electricity-Conversion'!J10+'Electricity-Conversion'!J21+'Electricity-Conversion'!J32+'Electricity-Conversion'!J43+'Electricity-Conversion'!J54+'Electricity-Conversion'!J65+'Electricity-Conversion'!J76+'Electricity-Conversion'!J87+'Electricity-Conversion'!J98+'Electricity-Conversion'!J109+'Electricity-Conversion'!J120+'Electricity-Conversion'!J131+'Electricity-Conversion'!J142+'Electricity-Conversion'!J153+'Electricity-Conversion'!J164+'Electricity-Conversion'!J176</f>
        <v>13467452.378886869</v>
      </c>
      <c r="K5" s="4">
        <f>'Electricity-Conversion'!K10+'Electricity-Conversion'!K21+'Electricity-Conversion'!K32+'Electricity-Conversion'!K43+'Electricity-Conversion'!K54+'Electricity-Conversion'!K65+'Electricity-Conversion'!K76+'Electricity-Conversion'!K87+'Electricity-Conversion'!K98+'Electricity-Conversion'!K109+'Electricity-Conversion'!K120+'Electricity-Conversion'!K131+'Electricity-Conversion'!K142+'Electricity-Conversion'!K153+'Electricity-Conversion'!K164+'Electricity-Conversion'!K176</f>
        <v>13843085.224855248</v>
      </c>
      <c r="L5" s="4">
        <f>'Electricity-Conversion'!L10+'Electricity-Conversion'!L21+'Electricity-Conversion'!L32+'Electricity-Conversion'!L43+'Electricity-Conversion'!L54+'Electricity-Conversion'!L65+'Electricity-Conversion'!L76+'Electricity-Conversion'!L87+'Electricity-Conversion'!L98+'Electricity-Conversion'!L109+'Electricity-Conversion'!L120+'Electricity-Conversion'!L131+'Electricity-Conversion'!L142+'Electricity-Conversion'!L153+'Electricity-Conversion'!L164+'Electricity-Conversion'!L176</f>
        <v>14236830.673791802</v>
      </c>
      <c r="M5" s="4">
        <f>'Electricity-Conversion'!M10+'Electricity-Conversion'!M21+'Electricity-Conversion'!M32+'Electricity-Conversion'!M43+'Electricity-Conversion'!M54+'Electricity-Conversion'!M65+'Electricity-Conversion'!M76+'Electricity-Conversion'!M87+'Electricity-Conversion'!M98+'Electricity-Conversion'!M109+'Electricity-Conversion'!M120+'Electricity-Conversion'!M131+'Electricity-Conversion'!M142+'Electricity-Conversion'!M153+'Electricity-Conversion'!M164+'Electricity-Conversion'!M176</f>
        <v>14649781.007911414</v>
      </c>
      <c r="N5" s="4">
        <f>'Electricity-Conversion'!N10+'Electricity-Conversion'!N21+'Electricity-Conversion'!N32+'Electricity-Conversion'!N43+'Electricity-Conversion'!N54+'Electricity-Conversion'!N65+'Electricity-Conversion'!N76+'Electricity-Conversion'!N87+'Electricity-Conversion'!N98+'Electricity-Conversion'!N109+'Electricity-Conversion'!N120+'Electricity-Conversion'!N131+'Electricity-Conversion'!N142+'Electricity-Conversion'!N153+'Electricity-Conversion'!N164+'Electricity-Conversion'!N176</f>
        <v>15083096.261465739</v>
      </c>
      <c r="O5" s="4">
        <f>'Electricity-Conversion'!O10+'Electricity-Conversion'!O21+'Electricity-Conversion'!O32+'Electricity-Conversion'!O43+'Electricity-Conversion'!O54+'Electricity-Conversion'!O65+'Electricity-Conversion'!O76+'Electricity-Conversion'!O87+'Electricity-Conversion'!O98+'Electricity-Conversion'!O109+'Electricity-Conversion'!O120+'Electricity-Conversion'!O131+'Electricity-Conversion'!O142+'Electricity-Conversion'!O153+'Electricity-Conversion'!O164+'Electricity-Conversion'!O176</f>
        <v>15538008.46578685</v>
      </c>
      <c r="P5" s="4">
        <f>'Electricity-Conversion'!P10+'Electricity-Conversion'!P21+'Electricity-Conversion'!P32+'Electricity-Conversion'!P43+'Electricity-Conversion'!P54+'Electricity-Conversion'!P65+'Electricity-Conversion'!P76+'Electricity-Conversion'!P87+'Electricity-Conversion'!P98+'Electricity-Conversion'!P109+'Electricity-Conversion'!P120+'Electricity-Conversion'!P131+'Electricity-Conversion'!P142+'Electricity-Conversion'!P153+'Electricity-Conversion'!P164+'Electricity-Conversion'!P176</f>
        <v>16003964.897834763</v>
      </c>
      <c r="Q5" s="4">
        <f>'Electricity-Conversion'!Q10+'Electricity-Conversion'!Q21+'Electricity-Conversion'!Q32+'Electricity-Conversion'!Q43+'Electricity-Conversion'!Q54+'Electricity-Conversion'!Q65+'Electricity-Conversion'!Q76+'Electricity-Conversion'!Q87+'Electricity-Conversion'!Q98+'Electricity-Conversion'!Q109+'Electricity-Conversion'!Q120+'Electricity-Conversion'!Q131+'Electricity-Conversion'!Q142+'Electricity-Conversion'!Q153+'Electricity-Conversion'!Q164+'Electricity-Conversion'!Q176</f>
        <v>16494160.184403829</v>
      </c>
      <c r="R5" s="4">
        <f>'Electricity-Conversion'!R10+'Electricity-Conversion'!R21+'Electricity-Conversion'!R32+'Electricity-Conversion'!R43+'Electricity-Conversion'!R54+'Electricity-Conversion'!R65+'Electricity-Conversion'!R76+'Electricity-Conversion'!R87+'Electricity-Conversion'!R98+'Electricity-Conversion'!R109+'Electricity-Conversion'!R120+'Electricity-Conversion'!R131+'Electricity-Conversion'!R142+'Electricity-Conversion'!R153+'Electricity-Conversion'!R164+'Electricity-Conversion'!R176</f>
        <v>17010070.586863484</v>
      </c>
      <c r="S5" s="4">
        <f>'Electricity-Conversion'!S10+'Electricity-Conversion'!S21+'Electricity-Conversion'!S32+'Electricity-Conversion'!S43+'Electricity-Conversion'!S54+'Electricity-Conversion'!S65+'Electricity-Conversion'!S76+'Electricity-Conversion'!S87+'Electricity-Conversion'!S98+'Electricity-Conversion'!S109+'Electricity-Conversion'!S120+'Electricity-Conversion'!S131+'Electricity-Conversion'!S142+'Electricity-Conversion'!S153+'Electricity-Conversion'!S164+'Electricity-Conversion'!S176</f>
        <v>17553264.202122919</v>
      </c>
      <c r="T5" s="4">
        <f>'Electricity-Conversion'!T10+'Electricity-Conversion'!T21+'Electricity-Conversion'!T32+'Electricity-Conversion'!T43+'Electricity-Conversion'!T54+'Electricity-Conversion'!T65+'Electricity-Conversion'!T76+'Electricity-Conversion'!T87+'Electricity-Conversion'!T98+'Electricity-Conversion'!T109+'Electricity-Conversion'!T120+'Electricity-Conversion'!T131+'Electricity-Conversion'!T142+'Electricity-Conversion'!T153+'Electricity-Conversion'!T164+'Electricity-Conversion'!T176</f>
        <v>18125406.730637915</v>
      </c>
      <c r="U5" s="4">
        <f>'Electricity-Conversion'!U10+'Electricity-Conversion'!U21+'Electricity-Conversion'!U32+'Electricity-Conversion'!U43+'Electricity-Conversion'!U54+'Electricity-Conversion'!U65+'Electricity-Conversion'!U76+'Electricity-Conversion'!U87+'Electricity-Conversion'!U98+'Electricity-Conversion'!U109+'Electricity-Conversion'!U120+'Electricity-Conversion'!U131+'Electricity-Conversion'!U142+'Electricity-Conversion'!U153+'Electricity-Conversion'!U164+'Electricity-Conversion'!U176</f>
        <v>18716528.585921366</v>
      </c>
      <c r="V5" s="4">
        <f>'Electricity-Conversion'!V10+'Electricity-Conversion'!V21+'Electricity-Conversion'!V32+'Electricity-Conversion'!V43+'Electricity-Conversion'!V54+'Electricity-Conversion'!V65+'Electricity-Conversion'!V76+'Electricity-Conversion'!V87+'Electricity-Conversion'!V98+'Electricity-Conversion'!V109+'Electricity-Conversion'!V120+'Electricity-Conversion'!V131+'Electricity-Conversion'!V142+'Electricity-Conversion'!V153+'Electricity-Conversion'!V164+'Electricity-Conversion'!V176</f>
        <v>19340193.238645088</v>
      </c>
      <c r="W5" s="4">
        <f>'Electricity-Conversion'!W10+'Electricity-Conversion'!W21+'Electricity-Conversion'!W32+'Electricity-Conversion'!W43+'Electricity-Conversion'!W54+'Electricity-Conversion'!W65+'Electricity-Conversion'!W76+'Electricity-Conversion'!W87+'Electricity-Conversion'!W98+'Electricity-Conversion'!W109+'Electricity-Conversion'!W120+'Electricity-Conversion'!W131+'Electricity-Conversion'!W142+'Electricity-Conversion'!W153+'Electricity-Conversion'!W164+'Electricity-Conversion'!W176</f>
        <v>19998397.577443905</v>
      </c>
      <c r="X5" s="4">
        <f>'Electricity-Conversion'!X10+'Electricity-Conversion'!X21+'Electricity-Conversion'!X32+'Electricity-Conversion'!X43+'Electricity-Conversion'!X54+'Electricity-Conversion'!X65+'Electricity-Conversion'!X76+'Electricity-Conversion'!X87+'Electricity-Conversion'!X98+'Electricity-Conversion'!X109+'Electricity-Conversion'!X120+'Electricity-Conversion'!X131+'Electricity-Conversion'!X142+'Electricity-Conversion'!X153+'Electricity-Conversion'!X164+'Electricity-Conversion'!X176</f>
        <v>20693263.058424495</v>
      </c>
      <c r="Y5" s="4">
        <f>'Electricity-Conversion'!Y10+'Electricity-Conversion'!Y21+'Electricity-Conversion'!Y32+'Electricity-Conversion'!Y43+'Electricity-Conversion'!Y54+'Electricity-Conversion'!Y65+'Electricity-Conversion'!Y76+'Electricity-Conversion'!Y87+'Electricity-Conversion'!Y98+'Electricity-Conversion'!Y109+'Electricity-Conversion'!Y120+'Electricity-Conversion'!Y131+'Electricity-Conversion'!Y142+'Electricity-Conversion'!Y153+'Electricity-Conversion'!Y164+'Electricity-Conversion'!Y176</f>
        <v>21427043.547078911</v>
      </c>
      <c r="Z5" s="4">
        <f>'Electricity-Conversion'!Z10+'Electricity-Conversion'!Z21+'Electricity-Conversion'!Z32+'Electricity-Conversion'!Z43+'Electricity-Conversion'!Z54+'Electricity-Conversion'!Z65+'Electricity-Conversion'!Z76+'Electricity-Conversion'!Z87+'Electricity-Conversion'!Z98+'Electricity-Conversion'!Z109+'Electricity-Conversion'!Z120+'Electricity-Conversion'!Z131+'Electricity-Conversion'!Z142+'Electricity-Conversion'!Z153+'Electricity-Conversion'!Z164+'Electricity-Conversion'!Z176</f>
        <v>22190737.965541691</v>
      </c>
      <c r="AA5" s="4">
        <f>'Electricity-Conversion'!AA10+'Electricity-Conversion'!AA21+'Electricity-Conversion'!AA32+'Electricity-Conversion'!AA43+'Electricity-Conversion'!AA54+'Electricity-Conversion'!AA65+'Electricity-Conversion'!AA76+'Electricity-Conversion'!AA87+'Electricity-Conversion'!AA98+'Electricity-Conversion'!AA109+'Electricity-Conversion'!AA120+'Electricity-Conversion'!AA131+'Electricity-Conversion'!AA142+'Electricity-Conversion'!AA153+'Electricity-Conversion'!AA164+'Electricity-Conversion'!AA176</f>
        <v>22998233.228291646</v>
      </c>
      <c r="AB5" s="4">
        <f>'Electricity-Conversion'!AB10+'Electricity-Conversion'!AB21+'Electricity-Conversion'!AB32+'Electricity-Conversion'!AB43+'Electricity-Conversion'!AB54+'Electricity-Conversion'!AB65+'Electricity-Conversion'!AB76+'Electricity-Conversion'!AB87+'Electricity-Conversion'!AB98+'Electricity-Conversion'!AB109+'Electricity-Conversion'!AB120+'Electricity-Conversion'!AB131+'Electricity-Conversion'!AB142+'Electricity-Conversion'!AB153+'Electricity-Conversion'!AB164+'Electricity-Conversion'!AB176</f>
        <v>23852232.615236707</v>
      </c>
      <c r="AC5" s="4">
        <f>'Electricity-Conversion'!AC10+'Electricity-Conversion'!AC21+'Electricity-Conversion'!AC32+'Electricity-Conversion'!AC43+'Electricity-Conversion'!AC54+'Electricity-Conversion'!AC65+'Electricity-Conversion'!AC76+'Electricity-Conversion'!AC87+'Electricity-Conversion'!AC98+'Electricity-Conversion'!AC109+'Electricity-Conversion'!AC120+'Electricity-Conversion'!AC131+'Electricity-Conversion'!AC142+'Electricity-Conversion'!AC153+'Electricity-Conversion'!AC164+'Electricity-Conversion'!AC176</f>
        <v>24755608.485091403</v>
      </c>
      <c r="AD5" s="4">
        <f>'Electricity-Conversion'!AD10+'Electricity-Conversion'!AD21+'Electricity-Conversion'!AD32+'Electricity-Conversion'!AD43+'Electricity-Conversion'!AD54+'Electricity-Conversion'!AD65+'Electricity-Conversion'!AD76+'Electricity-Conversion'!AD87+'Electricity-Conversion'!AD98+'Electricity-Conversion'!AD109+'Electricity-Conversion'!AD120+'Electricity-Conversion'!AD131+'Electricity-Conversion'!AD142+'Electricity-Conversion'!AD153+'Electricity-Conversion'!AD164+'Electricity-Conversion'!AD176</f>
        <v>25711412.942754716</v>
      </c>
      <c r="AE5" s="4">
        <f>'Electricity-Conversion'!AE10+'Electricity-Conversion'!AE21+'Electricity-Conversion'!AE32+'Electricity-Conversion'!AE43+'Electricity-Conversion'!AE54+'Electricity-Conversion'!AE65+'Electricity-Conversion'!AE76+'Electricity-Conversion'!AE87+'Electricity-Conversion'!AE98+'Electricity-Conversion'!AE109+'Electricity-Conversion'!AE120+'Electricity-Conversion'!AE131+'Electricity-Conversion'!AE142+'Electricity-Conversion'!AE153+'Electricity-Conversion'!AE164+'Electricity-Conversion'!AE176</f>
        <v>26694995.442329846</v>
      </c>
      <c r="AF5" s="4">
        <f>'Electricity-Conversion'!AF10+'Electricity-Conversion'!AF21+'Electricity-Conversion'!AF32+'Electricity-Conversion'!AF43+'Electricity-Conversion'!AF54+'Electricity-Conversion'!AF65+'Electricity-Conversion'!AF76+'Electricity-Conversion'!AF87+'Electricity-Conversion'!AF98+'Electricity-Conversion'!AF109+'Electricity-Conversion'!AF120+'Electricity-Conversion'!AF131+'Electricity-Conversion'!AF142+'Electricity-Conversion'!AF153+'Electricity-Conversion'!AF164+'Electricity-Conversion'!AF176</f>
        <v>27737567.819266148</v>
      </c>
      <c r="AG5" s="4">
        <f>'Electricity-Conversion'!AG10+'Electricity-Conversion'!AG21+'Electricity-Conversion'!AG32+'Electricity-Conversion'!AG43+'Electricity-Conversion'!AG54+'Electricity-Conversion'!AG65+'Electricity-Conversion'!AG76+'Electricity-Conversion'!AG87+'Electricity-Conversion'!AG98+'Electricity-Conversion'!AG109+'Electricity-Conversion'!AG120+'Electricity-Conversion'!AG131+'Electricity-Conversion'!AG142+'Electricity-Conversion'!AG153+'Electricity-Conversion'!AG164+'Electricity-Conversion'!AG176</f>
        <v>28842792.418942213</v>
      </c>
      <c r="AH5" s="4">
        <f>'Electricity-Conversion'!AH10+'Electricity-Conversion'!AH21+'Electricity-Conversion'!AH32+'Electricity-Conversion'!AH43+'Electricity-Conversion'!AH54+'Electricity-Conversion'!AH65+'Electricity-Conversion'!AH76+'Electricity-Conversion'!AH87+'Electricity-Conversion'!AH98+'Electricity-Conversion'!AH109+'Electricity-Conversion'!AH120+'Electricity-Conversion'!AH131+'Electricity-Conversion'!AH142+'Electricity-Conversion'!AH153+'Electricity-Conversion'!AH164+'Electricity-Conversion'!AH176</f>
        <v>30014561.227993481</v>
      </c>
      <c r="AI5" s="4">
        <f>'Electricity-Conversion'!AI10+'Electricity-Conversion'!AI21+'Electricity-Conversion'!AI32+'Electricity-Conversion'!AI43+'Electricity-Conversion'!AI54+'Electricity-Conversion'!AI65+'Electricity-Conversion'!AI76+'Electricity-Conversion'!AI87+'Electricity-Conversion'!AI98+'Electricity-Conversion'!AI109+'Electricity-Conversion'!AI120+'Electricity-Conversion'!AI131+'Electricity-Conversion'!AI142+'Electricity-Conversion'!AI153+'Electricity-Conversion'!AI164+'Electricity-Conversion'!AI176</f>
        <v>31257010.392745823</v>
      </c>
      <c r="AJ5" s="4">
        <f>'Electricity-Conversion'!AJ10+'Electricity-Conversion'!AJ21+'Electricity-Conversion'!AJ32+'Electricity-Conversion'!AJ43+'Electricity-Conversion'!AJ54+'Electricity-Conversion'!AJ65+'Electricity-Conversion'!AJ76+'Electricity-Conversion'!AJ87+'Electricity-Conversion'!AJ98+'Electricity-Conversion'!AJ109+'Electricity-Conversion'!AJ120+'Electricity-Conversion'!AJ131+'Electricity-Conversion'!AJ142+'Electricity-Conversion'!AJ153+'Electricity-Conversion'!AJ164+'Electricity-Conversion'!AJ176</f>
        <v>32574535.661738403</v>
      </c>
      <c r="AK5" s="4">
        <f>'Electricity-Conversion'!AK10+'Electricity-Conversion'!AK21+'Electricity-Conversion'!AK32+'Electricity-Conversion'!AK43+'Electricity-Conversion'!AK54+'Electricity-Conversion'!AK65+'Electricity-Conversion'!AK76+'Electricity-Conversion'!AK87+'Electricity-Conversion'!AK98+'Electricity-Conversion'!AK109+'Electricity-Conversion'!AK120+'Electricity-Conversion'!AK131+'Electricity-Conversion'!AK142+'Electricity-Conversion'!AK153+'Electricity-Conversion'!AK164+'Electricity-Conversion'!AK176</f>
        <v>33971808.811473578</v>
      </c>
      <c r="AL5" s="4">
        <f>'Electricity-Conversion'!AL10+'Electricity-Conversion'!AL21+'Electricity-Conversion'!AL32+'Electricity-Conversion'!AL43+'Electricity-Conversion'!AL54+'Electricity-Conversion'!AL65+'Electricity-Conversion'!AL76+'Electricity-Conversion'!AL87+'Electricity-Conversion'!AL98+'Electricity-Conversion'!AL109+'Electricity-Conversion'!AL120+'Electricity-Conversion'!AL131+'Electricity-Conversion'!AL142+'Electricity-Conversion'!AL153+'Electricity-Conversion'!AL164+'Electricity-Conversion'!AL176</f>
        <v>35453795.118332669</v>
      </c>
      <c r="AM5" s="4">
        <f>'Electricity-Conversion'!AM10+'Electricity-Conversion'!AM21+'Electricity-Conversion'!AM32+'Electricity-Conversion'!AM43+'Electricity-Conversion'!AM54+'Electricity-Conversion'!AM65+'Electricity-Conversion'!AM76+'Electricity-Conversion'!AM87+'Electricity-Conversion'!AM98+'Electricity-Conversion'!AM109+'Electricity-Conversion'!AM120+'Electricity-Conversion'!AM131+'Electricity-Conversion'!AM142+'Electricity-Conversion'!AM153+'Electricity-Conversion'!AM164+'Electricity-Conversion'!AM176</f>
        <v>37025771.943642527</v>
      </c>
      <c r="AN5" s="4">
        <f>'Electricity-Conversion'!AN10+'Electricity-Conversion'!AN21+'Electricity-Conversion'!AN32+'Electricity-Conversion'!AN43+'Electricity-Conversion'!AN54+'Electricity-Conversion'!AN65+'Electricity-Conversion'!AN76+'Electricity-Conversion'!AN87+'Electricity-Conversion'!AN98+'Electricity-Conversion'!AN109+'Electricity-Conversion'!AN120+'Electricity-Conversion'!AN131+'Electricity-Conversion'!AN142+'Electricity-Conversion'!AN153+'Electricity-Conversion'!AN164+'Electricity-Conversion'!AN176</f>
        <v>38693348.503184788</v>
      </c>
    </row>
    <row r="7" spans="1:40" s="3" customFormat="1" x14ac:dyDescent="0.2"/>
    <row r="8" spans="1:40" s="3" customFormat="1" x14ac:dyDescent="0.2">
      <c r="I8" s="29"/>
    </row>
    <row r="9" spans="1:40" x14ac:dyDescent="0.2">
      <c r="I9" s="22"/>
    </row>
    <row r="10" spans="1:40" x14ac:dyDescent="0.2">
      <c r="I10" s="22"/>
    </row>
    <row r="11" spans="1:40" x14ac:dyDescent="0.2">
      <c r="I11" s="22"/>
    </row>
    <row r="12" spans="1:40" x14ac:dyDescent="0.2">
      <c r="I12" s="22"/>
    </row>
    <row r="13" spans="1:40" x14ac:dyDescent="0.2">
      <c r="I13" s="22"/>
    </row>
    <row r="14" spans="1:40" x14ac:dyDescent="0.2">
      <c r="A14" s="3" t="s">
        <v>11</v>
      </c>
      <c r="B14" s="3" t="s">
        <v>34</v>
      </c>
      <c r="C14" s="3" t="s">
        <v>138</v>
      </c>
      <c r="D14" s="3" t="s">
        <v>142</v>
      </c>
      <c r="E14" s="3" t="s">
        <v>139</v>
      </c>
      <c r="F14" s="3" t="s">
        <v>141</v>
      </c>
      <c r="G14" s="3" t="s">
        <v>140</v>
      </c>
      <c r="H14" s="3" t="s">
        <v>37</v>
      </c>
      <c r="I14" s="3" t="s">
        <v>143</v>
      </c>
    </row>
    <row r="15" spans="1:40" x14ac:dyDescent="0.2">
      <c r="A15" s="30">
        <v>2019</v>
      </c>
      <c r="B15" s="29"/>
      <c r="C15" s="14">
        <f>_xlfn.FORECAST.LINEAR(A15,B$16:B$30,A$16:A$30)</f>
        <v>144836736.6304388</v>
      </c>
      <c r="D15" s="29"/>
      <c r="E15" s="14">
        <f>_xlfn.FORECAST.LINEAR(A15,D$16:D$25,A$16:A$25)</f>
        <v>57565943.358953953</v>
      </c>
      <c r="F15" s="29"/>
      <c r="G15" s="14">
        <f>_xlfn.FORECAST.LINEAR(A15,F$16:F$30,A$16:A$30)</f>
        <v>14706886.96398735</v>
      </c>
      <c r="H15" s="29"/>
      <c r="I15" s="14">
        <f>_xlfn.FORECAST.LINEAR(A15,H$16:H$30,A$16:A$30)</f>
        <v>9769869.5425009727</v>
      </c>
    </row>
    <row r="16" spans="1:40" x14ac:dyDescent="0.2">
      <c r="A16" s="30">
        <v>2020</v>
      </c>
      <c r="B16" s="22"/>
      <c r="C16" s="14">
        <f t="shared" ref="C16:C17" si="0">_xlfn.FORECAST.LINEAR(A16,B$16:B$30,A$16:A$30)</f>
        <v>149134667.62723064</v>
      </c>
      <c r="D16" s="22"/>
      <c r="E16" s="14">
        <f t="shared" ref="E16:E17" si="1">_xlfn.FORECAST.LINEAR(A16,D$16:D$25,A$16:A$25)</f>
        <v>58997872.514972687</v>
      </c>
      <c r="F16" s="22"/>
      <c r="G16" s="14">
        <f t="shared" ref="G16:G17" si="2">_xlfn.FORECAST.LINEAR(A16,F$16:F$30,A$16:A$30)</f>
        <v>15128791.311239362</v>
      </c>
      <c r="H16" s="22"/>
      <c r="I16" s="14">
        <f t="shared" ref="I16:I17" si="3">_xlfn.FORECAST.LINEAR(A16,H$16:H$30,A$16:A$30)</f>
        <v>10112513.978792667</v>
      </c>
    </row>
    <row r="17" spans="1:9" x14ac:dyDescent="0.2">
      <c r="A17" s="30">
        <v>2021</v>
      </c>
      <c r="B17" s="22"/>
      <c r="C17" s="14">
        <f t="shared" si="0"/>
        <v>153432598.62402439</v>
      </c>
      <c r="D17" s="22"/>
      <c r="E17" s="14">
        <f t="shared" si="1"/>
        <v>60429801.670991421</v>
      </c>
      <c r="F17" s="22"/>
      <c r="G17" s="14">
        <f t="shared" si="2"/>
        <v>15550695.658491373</v>
      </c>
      <c r="H17" s="22"/>
      <c r="I17" s="14">
        <f t="shared" si="3"/>
        <v>10455158.415084362</v>
      </c>
    </row>
    <row r="18" spans="1:9" x14ac:dyDescent="0.2">
      <c r="A18" s="8">
        <v>2022</v>
      </c>
      <c r="B18" s="22" cm="1">
        <f t="array" ref="B18:B56">TRANSPOSE(B2:AN2)</f>
        <v>159102139.4930867</v>
      </c>
      <c r="C18" s="4"/>
      <c r="D18" s="22" cm="1">
        <f t="array" ref="D18:D56">TRANSPOSE(B3:AN3)</f>
        <v>61859330.596910387</v>
      </c>
      <c r="E18" s="4"/>
      <c r="F18" s="22" cm="1">
        <f t="array" ref="F18:F56">TRANSPOSE(B4:AN4)</f>
        <v>16096471.430582318</v>
      </c>
      <c r="G18" s="4"/>
      <c r="H18" s="22" cm="1">
        <f t="array" ref="H18:H56">TRANSPOSE(B5:AN5)</f>
        <v>10929408.023246268</v>
      </c>
      <c r="I18" s="4"/>
    </row>
    <row r="19" spans="1:9" x14ac:dyDescent="0.2">
      <c r="A19" s="8">
        <v>2023</v>
      </c>
      <c r="B19" s="22">
        <v>163772768.74577987</v>
      </c>
      <c r="C19" s="4"/>
      <c r="D19" s="22">
        <v>63624672.370186687</v>
      </c>
      <c r="E19" s="4"/>
      <c r="F19" s="22">
        <v>16568464.566705395</v>
      </c>
      <c r="G19" s="4"/>
      <c r="H19" s="22">
        <v>11275266.790357228</v>
      </c>
      <c r="I19" s="4"/>
    </row>
    <row r="20" spans="1:9" x14ac:dyDescent="0.2">
      <c r="A20" s="8">
        <v>2024</v>
      </c>
      <c r="B20" s="22">
        <v>166762193.85117382</v>
      </c>
      <c r="C20" s="4"/>
      <c r="D20" s="22">
        <v>64730020.370154157</v>
      </c>
      <c r="E20" s="4"/>
      <c r="F20" s="22">
        <v>16860772.3408003</v>
      </c>
      <c r="G20" s="4"/>
      <c r="H20" s="22">
        <v>11516643.168142494</v>
      </c>
      <c r="I20" s="4"/>
    </row>
    <row r="21" spans="1:9" x14ac:dyDescent="0.2">
      <c r="A21" s="8">
        <v>2025</v>
      </c>
      <c r="B21" s="22">
        <v>169886758.08859712</v>
      </c>
      <c r="C21" s="4"/>
      <c r="D21" s="22">
        <v>65883469.835670039</v>
      </c>
      <c r="E21" s="4"/>
      <c r="F21" s="22">
        <v>17165998.473389722</v>
      </c>
      <c r="G21" s="4"/>
      <c r="H21" s="22">
        <v>11769913.393915644</v>
      </c>
      <c r="I21" s="4"/>
    </row>
    <row r="22" spans="1:9" x14ac:dyDescent="0.2">
      <c r="A22" s="8">
        <v>2026</v>
      </c>
      <c r="B22" s="22">
        <v>173852309.33454451</v>
      </c>
      <c r="C22" s="4"/>
      <c r="D22" s="22">
        <v>67362437.471600503</v>
      </c>
      <c r="E22" s="4"/>
      <c r="F22" s="22">
        <v>17556717.41482833</v>
      </c>
      <c r="G22" s="4"/>
      <c r="H22" s="22">
        <v>12080569.639695352</v>
      </c>
      <c r="I22" s="4"/>
    </row>
    <row r="23" spans="1:9" x14ac:dyDescent="0.2">
      <c r="A23" s="8">
        <v>2027</v>
      </c>
      <c r="B23" s="22">
        <v>177972724.53286514</v>
      </c>
      <c r="C23" s="4"/>
      <c r="D23" s="22">
        <v>68896520.073184237</v>
      </c>
      <c r="E23" s="4"/>
      <c r="F23" s="22">
        <v>17962268.362160604</v>
      </c>
      <c r="G23" s="4"/>
      <c r="H23" s="22">
        <v>12404817.457372576</v>
      </c>
      <c r="I23" s="4"/>
    </row>
    <row r="24" spans="1:9" x14ac:dyDescent="0.2">
      <c r="A24" s="8">
        <v>2028</v>
      </c>
      <c r="B24" s="22">
        <v>182256904.94045204</v>
      </c>
      <c r="C24" s="4"/>
      <c r="D24" s="22">
        <v>70488813.739233106</v>
      </c>
      <c r="E24" s="4"/>
      <c r="F24" s="22">
        <v>18383497.783023376</v>
      </c>
      <c r="G24" s="4"/>
      <c r="H24" s="22">
        <v>12743465.727425588</v>
      </c>
      <c r="I24" s="4"/>
    </row>
    <row r="25" spans="1:9" x14ac:dyDescent="0.2">
      <c r="A25" s="8">
        <v>2029</v>
      </c>
      <c r="B25" s="22">
        <v>186714290.25489843</v>
      </c>
      <c r="C25" s="4"/>
      <c r="D25" s="22">
        <v>72142598.527671725</v>
      </c>
      <c r="E25" s="4"/>
      <c r="F25" s="22">
        <v>18821303.200602815</v>
      </c>
      <c r="G25" s="4"/>
      <c r="H25" s="22">
        <v>13097373.351572534</v>
      </c>
      <c r="I25" s="4"/>
    </row>
    <row r="26" spans="1:9" x14ac:dyDescent="0.2">
      <c r="A26" s="8">
        <v>2030</v>
      </c>
      <c r="B26" s="22">
        <v>191354891.63080388</v>
      </c>
      <c r="C26" s="4"/>
      <c r="D26" s="22">
        <v>73861349.556229204</v>
      </c>
      <c r="E26" s="4"/>
      <c r="F26" s="22">
        <v>19276636.316313572</v>
      </c>
      <c r="G26" s="4"/>
      <c r="H26" s="22">
        <v>13467452.378886869</v>
      </c>
      <c r="I26" s="4"/>
    </row>
    <row r="27" spans="1:9" x14ac:dyDescent="0.2">
      <c r="A27" s="8">
        <v>2031</v>
      </c>
      <c r="B27" s="22">
        <v>196008720.13835302</v>
      </c>
      <c r="C27" s="4"/>
      <c r="D27" s="22">
        <v>75577682.196189016</v>
      </c>
      <c r="E27" s="4"/>
      <c r="F27" s="22">
        <v>19731913.873307176</v>
      </c>
      <c r="G27" s="4"/>
      <c r="H27" s="22">
        <v>13843085.224855248</v>
      </c>
      <c r="I27" s="4"/>
    </row>
    <row r="28" spans="1:9" x14ac:dyDescent="0.2">
      <c r="A28" s="8">
        <v>2032</v>
      </c>
      <c r="B28" s="22">
        <v>200866770.76806307</v>
      </c>
      <c r="C28" s="4"/>
      <c r="D28" s="22">
        <v>77366223.826629236</v>
      </c>
      <c r="E28" s="4"/>
      <c r="F28" s="22">
        <v>20206705.917924028</v>
      </c>
      <c r="G28" s="4"/>
      <c r="H28" s="22">
        <v>14236830.673791802</v>
      </c>
      <c r="I28" s="4"/>
    </row>
    <row r="29" spans="1:9" x14ac:dyDescent="0.2">
      <c r="A29" s="8">
        <v>2033</v>
      </c>
      <c r="B29" s="22">
        <v>205940988.27898824</v>
      </c>
      <c r="C29" s="4"/>
      <c r="D29" s="22">
        <v>79231108.353962392</v>
      </c>
      <c r="E29" s="4"/>
      <c r="F29" s="22">
        <v>20702147.416855238</v>
      </c>
      <c r="G29" s="4"/>
      <c r="H29" s="22">
        <v>14649781.007911414</v>
      </c>
      <c r="I29" s="4"/>
    </row>
    <row r="30" spans="1:9" x14ac:dyDescent="0.2">
      <c r="A30" s="8">
        <v>2034</v>
      </c>
      <c r="B30" s="22">
        <v>211244042.76291406</v>
      </c>
      <c r="C30" s="4"/>
      <c r="D30" s="22">
        <v>81176716.373314098</v>
      </c>
      <c r="E30" s="4"/>
      <c r="F30" s="22">
        <v>21219442.063823719</v>
      </c>
      <c r="G30" s="4"/>
      <c r="H30" s="22">
        <v>15083096.261465739</v>
      </c>
      <c r="I30" s="4"/>
    </row>
    <row r="31" spans="1:9" x14ac:dyDescent="0.2">
      <c r="A31" s="8">
        <v>2035</v>
      </c>
      <c r="B31" s="22">
        <v>216789374.27105159</v>
      </c>
      <c r="C31" s="4"/>
      <c r="D31" s="22">
        <v>83207690.113112405</v>
      </c>
      <c r="E31" s="4"/>
      <c r="F31" s="22">
        <v>21759866.497720957</v>
      </c>
      <c r="G31" s="4"/>
      <c r="H31" s="22">
        <v>15538008.46578685</v>
      </c>
      <c r="I31" s="4"/>
    </row>
    <row r="32" spans="1:9" x14ac:dyDescent="0.2">
      <c r="A32" s="8">
        <v>2036</v>
      </c>
      <c r="B32" s="22">
        <v>222406337.86396566</v>
      </c>
      <c r="C32" s="4"/>
      <c r="D32" s="22">
        <v>85256200.052023083</v>
      </c>
      <c r="E32" s="4"/>
      <c r="F32" s="22">
        <v>22305733.174501266</v>
      </c>
      <c r="G32" s="4"/>
      <c r="H32" s="22">
        <v>16003964.897834763</v>
      </c>
      <c r="I32" s="4"/>
    </row>
    <row r="33" spans="1:9" x14ac:dyDescent="0.2">
      <c r="A33" s="8">
        <v>2037</v>
      </c>
      <c r="B33" s="22">
        <v>228294077.87904438</v>
      </c>
      <c r="C33" s="4"/>
      <c r="D33" s="22">
        <v>87399865.049615264</v>
      </c>
      <c r="E33" s="4"/>
      <c r="F33" s="22">
        <v>22877426.261956144</v>
      </c>
      <c r="G33" s="4"/>
      <c r="H33" s="22">
        <v>16494160.184403829</v>
      </c>
      <c r="I33" s="4"/>
    </row>
    <row r="34" spans="1:9" x14ac:dyDescent="0.2">
      <c r="A34" s="8">
        <v>2038</v>
      </c>
      <c r="B34" s="22">
        <v>234468640.65878272</v>
      </c>
      <c r="C34" s="4"/>
      <c r="D34" s="22">
        <v>89644211.366123185</v>
      </c>
      <c r="E34" s="4"/>
      <c r="F34" s="22">
        <v>23476469.245772317</v>
      </c>
      <c r="G34" s="4"/>
      <c r="H34" s="22">
        <v>17010070.586863484</v>
      </c>
      <c r="I34" s="4"/>
    </row>
    <row r="35" spans="1:9" x14ac:dyDescent="0.2">
      <c r="A35" s="8">
        <v>2039</v>
      </c>
      <c r="B35" s="22">
        <v>240947050.58189559</v>
      </c>
      <c r="C35" s="4"/>
      <c r="D35" s="22">
        <v>91995096.437315792</v>
      </c>
      <c r="E35" s="4"/>
      <c r="F35" s="22">
        <v>24104478.218174025</v>
      </c>
      <c r="G35" s="4"/>
      <c r="H35" s="22">
        <v>17553264.202122919</v>
      </c>
      <c r="I35" s="4"/>
    </row>
    <row r="36" spans="1:9" x14ac:dyDescent="0.2">
      <c r="A36" s="8">
        <v>2040</v>
      </c>
      <c r="B36" s="22">
        <v>247747370.43336976</v>
      </c>
      <c r="C36" s="4"/>
      <c r="D36" s="22">
        <v>94458729.013855368</v>
      </c>
      <c r="E36" s="4"/>
      <c r="F36" s="22">
        <v>24763167.580694869</v>
      </c>
      <c r="G36" s="4"/>
      <c r="H36" s="22">
        <v>18125406.730637915</v>
      </c>
      <c r="I36" s="4"/>
    </row>
    <row r="37" spans="1:9" x14ac:dyDescent="0.2">
      <c r="A37" s="8">
        <v>2041</v>
      </c>
      <c r="B37" s="22">
        <v>254705762.50407326</v>
      </c>
      <c r="C37" s="4"/>
      <c r="D37" s="22">
        <v>96969695.985482976</v>
      </c>
      <c r="E37" s="4"/>
      <c r="F37" s="22">
        <v>25435503.390159652</v>
      </c>
      <c r="G37" s="4"/>
      <c r="H37" s="22">
        <v>18716528.585921366</v>
      </c>
      <c r="I37" s="4"/>
    </row>
    <row r="38" spans="1:9" x14ac:dyDescent="0.2">
      <c r="A38" s="8">
        <v>2042</v>
      </c>
      <c r="B38" s="22">
        <v>262024702.08113816</v>
      </c>
      <c r="C38" s="4"/>
      <c r="D38" s="22">
        <v>99606631.865379378</v>
      </c>
      <c r="E38" s="4"/>
      <c r="F38" s="22">
        <v>26142176.298156105</v>
      </c>
      <c r="G38" s="4"/>
      <c r="H38" s="22">
        <v>19340193.238645088</v>
      </c>
      <c r="I38" s="4"/>
    </row>
    <row r="39" spans="1:9" x14ac:dyDescent="0.2">
      <c r="A39" s="8">
        <v>2043</v>
      </c>
      <c r="B39" s="22">
        <v>269725768.25944585</v>
      </c>
      <c r="C39" s="4"/>
      <c r="D39" s="22">
        <v>102376932.98285285</v>
      </c>
      <c r="E39" s="4"/>
      <c r="F39" s="22">
        <v>26885233.51512678</v>
      </c>
      <c r="G39" s="4"/>
      <c r="H39" s="22">
        <v>19998397.577443905</v>
      </c>
      <c r="I39" s="4"/>
    </row>
    <row r="40" spans="1:9" x14ac:dyDescent="0.2">
      <c r="A40" s="8">
        <v>2044</v>
      </c>
      <c r="B40" s="22">
        <v>277831860.13826227</v>
      </c>
      <c r="C40" s="4"/>
      <c r="D40" s="22">
        <v>105288440.74351977</v>
      </c>
      <c r="E40" s="4"/>
      <c r="F40" s="22">
        <v>27666847.153631717</v>
      </c>
      <c r="G40" s="4"/>
      <c r="H40" s="22">
        <v>20693263.058424495</v>
      </c>
      <c r="I40" s="4"/>
    </row>
    <row r="41" spans="1:9" x14ac:dyDescent="0.2">
      <c r="A41" s="8">
        <v>2045</v>
      </c>
      <c r="B41" s="22">
        <v>286367278.5534724</v>
      </c>
      <c r="C41" s="4"/>
      <c r="D41" s="22">
        <v>108349468.79492539</v>
      </c>
      <c r="E41" s="4"/>
      <c r="F41" s="22">
        <v>28489321.944623131</v>
      </c>
      <c r="G41" s="4"/>
      <c r="H41" s="22">
        <v>21427043.547078911</v>
      </c>
      <c r="I41" s="4"/>
    </row>
    <row r="42" spans="1:9" x14ac:dyDescent="0.2">
      <c r="A42" s="8">
        <v>2046</v>
      </c>
      <c r="B42" s="22">
        <v>295180156.23694694</v>
      </c>
      <c r="C42" s="4"/>
      <c r="D42" s="22">
        <v>111498947.62885238</v>
      </c>
      <c r="E42" s="4"/>
      <c r="F42" s="22">
        <v>29336795.145422846</v>
      </c>
      <c r="G42" s="4"/>
      <c r="H42" s="22">
        <v>22190737.965541691</v>
      </c>
      <c r="I42" s="4"/>
    </row>
    <row r="43" spans="1:9" x14ac:dyDescent="0.2">
      <c r="A43" s="8">
        <v>2047</v>
      </c>
      <c r="B43" s="22">
        <v>304474691.40733963</v>
      </c>
      <c r="C43" s="4"/>
      <c r="D43" s="22">
        <v>114815784.71075216</v>
      </c>
      <c r="E43" s="4"/>
      <c r="F43" s="22">
        <v>30230082.20312852</v>
      </c>
      <c r="G43" s="4"/>
      <c r="H43" s="22">
        <v>22998233.228291646</v>
      </c>
      <c r="I43" s="4"/>
    </row>
    <row r="44" spans="1:9" x14ac:dyDescent="0.2">
      <c r="A44" s="8">
        <v>2048</v>
      </c>
      <c r="B44" s="22">
        <v>314279933.2712518</v>
      </c>
      <c r="C44" s="4"/>
      <c r="D44" s="22">
        <v>118309890.72709388</v>
      </c>
      <c r="E44" s="4"/>
      <c r="F44" s="22">
        <v>31171936.97352339</v>
      </c>
      <c r="G44" s="4"/>
      <c r="H44" s="22">
        <v>23852232.615236707</v>
      </c>
      <c r="I44" s="4"/>
    </row>
    <row r="45" spans="1:9" x14ac:dyDescent="0.2">
      <c r="A45" s="8">
        <v>2049</v>
      </c>
      <c r="B45" s="22">
        <v>324626714.16502416</v>
      </c>
      <c r="C45" s="4"/>
      <c r="D45" s="22">
        <v>121991775.1393455</v>
      </c>
      <c r="E45" s="4"/>
      <c r="F45" s="22">
        <v>32165281.927507695</v>
      </c>
      <c r="G45" s="4"/>
      <c r="H45" s="22">
        <v>24755608.485091403</v>
      </c>
      <c r="I45" s="4"/>
    </row>
    <row r="46" spans="1:9" x14ac:dyDescent="0.2">
      <c r="A46" s="8">
        <v>2050</v>
      </c>
      <c r="B46" s="22">
        <v>335547760.29223913</v>
      </c>
      <c r="C46" s="4"/>
      <c r="D46" s="22">
        <v>125872582.86068781</v>
      </c>
      <c r="E46" s="4"/>
      <c r="F46" s="22">
        <v>33213218.599988747</v>
      </c>
      <c r="G46" s="4"/>
      <c r="H46" s="22">
        <v>25711412.942754716</v>
      </c>
      <c r="I46" s="4"/>
    </row>
    <row r="47" spans="1:9" x14ac:dyDescent="0.2">
      <c r="A47" s="8">
        <v>2051</v>
      </c>
      <c r="B47" s="22">
        <v>346642937.01965147</v>
      </c>
      <c r="C47" s="4"/>
      <c r="D47" s="22">
        <v>129793085.6470177</v>
      </c>
      <c r="E47" s="4"/>
      <c r="F47" s="22">
        <v>34274208.022696152</v>
      </c>
      <c r="G47" s="4"/>
      <c r="H47" s="22">
        <v>26694995.442329846</v>
      </c>
      <c r="I47" s="4"/>
    </row>
    <row r="48" spans="1:9" x14ac:dyDescent="0.2">
      <c r="A48" s="8">
        <v>2052</v>
      </c>
      <c r="B48" s="22">
        <v>358381985.85771459</v>
      </c>
      <c r="C48" s="4"/>
      <c r="D48" s="22">
        <v>133936084.06324175</v>
      </c>
      <c r="E48" s="4"/>
      <c r="F48" s="22">
        <v>35396361.808207586</v>
      </c>
      <c r="G48" s="4"/>
      <c r="H48" s="22">
        <v>27737567.819266148</v>
      </c>
      <c r="I48" s="4"/>
    </row>
    <row r="49" spans="1:9" x14ac:dyDescent="0.2">
      <c r="A49" s="8">
        <v>2053</v>
      </c>
      <c r="B49" s="22">
        <v>370804050.71418852</v>
      </c>
      <c r="C49" s="4"/>
      <c r="D49" s="22">
        <v>138314872.89471757</v>
      </c>
      <c r="E49" s="4"/>
      <c r="F49" s="22">
        <v>36583388.127511077</v>
      </c>
      <c r="G49" s="4"/>
      <c r="H49" s="22">
        <v>28842792.418942213</v>
      </c>
      <c r="I49" s="4"/>
    </row>
    <row r="50" spans="1:9" x14ac:dyDescent="0.2">
      <c r="A50" s="8">
        <v>2054</v>
      </c>
      <c r="B50" s="22">
        <v>383950686.30110371</v>
      </c>
      <c r="C50" s="4"/>
      <c r="D50" s="22">
        <v>142943553.29056334</v>
      </c>
      <c r="E50" s="4"/>
      <c r="F50" s="22">
        <v>37839222.979074225</v>
      </c>
      <c r="G50" s="4"/>
      <c r="H50" s="22">
        <v>30014561.227993481</v>
      </c>
      <c r="I50" s="4"/>
    </row>
    <row r="51" spans="1:9" x14ac:dyDescent="0.2">
      <c r="A51" s="8">
        <v>2055</v>
      </c>
      <c r="B51" s="22">
        <v>397866008.27958935</v>
      </c>
      <c r="C51" s="4"/>
      <c r="D51" s="22">
        <v>147837082.32491556</v>
      </c>
      <c r="E51" s="4"/>
      <c r="F51" s="22">
        <v>39168044.348673865</v>
      </c>
      <c r="G51" s="4"/>
      <c r="H51" s="22">
        <v>31257010.392745823</v>
      </c>
      <c r="I51" s="4"/>
    </row>
    <row r="52" spans="1:9" x14ac:dyDescent="0.2">
      <c r="A52" s="8">
        <v>2056</v>
      </c>
      <c r="B52" s="22">
        <v>412596852.8440761</v>
      </c>
      <c r="C52" s="4"/>
      <c r="D52" s="22">
        <v>153011325.63949513</v>
      </c>
      <c r="E52" s="4"/>
      <c r="F52" s="22">
        <v>40574287.257899366</v>
      </c>
      <c r="G52" s="4"/>
      <c r="H52" s="22">
        <v>32574535.661738403</v>
      </c>
      <c r="I52" s="4"/>
    </row>
    <row r="53" spans="1:9" x14ac:dyDescent="0.2">
      <c r="A53" s="8">
        <v>2057</v>
      </c>
      <c r="B53" s="22">
        <v>428192946.34394515</v>
      </c>
      <c r="C53" s="4"/>
      <c r="D53" s="22">
        <v>158483113.36091781</v>
      </c>
      <c r="E53" s="4"/>
      <c r="F53" s="22">
        <v>42062659.757555589</v>
      </c>
      <c r="G53" s="4"/>
      <c r="H53" s="22">
        <v>33971808.811473578</v>
      </c>
      <c r="I53" s="4"/>
    </row>
    <row r="54" spans="1:9" x14ac:dyDescent="0.2">
      <c r="A54" s="8">
        <v>2058</v>
      </c>
      <c r="B54" s="22">
        <v>444707085.57882154</v>
      </c>
      <c r="C54" s="4"/>
      <c r="D54" s="22">
        <v>164270299.49842656</v>
      </c>
      <c r="E54" s="4"/>
      <c r="F54" s="22">
        <v>43638159.925772034</v>
      </c>
      <c r="G54" s="4"/>
      <c r="H54" s="22">
        <v>35453795.118332669</v>
      </c>
      <c r="I54" s="4"/>
    </row>
    <row r="55" spans="1:9" x14ac:dyDescent="0.2">
      <c r="A55" s="8">
        <v>2059</v>
      </c>
      <c r="B55" s="22">
        <v>462195329.44429433</v>
      </c>
      <c r="C55" s="4"/>
      <c r="D55" s="22">
        <v>170391825.04074356</v>
      </c>
      <c r="E55" s="4"/>
      <c r="F55" s="22">
        <v>45306093.934435196</v>
      </c>
      <c r="G55" s="4"/>
      <c r="H55" s="22">
        <v>37025771.943642527</v>
      </c>
      <c r="I55" s="4"/>
    </row>
    <row r="56" spans="1:9" x14ac:dyDescent="0.2">
      <c r="A56" s="8">
        <v>2060</v>
      </c>
      <c r="B56" s="22">
        <v>480717202.64801961</v>
      </c>
      <c r="C56" s="4"/>
      <c r="D56" s="22">
        <v>176867784.98459217</v>
      </c>
      <c r="E56" s="4"/>
      <c r="F56" s="22">
        <v>47072095.251615435</v>
      </c>
      <c r="G56" s="4"/>
      <c r="H56" s="22">
        <v>38693348.503184788</v>
      </c>
      <c r="I56"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AF477-901C-4F4C-925E-F43F92B5F804}">
  <dimension ref="A1:AQ11"/>
  <sheetViews>
    <sheetView workbookViewId="0">
      <selection activeCell="B2" sqref="B2:B11"/>
    </sheetView>
  </sheetViews>
  <sheetFormatPr baseColWidth="10" defaultRowHeight="16" x14ac:dyDescent="0.2"/>
  <sheetData>
    <row r="1" spans="1:43" x14ac:dyDescent="0.2">
      <c r="A1" s="1" t="s">
        <v>11</v>
      </c>
      <c r="B1" s="8">
        <v>2019</v>
      </c>
      <c r="C1" s="8">
        <v>2020</v>
      </c>
      <c r="D1" s="8">
        <v>2021</v>
      </c>
      <c r="E1" s="8">
        <v>2022</v>
      </c>
      <c r="F1" s="8">
        <v>2023</v>
      </c>
      <c r="G1" s="8">
        <v>2024</v>
      </c>
      <c r="H1" s="8">
        <v>2025</v>
      </c>
      <c r="I1" s="8">
        <v>2026</v>
      </c>
      <c r="J1" s="8">
        <v>2027</v>
      </c>
      <c r="K1" s="8">
        <v>2028</v>
      </c>
      <c r="L1" s="8">
        <v>2029</v>
      </c>
      <c r="M1" s="8">
        <v>2030</v>
      </c>
      <c r="N1" s="8">
        <v>2031</v>
      </c>
      <c r="O1" s="8">
        <v>2032</v>
      </c>
      <c r="P1" s="8">
        <v>2033</v>
      </c>
      <c r="Q1" s="8">
        <v>2034</v>
      </c>
      <c r="R1" s="8">
        <v>2035</v>
      </c>
      <c r="S1" s="8">
        <v>2036</v>
      </c>
      <c r="T1" s="8">
        <v>2037</v>
      </c>
      <c r="U1" s="8">
        <v>2038</v>
      </c>
      <c r="V1" s="8">
        <v>2039</v>
      </c>
      <c r="W1" s="8">
        <v>2040</v>
      </c>
      <c r="X1" s="8">
        <v>2041</v>
      </c>
      <c r="Y1" s="8">
        <v>2042</v>
      </c>
      <c r="Z1" s="8">
        <v>2043</v>
      </c>
      <c r="AA1" s="8">
        <v>2044</v>
      </c>
      <c r="AB1" s="8">
        <v>2045</v>
      </c>
      <c r="AC1" s="8">
        <v>2046</v>
      </c>
      <c r="AD1" s="8">
        <v>2047</v>
      </c>
      <c r="AE1" s="8">
        <v>2048</v>
      </c>
      <c r="AF1" s="8">
        <v>2049</v>
      </c>
      <c r="AG1" s="8">
        <v>2050</v>
      </c>
      <c r="AH1" s="8">
        <v>2051</v>
      </c>
      <c r="AI1" s="8">
        <v>2052</v>
      </c>
      <c r="AJ1" s="8">
        <v>2053</v>
      </c>
      <c r="AK1" s="8">
        <v>2054</v>
      </c>
      <c r="AL1" s="8">
        <v>2055</v>
      </c>
      <c r="AM1" s="8">
        <v>2056</v>
      </c>
      <c r="AN1" s="8">
        <v>2057</v>
      </c>
      <c r="AO1" s="8">
        <v>2058</v>
      </c>
      <c r="AP1" s="8">
        <v>2059</v>
      </c>
      <c r="AQ1" s="8">
        <v>2060</v>
      </c>
    </row>
    <row r="2" spans="1:43" x14ac:dyDescent="0.2">
      <c r="A2" s="1" t="s">
        <v>22</v>
      </c>
      <c r="B2" s="15">
        <v>0</v>
      </c>
      <c r="C2" s="15">
        <v>0</v>
      </c>
      <c r="D2" s="15">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row>
    <row r="3" spans="1:43" x14ac:dyDescent="0.2">
      <c r="A3" s="1" t="s">
        <v>23</v>
      </c>
      <c r="B3" s="15">
        <v>0</v>
      </c>
      <c r="C3" s="15">
        <v>0</v>
      </c>
      <c r="D3" s="15">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row>
    <row r="4" spans="1:43" x14ac:dyDescent="0.2">
      <c r="A4" s="1" t="s">
        <v>24</v>
      </c>
      <c r="B4" s="15">
        <v>0</v>
      </c>
      <c r="C4" s="15">
        <v>0</v>
      </c>
      <c r="D4" s="15">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row>
    <row r="5" spans="1:43" x14ac:dyDescent="0.2">
      <c r="A5" s="1" t="s">
        <v>25</v>
      </c>
      <c r="B5" s="15">
        <v>0</v>
      </c>
      <c r="C5" s="15">
        <v>0</v>
      </c>
      <c r="D5" s="15">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row>
    <row r="6" spans="1:43" x14ac:dyDescent="0.2">
      <c r="A6" s="1" t="s">
        <v>26</v>
      </c>
      <c r="B6" s="15">
        <v>0</v>
      </c>
      <c r="C6" s="15">
        <v>0</v>
      </c>
      <c r="D6" s="15">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row>
    <row r="7" spans="1:43" x14ac:dyDescent="0.2">
      <c r="A7" s="1" t="s">
        <v>27</v>
      </c>
      <c r="B7" s="15">
        <v>0</v>
      </c>
      <c r="C7" s="15">
        <v>0</v>
      </c>
      <c r="D7" s="15">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row>
    <row r="8" spans="1:43" x14ac:dyDescent="0.2">
      <c r="A8" s="1" t="s">
        <v>28</v>
      </c>
      <c r="B8" s="15">
        <v>0</v>
      </c>
      <c r="C8" s="15">
        <v>0</v>
      </c>
      <c r="D8" s="15">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row>
    <row r="9" spans="1:43" x14ac:dyDescent="0.2">
      <c r="A9" s="1" t="s">
        <v>29</v>
      </c>
      <c r="B9" s="15">
        <v>0</v>
      </c>
      <c r="C9" s="15">
        <v>0</v>
      </c>
      <c r="D9" s="15">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row>
    <row r="10" spans="1:43" x14ac:dyDescent="0.2">
      <c r="A10" s="1" t="s">
        <v>30</v>
      </c>
      <c r="B10" s="15">
        <v>0</v>
      </c>
      <c r="C10" s="15">
        <v>0</v>
      </c>
      <c r="D10" s="15">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row>
    <row r="11" spans="1:43" x14ac:dyDescent="0.2">
      <c r="A11" s="1" t="s">
        <v>31</v>
      </c>
      <c r="B11" s="15">
        <v>0</v>
      </c>
      <c r="C11" s="15">
        <v>0</v>
      </c>
      <c r="D11" s="15">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DA54E-D2AD-654B-AECE-706C681090D6}">
  <dimension ref="A1:AQ11"/>
  <sheetViews>
    <sheetView workbookViewId="0">
      <selection activeCell="B2" sqref="B2"/>
    </sheetView>
  </sheetViews>
  <sheetFormatPr baseColWidth="10" defaultRowHeight="16" x14ac:dyDescent="0.2"/>
  <sheetData>
    <row r="1" spans="1:43" x14ac:dyDescent="0.2">
      <c r="A1" s="1" t="s">
        <v>11</v>
      </c>
      <c r="B1" s="8">
        <v>2019</v>
      </c>
      <c r="C1" s="8">
        <v>2020</v>
      </c>
      <c r="D1" s="8">
        <v>2021</v>
      </c>
      <c r="E1" s="8">
        <v>2022</v>
      </c>
      <c r="F1" s="8">
        <v>2023</v>
      </c>
      <c r="G1" s="8">
        <v>2024</v>
      </c>
      <c r="H1" s="8">
        <v>2025</v>
      </c>
      <c r="I1" s="8">
        <v>2026</v>
      </c>
      <c r="J1" s="8">
        <v>2027</v>
      </c>
      <c r="K1" s="8">
        <v>2028</v>
      </c>
      <c r="L1" s="8">
        <v>2029</v>
      </c>
      <c r="M1" s="8">
        <v>2030</v>
      </c>
      <c r="N1" s="8">
        <v>2031</v>
      </c>
      <c r="O1" s="8">
        <v>2032</v>
      </c>
      <c r="P1" s="8">
        <v>2033</v>
      </c>
      <c r="Q1" s="8">
        <v>2034</v>
      </c>
      <c r="R1" s="8">
        <v>2035</v>
      </c>
      <c r="S1" s="8">
        <v>2036</v>
      </c>
      <c r="T1" s="8">
        <v>2037</v>
      </c>
      <c r="U1" s="8">
        <v>2038</v>
      </c>
      <c r="V1" s="8">
        <v>2039</v>
      </c>
      <c r="W1" s="8">
        <v>2040</v>
      </c>
      <c r="X1" s="8">
        <v>2041</v>
      </c>
      <c r="Y1" s="8">
        <v>2042</v>
      </c>
      <c r="Z1" s="8">
        <v>2043</v>
      </c>
      <c r="AA1" s="8">
        <v>2044</v>
      </c>
      <c r="AB1" s="8">
        <v>2045</v>
      </c>
      <c r="AC1" s="8">
        <v>2046</v>
      </c>
      <c r="AD1" s="8">
        <v>2047</v>
      </c>
      <c r="AE1" s="8">
        <v>2048</v>
      </c>
      <c r="AF1" s="8">
        <v>2049</v>
      </c>
      <c r="AG1" s="8">
        <v>2050</v>
      </c>
      <c r="AH1" s="8">
        <v>2051</v>
      </c>
      <c r="AI1" s="8">
        <v>2052</v>
      </c>
      <c r="AJ1" s="8">
        <v>2053</v>
      </c>
      <c r="AK1" s="8">
        <v>2054</v>
      </c>
      <c r="AL1" s="8">
        <v>2055</v>
      </c>
      <c r="AM1" s="8">
        <v>2056</v>
      </c>
      <c r="AN1" s="8">
        <v>2057</v>
      </c>
      <c r="AO1" s="8">
        <v>2058</v>
      </c>
      <c r="AP1" s="8">
        <v>2059</v>
      </c>
      <c r="AQ1" s="8">
        <v>2060</v>
      </c>
    </row>
    <row r="2" spans="1:43" x14ac:dyDescent="0.2">
      <c r="A2" s="1" t="s">
        <v>22</v>
      </c>
      <c r="B2" s="15">
        <f>'Total Electricity Consumption'!C15</f>
        <v>144836736.6304388</v>
      </c>
      <c r="C2" s="15">
        <f>'Total Electricity Consumption'!C16</f>
        <v>149134667.62723064</v>
      </c>
      <c r="D2" s="15">
        <f>'Total Electricity Consumption'!C17</f>
        <v>153432598.62402439</v>
      </c>
      <c r="E2" s="15">
        <f>'Total Electricity Consumption'!B2</f>
        <v>159102139.4930867</v>
      </c>
      <c r="F2" s="4">
        <f>'Total Electricity Consumption'!C2</f>
        <v>163772768.74577987</v>
      </c>
      <c r="G2" s="4">
        <f>'Total Electricity Consumption'!D2</f>
        <v>166762193.85117382</v>
      </c>
      <c r="H2" s="4">
        <f>'Total Electricity Consumption'!E2</f>
        <v>169886758.08859712</v>
      </c>
      <c r="I2" s="4">
        <f>'Total Electricity Consumption'!F2</f>
        <v>173852309.33454451</v>
      </c>
      <c r="J2" s="4">
        <f>'Total Electricity Consumption'!G2</f>
        <v>177972724.53286514</v>
      </c>
      <c r="K2" s="4">
        <f>'Total Electricity Consumption'!H2</f>
        <v>182256904.94045204</v>
      </c>
      <c r="L2" s="4">
        <f>'Total Electricity Consumption'!I2</f>
        <v>186714290.25489843</v>
      </c>
      <c r="M2" s="4">
        <f>'Total Electricity Consumption'!J2</f>
        <v>191354891.63080388</v>
      </c>
      <c r="N2" s="4">
        <f>'Total Electricity Consumption'!K2</f>
        <v>196008720.13835302</v>
      </c>
      <c r="O2" s="4">
        <f>'Total Electricity Consumption'!L2</f>
        <v>200866770.76806307</v>
      </c>
      <c r="P2" s="4">
        <f>'Total Electricity Consumption'!M2</f>
        <v>205940988.27898824</v>
      </c>
      <c r="Q2" s="4">
        <f>'Total Electricity Consumption'!N2</f>
        <v>211244042.76291406</v>
      </c>
      <c r="R2" s="4">
        <f>'Total Electricity Consumption'!O2</f>
        <v>216789374.27105159</v>
      </c>
      <c r="S2" s="4">
        <f>'Total Electricity Consumption'!P2</f>
        <v>222406337.86396566</v>
      </c>
      <c r="T2" s="4">
        <f>'Total Electricity Consumption'!Q2</f>
        <v>228294077.87904438</v>
      </c>
      <c r="U2" s="4">
        <f>'Total Electricity Consumption'!R2</f>
        <v>234468640.65878272</v>
      </c>
      <c r="V2" s="4">
        <f>'Total Electricity Consumption'!S2</f>
        <v>240947050.58189559</v>
      </c>
      <c r="W2" s="4">
        <f>'Total Electricity Consumption'!T2</f>
        <v>247747370.43336976</v>
      </c>
      <c r="X2" s="4">
        <f>'Total Electricity Consumption'!U2</f>
        <v>254705762.50407326</v>
      </c>
      <c r="Y2" s="4">
        <f>'Total Electricity Consumption'!V2</f>
        <v>262024702.08113816</v>
      </c>
      <c r="Z2" s="4">
        <f>'Total Electricity Consumption'!W2</f>
        <v>269725768.25944585</v>
      </c>
      <c r="AA2" s="4">
        <f>'Total Electricity Consumption'!X2</f>
        <v>277831860.13826227</v>
      </c>
      <c r="AB2" s="4">
        <f>'Total Electricity Consumption'!Y2</f>
        <v>286367278.5534724</v>
      </c>
      <c r="AC2" s="4">
        <f>'Total Electricity Consumption'!Z2</f>
        <v>295180156.23694694</v>
      </c>
      <c r="AD2" s="4">
        <f>'Total Electricity Consumption'!AA2</f>
        <v>304474691.40733963</v>
      </c>
      <c r="AE2" s="4">
        <f>'Total Electricity Consumption'!AB2</f>
        <v>314279933.2712518</v>
      </c>
      <c r="AF2" s="4">
        <f>'Total Electricity Consumption'!AC2</f>
        <v>324626714.16502416</v>
      </c>
      <c r="AG2" s="4">
        <f>'Total Electricity Consumption'!AD2</f>
        <v>335547760.29223913</v>
      </c>
      <c r="AH2" s="4">
        <f>'Total Electricity Consumption'!AE2</f>
        <v>346642937.01965147</v>
      </c>
      <c r="AI2" s="4">
        <f>'Total Electricity Consumption'!AF2</f>
        <v>358381985.85771459</v>
      </c>
      <c r="AJ2" s="4">
        <f>'Total Electricity Consumption'!AG2</f>
        <v>370804050.71418852</v>
      </c>
      <c r="AK2" s="4">
        <f>'Total Electricity Consumption'!AH2</f>
        <v>383950686.30110371</v>
      </c>
      <c r="AL2" s="4">
        <f>'Total Electricity Consumption'!AI2</f>
        <v>397866008.27958935</v>
      </c>
      <c r="AM2" s="4">
        <f>'Total Electricity Consumption'!AJ2</f>
        <v>412596852.8440761</v>
      </c>
      <c r="AN2" s="4">
        <f>'Total Electricity Consumption'!AK2</f>
        <v>428192946.34394515</v>
      </c>
      <c r="AO2" s="4">
        <f>'Total Electricity Consumption'!AL2</f>
        <v>444707085.57882154</v>
      </c>
      <c r="AP2" s="4">
        <f>'Total Electricity Consumption'!AM2</f>
        <v>462195329.44429433</v>
      </c>
      <c r="AQ2" s="4">
        <f>'Total Electricity Consumption'!AN2</f>
        <v>480717202.64801961</v>
      </c>
    </row>
    <row r="3" spans="1:43" x14ac:dyDescent="0.2">
      <c r="A3" s="1" t="s">
        <v>23</v>
      </c>
      <c r="B3" s="15">
        <v>0</v>
      </c>
      <c r="C3" s="15">
        <v>0</v>
      </c>
      <c r="D3" s="15">
        <v>0</v>
      </c>
      <c r="E3" s="15">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row>
    <row r="4" spans="1:43" x14ac:dyDescent="0.2">
      <c r="A4" s="1" t="s">
        <v>24</v>
      </c>
      <c r="B4" s="15">
        <v>0</v>
      </c>
      <c r="C4" s="15">
        <v>0</v>
      </c>
      <c r="D4" s="15">
        <v>0</v>
      </c>
      <c r="E4" s="15">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row>
    <row r="5" spans="1:43" x14ac:dyDescent="0.2">
      <c r="A5" s="1" t="s">
        <v>25</v>
      </c>
      <c r="B5" s="15">
        <v>0</v>
      </c>
      <c r="C5" s="15">
        <v>0</v>
      </c>
      <c r="D5" s="15">
        <v>0</v>
      </c>
      <c r="E5" s="15">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row>
    <row r="6" spans="1:43" x14ac:dyDescent="0.2">
      <c r="A6" s="1" t="s">
        <v>26</v>
      </c>
      <c r="B6" s="15">
        <v>0</v>
      </c>
      <c r="C6" s="15">
        <v>0</v>
      </c>
      <c r="D6" s="15">
        <v>0</v>
      </c>
      <c r="E6" s="15">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row>
    <row r="7" spans="1:43" x14ac:dyDescent="0.2">
      <c r="A7" s="1" t="s">
        <v>27</v>
      </c>
      <c r="B7" s="15">
        <v>0</v>
      </c>
      <c r="C7" s="15">
        <v>0</v>
      </c>
      <c r="D7" s="15">
        <v>0</v>
      </c>
      <c r="E7" s="15">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row>
    <row r="8" spans="1:43" x14ac:dyDescent="0.2">
      <c r="A8" s="1" t="s">
        <v>28</v>
      </c>
      <c r="B8" s="15">
        <v>0</v>
      </c>
      <c r="C8" s="15">
        <v>0</v>
      </c>
      <c r="D8" s="15">
        <v>0</v>
      </c>
      <c r="E8" s="15">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row>
    <row r="9" spans="1:43" x14ac:dyDescent="0.2">
      <c r="A9" s="1" t="s">
        <v>29</v>
      </c>
      <c r="B9" s="15">
        <v>0</v>
      </c>
      <c r="C9" s="15">
        <v>0</v>
      </c>
      <c r="D9" s="15">
        <v>0</v>
      </c>
      <c r="E9" s="15">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row>
    <row r="10" spans="1:43" x14ac:dyDescent="0.2">
      <c r="A10" s="1" t="s">
        <v>30</v>
      </c>
      <c r="B10" s="15">
        <v>0</v>
      </c>
      <c r="C10" s="15">
        <v>0</v>
      </c>
      <c r="D10" s="15">
        <v>0</v>
      </c>
      <c r="E10" s="15">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row>
    <row r="11" spans="1:43" x14ac:dyDescent="0.2">
      <c r="A11" s="1" t="s">
        <v>31</v>
      </c>
      <c r="B11" s="15">
        <v>0</v>
      </c>
      <c r="C11" s="15">
        <v>0</v>
      </c>
      <c r="D11" s="15">
        <v>0</v>
      </c>
      <c r="E11" s="15">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3DB7D-21BE-2048-A13F-57D1A93EEACE}">
  <dimension ref="A1:AQ11"/>
  <sheetViews>
    <sheetView workbookViewId="0">
      <selection activeCell="AN16" sqref="AN16"/>
    </sheetView>
  </sheetViews>
  <sheetFormatPr baseColWidth="10" defaultRowHeight="16" x14ac:dyDescent="0.2"/>
  <sheetData>
    <row r="1" spans="1:43" x14ac:dyDescent="0.2">
      <c r="A1" s="1" t="s">
        <v>11</v>
      </c>
      <c r="B1" s="8">
        <v>2019</v>
      </c>
      <c r="C1" s="8">
        <v>2020</v>
      </c>
      <c r="D1" s="8">
        <v>2021</v>
      </c>
      <c r="E1" s="8">
        <v>2022</v>
      </c>
      <c r="F1" s="8">
        <v>2023</v>
      </c>
      <c r="G1" s="8">
        <v>2024</v>
      </c>
      <c r="H1" s="8">
        <v>2025</v>
      </c>
      <c r="I1" s="8">
        <v>2026</v>
      </c>
      <c r="J1" s="8">
        <v>2027</v>
      </c>
      <c r="K1" s="8">
        <v>2028</v>
      </c>
      <c r="L1" s="8">
        <v>2029</v>
      </c>
      <c r="M1" s="8">
        <v>2030</v>
      </c>
      <c r="N1" s="8">
        <v>2031</v>
      </c>
      <c r="O1" s="8">
        <v>2032</v>
      </c>
      <c r="P1" s="8">
        <v>2033</v>
      </c>
      <c r="Q1" s="8">
        <v>2034</v>
      </c>
      <c r="R1" s="8">
        <v>2035</v>
      </c>
      <c r="S1" s="8">
        <v>2036</v>
      </c>
      <c r="T1" s="8">
        <v>2037</v>
      </c>
      <c r="U1" s="8">
        <v>2038</v>
      </c>
      <c r="V1" s="8">
        <v>2039</v>
      </c>
      <c r="W1" s="8">
        <v>2040</v>
      </c>
      <c r="X1" s="8">
        <v>2041</v>
      </c>
      <c r="Y1" s="8">
        <v>2042</v>
      </c>
      <c r="Z1" s="8">
        <v>2043</v>
      </c>
      <c r="AA1" s="8">
        <v>2044</v>
      </c>
      <c r="AB1" s="8">
        <v>2045</v>
      </c>
      <c r="AC1" s="8">
        <v>2046</v>
      </c>
      <c r="AD1" s="8">
        <v>2047</v>
      </c>
      <c r="AE1" s="8">
        <v>2048</v>
      </c>
      <c r="AF1" s="8">
        <v>2049</v>
      </c>
      <c r="AG1" s="8">
        <v>2050</v>
      </c>
      <c r="AH1" s="8">
        <v>2051</v>
      </c>
      <c r="AI1" s="8">
        <v>2052</v>
      </c>
      <c r="AJ1" s="8">
        <v>2053</v>
      </c>
      <c r="AK1" s="8">
        <v>2054</v>
      </c>
      <c r="AL1" s="8">
        <v>2055</v>
      </c>
      <c r="AM1" s="8">
        <v>2056</v>
      </c>
      <c r="AN1" s="8">
        <v>2057</v>
      </c>
      <c r="AO1" s="8">
        <v>2058</v>
      </c>
      <c r="AP1" s="8">
        <v>2059</v>
      </c>
      <c r="AQ1" s="8">
        <v>2060</v>
      </c>
    </row>
    <row r="2" spans="1:43" x14ac:dyDescent="0.2">
      <c r="A2" s="1" t="s">
        <v>22</v>
      </c>
      <c r="B2" s="15">
        <f>'Total Electricity Consumption'!E15</f>
        <v>57565943.358953953</v>
      </c>
      <c r="C2" s="15">
        <f>'Total Electricity Consumption'!E16</f>
        <v>58997872.514972687</v>
      </c>
      <c r="D2" s="15">
        <f>'Total Electricity Consumption'!E17</f>
        <v>60429801.670991421</v>
      </c>
      <c r="E2" s="15">
        <f>'Total Electricity Consumption'!B3</f>
        <v>61859330.596910387</v>
      </c>
      <c r="F2" s="15">
        <f>'Total Electricity Consumption'!C3</f>
        <v>63624672.370186687</v>
      </c>
      <c r="G2" s="15">
        <f>'Total Electricity Consumption'!D3</f>
        <v>64730020.370154157</v>
      </c>
      <c r="H2" s="15">
        <f>'Total Electricity Consumption'!E3</f>
        <v>65883469.835670039</v>
      </c>
      <c r="I2" s="15">
        <f>'Total Electricity Consumption'!F3</f>
        <v>67362437.471600503</v>
      </c>
      <c r="J2" s="15">
        <f>'Total Electricity Consumption'!G3</f>
        <v>68896520.073184237</v>
      </c>
      <c r="K2" s="15">
        <f>'Total Electricity Consumption'!H3</f>
        <v>70488813.739233106</v>
      </c>
      <c r="L2" s="15">
        <f>'Total Electricity Consumption'!I3</f>
        <v>72142598.527671725</v>
      </c>
      <c r="M2" s="15">
        <f>'Total Electricity Consumption'!J3</f>
        <v>73861349.556229204</v>
      </c>
      <c r="N2" s="15">
        <f>'Total Electricity Consumption'!K3</f>
        <v>75577682.196189016</v>
      </c>
      <c r="O2" s="15">
        <f>'Total Electricity Consumption'!L3</f>
        <v>77366223.826629236</v>
      </c>
      <c r="P2" s="15">
        <f>'Total Electricity Consumption'!M3</f>
        <v>79231108.353962392</v>
      </c>
      <c r="Q2" s="15">
        <f>'Total Electricity Consumption'!N3</f>
        <v>81176716.373314098</v>
      </c>
      <c r="R2" s="15">
        <f>'Total Electricity Consumption'!O3</f>
        <v>83207690.113112405</v>
      </c>
      <c r="S2" s="15">
        <f>'Total Electricity Consumption'!P3</f>
        <v>85256200.052023083</v>
      </c>
      <c r="T2" s="15">
        <f>'Total Electricity Consumption'!Q3</f>
        <v>87399865.049615264</v>
      </c>
      <c r="U2" s="15">
        <f>'Total Electricity Consumption'!R3</f>
        <v>89644211.366123185</v>
      </c>
      <c r="V2" s="15">
        <f>'Total Electricity Consumption'!S3</f>
        <v>91995096.437315792</v>
      </c>
      <c r="W2" s="15">
        <f>'Total Electricity Consumption'!T3</f>
        <v>94458729.013855368</v>
      </c>
      <c r="X2" s="15">
        <f>'Total Electricity Consumption'!U3</f>
        <v>96969695.985482976</v>
      </c>
      <c r="Y2" s="15">
        <f>'Total Electricity Consumption'!V3</f>
        <v>99606631.865379378</v>
      </c>
      <c r="Z2" s="15">
        <f>'Total Electricity Consumption'!W3</f>
        <v>102376932.98285285</v>
      </c>
      <c r="AA2" s="15">
        <f>'Total Electricity Consumption'!X3</f>
        <v>105288440.74351977</v>
      </c>
      <c r="AB2" s="15">
        <f>'Total Electricity Consumption'!Y3</f>
        <v>108349468.79492539</v>
      </c>
      <c r="AC2" s="15">
        <f>'Total Electricity Consumption'!Z3</f>
        <v>111498947.62885238</v>
      </c>
      <c r="AD2" s="15">
        <f>'Total Electricity Consumption'!AA3</f>
        <v>114815784.71075216</v>
      </c>
      <c r="AE2" s="15">
        <f>'Total Electricity Consumption'!AB3</f>
        <v>118309890.72709388</v>
      </c>
      <c r="AF2" s="15">
        <f>'Total Electricity Consumption'!AC3</f>
        <v>121991775.1393455</v>
      </c>
      <c r="AG2" s="15">
        <f>'Total Electricity Consumption'!AD3</f>
        <v>125872582.86068781</v>
      </c>
      <c r="AH2" s="15">
        <f>'Total Electricity Consumption'!AE3</f>
        <v>129793085.6470177</v>
      </c>
      <c r="AI2" s="15">
        <f>'Total Electricity Consumption'!AF3</f>
        <v>133936084.06324175</v>
      </c>
      <c r="AJ2" s="15">
        <f>'Total Electricity Consumption'!AG3</f>
        <v>138314872.89471757</v>
      </c>
      <c r="AK2" s="15">
        <f>'Total Electricity Consumption'!AH3</f>
        <v>142943553.29056334</v>
      </c>
      <c r="AL2" s="15">
        <f>'Total Electricity Consumption'!AI3</f>
        <v>147837082.32491556</v>
      </c>
      <c r="AM2" s="15">
        <f>'Total Electricity Consumption'!AJ3</f>
        <v>153011325.63949513</v>
      </c>
      <c r="AN2" s="15">
        <f>'Total Electricity Consumption'!AK3</f>
        <v>158483113.36091781</v>
      </c>
      <c r="AO2" s="15">
        <f>'Total Electricity Consumption'!AL3</f>
        <v>164270299.49842656</v>
      </c>
      <c r="AP2" s="15">
        <f>'Total Electricity Consumption'!AM3</f>
        <v>170391825.04074356</v>
      </c>
      <c r="AQ2" s="15">
        <f>'Total Electricity Consumption'!AN3</f>
        <v>176867784.98459217</v>
      </c>
    </row>
    <row r="3" spans="1:43" x14ac:dyDescent="0.2">
      <c r="A3" s="1" t="s">
        <v>23</v>
      </c>
      <c r="B3" s="15">
        <v>0</v>
      </c>
      <c r="C3" s="15">
        <v>0</v>
      </c>
      <c r="D3" s="15">
        <v>0</v>
      </c>
      <c r="E3" s="15">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row>
    <row r="4" spans="1:43" x14ac:dyDescent="0.2">
      <c r="A4" s="1" t="s">
        <v>24</v>
      </c>
      <c r="B4" s="15">
        <v>0</v>
      </c>
      <c r="C4" s="15">
        <v>0</v>
      </c>
      <c r="D4" s="15">
        <v>0</v>
      </c>
      <c r="E4" s="15">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row>
    <row r="5" spans="1:43" x14ac:dyDescent="0.2">
      <c r="A5" s="1" t="s">
        <v>25</v>
      </c>
      <c r="B5" s="15">
        <v>0</v>
      </c>
      <c r="C5" s="15">
        <v>0</v>
      </c>
      <c r="D5" s="15">
        <v>0</v>
      </c>
      <c r="E5" s="15">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row>
    <row r="6" spans="1:43" x14ac:dyDescent="0.2">
      <c r="A6" s="1" t="s">
        <v>26</v>
      </c>
      <c r="B6" s="15">
        <v>0</v>
      </c>
      <c r="C6" s="15">
        <v>0</v>
      </c>
      <c r="D6" s="15">
        <v>0</v>
      </c>
      <c r="E6" s="15">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row>
    <row r="7" spans="1:43" x14ac:dyDescent="0.2">
      <c r="A7" s="1" t="s">
        <v>27</v>
      </c>
      <c r="B7" s="15">
        <v>0</v>
      </c>
      <c r="C7" s="15">
        <v>0</v>
      </c>
      <c r="D7" s="15">
        <v>0</v>
      </c>
      <c r="E7" s="15">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row>
    <row r="8" spans="1:43" x14ac:dyDescent="0.2">
      <c r="A8" s="1" t="s">
        <v>28</v>
      </c>
      <c r="B8" s="15">
        <v>0</v>
      </c>
      <c r="C8" s="15">
        <v>0</v>
      </c>
      <c r="D8" s="15">
        <v>0</v>
      </c>
      <c r="E8" s="15">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row>
    <row r="9" spans="1:43" x14ac:dyDescent="0.2">
      <c r="A9" s="1" t="s">
        <v>29</v>
      </c>
      <c r="B9" s="15">
        <v>0</v>
      </c>
      <c r="C9" s="15">
        <v>0</v>
      </c>
      <c r="D9" s="15">
        <v>0</v>
      </c>
      <c r="E9" s="15">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row>
    <row r="10" spans="1:43" x14ac:dyDescent="0.2">
      <c r="A10" s="1" t="s">
        <v>30</v>
      </c>
      <c r="B10" s="15">
        <v>0</v>
      </c>
      <c r="C10" s="15">
        <v>0</v>
      </c>
      <c r="D10" s="15">
        <v>0</v>
      </c>
      <c r="E10" s="15">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row>
    <row r="11" spans="1:43" x14ac:dyDescent="0.2">
      <c r="A11" s="1" t="s">
        <v>31</v>
      </c>
      <c r="B11" s="15">
        <v>0</v>
      </c>
      <c r="C11" s="15">
        <v>0</v>
      </c>
      <c r="D11" s="15">
        <v>0</v>
      </c>
      <c r="E11" s="15">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585FA-F029-C448-9A11-6D141898A048}">
  <dimension ref="A1:AQ11"/>
  <sheetViews>
    <sheetView workbookViewId="0">
      <selection activeCell="B2" sqref="B2"/>
    </sheetView>
  </sheetViews>
  <sheetFormatPr baseColWidth="10" defaultRowHeight="16" x14ac:dyDescent="0.2"/>
  <sheetData>
    <row r="1" spans="1:43" x14ac:dyDescent="0.2">
      <c r="A1" s="1" t="s">
        <v>11</v>
      </c>
      <c r="B1" s="8">
        <v>2019</v>
      </c>
      <c r="C1" s="8">
        <v>2020</v>
      </c>
      <c r="D1" s="8">
        <v>2021</v>
      </c>
      <c r="E1" s="8">
        <v>2022</v>
      </c>
      <c r="F1" s="8">
        <v>2023</v>
      </c>
      <c r="G1" s="8">
        <v>2024</v>
      </c>
      <c r="H1" s="8">
        <v>2025</v>
      </c>
      <c r="I1" s="8">
        <v>2026</v>
      </c>
      <c r="J1" s="8">
        <v>2027</v>
      </c>
      <c r="K1" s="8">
        <v>2028</v>
      </c>
      <c r="L1" s="8">
        <v>2029</v>
      </c>
      <c r="M1" s="8">
        <v>2030</v>
      </c>
      <c r="N1" s="8">
        <v>2031</v>
      </c>
      <c r="O1" s="8">
        <v>2032</v>
      </c>
      <c r="P1" s="8">
        <v>2033</v>
      </c>
      <c r="Q1" s="8">
        <v>2034</v>
      </c>
      <c r="R1" s="8">
        <v>2035</v>
      </c>
      <c r="S1" s="8">
        <v>2036</v>
      </c>
      <c r="T1" s="8">
        <v>2037</v>
      </c>
      <c r="U1" s="8">
        <v>2038</v>
      </c>
      <c r="V1" s="8">
        <v>2039</v>
      </c>
      <c r="W1" s="8">
        <v>2040</v>
      </c>
      <c r="X1" s="8">
        <v>2041</v>
      </c>
      <c r="Y1" s="8">
        <v>2042</v>
      </c>
      <c r="Z1" s="8">
        <v>2043</v>
      </c>
      <c r="AA1" s="8">
        <v>2044</v>
      </c>
      <c r="AB1" s="8">
        <v>2045</v>
      </c>
      <c r="AC1" s="8">
        <v>2046</v>
      </c>
      <c r="AD1" s="8">
        <v>2047</v>
      </c>
      <c r="AE1" s="8">
        <v>2048</v>
      </c>
      <c r="AF1" s="8">
        <v>2049</v>
      </c>
      <c r="AG1" s="8">
        <v>2050</v>
      </c>
      <c r="AH1" s="8">
        <v>2051</v>
      </c>
      <c r="AI1" s="8">
        <v>2052</v>
      </c>
      <c r="AJ1" s="8">
        <v>2053</v>
      </c>
      <c r="AK1" s="8">
        <v>2054</v>
      </c>
      <c r="AL1" s="8">
        <v>2055</v>
      </c>
      <c r="AM1" s="8">
        <v>2056</v>
      </c>
      <c r="AN1" s="8">
        <v>2057</v>
      </c>
      <c r="AO1" s="8">
        <v>2058</v>
      </c>
      <c r="AP1" s="8">
        <v>2059</v>
      </c>
      <c r="AQ1" s="8">
        <v>2060</v>
      </c>
    </row>
    <row r="2" spans="1:43" x14ac:dyDescent="0.2">
      <c r="A2" s="1" t="s">
        <v>22</v>
      </c>
      <c r="B2" s="15">
        <f>'Total Electricity Consumption'!I15</f>
        <v>9769869.5425009727</v>
      </c>
      <c r="C2" s="15">
        <f>'Total Electricity Consumption'!I16</f>
        <v>10112513.978792667</v>
      </c>
      <c r="D2" s="15">
        <f>'Total Electricity Consumption'!I17</f>
        <v>10455158.415084362</v>
      </c>
      <c r="E2" s="4">
        <f>'Total Electricity Consumption'!B5</f>
        <v>10929408.023246268</v>
      </c>
      <c r="F2" s="4">
        <f>'Total Electricity Consumption'!C5</f>
        <v>11275266.790357228</v>
      </c>
      <c r="G2" s="4">
        <f>'Total Electricity Consumption'!D5</f>
        <v>11516643.168142494</v>
      </c>
      <c r="H2" s="4">
        <f>'Total Electricity Consumption'!E5</f>
        <v>11769913.393915644</v>
      </c>
      <c r="I2" s="4">
        <f>'Total Electricity Consumption'!F5</f>
        <v>12080569.639695352</v>
      </c>
      <c r="J2" s="4">
        <f>'Total Electricity Consumption'!G5</f>
        <v>12404817.457372576</v>
      </c>
      <c r="K2" s="4">
        <f>'Total Electricity Consumption'!H5</f>
        <v>12743465.727425588</v>
      </c>
      <c r="L2" s="4">
        <f>'Total Electricity Consumption'!I5</f>
        <v>13097373.351572534</v>
      </c>
      <c r="M2" s="4">
        <f>'Total Electricity Consumption'!J5</f>
        <v>13467452.378886869</v>
      </c>
      <c r="N2" s="4">
        <f>'Total Electricity Consumption'!K5</f>
        <v>13843085.224855248</v>
      </c>
      <c r="O2" s="4">
        <f>'Total Electricity Consumption'!L5</f>
        <v>14236830.673791802</v>
      </c>
      <c r="P2" s="4">
        <f>'Total Electricity Consumption'!M5</f>
        <v>14649781.007911414</v>
      </c>
      <c r="Q2" s="4">
        <f>'Total Electricity Consumption'!N5</f>
        <v>15083096.261465739</v>
      </c>
      <c r="R2" s="4">
        <f>'Total Electricity Consumption'!O5</f>
        <v>15538008.46578685</v>
      </c>
      <c r="S2" s="4">
        <f>'Total Electricity Consumption'!P5</f>
        <v>16003964.897834763</v>
      </c>
      <c r="T2" s="4">
        <f>'Total Electricity Consumption'!Q5</f>
        <v>16494160.184403829</v>
      </c>
      <c r="U2" s="4">
        <f>'Total Electricity Consumption'!R5</f>
        <v>17010070.586863484</v>
      </c>
      <c r="V2" s="4">
        <f>'Total Electricity Consumption'!S5</f>
        <v>17553264.202122919</v>
      </c>
      <c r="W2" s="4">
        <f>'Total Electricity Consumption'!T5</f>
        <v>18125406.730637915</v>
      </c>
      <c r="X2" s="4">
        <f>'Total Electricity Consumption'!U5</f>
        <v>18716528.585921366</v>
      </c>
      <c r="Y2" s="4">
        <f>'Total Electricity Consumption'!V5</f>
        <v>19340193.238645088</v>
      </c>
      <c r="Z2" s="4">
        <f>'Total Electricity Consumption'!W5</f>
        <v>19998397.577443905</v>
      </c>
      <c r="AA2" s="4">
        <f>'Total Electricity Consumption'!X5</f>
        <v>20693263.058424495</v>
      </c>
      <c r="AB2" s="4">
        <f>'Total Electricity Consumption'!Y5</f>
        <v>21427043.547078911</v>
      </c>
      <c r="AC2" s="4">
        <f>'Total Electricity Consumption'!Z5</f>
        <v>22190737.965541691</v>
      </c>
      <c r="AD2" s="4">
        <f>'Total Electricity Consumption'!AA5</f>
        <v>22998233.228291646</v>
      </c>
      <c r="AE2" s="4">
        <f>'Total Electricity Consumption'!AB5</f>
        <v>23852232.615236707</v>
      </c>
      <c r="AF2" s="4">
        <f>'Total Electricity Consumption'!AC5</f>
        <v>24755608.485091403</v>
      </c>
      <c r="AG2" s="4">
        <f>'Total Electricity Consumption'!AD5</f>
        <v>25711412.942754716</v>
      </c>
      <c r="AH2" s="4">
        <f>'Total Electricity Consumption'!AE5</f>
        <v>26694995.442329846</v>
      </c>
      <c r="AI2" s="4">
        <f>'Total Electricity Consumption'!AF5</f>
        <v>27737567.819266148</v>
      </c>
      <c r="AJ2" s="4">
        <f>'Total Electricity Consumption'!AG5</f>
        <v>28842792.418942213</v>
      </c>
      <c r="AK2" s="4">
        <f>'Total Electricity Consumption'!AH5</f>
        <v>30014561.227993481</v>
      </c>
      <c r="AL2" s="4">
        <f>'Total Electricity Consumption'!AI5</f>
        <v>31257010.392745823</v>
      </c>
      <c r="AM2" s="4">
        <f>'Total Electricity Consumption'!AJ5</f>
        <v>32574535.661738403</v>
      </c>
      <c r="AN2" s="4">
        <f>'Total Electricity Consumption'!AK5</f>
        <v>33971808.811473578</v>
      </c>
      <c r="AO2" s="4">
        <f>'Total Electricity Consumption'!AL5</f>
        <v>35453795.118332669</v>
      </c>
      <c r="AP2" s="4">
        <f>'Total Electricity Consumption'!AM5</f>
        <v>37025771.943642527</v>
      </c>
      <c r="AQ2" s="4">
        <f>'Total Electricity Consumption'!AN5</f>
        <v>38693348.503184788</v>
      </c>
    </row>
    <row r="3" spans="1:43" x14ac:dyDescent="0.2">
      <c r="A3" s="1" t="s">
        <v>23</v>
      </c>
      <c r="B3" s="15">
        <v>0</v>
      </c>
      <c r="C3" s="15">
        <v>0</v>
      </c>
      <c r="D3" s="15">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row>
    <row r="4" spans="1:43" x14ac:dyDescent="0.2">
      <c r="A4" s="1" t="s">
        <v>24</v>
      </c>
      <c r="B4" s="15">
        <v>0</v>
      </c>
      <c r="C4" s="15">
        <v>0</v>
      </c>
      <c r="D4" s="15">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row>
    <row r="5" spans="1:43" x14ac:dyDescent="0.2">
      <c r="A5" s="1" t="s">
        <v>25</v>
      </c>
      <c r="B5" s="15">
        <v>0</v>
      </c>
      <c r="C5" s="15">
        <v>0</v>
      </c>
      <c r="D5" s="15">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row>
    <row r="6" spans="1:43" x14ac:dyDescent="0.2">
      <c r="A6" s="1" t="s">
        <v>26</v>
      </c>
      <c r="B6" s="15">
        <v>0</v>
      </c>
      <c r="C6" s="15">
        <v>0</v>
      </c>
      <c r="D6" s="15">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row>
    <row r="7" spans="1:43" x14ac:dyDescent="0.2">
      <c r="A7" s="1" t="s">
        <v>27</v>
      </c>
      <c r="B7" s="15">
        <v>0</v>
      </c>
      <c r="C7" s="15">
        <v>0</v>
      </c>
      <c r="D7" s="15">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row>
    <row r="8" spans="1:43" x14ac:dyDescent="0.2">
      <c r="A8" s="1" t="s">
        <v>28</v>
      </c>
      <c r="B8" s="15">
        <v>0</v>
      </c>
      <c r="C8" s="15">
        <v>0</v>
      </c>
      <c r="D8" s="15">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row>
    <row r="9" spans="1:43" x14ac:dyDescent="0.2">
      <c r="A9" s="1" t="s">
        <v>29</v>
      </c>
      <c r="B9" s="15">
        <v>0</v>
      </c>
      <c r="C9" s="15">
        <v>0</v>
      </c>
      <c r="D9" s="15">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row>
    <row r="10" spans="1:43" x14ac:dyDescent="0.2">
      <c r="A10" s="1" t="s">
        <v>30</v>
      </c>
      <c r="B10" s="15">
        <v>0</v>
      </c>
      <c r="C10" s="15">
        <v>0</v>
      </c>
      <c r="D10" s="15">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row>
    <row r="11" spans="1:43" x14ac:dyDescent="0.2">
      <c r="A11" s="1" t="s">
        <v>31</v>
      </c>
      <c r="B11" s="15">
        <v>0</v>
      </c>
      <c r="C11" s="15">
        <v>0</v>
      </c>
      <c r="D11" s="15">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7B90-AA41-CC4A-AAFF-7B7590B580B6}">
  <dimension ref="A1:AQ11"/>
  <sheetViews>
    <sheetView workbookViewId="0">
      <selection activeCell="E10" sqref="E10"/>
    </sheetView>
  </sheetViews>
  <sheetFormatPr baseColWidth="10" defaultRowHeight="16" x14ac:dyDescent="0.2"/>
  <sheetData>
    <row r="1" spans="1:43" x14ac:dyDescent="0.2">
      <c r="A1" s="33" t="s">
        <v>11</v>
      </c>
      <c r="B1" s="34">
        <v>2019</v>
      </c>
      <c r="C1" s="34">
        <v>2020</v>
      </c>
      <c r="D1" s="34">
        <v>2021</v>
      </c>
      <c r="E1" s="8">
        <v>2022</v>
      </c>
      <c r="F1" s="8">
        <v>2023</v>
      </c>
      <c r="G1" s="8">
        <v>2024</v>
      </c>
      <c r="H1" s="8">
        <v>2025</v>
      </c>
      <c r="I1" s="8">
        <v>2026</v>
      </c>
      <c r="J1" s="8">
        <v>2027</v>
      </c>
      <c r="K1" s="8">
        <v>2028</v>
      </c>
      <c r="L1" s="8">
        <v>2029</v>
      </c>
      <c r="M1" s="8">
        <v>2030</v>
      </c>
      <c r="N1" s="8">
        <v>2031</v>
      </c>
      <c r="O1" s="8">
        <v>2032</v>
      </c>
      <c r="P1" s="8">
        <v>2033</v>
      </c>
      <c r="Q1" s="8">
        <v>2034</v>
      </c>
      <c r="R1" s="8">
        <v>2035</v>
      </c>
      <c r="S1" s="8">
        <v>2036</v>
      </c>
      <c r="T1" s="8">
        <v>2037</v>
      </c>
      <c r="U1" s="8">
        <v>2038</v>
      </c>
      <c r="V1" s="8">
        <v>2039</v>
      </c>
      <c r="W1" s="8">
        <v>2040</v>
      </c>
      <c r="X1" s="8">
        <v>2041</v>
      </c>
      <c r="Y1" s="8">
        <v>2042</v>
      </c>
      <c r="Z1" s="8">
        <v>2043</v>
      </c>
      <c r="AA1" s="8">
        <v>2044</v>
      </c>
      <c r="AB1" s="8">
        <v>2045</v>
      </c>
      <c r="AC1" s="8">
        <v>2046</v>
      </c>
      <c r="AD1" s="8">
        <v>2047</v>
      </c>
      <c r="AE1" s="8">
        <v>2048</v>
      </c>
      <c r="AF1" s="8">
        <v>2049</v>
      </c>
      <c r="AG1" s="8">
        <v>2050</v>
      </c>
      <c r="AH1" s="8">
        <v>2051</v>
      </c>
      <c r="AI1" s="8">
        <v>2052</v>
      </c>
      <c r="AJ1" s="8">
        <v>2053</v>
      </c>
      <c r="AK1" s="8">
        <v>2054</v>
      </c>
      <c r="AL1" s="8">
        <v>2055</v>
      </c>
      <c r="AM1" s="8">
        <v>2056</v>
      </c>
      <c r="AN1" s="8">
        <v>2057</v>
      </c>
      <c r="AO1" s="8">
        <v>2058</v>
      </c>
      <c r="AP1" s="8">
        <v>2059</v>
      </c>
      <c r="AQ1" s="8">
        <v>2060</v>
      </c>
    </row>
    <row r="2" spans="1:43" x14ac:dyDescent="0.2">
      <c r="A2" s="33" t="s">
        <v>22</v>
      </c>
      <c r="B2" s="32">
        <f>'Total Electricity Consumption'!G15 +'Total Other Sectors'!E15+'Total Other Sectors'!M15</f>
        <v>28571339.9083727</v>
      </c>
      <c r="C2" s="32">
        <f>'Total Electricity Consumption'!G16+'Total Other Sectors'!E16+'Total Other Sectors'!M16</f>
        <v>29488662.135480583</v>
      </c>
      <c r="D2" s="32">
        <f>'Total Electricity Consumption'!G17+'Total Other Sectors'!E17+'Total Other Sectors'!M17</f>
        <v>30405984.362588525</v>
      </c>
      <c r="E2" s="4">
        <f>'Total Electricity Consumption'!B4+'Total Other Sectors'!B3+'Total Other Sectors'!B8</f>
        <v>21464568.51548741</v>
      </c>
      <c r="F2" s="4">
        <f>'Total Electricity Consumption'!C4+'Total Other Sectors'!C3+'Total Other Sectors'!C8</f>
        <v>22144438.322786976</v>
      </c>
      <c r="G2" s="4">
        <f>'Total Electricity Consumption'!D4+'Total Other Sectors'!D3+'Total Other Sectors'!D8</f>
        <v>22657549.71891357</v>
      </c>
      <c r="H2" s="4">
        <f>'Total Electricity Consumption'!E4+'Total Other Sectors'!E3+'Total Other Sectors'!E8</f>
        <v>23197474.374155883</v>
      </c>
      <c r="I2" s="4">
        <f>'Total Electricity Consumption'!F4+'Total Other Sectors'!F3+'Total Other Sectors'!F8</f>
        <v>23850901.538049109</v>
      </c>
      <c r="J2" s="4">
        <f>'Total Electricity Consumption'!G4+'Total Other Sectors'!G3+'Total Other Sectors'!G8</f>
        <v>24534928.686160915</v>
      </c>
      <c r="K2" s="4">
        <f>'Total Electricity Consumption'!H4+'Total Other Sectors'!H3+'Total Other Sectors'!H8</f>
        <v>25251431.353982642</v>
      </c>
      <c r="L2" s="4">
        <f>'Total Electricity Consumption'!I4+'Total Other Sectors'!I3+'Total Other Sectors'!I8</f>
        <v>26002403.294264127</v>
      </c>
      <c r="M2" s="4">
        <f>'Total Electricity Consumption'!J4+'Total Other Sectors'!J3+'Total Other Sectors'!J8</f>
        <v>26789963.982975688</v>
      </c>
      <c r="N2" s="4">
        <f>'Total Electricity Consumption'!K4+'Total Other Sectors'!K3+'Total Other Sectors'!K8</f>
        <v>27594397.440446574</v>
      </c>
      <c r="O2" s="4">
        <f>'Total Electricity Consumption'!L4+'Total Other Sectors'!L3+'Total Other Sectors'!L8</f>
        <v>28439975.54578355</v>
      </c>
      <c r="P2" s="4">
        <f>'Total Electricity Consumption'!M4+'Total Other Sectors'!M3+'Total Other Sectors'!M8</f>
        <v>29329244.930210177</v>
      </c>
      <c r="Q2" s="4">
        <f>'Total Electricity Consumption'!N4+'Total Other Sectors'!N3+'Total Other Sectors'!N8</f>
        <v>30264913.083714779</v>
      </c>
      <c r="R2" s="4">
        <f>'Total Electricity Consumption'!O4+'Total Other Sectors'!O3+'Total Other Sectors'!O8</f>
        <v>31249858.586129081</v>
      </c>
      <c r="S2" s="4">
        <f>'Total Electricity Consumption'!P4+'Total Other Sectors'!P3+'Total Other Sectors'!P8</f>
        <v>32264684.49429445</v>
      </c>
      <c r="T2" s="4">
        <f>'Total Electricity Consumption'!Q4+'Total Other Sectors'!Q3+'Total Other Sectors'!Q8</f>
        <v>33335008.67359883</v>
      </c>
      <c r="U2" s="4">
        <f>'Total Electricity Consumption'!R4+'Total Other Sectors'!R3+'Total Other Sectors'!R8</f>
        <v>34464291.116399616</v>
      </c>
      <c r="V2" s="4">
        <f>'Total Electricity Consumption'!S4+'Total Other Sectors'!S3+'Total Other Sectors'!S8</f>
        <v>35656210.806943789</v>
      </c>
      <c r="W2" s="4">
        <f>'Total Electricity Consumption'!T4+'Total Other Sectors'!T3+'Total Other Sectors'!T8</f>
        <v>36914679.672630988</v>
      </c>
      <c r="X2" s="4">
        <f>'Total Electricity Consumption'!U4+'Total Other Sectors'!U3+'Total Other Sectors'!U8</f>
        <v>38221663.668392971</v>
      </c>
      <c r="Y2" s="4">
        <f>'Total Electricity Consumption'!V4+'Total Other Sectors'!V3+'Total Other Sectors'!V8</f>
        <v>39603688.16603224</v>
      </c>
      <c r="Z2" s="4">
        <f>'Total Electricity Consumption'!W4+'Total Other Sectors'!W3+'Total Other Sectors'!W8</f>
        <v>41065456.855644561</v>
      </c>
      <c r="AA2" s="4">
        <f>'Total Electricity Consumption'!X4+'Total Other Sectors'!X3+'Total Other Sectors'!X8</f>
        <v>42611971.703554176</v>
      </c>
      <c r="AB2" s="4">
        <f>'Total Electricity Consumption'!Y4+'Total Other Sectors'!Y3+'Total Other Sectors'!Y8</f>
        <v>44248551.983783074</v>
      </c>
      <c r="AC2" s="4">
        <f>'Total Electricity Consumption'!Z4+'Total Other Sectors'!Z3+'Total Other Sectors'!Z8</f>
        <v>45959340.490633182</v>
      </c>
      <c r="AD2" s="4">
        <f>'Total Electricity Consumption'!AA4+'Total Other Sectors'!AA3+'Total Other Sectors'!AA8</f>
        <v>47771779.236208536</v>
      </c>
      <c r="AE2" s="4">
        <f>'Total Electricity Consumption'!AB4+'Total Other Sectors'!AB3+'Total Other Sectors'!AB8</f>
        <v>49692266.207393803</v>
      </c>
      <c r="AF2" s="4">
        <f>'Total Electricity Consumption'!AC4+'Total Other Sectors'!AC3+'Total Other Sectors'!AC8</f>
        <v>51727605.838993162</v>
      </c>
      <c r="AG2" s="4">
        <f>'Total Electricity Consumption'!AD4+'Total Other Sectors'!AD3+'Total Other Sectors'!AD8</f>
        <v>53885034.984686904</v>
      </c>
      <c r="AH2" s="4">
        <f>'Total Electricity Consumption'!AE4+'Total Other Sectors'!AE3+'Total Other Sectors'!AE8</f>
        <v>56119662.910409771</v>
      </c>
      <c r="AI2" s="4">
        <f>'Total Electricity Consumption'!AF4+'Total Other Sectors'!AF3+'Total Other Sectors'!AF8</f>
        <v>58492050.78694015</v>
      </c>
      <c r="AJ2" s="4">
        <f>'Total Electricity Consumption'!AG4+'Total Other Sectors'!AG3+'Total Other Sectors'!AG8</f>
        <v>61010905.766355932</v>
      </c>
      <c r="AK2" s="4">
        <f>'Total Electricity Consumption'!AH4+'Total Other Sectors'!AH3+'Total Other Sectors'!AH8</f>
        <v>63685489.084781215</v>
      </c>
      <c r="AL2" s="4">
        <f>'Total Electricity Consumption'!AI4+'Total Other Sectors'!AI3+'Total Other Sectors'!AI8</f>
        <v>66525651.515225679</v>
      </c>
      <c r="AM2" s="4">
        <f>'Total Electricity Consumption'!AJ4+'Total Other Sectors'!AJ3+'Total Other Sectors'!AJ8</f>
        <v>69541871.098777592</v>
      </c>
      <c r="AN2" s="4">
        <f>'Total Electricity Consumption'!AK4+'Total Other Sectors'!AK3+'Total Other Sectors'!AK8</f>
        <v>72745293.301073819</v>
      </c>
      <c r="AO2" s="4">
        <f>'Total Electricity Consumption'!AL4+'Total Other Sectors'!AL3+'Total Other Sectors'!AL8</f>
        <v>76147773.750469133</v>
      </c>
      <c r="AP2" s="4">
        <f>'Total Electricity Consumption'!AM4+'Total Other Sectors'!AM3+'Total Other Sectors'!AM8</f>
        <v>79761923.724444151</v>
      </c>
      <c r="AQ2" s="4">
        <f>'Total Electricity Consumption'!AN4+'Total Other Sectors'!AN3+'Total Other Sectors'!AN8</f>
        <v>83601158.561561882</v>
      </c>
    </row>
    <row r="3" spans="1:43" x14ac:dyDescent="0.2">
      <c r="A3" s="33" t="s">
        <v>23</v>
      </c>
      <c r="B3" s="32">
        <v>0</v>
      </c>
      <c r="C3" s="32">
        <v>0</v>
      </c>
      <c r="D3" s="32">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row>
    <row r="4" spans="1:43" x14ac:dyDescent="0.2">
      <c r="A4" s="33" t="s">
        <v>24</v>
      </c>
      <c r="B4" s="32">
        <f>'Total Other Sectors'!G15</f>
        <v>2123372.4080512077</v>
      </c>
      <c r="C4" s="32">
        <f>'Total Other Sectors'!G16</f>
        <v>2176461.9287858158</v>
      </c>
      <c r="D4" s="32">
        <f>'Total Other Sectors'!G17</f>
        <v>2229551.4495204091</v>
      </c>
      <c r="E4" s="4">
        <f>'Total Other Sectors'!B4</f>
        <v>2299912.3367749481</v>
      </c>
      <c r="F4" s="4">
        <f>'Total Other Sectors'!C4</f>
        <v>2339649.0243040454</v>
      </c>
      <c r="G4" s="4">
        <f>'Total Other Sectors'!D4</f>
        <v>2381580.8548520189</v>
      </c>
      <c r="H4" s="4">
        <f>'Total Other Sectors'!E4</f>
        <v>2425851.0936092082</v>
      </c>
      <c r="I4" s="4">
        <f>'Total Other Sectors'!F4</f>
        <v>2482833.4368244875</v>
      </c>
      <c r="J4" s="4">
        <f>'Total Other Sectors'!G4</f>
        <v>2542469.3793112878</v>
      </c>
      <c r="K4" s="4">
        <f>'Total Other Sectors'!H4</f>
        <v>2604932.1072362741</v>
      </c>
      <c r="L4" s="4">
        <f>'Total Other Sectors'!I4</f>
        <v>2670406.1096966774</v>
      </c>
      <c r="M4" s="4">
        <f>'Total Other Sectors'!J4</f>
        <v>2739087.9164018468</v>
      </c>
      <c r="N4" s="4">
        <f>'Total Other Sectors'!K4</f>
        <v>2808573.8987555825</v>
      </c>
      <c r="O4" s="4">
        <f>'Total Other Sectors'!L4</f>
        <v>2881700.0612000101</v>
      </c>
      <c r="P4" s="4">
        <f>'Total Other Sectors'!M4</f>
        <v>2958703.9787309612</v>
      </c>
      <c r="Q4" s="4">
        <f>'Total Other Sectors'!N4</f>
        <v>3039838.7315877541</v>
      </c>
      <c r="R4" s="4">
        <f>'Total Other Sectors'!O4</f>
        <v>3125373.9171971316</v>
      </c>
      <c r="S4" s="4">
        <f>'Total Other Sectors'!P4</f>
        <v>3212953.5363992136</v>
      </c>
      <c r="T4" s="4">
        <f>'Total Other Sectors'!Q4</f>
        <v>3305526.7170764105</v>
      </c>
      <c r="U4" s="4">
        <f>'Total Other Sectors'!R4</f>
        <v>3403419.3621557998</v>
      </c>
      <c r="V4" s="4">
        <f>'Total Other Sectors'!S4</f>
        <v>3506978.6444974281</v>
      </c>
      <c r="W4" s="4">
        <f>'Total Other Sectors'!T4</f>
        <v>3616574.3950685607</v>
      </c>
      <c r="X4" s="4">
        <f>'Total Other Sectors'!U4</f>
        <v>3730015.4096903177</v>
      </c>
      <c r="Y4" s="4">
        <f>'Total Other Sectors'!V4</f>
        <v>3850306.5404009805</v>
      </c>
      <c r="Z4" s="4">
        <f>'Total Other Sectors'!W4</f>
        <v>3977894.8574719997</v>
      </c>
      <c r="AA4" s="4">
        <f>'Total Other Sectors'!X4</f>
        <v>4113256.6090493342</v>
      </c>
      <c r="AB4" s="4">
        <f>'Total Other Sectors'!Y4</f>
        <v>4256899.1254365426</v>
      </c>
      <c r="AC4" s="4">
        <f>'Total Other Sectors'!Z4</f>
        <v>4406882.4683622662</v>
      </c>
      <c r="AD4" s="4">
        <f>'Total Other Sectors'!AA4</f>
        <v>4566262.7298330665</v>
      </c>
      <c r="AE4" s="4">
        <f>'Total Other Sectors'!AB4</f>
        <v>4735653.1962327361</v>
      </c>
      <c r="AF4" s="4">
        <f>'Total Other Sectors'!AC4</f>
        <v>4915707.1798521522</v>
      </c>
      <c r="AG4" s="4">
        <f>'Total Other Sectors'!AD4</f>
        <v>5107120.6311651682</v>
      </c>
      <c r="AH4" s="4">
        <f>'Total Other Sectors'!AE4</f>
        <v>5304633.3797909301</v>
      </c>
      <c r="AI4" s="4">
        <f>'Total Other Sectors'!AF4</f>
        <v>5515036.7242834978</v>
      </c>
      <c r="AJ4" s="4">
        <f>'Total Other Sectors'!AG4</f>
        <v>5739171.9645739272</v>
      </c>
      <c r="AK4" s="4">
        <f>'Total Other Sectors'!AH4</f>
        <v>5977935.3077194635</v>
      </c>
      <c r="AL4" s="4">
        <f>'Total Other Sectors'!AI4</f>
        <v>6232281.4513966683</v>
      </c>
      <c r="AM4" s="4">
        <f>'Total Other Sectors'!AJ4</f>
        <v>6503227.4012698531</v>
      </c>
      <c r="AN4" s="4">
        <f>'Total Other Sectors'!AK4</f>
        <v>6791856.5374986716</v>
      </c>
      <c r="AO4" s="4">
        <f>'Total Other Sectors'!AL4</f>
        <v>7099322.9466447998</v>
      </c>
      <c r="AP4" s="4">
        <f>'Total Other Sectors'!AM4</f>
        <v>7426856.0362988766</v>
      </c>
      <c r="AQ4" s="4">
        <f>'Total Other Sectors'!AN4</f>
        <v>7775765.4508793838</v>
      </c>
    </row>
    <row r="5" spans="1:43" x14ac:dyDescent="0.2">
      <c r="A5" s="33" t="s">
        <v>25</v>
      </c>
      <c r="B5" s="32">
        <f>'Total Other Sectors'!K15</f>
        <v>920047.56509218365</v>
      </c>
      <c r="C5" s="32">
        <f>'Total Other Sectors'!K16</f>
        <v>941630.24161342531</v>
      </c>
      <c r="D5" s="32">
        <f>'Total Other Sectors'!K17</f>
        <v>963212.91813466698</v>
      </c>
      <c r="E5" s="4">
        <f>'Total Other Sectors'!B6</f>
        <v>989804.97371746902</v>
      </c>
      <c r="F5" s="4">
        <f>'Total Other Sectors'!C6</f>
        <v>1016431.4730912198</v>
      </c>
      <c r="G5" s="4">
        <f>'Total Other Sectors'!D6</f>
        <v>1030514.8253536799</v>
      </c>
      <c r="H5" s="4">
        <f>'Total Other Sectors'!E6</f>
        <v>1045193.8308173523</v>
      </c>
      <c r="I5" s="4">
        <f>'Total Other Sectors'!F6</f>
        <v>1065563.7909111511</v>
      </c>
      <c r="J5" s="4">
        <f>'Total Other Sectors'!G6</f>
        <v>1086632.3611796754</v>
      </c>
      <c r="K5" s="4">
        <f>'Total Other Sectors'!H6</f>
        <v>1108442.5170320182</v>
      </c>
      <c r="L5" s="4">
        <f>'Total Other Sectors'!I6</f>
        <v>1131040.0366179631</v>
      </c>
      <c r="M5" s="4">
        <f>'Total Other Sectors'!J6</f>
        <v>1154473.6836461462</v>
      </c>
      <c r="N5" s="4">
        <f>'Total Other Sectors'!K6</f>
        <v>1177486.6772746374</v>
      </c>
      <c r="O5" s="4">
        <f>'Total Other Sectors'!L6</f>
        <v>1201436.7498343072</v>
      </c>
      <c r="P5" s="4">
        <f>'Total Other Sectors'!M6</f>
        <v>1226382.8418254312</v>
      </c>
      <c r="Q5" s="4">
        <f>'Total Other Sectors'!N6</f>
        <v>1252387.7378829219</v>
      </c>
      <c r="R5" s="4">
        <f>'Total Other Sectors'!O6</f>
        <v>1279518.3175325836</v>
      </c>
      <c r="S5" s="4">
        <f>'Total Other Sectors'!P6</f>
        <v>1306505.9746373803</v>
      </c>
      <c r="T5" s="4">
        <f>'Total Other Sectors'!Q6</f>
        <v>1334760.0475471308</v>
      </c>
      <c r="U5" s="4">
        <f>'Total Other Sectors'!R6</f>
        <v>1364361.3739944631</v>
      </c>
      <c r="V5" s="4">
        <f>'Total Other Sectors'!S6</f>
        <v>1395396.0642443553</v>
      </c>
      <c r="W5" s="4">
        <f>'Total Other Sectors'!T6</f>
        <v>1427955.8450383875</v>
      </c>
      <c r="X5" s="4">
        <f>'Total Other Sectors'!U6</f>
        <v>1460812.346385255</v>
      </c>
      <c r="Y5" s="4">
        <f>'Total Other Sectors'!V6</f>
        <v>1495389.4736538348</v>
      </c>
      <c r="Z5" s="4">
        <f>'Total Other Sectors'!W6</f>
        <v>1531798.098488014</v>
      </c>
      <c r="AA5" s="4">
        <f>'Total Other Sectors'!X6</f>
        <v>1570156.324300969</v>
      </c>
      <c r="AB5" s="4">
        <f>'Total Other Sectors'!Y6</f>
        <v>1610589.9580425322</v>
      </c>
      <c r="AC5" s="4">
        <f>'Total Other Sectors'!Z6</f>
        <v>1651945.6788679403</v>
      </c>
      <c r="AD5" s="4">
        <f>'Total Other Sectors'!AA6</f>
        <v>1695647.5717661341</v>
      </c>
      <c r="AE5" s="4">
        <f>'Total Other Sectors'!AB6</f>
        <v>1741847.7028649866</v>
      </c>
      <c r="AF5" s="4">
        <f>'Total Other Sectors'!AC6</f>
        <v>1790708.057436394</v>
      </c>
      <c r="AG5" s="4">
        <f>'Total Other Sectors'!AD6</f>
        <v>1842401.1869957624</v>
      </c>
      <c r="AH5" s="4">
        <f>'Total Other Sectors'!AE6</f>
        <v>1893959.7429437977</v>
      </c>
      <c r="AI5" s="4">
        <f>'Total Other Sectors'!AF6</f>
        <v>1948716.1521721245</v>
      </c>
      <c r="AJ5" s="4">
        <f>'Total Other Sectors'!AG6</f>
        <v>2006878.9836692242</v>
      </c>
      <c r="AK5" s="4">
        <f>'Total Other Sectors'!AH6</f>
        <v>2068670.4117151597</v>
      </c>
      <c r="AL5" s="4">
        <f>'Total Other Sectors'!AI6</f>
        <v>2134327.1034815782</v>
      </c>
      <c r="AM5" s="4">
        <f>'Total Other Sectors'!AJ6</f>
        <v>2204101.1645433735</v>
      </c>
      <c r="AN5" s="4">
        <f>'Total Other Sectors'!AK6</f>
        <v>2278261.1460807482</v>
      </c>
      <c r="AO5" s="4">
        <f>'Total Other Sectors'!AL6</f>
        <v>2357093.1177969547</v>
      </c>
      <c r="AP5" s="4">
        <f>'Total Other Sectors'!AM6</f>
        <v>2440901.8108396926</v>
      </c>
      <c r="AQ5" s="4">
        <f>'Total Other Sectors'!AN6</f>
        <v>2530011.8352939175</v>
      </c>
    </row>
    <row r="6" spans="1:43" x14ac:dyDescent="0.2">
      <c r="A6" s="33" t="s">
        <v>26</v>
      </c>
      <c r="B6" s="32">
        <f>'Total Other Sectors'!E15</f>
        <v>4304780.15320611</v>
      </c>
      <c r="C6" s="32">
        <f>'Total Other Sectors'!E16</f>
        <v>4600360.2395888567</v>
      </c>
      <c r="D6" s="32">
        <f>'Total Other Sectors'!E17</f>
        <v>4895940.3259716034</v>
      </c>
      <c r="E6" s="4">
        <f>'Total Other Sectors'!B3</f>
        <v>5359282.5791786565</v>
      </c>
      <c r="F6" s="4">
        <f>'Total Other Sectors'!C3</f>
        <v>5566922.1123801591</v>
      </c>
      <c r="G6" s="4">
        <f>'Total Other Sectors'!D3</f>
        <v>5787600.2781136483</v>
      </c>
      <c r="H6" s="4">
        <f>'Total Other Sectors'!E3</f>
        <v>6022168.0378679102</v>
      </c>
      <c r="I6" s="4">
        <f>'Total Other Sectors'!F3</f>
        <v>6284694.8220135197</v>
      </c>
      <c r="J6" s="4">
        <f>'Total Other Sectors'!G3</f>
        <v>6562983.3608561931</v>
      </c>
      <c r="K6" s="4">
        <f>'Total Other Sectors'!H3</f>
        <v>6858062.3394371057</v>
      </c>
      <c r="L6" s="4">
        <f>'Total Other Sectors'!I3</f>
        <v>7171027.5795429358</v>
      </c>
      <c r="M6" s="4">
        <f>'Total Other Sectors'!J3</f>
        <v>7503046.4213605318</v>
      </c>
      <c r="N6" s="4">
        <f>'Total Other Sectors'!K3</f>
        <v>7851997.3322846657</v>
      </c>
      <c r="O6" s="4">
        <f>'Total Other Sectors'!L3</f>
        <v>8222570.0556121934</v>
      </c>
      <c r="P6" s="4">
        <f>'Total Other Sectors'!M3</f>
        <v>8616175.730864685</v>
      </c>
      <c r="Q6" s="4">
        <f>'Total Other Sectors'!N3</f>
        <v>9034317.5950582325</v>
      </c>
      <c r="R6" s="4">
        <f>'Total Other Sectors'!O3</f>
        <v>9478596.993412083</v>
      </c>
      <c r="S6" s="4">
        <f>'Total Other Sectors'!P3</f>
        <v>9947315.8222720139</v>
      </c>
      <c r="T6" s="4">
        <f>'Total Other Sectors'!Q3</f>
        <v>10445695.230210399</v>
      </c>
      <c r="U6" s="4">
        <f>'Total Other Sectors'!R3</f>
        <v>10975671.0038574</v>
      </c>
      <c r="V6" s="4">
        <f>'Total Other Sectors'!S3</f>
        <v>11539305.268235542</v>
      </c>
      <c r="W6" s="4">
        <f>'Total Other Sectors'!T3</f>
        <v>12138794.732187774</v>
      </c>
      <c r="X6" s="4">
        <f>'Total Other Sectors'!U3</f>
        <v>12773150.23095125</v>
      </c>
      <c r="Y6" s="4">
        <f>'Total Other Sectors'!V3</f>
        <v>13448193.805943303</v>
      </c>
      <c r="Z6" s="4">
        <f>'Total Other Sectors'!W3</f>
        <v>14166580.949282337</v>
      </c>
      <c r="AA6" s="4">
        <f>'Total Other Sectors'!X3</f>
        <v>14931140.462789366</v>
      </c>
      <c r="AB6" s="4">
        <f>'Total Other Sectors'!Y3</f>
        <v>15744885.76898111</v>
      </c>
      <c r="AC6" s="4">
        <f>'Total Other Sectors'!Z3</f>
        <v>16607832.673645711</v>
      </c>
      <c r="AD6" s="4">
        <f>'Total Other Sectors'!AA3</f>
        <v>17526595.061305553</v>
      </c>
      <c r="AE6" s="4">
        <f>'Total Other Sectors'!AB3</f>
        <v>18504815.708639145</v>
      </c>
      <c r="AF6" s="4">
        <f>'Total Other Sectors'!AC3</f>
        <v>19546375.136786163</v>
      </c>
      <c r="AG6" s="4">
        <f>'Total Other Sectors'!AD3</f>
        <v>20655407.127651025</v>
      </c>
      <c r="AH6" s="4">
        <f>'Total Other Sectors'!AE3</f>
        <v>21828586.336280089</v>
      </c>
      <c r="AI6" s="4">
        <f>'Total Other Sectors'!AF3</f>
        <v>23078332.648364488</v>
      </c>
      <c r="AJ6" s="4">
        <f>'Total Other Sectors'!AG3</f>
        <v>24409643.1873517</v>
      </c>
      <c r="AK6" s="4">
        <f>'Total Other Sectors'!AH3</f>
        <v>25827841.212087069</v>
      </c>
      <c r="AL6" s="4">
        <f>'Total Other Sectors'!AI3</f>
        <v>27338597.401918944</v>
      </c>
      <c r="AM6" s="4">
        <f>'Total Other Sectors'!AJ3</f>
        <v>28947952.530968133</v>
      </c>
      <c r="AN6" s="4">
        <f>'Total Other Sectors'!AK3</f>
        <v>30662341.622225255</v>
      </c>
      <c r="AO6" s="4">
        <f>'Total Other Sectors'!AL3</f>
        <v>32488619.678056143</v>
      </c>
      <c r="AP6" s="4">
        <f>'Total Other Sectors'!AM3</f>
        <v>34434089.089999117</v>
      </c>
      <c r="AQ6" s="4">
        <f>'Total Other Sectors'!AN3</f>
        <v>36506528.837452449</v>
      </c>
    </row>
    <row r="7" spans="1:43" x14ac:dyDescent="0.2">
      <c r="A7" s="33" t="s">
        <v>27</v>
      </c>
      <c r="B7" s="32">
        <f>'Total Other Sectors'!C15</f>
        <v>6379155.5144389868</v>
      </c>
      <c r="C7" s="32">
        <f>'Total Other Sectors'!C16</f>
        <v>6725113.9213049412</v>
      </c>
      <c r="D7" s="32">
        <f>'Total Other Sectors'!C17</f>
        <v>7071072.3281707764</v>
      </c>
      <c r="E7" s="4">
        <f>'Total Other Sectors'!B2</f>
        <v>7420588.1681196541</v>
      </c>
      <c r="F7" s="4">
        <f>'Total Other Sectors'!C2</f>
        <v>7755874.2757369736</v>
      </c>
      <c r="G7" s="4">
        <f>'Total Other Sectors'!D2</f>
        <v>8112504.9818514977</v>
      </c>
      <c r="H7" s="4">
        <f>'Total Other Sectors'!E2</f>
        <v>8491873.33372261</v>
      </c>
      <c r="I7" s="4">
        <f>'Total Other Sectors'!F2</f>
        <v>8909263.7360791825</v>
      </c>
      <c r="J7" s="4">
        <f>'Total Other Sectors'!G2</f>
        <v>9352456.5624855906</v>
      </c>
      <c r="K7" s="4">
        <f>'Total Other Sectors'!H2</f>
        <v>9823135.7985231485</v>
      </c>
      <c r="L7" s="4">
        <f>'Total Other Sectors'!I2</f>
        <v>10323095.334463999</v>
      </c>
      <c r="M7" s="4">
        <f>'Total Other Sectors'!J2</f>
        <v>10854246.138159785</v>
      </c>
      <c r="N7" s="4">
        <f>'Total Other Sectors'!K2</f>
        <v>11415095.860090172</v>
      </c>
      <c r="O7" s="4">
        <f>'Total Other Sectors'!L2</f>
        <v>12011341.081004076</v>
      </c>
      <c r="P7" s="4">
        <f>'Total Other Sectors'!M2</f>
        <v>12645291.874940138</v>
      </c>
      <c r="Q7" s="4">
        <f>'Total Other Sectors'!N2</f>
        <v>13319409.082057459</v>
      </c>
      <c r="R7" s="4">
        <f>'Total Other Sectors'!O2</f>
        <v>14036314.148330254</v>
      </c>
      <c r="S7" s="4">
        <f>'Total Other Sectors'!P2</f>
        <v>14795230.786119444</v>
      </c>
      <c r="T7" s="4">
        <f>'Total Other Sectors'!Q2</f>
        <v>15602702.604068143</v>
      </c>
      <c r="U7" s="4">
        <f>'Total Other Sectors'!R2</f>
        <v>16461898.53789838</v>
      </c>
      <c r="V7" s="4">
        <f>'Total Other Sectors'!S2</f>
        <v>17376194.34274007</v>
      </c>
      <c r="W7" s="4">
        <f>'Total Other Sectors'!T2</f>
        <v>18349186.091122523</v>
      </c>
      <c r="X7" s="4">
        <f>'Total Other Sectors'!U2</f>
        <v>19381214.068491854</v>
      </c>
      <c r="Y7" s="4">
        <f>'Total Other Sectors'!V2</f>
        <v>20479849.540826034</v>
      </c>
      <c r="Z7" s="4">
        <f>'Total Other Sectors'!W2</f>
        <v>21649439.62143933</v>
      </c>
      <c r="AA7" s="4">
        <f>'Total Other Sectors'!X2</f>
        <v>22894615.136375021</v>
      </c>
      <c r="AB7" s="4">
        <f>'Total Other Sectors'!Y2</f>
        <v>24220309.140810788</v>
      </c>
      <c r="AC7" s="4">
        <f>'Total Other Sectors'!Z2</f>
        <v>25628427.651014082</v>
      </c>
      <c r="AD7" s="4">
        <f>'Total Other Sectors'!AA2</f>
        <v>27127917.635299366</v>
      </c>
      <c r="AE7" s="4">
        <f>'Total Other Sectors'!AB2</f>
        <v>28724742.418841057</v>
      </c>
      <c r="AF7" s="4">
        <f>'Total Other Sectors'!AC2</f>
        <v>30425254.521006718</v>
      </c>
      <c r="AG7" s="4">
        <f>'Total Other Sectors'!AD2</f>
        <v>32236221.055970985</v>
      </c>
      <c r="AH7" s="4">
        <f>'Total Other Sectors'!AE2</f>
        <v>34156747.546155207</v>
      </c>
      <c r="AI7" s="4">
        <f>'Total Other Sectors'!AF2</f>
        <v>36202616.481364921</v>
      </c>
      <c r="AJ7" s="4">
        <f>'Total Other Sectors'!AG2</f>
        <v>38382008.289521985</v>
      </c>
      <c r="AK7" s="4">
        <f>'Total Other Sectors'!AH2</f>
        <v>40703637.291125268</v>
      </c>
      <c r="AL7" s="4">
        <f>'Total Other Sectors'!AI2</f>
        <v>43176786.543550581</v>
      </c>
      <c r="AM7" s="4">
        <f>'Total Other Sectors'!AJ2</f>
        <v>45811344.959450759</v>
      </c>
      <c r="AN7" s="4">
        <f>'Total Other Sectors'!AK2</f>
        <v>48617846.847674385</v>
      </c>
      <c r="AO7" s="4">
        <f>'Total Other Sectors'!AL2</f>
        <v>51607514.034807704</v>
      </c>
      <c r="AP7" s="4">
        <f>'Total Other Sectors'!AM2</f>
        <v>54792300.735763431</v>
      </c>
      <c r="AQ7" s="4">
        <f>'Total Other Sectors'!AN2</f>
        <v>58184941.352831587</v>
      </c>
    </row>
    <row r="8" spans="1:43" x14ac:dyDescent="0.2">
      <c r="A8" s="33" t="s">
        <v>28</v>
      </c>
      <c r="B8" s="32">
        <f>'Total Other Sectors'!I15</f>
        <v>620356.00542429835</v>
      </c>
      <c r="C8" s="32">
        <f>'Total Other Sectors'!I16</f>
        <v>625306.72719156742</v>
      </c>
      <c r="D8" s="32">
        <f>'Total Other Sectors'!I17</f>
        <v>630257.4489588365</v>
      </c>
      <c r="E8" s="4">
        <f>'Total Other Sectors'!B5</f>
        <v>639821.05080976943</v>
      </c>
      <c r="F8" s="4">
        <f>'Total Other Sectors'!C5</f>
        <v>642008.88209712761</v>
      </c>
      <c r="G8" s="4">
        <f>'Total Other Sectors'!D5</f>
        <v>644196.71338448592</v>
      </c>
      <c r="H8" s="4">
        <f>'Total Other Sectors'!E5</f>
        <v>646384.54467184411</v>
      </c>
      <c r="I8" s="4">
        <f>'Total Other Sectors'!F5</f>
        <v>652236.96281764959</v>
      </c>
      <c r="J8" s="4">
        <f>'Total Other Sectors'!G5</f>
        <v>658089.38096345495</v>
      </c>
      <c r="K8" s="4">
        <f>'Total Other Sectors'!H5</f>
        <v>663941.79910926044</v>
      </c>
      <c r="L8" s="4">
        <f>'Total Other Sectors'!I5</f>
        <v>669794.2172550658</v>
      </c>
      <c r="M8" s="4">
        <f>'Total Other Sectors'!J5</f>
        <v>675646.63540087128</v>
      </c>
      <c r="N8" s="4">
        <f>'Total Other Sectors'!K5</f>
        <v>680562.21431821166</v>
      </c>
      <c r="O8" s="4">
        <f>'Total Other Sectors'!L5</f>
        <v>685477.79323555226</v>
      </c>
      <c r="P8" s="4">
        <f>'Total Other Sectors'!M5</f>
        <v>690393.37215289276</v>
      </c>
      <c r="Q8" s="4">
        <f>'Total Other Sectors'!N5</f>
        <v>695308.95107023325</v>
      </c>
      <c r="R8" s="4">
        <f>'Total Other Sectors'!O5</f>
        <v>700224.52998757374</v>
      </c>
      <c r="S8" s="4">
        <f>'Total Other Sectors'!P5</f>
        <v>704192.43948700011</v>
      </c>
      <c r="T8" s="4">
        <f>'Total Other Sectors'!Q5</f>
        <v>708160.34898642648</v>
      </c>
      <c r="U8" s="4">
        <f>'Total Other Sectors'!R5</f>
        <v>712128.25848585274</v>
      </c>
      <c r="V8" s="4">
        <f>'Total Other Sectors'!S5</f>
        <v>716096.167985279</v>
      </c>
      <c r="W8" s="4">
        <f>'Total Other Sectors'!T5</f>
        <v>720064.07748470525</v>
      </c>
      <c r="X8" s="4">
        <f>'Total Other Sectors'!U5</f>
        <v>723105.1195110766</v>
      </c>
      <c r="Y8" s="4">
        <f>'Total Other Sectors'!V5</f>
        <v>726146.16153744771</v>
      </c>
      <c r="Z8" s="4">
        <f>'Total Other Sectors'!W5</f>
        <v>729187.20356381906</v>
      </c>
      <c r="AA8" s="4">
        <f>'Total Other Sectors'!X5</f>
        <v>732228.24559019029</v>
      </c>
      <c r="AB8" s="4">
        <f>'Total Other Sectors'!Y5</f>
        <v>735269.2876165614</v>
      </c>
      <c r="AC8" s="4">
        <f>'Total Other Sectors'!Z5</f>
        <v>737421.03373970219</v>
      </c>
      <c r="AD8" s="4">
        <f>'Total Other Sectors'!AA5</f>
        <v>739572.77986284299</v>
      </c>
      <c r="AE8" s="4">
        <f>'Total Other Sectors'!AB5</f>
        <v>741724.52598598367</v>
      </c>
      <c r="AF8" s="4">
        <f>'Total Other Sectors'!AC5</f>
        <v>743876.27210912423</v>
      </c>
      <c r="AG8" s="4">
        <f>'Total Other Sectors'!AD5</f>
        <v>746028.01823226502</v>
      </c>
      <c r="AH8" s="4">
        <f>'Total Other Sectors'!AE5</f>
        <v>746028.01823226502</v>
      </c>
      <c r="AI8" s="4">
        <f>'Total Other Sectors'!AF5</f>
        <v>746028.01823226502</v>
      </c>
      <c r="AJ8" s="4">
        <f>'Total Other Sectors'!AG5</f>
        <v>746028.01823226502</v>
      </c>
      <c r="AK8" s="4">
        <f>'Total Other Sectors'!AH5</f>
        <v>746028.01823226502</v>
      </c>
      <c r="AL8" s="4">
        <f>'Total Other Sectors'!AI5</f>
        <v>746028.01823226502</v>
      </c>
      <c r="AM8" s="4">
        <f>'Total Other Sectors'!AJ5</f>
        <v>746028.01823226502</v>
      </c>
      <c r="AN8" s="4">
        <f>'Total Other Sectors'!AK5</f>
        <v>746028.01823226502</v>
      </c>
      <c r="AO8" s="4">
        <f>'Total Other Sectors'!AL5</f>
        <v>746028.01823226502</v>
      </c>
      <c r="AP8" s="4">
        <f>'Total Other Sectors'!AM5</f>
        <v>746028.01823226502</v>
      </c>
      <c r="AQ8" s="4">
        <f>'Total Other Sectors'!AN5</f>
        <v>746028.01823226502</v>
      </c>
    </row>
    <row r="9" spans="1:43" x14ac:dyDescent="0.2">
      <c r="A9" s="33" t="s">
        <v>29</v>
      </c>
      <c r="B9" s="32">
        <v>0</v>
      </c>
      <c r="C9" s="32">
        <v>0</v>
      </c>
      <c r="D9" s="32">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row>
    <row r="10" spans="1:43" x14ac:dyDescent="0.2">
      <c r="A10" s="33" t="s">
        <v>30</v>
      </c>
      <c r="B10" s="32">
        <f>'Total Other Sectors'!Q15</f>
        <v>421286.81179249566</v>
      </c>
      <c r="C10" s="32">
        <f>'Total Other Sectors'!Q16</f>
        <v>424589.14338484872</v>
      </c>
      <c r="D10" s="32">
        <f>'Total Other Sectors'!Q17</f>
        <v>427891.47497720178</v>
      </c>
      <c r="E10" s="4">
        <f>'Total Other Sectors'!B9</f>
        <v>434127.25872929086</v>
      </c>
      <c r="F10" s="4">
        <f>'Total Other Sectors'!C9</f>
        <v>435611.73192400823</v>
      </c>
      <c r="G10" s="4">
        <f>'Total Other Sectors'!D9</f>
        <v>437096.20511872554</v>
      </c>
      <c r="H10" s="4">
        <f>'Total Other Sectors'!E9</f>
        <v>438580.67831344297</v>
      </c>
      <c r="I10" s="4">
        <f>'Total Other Sectors'!F9</f>
        <v>442551.62338216259</v>
      </c>
      <c r="J10" s="4">
        <f>'Total Other Sectors'!G9</f>
        <v>446522.56845088216</v>
      </c>
      <c r="K10" s="4">
        <f>'Total Other Sectors'!H9</f>
        <v>450493.51351960184</v>
      </c>
      <c r="L10" s="4">
        <f>'Total Other Sectors'!I9</f>
        <v>454464.45858832146</v>
      </c>
      <c r="M10" s="4">
        <f>'Total Other Sectors'!J9</f>
        <v>458435.40365704114</v>
      </c>
      <c r="N10" s="4">
        <f>'Total Other Sectors'!K9</f>
        <v>461770.69060602743</v>
      </c>
      <c r="O10" s="4">
        <f>'Total Other Sectors'!L9</f>
        <v>465105.97755501373</v>
      </c>
      <c r="P10" s="4">
        <f>'Total Other Sectors'!M9</f>
        <v>468441.26450399996</v>
      </c>
      <c r="Q10" s="4">
        <f>'Total Other Sectors'!N9</f>
        <v>471776.55145298626</v>
      </c>
      <c r="R10" s="4">
        <f>'Total Other Sectors'!O9</f>
        <v>475111.83840197261</v>
      </c>
      <c r="S10" s="4">
        <f>'Total Other Sectors'!P9</f>
        <v>477804.11880083056</v>
      </c>
      <c r="T10" s="4">
        <f>'Total Other Sectors'!Q9</f>
        <v>480496.39919968863</v>
      </c>
      <c r="U10" s="4">
        <f>'Total Other Sectors'!R9</f>
        <v>483188.67959854659</v>
      </c>
      <c r="V10" s="4">
        <f>'Total Other Sectors'!S9</f>
        <v>485880.9599974046</v>
      </c>
      <c r="W10" s="4">
        <f>'Total Other Sectors'!T9</f>
        <v>488573.24039626255</v>
      </c>
      <c r="X10" s="4">
        <f>'Total Other Sectors'!U9</f>
        <v>490636.62864664634</v>
      </c>
      <c r="Y10" s="4">
        <f>'Total Other Sectors'!V9</f>
        <v>492700.01689703029</v>
      </c>
      <c r="Z10" s="4">
        <f>'Total Other Sectors'!W9</f>
        <v>494763.4051474139</v>
      </c>
      <c r="AA10" s="4">
        <f>'Total Other Sectors'!X9</f>
        <v>496826.79339779785</v>
      </c>
      <c r="AB10" s="4">
        <f>'Total Other Sectors'!Y9</f>
        <v>498890.18164818163</v>
      </c>
      <c r="AC10" s="4">
        <f>'Total Other Sectors'!Z9</f>
        <v>500350.17056967504</v>
      </c>
      <c r="AD10" s="4">
        <f>'Total Other Sectors'!AA9</f>
        <v>501810.15949116834</v>
      </c>
      <c r="AE10" s="4">
        <f>'Total Other Sectors'!AB9</f>
        <v>503270.14841266157</v>
      </c>
      <c r="AF10" s="4">
        <f>'Total Other Sectors'!AC9</f>
        <v>504730.13733415492</v>
      </c>
      <c r="AG10" s="4">
        <f>'Total Other Sectors'!AD9</f>
        <v>506190.12625564815</v>
      </c>
      <c r="AH10" s="4">
        <f>'Total Other Sectors'!AE9</f>
        <v>506190.12625564815</v>
      </c>
      <c r="AI10" s="4">
        <f>'Total Other Sectors'!AF9</f>
        <v>506190.12625564815</v>
      </c>
      <c r="AJ10" s="4">
        <f>'Total Other Sectors'!AG9</f>
        <v>506190.12625564815</v>
      </c>
      <c r="AK10" s="4">
        <f>'Total Other Sectors'!AH9</f>
        <v>506190.12625564815</v>
      </c>
      <c r="AL10" s="4">
        <f>'Total Other Sectors'!AI9</f>
        <v>506190.12625564815</v>
      </c>
      <c r="AM10" s="4">
        <f>'Total Other Sectors'!AJ9</f>
        <v>506190.12625564815</v>
      </c>
      <c r="AN10" s="4">
        <f>'Total Other Sectors'!AK9</f>
        <v>506190.12625564815</v>
      </c>
      <c r="AO10" s="4">
        <f>'Total Other Sectors'!AL9</f>
        <v>506190.12625564815</v>
      </c>
      <c r="AP10" s="4">
        <f>'Total Other Sectors'!AM9</f>
        <v>506190.12625564815</v>
      </c>
      <c r="AQ10" s="4">
        <f>'Total Other Sectors'!AN9</f>
        <v>506190.12625564815</v>
      </c>
    </row>
    <row r="11" spans="1:43" x14ac:dyDescent="0.2">
      <c r="A11" s="33" t="s">
        <v>31</v>
      </c>
      <c r="B11" s="32">
        <v>0</v>
      </c>
      <c r="C11" s="32">
        <v>0</v>
      </c>
      <c r="D11" s="32">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4BB8A-0821-F245-8797-808763BC18C0}">
  <dimension ref="A1:AN143"/>
  <sheetViews>
    <sheetView topLeftCell="A27" workbookViewId="0">
      <selection activeCell="B47" sqref="B47:AN47"/>
    </sheetView>
  </sheetViews>
  <sheetFormatPr baseColWidth="10" defaultRowHeight="16" x14ac:dyDescent="0.2"/>
  <sheetData>
    <row r="1" spans="1:40" x14ac:dyDescent="0.2">
      <c r="A1" s="5" t="s">
        <v>158</v>
      </c>
    </row>
    <row r="2" spans="1:40" x14ac:dyDescent="0.2">
      <c r="A2" s="5" t="s">
        <v>4</v>
      </c>
    </row>
    <row r="3" spans="1:40" x14ac:dyDescent="0.2">
      <c r="A3" s="5" t="s">
        <v>77</v>
      </c>
    </row>
    <row r="4" spans="1:40" x14ac:dyDescent="0.2">
      <c r="A4" s="5" t="s">
        <v>6</v>
      </c>
    </row>
    <row r="5" spans="1:40" x14ac:dyDescent="0.2">
      <c r="A5" t="s">
        <v>156</v>
      </c>
      <c r="B5">
        <v>1000000</v>
      </c>
    </row>
    <row r="6" spans="1:40" x14ac:dyDescent="0.2">
      <c r="A6" s="6" t="s">
        <v>7</v>
      </c>
      <c r="B6" s="6">
        <v>2022</v>
      </c>
      <c r="C6" s="6">
        <v>2023</v>
      </c>
      <c r="D6" s="6">
        <v>2024</v>
      </c>
      <c r="E6" s="6">
        <v>2025</v>
      </c>
      <c r="F6" s="6">
        <v>2026</v>
      </c>
      <c r="G6" s="6">
        <v>2027</v>
      </c>
      <c r="H6" s="6">
        <v>2028</v>
      </c>
      <c r="I6" s="6">
        <v>2029</v>
      </c>
      <c r="J6" s="6">
        <v>2030</v>
      </c>
      <c r="K6" s="6">
        <v>2031</v>
      </c>
      <c r="L6" s="6">
        <v>2032</v>
      </c>
      <c r="M6" s="6">
        <v>2033</v>
      </c>
      <c r="N6" s="6">
        <v>2034</v>
      </c>
      <c r="O6" s="6">
        <v>2035</v>
      </c>
      <c r="P6" s="6">
        <v>2036</v>
      </c>
      <c r="Q6" s="6">
        <v>2037</v>
      </c>
      <c r="R6" s="6">
        <v>2038</v>
      </c>
      <c r="S6" s="6">
        <v>2039</v>
      </c>
      <c r="T6" s="6">
        <v>2040</v>
      </c>
      <c r="U6" s="6">
        <v>2041</v>
      </c>
      <c r="V6" s="6">
        <v>2042</v>
      </c>
      <c r="W6" s="6">
        <v>2043</v>
      </c>
      <c r="X6" s="6">
        <v>2044</v>
      </c>
      <c r="Y6" s="6">
        <v>2045</v>
      </c>
      <c r="Z6" s="6">
        <v>2046</v>
      </c>
      <c r="AA6" s="6">
        <v>2047</v>
      </c>
      <c r="AB6" s="6">
        <v>2048</v>
      </c>
      <c r="AC6" s="6">
        <v>2049</v>
      </c>
      <c r="AD6" s="6">
        <v>2050</v>
      </c>
      <c r="AE6" s="6">
        <v>2051</v>
      </c>
      <c r="AF6" s="6">
        <v>2052</v>
      </c>
      <c r="AG6" s="6">
        <v>2053</v>
      </c>
      <c r="AH6" s="6">
        <v>2054</v>
      </c>
      <c r="AI6" s="6">
        <v>2055</v>
      </c>
      <c r="AJ6" s="6">
        <v>2056</v>
      </c>
      <c r="AK6" s="6">
        <v>2057</v>
      </c>
      <c r="AL6" s="6">
        <v>2058</v>
      </c>
      <c r="AM6" s="6">
        <v>2059</v>
      </c>
      <c r="AN6" s="6">
        <v>2060</v>
      </c>
    </row>
    <row r="7" spans="1:40" x14ac:dyDescent="0.2">
      <c r="A7" s="6" t="s">
        <v>78</v>
      </c>
      <c r="B7" s="37">
        <v>4.4000000000000004</v>
      </c>
      <c r="C7" s="37">
        <v>5.0999999999999996</v>
      </c>
      <c r="D7" s="37">
        <v>5.8</v>
      </c>
      <c r="E7" s="37">
        <v>6.5</v>
      </c>
      <c r="F7" s="37">
        <v>7.2</v>
      </c>
      <c r="G7" s="37">
        <v>7.9</v>
      </c>
      <c r="H7" s="37">
        <v>8.6</v>
      </c>
      <c r="I7" s="37">
        <v>9.3000000000000007</v>
      </c>
      <c r="J7" s="37">
        <v>10</v>
      </c>
      <c r="K7" s="37">
        <v>10.7</v>
      </c>
      <c r="L7" s="37">
        <v>11.4</v>
      </c>
      <c r="M7" s="37">
        <v>12.1</v>
      </c>
      <c r="N7" s="37">
        <v>12.8</v>
      </c>
      <c r="O7" s="37">
        <v>13.5</v>
      </c>
      <c r="P7" s="37">
        <v>14.2</v>
      </c>
      <c r="Q7" s="37">
        <v>14.9</v>
      </c>
      <c r="R7" s="37">
        <v>15.6</v>
      </c>
      <c r="S7" s="37">
        <v>16.3</v>
      </c>
      <c r="T7" s="37">
        <v>17</v>
      </c>
      <c r="U7" s="37">
        <v>17.7</v>
      </c>
      <c r="V7" s="37">
        <v>18.399999999999999</v>
      </c>
      <c r="W7" s="37">
        <v>19.100000000000001</v>
      </c>
      <c r="X7" s="37">
        <v>19.8</v>
      </c>
      <c r="Y7" s="37">
        <v>20.5</v>
      </c>
      <c r="Z7" s="37">
        <v>21.2</v>
      </c>
      <c r="AA7" s="37">
        <v>21.9</v>
      </c>
      <c r="AB7" s="37">
        <v>22.6</v>
      </c>
      <c r="AC7" s="37">
        <v>23.3</v>
      </c>
      <c r="AD7" s="37">
        <v>24</v>
      </c>
      <c r="AE7" s="37">
        <v>24.7</v>
      </c>
      <c r="AF7" s="37">
        <v>25.4</v>
      </c>
      <c r="AG7" s="37">
        <v>26.1</v>
      </c>
      <c r="AH7" s="37">
        <v>26.8</v>
      </c>
      <c r="AI7" s="37">
        <v>27.5</v>
      </c>
      <c r="AJ7" s="37">
        <v>28.2</v>
      </c>
      <c r="AK7" s="37">
        <v>28.9</v>
      </c>
      <c r="AL7" s="37">
        <v>29.6</v>
      </c>
      <c r="AM7" s="37">
        <v>30.3</v>
      </c>
      <c r="AN7" s="37">
        <v>31</v>
      </c>
    </row>
    <row r="9" spans="1:40" x14ac:dyDescent="0.2">
      <c r="A9" s="5" t="s">
        <v>159</v>
      </c>
    </row>
    <row r="10" spans="1:40" x14ac:dyDescent="0.2">
      <c r="A10" s="5" t="s">
        <v>4</v>
      </c>
    </row>
    <row r="11" spans="1:40" x14ac:dyDescent="0.2">
      <c r="A11" s="5" t="s">
        <v>80</v>
      </c>
    </row>
    <row r="12" spans="1:40" x14ac:dyDescent="0.2">
      <c r="A12" s="5" t="s">
        <v>6</v>
      </c>
    </row>
    <row r="13" spans="1:40" x14ac:dyDescent="0.2">
      <c r="A13" t="s">
        <v>155</v>
      </c>
      <c r="B13">
        <v>1000</v>
      </c>
    </row>
    <row r="14" spans="1:40" x14ac:dyDescent="0.2">
      <c r="A14" s="6" t="s">
        <v>7</v>
      </c>
      <c r="B14" s="6">
        <v>2022</v>
      </c>
      <c r="C14" s="6">
        <v>2023</v>
      </c>
      <c r="D14" s="6">
        <v>2024</v>
      </c>
      <c r="E14" s="6">
        <v>2025</v>
      </c>
      <c r="F14" s="6">
        <v>2026</v>
      </c>
      <c r="G14" s="6">
        <v>2027</v>
      </c>
      <c r="H14" s="6">
        <v>2028</v>
      </c>
      <c r="I14" s="6">
        <v>2029</v>
      </c>
      <c r="J14" s="6">
        <v>2030</v>
      </c>
      <c r="K14" s="6">
        <v>2031</v>
      </c>
      <c r="L14" s="6">
        <v>2032</v>
      </c>
      <c r="M14" s="6">
        <v>2033</v>
      </c>
      <c r="N14" s="6">
        <v>2034</v>
      </c>
      <c r="O14" s="6">
        <v>2035</v>
      </c>
      <c r="P14" s="6">
        <v>2036</v>
      </c>
      <c r="Q14" s="6">
        <v>2037</v>
      </c>
      <c r="R14" s="6">
        <v>2038</v>
      </c>
      <c r="S14" s="6">
        <v>2039</v>
      </c>
      <c r="T14" s="6">
        <v>2040</v>
      </c>
      <c r="U14" s="6">
        <v>2041</v>
      </c>
      <c r="V14" s="6">
        <v>2042</v>
      </c>
      <c r="W14" s="6">
        <v>2043</v>
      </c>
      <c r="X14" s="6">
        <v>2044</v>
      </c>
      <c r="Y14" s="6">
        <v>2045</v>
      </c>
      <c r="Z14" s="6">
        <v>2046</v>
      </c>
      <c r="AA14" s="6">
        <v>2047</v>
      </c>
      <c r="AB14" s="6">
        <v>2048</v>
      </c>
      <c r="AC14" s="6">
        <v>2049</v>
      </c>
      <c r="AD14" s="6">
        <v>2050</v>
      </c>
      <c r="AE14" s="6">
        <v>2051</v>
      </c>
      <c r="AF14" s="6">
        <v>2052</v>
      </c>
      <c r="AG14" s="6">
        <v>2053</v>
      </c>
      <c r="AH14" s="6">
        <v>2054</v>
      </c>
      <c r="AI14" s="6">
        <v>2055</v>
      </c>
      <c r="AJ14" s="6">
        <v>2056</v>
      </c>
      <c r="AK14" s="6">
        <v>2057</v>
      </c>
      <c r="AL14" s="6">
        <v>2058</v>
      </c>
      <c r="AM14" s="6">
        <v>2059</v>
      </c>
      <c r="AN14" s="6">
        <v>2060</v>
      </c>
    </row>
    <row r="15" spans="1:40" x14ac:dyDescent="0.2">
      <c r="A15" s="6" t="s">
        <v>81</v>
      </c>
      <c r="B15" s="7">
        <v>4440.9990881224749</v>
      </c>
      <c r="C15" s="7">
        <v>3987.6838264512462</v>
      </c>
      <c r="D15" s="7">
        <v>3776.3074399760817</v>
      </c>
      <c r="E15" s="7">
        <v>3576.1355468117767</v>
      </c>
      <c r="F15" s="7">
        <v>3386.5742269256998</v>
      </c>
      <c r="G15" s="7">
        <v>3207.0610423875637</v>
      </c>
      <c r="H15" s="7">
        <v>3037.0633685879257</v>
      </c>
      <c r="I15" s="7">
        <v>2876.0768139142788</v>
      </c>
      <c r="J15" s="7">
        <v>2723.6237231958953</v>
      </c>
      <c r="K15" s="7">
        <v>2579.2517604769932</v>
      </c>
      <c r="L15" s="7">
        <v>2442.5325669133158</v>
      </c>
      <c r="M15" s="7">
        <v>2313.0604898099737</v>
      </c>
      <c r="N15" s="7">
        <v>2190.4513790295905</v>
      </c>
      <c r="O15" s="7">
        <v>2074.3414471995984</v>
      </c>
      <c r="P15" s="7">
        <v>1964.3861903368893</v>
      </c>
      <c r="Q15" s="7">
        <v>1860.2593656872418</v>
      </c>
      <c r="R15" s="7">
        <v>1761.6520237467244</v>
      </c>
      <c r="S15" s="7">
        <v>1668.2715915930469</v>
      </c>
      <c r="T15" s="7">
        <v>1579.84100480705</v>
      </c>
      <c r="U15" s="7">
        <v>1496.0978854086927</v>
      </c>
      <c r="V15" s="7">
        <v>1416.7937633684414</v>
      </c>
      <c r="W15" s="7">
        <v>1341.6933393842551</v>
      </c>
      <c r="X15" s="7">
        <v>1270.5737867367661</v>
      </c>
      <c r="Y15" s="7">
        <v>1203.2240901512446</v>
      </c>
      <c r="Z15" s="7">
        <v>1139.4444197047089</v>
      </c>
      <c r="AA15" s="7">
        <v>1079.04553792054</v>
      </c>
      <c r="AB15" s="7">
        <v>1021.8482382914032</v>
      </c>
      <c r="AC15" s="7">
        <v>967.68281356457146</v>
      </c>
      <c r="AD15" s="7">
        <v>916.38855221200311</v>
      </c>
      <c r="AE15" s="7">
        <v>867.81326159119101</v>
      </c>
      <c r="AF15" s="7">
        <v>821.81281638196879</v>
      </c>
      <c r="AG15" s="7">
        <v>778.25073095946664</v>
      </c>
      <c r="AH15" s="7">
        <v>736.99775443442854</v>
      </c>
      <c r="AI15" s="7">
        <v>697.93148715934797</v>
      </c>
      <c r="AJ15" s="7">
        <v>660.93601756258488</v>
      </c>
      <c r="AK15" s="7">
        <v>625.90157823292668</v>
      </c>
      <c r="AL15" s="7">
        <v>592.72422023418164</v>
      </c>
      <c r="AM15" s="7">
        <v>561.3055046834786</v>
      </c>
      <c r="AN15" s="7">
        <v>531.55221067817138</v>
      </c>
    </row>
    <row r="17" spans="1:40" x14ac:dyDescent="0.2">
      <c r="A17" s="5" t="s">
        <v>160</v>
      </c>
    </row>
    <row r="18" spans="1:40" x14ac:dyDescent="0.2">
      <c r="A18" s="5" t="s">
        <v>4</v>
      </c>
    </row>
    <row r="19" spans="1:40" x14ac:dyDescent="0.2">
      <c r="A19" s="5" t="s">
        <v>83</v>
      </c>
    </row>
    <row r="20" spans="1:40" x14ac:dyDescent="0.2">
      <c r="A20" s="5" t="s">
        <v>6</v>
      </c>
    </row>
    <row r="21" spans="1:40" x14ac:dyDescent="0.2">
      <c r="A21" t="s">
        <v>155</v>
      </c>
      <c r="B21">
        <v>1000</v>
      </c>
    </row>
    <row r="22" spans="1:40" x14ac:dyDescent="0.2">
      <c r="A22" s="6" t="s">
        <v>7</v>
      </c>
      <c r="B22" s="6">
        <v>2022</v>
      </c>
      <c r="C22" s="6">
        <v>2023</v>
      </c>
      <c r="D22" s="6">
        <v>2024</v>
      </c>
      <c r="E22" s="6">
        <v>2025</v>
      </c>
      <c r="F22" s="6">
        <v>2026</v>
      </c>
      <c r="G22" s="6">
        <v>2027</v>
      </c>
      <c r="H22" s="6">
        <v>2028</v>
      </c>
      <c r="I22" s="6">
        <v>2029</v>
      </c>
      <c r="J22" s="6">
        <v>2030</v>
      </c>
      <c r="K22" s="6">
        <v>2031</v>
      </c>
      <c r="L22" s="6">
        <v>2032</v>
      </c>
      <c r="M22" s="6">
        <v>2033</v>
      </c>
      <c r="N22" s="6">
        <v>2034</v>
      </c>
      <c r="O22" s="6">
        <v>2035</v>
      </c>
      <c r="P22" s="6">
        <v>2036</v>
      </c>
      <c r="Q22" s="6">
        <v>2037</v>
      </c>
      <c r="R22" s="6">
        <v>2038</v>
      </c>
      <c r="S22" s="6">
        <v>2039</v>
      </c>
      <c r="T22" s="6">
        <v>2040</v>
      </c>
      <c r="U22" s="6">
        <v>2041</v>
      </c>
      <c r="V22" s="6">
        <v>2042</v>
      </c>
      <c r="W22" s="6">
        <v>2043</v>
      </c>
      <c r="X22" s="6">
        <v>2044</v>
      </c>
      <c r="Y22" s="6">
        <v>2045</v>
      </c>
      <c r="Z22" s="6">
        <v>2046</v>
      </c>
      <c r="AA22" s="6">
        <v>2047</v>
      </c>
      <c r="AB22" s="6">
        <v>2048</v>
      </c>
      <c r="AC22" s="6">
        <v>2049</v>
      </c>
      <c r="AD22" s="6">
        <v>2050</v>
      </c>
      <c r="AE22" s="6">
        <v>2051</v>
      </c>
      <c r="AF22" s="6">
        <v>2052</v>
      </c>
      <c r="AG22" s="6">
        <v>2053</v>
      </c>
      <c r="AH22" s="6">
        <v>2054</v>
      </c>
      <c r="AI22" s="6">
        <v>2055</v>
      </c>
      <c r="AJ22" s="6">
        <v>2056</v>
      </c>
      <c r="AK22" s="6">
        <v>2057</v>
      </c>
      <c r="AL22" s="6">
        <v>2058</v>
      </c>
      <c r="AM22" s="6">
        <v>2059</v>
      </c>
      <c r="AN22" s="6">
        <v>2060</v>
      </c>
    </row>
    <row r="23" spans="1:40" x14ac:dyDescent="0.2">
      <c r="A23" s="6" t="s">
        <v>84</v>
      </c>
      <c r="B23" s="7">
        <v>1197.8871068211181</v>
      </c>
      <c r="C23" s="7">
        <v>1221.885697312382</v>
      </c>
      <c r="D23" s="7">
        <v>1242.0141202944874</v>
      </c>
      <c r="E23" s="7">
        <v>1258.7884545304748</v>
      </c>
      <c r="F23" s="7">
        <v>1272.6929673104089</v>
      </c>
      <c r="G23" s="7">
        <v>1284.1675816830541</v>
      </c>
      <c r="H23" s="7">
        <v>1293.602292731709</v>
      </c>
      <c r="I23" s="7">
        <v>1301.3363939185695</v>
      </c>
      <c r="J23" s="7">
        <v>1307.6607678488117</v>
      </c>
      <c r="K23" s="7">
        <v>1312.8219258894007</v>
      </c>
      <c r="L23" s="7">
        <v>1317.026868481061</v>
      </c>
      <c r="M23" s="7">
        <v>1320.4481512866635</v>
      </c>
      <c r="N23" s="7">
        <v>1323.2287777360821</v>
      </c>
      <c r="O23" s="7">
        <v>1325.486705506976</v>
      </c>
      <c r="P23" s="7">
        <v>1327.3188669852152</v>
      </c>
      <c r="Q23" s="7">
        <v>1328.8046756664974</v>
      </c>
      <c r="R23" s="7">
        <v>1330.009033625417</v>
      </c>
      <c r="S23" s="7">
        <v>1330.984878832212</v>
      </c>
      <c r="T23" s="7">
        <v>1331.7753220509373</v>
      </c>
      <c r="U23" s="7">
        <v>1332.4154261095914</v>
      </c>
      <c r="V23" s="7">
        <v>1332.9336787595273</v>
      </c>
      <c r="W23" s="7">
        <v>1333.3532062857764</v>
      </c>
      <c r="X23" s="7">
        <v>1333.6927698544107</v>
      </c>
      <c r="Y23" s="7">
        <v>1333.9675811167979</v>
      </c>
      <c r="Z23" s="7">
        <v>1334.1899683100096</v>
      </c>
      <c r="AA23" s="7">
        <v>1334.3699192476029</v>
      </c>
      <c r="AB23" s="7">
        <v>1334.5155232942716</v>
      </c>
      <c r="AC23" s="7">
        <v>1334.633330686072</v>
      </c>
      <c r="AD23" s="7">
        <v>1334.7286443719149</v>
      </c>
      <c r="AE23" s="7">
        <v>1334.8057568644397</v>
      </c>
      <c r="AF23" s="7">
        <v>1334.8681423415808</v>
      </c>
      <c r="AG23" s="7">
        <v>1334.9186123748109</v>
      </c>
      <c r="AH23" s="7">
        <v>1334.95944211967</v>
      </c>
      <c r="AI23" s="7">
        <v>1334.9924725374619</v>
      </c>
      <c r="AJ23" s="7">
        <v>1335.0191931787804</v>
      </c>
      <c r="AK23" s="7">
        <v>1335.0408092107564</v>
      </c>
      <c r="AL23" s="7">
        <v>1335.0582956775181</v>
      </c>
      <c r="AM23" s="7">
        <v>1335.072441419394</v>
      </c>
      <c r="AN23" s="7">
        <v>1335.0838846177326</v>
      </c>
    </row>
    <row r="25" spans="1:40" x14ac:dyDescent="0.2">
      <c r="A25" s="5" t="s">
        <v>161</v>
      </c>
    </row>
    <row r="26" spans="1:40" x14ac:dyDescent="0.2">
      <c r="A26" s="5" t="s">
        <v>4</v>
      </c>
    </row>
    <row r="27" spans="1:40" x14ac:dyDescent="0.2">
      <c r="A27" s="5" t="s">
        <v>86</v>
      </c>
    </row>
    <row r="28" spans="1:40" x14ac:dyDescent="0.2">
      <c r="A28" s="5" t="s">
        <v>6</v>
      </c>
    </row>
    <row r="29" spans="1:40" x14ac:dyDescent="0.2">
      <c r="A29" t="s">
        <v>156</v>
      </c>
      <c r="B29">
        <v>1000000</v>
      </c>
    </row>
    <row r="30" spans="1:40" x14ac:dyDescent="0.2">
      <c r="A30" s="6" t="s">
        <v>7</v>
      </c>
      <c r="B30" s="6">
        <v>2022</v>
      </c>
      <c r="C30" s="6">
        <v>2023</v>
      </c>
      <c r="D30" s="6">
        <v>2024</v>
      </c>
      <c r="E30" s="6">
        <v>2025</v>
      </c>
      <c r="F30" s="6">
        <v>2026</v>
      </c>
      <c r="G30" s="6">
        <v>2027</v>
      </c>
      <c r="H30" s="6">
        <v>2028</v>
      </c>
      <c r="I30" s="6">
        <v>2029</v>
      </c>
      <c r="J30" s="6">
        <v>2030</v>
      </c>
      <c r="K30" s="6">
        <v>2031</v>
      </c>
      <c r="L30" s="6">
        <v>2032</v>
      </c>
      <c r="M30" s="6">
        <v>2033</v>
      </c>
      <c r="N30" s="6">
        <v>2034</v>
      </c>
      <c r="O30" s="6">
        <v>2035</v>
      </c>
      <c r="P30" s="6">
        <v>2036</v>
      </c>
      <c r="Q30" s="6">
        <v>2037</v>
      </c>
      <c r="R30" s="6">
        <v>2038</v>
      </c>
      <c r="S30" s="6">
        <v>2039</v>
      </c>
      <c r="T30" s="6">
        <v>2040</v>
      </c>
      <c r="U30" s="6">
        <v>2041</v>
      </c>
      <c r="V30" s="6">
        <v>2042</v>
      </c>
      <c r="W30" s="6">
        <v>2043</v>
      </c>
      <c r="X30" s="6">
        <v>2044</v>
      </c>
      <c r="Y30" s="6">
        <v>2045</v>
      </c>
      <c r="Z30" s="6">
        <v>2046</v>
      </c>
      <c r="AA30" s="6">
        <v>2047</v>
      </c>
      <c r="AB30" s="6">
        <v>2048</v>
      </c>
      <c r="AC30" s="6">
        <v>2049</v>
      </c>
      <c r="AD30" s="6">
        <v>2050</v>
      </c>
      <c r="AE30" s="6">
        <v>2051</v>
      </c>
      <c r="AF30" s="6">
        <v>2052</v>
      </c>
      <c r="AG30" s="6">
        <v>2053</v>
      </c>
      <c r="AH30" s="6">
        <v>2054</v>
      </c>
      <c r="AI30" s="6">
        <v>2055</v>
      </c>
      <c r="AJ30" s="6">
        <v>2056</v>
      </c>
      <c r="AK30" s="6">
        <v>2057</v>
      </c>
      <c r="AL30" s="6">
        <v>2058</v>
      </c>
      <c r="AM30" s="6">
        <v>2059</v>
      </c>
      <c r="AN30" s="6">
        <v>2060</v>
      </c>
    </row>
    <row r="31" spans="1:40" x14ac:dyDescent="0.2">
      <c r="A31" s="6" t="s">
        <v>87</v>
      </c>
      <c r="B31" s="7">
        <v>10.433175714882017</v>
      </c>
      <c r="C31" s="7">
        <v>9.3682086465701087</v>
      </c>
      <c r="D31" s="7">
        <v>8.8716251214866659</v>
      </c>
      <c r="E31" s="7">
        <v>8.4013641524742422</v>
      </c>
      <c r="F31" s="7">
        <v>7.956030451684736</v>
      </c>
      <c r="G31" s="7">
        <v>7.5343026917233562</v>
      </c>
      <c r="H31" s="7">
        <v>7.1349295852040617</v>
      </c>
      <c r="I31" s="7">
        <v>6.7567261721171876</v>
      </c>
      <c r="J31" s="7">
        <v>6.398570303993786</v>
      </c>
      <c r="K31" s="7">
        <v>6.0593993144348799</v>
      </c>
      <c r="L31" s="7">
        <v>5.7382068661270695</v>
      </c>
      <c r="M31" s="7">
        <v>5.4340399649892879</v>
      </c>
      <c r="N31" s="7">
        <v>5.1459961325916606</v>
      </c>
      <c r="O31" s="7">
        <v>4.8732207284567703</v>
      </c>
      <c r="P31" s="7">
        <v>4.614904414298592</v>
      </c>
      <c r="Q31" s="7">
        <v>4.3702807526752414</v>
      </c>
      <c r="R31" s="7">
        <v>4.1386239329306962</v>
      </c>
      <c r="S31" s="7">
        <v>3.9192466176782372</v>
      </c>
      <c r="T31" s="7">
        <v>3.7114979034359905</v>
      </c>
      <c r="U31" s="7">
        <v>3.5147613893637084</v>
      </c>
      <c r="V31" s="7">
        <v>3.3284533483705743</v>
      </c>
      <c r="W31" s="7">
        <v>3.1520209951677258</v>
      </c>
      <c r="X31" s="7">
        <v>2.9849408461265887</v>
      </c>
      <c r="Y31" s="7">
        <v>2.8267171660767461</v>
      </c>
      <c r="Z31" s="7">
        <v>2.6768804974348486</v>
      </c>
      <c r="AA31" s="7">
        <v>2.5349862673004679</v>
      </c>
      <c r="AB31" s="7">
        <v>2.4006134683860179</v>
      </c>
      <c r="AC31" s="7">
        <v>2.2733634098670539</v>
      </c>
      <c r="AD31" s="7">
        <v>2.152858534446628</v>
      </c>
      <c r="AE31" s="7">
        <v>2.0387412981238766</v>
      </c>
      <c r="AF31" s="7">
        <v>1.930673109343068</v>
      </c>
      <c r="AG31" s="7">
        <v>1.8283333243754905</v>
      </c>
      <c r="AH31" s="7">
        <v>1.7314182959534541</v>
      </c>
      <c r="AI31" s="7">
        <v>1.63964047233364</v>
      </c>
      <c r="AJ31" s="7">
        <v>1.5527275441166726</v>
      </c>
      <c r="AK31" s="7">
        <v>1.4704216362914975</v>
      </c>
      <c r="AL31" s="7">
        <v>1.3924785431073021</v>
      </c>
      <c r="AM31" s="7">
        <v>1.3186670035028292</v>
      </c>
      <c r="AN31" s="7">
        <v>1.2487680149432185</v>
      </c>
    </row>
    <row r="33" spans="1:40" x14ac:dyDescent="0.2">
      <c r="A33" s="5" t="s">
        <v>162</v>
      </c>
    </row>
    <row r="34" spans="1:40" x14ac:dyDescent="0.2">
      <c r="A34" s="5" t="s">
        <v>4</v>
      </c>
    </row>
    <row r="35" spans="1:40" x14ac:dyDescent="0.2">
      <c r="A35" s="5" t="s">
        <v>89</v>
      </c>
    </row>
    <row r="36" spans="1:40" x14ac:dyDescent="0.2">
      <c r="A36" s="5" t="s">
        <v>6</v>
      </c>
    </row>
    <row r="37" spans="1:40" x14ac:dyDescent="0.2">
      <c r="A37" t="s">
        <v>156</v>
      </c>
      <c r="B37">
        <v>1000000</v>
      </c>
    </row>
    <row r="38" spans="1:40" x14ac:dyDescent="0.2">
      <c r="A38" s="6" t="s">
        <v>7</v>
      </c>
      <c r="B38" s="6">
        <v>2022</v>
      </c>
      <c r="C38" s="6">
        <v>2023</v>
      </c>
      <c r="D38" s="6">
        <v>2024</v>
      </c>
      <c r="E38" s="6">
        <v>2025</v>
      </c>
      <c r="F38" s="6">
        <v>2026</v>
      </c>
      <c r="G38" s="6">
        <v>2027</v>
      </c>
      <c r="H38" s="6">
        <v>2028</v>
      </c>
      <c r="I38" s="6">
        <v>2029</v>
      </c>
      <c r="J38" s="6">
        <v>2030</v>
      </c>
      <c r="K38" s="6">
        <v>2031</v>
      </c>
      <c r="L38" s="6">
        <v>2032</v>
      </c>
      <c r="M38" s="6">
        <v>2033</v>
      </c>
      <c r="N38" s="6">
        <v>2034</v>
      </c>
      <c r="O38" s="6">
        <v>2035</v>
      </c>
      <c r="P38" s="6">
        <v>2036</v>
      </c>
      <c r="Q38" s="6">
        <v>2037</v>
      </c>
      <c r="R38" s="6">
        <v>2038</v>
      </c>
      <c r="S38" s="6">
        <v>2039</v>
      </c>
      <c r="T38" s="6">
        <v>2040</v>
      </c>
      <c r="U38" s="6">
        <v>2041</v>
      </c>
      <c r="V38" s="6">
        <v>2042</v>
      </c>
      <c r="W38" s="6">
        <v>2043</v>
      </c>
      <c r="X38" s="6">
        <v>2044</v>
      </c>
      <c r="Y38" s="6">
        <v>2045</v>
      </c>
      <c r="Z38" s="6">
        <v>2046</v>
      </c>
      <c r="AA38" s="6">
        <v>2047</v>
      </c>
      <c r="AB38" s="6">
        <v>2048</v>
      </c>
      <c r="AC38" s="6">
        <v>2049</v>
      </c>
      <c r="AD38" s="6">
        <v>2050</v>
      </c>
      <c r="AE38" s="6">
        <v>2051</v>
      </c>
      <c r="AF38" s="6">
        <v>2052</v>
      </c>
      <c r="AG38" s="6">
        <v>2053</v>
      </c>
      <c r="AH38" s="6">
        <v>2054</v>
      </c>
      <c r="AI38" s="6">
        <v>2055</v>
      </c>
      <c r="AJ38" s="6">
        <v>2056</v>
      </c>
      <c r="AK38" s="6">
        <v>2057</v>
      </c>
      <c r="AL38" s="6">
        <v>2058</v>
      </c>
      <c r="AM38" s="6">
        <v>2059</v>
      </c>
      <c r="AN38" s="6">
        <v>2060</v>
      </c>
    </row>
    <row r="39" spans="1:40" x14ac:dyDescent="0.2">
      <c r="A39" s="6" t="s">
        <v>90</v>
      </c>
      <c r="B39" s="7">
        <v>98.90730847203136</v>
      </c>
      <c r="C39" s="7">
        <v>87.625206995929815</v>
      </c>
      <c r="D39" s="7">
        <v>77.630025725053031</v>
      </c>
      <c r="E39" s="7">
        <v>68.774968992111141</v>
      </c>
      <c r="F39" s="7">
        <v>60.929985732818999</v>
      </c>
      <c r="G39" s="7">
        <v>53.979859472235653</v>
      </c>
      <c r="H39" s="7">
        <v>47.822516181434516</v>
      </c>
      <c r="I39" s="7">
        <v>42.367525152596428</v>
      </c>
      <c r="J39" s="7">
        <v>37.534770875413365</v>
      </c>
      <c r="K39" s="7">
        <v>33.253276409123409</v>
      </c>
      <c r="L39" s="7">
        <v>29.460160969462329</v>
      </c>
      <c r="M39" s="7">
        <v>26.099716420981405</v>
      </c>
      <c r="N39" s="7">
        <v>23.122589111504052</v>
      </c>
      <c r="O39" s="7">
        <v>20.485055032614856</v>
      </c>
      <c r="P39" s="7">
        <v>18.148377660721369</v>
      </c>
      <c r="Q39" s="7">
        <v>16.078239047529092</v>
      </c>
      <c r="R39" s="7">
        <v>14.244235804558059</v>
      </c>
      <c r="S39" s="7">
        <v>12.619432579405229</v>
      </c>
      <c r="T39" s="7">
        <v>11.17996646581736</v>
      </c>
      <c r="U39" s="7">
        <v>9.9046965376863092</v>
      </c>
      <c r="V39" s="7">
        <v>8.7748933597971064</v>
      </c>
      <c r="W39" s="7">
        <v>7.7739639152839652</v>
      </c>
      <c r="X39" s="7">
        <v>6.8872079099015462</v>
      </c>
      <c r="Y39" s="7">
        <v>6.1016018740392886</v>
      </c>
      <c r="Z39" s="7">
        <v>5.4056078916618535</v>
      </c>
      <c r="AA39" s="7">
        <v>4.7890041470458549</v>
      </c>
      <c r="AB39" s="7">
        <v>4.2427348006130714</v>
      </c>
      <c r="AC39" s="7">
        <v>3.75877698904003</v>
      </c>
      <c r="AD39" s="7">
        <v>3.3300229963219223</v>
      </c>
      <c r="AE39" s="7">
        <v>2.9501758652792307</v>
      </c>
      <c r="AF39" s="7">
        <v>2.6136569163904557</v>
      </c>
      <c r="AG39" s="7">
        <v>2.3155238157129654</v>
      </c>
      <c r="AH39" s="7">
        <v>2.0513979885847231</v>
      </c>
      <c r="AI39" s="7">
        <v>1.8174003130577625</v>
      </c>
      <c r="AJ39" s="7">
        <v>1.6100941486157847</v>
      </c>
      <c r="AK39" s="7">
        <v>1.4264348634589428</v>
      </c>
      <c r="AL39" s="7">
        <v>1.2637251190810175</v>
      </c>
      <c r="AM39" s="7">
        <v>1.1195752554195051</v>
      </c>
      <c r="AN39" s="7">
        <v>0.99186819476941224</v>
      </c>
    </row>
    <row r="41" spans="1:40" x14ac:dyDescent="0.2">
      <c r="A41" s="5" t="s">
        <v>163</v>
      </c>
    </row>
    <row r="42" spans="1:40" x14ac:dyDescent="0.2">
      <c r="A42" s="5" t="s">
        <v>4</v>
      </c>
    </row>
    <row r="43" spans="1:40" x14ac:dyDescent="0.2">
      <c r="A43" s="5" t="s">
        <v>92</v>
      </c>
    </row>
    <row r="44" spans="1:40" x14ac:dyDescent="0.2">
      <c r="A44" s="5" t="s">
        <v>6</v>
      </c>
    </row>
    <row r="45" spans="1:40" x14ac:dyDescent="0.2">
      <c r="A45" t="s">
        <v>156</v>
      </c>
      <c r="B45">
        <v>1000000</v>
      </c>
    </row>
    <row r="46" spans="1:40" x14ac:dyDescent="0.2">
      <c r="A46" s="6" t="s">
        <v>7</v>
      </c>
      <c r="B46" s="6">
        <v>2022</v>
      </c>
      <c r="C46" s="6">
        <v>2023</v>
      </c>
      <c r="D46" s="6">
        <v>2024</v>
      </c>
      <c r="E46" s="6">
        <v>2025</v>
      </c>
      <c r="F46" s="6">
        <v>2026</v>
      </c>
      <c r="G46" s="6">
        <v>2027</v>
      </c>
      <c r="H46" s="6">
        <v>2028</v>
      </c>
      <c r="I46" s="6">
        <v>2029</v>
      </c>
      <c r="J46" s="6">
        <v>2030</v>
      </c>
      <c r="K46" s="6">
        <v>2031</v>
      </c>
      <c r="L46" s="6">
        <v>2032</v>
      </c>
      <c r="M46" s="6">
        <v>2033</v>
      </c>
      <c r="N46" s="6">
        <v>2034</v>
      </c>
      <c r="O46" s="6">
        <v>2035</v>
      </c>
      <c r="P46" s="6">
        <v>2036</v>
      </c>
      <c r="Q46" s="6">
        <v>2037</v>
      </c>
      <c r="R46" s="6">
        <v>2038</v>
      </c>
      <c r="S46" s="6">
        <v>2039</v>
      </c>
      <c r="T46" s="6">
        <v>2040</v>
      </c>
      <c r="U46" s="6">
        <v>2041</v>
      </c>
      <c r="V46" s="6">
        <v>2042</v>
      </c>
      <c r="W46" s="6">
        <v>2043</v>
      </c>
      <c r="X46" s="6">
        <v>2044</v>
      </c>
      <c r="Y46" s="6">
        <v>2045</v>
      </c>
      <c r="Z46" s="6">
        <v>2046</v>
      </c>
      <c r="AA46" s="6">
        <v>2047</v>
      </c>
      <c r="AB46" s="6">
        <v>2048</v>
      </c>
      <c r="AC46" s="6">
        <v>2049</v>
      </c>
      <c r="AD46" s="6">
        <v>2050</v>
      </c>
      <c r="AE46" s="6">
        <v>2051</v>
      </c>
      <c r="AF46" s="6">
        <v>2052</v>
      </c>
      <c r="AG46" s="6">
        <v>2053</v>
      </c>
      <c r="AH46" s="6">
        <v>2054</v>
      </c>
      <c r="AI46" s="6">
        <v>2055</v>
      </c>
      <c r="AJ46" s="6">
        <v>2056</v>
      </c>
      <c r="AK46" s="6">
        <v>2057</v>
      </c>
      <c r="AL46" s="6">
        <v>2058</v>
      </c>
      <c r="AM46" s="6">
        <v>2059</v>
      </c>
      <c r="AN46" s="6">
        <v>2060</v>
      </c>
    </row>
    <row r="47" spans="1:40" x14ac:dyDescent="0.2">
      <c r="A47" s="6" t="s">
        <v>93</v>
      </c>
      <c r="B47">
        <v>2.1</v>
      </c>
      <c r="C47">
        <v>2.4</v>
      </c>
      <c r="D47">
        <v>2.7</v>
      </c>
      <c r="E47">
        <v>3</v>
      </c>
      <c r="F47">
        <v>3.4</v>
      </c>
      <c r="G47">
        <v>3.8</v>
      </c>
      <c r="H47">
        <v>4.3</v>
      </c>
      <c r="I47">
        <v>4.8</v>
      </c>
      <c r="J47">
        <v>5.4</v>
      </c>
      <c r="K47">
        <v>6.1</v>
      </c>
      <c r="L47">
        <v>6.9</v>
      </c>
      <c r="M47">
        <v>7.7</v>
      </c>
      <c r="N47">
        <v>8.6999999999999993</v>
      </c>
      <c r="O47">
        <v>9.8000000000000007</v>
      </c>
      <c r="P47">
        <v>11</v>
      </c>
      <c r="Q47">
        <v>12.4</v>
      </c>
      <c r="R47">
        <v>14</v>
      </c>
      <c r="S47">
        <v>15.8</v>
      </c>
      <c r="T47">
        <v>16.59</v>
      </c>
      <c r="U47">
        <v>17.39</v>
      </c>
      <c r="V47">
        <v>18.190000000000001</v>
      </c>
      <c r="W47">
        <v>18.989999999999998</v>
      </c>
      <c r="X47">
        <v>19.78</v>
      </c>
      <c r="Y47">
        <v>20.58</v>
      </c>
      <c r="Z47">
        <v>21.36</v>
      </c>
      <c r="AA47">
        <v>22.13</v>
      </c>
      <c r="AB47">
        <v>22.88</v>
      </c>
      <c r="AC47">
        <v>23.61</v>
      </c>
      <c r="AD47">
        <v>24.32</v>
      </c>
      <c r="AE47">
        <v>25</v>
      </c>
      <c r="AF47">
        <v>25.65</v>
      </c>
      <c r="AG47">
        <v>26.26</v>
      </c>
      <c r="AH47">
        <v>26.84</v>
      </c>
      <c r="AI47">
        <v>27.38</v>
      </c>
      <c r="AJ47">
        <v>27.87</v>
      </c>
      <c r="AK47">
        <v>28.32</v>
      </c>
      <c r="AL47">
        <v>28.71</v>
      </c>
      <c r="AM47">
        <v>29.06</v>
      </c>
      <c r="AN47">
        <v>29.35</v>
      </c>
    </row>
    <row r="49" spans="1:40" x14ac:dyDescent="0.2">
      <c r="A49" s="5" t="s">
        <v>164</v>
      </c>
    </row>
    <row r="50" spans="1:40" x14ac:dyDescent="0.2">
      <c r="A50" s="5" t="s">
        <v>4</v>
      </c>
    </row>
    <row r="51" spans="1:40" x14ac:dyDescent="0.2">
      <c r="A51" s="5" t="s">
        <v>95</v>
      </c>
    </row>
    <row r="52" spans="1:40" x14ac:dyDescent="0.2">
      <c r="A52" s="5" t="s">
        <v>6</v>
      </c>
    </row>
    <row r="53" spans="1:40" x14ac:dyDescent="0.2">
      <c r="A53" t="s">
        <v>156</v>
      </c>
      <c r="B53">
        <v>1000000</v>
      </c>
    </row>
    <row r="54" spans="1:40" x14ac:dyDescent="0.2">
      <c r="A54" s="6" t="s">
        <v>7</v>
      </c>
      <c r="B54" s="6">
        <v>2022</v>
      </c>
      <c r="C54" s="6">
        <v>2023</v>
      </c>
      <c r="D54" s="6">
        <v>2024</v>
      </c>
      <c r="E54" s="6">
        <v>2025</v>
      </c>
      <c r="F54" s="6">
        <v>2026</v>
      </c>
      <c r="G54" s="6">
        <v>2027</v>
      </c>
      <c r="H54" s="6">
        <v>2028</v>
      </c>
      <c r="I54" s="6">
        <v>2029</v>
      </c>
      <c r="J54" s="6">
        <v>2030</v>
      </c>
      <c r="K54" s="6">
        <v>2031</v>
      </c>
      <c r="L54" s="6">
        <v>2032</v>
      </c>
      <c r="M54" s="6">
        <v>2033</v>
      </c>
      <c r="N54" s="6">
        <v>2034</v>
      </c>
      <c r="O54" s="6">
        <v>2035</v>
      </c>
      <c r="P54" s="6">
        <v>2036</v>
      </c>
      <c r="Q54" s="6">
        <v>2037</v>
      </c>
      <c r="R54" s="6">
        <v>2038</v>
      </c>
      <c r="S54" s="6">
        <v>2039</v>
      </c>
      <c r="T54" s="6">
        <v>2040</v>
      </c>
      <c r="U54" s="6">
        <v>2041</v>
      </c>
      <c r="V54" s="6">
        <v>2042</v>
      </c>
      <c r="W54" s="6">
        <v>2043</v>
      </c>
      <c r="X54" s="6">
        <v>2044</v>
      </c>
      <c r="Y54" s="6">
        <v>2045</v>
      </c>
      <c r="Z54" s="6">
        <v>2046</v>
      </c>
      <c r="AA54" s="6">
        <v>2047</v>
      </c>
      <c r="AB54" s="6">
        <v>2048</v>
      </c>
      <c r="AC54" s="6">
        <v>2049</v>
      </c>
      <c r="AD54" s="6">
        <v>2050</v>
      </c>
      <c r="AE54" s="6">
        <v>2051</v>
      </c>
      <c r="AF54" s="6">
        <v>2052</v>
      </c>
      <c r="AG54" s="6">
        <v>2053</v>
      </c>
      <c r="AH54" s="6">
        <v>2054</v>
      </c>
      <c r="AI54" s="6">
        <v>2055</v>
      </c>
      <c r="AJ54" s="6">
        <v>2056</v>
      </c>
      <c r="AK54" s="6">
        <v>2057</v>
      </c>
      <c r="AL54" s="6">
        <v>2058</v>
      </c>
      <c r="AM54" s="6">
        <v>2059</v>
      </c>
      <c r="AN54" s="6">
        <v>2060</v>
      </c>
    </row>
    <row r="55" spans="1:40" x14ac:dyDescent="0.2">
      <c r="A55" s="6" t="s">
        <v>96</v>
      </c>
      <c r="B55" s="7">
        <v>395.5231328041329</v>
      </c>
      <c r="C55" s="7">
        <v>401.73023180878573</v>
      </c>
      <c r="D55" s="7">
        <v>406.97620746336383</v>
      </c>
      <c r="E55" s="7">
        <v>411.63569665873035</v>
      </c>
      <c r="F55" s="7">
        <v>418.3427084086058</v>
      </c>
      <c r="G55" s="7">
        <v>424.53429447811169</v>
      </c>
      <c r="H55" s="7">
        <v>430.23720717513396</v>
      </c>
      <c r="I55" s="7">
        <v>435.47152065853817</v>
      </c>
      <c r="J55" s="7">
        <v>440.25093212749869</v>
      </c>
      <c r="K55" s="7">
        <v>443.93257738916856</v>
      </c>
      <c r="L55" s="7">
        <v>447.17035852693937</v>
      </c>
      <c r="M55" s="7">
        <v>449.95994877570473</v>
      </c>
      <c r="N55" s="7">
        <v>452.29095705036394</v>
      </c>
      <c r="O55" s="7">
        <v>454.14678396618092</v>
      </c>
      <c r="P55" s="7">
        <v>455.00064958812391</v>
      </c>
      <c r="Q55" s="7">
        <v>455.33067634846083</v>
      </c>
      <c r="R55" s="7">
        <v>455.10022154953487</v>
      </c>
      <c r="S55" s="7">
        <v>454.26500559838234</v>
      </c>
      <c r="T55" s="7">
        <v>452.7724996752392</v>
      </c>
      <c r="U55" s="7">
        <v>449.92166920178897</v>
      </c>
      <c r="V55" s="7">
        <v>446.28510583726387</v>
      </c>
      <c r="W55" s="7">
        <v>441.78143219617897</v>
      </c>
      <c r="X55" s="7">
        <v>436.3174442504004</v>
      </c>
      <c r="Y55" s="7">
        <v>429.7868297556858</v>
      </c>
      <c r="Z55" s="7">
        <v>421.46836618030136</v>
      </c>
      <c r="AA55" s="7">
        <v>411.83256205901608</v>
      </c>
      <c r="AB55" s="7">
        <v>400.72545105740369</v>
      </c>
      <c r="AC55" s="7">
        <v>387.97301195555372</v>
      </c>
      <c r="AD55" s="7">
        <v>373.37878518086001</v>
      </c>
      <c r="AE55" s="7">
        <v>355.32408223109127</v>
      </c>
      <c r="AF55" s="7">
        <v>334.98670748613785</v>
      </c>
      <c r="AG55" s="7">
        <v>312.09060826789027</v>
      </c>
      <c r="AH55" s="7">
        <v>286.32510847337943</v>
      </c>
      <c r="AI55" s="7">
        <v>257.34068729851856</v>
      </c>
      <c r="AJ55" s="7">
        <v>224.7442292597963</v>
      </c>
      <c r="AK55" s="7">
        <v>188.09368073804364</v>
      </c>
      <c r="AL55" s="7">
        <v>146.89204015763522</v>
      </c>
      <c r="AM55" s="7">
        <v>100.58059980593428</v>
      </c>
      <c r="AN55" s="7">
        <v>48.531347066530181</v>
      </c>
    </row>
    <row r="57" spans="1:40" x14ac:dyDescent="0.2">
      <c r="A57" s="5" t="s">
        <v>165</v>
      </c>
    </row>
    <row r="58" spans="1:40" x14ac:dyDescent="0.2">
      <c r="A58" s="5" t="s">
        <v>4</v>
      </c>
    </row>
    <row r="59" spans="1:40" x14ac:dyDescent="0.2">
      <c r="A59" s="5" t="s">
        <v>98</v>
      </c>
    </row>
    <row r="60" spans="1:40" x14ac:dyDescent="0.2">
      <c r="A60" s="5" t="s">
        <v>6</v>
      </c>
    </row>
    <row r="61" spans="1:40" x14ac:dyDescent="0.2">
      <c r="A61" t="s">
        <v>156</v>
      </c>
      <c r="B61">
        <v>1000000</v>
      </c>
    </row>
    <row r="62" spans="1:40" x14ac:dyDescent="0.2">
      <c r="A62" s="6" t="s">
        <v>7</v>
      </c>
      <c r="B62" s="6">
        <v>2022</v>
      </c>
      <c r="C62" s="6">
        <v>2023</v>
      </c>
      <c r="D62" s="6">
        <v>2024</v>
      </c>
      <c r="E62" s="6">
        <v>2025</v>
      </c>
      <c r="F62" s="6">
        <v>2026</v>
      </c>
      <c r="G62" s="6">
        <v>2027</v>
      </c>
      <c r="H62" s="6">
        <v>2028</v>
      </c>
      <c r="I62" s="6">
        <v>2029</v>
      </c>
      <c r="J62" s="6">
        <v>2030</v>
      </c>
      <c r="K62" s="6">
        <v>2031</v>
      </c>
      <c r="L62" s="6">
        <v>2032</v>
      </c>
      <c r="M62" s="6">
        <v>2033</v>
      </c>
      <c r="N62" s="6">
        <v>2034</v>
      </c>
      <c r="O62" s="6">
        <v>2035</v>
      </c>
      <c r="P62" s="6">
        <v>2036</v>
      </c>
      <c r="Q62" s="6">
        <v>2037</v>
      </c>
      <c r="R62" s="6">
        <v>2038</v>
      </c>
      <c r="S62" s="6">
        <v>2039</v>
      </c>
      <c r="T62" s="6">
        <v>2040</v>
      </c>
      <c r="U62" s="6">
        <v>2041</v>
      </c>
      <c r="V62" s="6">
        <v>2042</v>
      </c>
      <c r="W62" s="6">
        <v>2043</v>
      </c>
      <c r="X62" s="6">
        <v>2044</v>
      </c>
      <c r="Y62" s="6">
        <v>2045</v>
      </c>
      <c r="Z62" s="6">
        <v>2046</v>
      </c>
      <c r="AA62" s="6">
        <v>2047</v>
      </c>
      <c r="AB62" s="6">
        <v>2048</v>
      </c>
      <c r="AC62" s="6">
        <v>2049</v>
      </c>
      <c r="AD62" s="6">
        <v>2050</v>
      </c>
      <c r="AE62" s="6">
        <v>2051</v>
      </c>
      <c r="AF62" s="6">
        <v>2052</v>
      </c>
      <c r="AG62" s="6">
        <v>2053</v>
      </c>
      <c r="AH62" s="6">
        <v>2054</v>
      </c>
      <c r="AI62" s="6">
        <v>2055</v>
      </c>
      <c r="AJ62" s="6">
        <v>2056</v>
      </c>
      <c r="AK62" s="6">
        <v>2057</v>
      </c>
      <c r="AL62" s="6">
        <v>2058</v>
      </c>
      <c r="AM62" s="6">
        <v>2059</v>
      </c>
      <c r="AN62" s="6">
        <v>2060</v>
      </c>
    </row>
    <row r="63" spans="1:40" x14ac:dyDescent="0.2">
      <c r="A63" s="6" t="s">
        <v>99</v>
      </c>
      <c r="B63" s="7">
        <v>66.081280975717064</v>
      </c>
      <c r="C63" s="7">
        <v>98.116659483513985</v>
      </c>
      <c r="D63" s="7">
        <v>148.61302974219191</v>
      </c>
      <c r="E63" s="7">
        <v>197.47048180914905</v>
      </c>
      <c r="F63" s="7">
        <v>246.05748760674905</v>
      </c>
      <c r="G63" s="7">
        <v>293.41674790392699</v>
      </c>
      <c r="H63" s="7">
        <v>317.74225823410472</v>
      </c>
      <c r="I63" s="7">
        <v>342.42109476413697</v>
      </c>
      <c r="J63" s="7">
        <v>345.31763067186989</v>
      </c>
      <c r="K63" s="7">
        <v>347.73225260320862</v>
      </c>
      <c r="L63" s="7">
        <v>350.1401243303556</v>
      </c>
      <c r="M63" s="7">
        <v>352.54317755252077</v>
      </c>
      <c r="N63" s="7">
        <v>354.94261788500802</v>
      </c>
      <c r="O63" s="7">
        <v>357.33919768642852</v>
      </c>
      <c r="P63" s="7">
        <v>359.36541742193009</v>
      </c>
      <c r="Q63" s="7">
        <v>361.39114972192931</v>
      </c>
      <c r="R63" s="7">
        <v>363.4165782898524</v>
      </c>
      <c r="S63" s="7">
        <v>365.44181760238951</v>
      </c>
      <c r="T63" s="7">
        <v>367.46693899405005</v>
      </c>
      <c r="U63" s="7">
        <v>369.01898280619014</v>
      </c>
      <c r="V63" s="7">
        <v>370.57098064752199</v>
      </c>
      <c r="W63" s="7">
        <v>372.12294988612047</v>
      </c>
      <c r="X63" s="7">
        <v>373.67490132861735</v>
      </c>
      <c r="Y63" s="7">
        <v>375.22684169890414</v>
      </c>
      <c r="Z63" s="7">
        <v>376.32494457874583</v>
      </c>
      <c r="AA63" s="7">
        <v>377.42304315569595</v>
      </c>
      <c r="AB63" s="7">
        <v>378.52113905895669</v>
      </c>
      <c r="AC63" s="7">
        <v>379.61923330088013</v>
      </c>
      <c r="AD63" s="7">
        <v>380.71732651051599</v>
      </c>
      <c r="AE63" s="7">
        <v>380.71732756797928</v>
      </c>
      <c r="AF63" s="7">
        <v>380.71732822311998</v>
      </c>
      <c r="AG63" s="7">
        <v>380.71732862900575</v>
      </c>
      <c r="AH63" s="7">
        <v>380.71732888046824</v>
      </c>
      <c r="AI63" s="7">
        <v>380.71732903625917</v>
      </c>
      <c r="AJ63" s="7">
        <v>380.71732913277793</v>
      </c>
      <c r="AK63" s="7">
        <v>380.71732919257511</v>
      </c>
      <c r="AL63" s="7">
        <v>380.71732922962184</v>
      </c>
      <c r="AM63" s="7">
        <v>380.71732925257379</v>
      </c>
      <c r="AN63" s="7">
        <v>380.71732926679334</v>
      </c>
    </row>
    <row r="65" spans="1:40" x14ac:dyDescent="0.2">
      <c r="A65" s="5" t="s">
        <v>166</v>
      </c>
    </row>
    <row r="66" spans="1:40" x14ac:dyDescent="0.2">
      <c r="A66" s="5" t="s">
        <v>4</v>
      </c>
    </row>
    <row r="67" spans="1:40" x14ac:dyDescent="0.2">
      <c r="A67" s="5" t="s">
        <v>101</v>
      </c>
    </row>
    <row r="68" spans="1:40" x14ac:dyDescent="0.2">
      <c r="A68" s="5" t="s">
        <v>6</v>
      </c>
    </row>
    <row r="69" spans="1:40" x14ac:dyDescent="0.2">
      <c r="A69" t="s">
        <v>156</v>
      </c>
      <c r="B69">
        <v>1000000</v>
      </c>
    </row>
    <row r="70" spans="1:40" x14ac:dyDescent="0.2">
      <c r="A70" s="6" t="s">
        <v>7</v>
      </c>
      <c r="B70" s="6">
        <v>2022</v>
      </c>
      <c r="C70" s="6">
        <v>2023</v>
      </c>
      <c r="D70" s="6">
        <v>2024</v>
      </c>
      <c r="E70" s="6">
        <v>2025</v>
      </c>
      <c r="F70" s="6">
        <v>2026</v>
      </c>
      <c r="G70" s="6">
        <v>2027</v>
      </c>
      <c r="H70" s="6">
        <v>2028</v>
      </c>
      <c r="I70" s="6">
        <v>2029</v>
      </c>
      <c r="J70" s="6">
        <v>2030</v>
      </c>
      <c r="K70" s="6">
        <v>2031</v>
      </c>
      <c r="L70" s="6">
        <v>2032</v>
      </c>
      <c r="M70" s="6">
        <v>2033</v>
      </c>
      <c r="N70" s="6">
        <v>2034</v>
      </c>
      <c r="O70" s="6">
        <v>2035</v>
      </c>
      <c r="P70" s="6">
        <v>2036</v>
      </c>
      <c r="Q70" s="6">
        <v>2037</v>
      </c>
      <c r="R70" s="6">
        <v>2038</v>
      </c>
      <c r="S70" s="6">
        <v>2039</v>
      </c>
      <c r="T70" s="6">
        <v>2040</v>
      </c>
      <c r="U70" s="6">
        <v>2041</v>
      </c>
      <c r="V70" s="6">
        <v>2042</v>
      </c>
      <c r="W70" s="6">
        <v>2043</v>
      </c>
      <c r="X70" s="6">
        <v>2044</v>
      </c>
      <c r="Y70" s="6">
        <v>2045</v>
      </c>
      <c r="Z70" s="6">
        <v>2046</v>
      </c>
      <c r="AA70" s="6">
        <v>2047</v>
      </c>
      <c r="AB70" s="6">
        <v>2048</v>
      </c>
      <c r="AC70" s="6">
        <v>2049</v>
      </c>
      <c r="AD70" s="6">
        <v>2050</v>
      </c>
      <c r="AE70" s="6">
        <v>2051</v>
      </c>
      <c r="AF70" s="6">
        <v>2052</v>
      </c>
      <c r="AG70" s="6">
        <v>2053</v>
      </c>
      <c r="AH70" s="6">
        <v>2054</v>
      </c>
      <c r="AI70" s="6">
        <v>2055</v>
      </c>
      <c r="AJ70" s="6">
        <v>2056</v>
      </c>
      <c r="AK70" s="6">
        <v>2057</v>
      </c>
      <c r="AL70" s="6">
        <v>2058</v>
      </c>
      <c r="AM70" s="6">
        <v>2059</v>
      </c>
      <c r="AN70" s="6">
        <v>2060</v>
      </c>
    </row>
    <row r="71" spans="1:40" x14ac:dyDescent="0.2">
      <c r="A71" s="6" t="s">
        <v>102</v>
      </c>
      <c r="B71" s="7">
        <v>26.340412631155697</v>
      </c>
      <c r="C71" s="7">
        <v>27.701629481810016</v>
      </c>
      <c r="D71" s="7">
        <v>32.174494980305447</v>
      </c>
      <c r="E71" s="7">
        <v>36.999775686732548</v>
      </c>
      <c r="F71" s="7">
        <v>42.567150377976851</v>
      </c>
      <c r="G71" s="7">
        <v>48.442698584824825</v>
      </c>
      <c r="H71" s="7">
        <v>54.669114572432491</v>
      </c>
      <c r="I71" s="7">
        <v>59.506128388315005</v>
      </c>
      <c r="J71" s="7">
        <v>63.876768042195337</v>
      </c>
      <c r="K71" s="7">
        <v>71.551994652050595</v>
      </c>
      <c r="L71" s="7">
        <v>74.596936273447071</v>
      </c>
      <c r="M71" s="7">
        <v>77.352790824633104</v>
      </c>
      <c r="N71" s="7">
        <v>80.000815791201958</v>
      </c>
      <c r="O71" s="7">
        <v>82.592270419592182</v>
      </c>
      <c r="P71" s="7">
        <v>86.168330037792231</v>
      </c>
      <c r="Q71" s="7">
        <v>88.538138863023207</v>
      </c>
      <c r="R71" s="7">
        <v>90.866876769952881</v>
      </c>
      <c r="S71" s="7">
        <v>93.174524892901502</v>
      </c>
      <c r="T71" s="7">
        <v>95.477681019888848</v>
      </c>
      <c r="U71" s="7">
        <v>98.561089680948101</v>
      </c>
      <c r="V71" s="7">
        <v>100.29214275240119</v>
      </c>
      <c r="W71" s="7">
        <v>102.02351010731016</v>
      </c>
      <c r="X71" s="7">
        <v>103.76887018951302</v>
      </c>
      <c r="Y71" s="7">
        <v>105.55226586083464</v>
      </c>
      <c r="Z71" s="7">
        <v>107.24063602310393</v>
      </c>
      <c r="AA71" s="7">
        <v>108.98621057552479</v>
      </c>
      <c r="AB71" s="7">
        <v>110.80109295538729</v>
      </c>
      <c r="AC71" s="7">
        <v>112.6981433042734</v>
      </c>
      <c r="AD71" s="7">
        <v>114.69113137425562</v>
      </c>
      <c r="AE71" s="7">
        <v>116.74101675086554</v>
      </c>
      <c r="AF71" s="7">
        <v>118.55431289772203</v>
      </c>
      <c r="AG71" s="7">
        <v>120.49898356936653</v>
      </c>
      <c r="AH71" s="7">
        <v>122.5930697936041</v>
      </c>
      <c r="AI71" s="7">
        <v>124.85632378596155</v>
      </c>
      <c r="AJ71" s="7">
        <v>127.37011701192513</v>
      </c>
      <c r="AK71" s="7">
        <v>130.09871481219403</v>
      </c>
      <c r="AL71" s="7">
        <v>133.06856322125165</v>
      </c>
      <c r="AM71" s="7">
        <v>136.3089485678365</v>
      </c>
      <c r="AN71" s="7">
        <v>139.8523549858561</v>
      </c>
    </row>
    <row r="73" spans="1:40" x14ac:dyDescent="0.2">
      <c r="A73" s="5" t="s">
        <v>167</v>
      </c>
    </row>
    <row r="74" spans="1:40" x14ac:dyDescent="0.2">
      <c r="A74" s="5" t="s">
        <v>4</v>
      </c>
    </row>
    <row r="75" spans="1:40" x14ac:dyDescent="0.2">
      <c r="A75" s="5" t="s">
        <v>104</v>
      </c>
    </row>
    <row r="76" spans="1:40" x14ac:dyDescent="0.2">
      <c r="A76" s="5" t="s">
        <v>6</v>
      </c>
    </row>
    <row r="77" spans="1:40" x14ac:dyDescent="0.2">
      <c r="A77" t="s">
        <v>156</v>
      </c>
      <c r="B77">
        <v>1000000</v>
      </c>
    </row>
    <row r="78" spans="1:40" x14ac:dyDescent="0.2">
      <c r="A78" s="6" t="s">
        <v>7</v>
      </c>
      <c r="B78" s="6">
        <v>2022</v>
      </c>
      <c r="C78" s="6">
        <v>2023</v>
      </c>
      <c r="D78" s="6">
        <v>2024</v>
      </c>
      <c r="E78" s="6">
        <v>2025</v>
      </c>
      <c r="F78" s="6">
        <v>2026</v>
      </c>
      <c r="G78" s="6">
        <v>2027</v>
      </c>
      <c r="H78" s="6">
        <v>2028</v>
      </c>
      <c r="I78" s="6">
        <v>2029</v>
      </c>
      <c r="J78" s="6">
        <v>2030</v>
      </c>
      <c r="K78" s="6">
        <v>2031</v>
      </c>
      <c r="L78" s="6">
        <v>2032</v>
      </c>
      <c r="M78" s="6">
        <v>2033</v>
      </c>
      <c r="N78" s="6">
        <v>2034</v>
      </c>
      <c r="O78" s="6">
        <v>2035</v>
      </c>
      <c r="P78" s="6">
        <v>2036</v>
      </c>
      <c r="Q78" s="6">
        <v>2037</v>
      </c>
      <c r="R78" s="6">
        <v>2038</v>
      </c>
      <c r="S78" s="6">
        <v>2039</v>
      </c>
      <c r="T78" s="6">
        <v>2040</v>
      </c>
      <c r="U78" s="6">
        <v>2041</v>
      </c>
      <c r="V78" s="6">
        <v>2042</v>
      </c>
      <c r="W78" s="6">
        <v>2043</v>
      </c>
      <c r="X78" s="6">
        <v>2044</v>
      </c>
      <c r="Y78" s="6">
        <v>2045</v>
      </c>
      <c r="Z78" s="6">
        <v>2046</v>
      </c>
      <c r="AA78" s="6">
        <v>2047</v>
      </c>
      <c r="AB78" s="6">
        <v>2048</v>
      </c>
      <c r="AC78" s="6">
        <v>2049</v>
      </c>
      <c r="AD78" s="6">
        <v>2050</v>
      </c>
      <c r="AE78" s="6">
        <v>2051</v>
      </c>
      <c r="AF78" s="6">
        <v>2052</v>
      </c>
      <c r="AG78" s="6">
        <v>2053</v>
      </c>
      <c r="AH78" s="6">
        <v>2054</v>
      </c>
      <c r="AI78" s="6">
        <v>2055</v>
      </c>
      <c r="AJ78" s="6">
        <v>2056</v>
      </c>
      <c r="AK78" s="6">
        <v>2057</v>
      </c>
      <c r="AL78" s="6">
        <v>2058</v>
      </c>
      <c r="AM78" s="6">
        <v>2059</v>
      </c>
      <c r="AN78" s="6">
        <v>2060</v>
      </c>
    </row>
    <row r="79" spans="1:40" x14ac:dyDescent="0.2">
      <c r="A79" s="6" t="s">
        <v>105</v>
      </c>
      <c r="B79" s="7">
        <v>7.3312071582458387</v>
      </c>
      <c r="C79" s="7">
        <v>6.8842278584261782</v>
      </c>
      <c r="D79" s="7">
        <v>7.3562373997414348</v>
      </c>
      <c r="E79" s="7">
        <v>7.8159158908368553</v>
      </c>
      <c r="F79" s="7">
        <v>8.3065057898180115</v>
      </c>
      <c r="G79" s="7">
        <v>8.7829129618613759</v>
      </c>
      <c r="H79" s="7">
        <v>9.2422905295178239</v>
      </c>
      <c r="I79" s="7">
        <v>9.6823694531048474</v>
      </c>
      <c r="J79" s="7">
        <v>10.101503083878013</v>
      </c>
      <c r="K79" s="7">
        <v>13.334001033340167</v>
      </c>
      <c r="L79" s="7">
        <v>13.810668474418451</v>
      </c>
      <c r="M79" s="7">
        <v>14.237777957394171</v>
      </c>
      <c r="N79" s="7">
        <v>14.619573454480877</v>
      </c>
      <c r="O79" s="7">
        <v>14.960729466919135</v>
      </c>
      <c r="P79" s="7">
        <v>16.131074168108547</v>
      </c>
      <c r="Q79" s="7">
        <v>16.479221648961875</v>
      </c>
      <c r="R79" s="7">
        <v>16.793100656451891</v>
      </c>
      <c r="S79" s="7">
        <v>17.076591241525016</v>
      </c>
      <c r="T79" s="7">
        <v>17.333390969513736</v>
      </c>
      <c r="U79" s="7">
        <v>18.532619970761413</v>
      </c>
      <c r="V79" s="7">
        <v>18.812038158973618</v>
      </c>
      <c r="W79" s="7">
        <v>19.066900495127243</v>
      </c>
      <c r="X79" s="7">
        <v>19.299869145900125</v>
      </c>
      <c r="Y79" s="7">
        <v>19.513429953964714</v>
      </c>
      <c r="Z79" s="7">
        <v>19.686130856587226</v>
      </c>
      <c r="AA79" s="7">
        <v>19.843554555446769</v>
      </c>
      <c r="AB79" s="7">
        <v>19.987628321707422</v>
      </c>
      <c r="AC79" s="7">
        <v>20.120072101539641</v>
      </c>
      <c r="AD79" s="7">
        <v>20.242410889742331</v>
      </c>
      <c r="AE79" s="7">
        <v>20.538374388029204</v>
      </c>
      <c r="AF79" s="7">
        <v>20.592193608253517</v>
      </c>
      <c r="AG79" s="7">
        <v>20.638517091530797</v>
      </c>
      <c r="AH79" s="7">
        <v>20.678361384385259</v>
      </c>
      <c r="AI79" s="7">
        <v>20.712612438032981</v>
      </c>
      <c r="AJ79" s="7">
        <v>20.742040436592475</v>
      </c>
      <c r="AK79" s="7">
        <v>20.767313483802152</v>
      </c>
      <c r="AL79" s="7">
        <v>20.789010069220762</v>
      </c>
      <c r="AM79" s="7">
        <v>20.807630303804597</v>
      </c>
      <c r="AN79" s="7">
        <v>20.823605960965459</v>
      </c>
    </row>
    <row r="81" spans="1:40" x14ac:dyDescent="0.2">
      <c r="A81" s="5" t="s">
        <v>168</v>
      </c>
    </row>
    <row r="82" spans="1:40" x14ac:dyDescent="0.2">
      <c r="A82" s="5" t="s">
        <v>4</v>
      </c>
    </row>
    <row r="83" spans="1:40" x14ac:dyDescent="0.2">
      <c r="A83" s="5" t="s">
        <v>107</v>
      </c>
    </row>
    <row r="84" spans="1:40" x14ac:dyDescent="0.2">
      <c r="A84" s="5" t="s">
        <v>6</v>
      </c>
    </row>
    <row r="85" spans="1:40" x14ac:dyDescent="0.2">
      <c r="A85" t="s">
        <v>156</v>
      </c>
      <c r="B85">
        <v>1000000</v>
      </c>
    </row>
    <row r="86" spans="1:40" x14ac:dyDescent="0.2">
      <c r="A86" s="6" t="s">
        <v>7</v>
      </c>
      <c r="B86" s="6">
        <v>2022</v>
      </c>
      <c r="C86" s="6">
        <v>2023</v>
      </c>
      <c r="D86" s="6">
        <v>2024</v>
      </c>
      <c r="E86" s="6">
        <v>2025</v>
      </c>
      <c r="F86" s="6">
        <v>2026</v>
      </c>
      <c r="G86" s="6">
        <v>2027</v>
      </c>
      <c r="H86" s="6">
        <v>2028</v>
      </c>
      <c r="I86" s="6">
        <v>2029</v>
      </c>
      <c r="J86" s="6">
        <v>2030</v>
      </c>
      <c r="K86" s="6">
        <v>2031</v>
      </c>
      <c r="L86" s="6">
        <v>2032</v>
      </c>
      <c r="M86" s="6">
        <v>2033</v>
      </c>
      <c r="N86" s="6">
        <v>2034</v>
      </c>
      <c r="O86" s="6">
        <v>2035</v>
      </c>
      <c r="P86" s="6">
        <v>2036</v>
      </c>
      <c r="Q86" s="6">
        <v>2037</v>
      </c>
      <c r="R86" s="6">
        <v>2038</v>
      </c>
      <c r="S86" s="6">
        <v>2039</v>
      </c>
      <c r="T86" s="6">
        <v>2040</v>
      </c>
      <c r="U86" s="6">
        <v>2041</v>
      </c>
      <c r="V86" s="6">
        <v>2042</v>
      </c>
      <c r="W86" s="6">
        <v>2043</v>
      </c>
      <c r="X86" s="6">
        <v>2044</v>
      </c>
      <c r="Y86" s="6">
        <v>2045</v>
      </c>
      <c r="Z86" s="6">
        <v>2046</v>
      </c>
      <c r="AA86" s="6">
        <v>2047</v>
      </c>
      <c r="AB86" s="6">
        <v>2048</v>
      </c>
      <c r="AC86" s="6">
        <v>2049</v>
      </c>
      <c r="AD86" s="6">
        <v>2050</v>
      </c>
      <c r="AE86" s="6">
        <v>2051</v>
      </c>
      <c r="AF86" s="6">
        <v>2052</v>
      </c>
      <c r="AG86" s="6">
        <v>2053</v>
      </c>
      <c r="AH86" s="6">
        <v>2054</v>
      </c>
      <c r="AI86" s="6">
        <v>2055</v>
      </c>
      <c r="AJ86" s="6">
        <v>2056</v>
      </c>
      <c r="AK86" s="6">
        <v>2057</v>
      </c>
      <c r="AL86" s="6">
        <v>2058</v>
      </c>
      <c r="AM86" s="6">
        <v>2059</v>
      </c>
      <c r="AN86" s="6">
        <v>2060</v>
      </c>
    </row>
    <row r="87" spans="1:40" x14ac:dyDescent="0.2">
      <c r="A87" s="6" t="s">
        <v>108</v>
      </c>
      <c r="B87" s="7">
        <v>29.60740525726353</v>
      </c>
      <c r="C87" s="7">
        <v>29.719025798297409</v>
      </c>
      <c r="D87" s="7">
        <v>30.845226459591341</v>
      </c>
      <c r="E87" s="7">
        <v>31.935879697357855</v>
      </c>
      <c r="F87" s="7">
        <v>33.177925115532901</v>
      </c>
      <c r="G87" s="7">
        <v>34.395437205821736</v>
      </c>
      <c r="H87" s="7">
        <v>35.587199667257806</v>
      </c>
      <c r="I87" s="7">
        <v>36.751851278717965</v>
      </c>
      <c r="J87" s="7">
        <v>37.888082425411589</v>
      </c>
      <c r="K87" s="7">
        <v>49.879555059821385</v>
      </c>
      <c r="L87" s="7">
        <v>51.322224973912363</v>
      </c>
      <c r="M87" s="7">
        <v>52.6424043050514</v>
      </c>
      <c r="N87" s="7">
        <v>53.849635849935247</v>
      </c>
      <c r="O87" s="7">
        <v>54.95405470307611</v>
      </c>
      <c r="P87" s="7">
        <v>59.870865973871979</v>
      </c>
      <c r="Q87" s="7">
        <v>61.232086554373097</v>
      </c>
      <c r="R87" s="7">
        <v>62.500519612656944</v>
      </c>
      <c r="S87" s="7">
        <v>63.68196765853672</v>
      </c>
      <c r="T87" s="7">
        <v>64.782573562508816</v>
      </c>
      <c r="U87" s="7">
        <v>72.755063783976922</v>
      </c>
      <c r="V87" s="7">
        <v>74.706370103032526</v>
      </c>
      <c r="W87" s="7">
        <v>76.597546321387227</v>
      </c>
      <c r="X87" s="7">
        <v>78.426707327040347</v>
      </c>
      <c r="Y87" s="7">
        <v>80.192607276332225</v>
      </c>
      <c r="Z87" s="7">
        <v>81.795952713148793</v>
      </c>
      <c r="AA87" s="7">
        <v>83.332157586880029</v>
      </c>
      <c r="AB87" s="7">
        <v>84.801868745991101</v>
      </c>
      <c r="AC87" s="7">
        <v>86.206155857822822</v>
      </c>
      <c r="AD87" s="7">
        <v>87.54645168307178</v>
      </c>
      <c r="AE87" s="7">
        <v>98.977513160378024</v>
      </c>
      <c r="AF87" s="7">
        <v>100.60614098105773</v>
      </c>
      <c r="AG87" s="7">
        <v>102.15999886751125</v>
      </c>
      <c r="AH87" s="7">
        <v>103.63964489630119</v>
      </c>
      <c r="AI87" s="7">
        <v>105.04602164383647</v>
      </c>
      <c r="AJ87" s="7">
        <v>106.38041091558908</v>
      </c>
      <c r="AK87" s="7">
        <v>107.6443887175781</v>
      </c>
      <c r="AL87" s="7">
        <v>108.83978131906474</v>
      </c>
      <c r="AM87" s="7">
        <v>109.96862310043512</v>
      </c>
      <c r="AN87" s="7">
        <v>111.03311672919645</v>
      </c>
    </row>
    <row r="89" spans="1:40" x14ac:dyDescent="0.2">
      <c r="A89" s="5" t="s">
        <v>169</v>
      </c>
    </row>
    <row r="90" spans="1:40" x14ac:dyDescent="0.2">
      <c r="A90" s="5" t="s">
        <v>4</v>
      </c>
    </row>
    <row r="91" spans="1:40" x14ac:dyDescent="0.2">
      <c r="A91" s="5" t="s">
        <v>110</v>
      </c>
    </row>
    <row r="92" spans="1:40" x14ac:dyDescent="0.2">
      <c r="A92" s="5" t="s">
        <v>6</v>
      </c>
    </row>
    <row r="93" spans="1:40" x14ac:dyDescent="0.2">
      <c r="A93" t="s">
        <v>156</v>
      </c>
      <c r="B93">
        <v>1000000</v>
      </c>
    </row>
    <row r="94" spans="1:40" x14ac:dyDescent="0.2">
      <c r="A94" s="6" t="s">
        <v>7</v>
      </c>
      <c r="B94" s="6">
        <v>2022</v>
      </c>
      <c r="C94" s="6">
        <v>2023</v>
      </c>
      <c r="D94" s="6">
        <v>2024</v>
      </c>
      <c r="E94" s="6">
        <v>2025</v>
      </c>
      <c r="F94" s="6">
        <v>2026</v>
      </c>
      <c r="G94" s="6">
        <v>2027</v>
      </c>
      <c r="H94" s="6">
        <v>2028</v>
      </c>
      <c r="I94" s="6">
        <v>2029</v>
      </c>
      <c r="J94" s="6">
        <v>2030</v>
      </c>
      <c r="K94" s="6">
        <v>2031</v>
      </c>
      <c r="L94" s="6">
        <v>2032</v>
      </c>
      <c r="M94" s="6">
        <v>2033</v>
      </c>
      <c r="N94" s="6">
        <v>2034</v>
      </c>
      <c r="O94" s="6">
        <v>2035</v>
      </c>
      <c r="P94" s="6">
        <v>2036</v>
      </c>
      <c r="Q94" s="6">
        <v>2037</v>
      </c>
      <c r="R94" s="6">
        <v>2038</v>
      </c>
      <c r="S94" s="6">
        <v>2039</v>
      </c>
      <c r="T94" s="6">
        <v>2040</v>
      </c>
      <c r="U94" s="6">
        <v>2041</v>
      </c>
      <c r="V94" s="6">
        <v>2042</v>
      </c>
      <c r="W94" s="6">
        <v>2043</v>
      </c>
      <c r="X94" s="6">
        <v>2044</v>
      </c>
      <c r="Y94" s="6">
        <v>2045</v>
      </c>
      <c r="Z94" s="6">
        <v>2046</v>
      </c>
      <c r="AA94" s="6">
        <v>2047</v>
      </c>
      <c r="AB94" s="6">
        <v>2048</v>
      </c>
      <c r="AC94" s="6">
        <v>2049</v>
      </c>
      <c r="AD94" s="6">
        <v>2050</v>
      </c>
      <c r="AE94" s="6">
        <v>2051</v>
      </c>
      <c r="AF94" s="6">
        <v>2052</v>
      </c>
      <c r="AG94" s="6">
        <v>2053</v>
      </c>
      <c r="AH94" s="6">
        <v>2054</v>
      </c>
      <c r="AI94" s="6">
        <v>2055</v>
      </c>
      <c r="AJ94" s="6">
        <v>2056</v>
      </c>
      <c r="AK94" s="6">
        <v>2057</v>
      </c>
      <c r="AL94" s="6">
        <v>2058</v>
      </c>
      <c r="AM94" s="6">
        <v>2059</v>
      </c>
      <c r="AN94" s="6">
        <v>2060</v>
      </c>
    </row>
    <row r="95" spans="1:40" x14ac:dyDescent="0.2">
      <c r="A95" s="6" t="s">
        <v>111</v>
      </c>
      <c r="B95" s="7">
        <v>68.054235129065859</v>
      </c>
      <c r="C95" s="7">
        <v>65.768687935281747</v>
      </c>
      <c r="D95" s="7">
        <v>67.247554958366209</v>
      </c>
      <c r="E95" s="7">
        <v>68.62309574158661</v>
      </c>
      <c r="F95" s="7">
        <v>70.301126057547563</v>
      </c>
      <c r="G95" s="7">
        <v>71.906819610304623</v>
      </c>
      <c r="H95" s="7">
        <v>73.445601972130731</v>
      </c>
      <c r="I95" s="7">
        <v>74.921921674937266</v>
      </c>
      <c r="J95" s="7">
        <v>76.339647010045098</v>
      </c>
      <c r="K95" s="7">
        <v>84.565465363026519</v>
      </c>
      <c r="L95" s="7">
        <v>85.921307971219463</v>
      </c>
      <c r="M95" s="7">
        <v>87.183422359190914</v>
      </c>
      <c r="N95" s="7">
        <v>88.362397810397312</v>
      </c>
      <c r="O95" s="7">
        <v>89.46793718487217</v>
      </c>
      <c r="P95" s="7">
        <v>92.903018865852829</v>
      </c>
      <c r="Q95" s="7">
        <v>94.014636884785645</v>
      </c>
      <c r="R95" s="7">
        <v>95.065064080835413</v>
      </c>
      <c r="S95" s="7">
        <v>96.060333841013488</v>
      </c>
      <c r="T95" s="7">
        <v>97.006027468834077</v>
      </c>
      <c r="U95" s="7">
        <v>100.01993039413924</v>
      </c>
      <c r="V95" s="7">
        <v>100.93826212439791</v>
      </c>
      <c r="W95" s="7">
        <v>101.81212818356558</v>
      </c>
      <c r="X95" s="7">
        <v>102.64528395317754</v>
      </c>
      <c r="Y95" s="7">
        <v>103.44124199519547</v>
      </c>
      <c r="Z95" s="7">
        <v>104.07775975554677</v>
      </c>
      <c r="AA95" s="7">
        <v>104.68265863627857</v>
      </c>
      <c r="AB95" s="7">
        <v>105.25885059071186</v>
      </c>
      <c r="AC95" s="7">
        <v>105.80901250394078</v>
      </c>
      <c r="AD95" s="7">
        <v>106.33559854990493</v>
      </c>
      <c r="AE95" s="7">
        <v>108.22518387932142</v>
      </c>
      <c r="AF95" s="7">
        <v>108.46750800807409</v>
      </c>
      <c r="AG95" s="7">
        <v>108.68745708056352</v>
      </c>
      <c r="AH95" s="7">
        <v>108.88701684617934</v>
      </c>
      <c r="AI95" s="7">
        <v>109.06801135043217</v>
      </c>
      <c r="AJ95" s="7">
        <v>109.23211342697019</v>
      </c>
      <c r="AK95" s="7">
        <v>109.38085503023431</v>
      </c>
      <c r="AL95" s="7">
        <v>109.51563728780738</v>
      </c>
      <c r="AM95" s="7">
        <v>109.63774018330568</v>
      </c>
      <c r="AN95" s="7">
        <v>109.74833180687595</v>
      </c>
    </row>
    <row r="97" spans="1:40" x14ac:dyDescent="0.2">
      <c r="A97" s="5" t="s">
        <v>170</v>
      </c>
    </row>
    <row r="98" spans="1:40" x14ac:dyDescent="0.2">
      <c r="A98" s="5" t="s">
        <v>4</v>
      </c>
    </row>
    <row r="99" spans="1:40" x14ac:dyDescent="0.2">
      <c r="A99" s="5" t="s">
        <v>113</v>
      </c>
    </row>
    <row r="100" spans="1:40" x14ac:dyDescent="0.2">
      <c r="A100" s="5" t="s">
        <v>6</v>
      </c>
    </row>
    <row r="101" spans="1:40" x14ac:dyDescent="0.2">
      <c r="A101" t="s">
        <v>156</v>
      </c>
      <c r="B101">
        <v>1000000</v>
      </c>
    </row>
    <row r="102" spans="1:40" x14ac:dyDescent="0.2">
      <c r="A102" s="6" t="s">
        <v>7</v>
      </c>
      <c r="B102" s="6">
        <v>2022</v>
      </c>
      <c r="C102" s="6">
        <v>2023</v>
      </c>
      <c r="D102" s="6">
        <v>2024</v>
      </c>
      <c r="E102" s="6">
        <v>2025</v>
      </c>
      <c r="F102" s="6">
        <v>2026</v>
      </c>
      <c r="G102" s="6">
        <v>2027</v>
      </c>
      <c r="H102" s="6">
        <v>2028</v>
      </c>
      <c r="I102" s="6">
        <v>2029</v>
      </c>
      <c r="J102" s="6">
        <v>2030</v>
      </c>
      <c r="K102" s="6">
        <v>2031</v>
      </c>
      <c r="L102" s="6">
        <v>2032</v>
      </c>
      <c r="M102" s="6">
        <v>2033</v>
      </c>
      <c r="N102" s="6">
        <v>2034</v>
      </c>
      <c r="O102" s="6">
        <v>2035</v>
      </c>
      <c r="P102" s="6">
        <v>2036</v>
      </c>
      <c r="Q102" s="6">
        <v>2037</v>
      </c>
      <c r="R102" s="6">
        <v>2038</v>
      </c>
      <c r="S102" s="6">
        <v>2039</v>
      </c>
      <c r="T102" s="6">
        <v>2040</v>
      </c>
      <c r="U102" s="6">
        <v>2041</v>
      </c>
      <c r="V102" s="6">
        <v>2042</v>
      </c>
      <c r="W102" s="6">
        <v>2043</v>
      </c>
      <c r="X102" s="6">
        <v>2044</v>
      </c>
      <c r="Y102" s="6">
        <v>2045</v>
      </c>
      <c r="Z102" s="6">
        <v>2046</v>
      </c>
      <c r="AA102" s="6">
        <v>2047</v>
      </c>
      <c r="AB102" s="6">
        <v>2048</v>
      </c>
      <c r="AC102" s="6">
        <v>2049</v>
      </c>
      <c r="AD102" s="6">
        <v>2050</v>
      </c>
      <c r="AE102" s="6">
        <v>2051</v>
      </c>
      <c r="AF102" s="6">
        <v>2052</v>
      </c>
      <c r="AG102" s="6">
        <v>2053</v>
      </c>
      <c r="AH102" s="6">
        <v>2054</v>
      </c>
      <c r="AI102" s="6">
        <v>2055</v>
      </c>
      <c r="AJ102" s="6">
        <v>2056</v>
      </c>
      <c r="AK102" s="6">
        <v>2057</v>
      </c>
      <c r="AL102" s="6">
        <v>2058</v>
      </c>
      <c r="AM102" s="6">
        <v>2059</v>
      </c>
      <c r="AN102" s="6">
        <v>2060</v>
      </c>
    </row>
    <row r="103" spans="1:40" x14ac:dyDescent="0.2">
      <c r="A103" s="6" t="s">
        <v>114</v>
      </c>
      <c r="B103" s="7">
        <v>25.868719504587531</v>
      </c>
      <c r="C103" s="7">
        <v>50.403135456290897</v>
      </c>
      <c r="D103" s="7">
        <v>61.774310998013064</v>
      </c>
      <c r="E103" s="7">
        <v>66.290015684125265</v>
      </c>
      <c r="F103" s="7">
        <v>68.944294564853166</v>
      </c>
      <c r="G103" s="7">
        <v>70.404250970154592</v>
      </c>
      <c r="H103" s="7">
        <v>71.018114970968625</v>
      </c>
      <c r="I103" s="7">
        <v>71.627173201229724</v>
      </c>
      <c r="J103" s="7">
        <v>72.23306659482941</v>
      </c>
      <c r="K103" s="7">
        <v>72.738153886284451</v>
      </c>
      <c r="L103" s="7">
        <v>73.241829179319495</v>
      </c>
      <c r="M103" s="7">
        <v>73.744496544115947</v>
      </c>
      <c r="N103" s="7">
        <v>74.246408169623294</v>
      </c>
      <c r="O103" s="7">
        <v>74.747721433180118</v>
      </c>
      <c r="P103" s="7">
        <v>75.171563288012365</v>
      </c>
      <c r="Q103" s="7">
        <v>75.595303181757288</v>
      </c>
      <c r="R103" s="7">
        <v>76.018979541244661</v>
      </c>
      <c r="S103" s="7">
        <v>76.442616312550896</v>
      </c>
      <c r="T103" s="7">
        <v>76.866228417330532</v>
      </c>
      <c r="U103" s="7">
        <v>77.190882805298756</v>
      </c>
      <c r="V103" s="7">
        <v>77.515527577156561</v>
      </c>
      <c r="W103" s="7">
        <v>77.840166365934039</v>
      </c>
      <c r="X103" s="7">
        <v>78.164801432147414</v>
      </c>
      <c r="Y103" s="7">
        <v>78.489434182291163</v>
      </c>
      <c r="Z103" s="7">
        <v>78.719133830968971</v>
      </c>
      <c r="AA103" s="7">
        <v>78.948832579573875</v>
      </c>
      <c r="AB103" s="7">
        <v>79.178530768900032</v>
      </c>
      <c r="AC103" s="7">
        <v>79.408228610710026</v>
      </c>
      <c r="AD103" s="7">
        <v>79.637926236587433</v>
      </c>
      <c r="AE103" s="7">
        <v>79.637926457786179</v>
      </c>
      <c r="AF103" s="7">
        <v>79.63792659482759</v>
      </c>
      <c r="AG103" s="7">
        <v>79.637926679730228</v>
      </c>
      <c r="AH103" s="7">
        <v>79.637926732330783</v>
      </c>
      <c r="AI103" s="7">
        <v>79.637926764918944</v>
      </c>
      <c r="AJ103" s="7">
        <v>79.637926785108576</v>
      </c>
      <c r="AK103" s="7">
        <v>79.637926797616871</v>
      </c>
      <c r="AL103" s="7">
        <v>79.637926805366277</v>
      </c>
      <c r="AM103" s="7">
        <v>79.637926810167329</v>
      </c>
      <c r="AN103" s="7">
        <v>79.63792681314176</v>
      </c>
    </row>
    <row r="105" spans="1:40" x14ac:dyDescent="0.2">
      <c r="A105" s="5" t="s">
        <v>171</v>
      </c>
    </row>
    <row r="106" spans="1:40" x14ac:dyDescent="0.2">
      <c r="A106" s="5" t="s">
        <v>4</v>
      </c>
    </row>
    <row r="107" spans="1:40" x14ac:dyDescent="0.2">
      <c r="A107" s="5" t="s">
        <v>116</v>
      </c>
    </row>
    <row r="108" spans="1:40" x14ac:dyDescent="0.2">
      <c r="A108" s="5" t="s">
        <v>6</v>
      </c>
    </row>
    <row r="109" spans="1:40" x14ac:dyDescent="0.2">
      <c r="A109" t="s">
        <v>156</v>
      </c>
      <c r="B109">
        <v>1000000</v>
      </c>
    </row>
    <row r="110" spans="1:40" x14ac:dyDescent="0.2">
      <c r="A110" s="6" t="s">
        <v>7</v>
      </c>
      <c r="B110" s="6">
        <v>2022</v>
      </c>
      <c r="C110" s="6">
        <v>2023</v>
      </c>
      <c r="D110" s="6">
        <v>2024</v>
      </c>
      <c r="E110" s="6">
        <v>2025</v>
      </c>
      <c r="F110" s="6">
        <v>2026</v>
      </c>
      <c r="G110" s="6">
        <v>2027</v>
      </c>
      <c r="H110" s="6">
        <v>2028</v>
      </c>
      <c r="I110" s="6">
        <v>2029</v>
      </c>
      <c r="J110" s="6">
        <v>2030</v>
      </c>
      <c r="K110" s="6">
        <v>2031</v>
      </c>
      <c r="L110" s="6">
        <v>2032</v>
      </c>
      <c r="M110" s="6">
        <v>2033</v>
      </c>
      <c r="N110" s="6">
        <v>2034</v>
      </c>
      <c r="O110" s="6">
        <v>2035</v>
      </c>
      <c r="P110" s="6">
        <v>2036</v>
      </c>
      <c r="Q110" s="6">
        <v>2037</v>
      </c>
      <c r="R110" s="6">
        <v>2038</v>
      </c>
      <c r="S110" s="6">
        <v>2039</v>
      </c>
      <c r="T110" s="6">
        <v>2040</v>
      </c>
      <c r="U110" s="6">
        <v>2041</v>
      </c>
      <c r="V110" s="6">
        <v>2042</v>
      </c>
      <c r="W110" s="6">
        <v>2043</v>
      </c>
      <c r="X110" s="6">
        <v>2044</v>
      </c>
      <c r="Y110" s="6">
        <v>2045</v>
      </c>
      <c r="Z110" s="6">
        <v>2046</v>
      </c>
      <c r="AA110" s="6">
        <v>2047</v>
      </c>
      <c r="AB110" s="6">
        <v>2048</v>
      </c>
      <c r="AC110" s="6">
        <v>2049</v>
      </c>
      <c r="AD110" s="6">
        <v>2050</v>
      </c>
      <c r="AE110" s="6">
        <v>2051</v>
      </c>
      <c r="AF110" s="6">
        <v>2052</v>
      </c>
      <c r="AG110" s="6">
        <v>2053</v>
      </c>
      <c r="AH110" s="6">
        <v>2054</v>
      </c>
      <c r="AI110" s="6">
        <v>2055</v>
      </c>
      <c r="AJ110" s="6">
        <v>2056</v>
      </c>
      <c r="AK110" s="6">
        <v>2057</v>
      </c>
      <c r="AL110" s="6">
        <v>2058</v>
      </c>
      <c r="AM110" s="6">
        <v>2059</v>
      </c>
      <c r="AN110" s="6">
        <v>2060</v>
      </c>
    </row>
    <row r="111" spans="1:40" x14ac:dyDescent="0.2">
      <c r="A111" s="6" t="s">
        <v>117</v>
      </c>
      <c r="B111" s="7">
        <v>18.487696109852504</v>
      </c>
      <c r="C111" s="7">
        <v>21.617304740437092</v>
      </c>
      <c r="D111" s="7">
        <v>24.759780222418836</v>
      </c>
      <c r="E111" s="7">
        <v>27.915982105704774</v>
      </c>
      <c r="F111" s="7">
        <v>29.234561641407286</v>
      </c>
      <c r="G111" s="7">
        <v>29.494842756102582</v>
      </c>
      <c r="H111" s="7">
        <v>29.752012201528775</v>
      </c>
      <c r="I111" s="7">
        <v>30.007168338882988</v>
      </c>
      <c r="J111" s="7">
        <v>30.260998613687853</v>
      </c>
      <c r="K111" s="7">
        <v>30.472597629859287</v>
      </c>
      <c r="L111" s="7">
        <v>30.683605109713028</v>
      </c>
      <c r="M111" s="7">
        <v>30.894190332607881</v>
      </c>
      <c r="N111" s="7">
        <v>31.104458949457097</v>
      </c>
      <c r="O111" s="7">
        <v>31.314476891220671</v>
      </c>
      <c r="P111" s="7">
        <v>31.492039306692302</v>
      </c>
      <c r="Q111" s="7">
        <v>31.669559007040956</v>
      </c>
      <c r="R111" s="7">
        <v>31.847052090631262</v>
      </c>
      <c r="S111" s="7">
        <v>32.024528589325605</v>
      </c>
      <c r="T111" s="7">
        <v>32.201994754335338</v>
      </c>
      <c r="U111" s="7">
        <v>32.338004015015656</v>
      </c>
      <c r="V111" s="7">
        <v>32.474009247165569</v>
      </c>
      <c r="W111" s="7">
        <v>32.610011972790502</v>
      </c>
      <c r="X111" s="7">
        <v>32.746013138901048</v>
      </c>
      <c r="Y111" s="7">
        <v>32.882013334727723</v>
      </c>
      <c r="Z111" s="7">
        <v>32.978242680619864</v>
      </c>
      <c r="AA111" s="7">
        <v>33.074471649439459</v>
      </c>
      <c r="AB111" s="7">
        <v>33.170700383957346</v>
      </c>
      <c r="AC111" s="7">
        <v>33.26692897288833</v>
      </c>
      <c r="AD111" s="7">
        <v>33.363157471357503</v>
      </c>
      <c r="AE111" s="7">
        <v>33.363157564025514</v>
      </c>
      <c r="AF111" s="7">
        <v>33.36315762143704</v>
      </c>
      <c r="AG111" s="7">
        <v>33.363157657005758</v>
      </c>
      <c r="AH111" s="7">
        <v>33.363157679042011</v>
      </c>
      <c r="AI111" s="7">
        <v>33.363157692694337</v>
      </c>
      <c r="AJ111" s="7">
        <v>33.363157701152502</v>
      </c>
      <c r="AK111" s="7">
        <v>33.363157706392677</v>
      </c>
      <c r="AL111" s="7">
        <v>33.363157709639175</v>
      </c>
      <c r="AM111" s="7">
        <v>33.363157711650508</v>
      </c>
      <c r="AN111" s="7">
        <v>33.363157712896594</v>
      </c>
    </row>
    <row r="113" spans="1:40" x14ac:dyDescent="0.2">
      <c r="A113" s="5" t="s">
        <v>172</v>
      </c>
    </row>
    <row r="114" spans="1:40" x14ac:dyDescent="0.2">
      <c r="A114" s="5" t="s">
        <v>4</v>
      </c>
    </row>
    <row r="115" spans="1:40" x14ac:dyDescent="0.2">
      <c r="A115" s="5" t="s">
        <v>119</v>
      </c>
    </row>
    <row r="116" spans="1:40" x14ac:dyDescent="0.2">
      <c r="A116" s="5" t="s">
        <v>6</v>
      </c>
    </row>
    <row r="117" spans="1:40" x14ac:dyDescent="0.2">
      <c r="A117" t="s">
        <v>156</v>
      </c>
      <c r="B117">
        <v>1000000</v>
      </c>
    </row>
    <row r="118" spans="1:40" x14ac:dyDescent="0.2">
      <c r="A118" s="6" t="s">
        <v>7</v>
      </c>
      <c r="B118" s="6">
        <v>2022</v>
      </c>
      <c r="C118" s="6">
        <v>2023</v>
      </c>
      <c r="D118" s="6">
        <v>2024</v>
      </c>
      <c r="E118" s="6">
        <v>2025</v>
      </c>
      <c r="F118" s="6">
        <v>2026</v>
      </c>
      <c r="G118" s="6">
        <v>2027</v>
      </c>
      <c r="H118" s="6">
        <v>2028</v>
      </c>
      <c r="I118" s="6">
        <v>2029</v>
      </c>
      <c r="J118" s="6">
        <v>2030</v>
      </c>
      <c r="K118" s="6">
        <v>2031</v>
      </c>
      <c r="L118" s="6">
        <v>2032</v>
      </c>
      <c r="M118" s="6">
        <v>2033</v>
      </c>
      <c r="N118" s="6">
        <v>2034</v>
      </c>
      <c r="O118" s="6">
        <v>2035</v>
      </c>
      <c r="P118" s="6">
        <v>2036</v>
      </c>
      <c r="Q118" s="6">
        <v>2037</v>
      </c>
      <c r="R118" s="6">
        <v>2038</v>
      </c>
      <c r="S118" s="6">
        <v>2039</v>
      </c>
      <c r="T118" s="6">
        <v>2040</v>
      </c>
      <c r="U118" s="6">
        <v>2041</v>
      </c>
      <c r="V118" s="6">
        <v>2042</v>
      </c>
      <c r="W118" s="6">
        <v>2043</v>
      </c>
      <c r="X118" s="6">
        <v>2044</v>
      </c>
      <c r="Y118" s="6">
        <v>2045</v>
      </c>
      <c r="Z118" s="6">
        <v>2046</v>
      </c>
      <c r="AA118" s="6">
        <v>2047</v>
      </c>
      <c r="AB118" s="6">
        <v>2048</v>
      </c>
      <c r="AC118" s="6">
        <v>2049</v>
      </c>
      <c r="AD118" s="6">
        <v>2050</v>
      </c>
      <c r="AE118" s="6">
        <v>2051</v>
      </c>
      <c r="AF118" s="6">
        <v>2052</v>
      </c>
      <c r="AG118" s="6">
        <v>2053</v>
      </c>
      <c r="AH118" s="6">
        <v>2054</v>
      </c>
      <c r="AI118" s="6">
        <v>2055</v>
      </c>
      <c r="AJ118" s="6">
        <v>2056</v>
      </c>
      <c r="AK118" s="6">
        <v>2057</v>
      </c>
      <c r="AL118" s="6">
        <v>2058</v>
      </c>
      <c r="AM118" s="6">
        <v>2059</v>
      </c>
      <c r="AN118" s="6">
        <v>2060</v>
      </c>
    </row>
    <row r="119" spans="1:40" x14ac:dyDescent="0.2">
      <c r="A119" s="6" t="s">
        <v>120</v>
      </c>
      <c r="B119" s="7">
        <v>6.1967667328840683</v>
      </c>
      <c r="C119" s="7">
        <v>6.3118449059002479</v>
      </c>
      <c r="D119" s="7">
        <v>6.4233530809967023</v>
      </c>
      <c r="E119" s="7">
        <v>6.5327852340105723</v>
      </c>
      <c r="F119" s="7">
        <v>6.8323897343601523</v>
      </c>
      <c r="G119" s="7">
        <v>7.1351673105674962</v>
      </c>
      <c r="H119" s="7">
        <v>7.4414368044824117</v>
      </c>
      <c r="I119" s="7">
        <v>7.7514053676056509</v>
      </c>
      <c r="J119" s="7">
        <v>8.0652066731917902</v>
      </c>
      <c r="K119" s="7">
        <v>8.3379897677226182</v>
      </c>
      <c r="L119" s="7">
        <v>8.6136119540004348</v>
      </c>
      <c r="M119" s="7">
        <v>8.8921093532114561</v>
      </c>
      <c r="N119" s="7">
        <v>9.1735041291225254</v>
      </c>
      <c r="O119" s="7">
        <v>9.457809449941637</v>
      </c>
      <c r="P119" s="7">
        <v>9.5393182496035909</v>
      </c>
      <c r="Q119" s="7">
        <v>9.6211284679120563</v>
      </c>
      <c r="R119" s="7">
        <v>9.7032448963114426</v>
      </c>
      <c r="S119" s="7">
        <v>9.7856705295254915</v>
      </c>
      <c r="T119" s="7">
        <v>9.8684072392101783</v>
      </c>
      <c r="U119" s="7">
        <v>9.9100877246253383</v>
      </c>
      <c r="V119" s="7">
        <v>9.9517669754841105</v>
      </c>
      <c r="W119" s="7">
        <v>9.9934454582100507</v>
      </c>
      <c r="X119" s="7">
        <v>10.035123463017676</v>
      </c>
      <c r="Y119" s="7">
        <v>10.076801170478616</v>
      </c>
      <c r="Z119" s="7">
        <v>10.106290970128331</v>
      </c>
      <c r="AA119" s="7">
        <v>10.13578065422292</v>
      </c>
      <c r="AB119" s="7">
        <v>10.165270266514984</v>
      </c>
      <c r="AC119" s="7">
        <v>10.194759834191457</v>
      </c>
      <c r="AD119" s="7">
        <v>10.224249374145618</v>
      </c>
      <c r="AE119" s="7">
        <v>10.224249402544032</v>
      </c>
      <c r="AF119" s="7">
        <v>10.224249420137985</v>
      </c>
      <c r="AG119" s="7">
        <v>10.224249431038137</v>
      </c>
      <c r="AH119" s="7">
        <v>10.224249437791217</v>
      </c>
      <c r="AI119" s="7">
        <v>10.224249441975019</v>
      </c>
      <c r="AJ119" s="7">
        <v>10.22424944456705</v>
      </c>
      <c r="AK119" s="7">
        <v>10.224249446172919</v>
      </c>
      <c r="AL119" s="7">
        <v>10.224249447167818</v>
      </c>
      <c r="AM119" s="7">
        <v>10.224249447784196</v>
      </c>
      <c r="AN119" s="7">
        <v>10.224249448166066</v>
      </c>
    </row>
    <row r="121" spans="1:40" x14ac:dyDescent="0.2">
      <c r="A121" s="5" t="s">
        <v>173</v>
      </c>
    </row>
    <row r="122" spans="1:40" x14ac:dyDescent="0.2">
      <c r="A122" s="5" t="s">
        <v>4</v>
      </c>
    </row>
    <row r="123" spans="1:40" x14ac:dyDescent="0.2">
      <c r="A123" s="5" t="s">
        <v>122</v>
      </c>
    </row>
    <row r="124" spans="1:40" x14ac:dyDescent="0.2">
      <c r="A124" s="5" t="s">
        <v>6</v>
      </c>
    </row>
    <row r="125" spans="1:40" x14ac:dyDescent="0.2">
      <c r="A125" t="s">
        <v>156</v>
      </c>
      <c r="B125">
        <v>1000000</v>
      </c>
    </row>
    <row r="126" spans="1:40" x14ac:dyDescent="0.2">
      <c r="A126" s="6" t="s">
        <v>7</v>
      </c>
      <c r="B126" s="6">
        <v>2022</v>
      </c>
      <c r="C126" s="6">
        <v>2023</v>
      </c>
      <c r="D126" s="6">
        <v>2024</v>
      </c>
      <c r="E126" s="6">
        <v>2025</v>
      </c>
      <c r="F126" s="6">
        <v>2026</v>
      </c>
      <c r="G126" s="6">
        <v>2027</v>
      </c>
      <c r="H126" s="6">
        <v>2028</v>
      </c>
      <c r="I126" s="6">
        <v>2029</v>
      </c>
      <c r="J126" s="6">
        <v>2030</v>
      </c>
      <c r="K126" s="6">
        <v>2031</v>
      </c>
      <c r="L126" s="6">
        <v>2032</v>
      </c>
      <c r="M126" s="6">
        <v>2033</v>
      </c>
      <c r="N126" s="6">
        <v>2034</v>
      </c>
      <c r="O126" s="6">
        <v>2035</v>
      </c>
      <c r="P126" s="6">
        <v>2036</v>
      </c>
      <c r="Q126" s="6">
        <v>2037</v>
      </c>
      <c r="R126" s="6">
        <v>2038</v>
      </c>
      <c r="S126" s="6">
        <v>2039</v>
      </c>
      <c r="T126" s="6">
        <v>2040</v>
      </c>
      <c r="U126" s="6">
        <v>2041</v>
      </c>
      <c r="V126" s="6">
        <v>2042</v>
      </c>
      <c r="W126" s="6">
        <v>2043</v>
      </c>
      <c r="X126" s="6">
        <v>2044</v>
      </c>
      <c r="Y126" s="6">
        <v>2045</v>
      </c>
      <c r="Z126" s="6">
        <v>2046</v>
      </c>
      <c r="AA126" s="6">
        <v>2047</v>
      </c>
      <c r="AB126" s="6">
        <v>2048</v>
      </c>
      <c r="AC126" s="6">
        <v>2049</v>
      </c>
      <c r="AD126" s="6">
        <v>2050</v>
      </c>
      <c r="AE126" s="6">
        <v>2051</v>
      </c>
      <c r="AF126" s="6">
        <v>2052</v>
      </c>
      <c r="AG126" s="6">
        <v>2053</v>
      </c>
      <c r="AH126" s="6">
        <v>2054</v>
      </c>
      <c r="AI126" s="6">
        <v>2055</v>
      </c>
      <c r="AJ126" s="6">
        <v>2056</v>
      </c>
      <c r="AK126" s="6">
        <v>2057</v>
      </c>
      <c r="AL126" s="6">
        <v>2058</v>
      </c>
      <c r="AM126" s="6">
        <v>2059</v>
      </c>
      <c r="AN126" s="6">
        <v>2060</v>
      </c>
    </row>
    <row r="127" spans="1:40" x14ac:dyDescent="0.2">
      <c r="A127" s="6" t="s">
        <v>123</v>
      </c>
      <c r="B127" s="7">
        <v>6.7183880152800084</v>
      </c>
      <c r="C127" s="7">
        <v>9.254245759494415</v>
      </c>
      <c r="D127" s="7">
        <v>11.32263090212364</v>
      </c>
      <c r="E127" s="7">
        <v>13.165327365611187</v>
      </c>
      <c r="F127" s="7">
        <v>14.877281769800422</v>
      </c>
      <c r="G127" s="7">
        <v>16.40605846633046</v>
      </c>
      <c r="H127" s="7">
        <v>17.755629881679688</v>
      </c>
      <c r="I127" s="7">
        <v>18.943436264155018</v>
      </c>
      <c r="J127" s="7">
        <v>20.329373325024577</v>
      </c>
      <c r="K127" s="7">
        <v>21.192336773715898</v>
      </c>
      <c r="L127" s="7">
        <v>21.83682932469106</v>
      </c>
      <c r="M127" s="7">
        <v>22.487860397615531</v>
      </c>
      <c r="N127" s="7">
        <v>23.14548806015161</v>
      </c>
      <c r="O127" s="7">
        <v>23.809747034600658</v>
      </c>
      <c r="P127" s="7">
        <v>24.087617775796499</v>
      </c>
      <c r="Q127" s="7">
        <v>24.367066660924323</v>
      </c>
      <c r="R127" s="7">
        <v>24.64810556802728</v>
      </c>
      <c r="S127" s="7">
        <v>24.930741944561909</v>
      </c>
      <c r="T127" s="7">
        <v>25.214980459675473</v>
      </c>
      <c r="U127" s="7">
        <v>25.373872048657613</v>
      </c>
      <c r="V127" s="7">
        <v>25.533201184849183</v>
      </c>
      <c r="W127" s="7">
        <v>25.69296904783614</v>
      </c>
      <c r="X127" s="7">
        <v>25.853176373106177</v>
      </c>
      <c r="Y127" s="7">
        <v>26.013823619235005</v>
      </c>
      <c r="Z127" s="7">
        <v>26.165930885107421</v>
      </c>
      <c r="AA127" s="7">
        <v>26.318481251443828</v>
      </c>
      <c r="AB127" s="7">
        <v>26.471474829574589</v>
      </c>
      <c r="AC127" s="7">
        <v>26.624911688882456</v>
      </c>
      <c r="AD127" s="7">
        <v>26.778791872607091</v>
      </c>
      <c r="AE127" s="7">
        <v>26.778791946986662</v>
      </c>
      <c r="AF127" s="7">
        <v>26.77879199306777</v>
      </c>
      <c r="AG127" s="7">
        <v>26.778792021616848</v>
      </c>
      <c r="AH127" s="7">
        <v>26.778792039304157</v>
      </c>
      <c r="AI127" s="7">
        <v>26.77879205026213</v>
      </c>
      <c r="AJ127" s="7">
        <v>26.778792057051042</v>
      </c>
      <c r="AK127" s="7">
        <v>26.778792061257032</v>
      </c>
      <c r="AL127" s="7">
        <v>26.778792063862824</v>
      </c>
      <c r="AM127" s="7">
        <v>26.778792065477216</v>
      </c>
      <c r="AN127" s="7">
        <v>26.778792066477376</v>
      </c>
    </row>
    <row r="129" spans="1:40" x14ac:dyDescent="0.2">
      <c r="A129" s="5" t="s">
        <v>174</v>
      </c>
    </row>
    <row r="130" spans="1:40" x14ac:dyDescent="0.2">
      <c r="A130" s="5" t="s">
        <v>4</v>
      </c>
    </row>
    <row r="131" spans="1:40" x14ac:dyDescent="0.2">
      <c r="A131" s="5" t="s">
        <v>125</v>
      </c>
    </row>
    <row r="132" spans="1:40" x14ac:dyDescent="0.2">
      <c r="A132" s="5" t="s">
        <v>6</v>
      </c>
    </row>
    <row r="133" spans="1:40" x14ac:dyDescent="0.2">
      <c r="A133" t="s">
        <v>156</v>
      </c>
      <c r="B133">
        <v>1000000</v>
      </c>
    </row>
    <row r="134" spans="1:40" x14ac:dyDescent="0.2">
      <c r="A134" s="6" t="s">
        <v>7</v>
      </c>
      <c r="B134" s="6">
        <v>2022</v>
      </c>
      <c r="C134" s="6">
        <v>2023</v>
      </c>
      <c r="D134" s="6">
        <v>2024</v>
      </c>
      <c r="E134" s="6">
        <v>2025</v>
      </c>
      <c r="F134" s="6">
        <v>2026</v>
      </c>
      <c r="G134" s="6">
        <v>2027</v>
      </c>
      <c r="H134" s="6">
        <v>2028</v>
      </c>
      <c r="I134" s="6">
        <v>2029</v>
      </c>
      <c r="J134" s="6">
        <v>2030</v>
      </c>
      <c r="K134" s="6">
        <v>2031</v>
      </c>
      <c r="L134" s="6">
        <v>2032</v>
      </c>
      <c r="M134" s="6">
        <v>2033</v>
      </c>
      <c r="N134" s="6">
        <v>2034</v>
      </c>
      <c r="O134" s="6">
        <v>2035</v>
      </c>
      <c r="P134" s="6">
        <v>2036</v>
      </c>
      <c r="Q134" s="6">
        <v>2037</v>
      </c>
      <c r="R134" s="6">
        <v>2038</v>
      </c>
      <c r="S134" s="6">
        <v>2039</v>
      </c>
      <c r="T134" s="6">
        <v>2040</v>
      </c>
      <c r="U134" s="6">
        <v>2041</v>
      </c>
      <c r="V134" s="6">
        <v>2042</v>
      </c>
      <c r="W134" s="6">
        <v>2043</v>
      </c>
      <c r="X134" s="6">
        <v>2044</v>
      </c>
      <c r="Y134" s="6">
        <v>2045</v>
      </c>
      <c r="Z134" s="6">
        <v>2046</v>
      </c>
      <c r="AA134" s="6">
        <v>2047</v>
      </c>
      <c r="AB134" s="6">
        <v>2048</v>
      </c>
      <c r="AC134" s="6">
        <v>2049</v>
      </c>
      <c r="AD134" s="6">
        <v>2050</v>
      </c>
      <c r="AE134" s="6">
        <v>2051</v>
      </c>
      <c r="AF134" s="6">
        <v>2052</v>
      </c>
      <c r="AG134" s="6">
        <v>2053</v>
      </c>
      <c r="AH134" s="6">
        <v>2054</v>
      </c>
      <c r="AI134" s="6">
        <v>2055</v>
      </c>
      <c r="AJ134" s="6">
        <v>2056</v>
      </c>
      <c r="AK134" s="6">
        <v>2057</v>
      </c>
      <c r="AL134" s="6">
        <v>2058</v>
      </c>
      <c r="AM134" s="6">
        <v>2059</v>
      </c>
      <c r="AN134" s="6">
        <v>2060</v>
      </c>
    </row>
    <row r="135" spans="1:40" x14ac:dyDescent="0.2">
      <c r="A135" s="6" t="s">
        <v>126</v>
      </c>
      <c r="B135" s="7">
        <v>121.73493093338234</v>
      </c>
      <c r="C135" s="7">
        <v>124.61068532627522</v>
      </c>
      <c r="D135" s="7">
        <v>127.4214988217481</v>
      </c>
      <c r="E135" s="7">
        <v>130.19592628525422</v>
      </c>
      <c r="F135" s="7">
        <v>136.16693008301681</v>
      </c>
      <c r="G135" s="7">
        <v>142.20117207638458</v>
      </c>
      <c r="H135" s="7">
        <v>148.30500666221684</v>
      </c>
      <c r="I135" s="7">
        <v>154.48256229117541</v>
      </c>
      <c r="J135" s="7">
        <v>160.73650302040824</v>
      </c>
      <c r="K135" s="7">
        <v>166.62038551981681</v>
      </c>
      <c r="L135" s="7">
        <v>172.5670463452488</v>
      </c>
      <c r="M135" s="7">
        <v>178.57718677863423</v>
      </c>
      <c r="N135" s="7">
        <v>184.65123614079133</v>
      </c>
      <c r="O135" s="7">
        <v>190.78944776344508</v>
      </c>
      <c r="P135" s="7">
        <v>191.96453535766855</v>
      </c>
      <c r="Q135" s="7">
        <v>193.14041404838372</v>
      </c>
      <c r="R135" s="7">
        <v>194.31718168150655</v>
      </c>
      <c r="S135" s="7">
        <v>195.4948992604524</v>
      </c>
      <c r="T135" s="7">
        <v>196.67360481714528</v>
      </c>
      <c r="U135" s="7">
        <v>197.50428104669501</v>
      </c>
      <c r="V135" s="7">
        <v>198.33493267200515</v>
      </c>
      <c r="W135" s="7">
        <v>199.16556898872003</v>
      </c>
      <c r="X135" s="7">
        <v>199.9961957807046</v>
      </c>
      <c r="Y135" s="7">
        <v>200.82681664668272</v>
      </c>
      <c r="Z135" s="7">
        <v>201.41453714319806</v>
      </c>
      <c r="AA135" s="7">
        <v>202.00225533674381</v>
      </c>
      <c r="AB135" s="7">
        <v>202.58997209929237</v>
      </c>
      <c r="AC135" s="7">
        <v>203.17768797266933</v>
      </c>
      <c r="AD135" s="7">
        <v>203.765403293551</v>
      </c>
      <c r="AE135" s="7">
        <v>203.76540385952057</v>
      </c>
      <c r="AF135" s="7">
        <v>203.76540421016139</v>
      </c>
      <c r="AG135" s="7">
        <v>203.76540442739724</v>
      </c>
      <c r="AH135" s="7">
        <v>203.76540456198364</v>
      </c>
      <c r="AI135" s="7">
        <v>203.76540464536518</v>
      </c>
      <c r="AJ135" s="7">
        <v>203.7654046970234</v>
      </c>
      <c r="AK135" s="7">
        <v>203.76540472902772</v>
      </c>
      <c r="AL135" s="7">
        <v>203.76540474885567</v>
      </c>
      <c r="AM135" s="7">
        <v>203.76540476113991</v>
      </c>
      <c r="AN135" s="7">
        <v>203.76540476875039</v>
      </c>
    </row>
    <row r="137" spans="1:40" x14ac:dyDescent="0.2">
      <c r="A137" s="5" t="s">
        <v>175</v>
      </c>
    </row>
    <row r="138" spans="1:40" x14ac:dyDescent="0.2">
      <c r="A138" s="5" t="s">
        <v>4</v>
      </c>
    </row>
    <row r="139" spans="1:40" x14ac:dyDescent="0.2">
      <c r="A139" s="5" t="s">
        <v>128</v>
      </c>
    </row>
    <row r="140" spans="1:40" x14ac:dyDescent="0.2">
      <c r="A140" s="5" t="s">
        <v>6</v>
      </c>
    </row>
    <row r="141" spans="1:40" x14ac:dyDescent="0.2">
      <c r="A141" t="s">
        <v>156</v>
      </c>
      <c r="B141">
        <v>1000000</v>
      </c>
    </row>
    <row r="142" spans="1:40" x14ac:dyDescent="0.2">
      <c r="A142" s="6" t="s">
        <v>7</v>
      </c>
      <c r="B142" s="6">
        <v>2022</v>
      </c>
      <c r="C142" s="6">
        <v>2023</v>
      </c>
      <c r="D142" s="6">
        <v>2024</v>
      </c>
      <c r="E142" s="6">
        <v>2025</v>
      </c>
      <c r="F142" s="6">
        <v>2026</v>
      </c>
      <c r="G142" s="6">
        <v>2027</v>
      </c>
      <c r="H142" s="6">
        <v>2028</v>
      </c>
      <c r="I142" s="6">
        <v>2029</v>
      </c>
      <c r="J142" s="6">
        <v>2030</v>
      </c>
      <c r="K142" s="6">
        <v>2031</v>
      </c>
      <c r="L142" s="6">
        <v>2032</v>
      </c>
      <c r="M142" s="6">
        <v>2033</v>
      </c>
      <c r="N142" s="6">
        <v>2034</v>
      </c>
      <c r="O142" s="6">
        <v>2035</v>
      </c>
      <c r="P142" s="6">
        <v>2036</v>
      </c>
      <c r="Q142" s="6">
        <v>2037</v>
      </c>
      <c r="R142" s="6">
        <v>2038</v>
      </c>
      <c r="S142" s="6">
        <v>2039</v>
      </c>
      <c r="T142" s="6">
        <v>2040</v>
      </c>
      <c r="U142" s="6">
        <v>2041</v>
      </c>
      <c r="V142" s="6">
        <v>2042</v>
      </c>
      <c r="W142" s="6">
        <v>2043</v>
      </c>
      <c r="X142" s="6">
        <v>2044</v>
      </c>
      <c r="Y142" s="6">
        <v>2045</v>
      </c>
      <c r="Z142" s="6">
        <v>2046</v>
      </c>
      <c r="AA142" s="6">
        <v>2047</v>
      </c>
      <c r="AB142" s="6">
        <v>2048</v>
      </c>
      <c r="AC142" s="6">
        <v>2049</v>
      </c>
      <c r="AD142" s="6">
        <v>2050</v>
      </c>
      <c r="AE142" s="6">
        <v>2051</v>
      </c>
      <c r="AF142" s="6">
        <v>2052</v>
      </c>
      <c r="AG142" s="6">
        <v>2053</v>
      </c>
      <c r="AH142" s="6">
        <v>2054</v>
      </c>
      <c r="AI142" s="6">
        <v>2055</v>
      </c>
      <c r="AJ142" s="6">
        <v>2056</v>
      </c>
      <c r="AK142" s="6">
        <v>2057</v>
      </c>
      <c r="AL142" s="6">
        <v>2058</v>
      </c>
      <c r="AM142" s="6">
        <v>2059</v>
      </c>
      <c r="AN142" s="6">
        <v>2060</v>
      </c>
    </row>
    <row r="143" spans="1:40" x14ac:dyDescent="0.2">
      <c r="A143" s="6" t="s">
        <v>2</v>
      </c>
      <c r="B143" s="7">
        <v>39.3952263670378</v>
      </c>
      <c r="C143" s="7">
        <v>39.589535956283868</v>
      </c>
      <c r="D143" s="7">
        <v>39.756614702927102</v>
      </c>
      <c r="E143" s="7">
        <v>39.906654128983504</v>
      </c>
      <c r="F143" s="7">
        <v>40.271904842428086</v>
      </c>
      <c r="G143" s="7">
        <v>40.630453618081454</v>
      </c>
      <c r="H143" s="7">
        <v>40.984715931353669</v>
      </c>
      <c r="I143" s="7">
        <v>41.336204823492082</v>
      </c>
      <c r="J143" s="7">
        <v>41.685867281183597</v>
      </c>
      <c r="K143" s="7">
        <v>41.977354307687797</v>
      </c>
      <c r="L143" s="7">
        <v>42.26802646668726</v>
      </c>
      <c r="M143" s="7">
        <v>42.558116948004098</v>
      </c>
      <c r="N143" s="7">
        <v>42.84777129045564</v>
      </c>
      <c r="O143" s="7">
        <v>43.137080316862431</v>
      </c>
      <c r="P143" s="7">
        <v>43.381680416811847</v>
      </c>
      <c r="Q143" s="7">
        <v>43.626221674785469</v>
      </c>
      <c r="R143" s="7">
        <v>43.870726266994353</v>
      </c>
      <c r="S143" s="7">
        <v>44.115208012773721</v>
      </c>
      <c r="T143" s="7">
        <v>44.359675523444402</v>
      </c>
      <c r="U143" s="7">
        <v>44.547034310314253</v>
      </c>
      <c r="V143" s="7">
        <v>44.734387547704905</v>
      </c>
      <c r="W143" s="7">
        <v>44.921737332246231</v>
      </c>
      <c r="X143" s="7">
        <v>45.109084968487359</v>
      </c>
      <c r="Y143" s="7">
        <v>45.296431268119427</v>
      </c>
      <c r="Z143" s="7">
        <v>45.428991458634776</v>
      </c>
      <c r="AA143" s="7">
        <v>45.561551129715973</v>
      </c>
      <c r="AB143" s="7">
        <v>45.694110478036151</v>
      </c>
      <c r="AC143" s="7">
        <v>45.826669625803937</v>
      </c>
      <c r="AD143" s="7">
        <v>45.959228648956582</v>
      </c>
      <c r="AE143" s="7">
        <v>45.959228776610864</v>
      </c>
      <c r="AF143" s="7">
        <v>45.959228855697795</v>
      </c>
      <c r="AG143" s="7">
        <v>45.959228904695294</v>
      </c>
      <c r="AH143" s="7">
        <v>45.9592289350512</v>
      </c>
      <c r="AI143" s="7">
        <v>45.959228953857895</v>
      </c>
      <c r="AJ143" s="7">
        <v>45.959228965509382</v>
      </c>
      <c r="AK143" s="7">
        <v>45.959228972727935</v>
      </c>
      <c r="AL143" s="7">
        <v>45.959228977200141</v>
      </c>
      <c r="AM143" s="7">
        <v>45.959228979970838</v>
      </c>
      <c r="AN143" s="7">
        <v>45.959228981687389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A3EC0-484D-4143-979B-202D6E18F421}">
  <sheetPr>
    <tabColor theme="4" tint="0.79998168889431442"/>
  </sheetPr>
  <dimension ref="A1:AN157"/>
  <sheetViews>
    <sheetView tabSelected="1" workbookViewId="0">
      <selection activeCell="B7" sqref="B7"/>
    </sheetView>
  </sheetViews>
  <sheetFormatPr baseColWidth="10" defaultRowHeight="16" x14ac:dyDescent="0.2"/>
  <cols>
    <col min="2" max="2" width="13.33203125" bestFit="1" customWidth="1"/>
  </cols>
  <sheetData>
    <row r="1" spans="1:40" x14ac:dyDescent="0.2">
      <c r="A1" s="5" t="s">
        <v>76</v>
      </c>
    </row>
    <row r="2" spans="1:40" x14ac:dyDescent="0.2">
      <c r="A2" s="5" t="s">
        <v>4</v>
      </c>
    </row>
    <row r="3" spans="1:40" x14ac:dyDescent="0.2">
      <c r="A3" s="5" t="s">
        <v>77</v>
      </c>
    </row>
    <row r="4" spans="1:40" x14ac:dyDescent="0.2">
      <c r="A4" s="5" t="s">
        <v>6</v>
      </c>
    </row>
    <row r="5" spans="1:40" x14ac:dyDescent="0.2">
      <c r="A5" s="5"/>
    </row>
    <row r="6" spans="1:40" x14ac:dyDescent="0.2">
      <c r="A6" s="6" t="s">
        <v>7</v>
      </c>
      <c r="B6" s="6">
        <v>2022</v>
      </c>
      <c r="C6" s="6">
        <v>2023</v>
      </c>
      <c r="D6" s="6">
        <v>2024</v>
      </c>
      <c r="E6" s="6">
        <v>2025</v>
      </c>
      <c r="F6" s="6">
        <v>2026</v>
      </c>
      <c r="G6" s="6">
        <v>2027</v>
      </c>
      <c r="H6" s="6">
        <v>2028</v>
      </c>
      <c r="I6" s="6">
        <v>2029</v>
      </c>
      <c r="J6" s="6">
        <v>2030</v>
      </c>
      <c r="K6" s="6">
        <v>2031</v>
      </c>
      <c r="L6" s="6">
        <v>2032</v>
      </c>
      <c r="M6" s="6">
        <v>2033</v>
      </c>
      <c r="N6" s="6">
        <v>2034</v>
      </c>
      <c r="O6" s="6">
        <v>2035</v>
      </c>
      <c r="P6" s="6">
        <v>2036</v>
      </c>
      <c r="Q6" s="6">
        <v>2037</v>
      </c>
      <c r="R6" s="6">
        <v>2038</v>
      </c>
      <c r="S6" s="6">
        <v>2039</v>
      </c>
      <c r="T6" s="6">
        <v>2040</v>
      </c>
      <c r="U6" s="6">
        <v>2041</v>
      </c>
      <c r="V6" s="6">
        <v>2042</v>
      </c>
      <c r="W6" s="6">
        <v>2043</v>
      </c>
      <c r="X6" s="6">
        <v>2044</v>
      </c>
      <c r="Y6" s="6">
        <v>2045</v>
      </c>
      <c r="Z6" s="6">
        <v>2046</v>
      </c>
      <c r="AA6" s="6">
        <v>2047</v>
      </c>
      <c r="AB6" s="6">
        <v>2048</v>
      </c>
      <c r="AC6" s="6">
        <v>2049</v>
      </c>
      <c r="AD6" s="6">
        <v>2050</v>
      </c>
      <c r="AE6" s="6">
        <v>2051</v>
      </c>
      <c r="AF6" s="6">
        <v>2052</v>
      </c>
      <c r="AG6" s="6">
        <v>2053</v>
      </c>
      <c r="AH6" s="6">
        <v>2054</v>
      </c>
      <c r="AI6" s="6">
        <v>2055</v>
      </c>
      <c r="AJ6" s="6">
        <v>2056</v>
      </c>
      <c r="AK6" s="6">
        <v>2057</v>
      </c>
      <c r="AL6" s="6">
        <v>2058</v>
      </c>
      <c r="AM6" s="6">
        <v>2059</v>
      </c>
      <c r="AN6" s="6">
        <v>2060</v>
      </c>
    </row>
    <row r="7" spans="1:40" x14ac:dyDescent="0.2">
      <c r="A7" s="6" t="s">
        <v>78</v>
      </c>
      <c r="B7" s="35">
        <f>Residential!B7*Residential!$B$5</f>
        <v>4400000</v>
      </c>
      <c r="C7" s="35">
        <f>Residential!C7*Residential!$B$5</f>
        <v>5100000</v>
      </c>
      <c r="D7" s="35">
        <f>Residential!D7*Residential!$B$5</f>
        <v>5800000</v>
      </c>
      <c r="E7" s="35">
        <f>Residential!E7*Residential!$B$5</f>
        <v>6500000</v>
      </c>
      <c r="F7" s="35">
        <f>Residential!F7*Residential!$B$5</f>
        <v>7200000</v>
      </c>
      <c r="G7" s="35">
        <f>Residential!G7*Residential!$B$5</f>
        <v>7900000</v>
      </c>
      <c r="H7" s="35">
        <f>Residential!H7*Residential!$B$5</f>
        <v>8600000</v>
      </c>
      <c r="I7" s="35">
        <f>Residential!I7*Residential!$B$5</f>
        <v>9300000</v>
      </c>
      <c r="J7" s="35">
        <f>Residential!J7*Residential!$B$5</f>
        <v>10000000</v>
      </c>
      <c r="K7" s="35">
        <f>Residential!K7*Residential!$B$5</f>
        <v>10700000</v>
      </c>
      <c r="L7" s="35">
        <f>Residential!L7*Residential!$B$5</f>
        <v>11400000</v>
      </c>
      <c r="M7" s="35">
        <f>Residential!M7*Residential!$B$5</f>
        <v>12100000</v>
      </c>
      <c r="N7" s="35">
        <f>Residential!N7*Residential!$B$5</f>
        <v>12800000</v>
      </c>
      <c r="O7" s="35">
        <f>Residential!O7*Residential!$B$5</f>
        <v>13500000</v>
      </c>
      <c r="P7" s="35">
        <f>Residential!P7*Residential!$B$5</f>
        <v>14200000</v>
      </c>
      <c r="Q7" s="35">
        <f>Residential!Q7*Residential!$B$5</f>
        <v>14900000</v>
      </c>
      <c r="R7" s="35">
        <f>Residential!R7*Residential!$B$5</f>
        <v>15600000</v>
      </c>
      <c r="S7" s="35">
        <f>Residential!S7*Residential!$B$5</f>
        <v>16300000</v>
      </c>
      <c r="T7" s="35">
        <f>Residential!T7*Residential!$B$5</f>
        <v>17000000</v>
      </c>
      <c r="U7" s="35">
        <f>Residential!U7*Residential!$B$5</f>
        <v>17700000</v>
      </c>
      <c r="V7" s="35">
        <f>Residential!V7*Residential!$B$5</f>
        <v>18400000</v>
      </c>
      <c r="W7" s="35">
        <f>Residential!W7*Residential!$B$5</f>
        <v>19100000</v>
      </c>
      <c r="X7" s="35">
        <f>Residential!X7*Residential!$B$5</f>
        <v>19800000</v>
      </c>
      <c r="Y7" s="35">
        <f>Residential!Y7*Residential!$B$5</f>
        <v>20500000</v>
      </c>
      <c r="Z7" s="35">
        <f>Residential!Z7*Residential!$B$5</f>
        <v>21200000</v>
      </c>
      <c r="AA7" s="35">
        <f>Residential!AA7*Residential!$B$5</f>
        <v>21900000</v>
      </c>
      <c r="AB7" s="35">
        <f>Residential!AB7*Residential!$B$5</f>
        <v>22600000</v>
      </c>
      <c r="AC7" s="35">
        <f>Residential!AC7*Residential!$B$5</f>
        <v>23300000</v>
      </c>
      <c r="AD7" s="35">
        <f>Residential!AD7*Residential!$B$5</f>
        <v>24000000</v>
      </c>
      <c r="AE7" s="35">
        <f>Residential!AE7*Residential!$B$5</f>
        <v>24700000</v>
      </c>
      <c r="AF7" s="35">
        <f>Residential!AF7*Residential!$B$5</f>
        <v>25400000</v>
      </c>
      <c r="AG7" s="35">
        <f>Residential!AG7*Residential!$B$5</f>
        <v>26100000</v>
      </c>
      <c r="AH7" s="35">
        <f>Residential!AH7*Residential!$B$5</f>
        <v>26800000</v>
      </c>
      <c r="AI7" s="35">
        <f>Residential!AI7*Residential!$B$5</f>
        <v>27500000</v>
      </c>
      <c r="AJ7" s="35">
        <f>Residential!AJ7*Residential!$B$5</f>
        <v>28200000</v>
      </c>
      <c r="AK7" s="35">
        <f>Residential!AK7*Residential!$B$5</f>
        <v>28900000</v>
      </c>
      <c r="AL7" s="35">
        <f>Residential!AL7*Residential!$B$5</f>
        <v>29600000</v>
      </c>
      <c r="AM7" s="35">
        <f>Residential!AM7*Residential!$B$5</f>
        <v>30300000</v>
      </c>
      <c r="AN7" s="35">
        <f>Residential!AN7*Residential!$B$5</f>
        <v>31000000</v>
      </c>
    </row>
    <row r="9" spans="1:40" x14ac:dyDescent="0.2">
      <c r="A9" s="5" t="s">
        <v>79</v>
      </c>
    </row>
    <row r="10" spans="1:40" x14ac:dyDescent="0.2">
      <c r="A10" s="5" t="s">
        <v>4</v>
      </c>
    </row>
    <row r="11" spans="1:40" x14ac:dyDescent="0.2">
      <c r="A11" s="5" t="s">
        <v>80</v>
      </c>
    </row>
    <row r="12" spans="1:40" x14ac:dyDescent="0.2">
      <c r="A12" s="5" t="s">
        <v>6</v>
      </c>
    </row>
    <row r="13" spans="1:40" x14ac:dyDescent="0.2">
      <c r="A13" s="5"/>
    </row>
    <row r="14" spans="1:40" x14ac:dyDescent="0.2">
      <c r="A14" s="6" t="s">
        <v>7</v>
      </c>
      <c r="B14" s="6">
        <v>2022</v>
      </c>
      <c r="C14" s="6">
        <v>2023</v>
      </c>
      <c r="D14" s="6">
        <v>2024</v>
      </c>
      <c r="E14" s="6">
        <v>2025</v>
      </c>
      <c r="F14" s="6">
        <v>2026</v>
      </c>
      <c r="G14" s="6">
        <v>2027</v>
      </c>
      <c r="H14" s="6">
        <v>2028</v>
      </c>
      <c r="I14" s="6">
        <v>2029</v>
      </c>
      <c r="J14" s="6">
        <v>2030</v>
      </c>
      <c r="K14" s="6">
        <v>2031</v>
      </c>
      <c r="L14" s="6">
        <v>2032</v>
      </c>
      <c r="M14" s="6">
        <v>2033</v>
      </c>
      <c r="N14" s="6">
        <v>2034</v>
      </c>
      <c r="O14" s="6">
        <v>2035</v>
      </c>
      <c r="P14" s="6">
        <v>2036</v>
      </c>
      <c r="Q14" s="6">
        <v>2037</v>
      </c>
      <c r="R14" s="6">
        <v>2038</v>
      </c>
      <c r="S14" s="6">
        <v>2039</v>
      </c>
      <c r="T14" s="6">
        <v>2040</v>
      </c>
      <c r="U14" s="6">
        <v>2041</v>
      </c>
      <c r="V14" s="6">
        <v>2042</v>
      </c>
      <c r="W14" s="6">
        <v>2043</v>
      </c>
      <c r="X14" s="6">
        <v>2044</v>
      </c>
      <c r="Y14" s="6">
        <v>2045</v>
      </c>
      <c r="Z14" s="6">
        <v>2046</v>
      </c>
      <c r="AA14" s="6">
        <v>2047</v>
      </c>
      <c r="AB14" s="6">
        <v>2048</v>
      </c>
      <c r="AC14" s="6">
        <v>2049</v>
      </c>
      <c r="AD14" s="6">
        <v>2050</v>
      </c>
      <c r="AE14" s="6">
        <v>2051</v>
      </c>
      <c r="AF14" s="6">
        <v>2052</v>
      </c>
      <c r="AG14" s="6">
        <v>2053</v>
      </c>
      <c r="AH14" s="6">
        <v>2054</v>
      </c>
      <c r="AI14" s="6">
        <v>2055</v>
      </c>
      <c r="AJ14" s="6">
        <v>2056</v>
      </c>
      <c r="AK14" s="6">
        <v>2057</v>
      </c>
      <c r="AL14" s="6">
        <v>2058</v>
      </c>
      <c r="AM14" s="6">
        <v>2059</v>
      </c>
      <c r="AN14" s="6">
        <v>2060</v>
      </c>
    </row>
    <row r="15" spans="1:40" x14ac:dyDescent="0.2">
      <c r="A15" s="6" t="s">
        <v>81</v>
      </c>
      <c r="B15" s="35">
        <f>Residential!B15*Residential!$B$13</f>
        <v>4440999.088122475</v>
      </c>
      <c r="C15" s="35">
        <f>Residential!C15*Residential!$B$13</f>
        <v>3987683.8264512462</v>
      </c>
      <c r="D15" s="35">
        <f>Residential!D15*Residential!$B$13</f>
        <v>3776307.4399760817</v>
      </c>
      <c r="E15" s="35">
        <f>Residential!E15*Residential!$B$13</f>
        <v>3576135.5468117767</v>
      </c>
      <c r="F15" s="35">
        <f>Residential!F15*Residential!$B$13</f>
        <v>3386574.2269257</v>
      </c>
      <c r="G15" s="35">
        <f>Residential!G15*Residential!$B$13</f>
        <v>3207061.0423875637</v>
      </c>
      <c r="H15" s="35">
        <f>Residential!H15*Residential!$B$13</f>
        <v>3037063.3685879256</v>
      </c>
      <c r="I15" s="35">
        <f>Residential!I15*Residential!$B$13</f>
        <v>2876076.813914279</v>
      </c>
      <c r="J15" s="35">
        <f>Residential!J15*Residential!$B$13</f>
        <v>2723623.7231958951</v>
      </c>
      <c r="K15" s="35">
        <f>Residential!K15*Residential!$B$13</f>
        <v>2579251.7604769934</v>
      </c>
      <c r="L15" s="35">
        <f>Residential!L15*Residential!$B$13</f>
        <v>2442532.566913316</v>
      </c>
      <c r="M15" s="35">
        <f>Residential!M15*Residential!$B$13</f>
        <v>2313060.4898099736</v>
      </c>
      <c r="N15" s="35">
        <f>Residential!N15*Residential!$B$13</f>
        <v>2190451.3790295906</v>
      </c>
      <c r="O15" s="35">
        <f>Residential!O15*Residential!$B$13</f>
        <v>2074341.4471995984</v>
      </c>
      <c r="P15" s="35">
        <f>Residential!P15*Residential!$B$13</f>
        <v>1964386.1903368894</v>
      </c>
      <c r="Q15" s="35">
        <f>Residential!Q15*Residential!$B$13</f>
        <v>1860259.3656872418</v>
      </c>
      <c r="R15" s="35">
        <f>Residential!R15*Residential!$B$13</f>
        <v>1761652.0237467242</v>
      </c>
      <c r="S15" s="35">
        <f>Residential!S15*Residential!$B$13</f>
        <v>1668271.5915930469</v>
      </c>
      <c r="T15" s="35">
        <f>Residential!T15*Residential!$B$13</f>
        <v>1579841.0048070501</v>
      </c>
      <c r="U15" s="35">
        <f>Residential!U15*Residential!$B$13</f>
        <v>1496097.8854086928</v>
      </c>
      <c r="V15" s="35">
        <f>Residential!V15*Residential!$B$13</f>
        <v>1416793.7633684415</v>
      </c>
      <c r="W15" s="35">
        <f>Residential!W15*Residential!$B$13</f>
        <v>1341693.339384255</v>
      </c>
      <c r="X15" s="35">
        <f>Residential!X15*Residential!$B$13</f>
        <v>1270573.7867367661</v>
      </c>
      <c r="Y15" s="35">
        <f>Residential!Y15*Residential!$B$13</f>
        <v>1203224.0901512445</v>
      </c>
      <c r="Z15" s="35">
        <f>Residential!Z15*Residential!$B$13</f>
        <v>1139444.419704709</v>
      </c>
      <c r="AA15" s="35">
        <f>Residential!AA15*Residential!$B$13</f>
        <v>1079045.53792054</v>
      </c>
      <c r="AB15" s="35">
        <f>Residential!AB15*Residential!$B$13</f>
        <v>1021848.2382914032</v>
      </c>
      <c r="AC15" s="35">
        <f>Residential!AC15*Residential!$B$13</f>
        <v>967682.81356457144</v>
      </c>
      <c r="AD15" s="35">
        <f>Residential!AD15*Residential!$B$13</f>
        <v>916388.55221200315</v>
      </c>
      <c r="AE15" s="35">
        <f>Residential!AE15*Residential!$B$13</f>
        <v>867813.26159119105</v>
      </c>
      <c r="AF15" s="35">
        <f>Residential!AF15*Residential!$B$13</f>
        <v>821812.81638196879</v>
      </c>
      <c r="AG15" s="35">
        <f>Residential!AG15*Residential!$B$13</f>
        <v>778250.73095946666</v>
      </c>
      <c r="AH15" s="35">
        <f>Residential!AH15*Residential!$B$13</f>
        <v>736997.75443442853</v>
      </c>
      <c r="AI15" s="35">
        <f>Residential!AI15*Residential!$B$13</f>
        <v>697931.48715934798</v>
      </c>
      <c r="AJ15" s="35">
        <f>Residential!AJ15*Residential!$B$13</f>
        <v>660936.01756258484</v>
      </c>
      <c r="AK15" s="35">
        <f>Residential!AK15*Residential!$B$13</f>
        <v>625901.57823292667</v>
      </c>
      <c r="AL15" s="35">
        <f>Residential!AL15*Residential!$B$13</f>
        <v>592724.22023418162</v>
      </c>
      <c r="AM15" s="35">
        <f>Residential!AM15*Residential!$B$13</f>
        <v>561305.50468347862</v>
      </c>
      <c r="AN15" s="35">
        <f>Residential!AN15*Residential!$B$13</f>
        <v>531552.21067817137</v>
      </c>
    </row>
    <row r="17" spans="1:40" x14ac:dyDescent="0.2">
      <c r="A17" s="5" t="s">
        <v>82</v>
      </c>
    </row>
    <row r="18" spans="1:40" x14ac:dyDescent="0.2">
      <c r="A18" s="5" t="s">
        <v>4</v>
      </c>
    </row>
    <row r="19" spans="1:40" x14ac:dyDescent="0.2">
      <c r="A19" s="5" t="s">
        <v>83</v>
      </c>
    </row>
    <row r="20" spans="1:40" x14ac:dyDescent="0.2">
      <c r="A20" s="5" t="s">
        <v>6</v>
      </c>
    </row>
    <row r="21" spans="1:40" x14ac:dyDescent="0.2">
      <c r="A21" s="5"/>
    </row>
    <row r="22" spans="1:40" x14ac:dyDescent="0.2">
      <c r="A22" s="6" t="s">
        <v>7</v>
      </c>
      <c r="B22" s="6">
        <v>2022</v>
      </c>
      <c r="C22" s="6">
        <v>2023</v>
      </c>
      <c r="D22" s="6">
        <v>2024</v>
      </c>
      <c r="E22" s="6">
        <v>2025</v>
      </c>
      <c r="F22" s="6">
        <v>2026</v>
      </c>
      <c r="G22" s="6">
        <v>2027</v>
      </c>
      <c r="H22" s="6">
        <v>2028</v>
      </c>
      <c r="I22" s="6">
        <v>2029</v>
      </c>
      <c r="J22" s="6">
        <v>2030</v>
      </c>
      <c r="K22" s="6">
        <v>2031</v>
      </c>
      <c r="L22" s="6">
        <v>2032</v>
      </c>
      <c r="M22" s="6">
        <v>2033</v>
      </c>
      <c r="N22" s="6">
        <v>2034</v>
      </c>
      <c r="O22" s="6">
        <v>2035</v>
      </c>
      <c r="P22" s="6">
        <v>2036</v>
      </c>
      <c r="Q22" s="6">
        <v>2037</v>
      </c>
      <c r="R22" s="6">
        <v>2038</v>
      </c>
      <c r="S22" s="6">
        <v>2039</v>
      </c>
      <c r="T22" s="6">
        <v>2040</v>
      </c>
      <c r="U22" s="6">
        <v>2041</v>
      </c>
      <c r="V22" s="6">
        <v>2042</v>
      </c>
      <c r="W22" s="6">
        <v>2043</v>
      </c>
      <c r="X22" s="6">
        <v>2044</v>
      </c>
      <c r="Y22" s="6">
        <v>2045</v>
      </c>
      <c r="Z22" s="6">
        <v>2046</v>
      </c>
      <c r="AA22" s="6">
        <v>2047</v>
      </c>
      <c r="AB22" s="6">
        <v>2048</v>
      </c>
      <c r="AC22" s="6">
        <v>2049</v>
      </c>
      <c r="AD22" s="6">
        <v>2050</v>
      </c>
      <c r="AE22" s="6">
        <v>2051</v>
      </c>
      <c r="AF22" s="6">
        <v>2052</v>
      </c>
      <c r="AG22" s="6">
        <v>2053</v>
      </c>
      <c r="AH22" s="6">
        <v>2054</v>
      </c>
      <c r="AI22" s="6">
        <v>2055</v>
      </c>
      <c r="AJ22" s="6">
        <v>2056</v>
      </c>
      <c r="AK22" s="6">
        <v>2057</v>
      </c>
      <c r="AL22" s="6">
        <v>2058</v>
      </c>
      <c r="AM22" s="6">
        <v>2059</v>
      </c>
      <c r="AN22" s="6">
        <v>2060</v>
      </c>
    </row>
    <row r="23" spans="1:40" x14ac:dyDescent="0.2">
      <c r="A23" s="6" t="s">
        <v>84</v>
      </c>
      <c r="B23" s="35">
        <f>Residential!B23</f>
        <v>1197.8871068211181</v>
      </c>
      <c r="C23" s="35">
        <f>Residential!C23</f>
        <v>1221.885697312382</v>
      </c>
      <c r="D23" s="35">
        <f>Residential!D23</f>
        <v>1242.0141202944874</v>
      </c>
      <c r="E23" s="35">
        <f>Residential!E23</f>
        <v>1258.7884545304748</v>
      </c>
      <c r="F23" s="35">
        <f>Residential!F23</f>
        <v>1272.6929673104089</v>
      </c>
      <c r="G23" s="35">
        <f>Residential!G23</f>
        <v>1284.1675816830541</v>
      </c>
      <c r="H23" s="35">
        <f>Residential!H23</f>
        <v>1293.602292731709</v>
      </c>
      <c r="I23" s="35">
        <f>Residential!I23</f>
        <v>1301.3363939185695</v>
      </c>
      <c r="J23" s="35">
        <f>Residential!J23</f>
        <v>1307.6607678488117</v>
      </c>
      <c r="K23" s="35">
        <f>Residential!K23</f>
        <v>1312.8219258894007</v>
      </c>
      <c r="L23" s="35">
        <f>Residential!L23</f>
        <v>1317.026868481061</v>
      </c>
      <c r="M23" s="35">
        <f>Residential!M23</f>
        <v>1320.4481512866635</v>
      </c>
      <c r="N23" s="35">
        <f>Residential!N23</f>
        <v>1323.2287777360821</v>
      </c>
      <c r="O23" s="35">
        <f>Residential!O23</f>
        <v>1325.486705506976</v>
      </c>
      <c r="P23" s="35">
        <f>Residential!P23</f>
        <v>1327.3188669852152</v>
      </c>
      <c r="Q23" s="35">
        <f>Residential!Q23</f>
        <v>1328.8046756664974</v>
      </c>
      <c r="R23" s="35">
        <f>Residential!R23</f>
        <v>1330.009033625417</v>
      </c>
      <c r="S23" s="35">
        <f>Residential!S23</f>
        <v>1330.984878832212</v>
      </c>
      <c r="T23" s="35">
        <f>Residential!T23</f>
        <v>1331.7753220509373</v>
      </c>
      <c r="U23" s="35">
        <f>Residential!U23</f>
        <v>1332.4154261095914</v>
      </c>
      <c r="V23" s="35">
        <f>Residential!V23</f>
        <v>1332.9336787595273</v>
      </c>
      <c r="W23" s="35">
        <f>Residential!W23</f>
        <v>1333.3532062857764</v>
      </c>
      <c r="X23" s="35">
        <f>Residential!X23</f>
        <v>1333.6927698544107</v>
      </c>
      <c r="Y23" s="35">
        <f>Residential!Y23</f>
        <v>1333.9675811167979</v>
      </c>
      <c r="Z23" s="35">
        <f>Residential!Z23</f>
        <v>1334.1899683100096</v>
      </c>
      <c r="AA23" s="35">
        <f>Residential!AA23</f>
        <v>1334.3699192476029</v>
      </c>
      <c r="AB23" s="35">
        <f>Residential!AB23</f>
        <v>1334.5155232942716</v>
      </c>
      <c r="AC23" s="35">
        <f>Residential!AC23</f>
        <v>1334.633330686072</v>
      </c>
      <c r="AD23" s="35">
        <f>Residential!AD23</f>
        <v>1334.7286443719149</v>
      </c>
      <c r="AE23" s="35">
        <f>Residential!AE23</f>
        <v>1334.8057568644397</v>
      </c>
      <c r="AF23" s="35">
        <f>Residential!AF23</f>
        <v>1334.8681423415808</v>
      </c>
      <c r="AG23" s="35">
        <f>Residential!AG23</f>
        <v>1334.9186123748109</v>
      </c>
      <c r="AH23" s="35">
        <f>Residential!AH23</f>
        <v>1334.95944211967</v>
      </c>
      <c r="AI23" s="35">
        <f>Residential!AI23</f>
        <v>1334.9924725374619</v>
      </c>
      <c r="AJ23" s="35">
        <f>Residential!AJ23</f>
        <v>1335.0191931787804</v>
      </c>
      <c r="AK23" s="35">
        <f>Residential!AK23</f>
        <v>1335.0408092107564</v>
      </c>
      <c r="AL23" s="35">
        <f>Residential!AL23</f>
        <v>1335.0582956775181</v>
      </c>
      <c r="AM23" s="35">
        <f>Residential!AM23</f>
        <v>1335.072441419394</v>
      </c>
      <c r="AN23" s="35">
        <f>Residential!AN23</f>
        <v>1335.0838846177326</v>
      </c>
    </row>
    <row r="25" spans="1:40" x14ac:dyDescent="0.2">
      <c r="A25" s="5" t="s">
        <v>85</v>
      </c>
    </row>
    <row r="26" spans="1:40" x14ac:dyDescent="0.2">
      <c r="A26" s="5" t="s">
        <v>4</v>
      </c>
    </row>
    <row r="27" spans="1:40" x14ac:dyDescent="0.2">
      <c r="A27" s="5" t="s">
        <v>86</v>
      </c>
    </row>
    <row r="28" spans="1:40" x14ac:dyDescent="0.2">
      <c r="A28" s="5" t="s">
        <v>6</v>
      </c>
    </row>
    <row r="29" spans="1:40" x14ac:dyDescent="0.2">
      <c r="A29" s="5"/>
    </row>
    <row r="30" spans="1:40" x14ac:dyDescent="0.2">
      <c r="A30" s="6" t="s">
        <v>7</v>
      </c>
      <c r="B30" s="6">
        <v>2022</v>
      </c>
      <c r="C30" s="6">
        <v>2023</v>
      </c>
      <c r="D30" s="6">
        <v>2024</v>
      </c>
      <c r="E30" s="6">
        <v>2025</v>
      </c>
      <c r="F30" s="6">
        <v>2026</v>
      </c>
      <c r="G30" s="6">
        <v>2027</v>
      </c>
      <c r="H30" s="6">
        <v>2028</v>
      </c>
      <c r="I30" s="6">
        <v>2029</v>
      </c>
      <c r="J30" s="6">
        <v>2030</v>
      </c>
      <c r="K30" s="6">
        <v>2031</v>
      </c>
      <c r="L30" s="6">
        <v>2032</v>
      </c>
      <c r="M30" s="6">
        <v>2033</v>
      </c>
      <c r="N30" s="6">
        <v>2034</v>
      </c>
      <c r="O30" s="6">
        <v>2035</v>
      </c>
      <c r="P30" s="6">
        <v>2036</v>
      </c>
      <c r="Q30" s="6">
        <v>2037</v>
      </c>
      <c r="R30" s="6">
        <v>2038</v>
      </c>
      <c r="S30" s="6">
        <v>2039</v>
      </c>
      <c r="T30" s="6">
        <v>2040</v>
      </c>
      <c r="U30" s="6">
        <v>2041</v>
      </c>
      <c r="V30" s="6">
        <v>2042</v>
      </c>
      <c r="W30" s="6">
        <v>2043</v>
      </c>
      <c r="X30" s="6">
        <v>2044</v>
      </c>
      <c r="Y30" s="6">
        <v>2045</v>
      </c>
      <c r="Z30" s="6">
        <v>2046</v>
      </c>
      <c r="AA30" s="6">
        <v>2047</v>
      </c>
      <c r="AB30" s="6">
        <v>2048</v>
      </c>
      <c r="AC30" s="6">
        <v>2049</v>
      </c>
      <c r="AD30" s="6">
        <v>2050</v>
      </c>
      <c r="AE30" s="6">
        <v>2051</v>
      </c>
      <c r="AF30" s="6">
        <v>2052</v>
      </c>
      <c r="AG30" s="6">
        <v>2053</v>
      </c>
      <c r="AH30" s="6">
        <v>2054</v>
      </c>
      <c r="AI30" s="6">
        <v>2055</v>
      </c>
      <c r="AJ30" s="6">
        <v>2056</v>
      </c>
      <c r="AK30" s="6">
        <v>2057</v>
      </c>
      <c r="AL30" s="6">
        <v>2058</v>
      </c>
      <c r="AM30" s="6">
        <v>2059</v>
      </c>
      <c r="AN30" s="6">
        <v>2060</v>
      </c>
    </row>
    <row r="31" spans="1:40" x14ac:dyDescent="0.2">
      <c r="A31" s="6" t="s">
        <v>87</v>
      </c>
      <c r="B31" s="35">
        <f>Residential!B31*Residential!$B$29</f>
        <v>10433175.714882016</v>
      </c>
      <c r="C31" s="35">
        <f>Residential!C31*Residential!$B$29</f>
        <v>9368208.6465701088</v>
      </c>
      <c r="D31" s="35">
        <f>Residential!D31*Residential!$B$29</f>
        <v>8871625.1214866657</v>
      </c>
      <c r="E31" s="35">
        <f>Residential!E31*Residential!$B$29</f>
        <v>8401364.1524742413</v>
      </c>
      <c r="F31" s="35">
        <f>Residential!F31*Residential!$B$29</f>
        <v>7956030.4516847357</v>
      </c>
      <c r="G31" s="35">
        <f>Residential!G31*Residential!$B$29</f>
        <v>7534302.691723356</v>
      </c>
      <c r="H31" s="35">
        <f>Residential!H31*Residential!$B$29</f>
        <v>7134929.5852040621</v>
      </c>
      <c r="I31" s="35">
        <f>Residential!I31*Residential!$B$29</f>
        <v>6756726.1721171876</v>
      </c>
      <c r="J31" s="35">
        <f>Residential!J31*Residential!$B$29</f>
        <v>6398570.3039937858</v>
      </c>
      <c r="K31" s="35">
        <f>Residential!K31*Residential!$B$29</f>
        <v>6059399.3144348795</v>
      </c>
      <c r="L31" s="35">
        <f>Residential!L31*Residential!$B$29</f>
        <v>5738206.8661270691</v>
      </c>
      <c r="M31" s="35">
        <f>Residential!M31*Residential!$B$29</f>
        <v>5434039.9649892878</v>
      </c>
      <c r="N31" s="35">
        <f>Residential!N31*Residential!$B$29</f>
        <v>5145996.1325916601</v>
      </c>
      <c r="O31" s="35">
        <f>Residential!O31*Residential!$B$29</f>
        <v>4873220.7284567701</v>
      </c>
      <c r="P31" s="35">
        <f>Residential!P31*Residential!$B$29</f>
        <v>4614904.4142985921</v>
      </c>
      <c r="Q31" s="35">
        <f>Residential!Q31*Residential!$B$29</f>
        <v>4370280.7526752418</v>
      </c>
      <c r="R31" s="35">
        <f>Residential!R31*Residential!$B$29</f>
        <v>4138623.9329306963</v>
      </c>
      <c r="S31" s="35">
        <f>Residential!S31*Residential!$B$29</f>
        <v>3919246.6176782371</v>
      </c>
      <c r="T31" s="35">
        <f>Residential!T31*Residential!$B$29</f>
        <v>3711497.9034359907</v>
      </c>
      <c r="U31" s="35">
        <f>Residential!U31*Residential!$B$29</f>
        <v>3514761.3893637084</v>
      </c>
      <c r="V31" s="35">
        <f>Residential!V31*Residential!$B$29</f>
        <v>3328453.3483705744</v>
      </c>
      <c r="W31" s="35">
        <f>Residential!W31*Residential!$B$29</f>
        <v>3152020.9951677257</v>
      </c>
      <c r="X31" s="35">
        <f>Residential!X31*Residential!$B$29</f>
        <v>2984940.8461265885</v>
      </c>
      <c r="Y31" s="35">
        <f>Residential!Y31*Residential!$B$29</f>
        <v>2826717.1660767458</v>
      </c>
      <c r="Z31" s="35">
        <f>Residential!Z31*Residential!$B$29</f>
        <v>2676880.4974348485</v>
      </c>
      <c r="AA31" s="35">
        <f>Residential!AA31*Residential!$B$29</f>
        <v>2534986.2673004679</v>
      </c>
      <c r="AB31" s="35">
        <f>Residential!AB31*Residential!$B$29</f>
        <v>2400613.4683860177</v>
      </c>
      <c r="AC31" s="35">
        <f>Residential!AC31*Residential!$B$29</f>
        <v>2273363.4098670539</v>
      </c>
      <c r="AD31" s="35">
        <f>Residential!AD31*Residential!$B$29</f>
        <v>2152858.5344466278</v>
      </c>
      <c r="AE31" s="35">
        <f>Residential!AE31*Residential!$B$29</f>
        <v>2038741.2981238766</v>
      </c>
      <c r="AF31" s="35">
        <f>Residential!AF31*Residential!$B$29</f>
        <v>1930673.109343068</v>
      </c>
      <c r="AG31" s="35">
        <f>Residential!AG31*Residential!$B$29</f>
        <v>1828333.3243754904</v>
      </c>
      <c r="AH31" s="35">
        <f>Residential!AH31*Residential!$B$29</f>
        <v>1731418.295953454</v>
      </c>
      <c r="AI31" s="35">
        <f>Residential!AI31*Residential!$B$29</f>
        <v>1639640.4723336399</v>
      </c>
      <c r="AJ31" s="35">
        <f>Residential!AJ31*Residential!$B$29</f>
        <v>1552727.5441166726</v>
      </c>
      <c r="AK31" s="35">
        <f>Residential!AK31*Residential!$B$29</f>
        <v>1470421.6362914974</v>
      </c>
      <c r="AL31" s="35">
        <f>Residential!AL31*Residential!$B$29</f>
        <v>1392478.5431073022</v>
      </c>
      <c r="AM31" s="35">
        <f>Residential!AM31*Residential!$B$29</f>
        <v>1318667.0035028292</v>
      </c>
      <c r="AN31" s="35">
        <f>Residential!AN31*Residential!$B$29</f>
        <v>1248768.0149432186</v>
      </c>
    </row>
    <row r="33" spans="1:40" x14ac:dyDescent="0.2">
      <c r="A33" s="5" t="s">
        <v>88</v>
      </c>
    </row>
    <row r="34" spans="1:40" x14ac:dyDescent="0.2">
      <c r="A34" s="5" t="s">
        <v>4</v>
      </c>
    </row>
    <row r="35" spans="1:40" x14ac:dyDescent="0.2">
      <c r="A35" s="5" t="s">
        <v>89</v>
      </c>
    </row>
    <row r="36" spans="1:40" x14ac:dyDescent="0.2">
      <c r="A36" s="5" t="s">
        <v>6</v>
      </c>
    </row>
    <row r="37" spans="1:40" x14ac:dyDescent="0.2">
      <c r="A37" s="5"/>
    </row>
    <row r="38" spans="1:40" x14ac:dyDescent="0.2">
      <c r="A38" s="6" t="s">
        <v>7</v>
      </c>
      <c r="B38" s="6">
        <v>2022</v>
      </c>
      <c r="C38" s="6">
        <v>2023</v>
      </c>
      <c r="D38" s="6">
        <v>2024</v>
      </c>
      <c r="E38" s="6">
        <v>2025</v>
      </c>
      <c r="F38" s="6">
        <v>2026</v>
      </c>
      <c r="G38" s="6">
        <v>2027</v>
      </c>
      <c r="H38" s="6">
        <v>2028</v>
      </c>
      <c r="I38" s="6">
        <v>2029</v>
      </c>
      <c r="J38" s="6">
        <v>2030</v>
      </c>
      <c r="K38" s="6">
        <v>2031</v>
      </c>
      <c r="L38" s="6">
        <v>2032</v>
      </c>
      <c r="M38" s="6">
        <v>2033</v>
      </c>
      <c r="N38" s="6">
        <v>2034</v>
      </c>
      <c r="O38" s="6">
        <v>2035</v>
      </c>
      <c r="P38" s="6">
        <v>2036</v>
      </c>
      <c r="Q38" s="6">
        <v>2037</v>
      </c>
      <c r="R38" s="6">
        <v>2038</v>
      </c>
      <c r="S38" s="6">
        <v>2039</v>
      </c>
      <c r="T38" s="6">
        <v>2040</v>
      </c>
      <c r="U38" s="6">
        <v>2041</v>
      </c>
      <c r="V38" s="6">
        <v>2042</v>
      </c>
      <c r="W38" s="6">
        <v>2043</v>
      </c>
      <c r="X38" s="6">
        <v>2044</v>
      </c>
      <c r="Y38" s="6">
        <v>2045</v>
      </c>
      <c r="Z38" s="6">
        <v>2046</v>
      </c>
      <c r="AA38" s="6">
        <v>2047</v>
      </c>
      <c r="AB38" s="6">
        <v>2048</v>
      </c>
      <c r="AC38" s="6">
        <v>2049</v>
      </c>
      <c r="AD38" s="6">
        <v>2050</v>
      </c>
      <c r="AE38" s="6">
        <v>2051</v>
      </c>
      <c r="AF38" s="6">
        <v>2052</v>
      </c>
      <c r="AG38" s="6">
        <v>2053</v>
      </c>
      <c r="AH38" s="6">
        <v>2054</v>
      </c>
      <c r="AI38" s="6">
        <v>2055</v>
      </c>
      <c r="AJ38" s="6">
        <v>2056</v>
      </c>
      <c r="AK38" s="6">
        <v>2057</v>
      </c>
      <c r="AL38" s="6">
        <v>2058</v>
      </c>
      <c r="AM38" s="6">
        <v>2059</v>
      </c>
      <c r="AN38" s="6">
        <v>2060</v>
      </c>
    </row>
    <row r="39" spans="1:40" x14ac:dyDescent="0.2">
      <c r="A39" s="6" t="s">
        <v>90</v>
      </c>
      <c r="B39" s="35">
        <f>Residential!B39*Residential!$B$45</f>
        <v>98907308.472031355</v>
      </c>
      <c r="C39" s="35">
        <f>Residential!C39*Residential!$B$45</f>
        <v>87625206.995929822</v>
      </c>
      <c r="D39" s="35">
        <f>Residential!D39*Residential!$B$45</f>
        <v>77630025.725053027</v>
      </c>
      <c r="E39" s="35">
        <f>Residential!E39*Residential!$B$45</f>
        <v>68774968.992111146</v>
      </c>
      <c r="F39" s="35">
        <f>Residential!F39*Residential!$B$45</f>
        <v>60929985.732818998</v>
      </c>
      <c r="G39" s="35">
        <f>Residential!G39*Residential!$B$45</f>
        <v>53979859.47223565</v>
      </c>
      <c r="H39" s="35">
        <f>Residential!H39*Residential!$B$45</f>
        <v>47822516.181434512</v>
      </c>
      <c r="I39" s="35">
        <f>Residential!I39*Residential!$B$45</f>
        <v>42367525.152596429</v>
      </c>
      <c r="J39" s="35">
        <f>Residential!J39*Residential!$B$45</f>
        <v>37534770.875413366</v>
      </c>
      <c r="K39" s="35">
        <f>Residential!K39*Residential!$B$45</f>
        <v>33253276.40912341</v>
      </c>
      <c r="L39" s="35">
        <f>Residential!L39*Residential!$B$45</f>
        <v>29460160.969462328</v>
      </c>
      <c r="M39" s="35">
        <f>Residential!M39*Residential!$B$45</f>
        <v>26099716.420981403</v>
      </c>
      <c r="N39" s="35">
        <f>Residential!N39*Residential!$B$45</f>
        <v>23122589.111504052</v>
      </c>
      <c r="O39" s="35">
        <f>Residential!O39*Residential!$B$45</f>
        <v>20485055.032614857</v>
      </c>
      <c r="P39" s="35">
        <f>Residential!P39*Residential!$B$45</f>
        <v>18148377.660721369</v>
      </c>
      <c r="Q39" s="35">
        <f>Residential!Q39*Residential!$B$45</f>
        <v>16078239.047529092</v>
      </c>
      <c r="R39" s="35">
        <f>Residential!R39*Residential!$B$45</f>
        <v>14244235.804558059</v>
      </c>
      <c r="S39" s="35">
        <f>Residential!S39*Residential!$B$45</f>
        <v>12619432.57940523</v>
      </c>
      <c r="T39" s="35">
        <f>Residential!T39*Residential!$B$45</f>
        <v>11179966.46581736</v>
      </c>
      <c r="U39" s="35">
        <f>Residential!U39*Residential!$B$45</f>
        <v>9904696.5376863088</v>
      </c>
      <c r="V39" s="35">
        <f>Residential!V39*Residential!$B$45</f>
        <v>8774893.3597971071</v>
      </c>
      <c r="W39" s="35">
        <f>Residential!W39*Residential!$B$45</f>
        <v>7773963.9152839649</v>
      </c>
      <c r="X39" s="35">
        <f>Residential!X39*Residential!$B$45</f>
        <v>6887207.9099015463</v>
      </c>
      <c r="Y39" s="35">
        <f>Residential!Y39*Residential!$B$45</f>
        <v>6101601.8740392886</v>
      </c>
      <c r="Z39" s="35">
        <f>Residential!Z39*Residential!$B$45</f>
        <v>5405607.8916618535</v>
      </c>
      <c r="AA39" s="35">
        <f>Residential!AA39*Residential!$B$45</f>
        <v>4789004.1470458545</v>
      </c>
      <c r="AB39" s="35">
        <f>Residential!AB39*Residential!$B$45</f>
        <v>4242734.8006130718</v>
      </c>
      <c r="AC39" s="35">
        <f>Residential!AC39*Residential!$B$45</f>
        <v>3758776.9890400302</v>
      </c>
      <c r="AD39" s="35">
        <f>Residential!AD39*Residential!$B$45</f>
        <v>3330022.9963219222</v>
      </c>
      <c r="AE39" s="35">
        <f>Residential!AE39*Residential!$B$45</f>
        <v>2950175.8652792308</v>
      </c>
      <c r="AF39" s="35">
        <f>Residential!AF39*Residential!$B$45</f>
        <v>2613656.9163904558</v>
      </c>
      <c r="AG39" s="35">
        <f>Residential!AG39*Residential!$B$45</f>
        <v>2315523.8157129656</v>
      </c>
      <c r="AH39" s="35">
        <f>Residential!AH39*Residential!$B$45</f>
        <v>2051397.9885847231</v>
      </c>
      <c r="AI39" s="35">
        <f>Residential!AI39*Residential!$B$45</f>
        <v>1817400.3130577626</v>
      </c>
      <c r="AJ39" s="35">
        <f>Residential!AJ39*Residential!$B$45</f>
        <v>1610094.1486157847</v>
      </c>
      <c r="AK39" s="35">
        <f>Residential!AK39*Residential!$B$45</f>
        <v>1426434.8634589429</v>
      </c>
      <c r="AL39" s="35">
        <f>Residential!AL39*Residential!$B$45</f>
        <v>1263725.1190810176</v>
      </c>
      <c r="AM39" s="35">
        <f>Residential!AM39*Residential!$B$45</f>
        <v>1119575.2554195051</v>
      </c>
      <c r="AN39" s="35">
        <f>Residential!AN39*Residential!$B$45</f>
        <v>991868.19476941228</v>
      </c>
    </row>
    <row r="41" spans="1:40" x14ac:dyDescent="0.2">
      <c r="A41" s="5" t="s">
        <v>91</v>
      </c>
    </row>
    <row r="42" spans="1:40" x14ac:dyDescent="0.2">
      <c r="A42" s="5" t="s">
        <v>4</v>
      </c>
    </row>
    <row r="43" spans="1:40" x14ac:dyDescent="0.2">
      <c r="A43" s="5" t="s">
        <v>92</v>
      </c>
    </row>
    <row r="44" spans="1:40" x14ac:dyDescent="0.2">
      <c r="A44" s="5" t="s">
        <v>6</v>
      </c>
    </row>
    <row r="45" spans="1:40" x14ac:dyDescent="0.2">
      <c r="A45" s="5"/>
    </row>
    <row r="46" spans="1:40" x14ac:dyDescent="0.2">
      <c r="A46" s="6" t="s">
        <v>7</v>
      </c>
      <c r="B46" s="6">
        <v>2022</v>
      </c>
      <c r="C46" s="6">
        <v>2023</v>
      </c>
      <c r="D46" s="6">
        <v>2024</v>
      </c>
      <c r="E46" s="6">
        <v>2025</v>
      </c>
      <c r="F46" s="6">
        <v>2026</v>
      </c>
      <c r="G46" s="6">
        <v>2027</v>
      </c>
      <c r="H46" s="6">
        <v>2028</v>
      </c>
      <c r="I46" s="6">
        <v>2029</v>
      </c>
      <c r="J46" s="6">
        <v>2030</v>
      </c>
      <c r="K46" s="6">
        <v>2031</v>
      </c>
      <c r="L46" s="6">
        <v>2032</v>
      </c>
      <c r="M46" s="6">
        <v>2033</v>
      </c>
      <c r="N46" s="6">
        <v>2034</v>
      </c>
      <c r="O46" s="6">
        <v>2035</v>
      </c>
      <c r="P46" s="6">
        <v>2036</v>
      </c>
      <c r="Q46" s="6">
        <v>2037</v>
      </c>
      <c r="R46" s="6">
        <v>2038</v>
      </c>
      <c r="S46" s="6">
        <v>2039</v>
      </c>
      <c r="T46" s="6">
        <v>2040</v>
      </c>
      <c r="U46" s="6">
        <v>2041</v>
      </c>
      <c r="V46" s="6">
        <v>2042</v>
      </c>
      <c r="W46" s="6">
        <v>2043</v>
      </c>
      <c r="X46" s="6">
        <v>2044</v>
      </c>
      <c r="Y46" s="6">
        <v>2045</v>
      </c>
      <c r="Z46" s="6">
        <v>2046</v>
      </c>
      <c r="AA46" s="6">
        <v>2047</v>
      </c>
      <c r="AB46" s="6">
        <v>2048</v>
      </c>
      <c r="AC46" s="6">
        <v>2049</v>
      </c>
      <c r="AD46" s="6">
        <v>2050</v>
      </c>
      <c r="AE46" s="6">
        <v>2051</v>
      </c>
      <c r="AF46" s="6">
        <v>2052</v>
      </c>
      <c r="AG46" s="6">
        <v>2053</v>
      </c>
      <c r="AH46" s="6">
        <v>2054</v>
      </c>
      <c r="AI46" s="6">
        <v>2055</v>
      </c>
      <c r="AJ46" s="6">
        <v>2056</v>
      </c>
      <c r="AK46" s="6">
        <v>2057</v>
      </c>
      <c r="AL46" s="6">
        <v>2058</v>
      </c>
      <c r="AM46" s="6">
        <v>2059</v>
      </c>
      <c r="AN46" s="6">
        <v>2060</v>
      </c>
    </row>
    <row r="47" spans="1:40" x14ac:dyDescent="0.2">
      <c r="A47" s="6" t="s">
        <v>93</v>
      </c>
      <c r="B47" s="35">
        <f>Residential!B47*Residential!$B$45</f>
        <v>2100000</v>
      </c>
      <c r="C47" s="35">
        <f>Residential!C47*Residential!$B$45</f>
        <v>2400000</v>
      </c>
      <c r="D47" s="35">
        <f>Residential!D47*Residential!$B$45</f>
        <v>2700000</v>
      </c>
      <c r="E47" s="35">
        <f>Residential!E47*Residential!$B$45</f>
        <v>3000000</v>
      </c>
      <c r="F47" s="35">
        <f>Residential!F47*Residential!$B$45</f>
        <v>3400000</v>
      </c>
      <c r="G47" s="35">
        <f>Residential!G47*Residential!$B$45</f>
        <v>3800000</v>
      </c>
      <c r="H47" s="35">
        <f>Residential!H47*Residential!$B$45</f>
        <v>4300000</v>
      </c>
      <c r="I47" s="35">
        <f>Residential!I47*Residential!$B$45</f>
        <v>4800000</v>
      </c>
      <c r="J47" s="35">
        <f>Residential!J47*Residential!$B$45</f>
        <v>5400000</v>
      </c>
      <c r="K47" s="35">
        <f>Residential!K47*Residential!$B$45</f>
        <v>6100000</v>
      </c>
      <c r="L47" s="35">
        <f>Residential!L47*Residential!$B$45</f>
        <v>6900000</v>
      </c>
      <c r="M47" s="35">
        <f>Residential!M47*Residential!$B$45</f>
        <v>7700000</v>
      </c>
      <c r="N47" s="35">
        <f>Residential!N47*Residential!$B$45</f>
        <v>8700000</v>
      </c>
      <c r="O47" s="35">
        <f>Residential!O47*Residential!$B$45</f>
        <v>9800000</v>
      </c>
      <c r="P47" s="35">
        <f>Residential!P47*Residential!$B$45</f>
        <v>11000000</v>
      </c>
      <c r="Q47" s="35">
        <f>Residential!Q47*Residential!$B$45</f>
        <v>12400000</v>
      </c>
      <c r="R47" s="35">
        <f>Residential!R47*Residential!$B$45</f>
        <v>14000000</v>
      </c>
      <c r="S47" s="35">
        <f>Residential!S47*Residential!$B$45</f>
        <v>15800000</v>
      </c>
      <c r="T47" s="35">
        <f>Residential!T47*Residential!$B$45</f>
        <v>16590000</v>
      </c>
      <c r="U47" s="35">
        <f>Residential!U47*Residential!$B$45</f>
        <v>17390000</v>
      </c>
      <c r="V47" s="35">
        <f>Residential!V47*Residential!$B$45</f>
        <v>18190000</v>
      </c>
      <c r="W47" s="35">
        <f>Residential!W47*Residential!$B$45</f>
        <v>18990000</v>
      </c>
      <c r="X47" s="35">
        <f>Residential!X47*Residential!$B$45</f>
        <v>19780000</v>
      </c>
      <c r="Y47" s="35">
        <f>Residential!Y47*Residential!$B$45</f>
        <v>20580000</v>
      </c>
      <c r="Z47" s="35">
        <f>Residential!Z47*Residential!$B$45</f>
        <v>21360000</v>
      </c>
      <c r="AA47" s="35">
        <f>Residential!AA47*Residential!$B$45</f>
        <v>22130000</v>
      </c>
      <c r="AB47" s="35">
        <f>Residential!AB47*Residential!$B$45</f>
        <v>22880000</v>
      </c>
      <c r="AC47" s="35">
        <f>Residential!AC47*Residential!$B$45</f>
        <v>23610000</v>
      </c>
      <c r="AD47" s="35">
        <f>Residential!AD47*Residential!$B$45</f>
        <v>24320000</v>
      </c>
      <c r="AE47" s="35">
        <f>Residential!AE47*Residential!$B$45</f>
        <v>25000000</v>
      </c>
      <c r="AF47" s="35">
        <f>Residential!AF47*Residential!$B$45</f>
        <v>25650000</v>
      </c>
      <c r="AG47" s="35">
        <f>Residential!AG47*Residential!$B$45</f>
        <v>26260000</v>
      </c>
      <c r="AH47" s="35">
        <f>Residential!AH47*Residential!$B$45</f>
        <v>26840000</v>
      </c>
      <c r="AI47" s="35">
        <f>Residential!AI47*Residential!$B$45</f>
        <v>27380000</v>
      </c>
      <c r="AJ47" s="35">
        <f>Residential!AJ47*Residential!$B$45</f>
        <v>27870000</v>
      </c>
      <c r="AK47" s="35">
        <f>Residential!AK47*Residential!$B$45</f>
        <v>28320000</v>
      </c>
      <c r="AL47" s="35">
        <f>Residential!AL47*Residential!$B$45</f>
        <v>28710000</v>
      </c>
      <c r="AM47" s="35">
        <f>Residential!AM47*Residential!$B$45</f>
        <v>29060000</v>
      </c>
      <c r="AN47" s="35">
        <f>Residential!AN47*Residential!$B$45</f>
        <v>29350000</v>
      </c>
    </row>
    <row r="49" spans="1:40" x14ac:dyDescent="0.2">
      <c r="A49" s="5" t="s">
        <v>94</v>
      </c>
    </row>
    <row r="50" spans="1:40" x14ac:dyDescent="0.2">
      <c r="A50" s="5" t="s">
        <v>4</v>
      </c>
    </row>
    <row r="51" spans="1:40" x14ac:dyDescent="0.2">
      <c r="A51" s="5" t="s">
        <v>95</v>
      </c>
    </row>
    <row r="52" spans="1:40" x14ac:dyDescent="0.2">
      <c r="A52" s="5" t="s">
        <v>6</v>
      </c>
    </row>
    <row r="53" spans="1:40" x14ac:dyDescent="0.2">
      <c r="A53" s="5"/>
    </row>
    <row r="54" spans="1:40" x14ac:dyDescent="0.2">
      <c r="A54" s="6" t="s">
        <v>7</v>
      </c>
      <c r="B54" s="6">
        <v>2022</v>
      </c>
      <c r="C54" s="6">
        <v>2023</v>
      </c>
      <c r="D54" s="6">
        <v>2024</v>
      </c>
      <c r="E54" s="6">
        <v>2025</v>
      </c>
      <c r="F54" s="6">
        <v>2026</v>
      </c>
      <c r="G54" s="6">
        <v>2027</v>
      </c>
      <c r="H54" s="6">
        <v>2028</v>
      </c>
      <c r="I54" s="6">
        <v>2029</v>
      </c>
      <c r="J54" s="6">
        <v>2030</v>
      </c>
      <c r="K54" s="6">
        <v>2031</v>
      </c>
      <c r="L54" s="6">
        <v>2032</v>
      </c>
      <c r="M54" s="6">
        <v>2033</v>
      </c>
      <c r="N54" s="6">
        <v>2034</v>
      </c>
      <c r="O54" s="6">
        <v>2035</v>
      </c>
      <c r="P54" s="6">
        <v>2036</v>
      </c>
      <c r="Q54" s="6">
        <v>2037</v>
      </c>
      <c r="R54" s="6">
        <v>2038</v>
      </c>
      <c r="S54" s="6">
        <v>2039</v>
      </c>
      <c r="T54" s="6">
        <v>2040</v>
      </c>
      <c r="U54" s="6">
        <v>2041</v>
      </c>
      <c r="V54" s="6">
        <v>2042</v>
      </c>
      <c r="W54" s="6">
        <v>2043</v>
      </c>
      <c r="X54" s="6">
        <v>2044</v>
      </c>
      <c r="Y54" s="6">
        <v>2045</v>
      </c>
      <c r="Z54" s="6">
        <v>2046</v>
      </c>
      <c r="AA54" s="6">
        <v>2047</v>
      </c>
      <c r="AB54" s="6">
        <v>2048</v>
      </c>
      <c r="AC54" s="6">
        <v>2049</v>
      </c>
      <c r="AD54" s="6">
        <v>2050</v>
      </c>
      <c r="AE54" s="6">
        <v>2051</v>
      </c>
      <c r="AF54" s="6">
        <v>2052</v>
      </c>
      <c r="AG54" s="6">
        <v>2053</v>
      </c>
      <c r="AH54" s="6">
        <v>2054</v>
      </c>
      <c r="AI54" s="6">
        <v>2055</v>
      </c>
      <c r="AJ54" s="6">
        <v>2056</v>
      </c>
      <c r="AK54" s="6">
        <v>2057</v>
      </c>
      <c r="AL54" s="6">
        <v>2058</v>
      </c>
      <c r="AM54" s="6">
        <v>2059</v>
      </c>
      <c r="AN54" s="6">
        <v>2060</v>
      </c>
    </row>
    <row r="55" spans="1:40" x14ac:dyDescent="0.2">
      <c r="A55" s="6" t="s">
        <v>96</v>
      </c>
      <c r="B55" s="35">
        <f>Residential!B55*Residential!$B$53</f>
        <v>395523132.80413288</v>
      </c>
      <c r="C55" s="35">
        <f>Residential!C55*Residential!$B$53</f>
        <v>401730231.80878574</v>
      </c>
      <c r="D55" s="35">
        <f>Residential!D55*Residential!$B$53</f>
        <v>406976207.46336383</v>
      </c>
      <c r="E55" s="35">
        <f>Residential!E55*Residential!$B$53</f>
        <v>411635696.65873033</v>
      </c>
      <c r="F55" s="35">
        <f>Residential!F55*Residential!$B$53</f>
        <v>418342708.40860581</v>
      </c>
      <c r="G55" s="35">
        <f>Residential!G55*Residential!$B$53</f>
        <v>424534294.47811168</v>
      </c>
      <c r="H55" s="35">
        <f>Residential!H55*Residential!$B$53</f>
        <v>430237207.17513394</v>
      </c>
      <c r="I55" s="35">
        <f>Residential!I55*Residential!$B$53</f>
        <v>435471520.65853816</v>
      </c>
      <c r="J55" s="35">
        <f>Residential!J55*Residential!$B$53</f>
        <v>440250932.12749869</v>
      </c>
      <c r="K55" s="35">
        <f>Residential!K55*Residential!$B$53</f>
        <v>443932577.38916856</v>
      </c>
      <c r="L55" s="35">
        <f>Residential!L55*Residential!$B$53</f>
        <v>447170358.52693939</v>
      </c>
      <c r="M55" s="35">
        <f>Residential!M55*Residential!$B$53</f>
        <v>449959948.77570474</v>
      </c>
      <c r="N55" s="35">
        <f>Residential!N55*Residential!$B$53</f>
        <v>452290957.05036396</v>
      </c>
      <c r="O55" s="35">
        <f>Residential!O55*Residential!$B$53</f>
        <v>454146783.96618092</v>
      </c>
      <c r="P55" s="35">
        <f>Residential!P55*Residential!$B$53</f>
        <v>455000649.58812392</v>
      </c>
      <c r="Q55" s="35">
        <f>Residential!Q55*Residential!$B$53</f>
        <v>455330676.34846085</v>
      </c>
      <c r="R55" s="35">
        <f>Residential!R55*Residential!$B$53</f>
        <v>455100221.54953486</v>
      </c>
      <c r="S55" s="35">
        <f>Residential!S55*Residential!$B$53</f>
        <v>454265005.59838235</v>
      </c>
      <c r="T55" s="35">
        <f>Residential!T55*Residential!$B$53</f>
        <v>452772499.67523921</v>
      </c>
      <c r="U55" s="35">
        <f>Residential!U55*Residential!$B$53</f>
        <v>449921669.20178896</v>
      </c>
      <c r="V55" s="35">
        <f>Residential!V55*Residential!$B$53</f>
        <v>446285105.83726388</v>
      </c>
      <c r="W55" s="35">
        <f>Residential!W55*Residential!$B$53</f>
        <v>441781432.19617897</v>
      </c>
      <c r="X55" s="35">
        <f>Residential!X55*Residential!$B$53</f>
        <v>436317444.25040042</v>
      </c>
      <c r="Y55" s="35">
        <f>Residential!Y55*Residential!$B$53</f>
        <v>429786829.75568581</v>
      </c>
      <c r="Z55" s="35">
        <f>Residential!Z55*Residential!$B$53</f>
        <v>421468366.18030137</v>
      </c>
      <c r="AA55" s="35">
        <f>Residential!AA55*Residential!$B$53</f>
        <v>411832562.05901611</v>
      </c>
      <c r="AB55" s="35">
        <f>Residential!AB55*Residential!$B$53</f>
        <v>400725451.05740368</v>
      </c>
      <c r="AC55" s="35">
        <f>Residential!AC55*Residential!$B$53</f>
        <v>387973011.95555371</v>
      </c>
      <c r="AD55" s="35">
        <f>Residential!AD55*Residential!$B$53</f>
        <v>373378785.18085998</v>
      </c>
      <c r="AE55" s="35">
        <f>Residential!AE55*Residential!$B$53</f>
        <v>355324082.23109126</v>
      </c>
      <c r="AF55" s="35">
        <f>Residential!AF55*Residential!$B$53</f>
        <v>334986707.48613787</v>
      </c>
      <c r="AG55" s="35">
        <f>Residential!AG55*Residential!$B$53</f>
        <v>312090608.26789027</v>
      </c>
      <c r="AH55" s="35">
        <f>Residential!AH55*Residential!$B$53</f>
        <v>286325108.47337943</v>
      </c>
      <c r="AI55" s="35">
        <f>Residential!AI55*Residential!$B$53</f>
        <v>257340687.29851857</v>
      </c>
      <c r="AJ55" s="35">
        <f>Residential!AJ55*Residential!$B$53</f>
        <v>224744229.25979629</v>
      </c>
      <c r="AK55" s="35">
        <f>Residential!AK55*Residential!$B$53</f>
        <v>188093680.73804364</v>
      </c>
      <c r="AL55" s="35">
        <f>Residential!AL55*Residential!$B$53</f>
        <v>146892040.15763521</v>
      </c>
      <c r="AM55" s="35">
        <f>Residential!AM55*Residential!$B$53</f>
        <v>100580599.80593428</v>
      </c>
      <c r="AN55" s="35">
        <f>Residential!AN55*Residential!$B$53</f>
        <v>48531347.066530183</v>
      </c>
    </row>
    <row r="57" spans="1:40" x14ac:dyDescent="0.2">
      <c r="A57" s="5" t="s">
        <v>97</v>
      </c>
    </row>
    <row r="58" spans="1:40" x14ac:dyDescent="0.2">
      <c r="A58" s="5" t="s">
        <v>4</v>
      </c>
    </row>
    <row r="59" spans="1:40" x14ac:dyDescent="0.2">
      <c r="A59" s="5" t="s">
        <v>98</v>
      </c>
    </row>
    <row r="60" spans="1:40" x14ac:dyDescent="0.2">
      <c r="A60" s="5" t="s">
        <v>6</v>
      </c>
    </row>
    <row r="61" spans="1:40" x14ac:dyDescent="0.2">
      <c r="A61" s="5"/>
    </row>
    <row r="62" spans="1:40" x14ac:dyDescent="0.2">
      <c r="A62" s="6" t="s">
        <v>7</v>
      </c>
      <c r="B62" s="6">
        <v>2022</v>
      </c>
      <c r="C62" s="6">
        <v>2023</v>
      </c>
      <c r="D62" s="6">
        <v>2024</v>
      </c>
      <c r="E62" s="6">
        <v>2025</v>
      </c>
      <c r="F62" s="6">
        <v>2026</v>
      </c>
      <c r="G62" s="6">
        <v>2027</v>
      </c>
      <c r="H62" s="6">
        <v>2028</v>
      </c>
      <c r="I62" s="6">
        <v>2029</v>
      </c>
      <c r="J62" s="6">
        <v>2030</v>
      </c>
      <c r="K62" s="6">
        <v>2031</v>
      </c>
      <c r="L62" s="6">
        <v>2032</v>
      </c>
      <c r="M62" s="6">
        <v>2033</v>
      </c>
      <c r="N62" s="6">
        <v>2034</v>
      </c>
      <c r="O62" s="6">
        <v>2035</v>
      </c>
      <c r="P62" s="6">
        <v>2036</v>
      </c>
      <c r="Q62" s="6">
        <v>2037</v>
      </c>
      <c r="R62" s="6">
        <v>2038</v>
      </c>
      <c r="S62" s="6">
        <v>2039</v>
      </c>
      <c r="T62" s="6">
        <v>2040</v>
      </c>
      <c r="U62" s="6">
        <v>2041</v>
      </c>
      <c r="V62" s="6">
        <v>2042</v>
      </c>
      <c r="W62" s="6">
        <v>2043</v>
      </c>
      <c r="X62" s="6">
        <v>2044</v>
      </c>
      <c r="Y62" s="6">
        <v>2045</v>
      </c>
      <c r="Z62" s="6">
        <v>2046</v>
      </c>
      <c r="AA62" s="6">
        <v>2047</v>
      </c>
      <c r="AB62" s="6">
        <v>2048</v>
      </c>
      <c r="AC62" s="6">
        <v>2049</v>
      </c>
      <c r="AD62" s="6">
        <v>2050</v>
      </c>
      <c r="AE62" s="6">
        <v>2051</v>
      </c>
      <c r="AF62" s="6">
        <v>2052</v>
      </c>
      <c r="AG62" s="6">
        <v>2053</v>
      </c>
      <c r="AH62" s="6">
        <v>2054</v>
      </c>
      <c r="AI62" s="6">
        <v>2055</v>
      </c>
      <c r="AJ62" s="6">
        <v>2056</v>
      </c>
      <c r="AK62" s="6">
        <v>2057</v>
      </c>
      <c r="AL62" s="6">
        <v>2058</v>
      </c>
      <c r="AM62" s="6">
        <v>2059</v>
      </c>
      <c r="AN62" s="6">
        <v>2060</v>
      </c>
    </row>
    <row r="63" spans="1:40" x14ac:dyDescent="0.2">
      <c r="A63" s="6" t="s">
        <v>99</v>
      </c>
      <c r="B63" s="35">
        <f>Residential!B63*Residential!$B$61</f>
        <v>66081280.975717068</v>
      </c>
      <c r="C63" s="35">
        <f>Residential!C63*Residential!$B$61</f>
        <v>98116659.483513981</v>
      </c>
      <c r="D63" s="35">
        <f>Residential!D63*Residential!$B$61</f>
        <v>148613029.74219191</v>
      </c>
      <c r="E63" s="35">
        <f>Residential!E63*Residential!$B$61</f>
        <v>197470481.80914906</v>
      </c>
      <c r="F63" s="35">
        <f>Residential!F63*Residential!$B$61</f>
        <v>246057487.60674906</v>
      </c>
      <c r="G63" s="35">
        <f>Residential!G63*Residential!$B$61</f>
        <v>293416747.90392697</v>
      </c>
      <c r="H63" s="35">
        <f>Residential!H63*Residential!$B$61</f>
        <v>317742258.23410475</v>
      </c>
      <c r="I63" s="35">
        <f>Residential!I63*Residential!$B$61</f>
        <v>342421094.76413697</v>
      </c>
      <c r="J63" s="35">
        <f>Residential!J63*Residential!$B$61</f>
        <v>345317630.67186987</v>
      </c>
      <c r="K63" s="35">
        <f>Residential!K63*Residential!$B$61</f>
        <v>347732252.6032086</v>
      </c>
      <c r="L63" s="35">
        <f>Residential!L63*Residential!$B$61</f>
        <v>350140124.33035558</v>
      </c>
      <c r="M63" s="35">
        <f>Residential!M63*Residential!$B$61</f>
        <v>352543177.55252075</v>
      </c>
      <c r="N63" s="35">
        <f>Residential!N63*Residential!$B$61</f>
        <v>354942617.88500804</v>
      </c>
      <c r="O63" s="35">
        <f>Residential!O63*Residential!$B$61</f>
        <v>357339197.68642855</v>
      </c>
      <c r="P63" s="35">
        <f>Residential!P63*Residential!$B$61</f>
        <v>359365417.42193007</v>
      </c>
      <c r="Q63" s="35">
        <f>Residential!Q63*Residential!$B$61</f>
        <v>361391149.72192931</v>
      </c>
      <c r="R63" s="35">
        <f>Residential!R63*Residential!$B$61</f>
        <v>363416578.28985238</v>
      </c>
      <c r="S63" s="35">
        <f>Residential!S63*Residential!$B$61</f>
        <v>365441817.60238951</v>
      </c>
      <c r="T63" s="35">
        <f>Residential!T63*Residential!$B$61</f>
        <v>367466938.99405003</v>
      </c>
      <c r="U63" s="35">
        <f>Residential!U63*Residential!$B$61</f>
        <v>369018982.80619013</v>
      </c>
      <c r="V63" s="35">
        <f>Residential!V63*Residential!$B$61</f>
        <v>370570980.64752197</v>
      </c>
      <c r="W63" s="35">
        <f>Residential!W63*Residential!$B$61</f>
        <v>372122949.88612044</v>
      </c>
      <c r="X63" s="35">
        <f>Residential!X63*Residential!$B$61</f>
        <v>373674901.32861733</v>
      </c>
      <c r="Y63" s="35">
        <f>Residential!Y63*Residential!$B$61</f>
        <v>375226841.69890416</v>
      </c>
      <c r="Z63" s="35">
        <f>Residential!Z63*Residential!$B$61</f>
        <v>376324944.57874584</v>
      </c>
      <c r="AA63" s="35">
        <f>Residential!AA63*Residential!$B$61</f>
        <v>377423043.15569597</v>
      </c>
      <c r="AB63" s="35">
        <f>Residential!AB63*Residential!$B$61</f>
        <v>378521139.05895668</v>
      </c>
      <c r="AC63" s="35">
        <f>Residential!AC63*Residential!$B$61</f>
        <v>379619233.30088013</v>
      </c>
      <c r="AD63" s="35">
        <f>Residential!AD63*Residential!$B$61</f>
        <v>380717326.51051599</v>
      </c>
      <c r="AE63" s="35">
        <f>Residential!AE63*Residential!$B$61</f>
        <v>380717327.56797928</v>
      </c>
      <c r="AF63" s="35">
        <f>Residential!AF63*Residential!$B$61</f>
        <v>380717328.22311997</v>
      </c>
      <c r="AG63" s="35">
        <f>Residential!AG63*Residential!$B$61</f>
        <v>380717328.62900573</v>
      </c>
      <c r="AH63" s="35">
        <f>Residential!AH63*Residential!$B$61</f>
        <v>380717328.88046825</v>
      </c>
      <c r="AI63" s="35">
        <f>Residential!AI63*Residential!$B$61</f>
        <v>380717329.03625917</v>
      </c>
      <c r="AJ63" s="35">
        <f>Residential!AJ63*Residential!$B$61</f>
        <v>380717329.13277793</v>
      </c>
      <c r="AK63" s="35">
        <f>Residential!AK63*Residential!$B$61</f>
        <v>380717329.1925751</v>
      </c>
      <c r="AL63" s="35">
        <f>Residential!AL63*Residential!$B$61</f>
        <v>380717329.22962183</v>
      </c>
      <c r="AM63" s="35">
        <f>Residential!AM63*Residential!$B$61</f>
        <v>380717329.25257379</v>
      </c>
      <c r="AN63" s="35">
        <f>Residential!AN63*Residential!$B$61</f>
        <v>380717329.26679337</v>
      </c>
    </row>
    <row r="65" spans="1:40" x14ac:dyDescent="0.2">
      <c r="A65" s="5" t="s">
        <v>100</v>
      </c>
    </row>
    <row r="66" spans="1:40" x14ac:dyDescent="0.2">
      <c r="A66" s="5" t="s">
        <v>4</v>
      </c>
    </row>
    <row r="67" spans="1:40" x14ac:dyDescent="0.2">
      <c r="A67" s="5" t="s">
        <v>101</v>
      </c>
    </row>
    <row r="68" spans="1:40" x14ac:dyDescent="0.2">
      <c r="A68" s="5" t="s">
        <v>6</v>
      </c>
    </row>
    <row r="69" spans="1:40" x14ac:dyDescent="0.2">
      <c r="A69" s="5"/>
    </row>
    <row r="70" spans="1:40" x14ac:dyDescent="0.2">
      <c r="A70" s="6" t="s">
        <v>7</v>
      </c>
      <c r="B70" s="6">
        <v>2022</v>
      </c>
      <c r="C70" s="6">
        <v>2023</v>
      </c>
      <c r="D70" s="6">
        <v>2024</v>
      </c>
      <c r="E70" s="6">
        <v>2025</v>
      </c>
      <c r="F70" s="6">
        <v>2026</v>
      </c>
      <c r="G70" s="6">
        <v>2027</v>
      </c>
      <c r="H70" s="6">
        <v>2028</v>
      </c>
      <c r="I70" s="6">
        <v>2029</v>
      </c>
      <c r="J70" s="6">
        <v>2030</v>
      </c>
      <c r="K70" s="6">
        <v>2031</v>
      </c>
      <c r="L70" s="6">
        <v>2032</v>
      </c>
      <c r="M70" s="6">
        <v>2033</v>
      </c>
      <c r="N70" s="6">
        <v>2034</v>
      </c>
      <c r="O70" s="6">
        <v>2035</v>
      </c>
      <c r="P70" s="6">
        <v>2036</v>
      </c>
      <c r="Q70" s="6">
        <v>2037</v>
      </c>
      <c r="R70" s="6">
        <v>2038</v>
      </c>
      <c r="S70" s="6">
        <v>2039</v>
      </c>
      <c r="T70" s="6">
        <v>2040</v>
      </c>
      <c r="U70" s="6">
        <v>2041</v>
      </c>
      <c r="V70" s="6">
        <v>2042</v>
      </c>
      <c r="W70" s="6">
        <v>2043</v>
      </c>
      <c r="X70" s="6">
        <v>2044</v>
      </c>
      <c r="Y70" s="6">
        <v>2045</v>
      </c>
      <c r="Z70" s="6">
        <v>2046</v>
      </c>
      <c r="AA70" s="6">
        <v>2047</v>
      </c>
      <c r="AB70" s="6">
        <v>2048</v>
      </c>
      <c r="AC70" s="6">
        <v>2049</v>
      </c>
      <c r="AD70" s="6">
        <v>2050</v>
      </c>
      <c r="AE70" s="6">
        <v>2051</v>
      </c>
      <c r="AF70" s="6">
        <v>2052</v>
      </c>
      <c r="AG70" s="6">
        <v>2053</v>
      </c>
      <c r="AH70" s="6">
        <v>2054</v>
      </c>
      <c r="AI70" s="6">
        <v>2055</v>
      </c>
      <c r="AJ70" s="6">
        <v>2056</v>
      </c>
      <c r="AK70" s="6">
        <v>2057</v>
      </c>
      <c r="AL70" s="6">
        <v>2058</v>
      </c>
      <c r="AM70" s="6">
        <v>2059</v>
      </c>
      <c r="AN70" s="6">
        <v>2060</v>
      </c>
    </row>
    <row r="71" spans="1:40" x14ac:dyDescent="0.2">
      <c r="A71" s="6" t="s">
        <v>102</v>
      </c>
      <c r="B71" s="35">
        <f>Residential!B71*Residential!$B$69</f>
        <v>26340412.631155696</v>
      </c>
      <c r="C71" s="35">
        <f>Residential!C71*Residential!$B$69</f>
        <v>27701629.481810015</v>
      </c>
      <c r="D71" s="35">
        <f>Residential!D71*Residential!$B$69</f>
        <v>32174494.980305448</v>
      </c>
      <c r="E71" s="35">
        <f>Residential!E71*Residential!$B$69</f>
        <v>36999775.686732545</v>
      </c>
      <c r="F71" s="35">
        <f>Residential!F71*Residential!$B$69</f>
        <v>42567150.37797685</v>
      </c>
      <c r="G71" s="35">
        <f>Residential!G71*Residential!$B$69</f>
        <v>48442698.584824823</v>
      </c>
      <c r="H71" s="35">
        <f>Residential!H71*Residential!$B$69</f>
        <v>54669114.572432488</v>
      </c>
      <c r="I71" s="35">
        <f>Residential!I71*Residential!$B$69</f>
        <v>59506128.388315007</v>
      </c>
      <c r="J71" s="35">
        <f>Residential!J71*Residential!$B$69</f>
        <v>63876768.042195335</v>
      </c>
      <c r="K71" s="35">
        <f>Residential!K71*Residential!$B$69</f>
        <v>71551994.652050599</v>
      </c>
      <c r="L71" s="35">
        <f>Residential!L71*Residential!$B$69</f>
        <v>74596936.273447067</v>
      </c>
      <c r="M71" s="35">
        <f>Residential!M71*Residential!$B$69</f>
        <v>77352790.824633107</v>
      </c>
      <c r="N71" s="35">
        <f>Residential!N71*Residential!$B$69</f>
        <v>80000815.791201964</v>
      </c>
      <c r="O71" s="35">
        <f>Residential!O71*Residential!$B$69</f>
        <v>82592270.419592187</v>
      </c>
      <c r="P71" s="35">
        <f>Residential!P71*Residential!$B$69</f>
        <v>86168330.037792236</v>
      </c>
      <c r="Q71" s="35">
        <f>Residential!Q71*Residential!$B$69</f>
        <v>88538138.863023207</v>
      </c>
      <c r="R71" s="35">
        <f>Residential!R71*Residential!$B$69</f>
        <v>90866876.769952878</v>
      </c>
      <c r="S71" s="35">
        <f>Residential!S71*Residential!$B$69</f>
        <v>93174524.892901495</v>
      </c>
      <c r="T71" s="35">
        <f>Residential!T71*Residential!$B$69</f>
        <v>95477681.019888848</v>
      </c>
      <c r="U71" s="35">
        <f>Residential!U71*Residential!$B$69</f>
        <v>98561089.680948094</v>
      </c>
      <c r="V71" s="35">
        <f>Residential!V71*Residential!$B$69</f>
        <v>100292142.75240119</v>
      </c>
      <c r="W71" s="35">
        <f>Residential!W71*Residential!$B$69</f>
        <v>102023510.10731016</v>
      </c>
      <c r="X71" s="35">
        <f>Residential!X71*Residential!$B$69</f>
        <v>103768870.18951303</v>
      </c>
      <c r="Y71" s="35">
        <f>Residential!Y71*Residential!$B$69</f>
        <v>105552265.86083464</v>
      </c>
      <c r="Z71" s="35">
        <f>Residential!Z71*Residential!$B$69</f>
        <v>107240636.02310394</v>
      </c>
      <c r="AA71" s="35">
        <f>Residential!AA71*Residential!$B$69</f>
        <v>108986210.57552479</v>
      </c>
      <c r="AB71" s="35">
        <f>Residential!AB71*Residential!$B$69</f>
        <v>110801092.95538729</v>
      </c>
      <c r="AC71" s="35">
        <f>Residential!AC71*Residential!$B$69</f>
        <v>112698143.3042734</v>
      </c>
      <c r="AD71" s="35">
        <f>Residential!AD71*Residential!$B$69</f>
        <v>114691131.37425561</v>
      </c>
      <c r="AE71" s="35">
        <f>Residential!AE71*Residential!$B$69</f>
        <v>116741016.75086553</v>
      </c>
      <c r="AF71" s="35">
        <f>Residential!AF71*Residential!$B$69</f>
        <v>118554312.89772202</v>
      </c>
      <c r="AG71" s="35">
        <f>Residential!AG71*Residential!$B$69</f>
        <v>120498983.56936653</v>
      </c>
      <c r="AH71" s="35">
        <f>Residential!AH71*Residential!$B$69</f>
        <v>122593069.79360411</v>
      </c>
      <c r="AI71" s="35">
        <f>Residential!AI71*Residential!$B$69</f>
        <v>124856323.78596155</v>
      </c>
      <c r="AJ71" s="35">
        <f>Residential!AJ71*Residential!$B$69</f>
        <v>127370117.01192513</v>
      </c>
      <c r="AK71" s="35">
        <f>Residential!AK71*Residential!$B$69</f>
        <v>130098714.81219403</v>
      </c>
      <c r="AL71" s="35">
        <f>Residential!AL71*Residential!$B$69</f>
        <v>133068563.22125165</v>
      </c>
      <c r="AM71" s="35">
        <f>Residential!AM71*Residential!$B$69</f>
        <v>136308948.56783649</v>
      </c>
      <c r="AN71" s="35">
        <f>Residential!AN71*Residential!$B$69</f>
        <v>139852354.98585609</v>
      </c>
    </row>
    <row r="73" spans="1:40" x14ac:dyDescent="0.2">
      <c r="A73" s="5" t="s">
        <v>103</v>
      </c>
    </row>
    <row r="74" spans="1:40" x14ac:dyDescent="0.2">
      <c r="A74" s="5" t="s">
        <v>4</v>
      </c>
    </row>
    <row r="75" spans="1:40" x14ac:dyDescent="0.2">
      <c r="A75" s="5" t="s">
        <v>104</v>
      </c>
    </row>
    <row r="76" spans="1:40" x14ac:dyDescent="0.2">
      <c r="A76" s="5" t="s">
        <v>6</v>
      </c>
    </row>
    <row r="77" spans="1:40" x14ac:dyDescent="0.2">
      <c r="A77" s="5"/>
    </row>
    <row r="78" spans="1:40" x14ac:dyDescent="0.2">
      <c r="A78" s="6" t="s">
        <v>7</v>
      </c>
      <c r="B78" s="6">
        <v>2022</v>
      </c>
      <c r="C78" s="6">
        <v>2023</v>
      </c>
      <c r="D78" s="6">
        <v>2024</v>
      </c>
      <c r="E78" s="6">
        <v>2025</v>
      </c>
      <c r="F78" s="6">
        <v>2026</v>
      </c>
      <c r="G78" s="6">
        <v>2027</v>
      </c>
      <c r="H78" s="6">
        <v>2028</v>
      </c>
      <c r="I78" s="6">
        <v>2029</v>
      </c>
      <c r="J78" s="6">
        <v>2030</v>
      </c>
      <c r="K78" s="6">
        <v>2031</v>
      </c>
      <c r="L78" s="6">
        <v>2032</v>
      </c>
      <c r="M78" s="6">
        <v>2033</v>
      </c>
      <c r="N78" s="6">
        <v>2034</v>
      </c>
      <c r="O78" s="6">
        <v>2035</v>
      </c>
      <c r="P78" s="6">
        <v>2036</v>
      </c>
      <c r="Q78" s="6">
        <v>2037</v>
      </c>
      <c r="R78" s="6">
        <v>2038</v>
      </c>
      <c r="S78" s="6">
        <v>2039</v>
      </c>
      <c r="T78" s="6">
        <v>2040</v>
      </c>
      <c r="U78" s="6">
        <v>2041</v>
      </c>
      <c r="V78" s="6">
        <v>2042</v>
      </c>
      <c r="W78" s="6">
        <v>2043</v>
      </c>
      <c r="X78" s="6">
        <v>2044</v>
      </c>
      <c r="Y78" s="6">
        <v>2045</v>
      </c>
      <c r="Z78" s="6">
        <v>2046</v>
      </c>
      <c r="AA78" s="6">
        <v>2047</v>
      </c>
      <c r="AB78" s="6">
        <v>2048</v>
      </c>
      <c r="AC78" s="6">
        <v>2049</v>
      </c>
      <c r="AD78" s="6">
        <v>2050</v>
      </c>
      <c r="AE78" s="6">
        <v>2051</v>
      </c>
      <c r="AF78" s="6">
        <v>2052</v>
      </c>
      <c r="AG78" s="6">
        <v>2053</v>
      </c>
      <c r="AH78" s="6">
        <v>2054</v>
      </c>
      <c r="AI78" s="6">
        <v>2055</v>
      </c>
      <c r="AJ78" s="6">
        <v>2056</v>
      </c>
      <c r="AK78" s="6">
        <v>2057</v>
      </c>
      <c r="AL78" s="6">
        <v>2058</v>
      </c>
      <c r="AM78" s="6">
        <v>2059</v>
      </c>
      <c r="AN78" s="6">
        <v>2060</v>
      </c>
    </row>
    <row r="79" spans="1:40" x14ac:dyDescent="0.2">
      <c r="A79" s="6" t="s">
        <v>105</v>
      </c>
      <c r="B79" s="35">
        <f>Residential!B79*Residential!$B$77</f>
        <v>7331207.1582458382</v>
      </c>
      <c r="C79" s="35">
        <f>Residential!C79*Residential!$B$77</f>
        <v>6884227.8584261779</v>
      </c>
      <c r="D79" s="35">
        <f>Residential!D79*Residential!$B$77</f>
        <v>7356237.3997414345</v>
      </c>
      <c r="E79" s="35">
        <f>Residential!E79*Residential!$B$77</f>
        <v>7815915.8908368554</v>
      </c>
      <c r="F79" s="35">
        <f>Residential!F79*Residential!$B$77</f>
        <v>8306505.7898180112</v>
      </c>
      <c r="G79" s="35">
        <f>Residential!G79*Residential!$B$77</f>
        <v>8782912.9618613757</v>
      </c>
      <c r="H79" s="35">
        <f>Residential!H79*Residential!$B$77</f>
        <v>9242290.5295178238</v>
      </c>
      <c r="I79" s="35">
        <f>Residential!I79*Residential!$B$77</f>
        <v>9682369.453104848</v>
      </c>
      <c r="J79" s="35">
        <f>Residential!J79*Residential!$B$77</f>
        <v>10101503.083878012</v>
      </c>
      <c r="K79" s="35">
        <f>Residential!K79*Residential!$B$77</f>
        <v>13334001.033340167</v>
      </c>
      <c r="L79" s="35">
        <f>Residential!L79*Residential!$B$77</f>
        <v>13810668.47441845</v>
      </c>
      <c r="M79" s="35">
        <f>Residential!M79*Residential!$B$77</f>
        <v>14237777.95739417</v>
      </c>
      <c r="N79" s="35">
        <f>Residential!N79*Residential!$B$77</f>
        <v>14619573.454480877</v>
      </c>
      <c r="O79" s="35">
        <f>Residential!O79*Residential!$B$77</f>
        <v>14960729.466919135</v>
      </c>
      <c r="P79" s="35">
        <f>Residential!P79*Residential!$B$77</f>
        <v>16131074.168108547</v>
      </c>
      <c r="Q79" s="35">
        <f>Residential!Q79*Residential!$B$77</f>
        <v>16479221.648961876</v>
      </c>
      <c r="R79" s="35">
        <f>Residential!R79*Residential!$B$77</f>
        <v>16793100.656451892</v>
      </c>
      <c r="S79" s="35">
        <f>Residential!S79*Residential!$B$77</f>
        <v>17076591.241525017</v>
      </c>
      <c r="T79" s="35">
        <f>Residential!T79*Residential!$B$77</f>
        <v>17333390.969513737</v>
      </c>
      <c r="U79" s="35">
        <f>Residential!U79*Residential!$B$77</f>
        <v>18532619.970761415</v>
      </c>
      <c r="V79" s="35">
        <f>Residential!V79*Residential!$B$77</f>
        <v>18812038.158973619</v>
      </c>
      <c r="W79" s="35">
        <f>Residential!W79*Residential!$B$77</f>
        <v>19066900.495127242</v>
      </c>
      <c r="X79" s="35">
        <f>Residential!X79*Residential!$B$77</f>
        <v>19299869.145900127</v>
      </c>
      <c r="Y79" s="35">
        <f>Residential!Y79*Residential!$B$77</f>
        <v>19513429.953964714</v>
      </c>
      <c r="Z79" s="35">
        <f>Residential!Z79*Residential!$B$77</f>
        <v>19686130.856587227</v>
      </c>
      <c r="AA79" s="35">
        <f>Residential!AA79*Residential!$B$77</f>
        <v>19843554.55544677</v>
      </c>
      <c r="AB79" s="35">
        <f>Residential!AB79*Residential!$B$77</f>
        <v>19987628.321707424</v>
      </c>
      <c r="AC79" s="35">
        <f>Residential!AC79*Residential!$B$77</f>
        <v>20120072.101539642</v>
      </c>
      <c r="AD79" s="35">
        <f>Residential!AD79*Residential!$B$77</f>
        <v>20242410.88974233</v>
      </c>
      <c r="AE79" s="35">
        <f>Residential!AE79*Residential!$B$77</f>
        <v>20538374.388029203</v>
      </c>
      <c r="AF79" s="35">
        <f>Residential!AF79*Residential!$B$77</f>
        <v>20592193.608253516</v>
      </c>
      <c r="AG79" s="35">
        <f>Residential!AG79*Residential!$B$77</f>
        <v>20638517.091530796</v>
      </c>
      <c r="AH79" s="35">
        <f>Residential!AH79*Residential!$B$77</f>
        <v>20678361.384385258</v>
      </c>
      <c r="AI79" s="35">
        <f>Residential!AI79*Residential!$B$77</f>
        <v>20712612.438032981</v>
      </c>
      <c r="AJ79" s="35">
        <f>Residential!AJ79*Residential!$B$77</f>
        <v>20742040.436592475</v>
      </c>
      <c r="AK79" s="35">
        <f>Residential!AK79*Residential!$B$77</f>
        <v>20767313.483802151</v>
      </c>
      <c r="AL79" s="35">
        <f>Residential!AL79*Residential!$B$77</f>
        <v>20789010.069220763</v>
      </c>
      <c r="AM79" s="35">
        <f>Residential!AM79*Residential!$B$77</f>
        <v>20807630.303804599</v>
      </c>
      <c r="AN79" s="35">
        <f>Residential!AN79*Residential!$B$77</f>
        <v>20823605.960965458</v>
      </c>
    </row>
    <row r="81" spans="1:40" x14ac:dyDescent="0.2">
      <c r="A81" s="5" t="s">
        <v>106</v>
      </c>
    </row>
    <row r="82" spans="1:40" x14ac:dyDescent="0.2">
      <c r="A82" s="5" t="s">
        <v>4</v>
      </c>
    </row>
    <row r="83" spans="1:40" x14ac:dyDescent="0.2">
      <c r="A83" s="5" t="s">
        <v>107</v>
      </c>
    </row>
    <row r="84" spans="1:40" x14ac:dyDescent="0.2">
      <c r="A84" s="5" t="s">
        <v>6</v>
      </c>
    </row>
    <row r="85" spans="1:40" x14ac:dyDescent="0.2">
      <c r="A85" s="5"/>
    </row>
    <row r="86" spans="1:40" x14ac:dyDescent="0.2">
      <c r="A86" s="6" t="s">
        <v>7</v>
      </c>
      <c r="B86" s="6">
        <v>2022</v>
      </c>
      <c r="C86" s="6">
        <v>2023</v>
      </c>
      <c r="D86" s="6">
        <v>2024</v>
      </c>
      <c r="E86" s="6">
        <v>2025</v>
      </c>
      <c r="F86" s="6">
        <v>2026</v>
      </c>
      <c r="G86" s="6">
        <v>2027</v>
      </c>
      <c r="H86" s="6">
        <v>2028</v>
      </c>
      <c r="I86" s="6">
        <v>2029</v>
      </c>
      <c r="J86" s="6">
        <v>2030</v>
      </c>
      <c r="K86" s="6">
        <v>2031</v>
      </c>
      <c r="L86" s="6">
        <v>2032</v>
      </c>
      <c r="M86" s="6">
        <v>2033</v>
      </c>
      <c r="N86" s="6">
        <v>2034</v>
      </c>
      <c r="O86" s="6">
        <v>2035</v>
      </c>
      <c r="P86" s="6">
        <v>2036</v>
      </c>
      <c r="Q86" s="6">
        <v>2037</v>
      </c>
      <c r="R86" s="6">
        <v>2038</v>
      </c>
      <c r="S86" s="6">
        <v>2039</v>
      </c>
      <c r="T86" s="6">
        <v>2040</v>
      </c>
      <c r="U86" s="6">
        <v>2041</v>
      </c>
      <c r="V86" s="6">
        <v>2042</v>
      </c>
      <c r="W86" s="6">
        <v>2043</v>
      </c>
      <c r="X86" s="6">
        <v>2044</v>
      </c>
      <c r="Y86" s="6">
        <v>2045</v>
      </c>
      <c r="Z86" s="6">
        <v>2046</v>
      </c>
      <c r="AA86" s="6">
        <v>2047</v>
      </c>
      <c r="AB86" s="6">
        <v>2048</v>
      </c>
      <c r="AC86" s="6">
        <v>2049</v>
      </c>
      <c r="AD86" s="6">
        <v>2050</v>
      </c>
      <c r="AE86" s="6">
        <v>2051</v>
      </c>
      <c r="AF86" s="6">
        <v>2052</v>
      </c>
      <c r="AG86" s="6">
        <v>2053</v>
      </c>
      <c r="AH86" s="6">
        <v>2054</v>
      </c>
      <c r="AI86" s="6">
        <v>2055</v>
      </c>
      <c r="AJ86" s="6">
        <v>2056</v>
      </c>
      <c r="AK86" s="6">
        <v>2057</v>
      </c>
      <c r="AL86" s="6">
        <v>2058</v>
      </c>
      <c r="AM86" s="6">
        <v>2059</v>
      </c>
      <c r="AN86" s="6">
        <v>2060</v>
      </c>
    </row>
    <row r="87" spans="1:40" x14ac:dyDescent="0.2">
      <c r="A87" s="6" t="s">
        <v>108</v>
      </c>
      <c r="B87" s="35">
        <f>Residential!B87*Residential!$B$85</f>
        <v>29607405.25726353</v>
      </c>
      <c r="C87" s="35">
        <f>Residential!C87*Residential!$B$85</f>
        <v>29719025.798297409</v>
      </c>
      <c r="D87" s="35">
        <f>Residential!D87*Residential!$B$85</f>
        <v>30845226.45959134</v>
      </c>
      <c r="E87" s="35">
        <f>Residential!E87*Residential!$B$85</f>
        <v>31935879.697357856</v>
      </c>
      <c r="F87" s="35">
        <f>Residential!F87*Residential!$B$85</f>
        <v>33177925.115532901</v>
      </c>
      <c r="G87" s="35">
        <f>Residential!G87*Residential!$B$85</f>
        <v>34395437.205821738</v>
      </c>
      <c r="H87" s="35">
        <f>Residential!H87*Residential!$B$85</f>
        <v>35587199.667257808</v>
      </c>
      <c r="I87" s="35">
        <f>Residential!I87*Residential!$B$85</f>
        <v>36751851.278717965</v>
      </c>
      <c r="J87" s="35">
        <f>Residential!J87*Residential!$B$85</f>
        <v>37888082.425411589</v>
      </c>
      <c r="K87" s="35">
        <f>Residential!K87*Residential!$B$85</f>
        <v>49879555.059821382</v>
      </c>
      <c r="L87" s="35">
        <f>Residential!L87*Residential!$B$85</f>
        <v>51322224.973912366</v>
      </c>
      <c r="M87" s="35">
        <f>Residential!M87*Residential!$B$85</f>
        <v>52642404.305051401</v>
      </c>
      <c r="N87" s="35">
        <f>Residential!N87*Residential!$B$85</f>
        <v>53849635.849935248</v>
      </c>
      <c r="O87" s="35">
        <f>Residential!O87*Residential!$B$85</f>
        <v>54954054.703076109</v>
      </c>
      <c r="P87" s="35">
        <f>Residential!P87*Residential!$B$85</f>
        <v>59870865.973871976</v>
      </c>
      <c r="Q87" s="35">
        <f>Residential!Q87*Residential!$B$85</f>
        <v>61232086.5543731</v>
      </c>
      <c r="R87" s="35">
        <f>Residential!R87*Residential!$B$85</f>
        <v>62500519.612656944</v>
      </c>
      <c r="S87" s="35">
        <f>Residential!S87*Residential!$B$85</f>
        <v>63681967.658536717</v>
      </c>
      <c r="T87" s="35">
        <f>Residential!T87*Residential!$B$85</f>
        <v>64782573.562508814</v>
      </c>
      <c r="U87" s="35">
        <f>Residential!U87*Residential!$B$85</f>
        <v>72755063.783976927</v>
      </c>
      <c r="V87" s="35">
        <f>Residential!V87*Residential!$B$85</f>
        <v>74706370.103032529</v>
      </c>
      <c r="W87" s="35">
        <f>Residential!W87*Residential!$B$85</f>
        <v>76597546.321387231</v>
      </c>
      <c r="X87" s="35">
        <f>Residential!X87*Residential!$B$85</f>
        <v>78426707.327040344</v>
      </c>
      <c r="Y87" s="35">
        <f>Residential!Y87*Residential!$B$85</f>
        <v>80192607.276332229</v>
      </c>
      <c r="Z87" s="35">
        <f>Residential!Z87*Residential!$B$85</f>
        <v>81795952.713148788</v>
      </c>
      <c r="AA87" s="35">
        <f>Residential!AA87*Residential!$B$85</f>
        <v>83332157.586880028</v>
      </c>
      <c r="AB87" s="35">
        <f>Residential!AB87*Residential!$B$85</f>
        <v>84801868.745991096</v>
      </c>
      <c r="AC87" s="35">
        <f>Residential!AC87*Residential!$B$85</f>
        <v>86206155.857822821</v>
      </c>
      <c r="AD87" s="35">
        <f>Residential!AD87*Residential!$B$85</f>
        <v>87546451.683071777</v>
      </c>
      <c r="AE87" s="35">
        <f>Residential!AE87*Residential!$B$85</f>
        <v>98977513.160378024</v>
      </c>
      <c r="AF87" s="35">
        <f>Residential!AF87*Residential!$B$85</f>
        <v>100606140.98105773</v>
      </c>
      <c r="AG87" s="35">
        <f>Residential!AG87*Residential!$B$85</f>
        <v>102159998.86751124</v>
      </c>
      <c r="AH87" s="35">
        <f>Residential!AH87*Residential!$B$85</f>
        <v>103639644.8963012</v>
      </c>
      <c r="AI87" s="35">
        <f>Residential!AI87*Residential!$B$85</f>
        <v>105046021.64383647</v>
      </c>
      <c r="AJ87" s="35">
        <f>Residential!AJ87*Residential!$B$85</f>
        <v>106380410.91558908</v>
      </c>
      <c r="AK87" s="35">
        <f>Residential!AK87*Residential!$B$85</f>
        <v>107644388.7175781</v>
      </c>
      <c r="AL87" s="35">
        <f>Residential!AL87*Residential!$B$85</f>
        <v>108839781.31906474</v>
      </c>
      <c r="AM87" s="35">
        <f>Residential!AM87*Residential!$B$85</f>
        <v>109968623.10043512</v>
      </c>
      <c r="AN87" s="35">
        <f>Residential!AN87*Residential!$B$85</f>
        <v>111033116.72919644</v>
      </c>
    </row>
    <row r="89" spans="1:40" x14ac:dyDescent="0.2">
      <c r="A89" s="5" t="s">
        <v>109</v>
      </c>
    </row>
    <row r="90" spans="1:40" x14ac:dyDescent="0.2">
      <c r="A90" s="5" t="s">
        <v>4</v>
      </c>
    </row>
    <row r="91" spans="1:40" x14ac:dyDescent="0.2">
      <c r="A91" s="5" t="s">
        <v>110</v>
      </c>
    </row>
    <row r="92" spans="1:40" x14ac:dyDescent="0.2">
      <c r="A92" s="5" t="s">
        <v>6</v>
      </c>
    </row>
    <row r="93" spans="1:40" x14ac:dyDescent="0.2">
      <c r="A93" s="5"/>
    </row>
    <row r="94" spans="1:40" x14ac:dyDescent="0.2">
      <c r="A94" s="6" t="s">
        <v>7</v>
      </c>
      <c r="B94" s="6">
        <v>2022</v>
      </c>
      <c r="C94" s="6">
        <v>2023</v>
      </c>
      <c r="D94" s="6">
        <v>2024</v>
      </c>
      <c r="E94" s="6">
        <v>2025</v>
      </c>
      <c r="F94" s="6">
        <v>2026</v>
      </c>
      <c r="G94" s="6">
        <v>2027</v>
      </c>
      <c r="H94" s="6">
        <v>2028</v>
      </c>
      <c r="I94" s="6">
        <v>2029</v>
      </c>
      <c r="J94" s="6">
        <v>2030</v>
      </c>
      <c r="K94" s="6">
        <v>2031</v>
      </c>
      <c r="L94" s="6">
        <v>2032</v>
      </c>
      <c r="M94" s="6">
        <v>2033</v>
      </c>
      <c r="N94" s="6">
        <v>2034</v>
      </c>
      <c r="O94" s="6">
        <v>2035</v>
      </c>
      <c r="P94" s="6">
        <v>2036</v>
      </c>
      <c r="Q94" s="6">
        <v>2037</v>
      </c>
      <c r="R94" s="6">
        <v>2038</v>
      </c>
      <c r="S94" s="6">
        <v>2039</v>
      </c>
      <c r="T94" s="6">
        <v>2040</v>
      </c>
      <c r="U94" s="6">
        <v>2041</v>
      </c>
      <c r="V94" s="6">
        <v>2042</v>
      </c>
      <c r="W94" s="6">
        <v>2043</v>
      </c>
      <c r="X94" s="6">
        <v>2044</v>
      </c>
      <c r="Y94" s="6">
        <v>2045</v>
      </c>
      <c r="Z94" s="6">
        <v>2046</v>
      </c>
      <c r="AA94" s="6">
        <v>2047</v>
      </c>
      <c r="AB94" s="6">
        <v>2048</v>
      </c>
      <c r="AC94" s="6">
        <v>2049</v>
      </c>
      <c r="AD94" s="6">
        <v>2050</v>
      </c>
      <c r="AE94" s="6">
        <v>2051</v>
      </c>
      <c r="AF94" s="6">
        <v>2052</v>
      </c>
      <c r="AG94" s="6">
        <v>2053</v>
      </c>
      <c r="AH94" s="6">
        <v>2054</v>
      </c>
      <c r="AI94" s="6">
        <v>2055</v>
      </c>
      <c r="AJ94" s="6">
        <v>2056</v>
      </c>
      <c r="AK94" s="6">
        <v>2057</v>
      </c>
      <c r="AL94" s="6">
        <v>2058</v>
      </c>
      <c r="AM94" s="6">
        <v>2059</v>
      </c>
      <c r="AN94" s="6">
        <v>2060</v>
      </c>
    </row>
    <row r="95" spans="1:40" x14ac:dyDescent="0.2">
      <c r="A95" s="6" t="s">
        <v>111</v>
      </c>
      <c r="B95" s="35">
        <f>Residential!B95*Residential!$B$93</f>
        <v>68054235.129065856</v>
      </c>
      <c r="C95" s="35">
        <f>Residential!C95*Residential!$B$93</f>
        <v>65768687.935281746</v>
      </c>
      <c r="D95" s="35">
        <f>Residential!D95*Residential!$B$93</f>
        <v>67247554.958366215</v>
      </c>
      <c r="E95" s="35">
        <f>Residential!E95*Residential!$B$93</f>
        <v>68623095.741586611</v>
      </c>
      <c r="F95" s="35">
        <f>Residential!F95*Residential!$B$93</f>
        <v>70301126.057547569</v>
      </c>
      <c r="G95" s="35">
        <f>Residential!G95*Residential!$B$93</f>
        <v>71906819.610304624</v>
      </c>
      <c r="H95" s="35">
        <f>Residential!H95*Residential!$B$93</f>
        <v>73445601.972130731</v>
      </c>
      <c r="I95" s="35">
        <f>Residential!I95*Residential!$B$93</f>
        <v>74921921.674937263</v>
      </c>
      <c r="J95" s="35">
        <f>Residential!J95*Residential!$B$93</f>
        <v>76339647.010045096</v>
      </c>
      <c r="K95" s="35">
        <f>Residential!K95*Residential!$B$93</f>
        <v>84565465.363026515</v>
      </c>
      <c r="L95" s="35">
        <f>Residential!L95*Residential!$B$93</f>
        <v>85921307.971219465</v>
      </c>
      <c r="M95" s="35">
        <f>Residential!M95*Residential!$B$93</f>
        <v>87183422.359190911</v>
      </c>
      <c r="N95" s="35">
        <f>Residential!N95*Residential!$B$93</f>
        <v>88362397.810397312</v>
      </c>
      <c r="O95" s="35">
        <f>Residential!O95*Residential!$B$93</f>
        <v>89467937.184872165</v>
      </c>
      <c r="P95" s="35">
        <f>Residential!P95*Residential!$B$93</f>
        <v>92903018.865852833</v>
      </c>
      <c r="Q95" s="35">
        <f>Residential!Q95*Residential!$B$93</f>
        <v>94014636.884785652</v>
      </c>
      <c r="R95" s="35">
        <f>Residential!R95*Residential!$B$93</f>
        <v>95065064.080835417</v>
      </c>
      <c r="S95" s="35">
        <f>Residential!S95*Residential!$B$93</f>
        <v>96060333.841013491</v>
      </c>
      <c r="T95" s="35">
        <f>Residential!T95*Residential!$B$93</f>
        <v>97006027.468834072</v>
      </c>
      <c r="U95" s="35">
        <f>Residential!U95*Residential!$B$93</f>
        <v>100019930.39413923</v>
      </c>
      <c r="V95" s="35">
        <f>Residential!V95*Residential!$B$93</f>
        <v>100938262.1243979</v>
      </c>
      <c r="W95" s="35">
        <f>Residential!W95*Residential!$B$93</f>
        <v>101812128.18356557</v>
      </c>
      <c r="X95" s="35">
        <f>Residential!X95*Residential!$B$93</f>
        <v>102645283.95317754</v>
      </c>
      <c r="Y95" s="35">
        <f>Residential!Y95*Residential!$B$93</f>
        <v>103441241.99519546</v>
      </c>
      <c r="Z95" s="35">
        <f>Residential!Z95*Residential!$B$93</f>
        <v>104077759.75554676</v>
      </c>
      <c r="AA95" s="35">
        <f>Residential!AA95*Residential!$B$93</f>
        <v>104682658.63627857</v>
      </c>
      <c r="AB95" s="35">
        <f>Residential!AB95*Residential!$B$93</f>
        <v>105258850.59071186</v>
      </c>
      <c r="AC95" s="35">
        <f>Residential!AC95*Residential!$B$93</f>
        <v>105809012.50394078</v>
      </c>
      <c r="AD95" s="35">
        <f>Residential!AD95*Residential!$B$93</f>
        <v>106335598.54990493</v>
      </c>
      <c r="AE95" s="35">
        <f>Residential!AE95*Residential!$B$93</f>
        <v>108225183.87932143</v>
      </c>
      <c r="AF95" s="35">
        <f>Residential!AF95*Residential!$B$93</f>
        <v>108467508.00807409</v>
      </c>
      <c r="AG95" s="35">
        <f>Residential!AG95*Residential!$B$93</f>
        <v>108687457.08056352</v>
      </c>
      <c r="AH95" s="35">
        <f>Residential!AH95*Residential!$B$93</f>
        <v>108887016.84617934</v>
      </c>
      <c r="AI95" s="35">
        <f>Residential!AI95*Residential!$B$93</f>
        <v>109068011.35043217</v>
      </c>
      <c r="AJ95" s="35">
        <f>Residential!AJ95*Residential!$B$93</f>
        <v>109232113.42697018</v>
      </c>
      <c r="AK95" s="35">
        <f>Residential!AK95*Residential!$B$93</f>
        <v>109380855.03023432</v>
      </c>
      <c r="AL95" s="35">
        <f>Residential!AL95*Residential!$B$93</f>
        <v>109515637.28780738</v>
      </c>
      <c r="AM95" s="35">
        <f>Residential!AM95*Residential!$B$93</f>
        <v>109637740.18330568</v>
      </c>
      <c r="AN95" s="35">
        <f>Residential!AN95*Residential!$B$93</f>
        <v>109748331.80687596</v>
      </c>
    </row>
    <row r="97" spans="1:40" x14ac:dyDescent="0.2">
      <c r="A97" s="5" t="s">
        <v>112</v>
      </c>
    </row>
    <row r="98" spans="1:40" x14ac:dyDescent="0.2">
      <c r="A98" s="5" t="s">
        <v>4</v>
      </c>
    </row>
    <row r="99" spans="1:40" x14ac:dyDescent="0.2">
      <c r="A99" s="5" t="s">
        <v>113</v>
      </c>
    </row>
    <row r="100" spans="1:40" x14ac:dyDescent="0.2">
      <c r="A100" s="5" t="s">
        <v>6</v>
      </c>
    </row>
    <row r="101" spans="1:40" x14ac:dyDescent="0.2">
      <c r="A101" s="5"/>
    </row>
    <row r="102" spans="1:40" x14ac:dyDescent="0.2">
      <c r="A102" s="6" t="s">
        <v>7</v>
      </c>
      <c r="B102" s="6">
        <v>2022</v>
      </c>
      <c r="C102" s="6">
        <v>2023</v>
      </c>
      <c r="D102" s="6">
        <v>2024</v>
      </c>
      <c r="E102" s="6">
        <v>2025</v>
      </c>
      <c r="F102" s="6">
        <v>2026</v>
      </c>
      <c r="G102" s="6">
        <v>2027</v>
      </c>
      <c r="H102" s="6">
        <v>2028</v>
      </c>
      <c r="I102" s="6">
        <v>2029</v>
      </c>
      <c r="J102" s="6">
        <v>2030</v>
      </c>
      <c r="K102" s="6">
        <v>2031</v>
      </c>
      <c r="L102" s="6">
        <v>2032</v>
      </c>
      <c r="M102" s="6">
        <v>2033</v>
      </c>
      <c r="N102" s="6">
        <v>2034</v>
      </c>
      <c r="O102" s="6">
        <v>2035</v>
      </c>
      <c r="P102" s="6">
        <v>2036</v>
      </c>
      <c r="Q102" s="6">
        <v>2037</v>
      </c>
      <c r="R102" s="6">
        <v>2038</v>
      </c>
      <c r="S102" s="6">
        <v>2039</v>
      </c>
      <c r="T102" s="6">
        <v>2040</v>
      </c>
      <c r="U102" s="6">
        <v>2041</v>
      </c>
      <c r="V102" s="6">
        <v>2042</v>
      </c>
      <c r="W102" s="6">
        <v>2043</v>
      </c>
      <c r="X102" s="6">
        <v>2044</v>
      </c>
      <c r="Y102" s="6">
        <v>2045</v>
      </c>
      <c r="Z102" s="6">
        <v>2046</v>
      </c>
      <c r="AA102" s="6">
        <v>2047</v>
      </c>
      <c r="AB102" s="6">
        <v>2048</v>
      </c>
      <c r="AC102" s="6">
        <v>2049</v>
      </c>
      <c r="AD102" s="6">
        <v>2050</v>
      </c>
      <c r="AE102" s="6">
        <v>2051</v>
      </c>
      <c r="AF102" s="6">
        <v>2052</v>
      </c>
      <c r="AG102" s="6">
        <v>2053</v>
      </c>
      <c r="AH102" s="6">
        <v>2054</v>
      </c>
      <c r="AI102" s="6">
        <v>2055</v>
      </c>
      <c r="AJ102" s="6">
        <v>2056</v>
      </c>
      <c r="AK102" s="6">
        <v>2057</v>
      </c>
      <c r="AL102" s="6">
        <v>2058</v>
      </c>
      <c r="AM102" s="6">
        <v>2059</v>
      </c>
      <c r="AN102" s="6">
        <v>2060</v>
      </c>
    </row>
    <row r="103" spans="1:40" x14ac:dyDescent="0.2">
      <c r="A103" s="6" t="s">
        <v>114</v>
      </c>
      <c r="B103" s="35">
        <f>Residential!B103*Residential!$B$101</f>
        <v>25868719.504587531</v>
      </c>
      <c r="C103" s="35">
        <f>Residential!C103*Residential!$B$101</f>
        <v>50403135.456290901</v>
      </c>
      <c r="D103" s="35">
        <f>Residential!D103*Residential!$B$101</f>
        <v>61774310.998013064</v>
      </c>
      <c r="E103" s="35">
        <f>Residential!E103*Residential!$B$101</f>
        <v>66290015.684125267</v>
      </c>
      <c r="F103" s="35">
        <f>Residential!F103*Residential!$B$101</f>
        <v>68944294.564853162</v>
      </c>
      <c r="G103" s="35">
        <f>Residential!G103*Residential!$B$101</f>
        <v>70404250.970154598</v>
      </c>
      <c r="H103" s="35">
        <f>Residential!H103*Residential!$B$101</f>
        <v>71018114.970968619</v>
      </c>
      <c r="I103" s="35">
        <f>Residential!I103*Residential!$B$101</f>
        <v>71627173.201229721</v>
      </c>
      <c r="J103" s="35">
        <f>Residential!J103*Residential!$B$101</f>
        <v>72233066.59482941</v>
      </c>
      <c r="K103" s="35">
        <f>Residential!K103*Residential!$B$101</f>
        <v>72738153.886284456</v>
      </c>
      <c r="L103" s="35">
        <f>Residential!L103*Residential!$B$101</f>
        <v>73241829.179319501</v>
      </c>
      <c r="M103" s="35">
        <f>Residential!M103*Residential!$B$101</f>
        <v>73744496.544115946</v>
      </c>
      <c r="N103" s="35">
        <f>Residential!N103*Residential!$B$101</f>
        <v>74246408.1696233</v>
      </c>
      <c r="O103" s="35">
        <f>Residential!O103*Residential!$B$101</f>
        <v>74747721.433180124</v>
      </c>
      <c r="P103" s="35">
        <f>Residential!P103*Residential!$B$101</f>
        <v>75171563.28801237</v>
      </c>
      <c r="Q103" s="35">
        <f>Residential!Q103*Residential!$B$101</f>
        <v>75595303.181757286</v>
      </c>
      <c r="R103" s="35">
        <f>Residential!R103*Residential!$B$101</f>
        <v>76018979.541244656</v>
      </c>
      <c r="S103" s="35">
        <f>Residential!S103*Residential!$B$101</f>
        <v>76442616.312550902</v>
      </c>
      <c r="T103" s="35">
        <f>Residential!T103*Residential!$B$101</f>
        <v>76866228.417330533</v>
      </c>
      <c r="U103" s="35">
        <f>Residential!U103*Residential!$B$101</f>
        <v>77190882.805298761</v>
      </c>
      <c r="V103" s="35">
        <f>Residential!V103*Residential!$B$101</f>
        <v>77515527.577156559</v>
      </c>
      <c r="W103" s="35">
        <f>Residential!W103*Residential!$B$101</f>
        <v>77840166.365934044</v>
      </c>
      <c r="X103" s="35">
        <f>Residential!X103*Residential!$B$101</f>
        <v>78164801.432147413</v>
      </c>
      <c r="Y103" s="35">
        <f>Residential!Y103*Residential!$B$101</f>
        <v>78489434.182291165</v>
      </c>
      <c r="Z103" s="35">
        <f>Residential!Z103*Residential!$B$101</f>
        <v>78719133.830968976</v>
      </c>
      <c r="AA103" s="35">
        <f>Residential!AA103*Residential!$B$101</f>
        <v>78948832.57957387</v>
      </c>
      <c r="AB103" s="35">
        <f>Residential!AB103*Residential!$B$101</f>
        <v>79178530.768900037</v>
      </c>
      <c r="AC103" s="35">
        <f>Residential!AC103*Residential!$B$101</f>
        <v>79408228.610710025</v>
      </c>
      <c r="AD103" s="35">
        <f>Residential!AD103*Residential!$B$101</f>
        <v>79637926.236587435</v>
      </c>
      <c r="AE103" s="35">
        <f>Residential!AE103*Residential!$B$101</f>
        <v>79637926.457786173</v>
      </c>
      <c r="AF103" s="35">
        <f>Residential!AF103*Residential!$B$101</f>
        <v>79637926.594827592</v>
      </c>
      <c r="AG103" s="35">
        <f>Residential!AG103*Residential!$B$101</f>
        <v>79637926.679730222</v>
      </c>
      <c r="AH103" s="35">
        <f>Residential!AH103*Residential!$B$101</f>
        <v>79637926.732330784</v>
      </c>
      <c r="AI103" s="35">
        <f>Residential!AI103*Residential!$B$101</f>
        <v>79637926.764918938</v>
      </c>
      <c r="AJ103" s="35">
        <f>Residential!AJ103*Residential!$B$101</f>
        <v>79637926.785108581</v>
      </c>
      <c r="AK103" s="35">
        <f>Residential!AK103*Residential!$B$101</f>
        <v>79637926.797616869</v>
      </c>
      <c r="AL103" s="35">
        <f>Residential!AL103*Residential!$B$101</f>
        <v>79637926.805366278</v>
      </c>
      <c r="AM103" s="35">
        <f>Residential!AM103*Residential!$B$101</f>
        <v>79637926.810167328</v>
      </c>
      <c r="AN103" s="35">
        <f>Residential!AN103*Residential!$B$101</f>
        <v>79637926.813141763</v>
      </c>
    </row>
    <row r="105" spans="1:40" x14ac:dyDescent="0.2">
      <c r="A105" s="5" t="s">
        <v>115</v>
      </c>
    </row>
    <row r="106" spans="1:40" x14ac:dyDescent="0.2">
      <c r="A106" s="5" t="s">
        <v>4</v>
      </c>
    </row>
    <row r="107" spans="1:40" x14ac:dyDescent="0.2">
      <c r="A107" s="5" t="s">
        <v>116</v>
      </c>
    </row>
    <row r="108" spans="1:40" x14ac:dyDescent="0.2">
      <c r="A108" s="5" t="s">
        <v>6</v>
      </c>
    </row>
    <row r="109" spans="1:40" x14ac:dyDescent="0.2">
      <c r="A109" s="5"/>
    </row>
    <row r="110" spans="1:40" x14ac:dyDescent="0.2">
      <c r="A110" s="6" t="s">
        <v>7</v>
      </c>
      <c r="B110" s="6">
        <v>2022</v>
      </c>
      <c r="C110" s="6">
        <v>2023</v>
      </c>
      <c r="D110" s="6">
        <v>2024</v>
      </c>
      <c r="E110" s="6">
        <v>2025</v>
      </c>
      <c r="F110" s="6">
        <v>2026</v>
      </c>
      <c r="G110" s="6">
        <v>2027</v>
      </c>
      <c r="H110" s="6">
        <v>2028</v>
      </c>
      <c r="I110" s="6">
        <v>2029</v>
      </c>
      <c r="J110" s="6">
        <v>2030</v>
      </c>
      <c r="K110" s="6">
        <v>2031</v>
      </c>
      <c r="L110" s="6">
        <v>2032</v>
      </c>
      <c r="M110" s="6">
        <v>2033</v>
      </c>
      <c r="N110" s="6">
        <v>2034</v>
      </c>
      <c r="O110" s="6">
        <v>2035</v>
      </c>
      <c r="P110" s="6">
        <v>2036</v>
      </c>
      <c r="Q110" s="6">
        <v>2037</v>
      </c>
      <c r="R110" s="6">
        <v>2038</v>
      </c>
      <c r="S110" s="6">
        <v>2039</v>
      </c>
      <c r="T110" s="6">
        <v>2040</v>
      </c>
      <c r="U110" s="6">
        <v>2041</v>
      </c>
      <c r="V110" s="6">
        <v>2042</v>
      </c>
      <c r="W110" s="6">
        <v>2043</v>
      </c>
      <c r="X110" s="6">
        <v>2044</v>
      </c>
      <c r="Y110" s="6">
        <v>2045</v>
      </c>
      <c r="Z110" s="6">
        <v>2046</v>
      </c>
      <c r="AA110" s="6">
        <v>2047</v>
      </c>
      <c r="AB110" s="6">
        <v>2048</v>
      </c>
      <c r="AC110" s="6">
        <v>2049</v>
      </c>
      <c r="AD110" s="6">
        <v>2050</v>
      </c>
      <c r="AE110" s="6">
        <v>2051</v>
      </c>
      <c r="AF110" s="6">
        <v>2052</v>
      </c>
      <c r="AG110" s="6">
        <v>2053</v>
      </c>
      <c r="AH110" s="6">
        <v>2054</v>
      </c>
      <c r="AI110" s="6">
        <v>2055</v>
      </c>
      <c r="AJ110" s="6">
        <v>2056</v>
      </c>
      <c r="AK110" s="6">
        <v>2057</v>
      </c>
      <c r="AL110" s="6">
        <v>2058</v>
      </c>
      <c r="AM110" s="6">
        <v>2059</v>
      </c>
      <c r="AN110" s="6">
        <v>2060</v>
      </c>
    </row>
    <row r="111" spans="1:40" x14ac:dyDescent="0.2">
      <c r="A111" s="6" t="s">
        <v>117</v>
      </c>
      <c r="B111" s="35">
        <f>Residential!B111*Residential!$B$109</f>
        <v>18487696.109852504</v>
      </c>
      <c r="C111" s="35">
        <f>Residential!C111*Residential!$B$109</f>
        <v>21617304.74043709</v>
      </c>
      <c r="D111" s="35">
        <f>Residential!D111*Residential!$B$109</f>
        <v>24759780.222418837</v>
      </c>
      <c r="E111" s="35">
        <f>Residential!E111*Residential!$B$109</f>
        <v>27915982.105704773</v>
      </c>
      <c r="F111" s="35">
        <f>Residential!F111*Residential!$B$109</f>
        <v>29234561.641407285</v>
      </c>
      <c r="G111" s="35">
        <f>Residential!G111*Residential!$B$109</f>
        <v>29494842.756102581</v>
      </c>
      <c r="H111" s="35">
        <f>Residential!H111*Residential!$B$109</f>
        <v>29752012.201528776</v>
      </c>
      <c r="I111" s="35">
        <f>Residential!I111*Residential!$B$109</f>
        <v>30007168.338882986</v>
      </c>
      <c r="J111" s="35">
        <f>Residential!J111*Residential!$B$109</f>
        <v>30260998.613687854</v>
      </c>
      <c r="K111" s="35">
        <f>Residential!K111*Residential!$B$109</f>
        <v>30472597.629859287</v>
      </c>
      <c r="L111" s="35">
        <f>Residential!L111*Residential!$B$109</f>
        <v>30683605.109713029</v>
      </c>
      <c r="M111" s="35">
        <f>Residential!M111*Residential!$B$109</f>
        <v>30894190.33260788</v>
      </c>
      <c r="N111" s="35">
        <f>Residential!N111*Residential!$B$109</f>
        <v>31104458.949457098</v>
      </c>
      <c r="O111" s="35">
        <f>Residential!O111*Residential!$B$109</f>
        <v>31314476.89122067</v>
      </c>
      <c r="P111" s="35">
        <f>Residential!P111*Residential!$B$109</f>
        <v>31492039.306692302</v>
      </c>
      <c r="Q111" s="35">
        <f>Residential!Q111*Residential!$B$109</f>
        <v>31669559.007040955</v>
      </c>
      <c r="R111" s="35">
        <f>Residential!R111*Residential!$B$109</f>
        <v>31847052.090631261</v>
      </c>
      <c r="S111" s="35">
        <f>Residential!S111*Residential!$B$109</f>
        <v>32024528.589325607</v>
      </c>
      <c r="T111" s="35">
        <f>Residential!T111*Residential!$B$109</f>
        <v>32201994.754335336</v>
      </c>
      <c r="U111" s="35">
        <f>Residential!U111*Residential!$B$109</f>
        <v>32338004.015015654</v>
      </c>
      <c r="V111" s="35">
        <f>Residential!V111*Residential!$B$109</f>
        <v>32474009.247165568</v>
      </c>
      <c r="W111" s="35">
        <f>Residential!W111*Residential!$B$109</f>
        <v>32610011.972790502</v>
      </c>
      <c r="X111" s="35">
        <f>Residential!X111*Residential!$B$109</f>
        <v>32746013.138901047</v>
      </c>
      <c r="Y111" s="35">
        <f>Residential!Y111*Residential!$B$109</f>
        <v>32882013.334727723</v>
      </c>
      <c r="Z111" s="35">
        <f>Residential!Z111*Residential!$B$109</f>
        <v>32978242.680619866</v>
      </c>
      <c r="AA111" s="35">
        <f>Residential!AA111*Residential!$B$109</f>
        <v>33074471.649439458</v>
      </c>
      <c r="AB111" s="35">
        <f>Residential!AB111*Residential!$B$109</f>
        <v>33170700.383957345</v>
      </c>
      <c r="AC111" s="35">
        <f>Residential!AC111*Residential!$B$109</f>
        <v>33266928.972888328</v>
      </c>
      <c r="AD111" s="35">
        <f>Residential!AD111*Residential!$B$109</f>
        <v>33363157.471357502</v>
      </c>
      <c r="AE111" s="35">
        <f>Residential!AE111*Residential!$B$109</f>
        <v>33363157.564025514</v>
      </c>
      <c r="AF111" s="35">
        <f>Residential!AF111*Residential!$B$109</f>
        <v>33363157.621437039</v>
      </c>
      <c r="AG111" s="35">
        <f>Residential!AG111*Residential!$B$109</f>
        <v>33363157.657005757</v>
      </c>
      <c r="AH111" s="35">
        <f>Residential!AH111*Residential!$B$109</f>
        <v>33363157.679042011</v>
      </c>
      <c r="AI111" s="35">
        <f>Residential!AI111*Residential!$B$109</f>
        <v>33363157.692694336</v>
      </c>
      <c r="AJ111" s="35">
        <f>Residential!AJ111*Residential!$B$109</f>
        <v>33363157.701152503</v>
      </c>
      <c r="AK111" s="35">
        <f>Residential!AK111*Residential!$B$109</f>
        <v>33363157.706392676</v>
      </c>
      <c r="AL111" s="35">
        <f>Residential!AL111*Residential!$B$109</f>
        <v>33363157.709639177</v>
      </c>
      <c r="AM111" s="35">
        <f>Residential!AM111*Residential!$B$109</f>
        <v>33363157.711650509</v>
      </c>
      <c r="AN111" s="35">
        <f>Residential!AN111*Residential!$B$109</f>
        <v>33363157.712896593</v>
      </c>
    </row>
    <row r="113" spans="1:40" x14ac:dyDescent="0.2">
      <c r="A113" s="5" t="s">
        <v>118</v>
      </c>
    </row>
    <row r="114" spans="1:40" x14ac:dyDescent="0.2">
      <c r="A114" s="5" t="s">
        <v>4</v>
      </c>
    </row>
    <row r="115" spans="1:40" x14ac:dyDescent="0.2">
      <c r="A115" s="5" t="s">
        <v>119</v>
      </c>
    </row>
    <row r="116" spans="1:40" x14ac:dyDescent="0.2">
      <c r="A116" s="5" t="s">
        <v>6</v>
      </c>
    </row>
    <row r="117" spans="1:40" x14ac:dyDescent="0.2">
      <c r="A117" s="5"/>
    </row>
    <row r="118" spans="1:40" x14ac:dyDescent="0.2">
      <c r="A118" s="6" t="s">
        <v>7</v>
      </c>
      <c r="B118" s="6">
        <v>2022</v>
      </c>
      <c r="C118" s="6">
        <v>2023</v>
      </c>
      <c r="D118" s="6">
        <v>2024</v>
      </c>
      <c r="E118" s="6">
        <v>2025</v>
      </c>
      <c r="F118" s="6">
        <v>2026</v>
      </c>
      <c r="G118" s="6">
        <v>2027</v>
      </c>
      <c r="H118" s="6">
        <v>2028</v>
      </c>
      <c r="I118" s="6">
        <v>2029</v>
      </c>
      <c r="J118" s="6">
        <v>2030</v>
      </c>
      <c r="K118" s="6">
        <v>2031</v>
      </c>
      <c r="L118" s="6">
        <v>2032</v>
      </c>
      <c r="M118" s="6">
        <v>2033</v>
      </c>
      <c r="N118" s="6">
        <v>2034</v>
      </c>
      <c r="O118" s="6">
        <v>2035</v>
      </c>
      <c r="P118" s="6">
        <v>2036</v>
      </c>
      <c r="Q118" s="6">
        <v>2037</v>
      </c>
      <c r="R118" s="6">
        <v>2038</v>
      </c>
      <c r="S118" s="6">
        <v>2039</v>
      </c>
      <c r="T118" s="6">
        <v>2040</v>
      </c>
      <c r="U118" s="6">
        <v>2041</v>
      </c>
      <c r="V118" s="6">
        <v>2042</v>
      </c>
      <c r="W118" s="6">
        <v>2043</v>
      </c>
      <c r="X118" s="6">
        <v>2044</v>
      </c>
      <c r="Y118" s="6">
        <v>2045</v>
      </c>
      <c r="Z118" s="6">
        <v>2046</v>
      </c>
      <c r="AA118" s="6">
        <v>2047</v>
      </c>
      <c r="AB118" s="6">
        <v>2048</v>
      </c>
      <c r="AC118" s="6">
        <v>2049</v>
      </c>
      <c r="AD118" s="6">
        <v>2050</v>
      </c>
      <c r="AE118" s="6">
        <v>2051</v>
      </c>
      <c r="AF118" s="6">
        <v>2052</v>
      </c>
      <c r="AG118" s="6">
        <v>2053</v>
      </c>
      <c r="AH118" s="6">
        <v>2054</v>
      </c>
      <c r="AI118" s="6">
        <v>2055</v>
      </c>
      <c r="AJ118" s="6">
        <v>2056</v>
      </c>
      <c r="AK118" s="6">
        <v>2057</v>
      </c>
      <c r="AL118" s="6">
        <v>2058</v>
      </c>
      <c r="AM118" s="6">
        <v>2059</v>
      </c>
      <c r="AN118" s="6">
        <v>2060</v>
      </c>
    </row>
    <row r="119" spans="1:40" x14ac:dyDescent="0.2">
      <c r="A119" s="6" t="s">
        <v>120</v>
      </c>
      <c r="B119" s="35">
        <f>Residential!B119*Residential!$B$117</f>
        <v>6196766.732884068</v>
      </c>
      <c r="C119" s="35">
        <f>Residential!C119*Residential!$B$117</f>
        <v>6311844.9059002483</v>
      </c>
      <c r="D119" s="35">
        <f>Residential!D119*Residential!$B$117</f>
        <v>6423353.0809967024</v>
      </c>
      <c r="E119" s="35">
        <f>Residential!E119*Residential!$B$117</f>
        <v>6532785.2340105725</v>
      </c>
      <c r="F119" s="35">
        <f>Residential!F119*Residential!$B$117</f>
        <v>6832389.7343601519</v>
      </c>
      <c r="G119" s="35">
        <f>Residential!G119*Residential!$B$117</f>
        <v>7135167.3105674963</v>
      </c>
      <c r="H119" s="35">
        <f>Residential!H119*Residential!$B$117</f>
        <v>7441436.8044824116</v>
      </c>
      <c r="I119" s="35">
        <f>Residential!I119*Residential!$B$117</f>
        <v>7751405.3676056508</v>
      </c>
      <c r="J119" s="35">
        <f>Residential!J119*Residential!$B$117</f>
        <v>8065206.6731917905</v>
      </c>
      <c r="K119" s="35">
        <f>Residential!K119*Residential!$B$117</f>
        <v>8337989.7677226178</v>
      </c>
      <c r="L119" s="35">
        <f>Residential!L119*Residential!$B$117</f>
        <v>8613611.9540004339</v>
      </c>
      <c r="M119" s="35">
        <f>Residential!M119*Residential!$B$117</f>
        <v>8892109.3532114569</v>
      </c>
      <c r="N119" s="35">
        <f>Residential!N119*Residential!$B$117</f>
        <v>9173504.1291225255</v>
      </c>
      <c r="O119" s="35">
        <f>Residential!O119*Residential!$B$117</f>
        <v>9457809.449941637</v>
      </c>
      <c r="P119" s="35">
        <f>Residential!P119*Residential!$B$117</f>
        <v>9539318.24960359</v>
      </c>
      <c r="Q119" s="35">
        <f>Residential!Q119*Residential!$B$117</f>
        <v>9621128.4679120556</v>
      </c>
      <c r="R119" s="35">
        <f>Residential!R119*Residential!$B$117</f>
        <v>9703244.8963114433</v>
      </c>
      <c r="S119" s="35">
        <f>Residential!S119*Residential!$B$117</f>
        <v>9785670.5295254923</v>
      </c>
      <c r="T119" s="35">
        <f>Residential!T119*Residential!$B$117</f>
        <v>9868407.2392101791</v>
      </c>
      <c r="U119" s="35">
        <f>Residential!U119*Residential!$B$117</f>
        <v>9910087.7246253379</v>
      </c>
      <c r="V119" s="35">
        <f>Residential!V119*Residential!$B$117</f>
        <v>9951766.9754841104</v>
      </c>
      <c r="W119" s="35">
        <f>Residential!W119*Residential!$B$117</f>
        <v>9993445.4582100511</v>
      </c>
      <c r="X119" s="35">
        <f>Residential!X119*Residential!$B$117</f>
        <v>10035123.463017676</v>
      </c>
      <c r="Y119" s="35">
        <f>Residential!Y119*Residential!$B$117</f>
        <v>10076801.170478616</v>
      </c>
      <c r="Z119" s="35">
        <f>Residential!Z119*Residential!$B$117</f>
        <v>10106290.970128331</v>
      </c>
      <c r="AA119" s="35">
        <f>Residential!AA119*Residential!$B$117</f>
        <v>10135780.654222921</v>
      </c>
      <c r="AB119" s="35">
        <f>Residential!AB119*Residential!$B$117</f>
        <v>10165270.266514983</v>
      </c>
      <c r="AC119" s="35">
        <f>Residential!AC119*Residential!$B$117</f>
        <v>10194759.834191456</v>
      </c>
      <c r="AD119" s="35">
        <f>Residential!AD119*Residential!$B$117</f>
        <v>10224249.374145618</v>
      </c>
      <c r="AE119" s="35">
        <f>Residential!AE119*Residential!$B$117</f>
        <v>10224249.402544033</v>
      </c>
      <c r="AF119" s="35">
        <f>Residential!AF119*Residential!$B$117</f>
        <v>10224249.420137985</v>
      </c>
      <c r="AG119" s="35">
        <f>Residential!AG119*Residential!$B$117</f>
        <v>10224249.431038138</v>
      </c>
      <c r="AH119" s="35">
        <f>Residential!AH119*Residential!$B$117</f>
        <v>10224249.437791217</v>
      </c>
      <c r="AI119" s="35">
        <f>Residential!AI119*Residential!$B$117</f>
        <v>10224249.441975018</v>
      </c>
      <c r="AJ119" s="35">
        <f>Residential!AJ119*Residential!$B$117</f>
        <v>10224249.444567051</v>
      </c>
      <c r="AK119" s="35">
        <f>Residential!AK119*Residential!$B$117</f>
        <v>10224249.446172919</v>
      </c>
      <c r="AL119" s="35">
        <f>Residential!AL119*Residential!$B$117</f>
        <v>10224249.447167818</v>
      </c>
      <c r="AM119" s="35">
        <f>Residential!AM119*Residential!$B$117</f>
        <v>10224249.447784197</v>
      </c>
      <c r="AN119" s="35">
        <f>Residential!AN119*Residential!$B$117</f>
        <v>10224249.448166067</v>
      </c>
    </row>
    <row r="121" spans="1:40" x14ac:dyDescent="0.2">
      <c r="A121" s="5" t="s">
        <v>121</v>
      </c>
    </row>
    <row r="122" spans="1:40" x14ac:dyDescent="0.2">
      <c r="A122" s="5" t="s">
        <v>4</v>
      </c>
    </row>
    <row r="123" spans="1:40" x14ac:dyDescent="0.2">
      <c r="A123" s="5" t="s">
        <v>122</v>
      </c>
    </row>
    <row r="124" spans="1:40" x14ac:dyDescent="0.2">
      <c r="A124" s="5" t="s">
        <v>6</v>
      </c>
    </row>
    <row r="125" spans="1:40" x14ac:dyDescent="0.2">
      <c r="A125" s="5"/>
    </row>
    <row r="126" spans="1:40" x14ac:dyDescent="0.2">
      <c r="A126" s="6" t="s">
        <v>7</v>
      </c>
      <c r="B126" s="6">
        <v>2022</v>
      </c>
      <c r="C126" s="6">
        <v>2023</v>
      </c>
      <c r="D126" s="6">
        <v>2024</v>
      </c>
      <c r="E126" s="6">
        <v>2025</v>
      </c>
      <c r="F126" s="6">
        <v>2026</v>
      </c>
      <c r="G126" s="6">
        <v>2027</v>
      </c>
      <c r="H126" s="6">
        <v>2028</v>
      </c>
      <c r="I126" s="6">
        <v>2029</v>
      </c>
      <c r="J126" s="6">
        <v>2030</v>
      </c>
      <c r="K126" s="6">
        <v>2031</v>
      </c>
      <c r="L126" s="6">
        <v>2032</v>
      </c>
      <c r="M126" s="6">
        <v>2033</v>
      </c>
      <c r="N126" s="6">
        <v>2034</v>
      </c>
      <c r="O126" s="6">
        <v>2035</v>
      </c>
      <c r="P126" s="6">
        <v>2036</v>
      </c>
      <c r="Q126" s="6">
        <v>2037</v>
      </c>
      <c r="R126" s="6">
        <v>2038</v>
      </c>
      <c r="S126" s="6">
        <v>2039</v>
      </c>
      <c r="T126" s="6">
        <v>2040</v>
      </c>
      <c r="U126" s="6">
        <v>2041</v>
      </c>
      <c r="V126" s="6">
        <v>2042</v>
      </c>
      <c r="W126" s="6">
        <v>2043</v>
      </c>
      <c r="X126" s="6">
        <v>2044</v>
      </c>
      <c r="Y126" s="6">
        <v>2045</v>
      </c>
      <c r="Z126" s="6">
        <v>2046</v>
      </c>
      <c r="AA126" s="6">
        <v>2047</v>
      </c>
      <c r="AB126" s="6">
        <v>2048</v>
      </c>
      <c r="AC126" s="6">
        <v>2049</v>
      </c>
      <c r="AD126" s="6">
        <v>2050</v>
      </c>
      <c r="AE126" s="6">
        <v>2051</v>
      </c>
      <c r="AF126" s="6">
        <v>2052</v>
      </c>
      <c r="AG126" s="6">
        <v>2053</v>
      </c>
      <c r="AH126" s="6">
        <v>2054</v>
      </c>
      <c r="AI126" s="6">
        <v>2055</v>
      </c>
      <c r="AJ126" s="6">
        <v>2056</v>
      </c>
      <c r="AK126" s="6">
        <v>2057</v>
      </c>
      <c r="AL126" s="6">
        <v>2058</v>
      </c>
      <c r="AM126" s="6">
        <v>2059</v>
      </c>
      <c r="AN126" s="6">
        <v>2060</v>
      </c>
    </row>
    <row r="127" spans="1:40" x14ac:dyDescent="0.2">
      <c r="A127" s="6" t="s">
        <v>123</v>
      </c>
      <c r="B127" s="35">
        <f>Residential!B127*Residential!$B$125</f>
        <v>6718388.0152800083</v>
      </c>
      <c r="C127" s="35">
        <f>Residential!C127*Residential!$B$125</f>
        <v>9254245.7594944146</v>
      </c>
      <c r="D127" s="35">
        <f>Residential!D127*Residential!$B$125</f>
        <v>11322630.902123639</v>
      </c>
      <c r="E127" s="35">
        <f>Residential!E127*Residential!$B$125</f>
        <v>13165327.365611186</v>
      </c>
      <c r="F127" s="35">
        <f>Residential!F127*Residential!$B$125</f>
        <v>14877281.769800423</v>
      </c>
      <c r="G127" s="35">
        <f>Residential!G127*Residential!$B$125</f>
        <v>16406058.466330461</v>
      </c>
      <c r="H127" s="35">
        <f>Residential!H127*Residential!$B$125</f>
        <v>17755629.881679688</v>
      </c>
      <c r="I127" s="35">
        <f>Residential!I127*Residential!$B$125</f>
        <v>18943436.264155019</v>
      </c>
      <c r="J127" s="35">
        <f>Residential!J127*Residential!$B$125</f>
        <v>20329373.325024575</v>
      </c>
      <c r="K127" s="35">
        <f>Residential!K127*Residential!$B$125</f>
        <v>21192336.773715898</v>
      </c>
      <c r="L127" s="35">
        <f>Residential!L127*Residential!$B$125</f>
        <v>21836829.324691061</v>
      </c>
      <c r="M127" s="35">
        <f>Residential!M127*Residential!$B$125</f>
        <v>22487860.39761553</v>
      </c>
      <c r="N127" s="35">
        <f>Residential!N127*Residential!$B$125</f>
        <v>23145488.060151611</v>
      </c>
      <c r="O127" s="35">
        <f>Residential!O127*Residential!$B$125</f>
        <v>23809747.034600656</v>
      </c>
      <c r="P127" s="35">
        <f>Residential!P127*Residential!$B$125</f>
        <v>24087617.775796499</v>
      </c>
      <c r="Q127" s="35">
        <f>Residential!Q127*Residential!$B$125</f>
        <v>24367066.660924323</v>
      </c>
      <c r="R127" s="35">
        <f>Residential!R127*Residential!$B$125</f>
        <v>24648105.56802728</v>
      </c>
      <c r="S127" s="35">
        <f>Residential!S127*Residential!$B$125</f>
        <v>24930741.94456191</v>
      </c>
      <c r="T127" s="35">
        <f>Residential!T127*Residential!$B$125</f>
        <v>25214980.459675472</v>
      </c>
      <c r="U127" s="35">
        <f>Residential!U127*Residential!$B$125</f>
        <v>25373872.048657615</v>
      </c>
      <c r="V127" s="35">
        <f>Residential!V127*Residential!$B$125</f>
        <v>25533201.184849184</v>
      </c>
      <c r="W127" s="35">
        <f>Residential!W127*Residential!$B$125</f>
        <v>25692969.04783614</v>
      </c>
      <c r="X127" s="35">
        <f>Residential!X127*Residential!$B$125</f>
        <v>25853176.373106178</v>
      </c>
      <c r="Y127" s="35">
        <f>Residential!Y127*Residential!$B$125</f>
        <v>26013823.619235005</v>
      </c>
      <c r="Z127" s="35">
        <f>Residential!Z127*Residential!$B$125</f>
        <v>26165930.88510742</v>
      </c>
      <c r="AA127" s="35">
        <f>Residential!AA127*Residential!$B$125</f>
        <v>26318481.251443829</v>
      </c>
      <c r="AB127" s="35">
        <f>Residential!AB127*Residential!$B$125</f>
        <v>26471474.829574589</v>
      </c>
      <c r="AC127" s="35">
        <f>Residential!AC127*Residential!$B$125</f>
        <v>26624911.688882455</v>
      </c>
      <c r="AD127" s="35">
        <f>Residential!AD127*Residential!$B$125</f>
        <v>26778791.87260709</v>
      </c>
      <c r="AE127" s="35">
        <f>Residential!AE127*Residential!$B$125</f>
        <v>26778791.94698666</v>
      </c>
      <c r="AF127" s="35">
        <f>Residential!AF127*Residential!$B$125</f>
        <v>26778791.993067771</v>
      </c>
      <c r="AG127" s="35">
        <f>Residential!AG127*Residential!$B$125</f>
        <v>26778792.021616846</v>
      </c>
      <c r="AH127" s="35">
        <f>Residential!AH127*Residential!$B$125</f>
        <v>26778792.039304156</v>
      </c>
      <c r="AI127" s="35">
        <f>Residential!AI127*Residential!$B$125</f>
        <v>26778792.050262131</v>
      </c>
      <c r="AJ127" s="35">
        <f>Residential!AJ127*Residential!$B$125</f>
        <v>26778792.057051044</v>
      </c>
      <c r="AK127" s="35">
        <f>Residential!AK127*Residential!$B$125</f>
        <v>26778792.061257031</v>
      </c>
      <c r="AL127" s="35">
        <f>Residential!AL127*Residential!$B$125</f>
        <v>26778792.063862823</v>
      </c>
      <c r="AM127" s="35">
        <f>Residential!AM127*Residential!$B$125</f>
        <v>26778792.065477215</v>
      </c>
      <c r="AN127" s="35">
        <f>Residential!AN127*Residential!$B$125</f>
        <v>26778792.066477377</v>
      </c>
    </row>
    <row r="129" spans="1:40" x14ac:dyDescent="0.2">
      <c r="A129" s="5" t="s">
        <v>124</v>
      </c>
    </row>
    <row r="130" spans="1:40" x14ac:dyDescent="0.2">
      <c r="A130" s="5" t="s">
        <v>4</v>
      </c>
    </row>
    <row r="131" spans="1:40" x14ac:dyDescent="0.2">
      <c r="A131" s="5" t="s">
        <v>125</v>
      </c>
    </row>
    <row r="132" spans="1:40" x14ac:dyDescent="0.2">
      <c r="A132" s="5" t="s">
        <v>6</v>
      </c>
    </row>
    <row r="133" spans="1:40" x14ac:dyDescent="0.2">
      <c r="A133" s="5"/>
    </row>
    <row r="134" spans="1:40" x14ac:dyDescent="0.2">
      <c r="A134" s="6" t="s">
        <v>7</v>
      </c>
      <c r="B134" s="6">
        <v>2022</v>
      </c>
      <c r="C134" s="6">
        <v>2023</v>
      </c>
      <c r="D134" s="6">
        <v>2024</v>
      </c>
      <c r="E134" s="6">
        <v>2025</v>
      </c>
      <c r="F134" s="6">
        <v>2026</v>
      </c>
      <c r="G134" s="6">
        <v>2027</v>
      </c>
      <c r="H134" s="6">
        <v>2028</v>
      </c>
      <c r="I134" s="6">
        <v>2029</v>
      </c>
      <c r="J134" s="6">
        <v>2030</v>
      </c>
      <c r="K134" s="6">
        <v>2031</v>
      </c>
      <c r="L134" s="6">
        <v>2032</v>
      </c>
      <c r="M134" s="6">
        <v>2033</v>
      </c>
      <c r="N134" s="6">
        <v>2034</v>
      </c>
      <c r="O134" s="6">
        <v>2035</v>
      </c>
      <c r="P134" s="6">
        <v>2036</v>
      </c>
      <c r="Q134" s="6">
        <v>2037</v>
      </c>
      <c r="R134" s="6">
        <v>2038</v>
      </c>
      <c r="S134" s="6">
        <v>2039</v>
      </c>
      <c r="T134" s="6">
        <v>2040</v>
      </c>
      <c r="U134" s="6">
        <v>2041</v>
      </c>
      <c r="V134" s="6">
        <v>2042</v>
      </c>
      <c r="W134" s="6">
        <v>2043</v>
      </c>
      <c r="X134" s="6">
        <v>2044</v>
      </c>
      <c r="Y134" s="6">
        <v>2045</v>
      </c>
      <c r="Z134" s="6">
        <v>2046</v>
      </c>
      <c r="AA134" s="6">
        <v>2047</v>
      </c>
      <c r="AB134" s="6">
        <v>2048</v>
      </c>
      <c r="AC134" s="6">
        <v>2049</v>
      </c>
      <c r="AD134" s="6">
        <v>2050</v>
      </c>
      <c r="AE134" s="6">
        <v>2051</v>
      </c>
      <c r="AF134" s="6">
        <v>2052</v>
      </c>
      <c r="AG134" s="6">
        <v>2053</v>
      </c>
      <c r="AH134" s="6">
        <v>2054</v>
      </c>
      <c r="AI134" s="6">
        <v>2055</v>
      </c>
      <c r="AJ134" s="6">
        <v>2056</v>
      </c>
      <c r="AK134" s="6">
        <v>2057</v>
      </c>
      <c r="AL134" s="6">
        <v>2058</v>
      </c>
      <c r="AM134" s="6">
        <v>2059</v>
      </c>
      <c r="AN134" s="6">
        <v>2060</v>
      </c>
    </row>
    <row r="135" spans="1:40" x14ac:dyDescent="0.2">
      <c r="A135" s="6" t="s">
        <v>126</v>
      </c>
      <c r="B135" s="35">
        <f>Residential!B135*Residential!$B$133</f>
        <v>121734930.93338235</v>
      </c>
      <c r="C135" s="35">
        <f>Residential!C135*Residential!$B$133</f>
        <v>124610685.32627521</v>
      </c>
      <c r="D135" s="35">
        <f>Residential!D135*Residential!$B$133</f>
        <v>127421498.82174811</v>
      </c>
      <c r="E135" s="35">
        <f>Residential!E135*Residential!$B$133</f>
        <v>130195926.28525421</v>
      </c>
      <c r="F135" s="35">
        <f>Residential!F135*Residential!$B$133</f>
        <v>136166930.08301681</v>
      </c>
      <c r="G135" s="35">
        <f>Residential!G135*Residential!$B$133</f>
        <v>142201172.07638457</v>
      </c>
      <c r="H135" s="35">
        <f>Residential!H135*Residential!$B$133</f>
        <v>148305006.66221684</v>
      </c>
      <c r="I135" s="35">
        <f>Residential!I135*Residential!$B$133</f>
        <v>154482562.29117543</v>
      </c>
      <c r="J135" s="35">
        <f>Residential!J135*Residential!$B$133</f>
        <v>160736503.02040824</v>
      </c>
      <c r="K135" s="35">
        <f>Residential!K135*Residential!$B$133</f>
        <v>166620385.51981682</v>
      </c>
      <c r="L135" s="35">
        <f>Residential!L135*Residential!$B$133</f>
        <v>172567046.34524879</v>
      </c>
      <c r="M135" s="35">
        <f>Residential!M135*Residential!$B$133</f>
        <v>178577186.77863422</v>
      </c>
      <c r="N135" s="35">
        <f>Residential!N135*Residential!$B$133</f>
        <v>184651236.14079133</v>
      </c>
      <c r="O135" s="35">
        <f>Residential!O135*Residential!$B$133</f>
        <v>190789447.76344508</v>
      </c>
      <c r="P135" s="35">
        <f>Residential!P135*Residential!$B$133</f>
        <v>191964535.35766855</v>
      </c>
      <c r="Q135" s="35">
        <f>Residential!Q135*Residential!$B$133</f>
        <v>193140414.04838371</v>
      </c>
      <c r="R135" s="35">
        <f>Residential!R135*Residential!$B$133</f>
        <v>194317181.68150654</v>
      </c>
      <c r="S135" s="35">
        <f>Residential!S135*Residential!$B$133</f>
        <v>195494899.26045239</v>
      </c>
      <c r="T135" s="35">
        <f>Residential!T135*Residential!$B$133</f>
        <v>196673604.81714529</v>
      </c>
      <c r="U135" s="35">
        <f>Residential!U135*Residential!$B$133</f>
        <v>197504281.04669502</v>
      </c>
      <c r="V135" s="35">
        <f>Residential!V135*Residential!$B$133</f>
        <v>198334932.67200515</v>
      </c>
      <c r="W135" s="35">
        <f>Residential!W135*Residential!$B$133</f>
        <v>199165568.98872003</v>
      </c>
      <c r="X135" s="35">
        <f>Residential!X135*Residential!$B$133</f>
        <v>199996195.78070459</v>
      </c>
      <c r="Y135" s="35">
        <f>Residential!Y135*Residential!$B$133</f>
        <v>200826816.64668271</v>
      </c>
      <c r="Z135" s="35">
        <f>Residential!Z135*Residential!$B$133</f>
        <v>201414537.14319807</v>
      </c>
      <c r="AA135" s="35">
        <f>Residential!AA135*Residential!$B$133</f>
        <v>202002255.3367438</v>
      </c>
      <c r="AB135" s="35">
        <f>Residential!AB135*Residential!$B$133</f>
        <v>202589972.09929237</v>
      </c>
      <c r="AC135" s="35">
        <f>Residential!AC135*Residential!$B$133</f>
        <v>203177687.97266933</v>
      </c>
      <c r="AD135" s="35">
        <f>Residential!AD135*Residential!$B$133</f>
        <v>203765403.293551</v>
      </c>
      <c r="AE135" s="35">
        <f>Residential!AE135*Residential!$B$133</f>
        <v>203765403.85952058</v>
      </c>
      <c r="AF135" s="35">
        <f>Residential!AF135*Residential!$B$133</f>
        <v>203765404.21016139</v>
      </c>
      <c r="AG135" s="35">
        <f>Residential!AG135*Residential!$B$133</f>
        <v>203765404.42739725</v>
      </c>
      <c r="AH135" s="35">
        <f>Residential!AH135*Residential!$B$133</f>
        <v>203765404.56198364</v>
      </c>
      <c r="AI135" s="35">
        <f>Residential!AI135*Residential!$B$133</f>
        <v>203765404.64536518</v>
      </c>
      <c r="AJ135" s="35">
        <f>Residential!AJ135*Residential!$B$133</f>
        <v>203765404.69702339</v>
      </c>
      <c r="AK135" s="35">
        <f>Residential!AK135*Residential!$B$133</f>
        <v>203765404.72902772</v>
      </c>
      <c r="AL135" s="35">
        <f>Residential!AL135*Residential!$B$133</f>
        <v>203765404.74885568</v>
      </c>
      <c r="AM135" s="35">
        <f>Residential!AM135*Residential!$B$133</f>
        <v>203765404.7611399</v>
      </c>
      <c r="AN135" s="35">
        <f>Residential!AN135*Residential!$B$133</f>
        <v>203765404.7687504</v>
      </c>
    </row>
    <row r="137" spans="1:40" x14ac:dyDescent="0.2">
      <c r="A137" s="5" t="s">
        <v>127</v>
      </c>
    </row>
    <row r="138" spans="1:40" x14ac:dyDescent="0.2">
      <c r="A138" s="5" t="s">
        <v>4</v>
      </c>
    </row>
    <row r="139" spans="1:40" x14ac:dyDescent="0.2">
      <c r="A139" s="5" t="s">
        <v>128</v>
      </c>
    </row>
    <row r="140" spans="1:40" x14ac:dyDescent="0.2">
      <c r="A140" s="5" t="s">
        <v>6</v>
      </c>
    </row>
    <row r="141" spans="1:40" x14ac:dyDescent="0.2">
      <c r="A141" s="5"/>
    </row>
    <row r="142" spans="1:40" x14ac:dyDescent="0.2">
      <c r="A142" s="6" t="s">
        <v>7</v>
      </c>
      <c r="B142" s="6">
        <v>2022</v>
      </c>
      <c r="C142" s="6">
        <v>2023</v>
      </c>
      <c r="D142" s="6">
        <v>2024</v>
      </c>
      <c r="E142" s="6">
        <v>2025</v>
      </c>
      <c r="F142" s="6">
        <v>2026</v>
      </c>
      <c r="G142" s="6">
        <v>2027</v>
      </c>
      <c r="H142" s="6">
        <v>2028</v>
      </c>
      <c r="I142" s="6">
        <v>2029</v>
      </c>
      <c r="J142" s="6">
        <v>2030</v>
      </c>
      <c r="K142" s="6">
        <v>2031</v>
      </c>
      <c r="L142" s="6">
        <v>2032</v>
      </c>
      <c r="M142" s="6">
        <v>2033</v>
      </c>
      <c r="N142" s="6">
        <v>2034</v>
      </c>
      <c r="O142" s="6">
        <v>2035</v>
      </c>
      <c r="P142" s="6">
        <v>2036</v>
      </c>
      <c r="Q142" s="6">
        <v>2037</v>
      </c>
      <c r="R142" s="6">
        <v>2038</v>
      </c>
      <c r="S142" s="6">
        <v>2039</v>
      </c>
      <c r="T142" s="6">
        <v>2040</v>
      </c>
      <c r="U142" s="6">
        <v>2041</v>
      </c>
      <c r="V142" s="6">
        <v>2042</v>
      </c>
      <c r="W142" s="6">
        <v>2043</v>
      </c>
      <c r="X142" s="6">
        <v>2044</v>
      </c>
      <c r="Y142" s="6">
        <v>2045</v>
      </c>
      <c r="Z142" s="6">
        <v>2046</v>
      </c>
      <c r="AA142" s="6">
        <v>2047</v>
      </c>
      <c r="AB142" s="6">
        <v>2048</v>
      </c>
      <c r="AC142" s="6">
        <v>2049</v>
      </c>
      <c r="AD142" s="6">
        <v>2050</v>
      </c>
      <c r="AE142" s="6">
        <v>2051</v>
      </c>
      <c r="AF142" s="6">
        <v>2052</v>
      </c>
      <c r="AG142" s="6">
        <v>2053</v>
      </c>
      <c r="AH142" s="6">
        <v>2054</v>
      </c>
      <c r="AI142" s="6">
        <v>2055</v>
      </c>
      <c r="AJ142" s="6">
        <v>2056</v>
      </c>
      <c r="AK142" s="6">
        <v>2057</v>
      </c>
      <c r="AL142" s="6">
        <v>2058</v>
      </c>
      <c r="AM142" s="6">
        <v>2059</v>
      </c>
      <c r="AN142" s="6">
        <v>2060</v>
      </c>
    </row>
    <row r="143" spans="1:40" x14ac:dyDescent="0.2">
      <c r="A143" s="6" t="s">
        <v>2</v>
      </c>
      <c r="B143" s="11">
        <f>Residential!B143*Residential!$B$141</f>
        <v>39395226.367037803</v>
      </c>
      <c r="C143" s="11">
        <f>Residential!C143*Residential!$B$141</f>
        <v>39589535.956283867</v>
      </c>
      <c r="D143" s="11">
        <f>Residential!D143*Residential!$B$141</f>
        <v>39756614.702927105</v>
      </c>
      <c r="E143" s="11">
        <f>Residential!E143*Residential!$B$141</f>
        <v>39906654.128983505</v>
      </c>
      <c r="F143" s="11">
        <f>Residential!F143*Residential!$B$141</f>
        <v>40271904.842428088</v>
      </c>
      <c r="G143" s="11">
        <f>Residential!G143*Residential!$B$141</f>
        <v>40630453.61808145</v>
      </c>
      <c r="H143" s="11">
        <f>Residential!H143*Residential!$B$141</f>
        <v>40984715.931353666</v>
      </c>
      <c r="I143" s="11">
        <f>Residential!I143*Residential!$B$141</f>
        <v>41336204.82349208</v>
      </c>
      <c r="J143" s="11">
        <f>Residential!J143*Residential!$B$141</f>
        <v>41685867.2811836</v>
      </c>
      <c r="K143" s="11">
        <f>Residential!K143*Residential!$B$141</f>
        <v>41977354.307687797</v>
      </c>
      <c r="L143" s="11">
        <f>Residential!L143*Residential!$B$141</f>
        <v>42268026.466687262</v>
      </c>
      <c r="M143" s="11">
        <f>Residential!M143*Residential!$B$141</f>
        <v>42558116.948004097</v>
      </c>
      <c r="N143" s="11">
        <f>Residential!N143*Residential!$B$141</f>
        <v>42847771.290455639</v>
      </c>
      <c r="O143" s="11">
        <f>Residential!O143*Residential!$B$141</f>
        <v>43137080.316862434</v>
      </c>
      <c r="P143" s="11">
        <f>Residential!P143*Residential!$B$141</f>
        <v>43381680.416811846</v>
      </c>
      <c r="Q143" s="11">
        <f>Residential!Q143*Residential!$B$141</f>
        <v>43626221.674785472</v>
      </c>
      <c r="R143" s="11">
        <f>Residential!R143*Residential!$B$141</f>
        <v>43870726.26699435</v>
      </c>
      <c r="S143" s="11">
        <f>Residential!S143*Residential!$B$141</f>
        <v>44115208.012773722</v>
      </c>
      <c r="T143" s="11">
        <f>Residential!T143*Residential!$B$141</f>
        <v>44359675.523444399</v>
      </c>
      <c r="U143" s="11">
        <f>Residential!U143*Residential!$B$141</f>
        <v>44547034.310314253</v>
      </c>
      <c r="V143" s="11">
        <f>Residential!V143*Residential!$B$141</f>
        <v>44734387.547704905</v>
      </c>
      <c r="W143" s="11">
        <f>Residential!W143*Residential!$B$141</f>
        <v>44921737.332246229</v>
      </c>
      <c r="X143" s="11">
        <f>Residential!X143*Residential!$B$141</f>
        <v>45109084.96848736</v>
      </c>
      <c r="Y143" s="11">
        <f>Residential!Y143*Residential!$B$141</f>
        <v>45296431.268119425</v>
      </c>
      <c r="Z143" s="11">
        <f>Residential!Z143*Residential!$B$141</f>
        <v>45428991.458634779</v>
      </c>
      <c r="AA143" s="11">
        <f>Residential!AA143*Residential!$B$141</f>
        <v>45561551.129715972</v>
      </c>
      <c r="AB143" s="11">
        <f>Residential!AB143*Residential!$B$141</f>
        <v>45694110.47803615</v>
      </c>
      <c r="AC143" s="11">
        <f>Residential!AC143*Residential!$B$141</f>
        <v>45826669.62580394</v>
      </c>
      <c r="AD143" s="11">
        <f>Residential!AD143*Residential!$B$141</f>
        <v>45959228.648956582</v>
      </c>
      <c r="AE143" s="11">
        <f>Residential!AE143*Residential!$B$141</f>
        <v>45959228.776610866</v>
      </c>
      <c r="AF143" s="11">
        <f>Residential!AF143*Residential!$B$141</f>
        <v>45959228.855697796</v>
      </c>
      <c r="AG143" s="11">
        <f>Residential!AG143*Residential!$B$141</f>
        <v>45959228.904695295</v>
      </c>
      <c r="AH143" s="11">
        <f>Residential!AH143*Residential!$B$141</f>
        <v>45959228.935051203</v>
      </c>
      <c r="AI143" s="11">
        <f>Residential!AI143*Residential!$B$141</f>
        <v>45959228.953857899</v>
      </c>
      <c r="AJ143" s="11">
        <f>Residential!AJ143*Residential!$B$141</f>
        <v>45959228.965509385</v>
      </c>
      <c r="AK143" s="11">
        <f>Residential!AK143*Residential!$B$141</f>
        <v>45959228.972727932</v>
      </c>
      <c r="AL143" s="11">
        <f>Residential!AL143*Residential!$B$141</f>
        <v>45959228.977200143</v>
      </c>
      <c r="AM143" s="11">
        <f>Residential!AM143*Residential!$B$141</f>
        <v>45959228.979970835</v>
      </c>
      <c r="AN143" s="11">
        <f>Residential!AN143*Residential!$B$141</f>
        <v>45959228.981687389</v>
      </c>
    </row>
    <row r="146" spans="1:40" x14ac:dyDescent="0.2">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row>
    <row r="147" spans="1:40"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row>
    <row r="148" spans="1:40" x14ac:dyDescent="0.2">
      <c r="A148" s="25"/>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row>
    <row r="149" spans="1:40" x14ac:dyDescent="0.2">
      <c r="A149" s="25"/>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row>
    <row r="150" spans="1:40" x14ac:dyDescent="0.2">
      <c r="A150" s="25"/>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row>
    <row r="151" spans="1:40" x14ac:dyDescent="0.2">
      <c r="A151" s="25"/>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row>
    <row r="152" spans="1:40" x14ac:dyDescent="0.2">
      <c r="A152" s="25"/>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row>
    <row r="153" spans="1:40" x14ac:dyDescent="0.2">
      <c r="A153" s="25"/>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row>
    <row r="154" spans="1:40" x14ac:dyDescent="0.2">
      <c r="A154" s="25"/>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row>
    <row r="155" spans="1:40" x14ac:dyDescent="0.2">
      <c r="A155" s="25"/>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row>
    <row r="156" spans="1:40" x14ac:dyDescent="0.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row>
    <row r="157" spans="1:40" x14ac:dyDescent="0.2">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B013C-630C-4B4D-B424-20E8B5432639}">
  <dimension ref="A1:AQ56"/>
  <sheetViews>
    <sheetView workbookViewId="0">
      <selection activeCell="C15" sqref="C15:C17"/>
    </sheetView>
  </sheetViews>
  <sheetFormatPr baseColWidth="10" defaultRowHeight="16" x14ac:dyDescent="0.2"/>
  <sheetData>
    <row r="1" spans="1:43" x14ac:dyDescent="0.2">
      <c r="A1" s="1" t="s">
        <v>11</v>
      </c>
      <c r="B1" s="8">
        <v>2019</v>
      </c>
      <c r="C1" s="8">
        <v>2020</v>
      </c>
      <c r="D1" s="8">
        <v>2021</v>
      </c>
      <c r="E1" s="8">
        <v>2022</v>
      </c>
      <c r="F1" s="8">
        <v>2023</v>
      </c>
      <c r="G1" s="8">
        <v>2024</v>
      </c>
      <c r="H1" s="8">
        <v>2025</v>
      </c>
      <c r="I1" s="8">
        <v>2026</v>
      </c>
      <c r="J1" s="8">
        <v>2027</v>
      </c>
      <c r="K1" s="8">
        <v>2028</v>
      </c>
      <c r="L1" s="8">
        <v>2029</v>
      </c>
      <c r="M1" s="8">
        <v>2030</v>
      </c>
      <c r="N1" s="8">
        <v>2031</v>
      </c>
      <c r="O1" s="8">
        <v>2032</v>
      </c>
      <c r="P1" s="8">
        <v>2033</v>
      </c>
      <c r="Q1" s="8">
        <v>2034</v>
      </c>
      <c r="R1" s="8">
        <v>2035</v>
      </c>
      <c r="S1" s="8">
        <v>2036</v>
      </c>
      <c r="T1" s="8">
        <v>2037</v>
      </c>
      <c r="U1" s="8">
        <v>2038</v>
      </c>
      <c r="V1" s="8">
        <v>2039</v>
      </c>
      <c r="W1" s="8">
        <v>2040</v>
      </c>
      <c r="X1" s="8">
        <v>2041</v>
      </c>
      <c r="Y1" s="8">
        <v>2042</v>
      </c>
      <c r="Z1" s="8">
        <v>2043</v>
      </c>
      <c r="AA1" s="8">
        <v>2044</v>
      </c>
      <c r="AB1" s="8">
        <v>2045</v>
      </c>
      <c r="AC1" s="8">
        <v>2046</v>
      </c>
      <c r="AD1" s="8">
        <v>2047</v>
      </c>
      <c r="AE1" s="8">
        <v>2048</v>
      </c>
      <c r="AF1" s="8">
        <v>2049</v>
      </c>
      <c r="AG1" s="8">
        <v>2050</v>
      </c>
      <c r="AH1" s="8">
        <v>2051</v>
      </c>
      <c r="AI1" s="8">
        <v>2052</v>
      </c>
      <c r="AJ1" s="8">
        <v>2053</v>
      </c>
      <c r="AK1" s="8">
        <v>2054</v>
      </c>
      <c r="AL1" s="8">
        <v>2055</v>
      </c>
      <c r="AM1" s="8">
        <v>2056</v>
      </c>
      <c r="AN1" s="8">
        <v>2057</v>
      </c>
      <c r="AO1" s="8">
        <v>2058</v>
      </c>
      <c r="AP1" s="8">
        <v>2059</v>
      </c>
      <c r="AQ1" s="8">
        <v>2060</v>
      </c>
    </row>
    <row r="2" spans="1:43" x14ac:dyDescent="0.2">
      <c r="A2" s="1" t="s">
        <v>22</v>
      </c>
      <c r="B2" s="15">
        <v>0</v>
      </c>
      <c r="C2" s="15">
        <v>0</v>
      </c>
      <c r="D2" s="15">
        <v>0</v>
      </c>
      <c r="E2" s="15">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row>
    <row r="3" spans="1:43" x14ac:dyDescent="0.2">
      <c r="A3" s="1" t="s">
        <v>23</v>
      </c>
      <c r="B3" s="15">
        <v>0</v>
      </c>
      <c r="C3" s="15">
        <v>0</v>
      </c>
      <c r="D3" s="15">
        <v>0</v>
      </c>
      <c r="E3" s="15">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row>
    <row r="4" spans="1:43" x14ac:dyDescent="0.2">
      <c r="A4" s="1" t="s">
        <v>24</v>
      </c>
      <c r="B4" s="15">
        <v>0</v>
      </c>
      <c r="C4" s="15">
        <v>0</v>
      </c>
      <c r="D4" s="15">
        <v>0</v>
      </c>
      <c r="E4" s="15">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row>
    <row r="5" spans="1:43" x14ac:dyDescent="0.2">
      <c r="A5" s="1" t="s">
        <v>25</v>
      </c>
      <c r="B5" s="15">
        <v>0</v>
      </c>
      <c r="C5" s="15">
        <v>0</v>
      </c>
      <c r="D5" s="15">
        <v>0</v>
      </c>
      <c r="E5" s="15">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row>
    <row r="6" spans="1:43" x14ac:dyDescent="0.2">
      <c r="A6" s="1" t="s">
        <v>26</v>
      </c>
      <c r="B6" s="15">
        <v>0</v>
      </c>
      <c r="C6" s="15">
        <v>0</v>
      </c>
      <c r="D6" s="15">
        <v>0</v>
      </c>
      <c r="E6" s="15">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row>
    <row r="7" spans="1:43" x14ac:dyDescent="0.2">
      <c r="A7" s="1" t="s">
        <v>27</v>
      </c>
      <c r="B7" s="15">
        <v>0</v>
      </c>
      <c r="C7" s="15">
        <v>0</v>
      </c>
      <c r="D7" s="15">
        <v>0</v>
      </c>
      <c r="E7" s="15">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row>
    <row r="8" spans="1:43" x14ac:dyDescent="0.2">
      <c r="A8" s="1" t="s">
        <v>28</v>
      </c>
      <c r="B8" s="15">
        <v>0</v>
      </c>
      <c r="C8" s="15">
        <v>0</v>
      </c>
      <c r="D8" s="15">
        <v>0</v>
      </c>
      <c r="E8" s="15">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row>
    <row r="9" spans="1:43" x14ac:dyDescent="0.2">
      <c r="A9" s="1" t="s">
        <v>29</v>
      </c>
      <c r="B9" s="15">
        <v>0</v>
      </c>
      <c r="C9" s="15">
        <v>0</v>
      </c>
      <c r="D9" s="15">
        <v>0</v>
      </c>
      <c r="E9" s="15">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row>
    <row r="10" spans="1:43" x14ac:dyDescent="0.2">
      <c r="A10" s="1" t="s">
        <v>30</v>
      </c>
      <c r="B10" s="15">
        <f>C15</f>
        <v>1145.396430155437</v>
      </c>
      <c r="C10" s="15">
        <f>C16</f>
        <v>1164.0478779751065</v>
      </c>
      <c r="D10" s="15">
        <f>C17</f>
        <v>1182.6993257947761</v>
      </c>
      <c r="E10" s="15">
        <f>'Residential-Conversion'!B23</f>
        <v>1197.8871068211181</v>
      </c>
      <c r="F10" s="15">
        <f>'Residential-Conversion'!C23</f>
        <v>1221.885697312382</v>
      </c>
      <c r="G10" s="15">
        <f>'Residential-Conversion'!D23</f>
        <v>1242.0141202944874</v>
      </c>
      <c r="H10" s="15">
        <f>'Residential-Conversion'!E23</f>
        <v>1258.7884545304748</v>
      </c>
      <c r="I10" s="15">
        <f>'Residential-Conversion'!F23</f>
        <v>1272.6929673104089</v>
      </c>
      <c r="J10" s="15">
        <f>'Residential-Conversion'!G23</f>
        <v>1284.1675816830541</v>
      </c>
      <c r="K10" s="15">
        <f>'Residential-Conversion'!H23</f>
        <v>1293.602292731709</v>
      </c>
      <c r="L10" s="15">
        <f>'Residential-Conversion'!I23</f>
        <v>1301.3363939185695</v>
      </c>
      <c r="M10" s="15">
        <f>'Residential-Conversion'!J23</f>
        <v>1307.6607678488117</v>
      </c>
      <c r="N10" s="15">
        <f>'Residential-Conversion'!K23</f>
        <v>1312.8219258894007</v>
      </c>
      <c r="O10" s="15">
        <f>'Residential-Conversion'!L23</f>
        <v>1317.026868481061</v>
      </c>
      <c r="P10" s="15">
        <f>'Residential-Conversion'!M23</f>
        <v>1320.4481512866635</v>
      </c>
      <c r="Q10" s="15">
        <f>'Residential-Conversion'!N23</f>
        <v>1323.2287777360821</v>
      </c>
      <c r="R10" s="15">
        <f>'Residential-Conversion'!O23</f>
        <v>1325.486705506976</v>
      </c>
      <c r="S10" s="15">
        <f>'Residential-Conversion'!P23</f>
        <v>1327.3188669852152</v>
      </c>
      <c r="T10" s="15">
        <f>'Residential-Conversion'!Q23</f>
        <v>1328.8046756664974</v>
      </c>
      <c r="U10" s="15">
        <f>'Residential-Conversion'!R23</f>
        <v>1330.009033625417</v>
      </c>
      <c r="V10" s="15">
        <f>'Residential-Conversion'!S23</f>
        <v>1330.984878832212</v>
      </c>
      <c r="W10" s="15">
        <f>'Residential-Conversion'!T23</f>
        <v>1331.7753220509373</v>
      </c>
      <c r="X10" s="15">
        <f>'Residential-Conversion'!U23</f>
        <v>1332.4154261095914</v>
      </c>
      <c r="Y10" s="15">
        <f>'Residential-Conversion'!V23</f>
        <v>1332.9336787595273</v>
      </c>
      <c r="Z10" s="15">
        <f>'Residential-Conversion'!W23</f>
        <v>1333.3532062857764</v>
      </c>
      <c r="AA10" s="15">
        <f>'Residential-Conversion'!X23</f>
        <v>1333.6927698544107</v>
      </c>
      <c r="AB10" s="15">
        <f>'Residential-Conversion'!Y23</f>
        <v>1333.9675811167979</v>
      </c>
      <c r="AC10" s="15">
        <f>'Residential-Conversion'!Z23</f>
        <v>1334.1899683100096</v>
      </c>
      <c r="AD10" s="15">
        <f>'Residential-Conversion'!AA23</f>
        <v>1334.3699192476029</v>
      </c>
      <c r="AE10" s="15">
        <f>'Residential-Conversion'!AB23</f>
        <v>1334.5155232942716</v>
      </c>
      <c r="AF10" s="15">
        <f>'Residential-Conversion'!AC23</f>
        <v>1334.633330686072</v>
      </c>
      <c r="AG10" s="15">
        <f>'Residential-Conversion'!AD23</f>
        <v>1334.7286443719149</v>
      </c>
      <c r="AH10" s="15">
        <f>'Residential-Conversion'!AE23</f>
        <v>1334.8057568644397</v>
      </c>
      <c r="AI10" s="15">
        <f>'Residential-Conversion'!AF23</f>
        <v>1334.8681423415808</v>
      </c>
      <c r="AJ10" s="15">
        <f>'Residential-Conversion'!AG23</f>
        <v>1334.9186123748109</v>
      </c>
      <c r="AK10" s="15">
        <f>'Residential-Conversion'!AH23</f>
        <v>1334.95944211967</v>
      </c>
      <c r="AL10" s="15">
        <f>'Residential-Conversion'!AI23</f>
        <v>1334.9924725374619</v>
      </c>
      <c r="AM10" s="15">
        <f>'Residential-Conversion'!AJ23</f>
        <v>1335.0191931787804</v>
      </c>
      <c r="AN10" s="15">
        <f>'Residential-Conversion'!AK23</f>
        <v>1335.0408092107564</v>
      </c>
      <c r="AO10" s="15">
        <f>'Residential-Conversion'!AL23</f>
        <v>1335.0582956775181</v>
      </c>
      <c r="AP10" s="15">
        <f>'Residential-Conversion'!AM23</f>
        <v>1335.072441419394</v>
      </c>
      <c r="AQ10" s="15">
        <f>'Residential-Conversion'!AN23</f>
        <v>1335.0838846177326</v>
      </c>
    </row>
    <row r="11" spans="1:43" x14ac:dyDescent="0.2">
      <c r="A11" s="1" t="s">
        <v>31</v>
      </c>
      <c r="B11" s="15">
        <v>0</v>
      </c>
      <c r="C11" s="15">
        <v>0</v>
      </c>
      <c r="D11" s="15">
        <v>0</v>
      </c>
      <c r="E11" s="15">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row>
    <row r="12" spans="1:43" x14ac:dyDescent="0.2">
      <c r="A12" s="1"/>
      <c r="B12" s="15"/>
      <c r="C12" s="15"/>
      <c r="D12" s="15"/>
      <c r="E12" s="15"/>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row>
    <row r="13" spans="1:43" x14ac:dyDescent="0.2">
      <c r="N13" s="1"/>
    </row>
    <row r="14" spans="1:43" x14ac:dyDescent="0.2">
      <c r="A14" s="1" t="s">
        <v>11</v>
      </c>
      <c r="B14" s="1" t="s">
        <v>30</v>
      </c>
      <c r="C14" s="1" t="s">
        <v>129</v>
      </c>
      <c r="M14" s="1"/>
      <c r="N14" s="1"/>
    </row>
    <row r="15" spans="1:43" x14ac:dyDescent="0.2">
      <c r="A15" s="20">
        <v>2019</v>
      </c>
      <c r="C15" s="14">
        <f>_xlfn.FORECAST.LINEAR(A15,B$16:B$22,A$16:A$22)</f>
        <v>1145.396430155437</v>
      </c>
      <c r="M15" s="9"/>
      <c r="N15" s="18"/>
    </row>
    <row r="16" spans="1:43" x14ac:dyDescent="0.2">
      <c r="A16" s="20">
        <v>2020</v>
      </c>
      <c r="C16" s="14">
        <f t="shared" ref="C16:C17" si="0">_xlfn.FORECAST.LINEAR(A16,B$16:B$22,A$16:A$22)</f>
        <v>1164.0478779751065</v>
      </c>
      <c r="M16" s="9"/>
      <c r="N16" s="18"/>
    </row>
    <row r="17" spans="1:14" x14ac:dyDescent="0.2">
      <c r="A17" s="20">
        <v>2021</v>
      </c>
      <c r="C17" s="14">
        <f t="shared" si="0"/>
        <v>1182.6993257947761</v>
      </c>
      <c r="F17" s="9"/>
      <c r="M17" s="9"/>
      <c r="N17" s="18"/>
    </row>
    <row r="18" spans="1:14" x14ac:dyDescent="0.2">
      <c r="A18" s="8">
        <v>2022</v>
      </c>
      <c r="B18" s="4" cm="1">
        <f t="array" ref="B18:B56">TRANSPOSE(E10:AQ10)</f>
        <v>1197.8871068211181</v>
      </c>
      <c r="C18" s="4"/>
      <c r="F18" s="9"/>
      <c r="M18" s="9"/>
      <c r="N18" s="18"/>
    </row>
    <row r="19" spans="1:14" x14ac:dyDescent="0.2">
      <c r="A19" s="8">
        <v>2023</v>
      </c>
      <c r="B19" s="4">
        <v>1221.885697312382</v>
      </c>
      <c r="C19" s="4"/>
      <c r="F19" s="9"/>
      <c r="M19" s="9"/>
      <c r="N19" s="18"/>
    </row>
    <row r="20" spans="1:14" x14ac:dyDescent="0.2">
      <c r="A20" s="8">
        <v>2024</v>
      </c>
      <c r="B20" s="4">
        <v>1242.0141202944874</v>
      </c>
      <c r="C20" s="4"/>
      <c r="F20" s="9"/>
      <c r="M20" s="9"/>
      <c r="N20" s="18"/>
    </row>
    <row r="21" spans="1:14" x14ac:dyDescent="0.2">
      <c r="A21" s="8">
        <v>2025</v>
      </c>
      <c r="B21" s="4">
        <v>1258.7884545304748</v>
      </c>
      <c r="C21" s="4"/>
      <c r="F21" s="9"/>
      <c r="M21" s="9"/>
      <c r="N21" s="18"/>
    </row>
    <row r="22" spans="1:14" x14ac:dyDescent="0.2">
      <c r="A22" s="8">
        <v>2026</v>
      </c>
      <c r="B22" s="4">
        <v>1272.6929673104089</v>
      </c>
      <c r="C22" s="4"/>
      <c r="F22" s="9"/>
      <c r="M22" s="9"/>
      <c r="N22" s="18"/>
    </row>
    <row r="23" spans="1:14" x14ac:dyDescent="0.2">
      <c r="A23" s="8">
        <v>2027</v>
      </c>
      <c r="B23" s="4">
        <v>1284.1675816830541</v>
      </c>
      <c r="C23" s="4"/>
      <c r="F23" s="9"/>
      <c r="M23" s="9"/>
      <c r="N23" s="18"/>
    </row>
    <row r="24" spans="1:14" x14ac:dyDescent="0.2">
      <c r="A24" s="8">
        <v>2028</v>
      </c>
      <c r="B24" s="4">
        <v>1293.602292731709</v>
      </c>
      <c r="C24" s="4"/>
      <c r="F24" s="9"/>
      <c r="M24" s="9"/>
      <c r="N24" s="18"/>
    </row>
    <row r="25" spans="1:14" x14ac:dyDescent="0.2">
      <c r="A25" s="8">
        <v>2029</v>
      </c>
      <c r="B25" s="4">
        <v>1301.3363939185695</v>
      </c>
      <c r="C25" s="4"/>
      <c r="F25" s="9"/>
      <c r="M25" s="9"/>
      <c r="N25" s="18"/>
    </row>
    <row r="26" spans="1:14" x14ac:dyDescent="0.2">
      <c r="A26" s="8">
        <v>2030</v>
      </c>
      <c r="B26" s="4">
        <v>1307.6607678488117</v>
      </c>
      <c r="C26" s="4"/>
      <c r="F26" s="9"/>
      <c r="M26" s="9"/>
      <c r="N26" s="18"/>
    </row>
    <row r="27" spans="1:14" x14ac:dyDescent="0.2">
      <c r="A27" s="8">
        <v>2031</v>
      </c>
      <c r="B27" s="4">
        <v>1312.8219258894007</v>
      </c>
      <c r="C27" s="4"/>
      <c r="F27" s="9"/>
      <c r="M27" s="9"/>
      <c r="N27" s="18"/>
    </row>
    <row r="28" spans="1:14" x14ac:dyDescent="0.2">
      <c r="A28" s="8">
        <v>2032</v>
      </c>
      <c r="B28" s="4">
        <v>1317.026868481061</v>
      </c>
      <c r="C28" s="4"/>
      <c r="F28" s="9"/>
      <c r="M28" s="9"/>
      <c r="N28" s="18"/>
    </row>
    <row r="29" spans="1:14" x14ac:dyDescent="0.2">
      <c r="A29" s="8">
        <v>2033</v>
      </c>
      <c r="B29" s="4">
        <v>1320.4481512866635</v>
      </c>
      <c r="C29" s="4"/>
      <c r="F29" s="9"/>
      <c r="M29" s="9"/>
      <c r="N29" s="18"/>
    </row>
    <row r="30" spans="1:14" x14ac:dyDescent="0.2">
      <c r="A30" s="8">
        <v>2034</v>
      </c>
      <c r="B30" s="4">
        <v>1323.2287777360821</v>
      </c>
      <c r="C30" s="4"/>
      <c r="F30" s="9"/>
      <c r="M30" s="9"/>
      <c r="N30" s="18"/>
    </row>
    <row r="31" spans="1:14" x14ac:dyDescent="0.2">
      <c r="A31" s="8">
        <v>2035</v>
      </c>
      <c r="B31" s="4">
        <v>1325.486705506976</v>
      </c>
      <c r="C31" s="4"/>
      <c r="F31" s="9"/>
      <c r="M31" s="9"/>
      <c r="N31" s="18"/>
    </row>
    <row r="32" spans="1:14" x14ac:dyDescent="0.2">
      <c r="A32" s="8">
        <v>2036</v>
      </c>
      <c r="B32" s="4">
        <v>1327.3188669852152</v>
      </c>
      <c r="C32" s="4"/>
      <c r="F32" s="9"/>
      <c r="M32" s="9"/>
      <c r="N32" s="18"/>
    </row>
    <row r="33" spans="1:14" x14ac:dyDescent="0.2">
      <c r="A33" s="8">
        <v>2037</v>
      </c>
      <c r="B33" s="4">
        <v>1328.8046756664974</v>
      </c>
      <c r="C33" s="4"/>
      <c r="F33" s="9"/>
      <c r="M33" s="9"/>
      <c r="N33" s="18"/>
    </row>
    <row r="34" spans="1:14" x14ac:dyDescent="0.2">
      <c r="A34" s="8">
        <v>2038</v>
      </c>
      <c r="B34" s="4">
        <v>1330.009033625417</v>
      </c>
      <c r="C34" s="4"/>
      <c r="F34" s="9"/>
      <c r="M34" s="9"/>
      <c r="N34" s="18"/>
    </row>
    <row r="35" spans="1:14" x14ac:dyDescent="0.2">
      <c r="A35" s="8">
        <v>2039</v>
      </c>
      <c r="B35" s="4">
        <v>1330.984878832212</v>
      </c>
      <c r="C35" s="4"/>
      <c r="F35" s="9"/>
      <c r="M35" s="9"/>
      <c r="N35" s="18"/>
    </row>
    <row r="36" spans="1:14" x14ac:dyDescent="0.2">
      <c r="A36" s="8">
        <v>2040</v>
      </c>
      <c r="B36" s="4">
        <v>1331.7753220509373</v>
      </c>
      <c r="C36" s="4"/>
      <c r="F36" s="9"/>
      <c r="M36" s="9"/>
      <c r="N36" s="18"/>
    </row>
    <row r="37" spans="1:14" x14ac:dyDescent="0.2">
      <c r="A37" s="8">
        <v>2041</v>
      </c>
      <c r="B37" s="4">
        <v>1332.4154261095914</v>
      </c>
      <c r="C37" s="4"/>
      <c r="F37" s="9"/>
      <c r="M37" s="9"/>
      <c r="N37" s="18"/>
    </row>
    <row r="38" spans="1:14" x14ac:dyDescent="0.2">
      <c r="A38" s="8">
        <v>2042</v>
      </c>
      <c r="B38" s="4">
        <v>1332.9336787595273</v>
      </c>
      <c r="C38" s="4"/>
      <c r="F38" s="9"/>
      <c r="M38" s="9"/>
      <c r="N38" s="18"/>
    </row>
    <row r="39" spans="1:14" x14ac:dyDescent="0.2">
      <c r="A39" s="8">
        <v>2043</v>
      </c>
      <c r="B39" s="4">
        <v>1333.3532062857764</v>
      </c>
      <c r="C39" s="4"/>
      <c r="F39" s="9"/>
      <c r="M39" s="9"/>
      <c r="N39" s="18"/>
    </row>
    <row r="40" spans="1:14" x14ac:dyDescent="0.2">
      <c r="A40" s="8">
        <v>2044</v>
      </c>
      <c r="B40" s="4">
        <v>1333.6927698544107</v>
      </c>
      <c r="C40" s="4"/>
      <c r="F40" s="9"/>
      <c r="M40" s="9"/>
      <c r="N40" s="18"/>
    </row>
    <row r="41" spans="1:14" x14ac:dyDescent="0.2">
      <c r="A41" s="8">
        <v>2045</v>
      </c>
      <c r="B41" s="4">
        <v>1333.9675811167979</v>
      </c>
      <c r="C41" s="4"/>
      <c r="F41" s="9"/>
      <c r="M41" s="9"/>
      <c r="N41" s="18"/>
    </row>
    <row r="42" spans="1:14" x14ac:dyDescent="0.2">
      <c r="A42" s="8">
        <v>2046</v>
      </c>
      <c r="B42" s="4">
        <v>1334.1899683100096</v>
      </c>
      <c r="C42" s="4"/>
      <c r="F42" s="9"/>
      <c r="M42" s="9"/>
      <c r="N42" s="18"/>
    </row>
    <row r="43" spans="1:14" x14ac:dyDescent="0.2">
      <c r="A43" s="8">
        <v>2047</v>
      </c>
      <c r="B43" s="4">
        <v>1334.3699192476029</v>
      </c>
      <c r="C43" s="4"/>
      <c r="F43" s="9"/>
      <c r="M43" s="9"/>
      <c r="N43" s="18"/>
    </row>
    <row r="44" spans="1:14" x14ac:dyDescent="0.2">
      <c r="A44" s="8">
        <v>2048</v>
      </c>
      <c r="B44" s="4">
        <v>1334.5155232942716</v>
      </c>
      <c r="C44" s="4"/>
      <c r="F44" s="9"/>
      <c r="M44" s="9"/>
      <c r="N44" s="18"/>
    </row>
    <row r="45" spans="1:14" x14ac:dyDescent="0.2">
      <c r="A45" s="8">
        <v>2049</v>
      </c>
      <c r="B45" s="4">
        <v>1334.633330686072</v>
      </c>
      <c r="C45" s="4"/>
      <c r="F45" s="9"/>
      <c r="M45" s="9"/>
      <c r="N45" s="18"/>
    </row>
    <row r="46" spans="1:14" x14ac:dyDescent="0.2">
      <c r="A46" s="8">
        <v>2050</v>
      </c>
      <c r="B46" s="4">
        <v>1334.7286443719149</v>
      </c>
      <c r="C46" s="4"/>
      <c r="F46" s="9"/>
      <c r="M46" s="9"/>
      <c r="N46" s="18"/>
    </row>
    <row r="47" spans="1:14" x14ac:dyDescent="0.2">
      <c r="A47" s="8">
        <v>2051</v>
      </c>
      <c r="B47" s="4">
        <v>1334.8057568644397</v>
      </c>
      <c r="C47" s="4"/>
      <c r="F47" s="9"/>
      <c r="M47" s="9"/>
      <c r="N47" s="18"/>
    </row>
    <row r="48" spans="1:14" x14ac:dyDescent="0.2">
      <c r="A48" s="8">
        <v>2052</v>
      </c>
      <c r="B48" s="4">
        <v>1334.8681423415808</v>
      </c>
      <c r="C48" s="4"/>
      <c r="F48" s="9"/>
      <c r="M48" s="9"/>
      <c r="N48" s="18"/>
    </row>
    <row r="49" spans="1:14" x14ac:dyDescent="0.2">
      <c r="A49" s="8">
        <v>2053</v>
      </c>
      <c r="B49" s="4">
        <v>1334.9186123748109</v>
      </c>
      <c r="C49" s="4"/>
      <c r="F49" s="9"/>
      <c r="M49" s="9"/>
      <c r="N49" s="18"/>
    </row>
    <row r="50" spans="1:14" x14ac:dyDescent="0.2">
      <c r="A50" s="8">
        <v>2054</v>
      </c>
      <c r="B50" s="4">
        <v>1334.95944211967</v>
      </c>
      <c r="C50" s="4"/>
      <c r="F50" s="9"/>
      <c r="M50" s="9"/>
      <c r="N50" s="18"/>
    </row>
    <row r="51" spans="1:14" x14ac:dyDescent="0.2">
      <c r="A51" s="8">
        <v>2055</v>
      </c>
      <c r="B51" s="4">
        <v>1334.9924725374619</v>
      </c>
      <c r="C51" s="4"/>
      <c r="F51" s="9"/>
      <c r="M51" s="9"/>
      <c r="N51" s="18"/>
    </row>
    <row r="52" spans="1:14" x14ac:dyDescent="0.2">
      <c r="A52" s="8">
        <v>2056</v>
      </c>
      <c r="B52" s="4">
        <v>1335.0191931787804</v>
      </c>
      <c r="C52" s="4"/>
      <c r="F52" s="9"/>
      <c r="M52" s="9"/>
      <c r="N52" s="18"/>
    </row>
    <row r="53" spans="1:14" x14ac:dyDescent="0.2">
      <c r="A53" s="8">
        <v>2057</v>
      </c>
      <c r="B53" s="4">
        <v>1335.0408092107564</v>
      </c>
      <c r="C53" s="4"/>
      <c r="F53" s="9"/>
      <c r="M53" s="9"/>
      <c r="N53" s="18"/>
    </row>
    <row r="54" spans="1:14" x14ac:dyDescent="0.2">
      <c r="A54" s="8">
        <v>2058</v>
      </c>
      <c r="B54" s="4">
        <v>1335.0582956775181</v>
      </c>
      <c r="C54" s="4"/>
      <c r="F54" s="9"/>
      <c r="M54" s="9"/>
      <c r="N54" s="18"/>
    </row>
    <row r="55" spans="1:14" x14ac:dyDescent="0.2">
      <c r="A55" s="8">
        <v>2059</v>
      </c>
      <c r="B55" s="4">
        <v>1335.072441419394</v>
      </c>
      <c r="C55" s="4"/>
      <c r="F55" s="9"/>
      <c r="M55" s="9"/>
      <c r="N55" s="18"/>
    </row>
    <row r="56" spans="1:14" x14ac:dyDescent="0.2">
      <c r="A56" s="8">
        <v>2060</v>
      </c>
      <c r="B56" s="4">
        <v>1335.0838846177326</v>
      </c>
      <c r="C56" s="4"/>
      <c r="N56" s="1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7AA44-5153-AE4E-B9D0-56FCCC1E1B27}">
  <dimension ref="A1:AQ56"/>
  <sheetViews>
    <sheetView workbookViewId="0">
      <selection activeCell="E2" sqref="E2:AQ2"/>
    </sheetView>
  </sheetViews>
  <sheetFormatPr baseColWidth="10" defaultRowHeight="16" x14ac:dyDescent="0.2"/>
  <sheetData>
    <row r="1" spans="1:43" x14ac:dyDescent="0.2">
      <c r="A1" s="1" t="s">
        <v>11</v>
      </c>
      <c r="B1" s="8">
        <v>2019</v>
      </c>
      <c r="C1" s="8">
        <v>2020</v>
      </c>
      <c r="D1" s="8">
        <v>2021</v>
      </c>
      <c r="E1" s="8">
        <v>2022</v>
      </c>
      <c r="F1" s="8">
        <v>2023</v>
      </c>
      <c r="G1" s="8">
        <v>2024</v>
      </c>
      <c r="H1" s="8">
        <v>2025</v>
      </c>
      <c r="I1" s="8">
        <v>2026</v>
      </c>
      <c r="J1" s="8">
        <v>2027</v>
      </c>
      <c r="K1" s="8">
        <v>2028</v>
      </c>
      <c r="L1" s="8">
        <v>2029</v>
      </c>
      <c r="M1" s="8">
        <v>2030</v>
      </c>
      <c r="N1" s="8">
        <v>2031</v>
      </c>
      <c r="O1" s="8">
        <v>2032</v>
      </c>
      <c r="P1" s="8">
        <v>2033</v>
      </c>
      <c r="Q1" s="8">
        <v>2034</v>
      </c>
      <c r="R1" s="8">
        <v>2035</v>
      </c>
      <c r="S1" s="8">
        <v>2036</v>
      </c>
      <c r="T1" s="8">
        <v>2037</v>
      </c>
      <c r="U1" s="8">
        <v>2038</v>
      </c>
      <c r="V1" s="8">
        <v>2039</v>
      </c>
      <c r="W1" s="8">
        <v>2040</v>
      </c>
      <c r="X1" s="8">
        <v>2041</v>
      </c>
      <c r="Y1" s="8">
        <v>2042</v>
      </c>
      <c r="Z1" s="8">
        <v>2043</v>
      </c>
      <c r="AA1" s="8">
        <v>2044</v>
      </c>
      <c r="AB1" s="8">
        <v>2045</v>
      </c>
      <c r="AC1" s="8">
        <v>2046</v>
      </c>
      <c r="AD1" s="8">
        <v>2047</v>
      </c>
      <c r="AE1" s="8">
        <v>2048</v>
      </c>
      <c r="AF1" s="8">
        <v>2049</v>
      </c>
      <c r="AG1" s="8">
        <v>2050</v>
      </c>
      <c r="AH1" s="8">
        <v>2051</v>
      </c>
      <c r="AI1" s="8">
        <v>2052</v>
      </c>
      <c r="AJ1" s="8">
        <v>2053</v>
      </c>
      <c r="AK1" s="8">
        <v>2054</v>
      </c>
      <c r="AL1" s="8">
        <v>2055</v>
      </c>
      <c r="AM1" s="8">
        <v>2056</v>
      </c>
      <c r="AN1" s="8">
        <v>2057</v>
      </c>
      <c r="AO1" s="8">
        <v>2058</v>
      </c>
      <c r="AP1" s="8">
        <v>2059</v>
      </c>
      <c r="AQ1" s="8">
        <v>2060</v>
      </c>
    </row>
    <row r="2" spans="1:43" x14ac:dyDescent="0.2">
      <c r="A2" s="1" t="s">
        <v>22</v>
      </c>
      <c r="B2" s="32">
        <f>C15</f>
        <v>36885006.407585144</v>
      </c>
      <c r="C2" s="32">
        <f>C16</f>
        <v>40600036.611982346</v>
      </c>
      <c r="D2" s="32">
        <f>C17</f>
        <v>44315066.816379547</v>
      </c>
      <c r="E2" s="4">
        <f>'Residential-Conversion'!B87+'Residential-Conversion'!B111</f>
        <v>48095101.367116034</v>
      </c>
      <c r="F2" s="4">
        <f>'Residential-Conversion'!C87+'Residential-Conversion'!C111</f>
        <v>51336330.538734496</v>
      </c>
      <c r="G2" s="4">
        <f>'Residential-Conversion'!D87+'Residential-Conversion'!D111</f>
        <v>55605006.682010174</v>
      </c>
      <c r="H2" s="4">
        <f>'Residential-Conversion'!E87+'Residential-Conversion'!E111</f>
        <v>59851861.803062633</v>
      </c>
      <c r="I2" s="4">
        <f>'Residential-Conversion'!F87+'Residential-Conversion'!F111</f>
        <v>62412486.756940186</v>
      </c>
      <c r="J2" s="4">
        <f>'Residential-Conversion'!G87+'Residential-Conversion'!G111</f>
        <v>63890279.961924314</v>
      </c>
      <c r="K2" s="4">
        <f>'Residential-Conversion'!H87+'Residential-Conversion'!H111</f>
        <v>65339211.868786588</v>
      </c>
      <c r="L2" s="4">
        <f>'Residential-Conversion'!I87+'Residential-Conversion'!I111</f>
        <v>66759019.617600948</v>
      </c>
      <c r="M2" s="4">
        <f>'Residential-Conversion'!J87+'Residential-Conversion'!J111</f>
        <v>68149081.03909944</v>
      </c>
      <c r="N2" s="4">
        <f>'Residential-Conversion'!K87+'Residential-Conversion'!K111</f>
        <v>80352152.689680666</v>
      </c>
      <c r="O2" s="4">
        <f>'Residential-Conversion'!L87+'Residential-Conversion'!L111</f>
        <v>82005830.083625391</v>
      </c>
      <c r="P2" s="4">
        <f>'Residential-Conversion'!M87+'Residential-Conversion'!M111</f>
        <v>83536594.637659281</v>
      </c>
      <c r="Q2" s="4">
        <f>'Residential-Conversion'!N87+'Residential-Conversion'!N111</f>
        <v>84954094.799392343</v>
      </c>
      <c r="R2" s="4">
        <f>'Residential-Conversion'!O87+'Residential-Conversion'!O111</f>
        <v>86268531.594296783</v>
      </c>
      <c r="S2" s="4">
        <f>'Residential-Conversion'!P87+'Residential-Conversion'!P111</f>
        <v>91362905.280564278</v>
      </c>
      <c r="T2" s="4">
        <f>'Residential-Conversion'!Q87+'Residential-Conversion'!Q111</f>
        <v>92901645.561414063</v>
      </c>
      <c r="U2" s="4">
        <f>'Residential-Conversion'!R87+'Residential-Conversion'!R111</f>
        <v>94347571.703288198</v>
      </c>
      <c r="V2" s="4">
        <f>'Residential-Conversion'!S87+'Residential-Conversion'!S111</f>
        <v>95706496.247862324</v>
      </c>
      <c r="W2" s="4">
        <f>'Residential-Conversion'!T87+'Residential-Conversion'!T111</f>
        <v>96984568.31684415</v>
      </c>
      <c r="X2" s="4">
        <f>'Residential-Conversion'!U87+'Residential-Conversion'!U111</f>
        <v>105093067.79899257</v>
      </c>
      <c r="Y2" s="4">
        <f>'Residential-Conversion'!V87+'Residential-Conversion'!V111</f>
        <v>107180379.35019809</v>
      </c>
      <c r="Z2" s="4">
        <f>'Residential-Conversion'!W87+'Residential-Conversion'!W111</f>
        <v>109207558.29417774</v>
      </c>
      <c r="AA2" s="4">
        <f>'Residential-Conversion'!X87+'Residential-Conversion'!X111</f>
        <v>111172720.4659414</v>
      </c>
      <c r="AB2" s="4">
        <f>'Residential-Conversion'!Y87+'Residential-Conversion'!Y111</f>
        <v>113074620.61105995</v>
      </c>
      <c r="AC2" s="4">
        <f>'Residential-Conversion'!Z87+'Residential-Conversion'!Z111</f>
        <v>114774195.39376865</v>
      </c>
      <c r="AD2" s="4">
        <f>'Residential-Conversion'!AA87+'Residential-Conversion'!AA111</f>
        <v>116406629.23631948</v>
      </c>
      <c r="AE2" s="4">
        <f>'Residential-Conversion'!AB87+'Residential-Conversion'!AB111</f>
        <v>117972569.12994844</v>
      </c>
      <c r="AF2" s="4">
        <f>'Residential-Conversion'!AC87+'Residential-Conversion'!AC111</f>
        <v>119473084.83071116</v>
      </c>
      <c r="AG2" s="4">
        <f>'Residential-Conversion'!AD87+'Residential-Conversion'!AD111</f>
        <v>120909609.15442929</v>
      </c>
      <c r="AH2" s="4">
        <f>'Residential-Conversion'!AE87+'Residential-Conversion'!AE111</f>
        <v>132340670.72440353</v>
      </c>
      <c r="AI2" s="4">
        <f>'Residential-Conversion'!AF87+'Residential-Conversion'!AF111</f>
        <v>133969298.60249478</v>
      </c>
      <c r="AJ2" s="4">
        <f>'Residential-Conversion'!AG87+'Residential-Conversion'!AG111</f>
        <v>135523156.524517</v>
      </c>
      <c r="AK2" s="4">
        <f>'Residential-Conversion'!AH87+'Residential-Conversion'!AH111</f>
        <v>137002802.57534319</v>
      </c>
      <c r="AL2" s="4">
        <f>'Residential-Conversion'!AI87+'Residential-Conversion'!AI111</f>
        <v>138409179.3365308</v>
      </c>
      <c r="AM2" s="4">
        <f>'Residential-Conversion'!AJ87+'Residential-Conversion'!AJ111</f>
        <v>139743568.6167416</v>
      </c>
      <c r="AN2" s="4">
        <f>'Residential-Conversion'!AK87+'Residential-Conversion'!AK111</f>
        <v>141007546.42397076</v>
      </c>
      <c r="AO2" s="4">
        <f>'Residential-Conversion'!AL87+'Residential-Conversion'!AL111</f>
        <v>142202939.02870393</v>
      </c>
      <c r="AP2" s="4">
        <f>'Residential-Conversion'!AM87+'Residential-Conversion'!AM111</f>
        <v>143331780.81208563</v>
      </c>
      <c r="AQ2" s="4">
        <f>'Residential-Conversion'!AN87+'Residential-Conversion'!AN111</f>
        <v>144396274.44209304</v>
      </c>
    </row>
    <row r="3" spans="1:43" x14ac:dyDescent="0.2">
      <c r="A3" s="1" t="s">
        <v>23</v>
      </c>
      <c r="B3" s="32">
        <v>0</v>
      </c>
      <c r="C3" s="32">
        <v>0</v>
      </c>
      <c r="D3" s="32">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row>
    <row r="4" spans="1:43" x14ac:dyDescent="0.2">
      <c r="A4" s="1" t="s">
        <v>24</v>
      </c>
      <c r="B4" s="32">
        <v>0</v>
      </c>
      <c r="C4" s="32">
        <v>0</v>
      </c>
      <c r="D4" s="32">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row>
    <row r="5" spans="1:43" x14ac:dyDescent="0.2">
      <c r="A5" s="1" t="s">
        <v>25</v>
      </c>
      <c r="B5" s="32">
        <v>0</v>
      </c>
      <c r="C5" s="32">
        <v>0</v>
      </c>
      <c r="D5" s="32">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row>
    <row r="6" spans="1:43" x14ac:dyDescent="0.2">
      <c r="A6" s="1" t="s">
        <v>26</v>
      </c>
      <c r="B6" s="32">
        <v>0</v>
      </c>
      <c r="C6" s="32">
        <v>0</v>
      </c>
      <c r="D6" s="32">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row>
    <row r="7" spans="1:43" x14ac:dyDescent="0.2">
      <c r="A7" s="1" t="s">
        <v>27</v>
      </c>
      <c r="B7" s="32">
        <v>0</v>
      </c>
      <c r="C7" s="32">
        <v>0</v>
      </c>
      <c r="D7" s="32">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row>
    <row r="8" spans="1:43" x14ac:dyDescent="0.2">
      <c r="A8" s="1" t="s">
        <v>28</v>
      </c>
      <c r="B8" s="32">
        <v>0</v>
      </c>
      <c r="C8" s="32">
        <v>0</v>
      </c>
      <c r="D8" s="32">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row>
    <row r="9" spans="1:43" x14ac:dyDescent="0.2">
      <c r="A9" s="1" t="s">
        <v>29</v>
      </c>
      <c r="B9" s="32">
        <v>0</v>
      </c>
      <c r="C9" s="32">
        <v>0</v>
      </c>
      <c r="D9" s="32">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row>
    <row r="10" spans="1:43" x14ac:dyDescent="0.2">
      <c r="A10" s="1" t="s">
        <v>30</v>
      </c>
      <c r="B10" s="32">
        <v>0</v>
      </c>
      <c r="C10" s="32">
        <v>0</v>
      </c>
      <c r="D10" s="32">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row>
    <row r="11" spans="1:43" x14ac:dyDescent="0.2">
      <c r="A11" s="1" t="s">
        <v>31</v>
      </c>
      <c r="B11" s="32">
        <v>0</v>
      </c>
      <c r="C11" s="32">
        <v>0</v>
      </c>
      <c r="D11" s="32">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row>
    <row r="12" spans="1:43" x14ac:dyDescent="0.2">
      <c r="A12" s="1"/>
      <c r="B12" s="1"/>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row>
    <row r="14" spans="1:43" x14ac:dyDescent="0.2">
      <c r="A14" s="1" t="s">
        <v>11</v>
      </c>
      <c r="B14" s="1" t="s">
        <v>22</v>
      </c>
      <c r="C14" s="1" t="s">
        <v>144</v>
      </c>
    </row>
    <row r="15" spans="1:43" x14ac:dyDescent="0.2">
      <c r="A15" s="21">
        <v>2019</v>
      </c>
      <c r="C15" s="14">
        <f>_xlfn.FORECAST.LINEAR(A15,B$17:B$22,A$17:A$22)</f>
        <v>36885006.407585144</v>
      </c>
      <c r="L15" s="4"/>
      <c r="M15" s="22"/>
    </row>
    <row r="16" spans="1:43" x14ac:dyDescent="0.2">
      <c r="A16" s="20">
        <v>2020</v>
      </c>
      <c r="C16" s="14">
        <f t="shared" ref="C16:C17" si="0">_xlfn.FORECAST.LINEAR(A16,B$17:B$22,A$17:A$22)</f>
        <v>40600036.611982346</v>
      </c>
      <c r="L16" s="4"/>
      <c r="M16" s="22"/>
    </row>
    <row r="17" spans="1:13" x14ac:dyDescent="0.2">
      <c r="A17" s="20">
        <v>2021</v>
      </c>
      <c r="C17" s="14">
        <f t="shared" si="0"/>
        <v>44315066.816379547</v>
      </c>
      <c r="L17" s="4"/>
      <c r="M17" s="22"/>
    </row>
    <row r="18" spans="1:13" x14ac:dyDescent="0.2">
      <c r="A18" s="8">
        <v>2022</v>
      </c>
      <c r="B18" s="4" cm="1">
        <f t="array" ref="B18:B56">TRANSPOSE(E2:AQ2)</f>
        <v>48095101.367116034</v>
      </c>
      <c r="C18" s="4"/>
      <c r="L18" s="4"/>
      <c r="M18" s="22"/>
    </row>
    <row r="19" spans="1:13" x14ac:dyDescent="0.2">
      <c r="A19" s="8">
        <v>2023</v>
      </c>
      <c r="B19" s="4">
        <v>51336330.538734496</v>
      </c>
      <c r="C19" s="4"/>
      <c r="L19" s="4"/>
      <c r="M19" s="22"/>
    </row>
    <row r="20" spans="1:13" x14ac:dyDescent="0.2">
      <c r="A20" s="8">
        <v>2024</v>
      </c>
      <c r="B20" s="4">
        <v>55605006.682010174</v>
      </c>
      <c r="C20" s="4"/>
      <c r="L20" s="4"/>
      <c r="M20" s="22"/>
    </row>
    <row r="21" spans="1:13" x14ac:dyDescent="0.2">
      <c r="A21" s="8">
        <v>2025</v>
      </c>
      <c r="B21" s="4">
        <v>59851861.803062633</v>
      </c>
      <c r="C21" s="4"/>
      <c r="L21" s="4"/>
      <c r="M21" s="22"/>
    </row>
    <row r="22" spans="1:13" x14ac:dyDescent="0.2">
      <c r="A22" s="8">
        <v>2026</v>
      </c>
      <c r="B22" s="4">
        <v>62412486.756940186</v>
      </c>
      <c r="C22" s="4"/>
      <c r="L22" s="4"/>
      <c r="M22" s="22"/>
    </row>
    <row r="23" spans="1:13" x14ac:dyDescent="0.2">
      <c r="A23" s="8">
        <v>2027</v>
      </c>
      <c r="B23" s="4">
        <v>63890279.961924314</v>
      </c>
      <c r="C23" s="4"/>
      <c r="L23" s="4"/>
      <c r="M23" s="22"/>
    </row>
    <row r="24" spans="1:13" x14ac:dyDescent="0.2">
      <c r="A24" s="8">
        <v>2028</v>
      </c>
      <c r="B24" s="4">
        <v>65339211.868786588</v>
      </c>
      <c r="C24" s="4"/>
      <c r="L24" s="4"/>
      <c r="M24" s="22"/>
    </row>
    <row r="25" spans="1:13" x14ac:dyDescent="0.2">
      <c r="A25" s="8">
        <v>2029</v>
      </c>
      <c r="B25" s="4">
        <v>66759019.617600948</v>
      </c>
      <c r="C25" s="4"/>
      <c r="L25" s="4"/>
      <c r="M25" s="22"/>
    </row>
    <row r="26" spans="1:13" x14ac:dyDescent="0.2">
      <c r="A26" s="8">
        <v>2030</v>
      </c>
      <c r="B26" s="4">
        <v>68149081.03909944</v>
      </c>
      <c r="C26" s="4"/>
      <c r="L26" s="4"/>
      <c r="M26" s="22"/>
    </row>
    <row r="27" spans="1:13" x14ac:dyDescent="0.2">
      <c r="A27" s="8">
        <v>2031</v>
      </c>
      <c r="B27" s="4">
        <v>80352152.689680666</v>
      </c>
      <c r="C27" s="4"/>
      <c r="L27" s="4"/>
      <c r="M27" s="22"/>
    </row>
    <row r="28" spans="1:13" x14ac:dyDescent="0.2">
      <c r="A28" s="8">
        <v>2032</v>
      </c>
      <c r="B28" s="4">
        <v>82005830.083625391</v>
      </c>
      <c r="C28" s="4"/>
      <c r="L28" s="4"/>
      <c r="M28" s="22"/>
    </row>
    <row r="29" spans="1:13" x14ac:dyDescent="0.2">
      <c r="A29" s="8">
        <v>2033</v>
      </c>
      <c r="B29" s="4">
        <v>83536594.637659281</v>
      </c>
      <c r="C29" s="4"/>
      <c r="L29" s="4"/>
      <c r="M29" s="22"/>
    </row>
    <row r="30" spans="1:13" x14ac:dyDescent="0.2">
      <c r="A30" s="8">
        <v>2034</v>
      </c>
      <c r="B30" s="4">
        <v>84954094.799392343</v>
      </c>
      <c r="C30" s="4"/>
      <c r="L30" s="4"/>
      <c r="M30" s="22"/>
    </row>
    <row r="31" spans="1:13" x14ac:dyDescent="0.2">
      <c r="A31" s="8">
        <v>2035</v>
      </c>
      <c r="B31" s="4">
        <v>86268531.594296783</v>
      </c>
      <c r="C31" s="4"/>
      <c r="L31" s="4"/>
      <c r="M31" s="22"/>
    </row>
    <row r="32" spans="1:13" x14ac:dyDescent="0.2">
      <c r="A32" s="8">
        <v>2036</v>
      </c>
      <c r="B32" s="4">
        <v>91362905.280564278</v>
      </c>
      <c r="C32" s="4"/>
      <c r="L32" s="4"/>
      <c r="M32" s="22"/>
    </row>
    <row r="33" spans="1:13" x14ac:dyDescent="0.2">
      <c r="A33" s="8">
        <v>2037</v>
      </c>
      <c r="B33" s="4">
        <v>92901645.561414063</v>
      </c>
      <c r="C33" s="4"/>
      <c r="L33" s="4"/>
      <c r="M33" s="22"/>
    </row>
    <row r="34" spans="1:13" x14ac:dyDescent="0.2">
      <c r="A34" s="8">
        <v>2038</v>
      </c>
      <c r="B34" s="4">
        <v>94347571.703288198</v>
      </c>
      <c r="C34" s="4"/>
      <c r="L34" s="4"/>
      <c r="M34" s="22"/>
    </row>
    <row r="35" spans="1:13" x14ac:dyDescent="0.2">
      <c r="A35" s="8">
        <v>2039</v>
      </c>
      <c r="B35" s="4">
        <v>95706496.247862324</v>
      </c>
      <c r="C35" s="4"/>
      <c r="L35" s="4"/>
      <c r="M35" s="22"/>
    </row>
    <row r="36" spans="1:13" x14ac:dyDescent="0.2">
      <c r="A36" s="8">
        <v>2040</v>
      </c>
      <c r="B36" s="4">
        <v>96984568.31684415</v>
      </c>
      <c r="C36" s="4"/>
      <c r="L36" s="4"/>
      <c r="M36" s="22"/>
    </row>
    <row r="37" spans="1:13" x14ac:dyDescent="0.2">
      <c r="A37" s="8">
        <v>2041</v>
      </c>
      <c r="B37" s="4">
        <v>105093067.79899257</v>
      </c>
      <c r="C37" s="4"/>
      <c r="L37" s="4"/>
      <c r="M37" s="22"/>
    </row>
    <row r="38" spans="1:13" x14ac:dyDescent="0.2">
      <c r="A38" s="8">
        <v>2042</v>
      </c>
      <c r="B38" s="4">
        <v>107180379.35019809</v>
      </c>
      <c r="C38" s="4"/>
      <c r="L38" s="4"/>
      <c r="M38" s="22"/>
    </row>
    <row r="39" spans="1:13" x14ac:dyDescent="0.2">
      <c r="A39" s="8">
        <v>2043</v>
      </c>
      <c r="B39" s="4">
        <v>109207558.29417774</v>
      </c>
      <c r="C39" s="4"/>
      <c r="L39" s="4"/>
      <c r="M39" s="22"/>
    </row>
    <row r="40" spans="1:13" x14ac:dyDescent="0.2">
      <c r="A40" s="8">
        <v>2044</v>
      </c>
      <c r="B40" s="4">
        <v>111172720.4659414</v>
      </c>
      <c r="C40" s="4"/>
      <c r="L40" s="4"/>
      <c r="M40" s="22"/>
    </row>
    <row r="41" spans="1:13" x14ac:dyDescent="0.2">
      <c r="A41" s="8">
        <v>2045</v>
      </c>
      <c r="B41" s="4">
        <v>113074620.61105995</v>
      </c>
      <c r="C41" s="4"/>
      <c r="L41" s="4"/>
      <c r="M41" s="22"/>
    </row>
    <row r="42" spans="1:13" x14ac:dyDescent="0.2">
      <c r="A42" s="8">
        <v>2046</v>
      </c>
      <c r="B42" s="4">
        <v>114774195.39376865</v>
      </c>
      <c r="C42" s="4"/>
      <c r="L42" s="4"/>
      <c r="M42" s="22"/>
    </row>
    <row r="43" spans="1:13" x14ac:dyDescent="0.2">
      <c r="A43" s="8">
        <v>2047</v>
      </c>
      <c r="B43" s="4">
        <v>116406629.23631948</v>
      </c>
      <c r="C43" s="4"/>
      <c r="L43" s="4"/>
      <c r="M43" s="22"/>
    </row>
    <row r="44" spans="1:13" x14ac:dyDescent="0.2">
      <c r="A44" s="8">
        <v>2048</v>
      </c>
      <c r="B44" s="4">
        <v>117972569.12994844</v>
      </c>
      <c r="C44" s="4"/>
      <c r="L44" s="4"/>
      <c r="M44" s="22"/>
    </row>
    <row r="45" spans="1:13" x14ac:dyDescent="0.2">
      <c r="A45" s="8">
        <v>2049</v>
      </c>
      <c r="B45" s="4">
        <v>119473084.83071116</v>
      </c>
      <c r="C45" s="4"/>
      <c r="L45" s="4"/>
      <c r="M45" s="22"/>
    </row>
    <row r="46" spans="1:13" x14ac:dyDescent="0.2">
      <c r="A46" s="8">
        <v>2050</v>
      </c>
      <c r="B46" s="4">
        <v>120909609.15442929</v>
      </c>
      <c r="C46" s="4"/>
      <c r="L46" s="4"/>
      <c r="M46" s="22"/>
    </row>
    <row r="47" spans="1:13" x14ac:dyDescent="0.2">
      <c r="A47" s="8">
        <v>2051</v>
      </c>
      <c r="B47" s="4">
        <v>132340670.72440353</v>
      </c>
      <c r="C47" s="4"/>
      <c r="L47" s="4"/>
      <c r="M47" s="22"/>
    </row>
    <row r="48" spans="1:13" x14ac:dyDescent="0.2">
      <c r="A48" s="8">
        <v>2052</v>
      </c>
      <c r="B48" s="4">
        <v>133969298.60249478</v>
      </c>
      <c r="C48" s="4"/>
      <c r="L48" s="4"/>
      <c r="M48" s="22"/>
    </row>
    <row r="49" spans="1:13" x14ac:dyDescent="0.2">
      <c r="A49" s="8">
        <v>2053</v>
      </c>
      <c r="B49" s="4">
        <v>135523156.524517</v>
      </c>
      <c r="C49" s="4"/>
      <c r="L49" s="4"/>
      <c r="M49" s="22"/>
    </row>
    <row r="50" spans="1:13" x14ac:dyDescent="0.2">
      <c r="A50" s="8">
        <v>2054</v>
      </c>
      <c r="B50" s="4">
        <v>137002802.57534319</v>
      </c>
      <c r="C50" s="4"/>
      <c r="L50" s="4"/>
      <c r="M50" s="22"/>
    </row>
    <row r="51" spans="1:13" x14ac:dyDescent="0.2">
      <c r="A51" s="8">
        <v>2055</v>
      </c>
      <c r="B51" s="4">
        <v>138409179.3365308</v>
      </c>
      <c r="C51" s="4"/>
      <c r="L51" s="4"/>
      <c r="M51" s="22"/>
    </row>
    <row r="52" spans="1:13" x14ac:dyDescent="0.2">
      <c r="A52" s="8">
        <v>2056</v>
      </c>
      <c r="B52" s="4">
        <v>139743568.6167416</v>
      </c>
      <c r="C52" s="4"/>
      <c r="L52" s="4"/>
      <c r="M52" s="22"/>
    </row>
    <row r="53" spans="1:13" x14ac:dyDescent="0.2">
      <c r="A53" s="8">
        <v>2057</v>
      </c>
      <c r="B53" s="4">
        <v>141007546.42397076</v>
      </c>
      <c r="C53" s="4"/>
      <c r="L53" s="4"/>
      <c r="M53" s="22"/>
    </row>
    <row r="54" spans="1:13" x14ac:dyDescent="0.2">
      <c r="A54" s="8">
        <v>2058</v>
      </c>
      <c r="B54" s="4">
        <v>142202939.02870393</v>
      </c>
      <c r="C54" s="4"/>
      <c r="L54" s="4"/>
      <c r="M54" s="22"/>
    </row>
    <row r="55" spans="1:13" x14ac:dyDescent="0.2">
      <c r="A55" s="8">
        <v>2059</v>
      </c>
      <c r="B55" s="4">
        <v>143331780.81208563</v>
      </c>
      <c r="C55" s="4"/>
      <c r="L55" s="4"/>
      <c r="M55" s="22"/>
    </row>
    <row r="56" spans="1:13" x14ac:dyDescent="0.2">
      <c r="A56" s="8">
        <v>2060</v>
      </c>
      <c r="B56" s="4">
        <v>144396274.44209304</v>
      </c>
      <c r="C56" s="4"/>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998CD-8FEC-184F-8599-F09B7B27A514}">
  <dimension ref="A1:AQ56"/>
  <sheetViews>
    <sheetView workbookViewId="0">
      <selection activeCell="G8" sqref="G8"/>
    </sheetView>
  </sheetViews>
  <sheetFormatPr baseColWidth="10" defaultRowHeight="16" x14ac:dyDescent="0.2"/>
  <sheetData>
    <row r="1" spans="1:43" x14ac:dyDescent="0.2">
      <c r="A1" s="1" t="s">
        <v>11</v>
      </c>
      <c r="B1" s="8">
        <v>2019</v>
      </c>
      <c r="C1" s="8">
        <v>2020</v>
      </c>
      <c r="D1" s="8">
        <v>2021</v>
      </c>
      <c r="E1" s="8">
        <v>2022</v>
      </c>
      <c r="F1" s="8">
        <v>2023</v>
      </c>
      <c r="G1" s="8">
        <v>2024</v>
      </c>
      <c r="H1" s="8">
        <v>2025</v>
      </c>
      <c r="I1" s="8">
        <v>2026</v>
      </c>
      <c r="J1" s="8">
        <v>2027</v>
      </c>
      <c r="K1" s="8">
        <v>2028</v>
      </c>
      <c r="L1" s="8">
        <v>2029</v>
      </c>
      <c r="M1" s="8">
        <v>2030</v>
      </c>
      <c r="N1" s="8">
        <v>2031</v>
      </c>
      <c r="O1" s="8">
        <v>2032</v>
      </c>
      <c r="P1" s="8">
        <v>2033</v>
      </c>
      <c r="Q1" s="8">
        <v>2034</v>
      </c>
      <c r="R1" s="8">
        <v>2035</v>
      </c>
      <c r="S1" s="8">
        <v>2036</v>
      </c>
      <c r="T1" s="8">
        <v>2037</v>
      </c>
      <c r="U1" s="8">
        <v>2038</v>
      </c>
      <c r="V1" s="8">
        <v>2039</v>
      </c>
      <c r="W1" s="8">
        <v>2040</v>
      </c>
      <c r="X1" s="8">
        <v>2041</v>
      </c>
      <c r="Y1" s="8">
        <v>2042</v>
      </c>
      <c r="Z1" s="8">
        <v>2043</v>
      </c>
      <c r="AA1" s="8">
        <v>2044</v>
      </c>
      <c r="AB1" s="8">
        <v>2045</v>
      </c>
      <c r="AC1" s="8">
        <v>2046</v>
      </c>
      <c r="AD1" s="8">
        <v>2047</v>
      </c>
      <c r="AE1" s="8">
        <v>2048</v>
      </c>
      <c r="AF1" s="8">
        <v>2049</v>
      </c>
      <c r="AG1" s="8">
        <v>2050</v>
      </c>
      <c r="AH1" s="8">
        <v>2051</v>
      </c>
      <c r="AI1" s="8">
        <v>2052</v>
      </c>
      <c r="AJ1" s="8">
        <v>2053</v>
      </c>
      <c r="AK1" s="8">
        <v>2054</v>
      </c>
      <c r="AL1" s="8">
        <v>2055</v>
      </c>
      <c r="AM1" s="8">
        <v>2056</v>
      </c>
      <c r="AN1" s="8">
        <v>2057</v>
      </c>
      <c r="AO1" s="8">
        <v>2058</v>
      </c>
      <c r="AP1" s="8">
        <v>2059</v>
      </c>
      <c r="AQ1" s="8">
        <v>2060</v>
      </c>
    </row>
    <row r="2" spans="1:43" x14ac:dyDescent="0.2">
      <c r="A2" s="1" t="s">
        <v>22</v>
      </c>
      <c r="B2" s="17">
        <f>C15</f>
        <v>38529383.99899739</v>
      </c>
      <c r="C2" s="15">
        <f>C16</f>
        <v>38805270.492966592</v>
      </c>
      <c r="D2" s="15">
        <f>C17</f>
        <v>39081156.986935794</v>
      </c>
      <c r="E2" s="15">
        <f>'Residential-Conversion'!B143</f>
        <v>39395226.367037803</v>
      </c>
      <c r="F2" s="4">
        <f>'Residential-Conversion'!C143</f>
        <v>39589535.956283867</v>
      </c>
      <c r="G2" s="4">
        <f>'Residential-Conversion'!D143</f>
        <v>39756614.702927105</v>
      </c>
      <c r="H2" s="4">
        <f>'Residential-Conversion'!E143</f>
        <v>39906654.128983505</v>
      </c>
      <c r="I2" s="4">
        <f>'Residential-Conversion'!F143</f>
        <v>40271904.842428088</v>
      </c>
      <c r="J2" s="4">
        <f>'Residential-Conversion'!G143</f>
        <v>40630453.61808145</v>
      </c>
      <c r="K2" s="4">
        <f>'Residential-Conversion'!H143</f>
        <v>40984715.931353666</v>
      </c>
      <c r="L2" s="4">
        <f>'Residential-Conversion'!I143</f>
        <v>41336204.82349208</v>
      </c>
      <c r="M2" s="4">
        <f>'Residential-Conversion'!J143</f>
        <v>41685867.2811836</v>
      </c>
      <c r="N2" s="4">
        <f>'Residential-Conversion'!K143</f>
        <v>41977354.307687797</v>
      </c>
      <c r="O2" s="4">
        <f>'Residential-Conversion'!L143</f>
        <v>42268026.466687262</v>
      </c>
      <c r="P2" s="4">
        <f>'Residential-Conversion'!M143</f>
        <v>42558116.948004097</v>
      </c>
      <c r="Q2" s="4">
        <f>'Residential-Conversion'!N143</f>
        <v>42847771.290455639</v>
      </c>
      <c r="R2" s="4">
        <f>'Residential-Conversion'!O143</f>
        <v>43137080.316862434</v>
      </c>
      <c r="S2" s="4">
        <f>'Residential-Conversion'!P143</f>
        <v>43381680.416811846</v>
      </c>
      <c r="T2" s="4">
        <f>'Residential-Conversion'!Q143</f>
        <v>43626221.674785472</v>
      </c>
      <c r="U2" s="4">
        <f>'Residential-Conversion'!R143</f>
        <v>43870726.26699435</v>
      </c>
      <c r="V2" s="4">
        <f>'Residential-Conversion'!S143</f>
        <v>44115208.012773722</v>
      </c>
      <c r="W2" s="4">
        <f>'Residential-Conversion'!T143</f>
        <v>44359675.523444399</v>
      </c>
      <c r="X2" s="4">
        <f>'Residential-Conversion'!U143</f>
        <v>44547034.310314253</v>
      </c>
      <c r="Y2" s="4">
        <f>'Residential-Conversion'!V143</f>
        <v>44734387.547704905</v>
      </c>
      <c r="Z2" s="4">
        <f>'Residential-Conversion'!W143</f>
        <v>44921737.332246229</v>
      </c>
      <c r="AA2" s="4">
        <f>'Residential-Conversion'!X143</f>
        <v>45109084.96848736</v>
      </c>
      <c r="AB2" s="4">
        <f>'Residential-Conversion'!Y143</f>
        <v>45296431.268119425</v>
      </c>
      <c r="AC2" s="4">
        <f>'Residential-Conversion'!Z143</f>
        <v>45428991.458634779</v>
      </c>
      <c r="AD2" s="4">
        <f>'Residential-Conversion'!AA143</f>
        <v>45561551.129715972</v>
      </c>
      <c r="AE2" s="4">
        <f>'Residential-Conversion'!AB143</f>
        <v>45694110.47803615</v>
      </c>
      <c r="AF2" s="4">
        <f>'Residential-Conversion'!AC143</f>
        <v>45826669.62580394</v>
      </c>
      <c r="AG2" s="4">
        <f>'Residential-Conversion'!AD143</f>
        <v>45959228.648956582</v>
      </c>
      <c r="AH2" s="4">
        <f>'Residential-Conversion'!AE143</f>
        <v>45959228.776610866</v>
      </c>
      <c r="AI2" s="4">
        <f>'Residential-Conversion'!AF143</f>
        <v>45959228.855697796</v>
      </c>
      <c r="AJ2" s="4">
        <f>'Residential-Conversion'!AG143</f>
        <v>45959228.904695295</v>
      </c>
      <c r="AK2" s="4">
        <f>'Residential-Conversion'!AH143</f>
        <v>45959228.935051203</v>
      </c>
      <c r="AL2" s="4">
        <f>'Residential-Conversion'!AI143</f>
        <v>45959228.953857899</v>
      </c>
      <c r="AM2" s="4">
        <f>'Residential-Conversion'!AJ143</f>
        <v>45959228.965509385</v>
      </c>
      <c r="AN2" s="4">
        <f>'Residential-Conversion'!AK143</f>
        <v>45959228.972727932</v>
      </c>
      <c r="AO2" s="4">
        <f>'Residential-Conversion'!AL143</f>
        <v>45959228.977200143</v>
      </c>
      <c r="AP2" s="4">
        <f>'Residential-Conversion'!AM143</f>
        <v>45959228.979970835</v>
      </c>
      <c r="AQ2" s="4">
        <f>'Residential-Conversion'!AN143</f>
        <v>45959228.981687389</v>
      </c>
    </row>
    <row r="3" spans="1:43" x14ac:dyDescent="0.2">
      <c r="A3" s="1" t="s">
        <v>23</v>
      </c>
      <c r="B3" s="15">
        <v>0</v>
      </c>
      <c r="C3" s="15">
        <v>0</v>
      </c>
      <c r="D3" s="15">
        <v>0</v>
      </c>
      <c r="E3" s="15">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row>
    <row r="4" spans="1:43" x14ac:dyDescent="0.2">
      <c r="A4" s="1" t="s">
        <v>24</v>
      </c>
      <c r="B4" s="15">
        <v>0</v>
      </c>
      <c r="C4" s="15">
        <v>0</v>
      </c>
      <c r="D4" s="15">
        <v>0</v>
      </c>
      <c r="E4" s="15">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row>
    <row r="5" spans="1:43" x14ac:dyDescent="0.2">
      <c r="A5" s="1" t="s">
        <v>25</v>
      </c>
      <c r="B5" s="15">
        <v>0</v>
      </c>
      <c r="C5" s="15">
        <v>0</v>
      </c>
      <c r="D5" s="15">
        <v>0</v>
      </c>
      <c r="E5" s="15">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row>
    <row r="6" spans="1:43" x14ac:dyDescent="0.2">
      <c r="A6" s="1" t="s">
        <v>26</v>
      </c>
      <c r="B6" s="15">
        <v>0</v>
      </c>
      <c r="C6" s="15">
        <v>0</v>
      </c>
      <c r="D6" s="15">
        <v>0</v>
      </c>
      <c r="E6" s="15">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row>
    <row r="7" spans="1:43" x14ac:dyDescent="0.2">
      <c r="A7" s="1" t="s">
        <v>27</v>
      </c>
      <c r="B7" s="15">
        <v>0</v>
      </c>
      <c r="C7" s="15">
        <v>0</v>
      </c>
      <c r="D7" s="15">
        <v>0</v>
      </c>
      <c r="E7" s="15">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row>
    <row r="8" spans="1:43" x14ac:dyDescent="0.2">
      <c r="A8" s="1" t="s">
        <v>28</v>
      </c>
      <c r="B8" s="15">
        <f>H15</f>
        <v>4898268.4035431743</v>
      </c>
      <c r="C8" s="15">
        <f>H16</f>
        <v>4688686.7520976067</v>
      </c>
      <c r="D8" s="15">
        <f>H17</f>
        <v>4479105.1006520987</v>
      </c>
      <c r="E8" s="15">
        <f>'Residential-Conversion'!B15</f>
        <v>4440999.088122475</v>
      </c>
      <c r="F8" s="4">
        <f>'Residential-Conversion'!C15</f>
        <v>3987683.8264512462</v>
      </c>
      <c r="G8" s="4">
        <f>'Residential-Conversion'!D15</f>
        <v>3776307.4399760817</v>
      </c>
      <c r="H8" s="4">
        <f>'Residential-Conversion'!E15</f>
        <v>3576135.5468117767</v>
      </c>
      <c r="I8" s="4">
        <f>'Residential-Conversion'!F15</f>
        <v>3386574.2269257</v>
      </c>
      <c r="J8" s="4">
        <f>'Residential-Conversion'!G15</f>
        <v>3207061.0423875637</v>
      </c>
      <c r="K8" s="4">
        <f>'Residential-Conversion'!H15</f>
        <v>3037063.3685879256</v>
      </c>
      <c r="L8" s="4">
        <f>'Residential-Conversion'!I15</f>
        <v>2876076.813914279</v>
      </c>
      <c r="M8" s="4">
        <f>'Residential-Conversion'!J15</f>
        <v>2723623.7231958951</v>
      </c>
      <c r="N8" s="4">
        <f>'Residential-Conversion'!K15</f>
        <v>2579251.7604769934</v>
      </c>
      <c r="O8" s="4">
        <f>'Residential-Conversion'!L15</f>
        <v>2442532.566913316</v>
      </c>
      <c r="P8" s="4">
        <f>'Residential-Conversion'!M15</f>
        <v>2313060.4898099736</v>
      </c>
      <c r="Q8" s="4">
        <f>'Residential-Conversion'!N15</f>
        <v>2190451.3790295906</v>
      </c>
      <c r="R8" s="4">
        <f>'Residential-Conversion'!O15</f>
        <v>2074341.4471995984</v>
      </c>
      <c r="S8" s="4">
        <f>'Residential-Conversion'!P15</f>
        <v>1964386.1903368894</v>
      </c>
      <c r="T8" s="4">
        <f>'Residential-Conversion'!Q15</f>
        <v>1860259.3656872418</v>
      </c>
      <c r="U8" s="4">
        <f>'Residential-Conversion'!R15</f>
        <v>1761652.0237467242</v>
      </c>
      <c r="V8" s="4">
        <f>'Residential-Conversion'!S15</f>
        <v>1668271.5915930469</v>
      </c>
      <c r="W8" s="4">
        <f>'Residential-Conversion'!T15</f>
        <v>1579841.0048070501</v>
      </c>
      <c r="X8" s="4">
        <f>'Residential-Conversion'!U15</f>
        <v>1496097.8854086928</v>
      </c>
      <c r="Y8" s="4">
        <f>'Residential-Conversion'!V15</f>
        <v>1416793.7633684415</v>
      </c>
      <c r="Z8" s="4">
        <f>'Residential-Conversion'!W15</f>
        <v>1341693.339384255</v>
      </c>
      <c r="AA8" s="4">
        <f>'Residential-Conversion'!X15</f>
        <v>1270573.7867367661</v>
      </c>
      <c r="AB8" s="4">
        <f>'Residential-Conversion'!Y15</f>
        <v>1203224.0901512445</v>
      </c>
      <c r="AC8" s="4">
        <f>'Residential-Conversion'!Z15</f>
        <v>1139444.419704709</v>
      </c>
      <c r="AD8" s="4">
        <f>'Residential-Conversion'!AA15</f>
        <v>1079045.53792054</v>
      </c>
      <c r="AE8" s="4">
        <f>'Residential-Conversion'!AB15</f>
        <v>1021848.2382914032</v>
      </c>
      <c r="AF8" s="4">
        <f>'Residential-Conversion'!AC15</f>
        <v>967682.81356457144</v>
      </c>
      <c r="AG8" s="4">
        <f>'Residential-Conversion'!AD15</f>
        <v>916388.55221200315</v>
      </c>
      <c r="AH8" s="4">
        <f>'Residential-Conversion'!AE15</f>
        <v>867813.26159119105</v>
      </c>
      <c r="AI8" s="4">
        <f>'Residential-Conversion'!AF15</f>
        <v>821812.81638196879</v>
      </c>
      <c r="AJ8" s="4">
        <f>'Residential-Conversion'!AG15</f>
        <v>778250.73095946666</v>
      </c>
      <c r="AK8" s="4">
        <f>'Residential-Conversion'!AH15</f>
        <v>736997.75443442853</v>
      </c>
      <c r="AL8" s="4">
        <f>'Residential-Conversion'!AI15</f>
        <v>697931.48715934798</v>
      </c>
      <c r="AM8" s="4">
        <f>'Residential-Conversion'!AJ15</f>
        <v>660936.01756258484</v>
      </c>
      <c r="AN8" s="4">
        <f>'Residential-Conversion'!AK15</f>
        <v>625901.57823292667</v>
      </c>
      <c r="AO8" s="4">
        <f>'Residential-Conversion'!AL15</f>
        <v>592724.22023418162</v>
      </c>
      <c r="AP8" s="4">
        <f>'Residential-Conversion'!AM15</f>
        <v>561305.50468347862</v>
      </c>
      <c r="AQ8" s="4">
        <f>'Residential-Conversion'!AN15</f>
        <v>531552.21067817137</v>
      </c>
    </row>
    <row r="9" spans="1:43" x14ac:dyDescent="0.2">
      <c r="A9" s="1" t="s">
        <v>29</v>
      </c>
      <c r="B9" s="15">
        <v>0</v>
      </c>
      <c r="C9" s="15">
        <v>0</v>
      </c>
      <c r="D9" s="15">
        <v>0</v>
      </c>
      <c r="E9" s="15">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row>
    <row r="10" spans="1:43" x14ac:dyDescent="0.2">
      <c r="A10" s="1" t="s">
        <v>30</v>
      </c>
      <c r="B10" s="15">
        <v>0</v>
      </c>
      <c r="C10" s="15">
        <v>0</v>
      </c>
      <c r="D10" s="15">
        <v>0</v>
      </c>
      <c r="E10" s="15">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row>
    <row r="11" spans="1:43" x14ac:dyDescent="0.2">
      <c r="A11" s="1" t="s">
        <v>31</v>
      </c>
      <c r="B11" s="15">
        <v>0</v>
      </c>
      <c r="C11" s="15">
        <v>0</v>
      </c>
      <c r="D11" s="15">
        <v>0</v>
      </c>
      <c r="E11" s="15">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row>
    <row r="12" spans="1:43" x14ac:dyDescent="0.2">
      <c r="A12" s="1"/>
      <c r="B12" s="1"/>
      <c r="C12" s="15"/>
      <c r="D12" s="15"/>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row>
    <row r="14" spans="1:43" x14ac:dyDescent="0.2">
      <c r="A14" s="1" t="s">
        <v>11</v>
      </c>
      <c r="B14" s="1" t="s">
        <v>22</v>
      </c>
      <c r="C14" s="1" t="s">
        <v>144</v>
      </c>
      <c r="F14" s="1" t="s">
        <v>11</v>
      </c>
      <c r="G14" s="1" t="s">
        <v>28</v>
      </c>
      <c r="H14" s="1" t="s">
        <v>147</v>
      </c>
      <c r="M14" s="24"/>
      <c r="N14" s="24"/>
      <c r="O14" s="24"/>
      <c r="P14" s="25"/>
      <c r="Q14" s="25"/>
      <c r="R14" s="24"/>
      <c r="S14" s="24"/>
      <c r="T14" s="24"/>
    </row>
    <row r="15" spans="1:43" x14ac:dyDescent="0.2">
      <c r="A15" s="21">
        <v>2019</v>
      </c>
      <c r="B15" s="23"/>
      <c r="C15" s="14">
        <f>_xlfn.FORECAST.LINEAR(A15,B$17:B$40,A$17:A$40)</f>
        <v>38529383.99899739</v>
      </c>
      <c r="D15" s="23"/>
      <c r="E15" s="23"/>
      <c r="F15" s="21">
        <v>2019</v>
      </c>
      <c r="H15" s="14">
        <f>_xlfn.FORECAST.LINEAR(F15,G$17:G$25,F$17:F$25)</f>
        <v>4898268.4035431743</v>
      </c>
      <c r="M15" s="26"/>
      <c r="N15" s="25"/>
      <c r="O15" s="22"/>
      <c r="P15" s="25"/>
      <c r="Q15" s="25"/>
      <c r="R15" s="26"/>
      <c r="S15" s="25"/>
      <c r="T15" s="22"/>
    </row>
    <row r="16" spans="1:43" x14ac:dyDescent="0.2">
      <c r="A16" s="20">
        <v>2020</v>
      </c>
      <c r="C16" s="14">
        <f t="shared" ref="C16:C17" si="0">_xlfn.FORECAST.LINEAR(A16,B$17:B$40,A$17:A$40)</f>
        <v>38805270.492966592</v>
      </c>
      <c r="F16" s="20">
        <v>2020</v>
      </c>
      <c r="H16" s="14">
        <f t="shared" ref="H16:H17" si="1">_xlfn.FORECAST.LINEAR(F16,G$17:G$25,F$17:F$25)</f>
        <v>4688686.7520976067</v>
      </c>
      <c r="M16" s="26"/>
      <c r="N16" s="25"/>
      <c r="O16" s="22"/>
      <c r="P16" s="25"/>
      <c r="Q16" s="25"/>
      <c r="R16" s="26"/>
      <c r="S16" s="25"/>
      <c r="T16" s="22"/>
    </row>
    <row r="17" spans="1:20" x14ac:dyDescent="0.2">
      <c r="A17" s="20">
        <v>2021</v>
      </c>
      <c r="C17" s="14">
        <f t="shared" si="0"/>
        <v>39081156.986935794</v>
      </c>
      <c r="F17" s="20">
        <v>2021</v>
      </c>
      <c r="H17" s="14">
        <f t="shared" si="1"/>
        <v>4479105.1006520987</v>
      </c>
      <c r="M17" s="27"/>
      <c r="N17" s="22"/>
      <c r="O17" s="22"/>
      <c r="P17" s="25"/>
      <c r="Q17" s="25"/>
      <c r="R17" s="27"/>
      <c r="S17" s="22"/>
      <c r="T17" s="22"/>
    </row>
    <row r="18" spans="1:20" x14ac:dyDescent="0.2">
      <c r="A18" s="8">
        <v>2022</v>
      </c>
      <c r="B18" s="4" cm="1">
        <f t="array" ref="B18:B56">TRANSPOSE(E2:AQ2)</f>
        <v>39395226.367037803</v>
      </c>
      <c r="C18" s="4"/>
      <c r="F18" s="8">
        <v>2022</v>
      </c>
      <c r="G18" s="4" cm="1">
        <f t="array" ref="G18:G56">TRANSPOSE(E8:AQ8)</f>
        <v>4440999.088122475</v>
      </c>
      <c r="H18" s="4"/>
      <c r="M18" s="27"/>
      <c r="N18" s="22"/>
      <c r="O18" s="22"/>
      <c r="P18" s="25"/>
      <c r="Q18" s="25"/>
      <c r="R18" s="27"/>
      <c r="S18" s="22"/>
      <c r="T18" s="22"/>
    </row>
    <row r="19" spans="1:20" x14ac:dyDescent="0.2">
      <c r="A19" s="8">
        <v>2023</v>
      </c>
      <c r="B19" s="4">
        <v>39589535.956283867</v>
      </c>
      <c r="C19" s="4"/>
      <c r="F19" s="8">
        <v>2023</v>
      </c>
      <c r="G19" s="4">
        <v>3987683.8264512462</v>
      </c>
      <c r="H19" s="4"/>
      <c r="M19" s="27"/>
      <c r="N19" s="22"/>
      <c r="O19" s="22"/>
      <c r="P19" s="25"/>
      <c r="Q19" s="25"/>
      <c r="R19" s="27"/>
      <c r="S19" s="22"/>
      <c r="T19" s="22"/>
    </row>
    <row r="20" spans="1:20" x14ac:dyDescent="0.2">
      <c r="A20" s="8">
        <v>2024</v>
      </c>
      <c r="B20" s="4">
        <v>39756614.702927105</v>
      </c>
      <c r="C20" s="4"/>
      <c r="F20" s="8">
        <v>2024</v>
      </c>
      <c r="G20" s="4">
        <v>3776307.4399760817</v>
      </c>
      <c r="H20" s="4"/>
      <c r="M20" s="27"/>
      <c r="N20" s="22"/>
      <c r="O20" s="22"/>
      <c r="P20" s="25"/>
      <c r="Q20" s="25"/>
      <c r="R20" s="27"/>
      <c r="S20" s="22"/>
      <c r="T20" s="22"/>
    </row>
    <row r="21" spans="1:20" x14ac:dyDescent="0.2">
      <c r="A21" s="8">
        <v>2025</v>
      </c>
      <c r="B21" s="4">
        <v>39906654.128983505</v>
      </c>
      <c r="C21" s="4"/>
      <c r="F21" s="8">
        <v>2025</v>
      </c>
      <c r="G21" s="4">
        <v>3576135.5468117767</v>
      </c>
      <c r="H21" s="4"/>
      <c r="M21" s="27"/>
      <c r="N21" s="22"/>
      <c r="O21" s="22"/>
      <c r="P21" s="25"/>
      <c r="Q21" s="25"/>
      <c r="R21" s="27"/>
      <c r="S21" s="22"/>
      <c r="T21" s="22"/>
    </row>
    <row r="22" spans="1:20" x14ac:dyDescent="0.2">
      <c r="A22" s="8">
        <v>2026</v>
      </c>
      <c r="B22" s="4">
        <v>40271904.842428088</v>
      </c>
      <c r="C22" s="4"/>
      <c r="F22" s="8">
        <v>2026</v>
      </c>
      <c r="G22" s="4">
        <v>3386574.2269257</v>
      </c>
      <c r="H22" s="4"/>
      <c r="M22" s="27"/>
      <c r="N22" s="22"/>
      <c r="O22" s="22"/>
      <c r="P22" s="25"/>
      <c r="Q22" s="25"/>
      <c r="R22" s="27"/>
      <c r="S22" s="22"/>
      <c r="T22" s="22"/>
    </row>
    <row r="23" spans="1:20" x14ac:dyDescent="0.2">
      <c r="A23" s="8">
        <v>2027</v>
      </c>
      <c r="B23" s="4">
        <v>40630453.61808145</v>
      </c>
      <c r="C23" s="4"/>
      <c r="F23" s="8">
        <v>2027</v>
      </c>
      <c r="G23" s="4">
        <v>3207061.0423875637</v>
      </c>
      <c r="H23" s="4"/>
      <c r="M23" s="27"/>
      <c r="N23" s="22"/>
      <c r="O23" s="22"/>
      <c r="P23" s="25"/>
      <c r="Q23" s="25"/>
      <c r="R23" s="27"/>
      <c r="S23" s="22"/>
      <c r="T23" s="22"/>
    </row>
    <row r="24" spans="1:20" x14ac:dyDescent="0.2">
      <c r="A24" s="8">
        <v>2028</v>
      </c>
      <c r="B24" s="4">
        <v>40984715.931353666</v>
      </c>
      <c r="C24" s="4"/>
      <c r="F24" s="8">
        <v>2028</v>
      </c>
      <c r="G24" s="4">
        <v>3037063.3685879256</v>
      </c>
      <c r="H24" s="4"/>
      <c r="M24" s="27"/>
      <c r="N24" s="22"/>
      <c r="O24" s="22"/>
      <c r="P24" s="25"/>
      <c r="Q24" s="25"/>
      <c r="R24" s="27"/>
      <c r="S24" s="22"/>
      <c r="T24" s="22"/>
    </row>
    <row r="25" spans="1:20" x14ac:dyDescent="0.2">
      <c r="A25" s="8">
        <v>2029</v>
      </c>
      <c r="B25" s="4">
        <v>41336204.82349208</v>
      </c>
      <c r="C25" s="4"/>
      <c r="F25" s="8">
        <v>2029</v>
      </c>
      <c r="G25" s="4">
        <v>2876076.813914279</v>
      </c>
      <c r="H25" s="4"/>
      <c r="M25" s="27"/>
      <c r="N25" s="22"/>
      <c r="O25" s="22"/>
      <c r="P25" s="25"/>
      <c r="Q25" s="25"/>
      <c r="R25" s="27"/>
      <c r="S25" s="22"/>
      <c r="T25" s="22"/>
    </row>
    <row r="26" spans="1:20" x14ac:dyDescent="0.2">
      <c r="A26" s="8">
        <v>2030</v>
      </c>
      <c r="B26" s="4">
        <v>41685867.2811836</v>
      </c>
      <c r="C26" s="4"/>
      <c r="F26" s="8">
        <v>2030</v>
      </c>
      <c r="G26" s="4">
        <v>2723623.7231958951</v>
      </c>
      <c r="H26" s="4"/>
      <c r="M26" s="27"/>
      <c r="N26" s="22"/>
      <c r="O26" s="22"/>
      <c r="P26" s="25"/>
      <c r="Q26" s="25"/>
      <c r="R26" s="27"/>
      <c r="S26" s="22"/>
      <c r="T26" s="22"/>
    </row>
    <row r="27" spans="1:20" x14ac:dyDescent="0.2">
      <c r="A27" s="8">
        <v>2031</v>
      </c>
      <c r="B27" s="4">
        <v>41977354.307687797</v>
      </c>
      <c r="C27" s="4"/>
      <c r="F27" s="8">
        <v>2031</v>
      </c>
      <c r="G27" s="4">
        <v>2579251.7604769934</v>
      </c>
      <c r="H27" s="4"/>
      <c r="M27" s="27"/>
      <c r="N27" s="22"/>
      <c r="O27" s="22"/>
      <c r="P27" s="25"/>
      <c r="Q27" s="25"/>
      <c r="R27" s="27"/>
      <c r="S27" s="22"/>
      <c r="T27" s="22"/>
    </row>
    <row r="28" spans="1:20" x14ac:dyDescent="0.2">
      <c r="A28" s="8">
        <v>2032</v>
      </c>
      <c r="B28" s="4">
        <v>42268026.466687262</v>
      </c>
      <c r="C28" s="4"/>
      <c r="F28" s="8">
        <v>2032</v>
      </c>
      <c r="G28" s="4">
        <v>2442532.566913316</v>
      </c>
      <c r="H28" s="4"/>
      <c r="M28" s="27"/>
      <c r="N28" s="22"/>
      <c r="O28" s="22"/>
      <c r="P28" s="25"/>
      <c r="Q28" s="25"/>
      <c r="R28" s="27"/>
      <c r="S28" s="22"/>
      <c r="T28" s="22"/>
    </row>
    <row r="29" spans="1:20" x14ac:dyDescent="0.2">
      <c r="A29" s="8">
        <v>2033</v>
      </c>
      <c r="B29" s="4">
        <v>42558116.948004097</v>
      </c>
      <c r="C29" s="4"/>
      <c r="F29" s="8">
        <v>2033</v>
      </c>
      <c r="G29" s="4">
        <v>2313060.4898099736</v>
      </c>
      <c r="H29" s="4"/>
      <c r="M29" s="27"/>
      <c r="N29" s="22"/>
      <c r="O29" s="22"/>
      <c r="P29" s="25"/>
      <c r="Q29" s="25"/>
      <c r="R29" s="27"/>
      <c r="S29" s="22"/>
      <c r="T29" s="22"/>
    </row>
    <row r="30" spans="1:20" x14ac:dyDescent="0.2">
      <c r="A30" s="8">
        <v>2034</v>
      </c>
      <c r="B30" s="4">
        <v>42847771.290455639</v>
      </c>
      <c r="C30" s="4"/>
      <c r="F30" s="8">
        <v>2034</v>
      </c>
      <c r="G30" s="4">
        <v>2190451.3790295906</v>
      </c>
      <c r="H30" s="4"/>
      <c r="M30" s="27"/>
      <c r="N30" s="22"/>
      <c r="O30" s="22"/>
      <c r="P30" s="25"/>
      <c r="Q30" s="25"/>
      <c r="R30" s="27"/>
      <c r="S30" s="22"/>
      <c r="T30" s="22"/>
    </row>
    <row r="31" spans="1:20" x14ac:dyDescent="0.2">
      <c r="A31" s="8">
        <v>2035</v>
      </c>
      <c r="B31" s="4">
        <v>43137080.316862434</v>
      </c>
      <c r="C31" s="4"/>
      <c r="F31" s="8">
        <v>2035</v>
      </c>
      <c r="G31" s="4">
        <v>2074341.4471995984</v>
      </c>
      <c r="H31" s="4"/>
      <c r="M31" s="27"/>
      <c r="N31" s="22"/>
      <c r="O31" s="22"/>
      <c r="P31" s="25"/>
      <c r="Q31" s="25"/>
      <c r="R31" s="27"/>
      <c r="S31" s="22"/>
      <c r="T31" s="22"/>
    </row>
    <row r="32" spans="1:20" x14ac:dyDescent="0.2">
      <c r="A32" s="8">
        <v>2036</v>
      </c>
      <c r="B32" s="4">
        <v>43381680.416811846</v>
      </c>
      <c r="C32" s="4"/>
      <c r="F32" s="8">
        <v>2036</v>
      </c>
      <c r="G32" s="4">
        <v>1964386.1903368894</v>
      </c>
      <c r="H32" s="4"/>
      <c r="M32" s="27"/>
      <c r="N32" s="22"/>
      <c r="O32" s="22"/>
      <c r="P32" s="25"/>
      <c r="Q32" s="25"/>
      <c r="R32" s="27"/>
      <c r="S32" s="22"/>
      <c r="T32" s="22"/>
    </row>
    <row r="33" spans="1:20" x14ac:dyDescent="0.2">
      <c r="A33" s="8">
        <v>2037</v>
      </c>
      <c r="B33" s="4">
        <v>43626221.674785472</v>
      </c>
      <c r="C33" s="4"/>
      <c r="F33" s="8">
        <v>2037</v>
      </c>
      <c r="G33" s="4">
        <v>1860259.3656872418</v>
      </c>
      <c r="H33" s="4"/>
      <c r="M33" s="27"/>
      <c r="N33" s="22"/>
      <c r="O33" s="22"/>
      <c r="P33" s="25"/>
      <c r="Q33" s="25"/>
      <c r="R33" s="27"/>
      <c r="S33" s="22"/>
      <c r="T33" s="22"/>
    </row>
    <row r="34" spans="1:20" x14ac:dyDescent="0.2">
      <c r="A34" s="8">
        <v>2038</v>
      </c>
      <c r="B34" s="4">
        <v>43870726.26699435</v>
      </c>
      <c r="C34" s="4"/>
      <c r="F34" s="8">
        <v>2038</v>
      </c>
      <c r="G34" s="4">
        <v>1761652.0237467242</v>
      </c>
      <c r="H34" s="4"/>
      <c r="M34" s="27"/>
      <c r="N34" s="22"/>
      <c r="O34" s="22"/>
      <c r="P34" s="25"/>
      <c r="Q34" s="25"/>
      <c r="R34" s="27"/>
      <c r="S34" s="22"/>
      <c r="T34" s="22"/>
    </row>
    <row r="35" spans="1:20" x14ac:dyDescent="0.2">
      <c r="A35" s="8">
        <v>2039</v>
      </c>
      <c r="B35" s="4">
        <v>44115208.012773722</v>
      </c>
      <c r="C35" s="4"/>
      <c r="F35" s="8">
        <v>2039</v>
      </c>
      <c r="G35" s="4">
        <v>1668271.5915930469</v>
      </c>
      <c r="H35" s="4"/>
      <c r="M35" s="27"/>
      <c r="N35" s="22"/>
      <c r="O35" s="22"/>
      <c r="P35" s="25"/>
      <c r="Q35" s="25"/>
      <c r="R35" s="27"/>
      <c r="S35" s="22"/>
      <c r="T35" s="22"/>
    </row>
    <row r="36" spans="1:20" x14ac:dyDescent="0.2">
      <c r="A36" s="8">
        <v>2040</v>
      </c>
      <c r="B36" s="4">
        <v>44359675.523444399</v>
      </c>
      <c r="C36" s="4"/>
      <c r="F36" s="8">
        <v>2040</v>
      </c>
      <c r="G36" s="4">
        <v>1579841.0048070501</v>
      </c>
      <c r="H36" s="4"/>
      <c r="M36" s="27"/>
      <c r="N36" s="22"/>
      <c r="O36" s="22"/>
      <c r="P36" s="25"/>
      <c r="Q36" s="25"/>
      <c r="R36" s="27"/>
      <c r="S36" s="22"/>
      <c r="T36" s="22"/>
    </row>
    <row r="37" spans="1:20" x14ac:dyDescent="0.2">
      <c r="A37" s="8">
        <v>2041</v>
      </c>
      <c r="B37" s="4">
        <v>44547034.310314253</v>
      </c>
      <c r="C37" s="4"/>
      <c r="F37" s="8">
        <v>2041</v>
      </c>
      <c r="G37" s="4">
        <v>1496097.8854086928</v>
      </c>
      <c r="H37" s="4"/>
      <c r="M37" s="27"/>
      <c r="N37" s="22"/>
      <c r="O37" s="22"/>
      <c r="P37" s="25"/>
      <c r="Q37" s="25"/>
      <c r="R37" s="27"/>
      <c r="S37" s="22"/>
      <c r="T37" s="22"/>
    </row>
    <row r="38" spans="1:20" x14ac:dyDescent="0.2">
      <c r="A38" s="8">
        <v>2042</v>
      </c>
      <c r="B38" s="4">
        <v>44734387.547704905</v>
      </c>
      <c r="C38" s="4"/>
      <c r="F38" s="8">
        <v>2042</v>
      </c>
      <c r="G38" s="4">
        <v>1416793.7633684415</v>
      </c>
      <c r="H38" s="4"/>
      <c r="M38" s="27"/>
      <c r="N38" s="22"/>
      <c r="O38" s="22"/>
      <c r="P38" s="25"/>
      <c r="Q38" s="25"/>
      <c r="R38" s="27"/>
      <c r="S38" s="22"/>
      <c r="T38" s="22"/>
    </row>
    <row r="39" spans="1:20" x14ac:dyDescent="0.2">
      <c r="A39" s="8">
        <v>2043</v>
      </c>
      <c r="B39" s="4">
        <v>44921737.332246229</v>
      </c>
      <c r="C39" s="4"/>
      <c r="F39" s="8">
        <v>2043</v>
      </c>
      <c r="G39" s="4">
        <v>1341693.339384255</v>
      </c>
      <c r="H39" s="4"/>
      <c r="M39" s="27"/>
      <c r="N39" s="22"/>
      <c r="O39" s="22"/>
      <c r="P39" s="25"/>
      <c r="Q39" s="25"/>
      <c r="R39" s="27"/>
      <c r="S39" s="22"/>
      <c r="T39" s="22"/>
    </row>
    <row r="40" spans="1:20" x14ac:dyDescent="0.2">
      <c r="A40" s="8">
        <v>2044</v>
      </c>
      <c r="B40" s="4">
        <v>45109084.96848736</v>
      </c>
      <c r="C40" s="4"/>
      <c r="F40" s="8">
        <v>2044</v>
      </c>
      <c r="G40" s="4">
        <v>1270573.7867367661</v>
      </c>
      <c r="H40" s="4"/>
      <c r="M40" s="27"/>
      <c r="N40" s="22"/>
      <c r="O40" s="22"/>
      <c r="P40" s="25"/>
      <c r="Q40" s="25"/>
      <c r="R40" s="27"/>
      <c r="S40" s="22"/>
      <c r="T40" s="22"/>
    </row>
    <row r="41" spans="1:20" x14ac:dyDescent="0.2">
      <c r="A41" s="8">
        <v>2045</v>
      </c>
      <c r="B41" s="4">
        <v>45296431.268119425</v>
      </c>
      <c r="C41" s="4"/>
      <c r="F41" s="8">
        <v>2045</v>
      </c>
      <c r="G41" s="4">
        <v>1203224.0901512445</v>
      </c>
      <c r="H41" s="4"/>
      <c r="M41" s="27"/>
      <c r="N41" s="22"/>
      <c r="O41" s="22"/>
      <c r="P41" s="25"/>
      <c r="Q41" s="25"/>
      <c r="R41" s="27"/>
      <c r="S41" s="22"/>
      <c r="T41" s="22"/>
    </row>
    <row r="42" spans="1:20" x14ac:dyDescent="0.2">
      <c r="A42" s="8">
        <v>2046</v>
      </c>
      <c r="B42" s="4">
        <v>45428991.458634779</v>
      </c>
      <c r="C42" s="4"/>
      <c r="F42" s="8">
        <v>2046</v>
      </c>
      <c r="G42" s="4">
        <v>1139444.419704709</v>
      </c>
      <c r="H42" s="4"/>
      <c r="M42" s="27"/>
      <c r="N42" s="22"/>
      <c r="O42" s="22"/>
      <c r="P42" s="25"/>
      <c r="Q42" s="25"/>
      <c r="R42" s="27"/>
      <c r="S42" s="22"/>
      <c r="T42" s="22"/>
    </row>
    <row r="43" spans="1:20" x14ac:dyDescent="0.2">
      <c r="A43" s="8">
        <v>2047</v>
      </c>
      <c r="B43" s="4">
        <v>45561551.129715972</v>
      </c>
      <c r="C43" s="4"/>
      <c r="F43" s="8">
        <v>2047</v>
      </c>
      <c r="G43" s="4">
        <v>1079045.53792054</v>
      </c>
      <c r="H43" s="4"/>
      <c r="M43" s="27"/>
      <c r="N43" s="22"/>
      <c r="O43" s="22"/>
      <c r="P43" s="25"/>
      <c r="Q43" s="25"/>
      <c r="R43" s="27"/>
      <c r="S43" s="22"/>
      <c r="T43" s="22"/>
    </row>
    <row r="44" spans="1:20" x14ac:dyDescent="0.2">
      <c r="A44" s="8">
        <v>2048</v>
      </c>
      <c r="B44" s="4">
        <v>45694110.47803615</v>
      </c>
      <c r="C44" s="4"/>
      <c r="F44" s="8">
        <v>2048</v>
      </c>
      <c r="G44" s="4">
        <v>1021848.2382914032</v>
      </c>
      <c r="H44" s="4"/>
      <c r="M44" s="27"/>
      <c r="N44" s="22"/>
      <c r="O44" s="22"/>
      <c r="P44" s="25"/>
      <c r="Q44" s="25"/>
      <c r="R44" s="27"/>
      <c r="S44" s="22"/>
      <c r="T44" s="22"/>
    </row>
    <row r="45" spans="1:20" x14ac:dyDescent="0.2">
      <c r="A45" s="8">
        <v>2049</v>
      </c>
      <c r="B45" s="4">
        <v>45826669.62580394</v>
      </c>
      <c r="C45" s="4"/>
      <c r="F45" s="8">
        <v>2049</v>
      </c>
      <c r="G45" s="4">
        <v>967682.81356457144</v>
      </c>
      <c r="H45" s="4"/>
      <c r="M45" s="27"/>
      <c r="N45" s="22"/>
      <c r="O45" s="22"/>
      <c r="P45" s="25"/>
      <c r="Q45" s="25"/>
      <c r="R45" s="27"/>
      <c r="S45" s="22"/>
      <c r="T45" s="22"/>
    </row>
    <row r="46" spans="1:20" x14ac:dyDescent="0.2">
      <c r="A46" s="8">
        <v>2050</v>
      </c>
      <c r="B46" s="4">
        <v>45959228.648956582</v>
      </c>
      <c r="C46" s="4"/>
      <c r="F46" s="8">
        <v>2050</v>
      </c>
      <c r="G46" s="4">
        <v>916388.55221200315</v>
      </c>
      <c r="H46" s="4"/>
      <c r="M46" s="27"/>
      <c r="N46" s="22"/>
      <c r="O46" s="22"/>
      <c r="P46" s="25"/>
      <c r="Q46" s="25"/>
      <c r="R46" s="27"/>
      <c r="S46" s="22"/>
      <c r="T46" s="22"/>
    </row>
    <row r="47" spans="1:20" x14ac:dyDescent="0.2">
      <c r="A47" s="8">
        <v>2051</v>
      </c>
      <c r="B47" s="4">
        <v>45959228.776610866</v>
      </c>
      <c r="C47" s="4"/>
      <c r="F47" s="8">
        <v>2051</v>
      </c>
      <c r="G47" s="4">
        <v>867813.26159119105</v>
      </c>
      <c r="H47" s="4"/>
      <c r="M47" s="27"/>
      <c r="N47" s="22"/>
      <c r="O47" s="22"/>
      <c r="P47" s="25"/>
      <c r="Q47" s="25"/>
      <c r="R47" s="27"/>
      <c r="S47" s="22"/>
      <c r="T47" s="22"/>
    </row>
    <row r="48" spans="1:20" x14ac:dyDescent="0.2">
      <c r="A48" s="8">
        <v>2052</v>
      </c>
      <c r="B48" s="4">
        <v>45959228.855697796</v>
      </c>
      <c r="C48" s="4"/>
      <c r="F48" s="8">
        <v>2052</v>
      </c>
      <c r="G48" s="4">
        <v>821812.81638196879</v>
      </c>
      <c r="H48" s="4"/>
      <c r="M48" s="27"/>
      <c r="N48" s="22"/>
      <c r="O48" s="22"/>
      <c r="P48" s="25"/>
      <c r="Q48" s="25"/>
      <c r="R48" s="27"/>
      <c r="S48" s="22"/>
      <c r="T48" s="22"/>
    </row>
    <row r="49" spans="1:20" x14ac:dyDescent="0.2">
      <c r="A49" s="8">
        <v>2053</v>
      </c>
      <c r="B49" s="4">
        <v>45959228.904695295</v>
      </c>
      <c r="C49" s="4"/>
      <c r="F49" s="8">
        <v>2053</v>
      </c>
      <c r="G49" s="4">
        <v>778250.73095946666</v>
      </c>
      <c r="H49" s="4"/>
      <c r="M49" s="27"/>
      <c r="N49" s="22"/>
      <c r="O49" s="22"/>
      <c r="P49" s="25"/>
      <c r="Q49" s="25"/>
      <c r="R49" s="27"/>
      <c r="S49" s="22"/>
      <c r="T49" s="22"/>
    </row>
    <row r="50" spans="1:20" x14ac:dyDescent="0.2">
      <c r="A50" s="8">
        <v>2054</v>
      </c>
      <c r="B50" s="4">
        <v>45959228.935051203</v>
      </c>
      <c r="C50" s="4"/>
      <c r="F50" s="8">
        <v>2054</v>
      </c>
      <c r="G50" s="4">
        <v>736997.75443442853</v>
      </c>
      <c r="H50" s="4"/>
      <c r="M50" s="27"/>
      <c r="N50" s="22"/>
      <c r="O50" s="22"/>
      <c r="P50" s="25"/>
      <c r="Q50" s="25"/>
      <c r="R50" s="27"/>
      <c r="S50" s="22"/>
      <c r="T50" s="22"/>
    </row>
    <row r="51" spans="1:20" x14ac:dyDescent="0.2">
      <c r="A51" s="8">
        <v>2055</v>
      </c>
      <c r="B51" s="4">
        <v>45959228.953857899</v>
      </c>
      <c r="C51" s="4"/>
      <c r="F51" s="8">
        <v>2055</v>
      </c>
      <c r="G51" s="4">
        <v>697931.48715934798</v>
      </c>
      <c r="H51" s="4"/>
      <c r="M51" s="27"/>
      <c r="N51" s="22"/>
      <c r="O51" s="22"/>
      <c r="P51" s="25"/>
      <c r="Q51" s="25"/>
      <c r="R51" s="27"/>
      <c r="S51" s="22"/>
      <c r="T51" s="22"/>
    </row>
    <row r="52" spans="1:20" x14ac:dyDescent="0.2">
      <c r="A52" s="8">
        <v>2056</v>
      </c>
      <c r="B52" s="4">
        <v>45959228.965509385</v>
      </c>
      <c r="C52" s="4"/>
      <c r="F52" s="8">
        <v>2056</v>
      </c>
      <c r="G52" s="4">
        <v>660936.01756258484</v>
      </c>
      <c r="H52" s="4"/>
      <c r="M52" s="27"/>
      <c r="N52" s="22"/>
      <c r="O52" s="22"/>
      <c r="P52" s="25"/>
      <c r="Q52" s="25"/>
      <c r="R52" s="27"/>
      <c r="S52" s="22"/>
      <c r="T52" s="22"/>
    </row>
    <row r="53" spans="1:20" x14ac:dyDescent="0.2">
      <c r="A53" s="8">
        <v>2057</v>
      </c>
      <c r="B53" s="4">
        <v>45959228.972727932</v>
      </c>
      <c r="C53" s="4"/>
      <c r="F53" s="8">
        <v>2057</v>
      </c>
      <c r="G53" s="4">
        <v>625901.57823292667</v>
      </c>
      <c r="H53" s="4"/>
      <c r="M53" s="27"/>
      <c r="N53" s="22"/>
      <c r="O53" s="22"/>
      <c r="P53" s="25"/>
      <c r="Q53" s="25"/>
      <c r="R53" s="27"/>
      <c r="S53" s="22"/>
      <c r="T53" s="22"/>
    </row>
    <row r="54" spans="1:20" x14ac:dyDescent="0.2">
      <c r="A54" s="8">
        <v>2058</v>
      </c>
      <c r="B54" s="4">
        <v>45959228.977200143</v>
      </c>
      <c r="C54" s="4"/>
      <c r="F54" s="8">
        <v>2058</v>
      </c>
      <c r="G54" s="4">
        <v>592724.22023418162</v>
      </c>
      <c r="H54" s="4"/>
      <c r="M54" s="27"/>
      <c r="N54" s="22"/>
      <c r="O54" s="22"/>
      <c r="P54" s="25"/>
      <c r="Q54" s="25"/>
      <c r="R54" s="27"/>
      <c r="S54" s="22"/>
      <c r="T54" s="22"/>
    </row>
    <row r="55" spans="1:20" x14ac:dyDescent="0.2">
      <c r="A55" s="8">
        <v>2059</v>
      </c>
      <c r="B55" s="4">
        <v>45959228.979970835</v>
      </c>
      <c r="C55" s="4"/>
      <c r="F55" s="8">
        <v>2059</v>
      </c>
      <c r="G55" s="4">
        <v>561305.50468347862</v>
      </c>
      <c r="H55" s="4"/>
      <c r="M55" s="27"/>
      <c r="N55" s="22"/>
      <c r="O55" s="22"/>
      <c r="P55" s="25"/>
      <c r="Q55" s="25"/>
      <c r="R55" s="27"/>
      <c r="S55" s="22"/>
      <c r="T55" s="22"/>
    </row>
    <row r="56" spans="1:20" x14ac:dyDescent="0.2">
      <c r="A56" s="8">
        <v>2060</v>
      </c>
      <c r="B56" s="4">
        <v>45959228.981687389</v>
      </c>
      <c r="C56" s="4"/>
      <c r="F56" s="8">
        <v>2060</v>
      </c>
      <c r="G56" s="4">
        <v>531552.21067817137</v>
      </c>
      <c r="H56" s="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52AD4-9FE4-2342-8513-00D75DD88EE3}">
  <dimension ref="A1:AQ57"/>
  <sheetViews>
    <sheetView workbookViewId="0">
      <selection activeCell="D15" sqref="D15"/>
    </sheetView>
  </sheetViews>
  <sheetFormatPr baseColWidth="10" defaultRowHeight="16" x14ac:dyDescent="0.2"/>
  <sheetData>
    <row r="1" spans="1:43" x14ac:dyDescent="0.2">
      <c r="A1" s="1" t="s">
        <v>11</v>
      </c>
      <c r="B1" s="8">
        <v>2019</v>
      </c>
      <c r="C1" s="8">
        <v>2020</v>
      </c>
      <c r="D1" s="8">
        <v>2021</v>
      </c>
      <c r="E1" s="8">
        <v>2022</v>
      </c>
      <c r="F1" s="8">
        <v>2023</v>
      </c>
      <c r="G1" s="8">
        <v>2024</v>
      </c>
      <c r="H1" s="8">
        <v>2025</v>
      </c>
      <c r="I1" s="8">
        <v>2026</v>
      </c>
      <c r="J1" s="8">
        <v>2027</v>
      </c>
      <c r="K1" s="8">
        <v>2028</v>
      </c>
      <c r="L1" s="8">
        <v>2029</v>
      </c>
      <c r="M1" s="8">
        <v>2030</v>
      </c>
      <c r="N1" s="8">
        <v>2031</v>
      </c>
      <c r="O1" s="8">
        <v>2032</v>
      </c>
      <c r="P1" s="8">
        <v>2033</v>
      </c>
      <c r="Q1" s="8">
        <v>2034</v>
      </c>
      <c r="R1" s="8">
        <v>2035</v>
      </c>
      <c r="S1" s="8">
        <v>2036</v>
      </c>
      <c r="T1" s="8">
        <v>2037</v>
      </c>
      <c r="U1" s="8">
        <v>2038</v>
      </c>
      <c r="V1" s="8">
        <v>2039</v>
      </c>
      <c r="W1" s="8">
        <v>2040</v>
      </c>
      <c r="X1" s="8">
        <v>2041</v>
      </c>
      <c r="Y1" s="8">
        <v>2042</v>
      </c>
      <c r="Z1" s="8">
        <v>2043</v>
      </c>
      <c r="AA1" s="8">
        <v>2044</v>
      </c>
      <c r="AB1" s="8">
        <v>2045</v>
      </c>
      <c r="AC1" s="8">
        <v>2046</v>
      </c>
      <c r="AD1" s="8">
        <v>2047</v>
      </c>
      <c r="AE1" s="8">
        <v>2048</v>
      </c>
      <c r="AF1" s="8">
        <v>2049</v>
      </c>
      <c r="AG1" s="8">
        <v>2050</v>
      </c>
      <c r="AH1" s="8">
        <v>2051</v>
      </c>
      <c r="AI1" s="8">
        <v>2052</v>
      </c>
      <c r="AJ1" s="8">
        <v>2053</v>
      </c>
      <c r="AK1" s="8">
        <v>2054</v>
      </c>
      <c r="AL1" s="8">
        <v>2055</v>
      </c>
      <c r="AM1" s="8">
        <v>2056</v>
      </c>
      <c r="AN1" s="8">
        <v>2057</v>
      </c>
      <c r="AO1" s="8">
        <v>2058</v>
      </c>
      <c r="AP1" s="8">
        <v>2059</v>
      </c>
      <c r="AQ1" s="8">
        <v>2060</v>
      </c>
    </row>
    <row r="2" spans="1:43" x14ac:dyDescent="0.2">
      <c r="A2" s="1" t="s">
        <v>22</v>
      </c>
      <c r="B2" s="15">
        <f>C15</f>
        <v>216583169.46221161</v>
      </c>
      <c r="C2" s="15">
        <f>C16</f>
        <v>234886898.66718292</v>
      </c>
      <c r="D2" s="15">
        <f>C17</f>
        <v>253190627.87215424</v>
      </c>
      <c r="E2" s="15">
        <f>'Residential-Conversion'!B71+'Residential-Conversion'!B79+'Residential-Conversion'!B95+'Residential-Conversion'!B103+'Residential-Conversion'!B119+'Residential-Conversion'!B127+'Residential-Conversion'!B135</f>
        <v>262244660.10460132</v>
      </c>
      <c r="F2" s="15">
        <f>'Residential-Conversion'!C71+'Residential-Conversion'!C79+'Residential-Conversion'!C95+'Residential-Conversion'!C103+'Residential-Conversion'!C119+'Residential-Conversion'!C127+'Residential-Conversion'!C135</f>
        <v>290934456.72347873</v>
      </c>
      <c r="G2" s="15">
        <f>'Residential-Conversion'!D71+'Residential-Conversion'!D79+'Residential-Conversion'!D95+'Residential-Conversion'!D103+'Residential-Conversion'!D119+'Residential-Conversion'!D127+'Residential-Conversion'!D135</f>
        <v>313720081.1412946</v>
      </c>
      <c r="H2" s="15">
        <f>'Residential-Conversion'!E71+'Residential-Conversion'!E79+'Residential-Conversion'!E95+'Residential-Conversion'!E103+'Residential-Conversion'!E119+'Residential-Conversion'!E127+'Residential-Conversion'!E135</f>
        <v>329622841.88815725</v>
      </c>
      <c r="I2" s="15">
        <f>'Residential-Conversion'!F71+'Residential-Conversion'!F79+'Residential-Conversion'!F95+'Residential-Conversion'!F103+'Residential-Conversion'!F119+'Residential-Conversion'!F127+'Residential-Conversion'!F135</f>
        <v>347995678.37737298</v>
      </c>
      <c r="J2" s="15">
        <f>'Residential-Conversion'!G71+'Residential-Conversion'!G79+'Residential-Conversion'!G95+'Residential-Conversion'!G103+'Residential-Conversion'!G119+'Residential-Conversion'!G127+'Residential-Conversion'!G135</f>
        <v>365279079.98042798</v>
      </c>
      <c r="K2" s="15">
        <f>'Residential-Conversion'!H71+'Residential-Conversion'!H79+'Residential-Conversion'!H95+'Residential-Conversion'!H103+'Residential-Conversion'!H119+'Residential-Conversion'!H127+'Residential-Conversion'!H135</f>
        <v>381877195.39342856</v>
      </c>
      <c r="L2" s="15">
        <f>'Residential-Conversion'!I71+'Residential-Conversion'!I79+'Residential-Conversion'!I95+'Residential-Conversion'!I103+'Residential-Conversion'!I119+'Residential-Conversion'!I127+'Residential-Conversion'!I135</f>
        <v>396914996.64052296</v>
      </c>
      <c r="M2" s="15">
        <f>'Residential-Conversion'!J71+'Residential-Conversion'!J79+'Residential-Conversion'!J95+'Residential-Conversion'!J103+'Residential-Conversion'!J119+'Residential-Conversion'!J127+'Residential-Conversion'!J135</f>
        <v>411682067.74957246</v>
      </c>
      <c r="N2" s="15">
        <f>'Residential-Conversion'!K71+'Residential-Conversion'!K79+'Residential-Conversion'!K95+'Residential-Conversion'!K103+'Residential-Conversion'!K119+'Residential-Conversion'!K127+'Residential-Conversion'!K135</f>
        <v>438340326.99595708</v>
      </c>
      <c r="O2" s="15">
        <f>'Residential-Conversion'!L71+'Residential-Conversion'!L79+'Residential-Conversion'!L95+'Residential-Conversion'!L103+'Residential-Conversion'!L119+'Residential-Conversion'!L127+'Residential-Conversion'!L135</f>
        <v>450588229.52234483</v>
      </c>
      <c r="P2" s="15">
        <f>'Residential-Conversion'!M71+'Residential-Conversion'!M79+'Residential-Conversion'!M95+'Residential-Conversion'!M103+'Residential-Conversion'!M119+'Residential-Conversion'!M127+'Residential-Conversion'!M135</f>
        <v>462475644.21479535</v>
      </c>
      <c r="Q2" s="15">
        <f>'Residential-Conversion'!N71+'Residential-Conversion'!N79+'Residential-Conversion'!N95+'Residential-Conversion'!N103+'Residential-Conversion'!N119+'Residential-Conversion'!N127+'Residential-Conversion'!N135</f>
        <v>474199423.55576897</v>
      </c>
      <c r="R2" s="15">
        <f>'Residential-Conversion'!O71+'Residential-Conversion'!O79+'Residential-Conversion'!O95+'Residential-Conversion'!O103+'Residential-Conversion'!O119+'Residential-Conversion'!O127+'Residential-Conversion'!O135</f>
        <v>485825662.75255102</v>
      </c>
      <c r="S2" s="15">
        <f>'Residential-Conversion'!P71+'Residential-Conversion'!P79+'Residential-Conversion'!P95+'Residential-Conversion'!P103+'Residential-Conversion'!P119+'Residential-Conversion'!P127+'Residential-Conversion'!P135</f>
        <v>495965457.74283457</v>
      </c>
      <c r="T2" s="15">
        <f>'Residential-Conversion'!Q71+'Residential-Conversion'!Q79+'Residential-Conversion'!Q95+'Residential-Conversion'!Q103+'Residential-Conversion'!Q119+'Residential-Conversion'!Q127+'Residential-Conversion'!Q135</f>
        <v>501755909.75574809</v>
      </c>
      <c r="U2" s="15">
        <f>'Residential-Conversion'!R71+'Residential-Conversion'!R79+'Residential-Conversion'!R95+'Residential-Conversion'!R103+'Residential-Conversion'!R119+'Residential-Conversion'!R127+'Residential-Conversion'!R135</f>
        <v>507412553.1943301</v>
      </c>
      <c r="V2" s="15">
        <f>'Residential-Conversion'!S71+'Residential-Conversion'!S79+'Residential-Conversion'!S95+'Residential-Conversion'!S103+'Residential-Conversion'!S119+'Residential-Conversion'!S127+'Residential-Conversion'!S135</f>
        <v>512965378.02253073</v>
      </c>
      <c r="W2" s="15">
        <f>'Residential-Conversion'!T71+'Residential-Conversion'!T79+'Residential-Conversion'!T95+'Residential-Conversion'!T103+'Residential-Conversion'!T119+'Residential-Conversion'!T127+'Residential-Conversion'!T135</f>
        <v>518440320.39159817</v>
      </c>
      <c r="X2" s="15">
        <f>'Residential-Conversion'!U71+'Residential-Conversion'!U79+'Residential-Conversion'!U95+'Residential-Conversion'!U103+'Residential-Conversion'!U119+'Residential-Conversion'!U127+'Residential-Conversion'!U135</f>
        <v>527092763.67112541</v>
      </c>
      <c r="Y2" s="15">
        <f>'Residential-Conversion'!V71+'Residential-Conversion'!V79+'Residential-Conversion'!V95+'Residential-Conversion'!V103+'Residential-Conversion'!V119+'Residential-Conversion'!V127+'Residential-Conversion'!V135</f>
        <v>531377871.4452678</v>
      </c>
      <c r="Z2" s="15">
        <f>'Residential-Conversion'!W71+'Residential-Conversion'!W79+'Residential-Conversion'!W95+'Residential-Conversion'!W103+'Residential-Conversion'!W119+'Residential-Conversion'!W127+'Residential-Conversion'!W135</f>
        <v>535594688.64670324</v>
      </c>
      <c r="AA2" s="15">
        <f>'Residential-Conversion'!X71+'Residential-Conversion'!X79+'Residential-Conversion'!X95+'Residential-Conversion'!X103+'Residential-Conversion'!X119+'Residential-Conversion'!X127+'Residential-Conversion'!X135</f>
        <v>539763320.33756661</v>
      </c>
      <c r="AB2" s="15">
        <f>'Residential-Conversion'!Y71+'Residential-Conversion'!Y79+'Residential-Conversion'!Y95+'Residential-Conversion'!Y103+'Residential-Conversion'!Y119+'Residential-Conversion'!Y127+'Residential-Conversion'!Y135</f>
        <v>543913813.42868233</v>
      </c>
      <c r="AC2" s="15">
        <f>'Residential-Conversion'!Z71+'Residential-Conversion'!Z79+'Residential-Conversion'!Z95+'Residential-Conversion'!Z103+'Residential-Conversion'!Z119+'Residential-Conversion'!Z127+'Residential-Conversion'!Z135</f>
        <v>547410419.46464074</v>
      </c>
      <c r="AD2" s="15">
        <f>'Residential-Conversion'!AA71+'Residential-Conversion'!AA79+'Residential-Conversion'!AA95+'Residential-Conversion'!AA103+'Residential-Conversion'!AA119+'Residential-Conversion'!AA127+'Residential-Conversion'!AA135</f>
        <v>550917773.58923447</v>
      </c>
      <c r="AE2" s="15">
        <f>'Residential-Conversion'!AB71+'Residential-Conversion'!AB79+'Residential-Conversion'!AB95+'Residential-Conversion'!AB103+'Residential-Conversion'!AB119+'Residential-Conversion'!AB127+'Residential-Conversion'!AB135</f>
        <v>554452819.83208847</v>
      </c>
      <c r="AF2" s="15">
        <f>'Residential-Conversion'!AC71+'Residential-Conversion'!AC79+'Residential-Conversion'!AC95+'Residential-Conversion'!AC103+'Residential-Conversion'!AC119+'Residential-Conversion'!AC127+'Residential-Conversion'!AC135</f>
        <v>558032816.0162071</v>
      </c>
      <c r="AG2" s="15">
        <f>'Residential-Conversion'!AD71+'Residential-Conversion'!AD79+'Residential-Conversion'!AD95+'Residential-Conversion'!AD103+'Residential-Conversion'!AD119+'Residential-Conversion'!AD127+'Residential-Conversion'!AD135</f>
        <v>561675511.59079397</v>
      </c>
      <c r="AH2" s="15">
        <f>'Residential-Conversion'!AE71+'Residential-Conversion'!AE79+'Residential-Conversion'!AE95+'Residential-Conversion'!AE103+'Residential-Conversion'!AE119+'Residential-Conversion'!AE127+'Residential-Conversion'!AE135</f>
        <v>565910946.68505359</v>
      </c>
      <c r="AI2" s="15">
        <f>'Residential-Conversion'!AF71+'Residential-Conversion'!AF79+'Residential-Conversion'!AF95+'Residential-Conversion'!AF103+'Residential-Conversion'!AF119+'Residential-Conversion'!AF127+'Residential-Conversion'!AF135</f>
        <v>568020386.73224449</v>
      </c>
      <c r="AJ2" s="15">
        <f>'Residential-Conversion'!AG71+'Residential-Conversion'!AG79+'Residential-Conversion'!AG95+'Residential-Conversion'!AG103+'Residential-Conversion'!AG119+'Residential-Conversion'!AG127+'Residential-Conversion'!AG135</f>
        <v>570231330.30124331</v>
      </c>
      <c r="AK2" s="15">
        <f>'Residential-Conversion'!AH71+'Residential-Conversion'!AH79+'Residential-Conversion'!AH95+'Residential-Conversion'!AH103+'Residential-Conversion'!AH119+'Residential-Conversion'!AH127+'Residential-Conversion'!AH135</f>
        <v>572564820.79557848</v>
      </c>
      <c r="AL2" s="15">
        <f>'Residential-Conversion'!AI71+'Residential-Conversion'!AI79+'Residential-Conversion'!AI95+'Residential-Conversion'!AI103+'Residential-Conversion'!AI119+'Residential-Conversion'!AI127+'Residential-Conversion'!AI135</f>
        <v>575043320.47694802</v>
      </c>
      <c r="AM2" s="15">
        <f>'Residential-Conversion'!AJ71+'Residential-Conversion'!AJ79+'Residential-Conversion'!AJ95+'Residential-Conversion'!AJ103+'Residential-Conversion'!AJ119+'Residential-Conversion'!AJ127+'Residential-Conversion'!AJ135</f>
        <v>577750643.85923791</v>
      </c>
      <c r="AN2" s="15">
        <f>'Residential-Conversion'!AK71+'Residential-Conversion'!AK79+'Residential-Conversion'!AK95+'Residential-Conversion'!AK103+'Residential-Conversion'!AK119+'Residential-Conversion'!AK127+'Residential-Conversion'!AK135</f>
        <v>580653256.36030495</v>
      </c>
      <c r="AO2" s="15">
        <f>'Residential-Conversion'!AL71+'Residential-Conversion'!AL79+'Residential-Conversion'!AL95+'Residential-Conversion'!AL103+'Residential-Conversion'!AL119+'Residential-Conversion'!AL127+'Residential-Conversion'!AL135</f>
        <v>583779583.6435324</v>
      </c>
      <c r="AP2" s="15">
        <f>'Residential-Conversion'!AM71+'Residential-Conversion'!AM79+'Residential-Conversion'!AM95+'Residential-Conversion'!AM103+'Residential-Conversion'!AM119+'Residential-Conversion'!AM127+'Residential-Conversion'!AM135</f>
        <v>587160692.1395154</v>
      </c>
      <c r="AQ2" s="15">
        <f>'Residential-Conversion'!AN71+'Residential-Conversion'!AN79+'Residential-Conversion'!AN95+'Residential-Conversion'!AN103+'Residential-Conversion'!AN119+'Residential-Conversion'!AN127+'Residential-Conversion'!AN135</f>
        <v>590830665.85023308</v>
      </c>
    </row>
    <row r="3" spans="1:43" x14ac:dyDescent="0.2">
      <c r="A3" s="1" t="s">
        <v>23</v>
      </c>
      <c r="B3" s="15">
        <v>0</v>
      </c>
      <c r="C3" s="15">
        <v>0</v>
      </c>
      <c r="D3" s="15">
        <v>0</v>
      </c>
      <c r="E3" s="15">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row>
    <row r="4" spans="1:43" x14ac:dyDescent="0.2">
      <c r="A4" s="1" t="s">
        <v>24</v>
      </c>
      <c r="B4" s="15">
        <f>H15</f>
        <v>828571.42857146263</v>
      </c>
      <c r="C4" s="15">
        <f>H16</f>
        <v>1210714.2857142687</v>
      </c>
      <c r="D4" s="15">
        <f>H17</f>
        <v>1592857.1428570747</v>
      </c>
      <c r="E4" s="15">
        <f>'Residential-Conversion'!B47</f>
        <v>2100000</v>
      </c>
      <c r="F4" s="4">
        <f>'Residential-Conversion'!C47</f>
        <v>2400000</v>
      </c>
      <c r="G4" s="4">
        <f>'Residential-Conversion'!D47</f>
        <v>2700000</v>
      </c>
      <c r="H4" s="4">
        <f>'Residential-Conversion'!E47</f>
        <v>3000000</v>
      </c>
      <c r="I4" s="4">
        <f>'Residential-Conversion'!F47</f>
        <v>3400000</v>
      </c>
      <c r="J4" s="4">
        <f>'Residential-Conversion'!G47</f>
        <v>3800000</v>
      </c>
      <c r="K4" s="4">
        <f>'Residential-Conversion'!H47</f>
        <v>4300000</v>
      </c>
      <c r="L4" s="4">
        <f>'Residential-Conversion'!I47</f>
        <v>4800000</v>
      </c>
      <c r="M4" s="4">
        <f>'Residential-Conversion'!J47</f>
        <v>5400000</v>
      </c>
      <c r="N4" s="4">
        <f>'Residential-Conversion'!K47</f>
        <v>6100000</v>
      </c>
      <c r="O4" s="4">
        <f>'Residential-Conversion'!L47</f>
        <v>6900000</v>
      </c>
      <c r="P4" s="4">
        <f>'Residential-Conversion'!M47</f>
        <v>7700000</v>
      </c>
      <c r="Q4" s="4">
        <f>'Residential-Conversion'!N47</f>
        <v>8700000</v>
      </c>
      <c r="R4" s="4">
        <f>'Residential-Conversion'!O47</f>
        <v>9800000</v>
      </c>
      <c r="S4" s="4">
        <f>'Residential-Conversion'!P47</f>
        <v>11000000</v>
      </c>
      <c r="T4" s="4">
        <f>'Residential-Conversion'!Q47</f>
        <v>12400000</v>
      </c>
      <c r="U4" s="4">
        <f>'Residential-Conversion'!R47</f>
        <v>14000000</v>
      </c>
      <c r="V4" s="4">
        <f>'Residential-Conversion'!S47</f>
        <v>15800000</v>
      </c>
      <c r="W4" s="4">
        <f>'Residential-Conversion'!T47</f>
        <v>16590000</v>
      </c>
      <c r="X4" s="4">
        <f>'Residential-Conversion'!U47</f>
        <v>17390000</v>
      </c>
      <c r="Y4" s="4">
        <f>'Residential-Conversion'!V47</f>
        <v>18190000</v>
      </c>
      <c r="Z4" s="4">
        <f>'Residential-Conversion'!W47</f>
        <v>18990000</v>
      </c>
      <c r="AA4" s="4">
        <f>'Residential-Conversion'!X47</f>
        <v>19780000</v>
      </c>
      <c r="AB4" s="4">
        <f>'Residential-Conversion'!Y47</f>
        <v>20580000</v>
      </c>
      <c r="AC4" s="4">
        <f>'Residential-Conversion'!Z47</f>
        <v>21360000</v>
      </c>
      <c r="AD4" s="4">
        <f>'Residential-Conversion'!AA47</f>
        <v>22130000</v>
      </c>
      <c r="AE4" s="4">
        <f>'Residential-Conversion'!AB47</f>
        <v>22880000</v>
      </c>
      <c r="AF4" s="4">
        <f>'Residential-Conversion'!AC47</f>
        <v>23610000</v>
      </c>
      <c r="AG4" s="4">
        <f>'Residential-Conversion'!AD47</f>
        <v>24320000</v>
      </c>
      <c r="AH4" s="4">
        <f>'Residential-Conversion'!AE47</f>
        <v>25000000</v>
      </c>
      <c r="AI4" s="4">
        <f>'Residential-Conversion'!AF47</f>
        <v>25650000</v>
      </c>
      <c r="AJ4" s="4">
        <f>'Residential-Conversion'!AG47</f>
        <v>26260000</v>
      </c>
      <c r="AK4" s="4">
        <f>'Residential-Conversion'!AH47</f>
        <v>26840000</v>
      </c>
      <c r="AL4" s="4">
        <f>'Residential-Conversion'!AI47</f>
        <v>27380000</v>
      </c>
      <c r="AM4" s="4">
        <f>'Residential-Conversion'!AJ47</f>
        <v>27870000</v>
      </c>
      <c r="AN4" s="4">
        <f>'Residential-Conversion'!AK47</f>
        <v>28320000</v>
      </c>
      <c r="AO4" s="4">
        <f>'Residential-Conversion'!AL47</f>
        <v>28710000</v>
      </c>
      <c r="AP4" s="4">
        <f>'Residential-Conversion'!AM47</f>
        <v>29060000</v>
      </c>
      <c r="AQ4" s="4">
        <f>'Residential-Conversion'!AN47</f>
        <v>29350000</v>
      </c>
    </row>
    <row r="5" spans="1:43" x14ac:dyDescent="0.2">
      <c r="A5" s="1" t="s">
        <v>25</v>
      </c>
      <c r="B5" s="15">
        <v>0</v>
      </c>
      <c r="C5" s="15">
        <v>0</v>
      </c>
      <c r="D5" s="15">
        <v>0</v>
      </c>
      <c r="E5" s="15">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row>
    <row r="6" spans="1:43" x14ac:dyDescent="0.2">
      <c r="A6" s="1" t="s">
        <v>26</v>
      </c>
      <c r="B6" s="15">
        <v>0</v>
      </c>
      <c r="C6" s="15">
        <v>0</v>
      </c>
      <c r="D6" s="15">
        <v>0</v>
      </c>
      <c r="E6" s="15">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row>
    <row r="7" spans="1:43" x14ac:dyDescent="0.2">
      <c r="A7" s="1" t="s">
        <v>27</v>
      </c>
      <c r="B7" s="15">
        <f>M15</f>
        <v>130609878.23324203</v>
      </c>
      <c r="C7" s="15">
        <f>M16</f>
        <v>119971258.92325974</v>
      </c>
      <c r="D7" s="15">
        <f>M17</f>
        <v>109332639.61327744</v>
      </c>
      <c r="E7" s="15">
        <f>'Residential-Conversion'!B23+'Residential-Conversion'!B39</f>
        <v>98908506.359138176</v>
      </c>
      <c r="F7" s="4">
        <f>'Residential-Conversion'!C23+'Residential-Conversion'!C39</f>
        <v>87626428.881627128</v>
      </c>
      <c r="G7" s="4">
        <f>'Residential-Conversion'!D23+'Residential-Conversion'!D39</f>
        <v>77631267.739173323</v>
      </c>
      <c r="H7" s="4">
        <f>'Residential-Conversion'!E23+'Residential-Conversion'!E39</f>
        <v>68776227.780565679</v>
      </c>
      <c r="I7" s="4">
        <f>'Residential-Conversion'!F23+'Residential-Conversion'!F39</f>
        <v>60931258.425786309</v>
      </c>
      <c r="J7" s="4">
        <f>'Residential-Conversion'!G23+'Residential-Conversion'!G39</f>
        <v>53981143.639817335</v>
      </c>
      <c r="K7" s="4">
        <f>'Residential-Conversion'!H23+'Residential-Conversion'!H39</f>
        <v>47823809.783727244</v>
      </c>
      <c r="L7" s="4">
        <f>'Residential-Conversion'!I23+'Residential-Conversion'!I39</f>
        <v>42368826.488990344</v>
      </c>
      <c r="M7" s="4">
        <f>'Residential-Conversion'!J23+'Residential-Conversion'!J39</f>
        <v>37536078.536181211</v>
      </c>
      <c r="N7" s="4">
        <f>'Residential-Conversion'!K23+'Residential-Conversion'!K39</f>
        <v>33254589.231049299</v>
      </c>
      <c r="O7" s="4">
        <f>'Residential-Conversion'!L23+'Residential-Conversion'!L39</f>
        <v>29461477.996330809</v>
      </c>
      <c r="P7" s="4">
        <f>'Residential-Conversion'!M23+'Residential-Conversion'!M39</f>
        <v>26101036.86913269</v>
      </c>
      <c r="Q7" s="4">
        <f>'Residential-Conversion'!N23+'Residential-Conversion'!N39</f>
        <v>23123912.340281788</v>
      </c>
      <c r="R7" s="4">
        <f>'Residential-Conversion'!O23+'Residential-Conversion'!O39</f>
        <v>20486380.519320365</v>
      </c>
      <c r="S7" s="4">
        <f>'Residential-Conversion'!P23+'Residential-Conversion'!P39</f>
        <v>18149704.979588356</v>
      </c>
      <c r="T7" s="4">
        <f>'Residential-Conversion'!Q23+'Residential-Conversion'!Q39</f>
        <v>16079567.852204759</v>
      </c>
      <c r="U7" s="4">
        <f>'Residential-Conversion'!R23+'Residential-Conversion'!R39</f>
        <v>14245565.813591685</v>
      </c>
      <c r="V7" s="4">
        <f>'Residential-Conversion'!S23+'Residential-Conversion'!S39</f>
        <v>12620763.564284062</v>
      </c>
      <c r="W7" s="4">
        <f>'Residential-Conversion'!T23+'Residential-Conversion'!T39</f>
        <v>11181298.241139412</v>
      </c>
      <c r="X7" s="4">
        <f>'Residential-Conversion'!U23+'Residential-Conversion'!U39</f>
        <v>9906028.9531124178</v>
      </c>
      <c r="Y7" s="4">
        <f>'Residential-Conversion'!V23+'Residential-Conversion'!V39</f>
        <v>8776226.2934758663</v>
      </c>
      <c r="Z7" s="4">
        <f>'Residential-Conversion'!W23+'Residential-Conversion'!W39</f>
        <v>7775297.2684902512</v>
      </c>
      <c r="AA7" s="4">
        <f>'Residential-Conversion'!X23+'Residential-Conversion'!X39</f>
        <v>6888541.6026714006</v>
      </c>
      <c r="AB7" s="4">
        <f>'Residential-Conversion'!Y23+'Residential-Conversion'!Y39</f>
        <v>6102935.8416204052</v>
      </c>
      <c r="AC7" s="4">
        <f>'Residential-Conversion'!Z23+'Residential-Conversion'!Z39</f>
        <v>5406942.0816301638</v>
      </c>
      <c r="AD7" s="4">
        <f>'Residential-Conversion'!AA23+'Residential-Conversion'!AA39</f>
        <v>4790338.5169651024</v>
      </c>
      <c r="AE7" s="4">
        <f>'Residential-Conversion'!AB23+'Residential-Conversion'!AB39</f>
        <v>4244069.3161363658</v>
      </c>
      <c r="AF7" s="4">
        <f>'Residential-Conversion'!AC23+'Residential-Conversion'!AC39</f>
        <v>3760111.6223707162</v>
      </c>
      <c r="AG7" s="4">
        <f>'Residential-Conversion'!AD23+'Residential-Conversion'!AD39</f>
        <v>3331357.7249662941</v>
      </c>
      <c r="AH7" s="4">
        <f>'Residential-Conversion'!AE23+'Residential-Conversion'!AE39</f>
        <v>2951510.6710360954</v>
      </c>
      <c r="AI7" s="4">
        <f>'Residential-Conversion'!AF23+'Residential-Conversion'!AF39</f>
        <v>2614991.7845327975</v>
      </c>
      <c r="AJ7" s="4">
        <f>'Residential-Conversion'!AG23+'Residential-Conversion'!AG39</f>
        <v>2316858.7343253405</v>
      </c>
      <c r="AK7" s="4">
        <f>'Residential-Conversion'!AH23+'Residential-Conversion'!AH39</f>
        <v>2052732.9480268427</v>
      </c>
      <c r="AL7" s="4">
        <f>'Residential-Conversion'!AI23+'Residential-Conversion'!AI39</f>
        <v>1818735.3055303001</v>
      </c>
      <c r="AM7" s="4">
        <f>'Residential-Conversion'!AJ23+'Residential-Conversion'!AJ39</f>
        <v>1611429.1678089635</v>
      </c>
      <c r="AN7" s="4">
        <f>'Residential-Conversion'!AK23+'Residential-Conversion'!AK39</f>
        <v>1427769.9042681537</v>
      </c>
      <c r="AO7" s="4">
        <f>'Residential-Conversion'!AL23+'Residential-Conversion'!AL39</f>
        <v>1265060.177376695</v>
      </c>
      <c r="AP7" s="4">
        <f>'Residential-Conversion'!AM23+'Residential-Conversion'!AM39</f>
        <v>1120910.3278609244</v>
      </c>
      <c r="AQ7" s="4">
        <f>'Residential-Conversion'!AN23+'Residential-Conversion'!AN39</f>
        <v>993203.27865403006</v>
      </c>
    </row>
    <row r="8" spans="1:43" x14ac:dyDescent="0.2">
      <c r="A8" s="1" t="s">
        <v>28</v>
      </c>
      <c r="B8" s="15">
        <f>R15</f>
        <v>12680771.01443696</v>
      </c>
      <c r="C8" s="15">
        <f>R16</f>
        <v>11899995.717739344</v>
      </c>
      <c r="D8" s="15">
        <f>R17</f>
        <v>11119220.421041727</v>
      </c>
      <c r="E8" s="15">
        <f>'Residential-Conversion'!B31</f>
        <v>10433175.714882016</v>
      </c>
      <c r="F8" s="4">
        <f>'Residential-Conversion'!C31</f>
        <v>9368208.6465701088</v>
      </c>
      <c r="G8" s="4">
        <f>'Residential-Conversion'!D31</f>
        <v>8871625.1214866657</v>
      </c>
      <c r="H8" s="4">
        <f>'Residential-Conversion'!E31</f>
        <v>8401364.1524742413</v>
      </c>
      <c r="I8" s="4">
        <f>'Residential-Conversion'!F31</f>
        <v>7956030.4516847357</v>
      </c>
      <c r="J8" s="4">
        <f>'Residential-Conversion'!G31</f>
        <v>7534302.691723356</v>
      </c>
      <c r="K8" s="4">
        <f>'Residential-Conversion'!H31</f>
        <v>7134929.5852040621</v>
      </c>
      <c r="L8" s="4">
        <f>'Residential-Conversion'!I31</f>
        <v>6756726.1721171876</v>
      </c>
      <c r="M8" s="4">
        <f>'Residential-Conversion'!J31</f>
        <v>6398570.3039937858</v>
      </c>
      <c r="N8" s="4">
        <f>'Residential-Conversion'!K31</f>
        <v>6059399.3144348795</v>
      </c>
      <c r="O8" s="4">
        <f>'Residential-Conversion'!L31</f>
        <v>5738206.8661270691</v>
      </c>
      <c r="P8" s="4">
        <f>'Residential-Conversion'!M31</f>
        <v>5434039.9649892878</v>
      </c>
      <c r="Q8" s="4">
        <f>'Residential-Conversion'!N31</f>
        <v>5145996.1325916601</v>
      </c>
      <c r="R8" s="4">
        <f>'Residential-Conversion'!O31</f>
        <v>4873220.7284567701</v>
      </c>
      <c r="S8" s="4">
        <f>'Residential-Conversion'!P31</f>
        <v>4614904.4142985921</v>
      </c>
      <c r="T8" s="4">
        <f>'Residential-Conversion'!Q31</f>
        <v>4370280.7526752418</v>
      </c>
      <c r="U8" s="4">
        <f>'Residential-Conversion'!R31</f>
        <v>4138623.9329306963</v>
      </c>
      <c r="V8" s="4">
        <f>'Residential-Conversion'!S31</f>
        <v>3919246.6176782371</v>
      </c>
      <c r="W8" s="4">
        <f>'Residential-Conversion'!T31</f>
        <v>3711497.9034359907</v>
      </c>
      <c r="X8" s="4">
        <f>'Residential-Conversion'!U31</f>
        <v>3514761.3893637084</v>
      </c>
      <c r="Y8" s="4">
        <f>'Residential-Conversion'!V31</f>
        <v>3328453.3483705744</v>
      </c>
      <c r="Z8" s="4">
        <f>'Residential-Conversion'!W31</f>
        <v>3152020.9951677257</v>
      </c>
      <c r="AA8" s="4">
        <f>'Residential-Conversion'!X31</f>
        <v>2984940.8461265885</v>
      </c>
      <c r="AB8" s="4">
        <f>'Residential-Conversion'!Y31</f>
        <v>2826717.1660767458</v>
      </c>
      <c r="AC8" s="4">
        <f>'Residential-Conversion'!Z31</f>
        <v>2676880.4974348485</v>
      </c>
      <c r="AD8" s="4">
        <f>'Residential-Conversion'!AA31</f>
        <v>2534986.2673004679</v>
      </c>
      <c r="AE8" s="4">
        <f>'Residential-Conversion'!AB31</f>
        <v>2400613.4683860177</v>
      </c>
      <c r="AF8" s="4">
        <f>'Residential-Conversion'!AC31</f>
        <v>2273363.4098670539</v>
      </c>
      <c r="AG8" s="4">
        <f>'Residential-Conversion'!AD31</f>
        <v>2152858.5344466278</v>
      </c>
      <c r="AH8" s="4">
        <f>'Residential-Conversion'!AE31</f>
        <v>2038741.2981238766</v>
      </c>
      <c r="AI8" s="4">
        <f>'Residential-Conversion'!AF31</f>
        <v>1930673.109343068</v>
      </c>
      <c r="AJ8" s="4">
        <f>'Residential-Conversion'!AG31</f>
        <v>1828333.3243754904</v>
      </c>
      <c r="AK8" s="4">
        <f>'Residential-Conversion'!AH31</f>
        <v>1731418.295953454</v>
      </c>
      <c r="AL8" s="4">
        <f>'Residential-Conversion'!AI31</f>
        <v>1639640.4723336399</v>
      </c>
      <c r="AM8" s="4">
        <f>'Residential-Conversion'!AJ31</f>
        <v>1552727.5441166726</v>
      </c>
      <c r="AN8" s="4">
        <f>'Residential-Conversion'!AK31</f>
        <v>1470421.6362914974</v>
      </c>
      <c r="AO8" s="4">
        <f>'Residential-Conversion'!AL31</f>
        <v>1392478.5431073022</v>
      </c>
      <c r="AP8" s="4">
        <f>'Residential-Conversion'!AM31</f>
        <v>1318667.0035028292</v>
      </c>
      <c r="AQ8" s="4">
        <f>'Residential-Conversion'!AN31</f>
        <v>1248768.0149432186</v>
      </c>
    </row>
    <row r="9" spans="1:43" x14ac:dyDescent="0.2">
      <c r="A9" s="1" t="s">
        <v>29</v>
      </c>
      <c r="B9" s="15">
        <v>0</v>
      </c>
      <c r="C9" s="15">
        <v>0</v>
      </c>
      <c r="D9" s="15">
        <v>0</v>
      </c>
      <c r="E9" s="15">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row>
    <row r="10" spans="1:43" x14ac:dyDescent="0.2">
      <c r="A10" s="1" t="s">
        <v>30</v>
      </c>
      <c r="B10" s="15">
        <f>W15</f>
        <v>2300000</v>
      </c>
      <c r="C10" s="15">
        <f>W16</f>
        <v>3000000</v>
      </c>
      <c r="D10" s="15">
        <f>W17</f>
        <v>3700000</v>
      </c>
      <c r="E10" s="15">
        <f>'Residential-Conversion'!B7</f>
        <v>4400000</v>
      </c>
      <c r="F10" s="15">
        <f>'Residential-Conversion'!C7</f>
        <v>5100000</v>
      </c>
      <c r="G10" s="15">
        <f>'Residential-Conversion'!D7</f>
        <v>5800000</v>
      </c>
      <c r="H10" s="15">
        <f>'Residential-Conversion'!E7</f>
        <v>6500000</v>
      </c>
      <c r="I10" s="15">
        <f>'Residential-Conversion'!F7</f>
        <v>7200000</v>
      </c>
      <c r="J10" s="15">
        <f>'Residential-Conversion'!G7</f>
        <v>7900000</v>
      </c>
      <c r="K10" s="15">
        <f>'Residential-Conversion'!H7</f>
        <v>8600000</v>
      </c>
      <c r="L10" s="15">
        <f>'Residential-Conversion'!I7</f>
        <v>9300000</v>
      </c>
      <c r="M10" s="15">
        <f>'Residential-Conversion'!J7</f>
        <v>10000000</v>
      </c>
      <c r="N10" s="15">
        <f>'Residential-Conversion'!K7</f>
        <v>10700000</v>
      </c>
      <c r="O10" s="15">
        <f>'Residential-Conversion'!L7</f>
        <v>11400000</v>
      </c>
      <c r="P10" s="15">
        <f>'Residential-Conversion'!M7</f>
        <v>12100000</v>
      </c>
      <c r="Q10" s="15">
        <f>'Residential-Conversion'!N7</f>
        <v>12800000</v>
      </c>
      <c r="R10" s="15">
        <f>'Residential-Conversion'!O7</f>
        <v>13500000</v>
      </c>
      <c r="S10" s="15">
        <f>'Residential-Conversion'!P7</f>
        <v>14200000</v>
      </c>
      <c r="T10" s="15">
        <f>'Residential-Conversion'!Q7</f>
        <v>14900000</v>
      </c>
      <c r="U10" s="15">
        <f>'Residential-Conversion'!R7</f>
        <v>15600000</v>
      </c>
      <c r="V10" s="15">
        <f>'Residential-Conversion'!S7</f>
        <v>16300000</v>
      </c>
      <c r="W10" s="15">
        <f>'Residential-Conversion'!T7</f>
        <v>17000000</v>
      </c>
      <c r="X10" s="15">
        <f>'Residential-Conversion'!U7</f>
        <v>17700000</v>
      </c>
      <c r="Y10" s="15">
        <f>'Residential-Conversion'!V7</f>
        <v>18400000</v>
      </c>
      <c r="Z10" s="15">
        <f>'Residential-Conversion'!W7</f>
        <v>19100000</v>
      </c>
      <c r="AA10" s="15">
        <f>'Residential-Conversion'!X7</f>
        <v>19800000</v>
      </c>
      <c r="AB10" s="15">
        <f>'Residential-Conversion'!Y7</f>
        <v>20500000</v>
      </c>
      <c r="AC10" s="15">
        <f>'Residential-Conversion'!Z7</f>
        <v>21200000</v>
      </c>
      <c r="AD10" s="15">
        <f>'Residential-Conversion'!AA7</f>
        <v>21900000</v>
      </c>
      <c r="AE10" s="15">
        <f>'Residential-Conversion'!AB7</f>
        <v>22600000</v>
      </c>
      <c r="AF10" s="15">
        <f>'Residential-Conversion'!AC7</f>
        <v>23300000</v>
      </c>
      <c r="AG10" s="15">
        <f>'Residential-Conversion'!AD7</f>
        <v>24000000</v>
      </c>
      <c r="AH10" s="15">
        <f>'Residential-Conversion'!AE7</f>
        <v>24700000</v>
      </c>
      <c r="AI10" s="15">
        <f>'Residential-Conversion'!AF7</f>
        <v>25400000</v>
      </c>
      <c r="AJ10" s="15">
        <f>'Residential-Conversion'!AG7</f>
        <v>26100000</v>
      </c>
      <c r="AK10" s="15">
        <f>'Residential-Conversion'!AH7</f>
        <v>26800000</v>
      </c>
      <c r="AL10" s="15">
        <f>'Residential-Conversion'!AI7</f>
        <v>27500000</v>
      </c>
      <c r="AM10" s="15">
        <f>'Residential-Conversion'!AJ7</f>
        <v>28200000</v>
      </c>
      <c r="AN10" s="15">
        <f>'Residential-Conversion'!AK7</f>
        <v>28900000</v>
      </c>
      <c r="AO10" s="15">
        <f>'Residential-Conversion'!AL7</f>
        <v>29600000</v>
      </c>
      <c r="AP10" s="15">
        <f>'Residential-Conversion'!AM7</f>
        <v>30300000</v>
      </c>
      <c r="AQ10" s="15">
        <f>'Residential-Conversion'!AN7</f>
        <v>31000000</v>
      </c>
    </row>
    <row r="11" spans="1:43" x14ac:dyDescent="0.2">
      <c r="A11" s="1" t="s">
        <v>31</v>
      </c>
      <c r="B11" s="15">
        <v>0</v>
      </c>
      <c r="C11" s="15">
        <v>0</v>
      </c>
      <c r="D11" s="15">
        <v>0</v>
      </c>
      <c r="E11" s="15">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row>
    <row r="12" spans="1:43" x14ac:dyDescent="0.2">
      <c r="A12" s="1"/>
      <c r="B12" s="28"/>
      <c r="C12" s="15"/>
      <c r="D12" s="15"/>
      <c r="E12" s="15"/>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row>
    <row r="14" spans="1:43" x14ac:dyDescent="0.2">
      <c r="A14" s="1" t="s">
        <v>11</v>
      </c>
      <c r="B14" s="1" t="s">
        <v>22</v>
      </c>
      <c r="C14" s="1" t="s">
        <v>144</v>
      </c>
      <c r="F14" s="1" t="s">
        <v>11</v>
      </c>
      <c r="G14" s="1" t="s">
        <v>24</v>
      </c>
      <c r="H14" s="1" t="s">
        <v>145</v>
      </c>
      <c r="K14" s="1" t="s">
        <v>11</v>
      </c>
      <c r="L14" s="1" t="s">
        <v>27</v>
      </c>
      <c r="M14" s="1" t="s">
        <v>146</v>
      </c>
      <c r="P14" s="1" t="s">
        <v>11</v>
      </c>
      <c r="Q14" s="1" t="s">
        <v>28</v>
      </c>
      <c r="R14" s="1" t="s">
        <v>147</v>
      </c>
      <c r="U14" s="1" t="s">
        <v>11</v>
      </c>
      <c r="V14" s="1" t="s">
        <v>30</v>
      </c>
      <c r="W14" s="1" t="s">
        <v>129</v>
      </c>
      <c r="X14" s="25"/>
      <c r="AB14" s="25"/>
      <c r="AC14" s="25"/>
    </row>
    <row r="15" spans="1:43" x14ac:dyDescent="0.2">
      <c r="A15" s="21">
        <v>2019</v>
      </c>
      <c r="B15" s="1"/>
      <c r="C15" s="14">
        <f>_xlfn.FORECAST.LINEAR(A15,B$17:B$27,A$17:A$27)</f>
        <v>216583169.46221161</v>
      </c>
      <c r="F15" s="21">
        <v>2019</v>
      </c>
      <c r="G15" s="1"/>
      <c r="H15" s="14">
        <f>_xlfn.FORECAST.LINEAR(F15,G$17:G$25,F$17:F$25)</f>
        <v>828571.42857146263</v>
      </c>
      <c r="K15" s="21">
        <v>2019</v>
      </c>
      <c r="L15" s="1"/>
      <c r="M15" s="14">
        <f>_xlfn.FORECAST.LINEAR(K15,L$17:L$20,K$17:K$20)</f>
        <v>130609878.23324203</v>
      </c>
      <c r="P15" s="21">
        <v>2019</v>
      </c>
      <c r="Q15" s="1"/>
      <c r="R15" s="14">
        <f>_xlfn.FORECAST.LINEAR(P15,Q$17:Q$20,P$17:P$20)</f>
        <v>12680771.01443696</v>
      </c>
      <c r="U15" s="21">
        <v>2019</v>
      </c>
      <c r="V15" s="1"/>
      <c r="W15" s="14">
        <f>_xlfn.FORECAST.LINEAR(U15,V$16:V$21,U$16:U$21)</f>
        <v>2300000</v>
      </c>
      <c r="X15" s="25"/>
      <c r="AB15" s="25"/>
      <c r="AC15" s="25"/>
    </row>
    <row r="16" spans="1:43" x14ac:dyDescent="0.2">
      <c r="A16" s="20">
        <v>2020</v>
      </c>
      <c r="C16" s="14">
        <f t="shared" ref="C16:C17" si="0">_xlfn.FORECAST.LINEAR(A16,B$17:B$27,A$17:A$27)</f>
        <v>234886898.66718292</v>
      </c>
      <c r="F16" s="20">
        <v>2020</v>
      </c>
      <c r="H16" s="14">
        <f t="shared" ref="H16:H17" si="1">_xlfn.FORECAST.LINEAR(F16,G$17:G$25,F$17:F$25)</f>
        <v>1210714.2857142687</v>
      </c>
      <c r="I16" s="22"/>
      <c r="J16" s="25"/>
      <c r="K16" s="20">
        <v>2020</v>
      </c>
      <c r="L16" s="25"/>
      <c r="M16" s="14">
        <f t="shared" ref="M16:M17" si="2">_xlfn.FORECAST.LINEAR(K16,L$17:L$20,K$17:K$20)</f>
        <v>119971258.92325974</v>
      </c>
      <c r="N16" s="22"/>
      <c r="O16" s="25"/>
      <c r="P16" s="20">
        <v>2020</v>
      </c>
      <c r="R16" s="14">
        <f t="shared" ref="R16:R17" si="3">_xlfn.FORECAST.LINEAR(P16,Q$17:Q$20,P$17:P$20)</f>
        <v>11899995.717739344</v>
      </c>
      <c r="S16" s="22"/>
      <c r="T16" s="25"/>
      <c r="U16" s="20">
        <v>2020</v>
      </c>
      <c r="W16" s="14">
        <f t="shared" ref="W16:W17" si="4">_xlfn.FORECAST.LINEAR(U16,V$16:V$21,U$16:U$21)</f>
        <v>3000000</v>
      </c>
      <c r="X16" s="22"/>
      <c r="AB16" s="22"/>
      <c r="AC16" s="22"/>
    </row>
    <row r="17" spans="1:29" x14ac:dyDescent="0.2">
      <c r="A17" s="20">
        <v>2021</v>
      </c>
      <c r="C17" s="14">
        <f t="shared" si="0"/>
        <v>253190627.87215424</v>
      </c>
      <c r="F17" s="20">
        <v>2021</v>
      </c>
      <c r="H17" s="14">
        <f t="shared" si="1"/>
        <v>1592857.1428570747</v>
      </c>
      <c r="I17" s="22"/>
      <c r="J17" s="25"/>
      <c r="K17" s="20">
        <v>2021</v>
      </c>
      <c r="L17" s="25"/>
      <c r="M17" s="14">
        <f t="shared" si="2"/>
        <v>109332639.61327744</v>
      </c>
      <c r="N17" s="22"/>
      <c r="O17" s="25"/>
      <c r="P17" s="20">
        <v>2021</v>
      </c>
      <c r="R17" s="14">
        <f t="shared" si="3"/>
        <v>11119220.421041727</v>
      </c>
      <c r="S17" s="22"/>
      <c r="T17" s="25"/>
      <c r="U17" s="20">
        <v>2021</v>
      </c>
      <c r="W17" s="14">
        <f t="shared" si="4"/>
        <v>3700000</v>
      </c>
      <c r="X17" s="22"/>
      <c r="AB17" s="22"/>
      <c r="AC17" s="22"/>
    </row>
    <row r="18" spans="1:29" x14ac:dyDescent="0.2">
      <c r="A18" s="8">
        <v>2022</v>
      </c>
      <c r="B18" s="4" cm="1">
        <f t="array" ref="B18:B56">TRANSPOSE(E2:AQ2)</f>
        <v>262244660.10460132</v>
      </c>
      <c r="C18" s="4"/>
      <c r="F18" s="8">
        <v>2022</v>
      </c>
      <c r="G18" s="4" cm="1">
        <f t="array" ref="G18:G56">TRANSPOSE(E4:AQ4)</f>
        <v>2100000</v>
      </c>
      <c r="H18" s="22"/>
      <c r="I18" s="22"/>
      <c r="J18" s="25"/>
      <c r="K18" s="8">
        <v>2022</v>
      </c>
      <c r="L18" s="22" cm="1">
        <f t="array" ref="L18:L56">TRANSPOSE(E7:AQ7)</f>
        <v>98908506.359138176</v>
      </c>
      <c r="M18" s="4"/>
      <c r="N18" s="22"/>
      <c r="O18" s="25"/>
      <c r="P18" s="8">
        <v>2022</v>
      </c>
      <c r="Q18" s="4" cm="1">
        <f t="array" ref="Q18:Q56">TRANSPOSE(E8:AQ8)</f>
        <v>10433175.714882016</v>
      </c>
      <c r="R18" s="4"/>
      <c r="S18" s="22"/>
      <c r="T18" s="25"/>
      <c r="U18" s="8">
        <v>2022</v>
      </c>
      <c r="V18" s="4" cm="1">
        <f t="array" ref="V18:V56">TRANSPOSE(E10:AQ10)</f>
        <v>4400000</v>
      </c>
      <c r="W18" s="22"/>
      <c r="X18" s="22"/>
      <c r="AB18" s="22"/>
      <c r="AC18" s="22"/>
    </row>
    <row r="19" spans="1:29" x14ac:dyDescent="0.2">
      <c r="A19" s="8">
        <v>2023</v>
      </c>
      <c r="B19" s="4">
        <v>290934456.72347873</v>
      </c>
      <c r="C19" s="4"/>
      <c r="F19" s="8">
        <v>2023</v>
      </c>
      <c r="G19" s="4">
        <v>2400000</v>
      </c>
      <c r="H19" s="22"/>
      <c r="I19" s="22"/>
      <c r="J19" s="25"/>
      <c r="K19" s="8">
        <v>2023</v>
      </c>
      <c r="L19" s="22">
        <v>87626428.881627128</v>
      </c>
      <c r="M19" s="4"/>
      <c r="N19" s="22"/>
      <c r="O19" s="25"/>
      <c r="P19" s="8">
        <v>2023</v>
      </c>
      <c r="Q19" s="4">
        <v>9368208.6465701088</v>
      </c>
      <c r="R19" s="4"/>
      <c r="S19" s="22"/>
      <c r="T19" s="25"/>
      <c r="U19" s="8">
        <v>2023</v>
      </c>
      <c r="V19" s="4">
        <v>5100000</v>
      </c>
      <c r="W19" s="22"/>
      <c r="X19" s="22"/>
      <c r="AB19" s="22"/>
      <c r="AC19" s="22"/>
    </row>
    <row r="20" spans="1:29" x14ac:dyDescent="0.2">
      <c r="A20" s="8">
        <v>2024</v>
      </c>
      <c r="B20" s="4">
        <v>313720081.1412946</v>
      </c>
      <c r="C20" s="4"/>
      <c r="F20" s="8">
        <v>2024</v>
      </c>
      <c r="G20" s="4">
        <v>2700000</v>
      </c>
      <c r="H20" s="22"/>
      <c r="I20" s="22"/>
      <c r="J20" s="25"/>
      <c r="K20" s="8">
        <v>2024</v>
      </c>
      <c r="L20" s="22">
        <v>77631267.739173323</v>
      </c>
      <c r="M20" s="4"/>
      <c r="N20" s="22"/>
      <c r="O20" s="25"/>
      <c r="P20" s="8">
        <v>2024</v>
      </c>
      <c r="Q20" s="4">
        <v>8871625.1214866657</v>
      </c>
      <c r="R20" s="4"/>
      <c r="S20" s="22"/>
      <c r="T20" s="25"/>
      <c r="U20" s="8">
        <v>2024</v>
      </c>
      <c r="V20" s="4">
        <v>5800000</v>
      </c>
      <c r="W20" s="22"/>
      <c r="X20" s="22"/>
      <c r="AB20" s="22"/>
      <c r="AC20" s="22"/>
    </row>
    <row r="21" spans="1:29" x14ac:dyDescent="0.2">
      <c r="A21" s="8">
        <v>2025</v>
      </c>
      <c r="B21" s="4">
        <v>329622841.88815725</v>
      </c>
      <c r="C21" s="4"/>
      <c r="F21" s="8">
        <v>2025</v>
      </c>
      <c r="G21" s="4">
        <v>3000000</v>
      </c>
      <c r="H21" s="22"/>
      <c r="I21" s="22"/>
      <c r="J21" s="25"/>
      <c r="K21" s="8">
        <v>2025</v>
      </c>
      <c r="L21" s="22">
        <v>68776227.780565679</v>
      </c>
      <c r="M21" s="4"/>
      <c r="N21" s="22"/>
      <c r="O21" s="25"/>
      <c r="P21" s="8">
        <v>2025</v>
      </c>
      <c r="Q21" s="4">
        <v>8401364.1524742413</v>
      </c>
      <c r="R21" s="4"/>
      <c r="S21" s="22"/>
      <c r="T21" s="25"/>
      <c r="U21" s="8">
        <v>2025</v>
      </c>
      <c r="V21" s="4">
        <v>6500000</v>
      </c>
      <c r="W21" s="22"/>
      <c r="X21" s="22"/>
      <c r="AB21" s="22"/>
      <c r="AC21" s="22"/>
    </row>
    <row r="22" spans="1:29" x14ac:dyDescent="0.2">
      <c r="A22" s="8">
        <v>2026</v>
      </c>
      <c r="B22" s="4">
        <v>347995678.37737298</v>
      </c>
      <c r="C22" s="4"/>
      <c r="F22" s="8">
        <v>2026</v>
      </c>
      <c r="G22" s="4">
        <v>3400000</v>
      </c>
      <c r="H22" s="22"/>
      <c r="I22" s="22"/>
      <c r="J22" s="25"/>
      <c r="K22" s="8">
        <v>2026</v>
      </c>
      <c r="L22" s="22">
        <v>60931258.425786309</v>
      </c>
      <c r="M22" s="4"/>
      <c r="N22" s="22"/>
      <c r="O22" s="25"/>
      <c r="P22" s="8">
        <v>2026</v>
      </c>
      <c r="Q22" s="4">
        <v>7956030.4516847357</v>
      </c>
      <c r="R22" s="4"/>
      <c r="S22" s="22"/>
      <c r="T22" s="25"/>
      <c r="U22" s="8">
        <v>2026</v>
      </c>
      <c r="V22" s="4">
        <v>7200000</v>
      </c>
      <c r="W22" s="22"/>
      <c r="X22" s="22"/>
      <c r="AB22" s="22"/>
      <c r="AC22" s="22"/>
    </row>
    <row r="23" spans="1:29" x14ac:dyDescent="0.2">
      <c r="A23" s="8">
        <v>2027</v>
      </c>
      <c r="B23" s="4">
        <v>365279079.98042798</v>
      </c>
      <c r="C23" s="4"/>
      <c r="F23" s="8">
        <v>2027</v>
      </c>
      <c r="G23" s="4">
        <v>3800000</v>
      </c>
      <c r="H23" s="22"/>
      <c r="I23" s="22"/>
      <c r="J23" s="25"/>
      <c r="K23" s="8">
        <v>2027</v>
      </c>
      <c r="L23" s="22">
        <v>53981143.639817335</v>
      </c>
      <c r="M23" s="4"/>
      <c r="N23" s="22"/>
      <c r="O23" s="25"/>
      <c r="P23" s="8">
        <v>2027</v>
      </c>
      <c r="Q23" s="4">
        <v>7534302.691723356</v>
      </c>
      <c r="R23" s="4"/>
      <c r="S23" s="22"/>
      <c r="T23" s="25"/>
      <c r="U23" s="8">
        <v>2027</v>
      </c>
      <c r="V23" s="4">
        <v>7900000</v>
      </c>
      <c r="W23" s="22"/>
      <c r="X23" s="22"/>
      <c r="AB23" s="22"/>
      <c r="AC23" s="22"/>
    </row>
    <row r="24" spans="1:29" x14ac:dyDescent="0.2">
      <c r="A24" s="8">
        <v>2028</v>
      </c>
      <c r="B24" s="4">
        <v>381877195.39342856</v>
      </c>
      <c r="C24" s="4"/>
      <c r="F24" s="8">
        <v>2028</v>
      </c>
      <c r="G24" s="4">
        <v>4300000</v>
      </c>
      <c r="H24" s="22"/>
      <c r="I24" s="22"/>
      <c r="J24" s="25"/>
      <c r="K24" s="8">
        <v>2028</v>
      </c>
      <c r="L24" s="22">
        <v>47823809.783727244</v>
      </c>
      <c r="M24" s="4"/>
      <c r="N24" s="22"/>
      <c r="O24" s="25"/>
      <c r="P24" s="8">
        <v>2028</v>
      </c>
      <c r="Q24" s="4">
        <v>7134929.5852040621</v>
      </c>
      <c r="R24" s="4"/>
      <c r="S24" s="22"/>
      <c r="T24" s="25"/>
      <c r="U24" s="8">
        <v>2028</v>
      </c>
      <c r="V24" s="4">
        <v>8600000</v>
      </c>
      <c r="W24" s="22"/>
      <c r="X24" s="22"/>
      <c r="AB24" s="22"/>
      <c r="AC24" s="22"/>
    </row>
    <row r="25" spans="1:29" x14ac:dyDescent="0.2">
      <c r="A25" s="8">
        <v>2029</v>
      </c>
      <c r="B25" s="4">
        <v>396914996.64052296</v>
      </c>
      <c r="C25" s="4"/>
      <c r="F25" s="8">
        <v>2029</v>
      </c>
      <c r="G25" s="4">
        <v>4800000</v>
      </c>
      <c r="H25" s="22"/>
      <c r="I25" s="22"/>
      <c r="J25" s="25"/>
      <c r="K25" s="8">
        <v>2029</v>
      </c>
      <c r="L25" s="22">
        <v>42368826.488990344</v>
      </c>
      <c r="M25" s="4"/>
      <c r="N25" s="22"/>
      <c r="O25" s="25"/>
      <c r="P25" s="8">
        <v>2029</v>
      </c>
      <c r="Q25" s="4">
        <v>6756726.1721171876</v>
      </c>
      <c r="R25" s="4"/>
      <c r="S25" s="22"/>
      <c r="T25" s="25"/>
      <c r="U25" s="8">
        <v>2029</v>
      </c>
      <c r="V25" s="4">
        <v>9300000</v>
      </c>
      <c r="W25" s="22"/>
      <c r="X25" s="22"/>
      <c r="AB25" s="22"/>
      <c r="AC25" s="22"/>
    </row>
    <row r="26" spans="1:29" x14ac:dyDescent="0.2">
      <c r="A26" s="8">
        <v>2030</v>
      </c>
      <c r="B26" s="4">
        <v>411682067.74957246</v>
      </c>
      <c r="C26" s="4"/>
      <c r="F26" s="8">
        <v>2030</v>
      </c>
      <c r="G26" s="4">
        <v>5400000</v>
      </c>
      <c r="H26" s="4"/>
      <c r="I26" s="22"/>
      <c r="J26" s="25"/>
      <c r="K26" s="8">
        <v>2030</v>
      </c>
      <c r="L26" s="22">
        <v>37536078.536181211</v>
      </c>
      <c r="M26" s="4"/>
      <c r="N26" s="22"/>
      <c r="O26" s="25"/>
      <c r="P26" s="8">
        <v>2030</v>
      </c>
      <c r="Q26" s="4">
        <v>6398570.3039937858</v>
      </c>
      <c r="R26" s="4"/>
      <c r="S26" s="22"/>
      <c r="T26" s="25"/>
      <c r="U26" s="8">
        <v>2030</v>
      </c>
      <c r="V26" s="4">
        <v>10000000</v>
      </c>
      <c r="W26" s="4"/>
      <c r="X26" s="22"/>
      <c r="AB26" s="22"/>
      <c r="AC26" s="22"/>
    </row>
    <row r="27" spans="1:29" x14ac:dyDescent="0.2">
      <c r="A27" s="8">
        <v>2031</v>
      </c>
      <c r="B27" s="4">
        <v>438340326.99595708</v>
      </c>
      <c r="C27" s="4"/>
      <c r="F27" s="8">
        <v>2031</v>
      </c>
      <c r="G27" s="4">
        <v>6100000</v>
      </c>
      <c r="H27" s="4"/>
      <c r="I27" s="22"/>
      <c r="J27" s="25"/>
      <c r="K27" s="8">
        <v>2031</v>
      </c>
      <c r="L27" s="22">
        <v>33254589.231049299</v>
      </c>
      <c r="M27" s="4"/>
      <c r="N27" s="22"/>
      <c r="O27" s="25"/>
      <c r="P27" s="8">
        <v>2031</v>
      </c>
      <c r="Q27" s="4">
        <v>6059399.3144348795</v>
      </c>
      <c r="R27" s="4"/>
      <c r="S27" s="22"/>
      <c r="T27" s="25"/>
      <c r="U27" s="8">
        <v>2031</v>
      </c>
      <c r="V27" s="4">
        <v>10700000</v>
      </c>
      <c r="W27" s="4"/>
      <c r="X27" s="22"/>
      <c r="AB27" s="22"/>
      <c r="AC27" s="22"/>
    </row>
    <row r="28" spans="1:29" x14ac:dyDescent="0.2">
      <c r="A28" s="8">
        <v>2032</v>
      </c>
      <c r="B28" s="4">
        <v>450588229.52234483</v>
      </c>
      <c r="C28" s="4"/>
      <c r="F28" s="8">
        <v>2032</v>
      </c>
      <c r="G28" s="4">
        <v>6900000</v>
      </c>
      <c r="H28" s="4"/>
      <c r="I28" s="22"/>
      <c r="J28" s="25"/>
      <c r="K28" s="8">
        <v>2032</v>
      </c>
      <c r="L28" s="22">
        <v>29461477.996330809</v>
      </c>
      <c r="M28" s="4"/>
      <c r="N28" s="22"/>
      <c r="O28" s="25"/>
      <c r="P28" s="8">
        <v>2032</v>
      </c>
      <c r="Q28" s="4">
        <v>5738206.8661270691</v>
      </c>
      <c r="R28" s="4"/>
      <c r="S28" s="22"/>
      <c r="T28" s="25"/>
      <c r="U28" s="8">
        <v>2032</v>
      </c>
      <c r="V28" s="4">
        <v>11400000</v>
      </c>
      <c r="W28" s="4"/>
      <c r="X28" s="22"/>
      <c r="AB28" s="22"/>
      <c r="AC28" s="22"/>
    </row>
    <row r="29" spans="1:29" x14ac:dyDescent="0.2">
      <c r="A29" s="8">
        <v>2033</v>
      </c>
      <c r="B29" s="4">
        <v>462475644.21479535</v>
      </c>
      <c r="C29" s="4"/>
      <c r="F29" s="8">
        <v>2033</v>
      </c>
      <c r="G29" s="4">
        <v>7700000</v>
      </c>
      <c r="H29" s="4"/>
      <c r="I29" s="22"/>
      <c r="J29" s="25"/>
      <c r="K29" s="8">
        <v>2033</v>
      </c>
      <c r="L29" s="22">
        <v>26101036.86913269</v>
      </c>
      <c r="M29" s="4"/>
      <c r="N29" s="22"/>
      <c r="O29" s="25"/>
      <c r="P29" s="8">
        <v>2033</v>
      </c>
      <c r="Q29" s="4">
        <v>5434039.9649892878</v>
      </c>
      <c r="R29" s="4"/>
      <c r="S29" s="22"/>
      <c r="T29" s="25"/>
      <c r="U29" s="8">
        <v>2033</v>
      </c>
      <c r="V29" s="4">
        <v>12100000</v>
      </c>
      <c r="W29" s="4"/>
      <c r="X29" s="22"/>
      <c r="AB29" s="22"/>
      <c r="AC29" s="22"/>
    </row>
    <row r="30" spans="1:29" x14ac:dyDescent="0.2">
      <c r="A30" s="8">
        <v>2034</v>
      </c>
      <c r="B30" s="4">
        <v>474199423.55576897</v>
      </c>
      <c r="C30" s="4"/>
      <c r="F30" s="8">
        <v>2034</v>
      </c>
      <c r="G30" s="4">
        <v>8700000</v>
      </c>
      <c r="H30" s="4"/>
      <c r="I30" s="22"/>
      <c r="J30" s="25"/>
      <c r="K30" s="8">
        <v>2034</v>
      </c>
      <c r="L30" s="22">
        <v>23123912.340281788</v>
      </c>
      <c r="M30" s="4"/>
      <c r="N30" s="22"/>
      <c r="O30" s="25"/>
      <c r="P30" s="8">
        <v>2034</v>
      </c>
      <c r="Q30" s="4">
        <v>5145996.1325916601</v>
      </c>
      <c r="R30" s="4"/>
      <c r="S30" s="22"/>
      <c r="T30" s="25"/>
      <c r="U30" s="8">
        <v>2034</v>
      </c>
      <c r="V30" s="4">
        <v>12800000</v>
      </c>
      <c r="W30" s="4"/>
      <c r="X30" s="22"/>
      <c r="AB30" s="22"/>
      <c r="AC30" s="22"/>
    </row>
    <row r="31" spans="1:29" x14ac:dyDescent="0.2">
      <c r="A31" s="8">
        <v>2035</v>
      </c>
      <c r="B31" s="4">
        <v>485825662.75255102</v>
      </c>
      <c r="C31" s="4"/>
      <c r="F31" s="8">
        <v>2035</v>
      </c>
      <c r="G31" s="4">
        <v>9800000</v>
      </c>
      <c r="H31" s="4"/>
      <c r="I31" s="22"/>
      <c r="J31" s="25"/>
      <c r="K31" s="8">
        <v>2035</v>
      </c>
      <c r="L31" s="22">
        <v>20486380.519320365</v>
      </c>
      <c r="M31" s="4"/>
      <c r="N31" s="22"/>
      <c r="O31" s="25"/>
      <c r="P31" s="8">
        <v>2035</v>
      </c>
      <c r="Q31" s="4">
        <v>4873220.7284567701</v>
      </c>
      <c r="R31" s="4"/>
      <c r="S31" s="22"/>
      <c r="T31" s="25"/>
      <c r="U31" s="8">
        <v>2035</v>
      </c>
      <c r="V31" s="4">
        <v>13500000</v>
      </c>
      <c r="W31" s="4"/>
      <c r="X31" s="22"/>
      <c r="AB31" s="22"/>
      <c r="AC31" s="22"/>
    </row>
    <row r="32" spans="1:29" x14ac:dyDescent="0.2">
      <c r="A32" s="8">
        <v>2036</v>
      </c>
      <c r="B32" s="4">
        <v>495965457.74283457</v>
      </c>
      <c r="C32" s="4"/>
      <c r="F32" s="8">
        <v>2036</v>
      </c>
      <c r="G32" s="4">
        <v>11000000</v>
      </c>
      <c r="H32" s="4"/>
      <c r="I32" s="22"/>
      <c r="J32" s="25"/>
      <c r="K32" s="8">
        <v>2036</v>
      </c>
      <c r="L32" s="22">
        <v>18149704.979588356</v>
      </c>
      <c r="M32" s="4"/>
      <c r="N32" s="22"/>
      <c r="O32" s="25"/>
      <c r="P32" s="8">
        <v>2036</v>
      </c>
      <c r="Q32" s="4">
        <v>4614904.4142985921</v>
      </c>
      <c r="R32" s="4"/>
      <c r="S32" s="22"/>
      <c r="T32" s="25"/>
      <c r="U32" s="8">
        <v>2036</v>
      </c>
      <c r="V32" s="4">
        <v>14200000</v>
      </c>
      <c r="W32" s="4"/>
      <c r="X32" s="22"/>
      <c r="AB32" s="22"/>
      <c r="AC32" s="22"/>
    </row>
    <row r="33" spans="1:29" x14ac:dyDescent="0.2">
      <c r="A33" s="8">
        <v>2037</v>
      </c>
      <c r="B33" s="4">
        <v>501755909.75574809</v>
      </c>
      <c r="C33" s="4"/>
      <c r="F33" s="8">
        <v>2037</v>
      </c>
      <c r="G33" s="4">
        <v>12400000</v>
      </c>
      <c r="H33" s="4"/>
      <c r="I33" s="22"/>
      <c r="J33" s="25"/>
      <c r="K33" s="8">
        <v>2037</v>
      </c>
      <c r="L33" s="22">
        <v>16079567.852204759</v>
      </c>
      <c r="M33" s="4"/>
      <c r="N33" s="22"/>
      <c r="O33" s="25"/>
      <c r="P33" s="8">
        <v>2037</v>
      </c>
      <c r="Q33" s="4">
        <v>4370280.7526752418</v>
      </c>
      <c r="R33" s="4"/>
      <c r="S33" s="22"/>
      <c r="T33" s="25"/>
      <c r="U33" s="8">
        <v>2037</v>
      </c>
      <c r="V33" s="4">
        <v>14900000</v>
      </c>
      <c r="W33" s="4"/>
      <c r="X33" s="22"/>
      <c r="AB33" s="22"/>
      <c r="AC33" s="22"/>
    </row>
    <row r="34" spans="1:29" x14ac:dyDescent="0.2">
      <c r="A34" s="8">
        <v>2038</v>
      </c>
      <c r="B34" s="4">
        <v>507412553.1943301</v>
      </c>
      <c r="C34" s="4"/>
      <c r="F34" s="8">
        <v>2038</v>
      </c>
      <c r="G34" s="4">
        <v>14000000</v>
      </c>
      <c r="H34" s="4"/>
      <c r="I34" s="22"/>
      <c r="J34" s="25"/>
      <c r="K34" s="8">
        <v>2038</v>
      </c>
      <c r="L34" s="22">
        <v>14245565.813591685</v>
      </c>
      <c r="M34" s="4"/>
      <c r="N34" s="22"/>
      <c r="O34" s="25"/>
      <c r="P34" s="8">
        <v>2038</v>
      </c>
      <c r="Q34" s="4">
        <v>4138623.9329306963</v>
      </c>
      <c r="R34" s="4"/>
      <c r="S34" s="22"/>
      <c r="T34" s="25"/>
      <c r="U34" s="8">
        <v>2038</v>
      </c>
      <c r="V34" s="4">
        <v>15600000</v>
      </c>
      <c r="W34" s="4"/>
      <c r="X34" s="22"/>
      <c r="AB34" s="22"/>
      <c r="AC34" s="22"/>
    </row>
    <row r="35" spans="1:29" x14ac:dyDescent="0.2">
      <c r="A35" s="8">
        <v>2039</v>
      </c>
      <c r="B35" s="4">
        <v>512965378.02253073</v>
      </c>
      <c r="C35" s="4"/>
      <c r="F35" s="8">
        <v>2039</v>
      </c>
      <c r="G35" s="4">
        <v>15800000</v>
      </c>
      <c r="H35" s="4"/>
      <c r="I35" s="22"/>
      <c r="J35" s="25"/>
      <c r="K35" s="8">
        <v>2039</v>
      </c>
      <c r="L35" s="22">
        <v>12620763.564284062</v>
      </c>
      <c r="M35" s="4"/>
      <c r="N35" s="22"/>
      <c r="O35" s="25"/>
      <c r="P35" s="8">
        <v>2039</v>
      </c>
      <c r="Q35" s="4">
        <v>3919246.6176782371</v>
      </c>
      <c r="R35" s="4"/>
      <c r="S35" s="22"/>
      <c r="T35" s="25"/>
      <c r="U35" s="8">
        <v>2039</v>
      </c>
      <c r="V35" s="4">
        <v>16300000</v>
      </c>
      <c r="W35" s="4"/>
      <c r="X35" s="22"/>
      <c r="AB35" s="22"/>
      <c r="AC35" s="22"/>
    </row>
    <row r="36" spans="1:29" x14ac:dyDescent="0.2">
      <c r="A36" s="8">
        <v>2040</v>
      </c>
      <c r="B36" s="4">
        <v>518440320.39159817</v>
      </c>
      <c r="C36" s="4"/>
      <c r="F36" s="8">
        <v>2040</v>
      </c>
      <c r="G36" s="4">
        <v>16590000</v>
      </c>
      <c r="H36" s="4"/>
      <c r="I36" s="22"/>
      <c r="J36" s="25"/>
      <c r="K36" s="8">
        <v>2040</v>
      </c>
      <c r="L36" s="22">
        <v>11181298.241139412</v>
      </c>
      <c r="M36" s="4"/>
      <c r="N36" s="22"/>
      <c r="O36" s="25"/>
      <c r="P36" s="8">
        <v>2040</v>
      </c>
      <c r="Q36" s="4">
        <v>3711497.9034359907</v>
      </c>
      <c r="R36" s="4"/>
      <c r="S36" s="22"/>
      <c r="T36" s="25"/>
      <c r="U36" s="8">
        <v>2040</v>
      </c>
      <c r="V36" s="4">
        <v>17000000</v>
      </c>
      <c r="W36" s="4"/>
      <c r="X36" s="22"/>
      <c r="AB36" s="22"/>
      <c r="AC36" s="22"/>
    </row>
    <row r="37" spans="1:29" x14ac:dyDescent="0.2">
      <c r="A37" s="8">
        <v>2041</v>
      </c>
      <c r="B37" s="4">
        <v>527092763.67112541</v>
      </c>
      <c r="C37" s="4"/>
      <c r="F37" s="8">
        <v>2041</v>
      </c>
      <c r="G37" s="4">
        <v>17390000</v>
      </c>
      <c r="H37" s="4"/>
      <c r="I37" s="22"/>
      <c r="J37" s="25"/>
      <c r="K37" s="8">
        <v>2041</v>
      </c>
      <c r="L37" s="22">
        <v>9906028.9531124178</v>
      </c>
      <c r="M37" s="4"/>
      <c r="N37" s="22"/>
      <c r="O37" s="25"/>
      <c r="P37" s="8">
        <v>2041</v>
      </c>
      <c r="Q37" s="4">
        <v>3514761.3893637084</v>
      </c>
      <c r="R37" s="4"/>
      <c r="S37" s="22"/>
      <c r="T37" s="25"/>
      <c r="U37" s="8">
        <v>2041</v>
      </c>
      <c r="V37" s="4">
        <v>17700000</v>
      </c>
      <c r="W37" s="4"/>
      <c r="X37" s="22"/>
      <c r="AB37" s="22"/>
      <c r="AC37" s="22"/>
    </row>
    <row r="38" spans="1:29" x14ac:dyDescent="0.2">
      <c r="A38" s="8">
        <v>2042</v>
      </c>
      <c r="B38" s="4">
        <v>531377871.4452678</v>
      </c>
      <c r="C38" s="4"/>
      <c r="F38" s="8">
        <v>2042</v>
      </c>
      <c r="G38" s="4">
        <v>18190000</v>
      </c>
      <c r="H38" s="4"/>
      <c r="I38" s="22"/>
      <c r="J38" s="25"/>
      <c r="K38" s="8">
        <v>2042</v>
      </c>
      <c r="L38" s="22">
        <v>8776226.2934758663</v>
      </c>
      <c r="M38" s="4"/>
      <c r="N38" s="22"/>
      <c r="O38" s="25"/>
      <c r="P38" s="8">
        <v>2042</v>
      </c>
      <c r="Q38" s="4">
        <v>3328453.3483705744</v>
      </c>
      <c r="R38" s="4"/>
      <c r="S38" s="22"/>
      <c r="T38" s="25"/>
      <c r="U38" s="8">
        <v>2042</v>
      </c>
      <c r="V38" s="4">
        <v>18400000</v>
      </c>
      <c r="W38" s="4"/>
      <c r="X38" s="22"/>
      <c r="AB38" s="22"/>
      <c r="AC38" s="22"/>
    </row>
    <row r="39" spans="1:29" x14ac:dyDescent="0.2">
      <c r="A39" s="8">
        <v>2043</v>
      </c>
      <c r="B39" s="4">
        <v>535594688.64670324</v>
      </c>
      <c r="C39" s="4"/>
      <c r="F39" s="8">
        <v>2043</v>
      </c>
      <c r="G39" s="4">
        <v>18990000</v>
      </c>
      <c r="H39" s="4"/>
      <c r="I39" s="22"/>
      <c r="J39" s="25"/>
      <c r="K39" s="8">
        <v>2043</v>
      </c>
      <c r="L39" s="22">
        <v>7775297.2684902512</v>
      </c>
      <c r="M39" s="4"/>
      <c r="N39" s="22"/>
      <c r="O39" s="25"/>
      <c r="P39" s="8">
        <v>2043</v>
      </c>
      <c r="Q39" s="4">
        <v>3152020.9951677257</v>
      </c>
      <c r="R39" s="4"/>
      <c r="S39" s="22"/>
      <c r="T39" s="25"/>
      <c r="U39" s="8">
        <v>2043</v>
      </c>
      <c r="V39" s="4">
        <v>19100000</v>
      </c>
      <c r="W39" s="4"/>
      <c r="X39" s="22"/>
      <c r="AB39" s="22"/>
      <c r="AC39" s="22"/>
    </row>
    <row r="40" spans="1:29" x14ac:dyDescent="0.2">
      <c r="A40" s="8">
        <v>2044</v>
      </c>
      <c r="B40" s="4">
        <v>539763320.33756661</v>
      </c>
      <c r="C40" s="4"/>
      <c r="F40" s="8">
        <v>2044</v>
      </c>
      <c r="G40" s="4">
        <v>19780000</v>
      </c>
      <c r="H40" s="4"/>
      <c r="I40" s="22"/>
      <c r="J40" s="25"/>
      <c r="K40" s="8">
        <v>2044</v>
      </c>
      <c r="L40" s="22">
        <v>6888541.6026714006</v>
      </c>
      <c r="M40" s="4"/>
      <c r="N40" s="22"/>
      <c r="O40" s="25"/>
      <c r="P40" s="8">
        <v>2044</v>
      </c>
      <c r="Q40" s="4">
        <v>2984940.8461265885</v>
      </c>
      <c r="R40" s="4"/>
      <c r="S40" s="22"/>
      <c r="T40" s="25"/>
      <c r="U40" s="8">
        <v>2044</v>
      </c>
      <c r="V40" s="4">
        <v>19800000</v>
      </c>
      <c r="W40" s="4"/>
      <c r="X40" s="22"/>
      <c r="AB40" s="22"/>
      <c r="AC40" s="22"/>
    </row>
    <row r="41" spans="1:29" x14ac:dyDescent="0.2">
      <c r="A41" s="8">
        <v>2045</v>
      </c>
      <c r="B41" s="4">
        <v>543913813.42868233</v>
      </c>
      <c r="C41" s="4"/>
      <c r="F41" s="8">
        <v>2045</v>
      </c>
      <c r="G41" s="4">
        <v>20580000</v>
      </c>
      <c r="H41" s="4"/>
      <c r="I41" s="22"/>
      <c r="J41" s="25"/>
      <c r="K41" s="8">
        <v>2045</v>
      </c>
      <c r="L41" s="22">
        <v>6102935.8416204052</v>
      </c>
      <c r="M41" s="4"/>
      <c r="N41" s="22"/>
      <c r="O41" s="25"/>
      <c r="P41" s="8">
        <v>2045</v>
      </c>
      <c r="Q41" s="4">
        <v>2826717.1660767458</v>
      </c>
      <c r="R41" s="4"/>
      <c r="S41" s="22"/>
      <c r="T41" s="25"/>
      <c r="U41" s="8">
        <v>2045</v>
      </c>
      <c r="V41" s="4">
        <v>20500000</v>
      </c>
      <c r="W41" s="4"/>
      <c r="X41" s="22"/>
      <c r="AB41" s="22"/>
      <c r="AC41" s="22"/>
    </row>
    <row r="42" spans="1:29" x14ac:dyDescent="0.2">
      <c r="A42" s="8">
        <v>2046</v>
      </c>
      <c r="B42" s="4">
        <v>547410419.46464074</v>
      </c>
      <c r="C42" s="4"/>
      <c r="F42" s="8">
        <v>2046</v>
      </c>
      <c r="G42" s="4">
        <v>21360000</v>
      </c>
      <c r="H42" s="4"/>
      <c r="I42" s="22"/>
      <c r="J42" s="25"/>
      <c r="K42" s="8">
        <v>2046</v>
      </c>
      <c r="L42" s="22">
        <v>5406942.0816301638</v>
      </c>
      <c r="M42" s="4"/>
      <c r="N42" s="22"/>
      <c r="O42" s="25"/>
      <c r="P42" s="8">
        <v>2046</v>
      </c>
      <c r="Q42" s="4">
        <v>2676880.4974348485</v>
      </c>
      <c r="R42" s="4"/>
      <c r="S42" s="22"/>
      <c r="T42" s="25"/>
      <c r="U42" s="8">
        <v>2046</v>
      </c>
      <c r="V42" s="4">
        <v>21200000</v>
      </c>
      <c r="W42" s="4"/>
      <c r="X42" s="22"/>
      <c r="AB42" s="22"/>
      <c r="AC42" s="22"/>
    </row>
    <row r="43" spans="1:29" x14ac:dyDescent="0.2">
      <c r="A43" s="8">
        <v>2047</v>
      </c>
      <c r="B43" s="4">
        <v>550917773.58923447</v>
      </c>
      <c r="C43" s="4"/>
      <c r="F43" s="8">
        <v>2047</v>
      </c>
      <c r="G43" s="4">
        <v>22130000</v>
      </c>
      <c r="H43" s="4"/>
      <c r="I43" s="22"/>
      <c r="J43" s="25"/>
      <c r="K43" s="8">
        <v>2047</v>
      </c>
      <c r="L43" s="22">
        <v>4790338.5169651024</v>
      </c>
      <c r="M43" s="4"/>
      <c r="N43" s="22"/>
      <c r="O43" s="25"/>
      <c r="P43" s="8">
        <v>2047</v>
      </c>
      <c r="Q43" s="4">
        <v>2534986.2673004679</v>
      </c>
      <c r="R43" s="4"/>
      <c r="S43" s="22"/>
      <c r="T43" s="25"/>
      <c r="U43" s="8">
        <v>2047</v>
      </c>
      <c r="V43" s="4">
        <v>21900000</v>
      </c>
      <c r="W43" s="4"/>
      <c r="X43" s="22"/>
      <c r="AB43" s="22"/>
      <c r="AC43" s="22"/>
    </row>
    <row r="44" spans="1:29" x14ac:dyDescent="0.2">
      <c r="A44" s="8">
        <v>2048</v>
      </c>
      <c r="B44" s="4">
        <v>554452819.83208847</v>
      </c>
      <c r="C44" s="4"/>
      <c r="F44" s="8">
        <v>2048</v>
      </c>
      <c r="G44" s="4">
        <v>22880000</v>
      </c>
      <c r="H44" s="4"/>
      <c r="I44" s="22"/>
      <c r="J44" s="25"/>
      <c r="K44" s="8">
        <v>2048</v>
      </c>
      <c r="L44" s="22">
        <v>4244069.3161363658</v>
      </c>
      <c r="M44" s="4"/>
      <c r="N44" s="22"/>
      <c r="O44" s="25"/>
      <c r="P44" s="8">
        <v>2048</v>
      </c>
      <c r="Q44" s="4">
        <v>2400613.4683860177</v>
      </c>
      <c r="R44" s="4"/>
      <c r="S44" s="22"/>
      <c r="T44" s="25"/>
      <c r="U44" s="8">
        <v>2048</v>
      </c>
      <c r="V44" s="4">
        <v>22600000</v>
      </c>
      <c r="W44" s="4"/>
      <c r="X44" s="22"/>
      <c r="AB44" s="22"/>
      <c r="AC44" s="22"/>
    </row>
    <row r="45" spans="1:29" x14ac:dyDescent="0.2">
      <c r="A45" s="8">
        <v>2049</v>
      </c>
      <c r="B45" s="4">
        <v>558032816.0162071</v>
      </c>
      <c r="C45" s="4"/>
      <c r="F45" s="8">
        <v>2049</v>
      </c>
      <c r="G45" s="4">
        <v>23610000</v>
      </c>
      <c r="H45" s="4"/>
      <c r="I45" s="22"/>
      <c r="J45" s="25"/>
      <c r="K45" s="8">
        <v>2049</v>
      </c>
      <c r="L45" s="22">
        <v>3760111.6223707162</v>
      </c>
      <c r="M45" s="4"/>
      <c r="N45" s="22"/>
      <c r="O45" s="25"/>
      <c r="P45" s="8">
        <v>2049</v>
      </c>
      <c r="Q45" s="4">
        <v>2273363.4098670539</v>
      </c>
      <c r="R45" s="4"/>
      <c r="S45" s="22"/>
      <c r="T45" s="25"/>
      <c r="U45" s="8">
        <v>2049</v>
      </c>
      <c r="V45" s="4">
        <v>23300000</v>
      </c>
      <c r="W45" s="4"/>
      <c r="X45" s="22"/>
      <c r="AB45" s="22"/>
      <c r="AC45" s="22"/>
    </row>
    <row r="46" spans="1:29" x14ac:dyDescent="0.2">
      <c r="A46" s="8">
        <v>2050</v>
      </c>
      <c r="B46" s="4">
        <v>561675511.59079397</v>
      </c>
      <c r="C46" s="4"/>
      <c r="F46" s="8">
        <v>2050</v>
      </c>
      <c r="G46" s="4">
        <v>24320000</v>
      </c>
      <c r="H46" s="4"/>
      <c r="I46" s="22"/>
      <c r="J46" s="25"/>
      <c r="K46" s="8">
        <v>2050</v>
      </c>
      <c r="L46" s="22">
        <v>3331357.7249662941</v>
      </c>
      <c r="M46" s="4"/>
      <c r="N46" s="22"/>
      <c r="O46" s="25"/>
      <c r="P46" s="8">
        <v>2050</v>
      </c>
      <c r="Q46" s="4">
        <v>2152858.5344466278</v>
      </c>
      <c r="R46" s="4"/>
      <c r="S46" s="22"/>
      <c r="T46" s="25"/>
      <c r="U46" s="8">
        <v>2050</v>
      </c>
      <c r="V46" s="4">
        <v>24000000</v>
      </c>
      <c r="W46" s="4"/>
      <c r="X46" s="22"/>
      <c r="AB46" s="22"/>
      <c r="AC46" s="22"/>
    </row>
    <row r="47" spans="1:29" x14ac:dyDescent="0.2">
      <c r="A47" s="8">
        <v>2051</v>
      </c>
      <c r="B47" s="4">
        <v>565910946.68505359</v>
      </c>
      <c r="C47" s="4"/>
      <c r="F47" s="8">
        <v>2051</v>
      </c>
      <c r="G47" s="4">
        <v>25000000</v>
      </c>
      <c r="H47" s="4"/>
      <c r="I47" s="22"/>
      <c r="J47" s="25"/>
      <c r="K47" s="8">
        <v>2051</v>
      </c>
      <c r="L47" s="22">
        <v>2951510.6710360954</v>
      </c>
      <c r="M47" s="4"/>
      <c r="N47" s="22"/>
      <c r="O47" s="25"/>
      <c r="P47" s="8">
        <v>2051</v>
      </c>
      <c r="Q47" s="4">
        <v>2038741.2981238766</v>
      </c>
      <c r="R47" s="4"/>
      <c r="S47" s="22"/>
      <c r="T47" s="25"/>
      <c r="U47" s="8">
        <v>2051</v>
      </c>
      <c r="V47" s="4">
        <v>24700000</v>
      </c>
      <c r="W47" s="4"/>
      <c r="X47" s="22"/>
      <c r="AB47" s="22"/>
      <c r="AC47" s="22"/>
    </row>
    <row r="48" spans="1:29" x14ac:dyDescent="0.2">
      <c r="A48" s="8">
        <v>2052</v>
      </c>
      <c r="B48" s="4">
        <v>568020386.73224449</v>
      </c>
      <c r="C48" s="4"/>
      <c r="F48" s="8">
        <v>2052</v>
      </c>
      <c r="G48" s="4">
        <v>25650000</v>
      </c>
      <c r="H48" s="4"/>
      <c r="I48" s="22"/>
      <c r="J48" s="25"/>
      <c r="K48" s="8">
        <v>2052</v>
      </c>
      <c r="L48" s="22">
        <v>2614991.7845327975</v>
      </c>
      <c r="M48" s="4"/>
      <c r="N48" s="22"/>
      <c r="O48" s="25"/>
      <c r="P48" s="8">
        <v>2052</v>
      </c>
      <c r="Q48" s="4">
        <v>1930673.109343068</v>
      </c>
      <c r="R48" s="4"/>
      <c r="S48" s="22"/>
      <c r="T48" s="25"/>
      <c r="U48" s="8">
        <v>2052</v>
      </c>
      <c r="V48" s="4">
        <v>25400000</v>
      </c>
      <c r="W48" s="4"/>
      <c r="X48" s="22"/>
      <c r="AB48" s="22"/>
      <c r="AC48" s="22"/>
    </row>
    <row r="49" spans="1:29" x14ac:dyDescent="0.2">
      <c r="A49" s="8">
        <v>2053</v>
      </c>
      <c r="B49" s="4">
        <v>570231330.30124331</v>
      </c>
      <c r="C49" s="4"/>
      <c r="F49" s="8">
        <v>2053</v>
      </c>
      <c r="G49" s="4">
        <v>26260000</v>
      </c>
      <c r="H49" s="4"/>
      <c r="I49" s="22"/>
      <c r="J49" s="25"/>
      <c r="K49" s="8">
        <v>2053</v>
      </c>
      <c r="L49" s="22">
        <v>2316858.7343253405</v>
      </c>
      <c r="M49" s="4"/>
      <c r="N49" s="22"/>
      <c r="O49" s="25"/>
      <c r="P49" s="8">
        <v>2053</v>
      </c>
      <c r="Q49" s="4">
        <v>1828333.3243754904</v>
      </c>
      <c r="R49" s="4"/>
      <c r="S49" s="22"/>
      <c r="T49" s="25"/>
      <c r="U49" s="8">
        <v>2053</v>
      </c>
      <c r="V49" s="4">
        <v>26100000</v>
      </c>
      <c r="W49" s="4"/>
      <c r="X49" s="22"/>
      <c r="AB49" s="22"/>
      <c r="AC49" s="22"/>
    </row>
    <row r="50" spans="1:29" x14ac:dyDescent="0.2">
      <c r="A50" s="8">
        <v>2054</v>
      </c>
      <c r="B50" s="4">
        <v>572564820.79557848</v>
      </c>
      <c r="C50" s="4"/>
      <c r="F50" s="8">
        <v>2054</v>
      </c>
      <c r="G50" s="4">
        <v>26840000</v>
      </c>
      <c r="H50" s="4"/>
      <c r="I50" s="22"/>
      <c r="J50" s="25"/>
      <c r="K50" s="8">
        <v>2054</v>
      </c>
      <c r="L50" s="22">
        <v>2052732.9480268427</v>
      </c>
      <c r="M50" s="4"/>
      <c r="N50" s="22"/>
      <c r="O50" s="25"/>
      <c r="P50" s="8">
        <v>2054</v>
      </c>
      <c r="Q50" s="4">
        <v>1731418.295953454</v>
      </c>
      <c r="R50" s="4"/>
      <c r="S50" s="22"/>
      <c r="T50" s="25"/>
      <c r="U50" s="8">
        <v>2054</v>
      </c>
      <c r="V50" s="4">
        <v>26800000</v>
      </c>
      <c r="W50" s="4"/>
      <c r="X50" s="22"/>
      <c r="AB50" s="22"/>
      <c r="AC50" s="22"/>
    </row>
    <row r="51" spans="1:29" x14ac:dyDescent="0.2">
      <c r="A51" s="8">
        <v>2055</v>
      </c>
      <c r="B51" s="4">
        <v>575043320.47694802</v>
      </c>
      <c r="C51" s="4"/>
      <c r="F51" s="8">
        <v>2055</v>
      </c>
      <c r="G51" s="4">
        <v>27380000</v>
      </c>
      <c r="H51" s="4"/>
      <c r="I51" s="22"/>
      <c r="J51" s="25"/>
      <c r="K51" s="8">
        <v>2055</v>
      </c>
      <c r="L51" s="22">
        <v>1818735.3055303001</v>
      </c>
      <c r="M51" s="4"/>
      <c r="N51" s="22"/>
      <c r="O51" s="25"/>
      <c r="P51" s="8">
        <v>2055</v>
      </c>
      <c r="Q51" s="4">
        <v>1639640.4723336399</v>
      </c>
      <c r="R51" s="4"/>
      <c r="S51" s="22"/>
      <c r="T51" s="25"/>
      <c r="U51" s="8">
        <v>2055</v>
      </c>
      <c r="V51" s="4">
        <v>27500000</v>
      </c>
      <c r="W51" s="4"/>
      <c r="X51" s="22"/>
      <c r="AB51" s="22"/>
      <c r="AC51" s="22"/>
    </row>
    <row r="52" spans="1:29" x14ac:dyDescent="0.2">
      <c r="A52" s="8">
        <v>2056</v>
      </c>
      <c r="B52" s="4">
        <v>577750643.85923791</v>
      </c>
      <c r="C52" s="4"/>
      <c r="F52" s="8">
        <v>2056</v>
      </c>
      <c r="G52" s="4">
        <v>27870000</v>
      </c>
      <c r="H52" s="4"/>
      <c r="I52" s="22"/>
      <c r="J52" s="25"/>
      <c r="K52" s="8">
        <v>2056</v>
      </c>
      <c r="L52" s="22">
        <v>1611429.1678089635</v>
      </c>
      <c r="M52" s="4"/>
      <c r="N52" s="22"/>
      <c r="O52" s="25"/>
      <c r="P52" s="8">
        <v>2056</v>
      </c>
      <c r="Q52" s="4">
        <v>1552727.5441166726</v>
      </c>
      <c r="R52" s="4"/>
      <c r="S52" s="22"/>
      <c r="T52" s="25"/>
      <c r="U52" s="8">
        <v>2056</v>
      </c>
      <c r="V52" s="4">
        <v>28200000</v>
      </c>
      <c r="W52" s="4"/>
      <c r="X52" s="22"/>
      <c r="AB52" s="22"/>
      <c r="AC52" s="22"/>
    </row>
    <row r="53" spans="1:29" x14ac:dyDescent="0.2">
      <c r="A53" s="8">
        <v>2057</v>
      </c>
      <c r="B53" s="4">
        <v>580653256.36030495</v>
      </c>
      <c r="C53" s="4"/>
      <c r="F53" s="8">
        <v>2057</v>
      </c>
      <c r="G53" s="4">
        <v>28320000</v>
      </c>
      <c r="H53" s="4"/>
      <c r="I53" s="22"/>
      <c r="J53" s="25"/>
      <c r="K53" s="8">
        <v>2057</v>
      </c>
      <c r="L53" s="22">
        <v>1427769.9042681537</v>
      </c>
      <c r="M53" s="4"/>
      <c r="N53" s="22"/>
      <c r="O53" s="25"/>
      <c r="P53" s="8">
        <v>2057</v>
      </c>
      <c r="Q53" s="4">
        <v>1470421.6362914974</v>
      </c>
      <c r="R53" s="4"/>
      <c r="S53" s="22"/>
      <c r="T53" s="25"/>
      <c r="U53" s="8">
        <v>2057</v>
      </c>
      <c r="V53" s="4">
        <v>28900000</v>
      </c>
      <c r="W53" s="4"/>
      <c r="X53" s="22"/>
      <c r="AB53" s="22"/>
      <c r="AC53" s="22"/>
    </row>
    <row r="54" spans="1:29" x14ac:dyDescent="0.2">
      <c r="A54" s="8">
        <v>2058</v>
      </c>
      <c r="B54" s="4">
        <v>583779583.6435324</v>
      </c>
      <c r="C54" s="4"/>
      <c r="F54" s="8">
        <v>2058</v>
      </c>
      <c r="G54" s="4">
        <v>28710000</v>
      </c>
      <c r="H54" s="4"/>
      <c r="I54" s="22"/>
      <c r="J54" s="25"/>
      <c r="K54" s="8">
        <v>2058</v>
      </c>
      <c r="L54" s="22">
        <v>1265060.177376695</v>
      </c>
      <c r="M54" s="4"/>
      <c r="N54" s="22"/>
      <c r="O54" s="25"/>
      <c r="P54" s="8">
        <v>2058</v>
      </c>
      <c r="Q54" s="4">
        <v>1392478.5431073022</v>
      </c>
      <c r="R54" s="4"/>
      <c r="S54" s="22"/>
      <c r="T54" s="25"/>
      <c r="U54" s="8">
        <v>2058</v>
      </c>
      <c r="V54" s="4">
        <v>29600000</v>
      </c>
      <c r="W54" s="4"/>
      <c r="X54" s="22"/>
      <c r="AB54" s="22"/>
      <c r="AC54" s="22"/>
    </row>
    <row r="55" spans="1:29" x14ac:dyDescent="0.2">
      <c r="A55" s="8">
        <v>2059</v>
      </c>
      <c r="B55" s="4">
        <v>587160692.1395154</v>
      </c>
      <c r="C55" s="4"/>
      <c r="F55" s="8">
        <v>2059</v>
      </c>
      <c r="G55" s="4">
        <v>29060000</v>
      </c>
      <c r="H55" s="4"/>
      <c r="I55" s="22"/>
      <c r="J55" s="25"/>
      <c r="K55" s="8">
        <v>2059</v>
      </c>
      <c r="L55" s="22">
        <v>1120910.3278609244</v>
      </c>
      <c r="M55" s="4"/>
      <c r="N55" s="22"/>
      <c r="O55" s="25"/>
      <c r="P55" s="8">
        <v>2059</v>
      </c>
      <c r="Q55" s="4">
        <v>1318667.0035028292</v>
      </c>
      <c r="R55" s="4"/>
      <c r="S55" s="22"/>
      <c r="T55" s="25"/>
      <c r="U55" s="8">
        <v>2059</v>
      </c>
      <c r="V55" s="4">
        <v>30300000</v>
      </c>
      <c r="W55" s="4"/>
      <c r="X55" s="22"/>
      <c r="AB55" s="22"/>
      <c r="AC55" s="22"/>
    </row>
    <row r="56" spans="1:29" x14ac:dyDescent="0.2">
      <c r="A56" s="8">
        <v>2060</v>
      </c>
      <c r="B56" s="4">
        <v>590830665.85023308</v>
      </c>
      <c r="C56" s="4"/>
      <c r="F56" s="8">
        <v>2060</v>
      </c>
      <c r="G56" s="4">
        <v>29350000</v>
      </c>
      <c r="H56" s="4"/>
      <c r="I56" s="22"/>
      <c r="J56" s="25"/>
      <c r="K56" s="8">
        <v>2060</v>
      </c>
      <c r="L56" s="22">
        <v>993203.27865403006</v>
      </c>
      <c r="M56" s="4"/>
      <c r="N56" s="22"/>
      <c r="O56" s="25"/>
      <c r="P56" s="8">
        <v>2060</v>
      </c>
      <c r="Q56" s="4">
        <v>1248768.0149432186</v>
      </c>
      <c r="R56" s="4"/>
      <c r="S56" s="22"/>
      <c r="T56" s="25"/>
      <c r="U56" s="8">
        <v>2060</v>
      </c>
      <c r="V56" s="4">
        <v>31000000</v>
      </c>
      <c r="W56" s="4"/>
      <c r="X56" s="22"/>
      <c r="AB56" s="22"/>
      <c r="AC56" s="22"/>
    </row>
    <row r="57" spans="1:29" x14ac:dyDescent="0.2">
      <c r="R57" s="25"/>
      <c r="S57" s="25"/>
      <c r="T57" s="25"/>
      <c r="W57" s="25"/>
      <c r="X57" s="25"/>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2DDCD-B4F0-8943-8F07-B2710950C2C2}">
  <dimension ref="A1:AP11"/>
  <sheetViews>
    <sheetView workbookViewId="0">
      <selection sqref="A1:XFD1"/>
    </sheetView>
  </sheetViews>
  <sheetFormatPr baseColWidth="10" defaultRowHeight="16" x14ac:dyDescent="0.2"/>
  <sheetData>
    <row r="1" spans="1:42" x14ac:dyDescent="0.2">
      <c r="A1" s="1" t="s">
        <v>11</v>
      </c>
      <c r="B1" s="8">
        <v>2020</v>
      </c>
      <c r="C1" s="8">
        <v>2021</v>
      </c>
      <c r="D1" s="8">
        <v>2022</v>
      </c>
      <c r="E1" s="8">
        <v>2023</v>
      </c>
      <c r="F1" s="8">
        <v>2024</v>
      </c>
      <c r="G1" s="8">
        <v>2025</v>
      </c>
      <c r="H1" s="8">
        <v>2026</v>
      </c>
      <c r="I1" s="8">
        <v>2027</v>
      </c>
      <c r="J1" s="8">
        <v>2028</v>
      </c>
      <c r="K1" s="8">
        <v>2029</v>
      </c>
      <c r="L1" s="8">
        <v>2030</v>
      </c>
      <c r="M1" s="8">
        <v>2031</v>
      </c>
      <c r="N1" s="8">
        <v>2032</v>
      </c>
      <c r="O1" s="8">
        <v>2033</v>
      </c>
      <c r="P1" s="8">
        <v>2034</v>
      </c>
      <c r="Q1" s="8">
        <v>2035</v>
      </c>
      <c r="R1" s="8">
        <v>2036</v>
      </c>
      <c r="S1" s="8">
        <v>2037</v>
      </c>
      <c r="T1" s="8">
        <v>2038</v>
      </c>
      <c r="U1" s="8">
        <v>2039</v>
      </c>
      <c r="V1" s="8">
        <v>2040</v>
      </c>
      <c r="W1" s="8">
        <v>2041</v>
      </c>
      <c r="X1" s="8">
        <v>2042</v>
      </c>
      <c r="Y1" s="8">
        <v>2043</v>
      </c>
      <c r="Z1" s="8">
        <v>2044</v>
      </c>
      <c r="AA1" s="8">
        <v>2045</v>
      </c>
      <c r="AB1" s="8">
        <v>2046</v>
      </c>
      <c r="AC1" s="8">
        <v>2047</v>
      </c>
      <c r="AD1" s="8">
        <v>2048</v>
      </c>
      <c r="AE1" s="8">
        <v>2049</v>
      </c>
      <c r="AF1" s="8">
        <v>2050</v>
      </c>
      <c r="AG1" s="8">
        <v>2051</v>
      </c>
      <c r="AH1" s="8">
        <v>2052</v>
      </c>
      <c r="AI1" s="8">
        <v>2053</v>
      </c>
      <c r="AJ1" s="8">
        <v>2054</v>
      </c>
      <c r="AK1" s="8">
        <v>2055</v>
      </c>
      <c r="AL1" s="8">
        <v>2056</v>
      </c>
      <c r="AM1" s="8">
        <v>2057</v>
      </c>
      <c r="AN1" s="8">
        <v>2058</v>
      </c>
      <c r="AO1" s="8">
        <v>2059</v>
      </c>
      <c r="AP1" s="8">
        <v>2060</v>
      </c>
    </row>
    <row r="2" spans="1:42" x14ac:dyDescent="0.2">
      <c r="A2" s="1" t="s">
        <v>22</v>
      </c>
      <c r="B2" s="4">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row>
    <row r="3" spans="1:42" x14ac:dyDescent="0.2">
      <c r="A3" s="1" t="s">
        <v>23</v>
      </c>
      <c r="B3" s="4">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row>
    <row r="4" spans="1:42" x14ac:dyDescent="0.2">
      <c r="A4" s="1" t="s">
        <v>24</v>
      </c>
      <c r="B4" s="4">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row>
    <row r="5" spans="1:42" x14ac:dyDescent="0.2">
      <c r="A5" s="1" t="s">
        <v>25</v>
      </c>
      <c r="B5" s="4">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row>
    <row r="6" spans="1:42" x14ac:dyDescent="0.2">
      <c r="A6" s="1" t="s">
        <v>26</v>
      </c>
      <c r="B6" s="4">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row>
    <row r="7" spans="1:42" x14ac:dyDescent="0.2">
      <c r="A7" s="1" t="s">
        <v>27</v>
      </c>
      <c r="B7" s="4">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row>
    <row r="8" spans="1:42" x14ac:dyDescent="0.2">
      <c r="A8" s="1" t="s">
        <v>28</v>
      </c>
      <c r="B8" s="4">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row>
    <row r="9" spans="1:42" x14ac:dyDescent="0.2">
      <c r="A9" s="1" t="s">
        <v>29</v>
      </c>
      <c r="B9" s="4">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row>
    <row r="10" spans="1:42" x14ac:dyDescent="0.2">
      <c r="A10" s="1" t="s">
        <v>30</v>
      </c>
      <c r="B10" s="4">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row>
    <row r="11" spans="1:42" x14ac:dyDescent="0.2">
      <c r="A11" s="1" t="s">
        <v>31</v>
      </c>
      <c r="B11" s="4">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145D7-D38E-AC45-8D58-BEED0E1E35E0}">
  <sheetPr>
    <tabColor theme="4" tint="0.79998168889431442"/>
  </sheetPr>
  <dimension ref="A1:B3"/>
  <sheetViews>
    <sheetView workbookViewId="0">
      <selection activeCell="A12" sqref="A12:XFD12"/>
    </sheetView>
  </sheetViews>
  <sheetFormatPr baseColWidth="10" defaultRowHeight="16" x14ac:dyDescent="0.2"/>
  <sheetData>
    <row r="1" spans="1:2" x14ac:dyDescent="0.2">
      <c r="A1" s="3" t="s">
        <v>148</v>
      </c>
    </row>
    <row r="2" spans="1:2" x14ac:dyDescent="0.2">
      <c r="A2" s="13" t="s">
        <v>150</v>
      </c>
      <c r="B2" s="14">
        <v>1</v>
      </c>
    </row>
    <row r="3" spans="1:2" x14ac:dyDescent="0.2">
      <c r="A3" s="13" t="s">
        <v>149</v>
      </c>
      <c r="B3" s="14">
        <v>950000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CEEE9-372A-5544-8904-8D367EDDD7F0}">
  <sheetPr>
    <tabColor theme="3" tint="0.249977111117893"/>
  </sheetPr>
  <dimension ref="A1:AQ11"/>
  <sheetViews>
    <sheetView workbookViewId="0">
      <selection activeCellId="1" sqref="A10:XFD10 A1:XFD1"/>
    </sheetView>
  </sheetViews>
  <sheetFormatPr baseColWidth="10" defaultRowHeight="16" x14ac:dyDescent="0.2"/>
  <sheetData>
    <row r="1" spans="1:4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row>
    <row r="2" spans="1:43" x14ac:dyDescent="0.2">
      <c r="A2" s="1" t="s">
        <v>12</v>
      </c>
      <c r="B2" s="15">
        <f>'Residentail-Heating'!B2*Conversion!$B$3</f>
        <v>0</v>
      </c>
      <c r="C2" s="15">
        <f>'Residentail-Heating'!C2*Conversion!$B$3</f>
        <v>0</v>
      </c>
      <c r="D2" s="15">
        <f>'Residentail-Heating'!D2*Conversion!$B$3</f>
        <v>0</v>
      </c>
      <c r="E2" s="15">
        <f>'Residentail-Heating'!E2*Conversion!$B$3</f>
        <v>0</v>
      </c>
      <c r="F2" s="4">
        <f>'Residentail-Heating'!F2*Conversion!$B$3</f>
        <v>0</v>
      </c>
      <c r="G2" s="4">
        <f>'Residentail-Heating'!G2*Conversion!$B$3</f>
        <v>0</v>
      </c>
      <c r="H2" s="4">
        <f>'Residentail-Heating'!H2*Conversion!$B$3</f>
        <v>0</v>
      </c>
      <c r="I2" s="4">
        <f>'Residentail-Heating'!I2*Conversion!$B$3</f>
        <v>0</v>
      </c>
      <c r="J2" s="4">
        <f>'Residentail-Heating'!J2*Conversion!$B$3</f>
        <v>0</v>
      </c>
      <c r="K2" s="4">
        <f>'Residentail-Heating'!K2*Conversion!$B$3</f>
        <v>0</v>
      </c>
      <c r="L2" s="4">
        <f>'Residentail-Heating'!L2*Conversion!$B$3</f>
        <v>0</v>
      </c>
      <c r="M2" s="4">
        <f>'Residentail-Heating'!M2*Conversion!$B$3</f>
        <v>0</v>
      </c>
      <c r="N2" s="4">
        <f>'Residentail-Heating'!N2*Conversion!$B$3</f>
        <v>0</v>
      </c>
      <c r="O2" s="4">
        <f>'Residentail-Heating'!O2*Conversion!$B$3</f>
        <v>0</v>
      </c>
      <c r="P2" s="4">
        <f>'Residentail-Heating'!P2*Conversion!$B$3</f>
        <v>0</v>
      </c>
      <c r="Q2" s="4">
        <f>'Residentail-Heating'!Q2*Conversion!$B$3</f>
        <v>0</v>
      </c>
      <c r="R2" s="4">
        <f>'Residentail-Heating'!R2*Conversion!$B$3</f>
        <v>0</v>
      </c>
      <c r="S2" s="4">
        <f>'Residentail-Heating'!S2*Conversion!$B$3</f>
        <v>0</v>
      </c>
      <c r="T2" s="4">
        <f>'Residentail-Heating'!T2*Conversion!$B$3</f>
        <v>0</v>
      </c>
      <c r="U2" s="4">
        <f>'Residentail-Heating'!U2*Conversion!$B$3</f>
        <v>0</v>
      </c>
      <c r="V2" s="4">
        <f>'Residentail-Heating'!V2*Conversion!$B$3</f>
        <v>0</v>
      </c>
      <c r="W2" s="4">
        <f>'Residentail-Heating'!W2*Conversion!$B$3</f>
        <v>0</v>
      </c>
      <c r="X2" s="4">
        <f>'Residentail-Heating'!X2*Conversion!$B$3</f>
        <v>0</v>
      </c>
      <c r="Y2" s="4">
        <f>'Residentail-Heating'!Y2*Conversion!$B$3</f>
        <v>0</v>
      </c>
      <c r="Z2" s="4">
        <f>'Residentail-Heating'!Z2*Conversion!$B$3</f>
        <v>0</v>
      </c>
      <c r="AA2" s="4">
        <f>'Residentail-Heating'!AA2*Conversion!$B$3</f>
        <v>0</v>
      </c>
      <c r="AB2" s="4">
        <f>'Residentail-Heating'!AB2*Conversion!$B$3</f>
        <v>0</v>
      </c>
      <c r="AC2" s="4">
        <f>'Residentail-Heating'!AC2*Conversion!$B$3</f>
        <v>0</v>
      </c>
      <c r="AD2" s="4">
        <f>'Residentail-Heating'!AD2*Conversion!$B$3</f>
        <v>0</v>
      </c>
      <c r="AE2" s="4">
        <f>'Residentail-Heating'!AE2*Conversion!$B$3</f>
        <v>0</v>
      </c>
      <c r="AF2" s="4">
        <f>'Residentail-Heating'!AF2*Conversion!$B$3</f>
        <v>0</v>
      </c>
      <c r="AG2" s="4">
        <f>'Residentail-Heating'!AG2*Conversion!$B$3</f>
        <v>0</v>
      </c>
      <c r="AH2" s="4">
        <f>'Residentail-Heating'!AH2*Conversion!$B$3</f>
        <v>0</v>
      </c>
      <c r="AI2" s="4">
        <f>'Residentail-Heating'!AI2*Conversion!$B$3</f>
        <v>0</v>
      </c>
      <c r="AJ2" s="4">
        <f>'Residentail-Heating'!AJ2*Conversion!$B$3</f>
        <v>0</v>
      </c>
      <c r="AK2" s="4">
        <f>'Residentail-Heating'!AK2*Conversion!$B$3</f>
        <v>0</v>
      </c>
      <c r="AL2" s="4">
        <f>'Residentail-Heating'!AL2*Conversion!$B$3</f>
        <v>0</v>
      </c>
      <c r="AM2" s="4">
        <f>'Residentail-Heating'!AM2*Conversion!$B$3</f>
        <v>0</v>
      </c>
      <c r="AN2" s="4">
        <f>'Residentail-Heating'!AN2*Conversion!$B$3</f>
        <v>0</v>
      </c>
      <c r="AO2" s="4">
        <f>'Residentail-Heating'!AO2*Conversion!$B$3</f>
        <v>0</v>
      </c>
      <c r="AP2" s="4">
        <f>'Residentail-Heating'!AP2*Conversion!$B$3</f>
        <v>0</v>
      </c>
      <c r="AQ2" s="4">
        <f>'Residentail-Heating'!AQ2*Conversion!$B$3</f>
        <v>0</v>
      </c>
    </row>
    <row r="3" spans="1:43" x14ac:dyDescent="0.2">
      <c r="A3" s="1" t="s">
        <v>13</v>
      </c>
      <c r="B3" s="15">
        <f>'Residentail-Heating'!B3*Conversion!$B$3</f>
        <v>0</v>
      </c>
      <c r="C3" s="15">
        <f>'Residentail-Heating'!C3*Conversion!$B$3</f>
        <v>0</v>
      </c>
      <c r="D3" s="15">
        <f>'Residentail-Heating'!D3*Conversion!$B$3</f>
        <v>0</v>
      </c>
      <c r="E3" s="15">
        <f>'Residentail-Heating'!E3*Conversion!$B$3</f>
        <v>0</v>
      </c>
      <c r="F3" s="4">
        <f>'Residentail-Heating'!F3*Conversion!$B$3</f>
        <v>0</v>
      </c>
      <c r="G3" s="4">
        <f>'Residentail-Heating'!G3*Conversion!$B$3</f>
        <v>0</v>
      </c>
      <c r="H3" s="4">
        <f>'Residentail-Heating'!H3*Conversion!$B$3</f>
        <v>0</v>
      </c>
      <c r="I3" s="4">
        <f>'Residentail-Heating'!I3*Conversion!$B$3</f>
        <v>0</v>
      </c>
      <c r="J3" s="4">
        <f>'Residentail-Heating'!J3*Conversion!$B$3</f>
        <v>0</v>
      </c>
      <c r="K3" s="4">
        <f>'Residentail-Heating'!K3*Conversion!$B$3</f>
        <v>0</v>
      </c>
      <c r="L3" s="4">
        <f>'Residentail-Heating'!L3*Conversion!$B$3</f>
        <v>0</v>
      </c>
      <c r="M3" s="4">
        <f>'Residentail-Heating'!M3*Conversion!$B$3</f>
        <v>0</v>
      </c>
      <c r="N3" s="4">
        <f>'Residentail-Heating'!N3*Conversion!$B$3</f>
        <v>0</v>
      </c>
      <c r="O3" s="4">
        <f>'Residentail-Heating'!O3*Conversion!$B$3</f>
        <v>0</v>
      </c>
      <c r="P3" s="4">
        <f>'Residentail-Heating'!P3*Conversion!$B$3</f>
        <v>0</v>
      </c>
      <c r="Q3" s="4">
        <f>'Residentail-Heating'!Q3*Conversion!$B$3</f>
        <v>0</v>
      </c>
      <c r="R3" s="4">
        <f>'Residentail-Heating'!R3*Conversion!$B$3</f>
        <v>0</v>
      </c>
      <c r="S3" s="4">
        <f>'Residentail-Heating'!S3*Conversion!$B$3</f>
        <v>0</v>
      </c>
      <c r="T3" s="4">
        <f>'Residentail-Heating'!T3*Conversion!$B$3</f>
        <v>0</v>
      </c>
      <c r="U3" s="4">
        <f>'Residentail-Heating'!U3*Conversion!$B$3</f>
        <v>0</v>
      </c>
      <c r="V3" s="4">
        <f>'Residentail-Heating'!V3*Conversion!$B$3</f>
        <v>0</v>
      </c>
      <c r="W3" s="4">
        <f>'Residentail-Heating'!W3*Conversion!$B$3</f>
        <v>0</v>
      </c>
      <c r="X3" s="4">
        <f>'Residentail-Heating'!X3*Conversion!$B$3</f>
        <v>0</v>
      </c>
      <c r="Y3" s="4">
        <f>'Residentail-Heating'!Y3*Conversion!$B$3</f>
        <v>0</v>
      </c>
      <c r="Z3" s="4">
        <f>'Residentail-Heating'!Z3*Conversion!$B$3</f>
        <v>0</v>
      </c>
      <c r="AA3" s="4">
        <f>'Residentail-Heating'!AA3*Conversion!$B$3</f>
        <v>0</v>
      </c>
      <c r="AB3" s="4">
        <f>'Residentail-Heating'!AB3*Conversion!$B$3</f>
        <v>0</v>
      </c>
      <c r="AC3" s="4">
        <f>'Residentail-Heating'!AC3*Conversion!$B$3</f>
        <v>0</v>
      </c>
      <c r="AD3" s="4">
        <f>'Residentail-Heating'!AD3*Conversion!$B$3</f>
        <v>0</v>
      </c>
      <c r="AE3" s="4">
        <f>'Residentail-Heating'!AE3*Conversion!$B$3</f>
        <v>0</v>
      </c>
      <c r="AF3" s="4">
        <f>'Residentail-Heating'!AF3*Conversion!$B$3</f>
        <v>0</v>
      </c>
      <c r="AG3" s="4">
        <f>'Residentail-Heating'!AG3*Conversion!$B$3</f>
        <v>0</v>
      </c>
      <c r="AH3" s="4">
        <f>'Residentail-Heating'!AH3*Conversion!$B$3</f>
        <v>0</v>
      </c>
      <c r="AI3" s="4">
        <f>'Residentail-Heating'!AI3*Conversion!$B$3</f>
        <v>0</v>
      </c>
      <c r="AJ3" s="4">
        <f>'Residentail-Heating'!AJ3*Conversion!$B$3</f>
        <v>0</v>
      </c>
      <c r="AK3" s="4">
        <f>'Residentail-Heating'!AK3*Conversion!$B$3</f>
        <v>0</v>
      </c>
      <c r="AL3" s="4">
        <f>'Residentail-Heating'!AL3*Conversion!$B$3</f>
        <v>0</v>
      </c>
      <c r="AM3" s="4">
        <f>'Residentail-Heating'!AM3*Conversion!$B$3</f>
        <v>0</v>
      </c>
      <c r="AN3" s="4">
        <f>'Residentail-Heating'!AN3*Conversion!$B$3</f>
        <v>0</v>
      </c>
      <c r="AO3" s="4">
        <f>'Residentail-Heating'!AO3*Conversion!$B$3</f>
        <v>0</v>
      </c>
      <c r="AP3" s="4">
        <f>'Residentail-Heating'!AP3*Conversion!$B$3</f>
        <v>0</v>
      </c>
      <c r="AQ3" s="4">
        <f>'Residentail-Heating'!AQ3*Conversion!$B$3</f>
        <v>0</v>
      </c>
    </row>
    <row r="4" spans="1:43" x14ac:dyDescent="0.2">
      <c r="A4" s="1" t="s">
        <v>14</v>
      </c>
      <c r="B4" s="15">
        <f>'Residentail-Heating'!B4*Conversion!$B$3</f>
        <v>0</v>
      </c>
      <c r="C4" s="15">
        <f>'Residentail-Heating'!C4*Conversion!$B$3</f>
        <v>0</v>
      </c>
      <c r="D4" s="15">
        <f>'Residentail-Heating'!D4*Conversion!$B$3</f>
        <v>0</v>
      </c>
      <c r="E4" s="15">
        <f>'Residentail-Heating'!E4*Conversion!$B$3</f>
        <v>0</v>
      </c>
      <c r="F4" s="4">
        <f>'Residentail-Heating'!F4*Conversion!$B$3</f>
        <v>0</v>
      </c>
      <c r="G4" s="4">
        <f>'Residentail-Heating'!G4*Conversion!$B$3</f>
        <v>0</v>
      </c>
      <c r="H4" s="4">
        <f>'Residentail-Heating'!H4*Conversion!$B$3</f>
        <v>0</v>
      </c>
      <c r="I4" s="4">
        <f>'Residentail-Heating'!I4*Conversion!$B$3</f>
        <v>0</v>
      </c>
      <c r="J4" s="4">
        <f>'Residentail-Heating'!J4*Conversion!$B$3</f>
        <v>0</v>
      </c>
      <c r="K4" s="4">
        <f>'Residentail-Heating'!K4*Conversion!$B$3</f>
        <v>0</v>
      </c>
      <c r="L4" s="4">
        <f>'Residentail-Heating'!L4*Conversion!$B$3</f>
        <v>0</v>
      </c>
      <c r="M4" s="4">
        <f>'Residentail-Heating'!M4*Conversion!$B$3</f>
        <v>0</v>
      </c>
      <c r="N4" s="4">
        <f>'Residentail-Heating'!N4*Conversion!$B$3</f>
        <v>0</v>
      </c>
      <c r="O4" s="4">
        <f>'Residentail-Heating'!O4*Conversion!$B$3</f>
        <v>0</v>
      </c>
      <c r="P4" s="4">
        <f>'Residentail-Heating'!P4*Conversion!$B$3</f>
        <v>0</v>
      </c>
      <c r="Q4" s="4">
        <f>'Residentail-Heating'!Q4*Conversion!$B$3</f>
        <v>0</v>
      </c>
      <c r="R4" s="4">
        <f>'Residentail-Heating'!R4*Conversion!$B$3</f>
        <v>0</v>
      </c>
      <c r="S4" s="4">
        <f>'Residentail-Heating'!S4*Conversion!$B$3</f>
        <v>0</v>
      </c>
      <c r="T4" s="4">
        <f>'Residentail-Heating'!T4*Conversion!$B$3</f>
        <v>0</v>
      </c>
      <c r="U4" s="4">
        <f>'Residentail-Heating'!U4*Conversion!$B$3</f>
        <v>0</v>
      </c>
      <c r="V4" s="4">
        <f>'Residentail-Heating'!V4*Conversion!$B$3</f>
        <v>0</v>
      </c>
      <c r="W4" s="4">
        <f>'Residentail-Heating'!W4*Conversion!$B$3</f>
        <v>0</v>
      </c>
      <c r="X4" s="4">
        <f>'Residentail-Heating'!X4*Conversion!$B$3</f>
        <v>0</v>
      </c>
      <c r="Y4" s="4">
        <f>'Residentail-Heating'!Y4*Conversion!$B$3</f>
        <v>0</v>
      </c>
      <c r="Z4" s="4">
        <f>'Residentail-Heating'!Z4*Conversion!$B$3</f>
        <v>0</v>
      </c>
      <c r="AA4" s="4">
        <f>'Residentail-Heating'!AA4*Conversion!$B$3</f>
        <v>0</v>
      </c>
      <c r="AB4" s="4">
        <f>'Residentail-Heating'!AB4*Conversion!$B$3</f>
        <v>0</v>
      </c>
      <c r="AC4" s="4">
        <f>'Residentail-Heating'!AC4*Conversion!$B$3</f>
        <v>0</v>
      </c>
      <c r="AD4" s="4">
        <f>'Residentail-Heating'!AD4*Conversion!$B$3</f>
        <v>0</v>
      </c>
      <c r="AE4" s="4">
        <f>'Residentail-Heating'!AE4*Conversion!$B$3</f>
        <v>0</v>
      </c>
      <c r="AF4" s="4">
        <f>'Residentail-Heating'!AF4*Conversion!$B$3</f>
        <v>0</v>
      </c>
      <c r="AG4" s="4">
        <f>'Residentail-Heating'!AG4*Conversion!$B$3</f>
        <v>0</v>
      </c>
      <c r="AH4" s="4">
        <f>'Residentail-Heating'!AH4*Conversion!$B$3</f>
        <v>0</v>
      </c>
      <c r="AI4" s="4">
        <f>'Residentail-Heating'!AI4*Conversion!$B$3</f>
        <v>0</v>
      </c>
      <c r="AJ4" s="4">
        <f>'Residentail-Heating'!AJ4*Conversion!$B$3</f>
        <v>0</v>
      </c>
      <c r="AK4" s="4">
        <f>'Residentail-Heating'!AK4*Conversion!$B$3</f>
        <v>0</v>
      </c>
      <c r="AL4" s="4">
        <f>'Residentail-Heating'!AL4*Conversion!$B$3</f>
        <v>0</v>
      </c>
      <c r="AM4" s="4">
        <f>'Residentail-Heating'!AM4*Conversion!$B$3</f>
        <v>0</v>
      </c>
      <c r="AN4" s="4">
        <f>'Residentail-Heating'!AN4*Conversion!$B$3</f>
        <v>0</v>
      </c>
      <c r="AO4" s="4">
        <f>'Residentail-Heating'!AO4*Conversion!$B$3</f>
        <v>0</v>
      </c>
      <c r="AP4" s="4">
        <f>'Residentail-Heating'!AP4*Conversion!$B$3</f>
        <v>0</v>
      </c>
      <c r="AQ4" s="4">
        <f>'Residentail-Heating'!AQ4*Conversion!$B$3</f>
        <v>0</v>
      </c>
    </row>
    <row r="5" spans="1:43" x14ac:dyDescent="0.2">
      <c r="A5" s="1" t="s">
        <v>15</v>
      </c>
      <c r="B5" s="15">
        <f>'Residentail-Heating'!B5*Conversion!$B$3</f>
        <v>0</v>
      </c>
      <c r="C5" s="15">
        <f>'Residentail-Heating'!C5*Conversion!$B$3</f>
        <v>0</v>
      </c>
      <c r="D5" s="15">
        <f>'Residentail-Heating'!D5*Conversion!$B$3</f>
        <v>0</v>
      </c>
      <c r="E5" s="15">
        <f>'Residentail-Heating'!E5*Conversion!$B$3</f>
        <v>0</v>
      </c>
      <c r="F5" s="4">
        <f>'Residentail-Heating'!F5*Conversion!$B$3</f>
        <v>0</v>
      </c>
      <c r="G5" s="4">
        <f>'Residentail-Heating'!G5*Conversion!$B$3</f>
        <v>0</v>
      </c>
      <c r="H5" s="4">
        <f>'Residentail-Heating'!H5*Conversion!$B$3</f>
        <v>0</v>
      </c>
      <c r="I5" s="4">
        <f>'Residentail-Heating'!I5*Conversion!$B$3</f>
        <v>0</v>
      </c>
      <c r="J5" s="4">
        <f>'Residentail-Heating'!J5*Conversion!$B$3</f>
        <v>0</v>
      </c>
      <c r="K5" s="4">
        <f>'Residentail-Heating'!K5*Conversion!$B$3</f>
        <v>0</v>
      </c>
      <c r="L5" s="4">
        <f>'Residentail-Heating'!L5*Conversion!$B$3</f>
        <v>0</v>
      </c>
      <c r="M5" s="4">
        <f>'Residentail-Heating'!M5*Conversion!$B$3</f>
        <v>0</v>
      </c>
      <c r="N5" s="4">
        <f>'Residentail-Heating'!N5*Conversion!$B$3</f>
        <v>0</v>
      </c>
      <c r="O5" s="4">
        <f>'Residentail-Heating'!O5*Conversion!$B$3</f>
        <v>0</v>
      </c>
      <c r="P5" s="4">
        <f>'Residentail-Heating'!P5*Conversion!$B$3</f>
        <v>0</v>
      </c>
      <c r="Q5" s="4">
        <f>'Residentail-Heating'!Q5*Conversion!$B$3</f>
        <v>0</v>
      </c>
      <c r="R5" s="4">
        <f>'Residentail-Heating'!R5*Conversion!$B$3</f>
        <v>0</v>
      </c>
      <c r="S5" s="4">
        <f>'Residentail-Heating'!S5*Conversion!$B$3</f>
        <v>0</v>
      </c>
      <c r="T5" s="4">
        <f>'Residentail-Heating'!T5*Conversion!$B$3</f>
        <v>0</v>
      </c>
      <c r="U5" s="4">
        <f>'Residentail-Heating'!U5*Conversion!$B$3</f>
        <v>0</v>
      </c>
      <c r="V5" s="4">
        <f>'Residentail-Heating'!V5*Conversion!$B$3</f>
        <v>0</v>
      </c>
      <c r="W5" s="4">
        <f>'Residentail-Heating'!W5*Conversion!$B$3</f>
        <v>0</v>
      </c>
      <c r="X5" s="4">
        <f>'Residentail-Heating'!X5*Conversion!$B$3</f>
        <v>0</v>
      </c>
      <c r="Y5" s="4">
        <f>'Residentail-Heating'!Y5*Conversion!$B$3</f>
        <v>0</v>
      </c>
      <c r="Z5" s="4">
        <f>'Residentail-Heating'!Z5*Conversion!$B$3</f>
        <v>0</v>
      </c>
      <c r="AA5" s="4">
        <f>'Residentail-Heating'!AA5*Conversion!$B$3</f>
        <v>0</v>
      </c>
      <c r="AB5" s="4">
        <f>'Residentail-Heating'!AB5*Conversion!$B$3</f>
        <v>0</v>
      </c>
      <c r="AC5" s="4">
        <f>'Residentail-Heating'!AC5*Conversion!$B$3</f>
        <v>0</v>
      </c>
      <c r="AD5" s="4">
        <f>'Residentail-Heating'!AD5*Conversion!$B$3</f>
        <v>0</v>
      </c>
      <c r="AE5" s="4">
        <f>'Residentail-Heating'!AE5*Conversion!$B$3</f>
        <v>0</v>
      </c>
      <c r="AF5" s="4">
        <f>'Residentail-Heating'!AF5*Conversion!$B$3</f>
        <v>0</v>
      </c>
      <c r="AG5" s="4">
        <f>'Residentail-Heating'!AG5*Conversion!$B$3</f>
        <v>0</v>
      </c>
      <c r="AH5" s="4">
        <f>'Residentail-Heating'!AH5*Conversion!$B$3</f>
        <v>0</v>
      </c>
      <c r="AI5" s="4">
        <f>'Residentail-Heating'!AI5*Conversion!$B$3</f>
        <v>0</v>
      </c>
      <c r="AJ5" s="4">
        <f>'Residentail-Heating'!AJ5*Conversion!$B$3</f>
        <v>0</v>
      </c>
      <c r="AK5" s="4">
        <f>'Residentail-Heating'!AK5*Conversion!$B$3</f>
        <v>0</v>
      </c>
      <c r="AL5" s="4">
        <f>'Residentail-Heating'!AL5*Conversion!$B$3</f>
        <v>0</v>
      </c>
      <c r="AM5" s="4">
        <f>'Residentail-Heating'!AM5*Conversion!$B$3</f>
        <v>0</v>
      </c>
      <c r="AN5" s="4">
        <f>'Residentail-Heating'!AN5*Conversion!$B$3</f>
        <v>0</v>
      </c>
      <c r="AO5" s="4">
        <f>'Residentail-Heating'!AO5*Conversion!$B$3</f>
        <v>0</v>
      </c>
      <c r="AP5" s="4">
        <f>'Residentail-Heating'!AP5*Conversion!$B$3</f>
        <v>0</v>
      </c>
      <c r="AQ5" s="4">
        <f>'Residentail-Heating'!AQ5*Conversion!$B$3</f>
        <v>0</v>
      </c>
    </row>
    <row r="6" spans="1:43" x14ac:dyDescent="0.2">
      <c r="A6" s="1" t="s">
        <v>16</v>
      </c>
      <c r="B6" s="15">
        <f>'Residentail-Heating'!B6*Conversion!$B$3</f>
        <v>0</v>
      </c>
      <c r="C6" s="15">
        <f>'Residentail-Heating'!C6*Conversion!$B$3</f>
        <v>0</v>
      </c>
      <c r="D6" s="15">
        <f>'Residentail-Heating'!D6*Conversion!$B$3</f>
        <v>0</v>
      </c>
      <c r="E6" s="15">
        <f>'Residentail-Heating'!E6*Conversion!$B$3</f>
        <v>0</v>
      </c>
      <c r="F6" s="4">
        <f>'Residentail-Heating'!F6*Conversion!$B$3</f>
        <v>0</v>
      </c>
      <c r="G6" s="4">
        <f>'Residentail-Heating'!G6*Conversion!$B$3</f>
        <v>0</v>
      </c>
      <c r="H6" s="4">
        <f>'Residentail-Heating'!H6*Conversion!$B$3</f>
        <v>0</v>
      </c>
      <c r="I6" s="4">
        <f>'Residentail-Heating'!I6*Conversion!$B$3</f>
        <v>0</v>
      </c>
      <c r="J6" s="4">
        <f>'Residentail-Heating'!J6*Conversion!$B$3</f>
        <v>0</v>
      </c>
      <c r="K6" s="4">
        <f>'Residentail-Heating'!K6*Conversion!$B$3</f>
        <v>0</v>
      </c>
      <c r="L6" s="4">
        <f>'Residentail-Heating'!L6*Conversion!$B$3</f>
        <v>0</v>
      </c>
      <c r="M6" s="4">
        <f>'Residentail-Heating'!M6*Conversion!$B$3</f>
        <v>0</v>
      </c>
      <c r="N6" s="4">
        <f>'Residentail-Heating'!N6*Conversion!$B$3</f>
        <v>0</v>
      </c>
      <c r="O6" s="4">
        <f>'Residentail-Heating'!O6*Conversion!$B$3</f>
        <v>0</v>
      </c>
      <c r="P6" s="4">
        <f>'Residentail-Heating'!P6*Conversion!$B$3</f>
        <v>0</v>
      </c>
      <c r="Q6" s="4">
        <f>'Residentail-Heating'!Q6*Conversion!$B$3</f>
        <v>0</v>
      </c>
      <c r="R6" s="4">
        <f>'Residentail-Heating'!R6*Conversion!$B$3</f>
        <v>0</v>
      </c>
      <c r="S6" s="4">
        <f>'Residentail-Heating'!S6*Conversion!$B$3</f>
        <v>0</v>
      </c>
      <c r="T6" s="4">
        <f>'Residentail-Heating'!T6*Conversion!$B$3</f>
        <v>0</v>
      </c>
      <c r="U6" s="4">
        <f>'Residentail-Heating'!U6*Conversion!$B$3</f>
        <v>0</v>
      </c>
      <c r="V6" s="4">
        <f>'Residentail-Heating'!V6*Conversion!$B$3</f>
        <v>0</v>
      </c>
      <c r="W6" s="4">
        <f>'Residentail-Heating'!W6*Conversion!$B$3</f>
        <v>0</v>
      </c>
      <c r="X6" s="4">
        <f>'Residentail-Heating'!X6*Conversion!$B$3</f>
        <v>0</v>
      </c>
      <c r="Y6" s="4">
        <f>'Residentail-Heating'!Y6*Conversion!$B$3</f>
        <v>0</v>
      </c>
      <c r="Z6" s="4">
        <f>'Residentail-Heating'!Z6*Conversion!$B$3</f>
        <v>0</v>
      </c>
      <c r="AA6" s="4">
        <f>'Residentail-Heating'!AA6*Conversion!$B$3</f>
        <v>0</v>
      </c>
      <c r="AB6" s="4">
        <f>'Residentail-Heating'!AB6*Conversion!$B$3</f>
        <v>0</v>
      </c>
      <c r="AC6" s="4">
        <f>'Residentail-Heating'!AC6*Conversion!$B$3</f>
        <v>0</v>
      </c>
      <c r="AD6" s="4">
        <f>'Residentail-Heating'!AD6*Conversion!$B$3</f>
        <v>0</v>
      </c>
      <c r="AE6" s="4">
        <f>'Residentail-Heating'!AE6*Conversion!$B$3</f>
        <v>0</v>
      </c>
      <c r="AF6" s="4">
        <f>'Residentail-Heating'!AF6*Conversion!$B$3</f>
        <v>0</v>
      </c>
      <c r="AG6" s="4">
        <f>'Residentail-Heating'!AG6*Conversion!$B$3</f>
        <v>0</v>
      </c>
      <c r="AH6" s="4">
        <f>'Residentail-Heating'!AH6*Conversion!$B$3</f>
        <v>0</v>
      </c>
      <c r="AI6" s="4">
        <f>'Residentail-Heating'!AI6*Conversion!$B$3</f>
        <v>0</v>
      </c>
      <c r="AJ6" s="4">
        <f>'Residentail-Heating'!AJ6*Conversion!$B$3</f>
        <v>0</v>
      </c>
      <c r="AK6" s="4">
        <f>'Residentail-Heating'!AK6*Conversion!$B$3</f>
        <v>0</v>
      </c>
      <c r="AL6" s="4">
        <f>'Residentail-Heating'!AL6*Conversion!$B$3</f>
        <v>0</v>
      </c>
      <c r="AM6" s="4">
        <f>'Residentail-Heating'!AM6*Conversion!$B$3</f>
        <v>0</v>
      </c>
      <c r="AN6" s="4">
        <f>'Residentail-Heating'!AN6*Conversion!$B$3</f>
        <v>0</v>
      </c>
      <c r="AO6" s="4">
        <f>'Residentail-Heating'!AO6*Conversion!$B$3</f>
        <v>0</v>
      </c>
      <c r="AP6" s="4">
        <f>'Residentail-Heating'!AP6*Conversion!$B$3</f>
        <v>0</v>
      </c>
      <c r="AQ6" s="4">
        <f>'Residentail-Heating'!AQ6*Conversion!$B$3</f>
        <v>0</v>
      </c>
    </row>
    <row r="7" spans="1:43" x14ac:dyDescent="0.2">
      <c r="A7" s="1" t="s">
        <v>17</v>
      </c>
      <c r="B7" s="15">
        <f>'Residentail-Heating'!B7*Conversion!$B$3</f>
        <v>0</v>
      </c>
      <c r="C7" s="15">
        <f>'Residentail-Heating'!C7*Conversion!$B$3</f>
        <v>0</v>
      </c>
      <c r="D7" s="15">
        <f>'Residentail-Heating'!D7*Conversion!$B$3</f>
        <v>0</v>
      </c>
      <c r="E7" s="15">
        <f>'Residentail-Heating'!E7*Conversion!$B$3</f>
        <v>0</v>
      </c>
      <c r="F7" s="4">
        <f>'Residentail-Heating'!F7*Conversion!$B$3</f>
        <v>0</v>
      </c>
      <c r="G7" s="4">
        <f>'Residentail-Heating'!G7*Conversion!$B$3</f>
        <v>0</v>
      </c>
      <c r="H7" s="4">
        <f>'Residentail-Heating'!H7*Conversion!$B$3</f>
        <v>0</v>
      </c>
      <c r="I7" s="4">
        <f>'Residentail-Heating'!I7*Conversion!$B$3</f>
        <v>0</v>
      </c>
      <c r="J7" s="4">
        <f>'Residentail-Heating'!J7*Conversion!$B$3</f>
        <v>0</v>
      </c>
      <c r="K7" s="4">
        <f>'Residentail-Heating'!K7*Conversion!$B$3</f>
        <v>0</v>
      </c>
      <c r="L7" s="4">
        <f>'Residentail-Heating'!L7*Conversion!$B$3</f>
        <v>0</v>
      </c>
      <c r="M7" s="4">
        <f>'Residentail-Heating'!M7*Conversion!$B$3</f>
        <v>0</v>
      </c>
      <c r="N7" s="4">
        <f>'Residentail-Heating'!N7*Conversion!$B$3</f>
        <v>0</v>
      </c>
      <c r="O7" s="4">
        <f>'Residentail-Heating'!O7*Conversion!$B$3</f>
        <v>0</v>
      </c>
      <c r="P7" s="4">
        <f>'Residentail-Heating'!P7*Conversion!$B$3</f>
        <v>0</v>
      </c>
      <c r="Q7" s="4">
        <f>'Residentail-Heating'!Q7*Conversion!$B$3</f>
        <v>0</v>
      </c>
      <c r="R7" s="4">
        <f>'Residentail-Heating'!R7*Conversion!$B$3</f>
        <v>0</v>
      </c>
      <c r="S7" s="4">
        <f>'Residentail-Heating'!S7*Conversion!$B$3</f>
        <v>0</v>
      </c>
      <c r="T7" s="4">
        <f>'Residentail-Heating'!T7*Conversion!$B$3</f>
        <v>0</v>
      </c>
      <c r="U7" s="4">
        <f>'Residentail-Heating'!U7*Conversion!$B$3</f>
        <v>0</v>
      </c>
      <c r="V7" s="4">
        <f>'Residentail-Heating'!V7*Conversion!$B$3</f>
        <v>0</v>
      </c>
      <c r="W7" s="4">
        <f>'Residentail-Heating'!W7*Conversion!$B$3</f>
        <v>0</v>
      </c>
      <c r="X7" s="4">
        <f>'Residentail-Heating'!X7*Conversion!$B$3</f>
        <v>0</v>
      </c>
      <c r="Y7" s="4">
        <f>'Residentail-Heating'!Y7*Conversion!$B$3</f>
        <v>0</v>
      </c>
      <c r="Z7" s="4">
        <f>'Residentail-Heating'!Z7*Conversion!$B$3</f>
        <v>0</v>
      </c>
      <c r="AA7" s="4">
        <f>'Residentail-Heating'!AA7*Conversion!$B$3</f>
        <v>0</v>
      </c>
      <c r="AB7" s="4">
        <f>'Residentail-Heating'!AB7*Conversion!$B$3</f>
        <v>0</v>
      </c>
      <c r="AC7" s="4">
        <f>'Residentail-Heating'!AC7*Conversion!$B$3</f>
        <v>0</v>
      </c>
      <c r="AD7" s="4">
        <f>'Residentail-Heating'!AD7*Conversion!$B$3</f>
        <v>0</v>
      </c>
      <c r="AE7" s="4">
        <f>'Residentail-Heating'!AE7*Conversion!$B$3</f>
        <v>0</v>
      </c>
      <c r="AF7" s="4">
        <f>'Residentail-Heating'!AF7*Conversion!$B$3</f>
        <v>0</v>
      </c>
      <c r="AG7" s="4">
        <f>'Residentail-Heating'!AG7*Conversion!$B$3</f>
        <v>0</v>
      </c>
      <c r="AH7" s="4">
        <f>'Residentail-Heating'!AH7*Conversion!$B$3</f>
        <v>0</v>
      </c>
      <c r="AI7" s="4">
        <f>'Residentail-Heating'!AI7*Conversion!$B$3</f>
        <v>0</v>
      </c>
      <c r="AJ7" s="4">
        <f>'Residentail-Heating'!AJ7*Conversion!$B$3</f>
        <v>0</v>
      </c>
      <c r="AK7" s="4">
        <f>'Residentail-Heating'!AK7*Conversion!$B$3</f>
        <v>0</v>
      </c>
      <c r="AL7" s="4">
        <f>'Residentail-Heating'!AL7*Conversion!$B$3</f>
        <v>0</v>
      </c>
      <c r="AM7" s="4">
        <f>'Residentail-Heating'!AM7*Conversion!$B$3</f>
        <v>0</v>
      </c>
      <c r="AN7" s="4">
        <f>'Residentail-Heating'!AN7*Conversion!$B$3</f>
        <v>0</v>
      </c>
      <c r="AO7" s="4">
        <f>'Residentail-Heating'!AO7*Conversion!$B$3</f>
        <v>0</v>
      </c>
      <c r="AP7" s="4">
        <f>'Residentail-Heating'!AP7*Conversion!$B$3</f>
        <v>0</v>
      </c>
      <c r="AQ7" s="4">
        <f>'Residentail-Heating'!AQ7*Conversion!$B$3</f>
        <v>0</v>
      </c>
    </row>
    <row r="8" spans="1:43" x14ac:dyDescent="0.2">
      <c r="A8" s="1" t="s">
        <v>18</v>
      </c>
      <c r="B8" s="15">
        <f>'Residentail-Heating'!B8*Conversion!$B$3</f>
        <v>0</v>
      </c>
      <c r="C8" s="15">
        <f>'Residentail-Heating'!C8*Conversion!$B$3</f>
        <v>0</v>
      </c>
      <c r="D8" s="15">
        <f>'Residentail-Heating'!D8*Conversion!$B$3</f>
        <v>0</v>
      </c>
      <c r="E8" s="15">
        <f>'Residentail-Heating'!E8*Conversion!$B$3</f>
        <v>0</v>
      </c>
      <c r="F8" s="4">
        <f>'Residentail-Heating'!F8*Conversion!$B$3</f>
        <v>0</v>
      </c>
      <c r="G8" s="4">
        <f>'Residentail-Heating'!G8*Conversion!$B$3</f>
        <v>0</v>
      </c>
      <c r="H8" s="4">
        <f>'Residentail-Heating'!H8*Conversion!$B$3</f>
        <v>0</v>
      </c>
      <c r="I8" s="4">
        <f>'Residentail-Heating'!I8*Conversion!$B$3</f>
        <v>0</v>
      </c>
      <c r="J8" s="4">
        <f>'Residentail-Heating'!J8*Conversion!$B$3</f>
        <v>0</v>
      </c>
      <c r="K8" s="4">
        <f>'Residentail-Heating'!K8*Conversion!$B$3</f>
        <v>0</v>
      </c>
      <c r="L8" s="4">
        <f>'Residentail-Heating'!L8*Conversion!$B$3</f>
        <v>0</v>
      </c>
      <c r="M8" s="4">
        <f>'Residentail-Heating'!M8*Conversion!$B$3</f>
        <v>0</v>
      </c>
      <c r="N8" s="4">
        <f>'Residentail-Heating'!N8*Conversion!$B$3</f>
        <v>0</v>
      </c>
      <c r="O8" s="4">
        <f>'Residentail-Heating'!O8*Conversion!$B$3</f>
        <v>0</v>
      </c>
      <c r="P8" s="4">
        <f>'Residentail-Heating'!P8*Conversion!$B$3</f>
        <v>0</v>
      </c>
      <c r="Q8" s="4">
        <f>'Residentail-Heating'!Q8*Conversion!$B$3</f>
        <v>0</v>
      </c>
      <c r="R8" s="4">
        <f>'Residentail-Heating'!R8*Conversion!$B$3</f>
        <v>0</v>
      </c>
      <c r="S8" s="4">
        <f>'Residentail-Heating'!S8*Conversion!$B$3</f>
        <v>0</v>
      </c>
      <c r="T8" s="4">
        <f>'Residentail-Heating'!T8*Conversion!$B$3</f>
        <v>0</v>
      </c>
      <c r="U8" s="4">
        <f>'Residentail-Heating'!U8*Conversion!$B$3</f>
        <v>0</v>
      </c>
      <c r="V8" s="4">
        <f>'Residentail-Heating'!V8*Conversion!$B$3</f>
        <v>0</v>
      </c>
      <c r="W8" s="4">
        <f>'Residentail-Heating'!W8*Conversion!$B$3</f>
        <v>0</v>
      </c>
      <c r="X8" s="4">
        <f>'Residentail-Heating'!X8*Conversion!$B$3</f>
        <v>0</v>
      </c>
      <c r="Y8" s="4">
        <f>'Residentail-Heating'!Y8*Conversion!$B$3</f>
        <v>0</v>
      </c>
      <c r="Z8" s="4">
        <f>'Residentail-Heating'!Z8*Conversion!$B$3</f>
        <v>0</v>
      </c>
      <c r="AA8" s="4">
        <f>'Residentail-Heating'!AA8*Conversion!$B$3</f>
        <v>0</v>
      </c>
      <c r="AB8" s="4">
        <f>'Residentail-Heating'!AB8*Conversion!$B$3</f>
        <v>0</v>
      </c>
      <c r="AC8" s="4">
        <f>'Residentail-Heating'!AC8*Conversion!$B$3</f>
        <v>0</v>
      </c>
      <c r="AD8" s="4">
        <f>'Residentail-Heating'!AD8*Conversion!$B$3</f>
        <v>0</v>
      </c>
      <c r="AE8" s="4">
        <f>'Residentail-Heating'!AE8*Conversion!$B$3</f>
        <v>0</v>
      </c>
      <c r="AF8" s="4">
        <f>'Residentail-Heating'!AF8*Conversion!$B$3</f>
        <v>0</v>
      </c>
      <c r="AG8" s="4">
        <f>'Residentail-Heating'!AG8*Conversion!$B$3</f>
        <v>0</v>
      </c>
      <c r="AH8" s="4">
        <f>'Residentail-Heating'!AH8*Conversion!$B$3</f>
        <v>0</v>
      </c>
      <c r="AI8" s="4">
        <f>'Residentail-Heating'!AI8*Conversion!$B$3</f>
        <v>0</v>
      </c>
      <c r="AJ8" s="4">
        <f>'Residentail-Heating'!AJ8*Conversion!$B$3</f>
        <v>0</v>
      </c>
      <c r="AK8" s="4">
        <f>'Residentail-Heating'!AK8*Conversion!$B$3</f>
        <v>0</v>
      </c>
      <c r="AL8" s="4">
        <f>'Residentail-Heating'!AL8*Conversion!$B$3</f>
        <v>0</v>
      </c>
      <c r="AM8" s="4">
        <f>'Residentail-Heating'!AM8*Conversion!$B$3</f>
        <v>0</v>
      </c>
      <c r="AN8" s="4">
        <f>'Residentail-Heating'!AN8*Conversion!$B$3</f>
        <v>0</v>
      </c>
      <c r="AO8" s="4">
        <f>'Residentail-Heating'!AO8*Conversion!$B$3</f>
        <v>0</v>
      </c>
      <c r="AP8" s="4">
        <f>'Residentail-Heating'!AP8*Conversion!$B$3</f>
        <v>0</v>
      </c>
      <c r="AQ8" s="4">
        <f>'Residentail-Heating'!AQ8*Conversion!$B$3</f>
        <v>0</v>
      </c>
    </row>
    <row r="9" spans="1:43" x14ac:dyDescent="0.2">
      <c r="A9" s="1" t="s">
        <v>19</v>
      </c>
      <c r="B9" s="15">
        <f>'Residentail-Heating'!B9*Conversion!$B$3</f>
        <v>0</v>
      </c>
      <c r="C9" s="15">
        <f>'Residentail-Heating'!C9*Conversion!$B$3</f>
        <v>0</v>
      </c>
      <c r="D9" s="15">
        <f>'Residentail-Heating'!D9*Conversion!$B$3</f>
        <v>0</v>
      </c>
      <c r="E9" s="15">
        <f>'Residentail-Heating'!E9*Conversion!$B$3</f>
        <v>0</v>
      </c>
      <c r="F9" s="4">
        <f>'Residentail-Heating'!F9*Conversion!$B$3</f>
        <v>0</v>
      </c>
      <c r="G9" s="4">
        <f>'Residentail-Heating'!G9*Conversion!$B$3</f>
        <v>0</v>
      </c>
      <c r="H9" s="4">
        <f>'Residentail-Heating'!H9*Conversion!$B$3</f>
        <v>0</v>
      </c>
      <c r="I9" s="4">
        <f>'Residentail-Heating'!I9*Conversion!$B$3</f>
        <v>0</v>
      </c>
      <c r="J9" s="4">
        <f>'Residentail-Heating'!J9*Conversion!$B$3</f>
        <v>0</v>
      </c>
      <c r="K9" s="4">
        <f>'Residentail-Heating'!K9*Conversion!$B$3</f>
        <v>0</v>
      </c>
      <c r="L9" s="4">
        <f>'Residentail-Heating'!L9*Conversion!$B$3</f>
        <v>0</v>
      </c>
      <c r="M9" s="4">
        <f>'Residentail-Heating'!M9*Conversion!$B$3</f>
        <v>0</v>
      </c>
      <c r="N9" s="4">
        <f>'Residentail-Heating'!N9*Conversion!$B$3</f>
        <v>0</v>
      </c>
      <c r="O9" s="4">
        <f>'Residentail-Heating'!O9*Conversion!$B$3</f>
        <v>0</v>
      </c>
      <c r="P9" s="4">
        <f>'Residentail-Heating'!P9*Conversion!$B$3</f>
        <v>0</v>
      </c>
      <c r="Q9" s="4">
        <f>'Residentail-Heating'!Q9*Conversion!$B$3</f>
        <v>0</v>
      </c>
      <c r="R9" s="4">
        <f>'Residentail-Heating'!R9*Conversion!$B$3</f>
        <v>0</v>
      </c>
      <c r="S9" s="4">
        <f>'Residentail-Heating'!S9*Conversion!$B$3</f>
        <v>0</v>
      </c>
      <c r="T9" s="4">
        <f>'Residentail-Heating'!T9*Conversion!$B$3</f>
        <v>0</v>
      </c>
      <c r="U9" s="4">
        <f>'Residentail-Heating'!U9*Conversion!$B$3</f>
        <v>0</v>
      </c>
      <c r="V9" s="4">
        <f>'Residentail-Heating'!V9*Conversion!$B$3</f>
        <v>0</v>
      </c>
      <c r="W9" s="4">
        <f>'Residentail-Heating'!W9*Conversion!$B$3</f>
        <v>0</v>
      </c>
      <c r="X9" s="4">
        <f>'Residentail-Heating'!X9*Conversion!$B$3</f>
        <v>0</v>
      </c>
      <c r="Y9" s="4">
        <f>'Residentail-Heating'!Y9*Conversion!$B$3</f>
        <v>0</v>
      </c>
      <c r="Z9" s="4">
        <f>'Residentail-Heating'!Z9*Conversion!$B$3</f>
        <v>0</v>
      </c>
      <c r="AA9" s="4">
        <f>'Residentail-Heating'!AA9*Conversion!$B$3</f>
        <v>0</v>
      </c>
      <c r="AB9" s="4">
        <f>'Residentail-Heating'!AB9*Conversion!$B$3</f>
        <v>0</v>
      </c>
      <c r="AC9" s="4">
        <f>'Residentail-Heating'!AC9*Conversion!$B$3</f>
        <v>0</v>
      </c>
      <c r="AD9" s="4">
        <f>'Residentail-Heating'!AD9*Conversion!$B$3</f>
        <v>0</v>
      </c>
      <c r="AE9" s="4">
        <f>'Residentail-Heating'!AE9*Conversion!$B$3</f>
        <v>0</v>
      </c>
      <c r="AF9" s="4">
        <f>'Residentail-Heating'!AF9*Conversion!$B$3</f>
        <v>0</v>
      </c>
      <c r="AG9" s="4">
        <f>'Residentail-Heating'!AG9*Conversion!$B$3</f>
        <v>0</v>
      </c>
      <c r="AH9" s="4">
        <f>'Residentail-Heating'!AH9*Conversion!$B$3</f>
        <v>0</v>
      </c>
      <c r="AI9" s="4">
        <f>'Residentail-Heating'!AI9*Conversion!$B$3</f>
        <v>0</v>
      </c>
      <c r="AJ9" s="4">
        <f>'Residentail-Heating'!AJ9*Conversion!$B$3</f>
        <v>0</v>
      </c>
      <c r="AK9" s="4">
        <f>'Residentail-Heating'!AK9*Conversion!$B$3</f>
        <v>0</v>
      </c>
      <c r="AL9" s="4">
        <f>'Residentail-Heating'!AL9*Conversion!$B$3</f>
        <v>0</v>
      </c>
      <c r="AM9" s="4">
        <f>'Residentail-Heating'!AM9*Conversion!$B$3</f>
        <v>0</v>
      </c>
      <c r="AN9" s="4">
        <f>'Residentail-Heating'!AN9*Conversion!$B$3</f>
        <v>0</v>
      </c>
      <c r="AO9" s="4">
        <f>'Residentail-Heating'!AO9*Conversion!$B$3</f>
        <v>0</v>
      </c>
      <c r="AP9" s="4">
        <f>'Residentail-Heating'!AP9*Conversion!$B$3</f>
        <v>0</v>
      </c>
      <c r="AQ9" s="4">
        <f>'Residentail-Heating'!AQ9*Conversion!$B$3</f>
        <v>0</v>
      </c>
    </row>
    <row r="10" spans="1:43" x14ac:dyDescent="0.2">
      <c r="A10" s="1" t="s">
        <v>20</v>
      </c>
      <c r="B10" s="15">
        <f>'Residentail-Heating'!C15*Conversion!$B$3</f>
        <v>1088126608.647665</v>
      </c>
      <c r="C10" s="15">
        <f>'Residentail-Heating'!$C16*Conversion!$B$3</f>
        <v>1105845484.0763512</v>
      </c>
      <c r="D10" s="15">
        <f>'Residentail-Heating'!$C17*Conversion!$B$3</f>
        <v>1123564359.5050373</v>
      </c>
      <c r="E10" s="15">
        <f>'Residentail-Heating'!E10*Conversion!$B$3</f>
        <v>1137992751.4800622</v>
      </c>
      <c r="F10" s="4">
        <f>'Residentail-Heating'!F10*Conversion!$B$3</f>
        <v>1160791412.446763</v>
      </c>
      <c r="G10" s="4">
        <f>'Residentail-Heating'!G10*Conversion!$B$3</f>
        <v>1179913414.279763</v>
      </c>
      <c r="H10" s="4">
        <f>'Residentail-Heating'!H10*Conversion!$B$3</f>
        <v>1195849031.803951</v>
      </c>
      <c r="I10" s="4">
        <f>'Residentail-Heating'!I10*Conversion!$B$3</f>
        <v>1209058318.9448884</v>
      </c>
      <c r="J10" s="4">
        <f>'Residentail-Heating'!J10*Conversion!$B$3</f>
        <v>1219959202.5989013</v>
      </c>
      <c r="K10" s="4">
        <f>'Residentail-Heating'!K10*Conversion!$B$3</f>
        <v>1228922178.0951235</v>
      </c>
      <c r="L10" s="4">
        <f>'Residentail-Heating'!L10*Conversion!$B$3</f>
        <v>1236269574.222641</v>
      </c>
      <c r="M10" s="4">
        <f>'Residentail-Heating'!M10*Conversion!$B$3</f>
        <v>1242277729.4563711</v>
      </c>
      <c r="N10" s="4">
        <f>'Residentail-Heating'!N10*Conversion!$B$3</f>
        <v>1247180829.5949306</v>
      </c>
      <c r="O10" s="4">
        <f>'Residentail-Heating'!O10*Conversion!$B$3</f>
        <v>1251175525.057008</v>
      </c>
      <c r="P10" s="4">
        <f>'Residentail-Heating'!P10*Conversion!$B$3</f>
        <v>1254425743.7223303</v>
      </c>
      <c r="Q10" s="4">
        <f>'Residentail-Heating'!Q10*Conversion!$B$3</f>
        <v>1257067338.849278</v>
      </c>
      <c r="R10" s="4">
        <f>'Residentail-Heating'!R10*Conversion!$B$3</f>
        <v>1259212370.2316272</v>
      </c>
      <c r="S10" s="4">
        <f>'Residentail-Heating'!S10*Conversion!$B$3</f>
        <v>1260952923.6359544</v>
      </c>
      <c r="T10" s="4">
        <f>'Residentail-Heating'!T10*Conversion!$B$3</f>
        <v>1262364441.8831725</v>
      </c>
      <c r="U10" s="4">
        <f>'Residentail-Heating'!U10*Conversion!$B$3</f>
        <v>1263508581.9441462</v>
      </c>
      <c r="V10" s="4">
        <f>'Residentail-Heating'!V10*Conversion!$B$3</f>
        <v>1264435634.8906014</v>
      </c>
      <c r="W10" s="4">
        <f>'Residentail-Heating'!W10*Conversion!$B$3</f>
        <v>1265186555.9483905</v>
      </c>
      <c r="X10" s="4">
        <f>'Residentail-Heating'!X10*Conversion!$B$3</f>
        <v>1265794654.8041117</v>
      </c>
      <c r="Y10" s="4">
        <f>'Residentail-Heating'!Y10*Conversion!$B$3</f>
        <v>1266286994.8215508</v>
      </c>
      <c r="Z10" s="4">
        <f>'Residentail-Heating'!Z10*Conversion!$B$3</f>
        <v>1266685545.9714875</v>
      </c>
      <c r="AA10" s="4">
        <f>'Residentail-Heating'!AA10*Conversion!$B$3</f>
        <v>1267008131.3616903</v>
      </c>
      <c r="AB10" s="4">
        <f>'Residentail-Heating'!AB10*Conversion!$B$3</f>
        <v>1267269202.0609579</v>
      </c>
      <c r="AC10" s="4">
        <f>'Residentail-Heating'!AC10*Conversion!$B$3</f>
        <v>1267480469.8945091</v>
      </c>
      <c r="AD10" s="4">
        <f>'Residentail-Heating'!AD10*Conversion!$B$3</f>
        <v>1267651423.2852228</v>
      </c>
      <c r="AE10" s="4">
        <f>'Residentail-Heating'!AE10*Conversion!$B$3</f>
        <v>1267789747.1295581</v>
      </c>
      <c r="AF10" s="4">
        <f>'Residentail-Heating'!AF10*Conversion!$B$3</f>
        <v>1267901664.1517684</v>
      </c>
      <c r="AG10" s="4">
        <f>'Residentail-Heating'!AG10*Conversion!$B$3</f>
        <v>1267992212.1533191</v>
      </c>
      <c r="AH10" s="4">
        <f>'Residentail-Heating'!AH10*Conversion!$B$3</f>
        <v>1268065469.0212176</v>
      </c>
      <c r="AI10" s="4">
        <f>'Residentail-Heating'!AI10*Conversion!$B$3</f>
        <v>1268124735.2245018</v>
      </c>
      <c r="AJ10" s="4">
        <f>'Residentail-Heating'!AJ10*Conversion!$B$3</f>
        <v>1268172681.7560704</v>
      </c>
      <c r="AK10" s="4">
        <f>'Residentail-Heating'!AK10*Conversion!$B$3</f>
        <v>1268211470.0136864</v>
      </c>
      <c r="AL10" s="4">
        <f>'Residentail-Heating'!AL10*Conversion!$B$3</f>
        <v>1268242848.9105887</v>
      </c>
      <c r="AM10" s="4">
        <f>'Residentail-Heating'!AM10*Conversion!$B$3</f>
        <v>1268268233.5198414</v>
      </c>
      <c r="AN10" s="4">
        <f>'Residentail-Heating'!AN10*Conversion!$B$3</f>
        <v>1268288768.7502186</v>
      </c>
      <c r="AO10" s="4">
        <f>'Residentail-Heating'!AO10*Conversion!$B$3</f>
        <v>1268305380.8936422</v>
      </c>
      <c r="AP10" s="4">
        <f>'Residentail-Heating'!AP10*Conversion!$B$3</f>
        <v>1268318819.3484242</v>
      </c>
      <c r="AQ10" s="4">
        <f>'Residentail-Heating'!AQ10*Conversion!$B$3</f>
        <v>1268329690.3868458</v>
      </c>
    </row>
    <row r="11" spans="1:43" x14ac:dyDescent="0.2">
      <c r="A11" s="1" t="s">
        <v>21</v>
      </c>
      <c r="B11" s="15">
        <f>'Residentail-Heating'!B11*Conversion!$B$3</f>
        <v>0</v>
      </c>
      <c r="C11" s="15">
        <f>'Residentail-Heating'!C11*Conversion!$B$3</f>
        <v>0</v>
      </c>
      <c r="D11" s="15">
        <f>'Residentail-Heating'!D11*Conversion!$B$3</f>
        <v>0</v>
      </c>
      <c r="E11" s="15">
        <f>'Residentail-Heating'!E11*Conversion!$B$3</f>
        <v>0</v>
      </c>
      <c r="F11" s="4">
        <f>'Residentail-Heating'!F11*Conversion!$B$3</f>
        <v>0</v>
      </c>
      <c r="G11" s="4">
        <f>'Residentail-Heating'!G11*Conversion!$B$3</f>
        <v>0</v>
      </c>
      <c r="H11" s="4">
        <f>'Residentail-Heating'!H11*Conversion!$B$3</f>
        <v>0</v>
      </c>
      <c r="I11" s="4">
        <f>'Residentail-Heating'!I11*Conversion!$B$3</f>
        <v>0</v>
      </c>
      <c r="J11" s="4">
        <f>'Residentail-Heating'!J11*Conversion!$B$3</f>
        <v>0</v>
      </c>
      <c r="K11" s="4">
        <f>'Residentail-Heating'!K11*Conversion!$B$3</f>
        <v>0</v>
      </c>
      <c r="L11" s="4">
        <f>'Residentail-Heating'!L11*Conversion!$B$3</f>
        <v>0</v>
      </c>
      <c r="M11" s="4">
        <f>'Residentail-Heating'!M11*Conversion!$B$3</f>
        <v>0</v>
      </c>
      <c r="N11" s="4">
        <f>'Residentail-Heating'!N11*Conversion!$B$3</f>
        <v>0</v>
      </c>
      <c r="O11" s="4">
        <f>'Residentail-Heating'!O11*Conversion!$B$3</f>
        <v>0</v>
      </c>
      <c r="P11" s="4">
        <f>'Residentail-Heating'!P11*Conversion!$B$3</f>
        <v>0</v>
      </c>
      <c r="Q11" s="4">
        <f>'Residentail-Heating'!Q11*Conversion!$B$3</f>
        <v>0</v>
      </c>
      <c r="R11" s="4">
        <f>'Residentail-Heating'!R11*Conversion!$B$3</f>
        <v>0</v>
      </c>
      <c r="S11" s="4">
        <f>'Residentail-Heating'!S11*Conversion!$B$3</f>
        <v>0</v>
      </c>
      <c r="T11" s="4">
        <f>'Residentail-Heating'!T11*Conversion!$B$3</f>
        <v>0</v>
      </c>
      <c r="U11" s="4">
        <f>'Residentail-Heating'!U11*Conversion!$B$3</f>
        <v>0</v>
      </c>
      <c r="V11" s="4">
        <f>'Residentail-Heating'!V11*Conversion!$B$3</f>
        <v>0</v>
      </c>
      <c r="W11" s="4">
        <f>'Residentail-Heating'!W11*Conversion!$B$3</f>
        <v>0</v>
      </c>
      <c r="X11" s="4">
        <f>'Residentail-Heating'!X11*Conversion!$B$3</f>
        <v>0</v>
      </c>
      <c r="Y11" s="4">
        <f>'Residentail-Heating'!Y11*Conversion!$B$3</f>
        <v>0</v>
      </c>
      <c r="Z11" s="4">
        <f>'Residentail-Heating'!Z11*Conversion!$B$3</f>
        <v>0</v>
      </c>
      <c r="AA11" s="4">
        <f>'Residentail-Heating'!AA11*Conversion!$B$3</f>
        <v>0</v>
      </c>
      <c r="AB11" s="4">
        <f>'Residentail-Heating'!AB11*Conversion!$B$3</f>
        <v>0</v>
      </c>
      <c r="AC11" s="4">
        <f>'Residentail-Heating'!AC11*Conversion!$B$3</f>
        <v>0</v>
      </c>
      <c r="AD11" s="4">
        <f>'Residentail-Heating'!AD11*Conversion!$B$3</f>
        <v>0</v>
      </c>
      <c r="AE11" s="4">
        <f>'Residentail-Heating'!AE11*Conversion!$B$3</f>
        <v>0</v>
      </c>
      <c r="AF11" s="4">
        <f>'Residentail-Heating'!AF11*Conversion!$B$3</f>
        <v>0</v>
      </c>
      <c r="AG11" s="4">
        <f>'Residentail-Heating'!AG11*Conversion!$B$3</f>
        <v>0</v>
      </c>
      <c r="AH11" s="4">
        <f>'Residentail-Heating'!AH11*Conversion!$B$3</f>
        <v>0</v>
      </c>
      <c r="AI11" s="4">
        <f>'Residentail-Heating'!AI11*Conversion!$B$3</f>
        <v>0</v>
      </c>
      <c r="AJ11" s="4">
        <f>'Residentail-Heating'!AJ11*Conversion!$B$3</f>
        <v>0</v>
      </c>
      <c r="AK11" s="4">
        <f>'Residentail-Heating'!AK11*Conversion!$B$3</f>
        <v>0</v>
      </c>
      <c r="AL11" s="4">
        <f>'Residentail-Heating'!AL11*Conversion!$B$3</f>
        <v>0</v>
      </c>
      <c r="AM11" s="4">
        <f>'Residentail-Heating'!AM11*Conversion!$B$3</f>
        <v>0</v>
      </c>
      <c r="AN11" s="4">
        <f>'Residentail-Heating'!AN11*Conversion!$B$3</f>
        <v>0</v>
      </c>
      <c r="AO11" s="4">
        <f>'Residentail-Heating'!AO11*Conversion!$B$3</f>
        <v>0</v>
      </c>
      <c r="AP11" s="4">
        <f>'Residentail-Heating'!AP11*Conversion!$B$3</f>
        <v>0</v>
      </c>
      <c r="AQ11" s="4">
        <f>'Residentail-Heating'!AQ11*Conversion!$B$3</f>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1D643-C8BF-4B48-9F96-7E3B1FE7A9F9}">
  <sheetPr>
    <tabColor theme="3" tint="0.249977111117893"/>
  </sheetPr>
  <dimension ref="A1:AQ11"/>
  <sheetViews>
    <sheetView workbookViewId="0">
      <selection activeCell="B2" sqref="B2"/>
    </sheetView>
  </sheetViews>
  <sheetFormatPr baseColWidth="10" defaultRowHeight="16" x14ac:dyDescent="0.2"/>
  <sheetData>
    <row r="1" spans="1:4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row>
    <row r="2" spans="1:43" x14ac:dyDescent="0.2">
      <c r="A2" s="1" t="s">
        <v>12</v>
      </c>
      <c r="B2" s="4">
        <f>'Residential-Cooling'!C15*Conversion!$B$3</f>
        <v>35040756087205.887</v>
      </c>
      <c r="C2" s="4">
        <f>'Residential-Cooling'!C16*Conversion!$B$3</f>
        <v>38570034781383.227</v>
      </c>
      <c r="D2" s="4">
        <f>'Residential-Cooling'!C17*Conversion!$B$3</f>
        <v>42099313475560.57</v>
      </c>
      <c r="E2" s="4">
        <f>'Residential-Cooling'!E2*Conversion!$B$3</f>
        <v>45690346298760.234</v>
      </c>
      <c r="F2" s="4">
        <f>'Residential-Cooling'!F2*Conversion!$B$3</f>
        <v>48769514011797.773</v>
      </c>
      <c r="G2" s="4">
        <f>'Residential-Cooling'!G2*Conversion!$B$3</f>
        <v>52824756347909.664</v>
      </c>
      <c r="H2" s="4">
        <f>'Residential-Cooling'!H2*Conversion!$B$3</f>
        <v>56859268712909.5</v>
      </c>
      <c r="I2" s="4">
        <f>'Residential-Cooling'!I2*Conversion!$B$3</f>
        <v>59291862419093.18</v>
      </c>
      <c r="J2" s="4">
        <f>'Residential-Cooling'!J2*Conversion!$B$3</f>
        <v>60695765963828.102</v>
      </c>
      <c r="K2" s="4">
        <f>'Residential-Cooling'!K2*Conversion!$B$3</f>
        <v>62072251275347.258</v>
      </c>
      <c r="L2" s="4">
        <f>'Residential-Cooling'!L2*Conversion!$B$3</f>
        <v>63421068636720.898</v>
      </c>
      <c r="M2" s="4">
        <f>'Residential-Cooling'!M2*Conversion!$B$3</f>
        <v>64741626987144.469</v>
      </c>
      <c r="N2" s="4">
        <f>'Residential-Cooling'!N2*Conversion!$B$3</f>
        <v>76334545055196.625</v>
      </c>
      <c r="O2" s="4">
        <f>'Residential-Cooling'!O2*Conversion!$B$3</f>
        <v>77905538579444.125</v>
      </c>
      <c r="P2" s="4">
        <f>'Residential-Cooling'!P2*Conversion!$B$3</f>
        <v>79359764905776.312</v>
      </c>
      <c r="Q2" s="4">
        <f>'Residential-Cooling'!Q2*Conversion!$B$3</f>
        <v>80706390059422.719</v>
      </c>
      <c r="R2" s="4">
        <f>'Residential-Cooling'!R2*Conversion!$B$3</f>
        <v>81955105014581.938</v>
      </c>
      <c r="S2" s="4">
        <f>'Residential-Cooling'!S2*Conversion!$B$3</f>
        <v>86794760016536.062</v>
      </c>
      <c r="T2" s="4">
        <f>'Residential-Cooling'!T2*Conversion!$B$3</f>
        <v>88256563283343.359</v>
      </c>
      <c r="U2" s="4">
        <f>'Residential-Cooling'!U2*Conversion!$B$3</f>
        <v>89630193118123.781</v>
      </c>
      <c r="V2" s="4">
        <f>'Residential-Cooling'!V2*Conversion!$B$3</f>
        <v>90921171435469.203</v>
      </c>
      <c r="W2" s="4">
        <f>'Residential-Cooling'!W2*Conversion!$B$3</f>
        <v>92135339901001.938</v>
      </c>
      <c r="X2" s="4">
        <f>'Residential-Cooling'!X2*Conversion!$B$3</f>
        <v>99838414409042.953</v>
      </c>
      <c r="Y2" s="4">
        <f>'Residential-Cooling'!Y2*Conversion!$B$3</f>
        <v>101821360382688.19</v>
      </c>
      <c r="Z2" s="4">
        <f>'Residential-Cooling'!Z2*Conversion!$B$3</f>
        <v>103747180379468.86</v>
      </c>
      <c r="AA2" s="4">
        <f>'Residential-Cooling'!AA2*Conversion!$B$3</f>
        <v>105614084442644.33</v>
      </c>
      <c r="AB2" s="4">
        <f>'Residential-Cooling'!AB2*Conversion!$B$3</f>
        <v>107420889580506.95</v>
      </c>
      <c r="AC2" s="4">
        <f>'Residential-Cooling'!AC2*Conversion!$B$3</f>
        <v>109035485624080.22</v>
      </c>
      <c r="AD2" s="4">
        <f>'Residential-Cooling'!AD2*Conversion!$B$3</f>
        <v>110586297774503.52</v>
      </c>
      <c r="AE2" s="4">
        <f>'Residential-Cooling'!AE2*Conversion!$B$3</f>
        <v>112073940673451.02</v>
      </c>
      <c r="AF2" s="4">
        <f>'Residential-Cooling'!AF2*Conversion!$B$3</f>
        <v>113499430589175.59</v>
      </c>
      <c r="AG2" s="4">
        <f>'Residential-Cooling'!AG2*Conversion!$B$3</f>
        <v>114864128696707.83</v>
      </c>
      <c r="AH2" s="4">
        <f>'Residential-Cooling'!AH2*Conversion!$B$3</f>
        <v>125723637188183.36</v>
      </c>
      <c r="AI2" s="4">
        <f>'Residential-Cooling'!AI2*Conversion!$B$3</f>
        <v>127270833672370.03</v>
      </c>
      <c r="AJ2" s="4">
        <f>'Residential-Cooling'!AJ2*Conversion!$B$3</f>
        <v>128746998698291.16</v>
      </c>
      <c r="AK2" s="4">
        <f>'Residential-Cooling'!AK2*Conversion!$B$3</f>
        <v>130152662446576.03</v>
      </c>
      <c r="AL2" s="4">
        <f>'Residential-Cooling'!AL2*Conversion!$B$3</f>
        <v>131488720369704.27</v>
      </c>
      <c r="AM2" s="4">
        <f>'Residential-Cooling'!AM2*Conversion!$B$3</f>
        <v>132756390185904.52</v>
      </c>
      <c r="AN2" s="4">
        <f>'Residential-Cooling'!AN2*Conversion!$B$3</f>
        <v>133957169102772.22</v>
      </c>
      <c r="AO2" s="4">
        <f>'Residential-Cooling'!AO2*Conversion!$B$3</f>
        <v>135092792077268.73</v>
      </c>
      <c r="AP2" s="4">
        <f>'Residential-Cooling'!AP2*Conversion!$B$3</f>
        <v>136165191771481.34</v>
      </c>
      <c r="AQ2" s="4">
        <f>'Residential-Cooling'!AQ2*Conversion!$B$3</f>
        <v>137176460719988.39</v>
      </c>
    </row>
    <row r="3" spans="1:43" x14ac:dyDescent="0.2">
      <c r="A3" s="1" t="s">
        <v>13</v>
      </c>
      <c r="B3" s="4">
        <f>'Residential-Cooling'!B3*Conversion!$B$3</f>
        <v>0</v>
      </c>
      <c r="C3" s="4">
        <f>'Residential-Cooling'!C3*Conversion!$B$3</f>
        <v>0</v>
      </c>
      <c r="D3" s="4">
        <f>'Residential-Cooling'!D3*Conversion!$B$3</f>
        <v>0</v>
      </c>
      <c r="E3" s="4">
        <f>'Residential-Cooling'!E3*Conversion!$B$3</f>
        <v>0</v>
      </c>
      <c r="F3" s="4">
        <f>'Residential-Cooling'!F3*Conversion!$B$3</f>
        <v>0</v>
      </c>
      <c r="G3" s="4">
        <f>'Residential-Cooling'!G3*Conversion!$B$3</f>
        <v>0</v>
      </c>
      <c r="H3" s="4">
        <f>'Residential-Cooling'!H3*Conversion!$B$3</f>
        <v>0</v>
      </c>
      <c r="I3" s="4">
        <f>'Residential-Cooling'!I3*Conversion!$B$3</f>
        <v>0</v>
      </c>
      <c r="J3" s="4">
        <f>'Residential-Cooling'!J3*Conversion!$B$3</f>
        <v>0</v>
      </c>
      <c r="K3" s="4">
        <f>'Residential-Cooling'!K3*Conversion!$B$3</f>
        <v>0</v>
      </c>
      <c r="L3" s="4">
        <f>'Residential-Cooling'!L3*Conversion!$B$3</f>
        <v>0</v>
      </c>
      <c r="M3" s="4">
        <f>'Residential-Cooling'!M3*Conversion!$B$3</f>
        <v>0</v>
      </c>
      <c r="N3" s="4">
        <f>'Residential-Cooling'!N3*Conversion!$B$3</f>
        <v>0</v>
      </c>
      <c r="O3" s="4">
        <f>'Residential-Cooling'!O3*Conversion!$B$3</f>
        <v>0</v>
      </c>
      <c r="P3" s="4">
        <f>'Residential-Cooling'!P3*Conversion!$B$3</f>
        <v>0</v>
      </c>
      <c r="Q3" s="4">
        <f>'Residential-Cooling'!Q3*Conversion!$B$3</f>
        <v>0</v>
      </c>
      <c r="R3" s="4">
        <f>'Residential-Cooling'!R3*Conversion!$B$3</f>
        <v>0</v>
      </c>
      <c r="S3" s="4">
        <f>'Residential-Cooling'!S3*Conversion!$B$3</f>
        <v>0</v>
      </c>
      <c r="T3" s="4">
        <f>'Residential-Cooling'!T3*Conversion!$B$3</f>
        <v>0</v>
      </c>
      <c r="U3" s="4">
        <f>'Residential-Cooling'!U3*Conversion!$B$3</f>
        <v>0</v>
      </c>
      <c r="V3" s="4">
        <f>'Residential-Cooling'!V3*Conversion!$B$3</f>
        <v>0</v>
      </c>
      <c r="W3" s="4">
        <f>'Residential-Cooling'!W3*Conversion!$B$3</f>
        <v>0</v>
      </c>
      <c r="X3" s="4">
        <f>'Residential-Cooling'!X3*Conversion!$B$3</f>
        <v>0</v>
      </c>
      <c r="Y3" s="4">
        <f>'Residential-Cooling'!Y3*Conversion!$B$3</f>
        <v>0</v>
      </c>
      <c r="Z3" s="4">
        <f>'Residential-Cooling'!Z3*Conversion!$B$3</f>
        <v>0</v>
      </c>
      <c r="AA3" s="4">
        <f>'Residential-Cooling'!AA3*Conversion!$B$3</f>
        <v>0</v>
      </c>
      <c r="AB3" s="4">
        <f>'Residential-Cooling'!AB3*Conversion!$B$3</f>
        <v>0</v>
      </c>
      <c r="AC3" s="4">
        <f>'Residential-Cooling'!AC3*Conversion!$B$3</f>
        <v>0</v>
      </c>
      <c r="AD3" s="4">
        <f>'Residential-Cooling'!AD3*Conversion!$B$3</f>
        <v>0</v>
      </c>
      <c r="AE3" s="4">
        <f>'Residential-Cooling'!AE3*Conversion!$B$3</f>
        <v>0</v>
      </c>
      <c r="AF3" s="4">
        <f>'Residential-Cooling'!AF3*Conversion!$B$3</f>
        <v>0</v>
      </c>
      <c r="AG3" s="4">
        <f>'Residential-Cooling'!AG3*Conversion!$B$3</f>
        <v>0</v>
      </c>
      <c r="AH3" s="4">
        <f>'Residential-Cooling'!AH3*Conversion!$B$3</f>
        <v>0</v>
      </c>
      <c r="AI3" s="4">
        <f>'Residential-Cooling'!AI3*Conversion!$B$3</f>
        <v>0</v>
      </c>
      <c r="AJ3" s="4">
        <f>'Residential-Cooling'!AJ3*Conversion!$B$3</f>
        <v>0</v>
      </c>
      <c r="AK3" s="4">
        <f>'Residential-Cooling'!AK3*Conversion!$B$3</f>
        <v>0</v>
      </c>
      <c r="AL3" s="4">
        <f>'Residential-Cooling'!AL3*Conversion!$B$3</f>
        <v>0</v>
      </c>
      <c r="AM3" s="4">
        <f>'Residential-Cooling'!AM3*Conversion!$B$3</f>
        <v>0</v>
      </c>
      <c r="AN3" s="4">
        <f>'Residential-Cooling'!AN3*Conversion!$B$3</f>
        <v>0</v>
      </c>
      <c r="AO3" s="4">
        <f>'Residential-Cooling'!AO3*Conversion!$B$3</f>
        <v>0</v>
      </c>
      <c r="AP3" s="4">
        <f>'Residential-Cooling'!AP3*Conversion!$B$3</f>
        <v>0</v>
      </c>
      <c r="AQ3" s="4">
        <f>'Residential-Cooling'!AQ3*Conversion!$B$3</f>
        <v>0</v>
      </c>
    </row>
    <row r="4" spans="1:43" x14ac:dyDescent="0.2">
      <c r="A4" s="1" t="s">
        <v>14</v>
      </c>
      <c r="B4" s="4">
        <f>'Residential-Cooling'!B4*Conversion!$B$3</f>
        <v>0</v>
      </c>
      <c r="C4" s="4">
        <f>'Residential-Cooling'!C4*Conversion!$B$3</f>
        <v>0</v>
      </c>
      <c r="D4" s="4">
        <f>'Residential-Cooling'!D4*Conversion!$B$3</f>
        <v>0</v>
      </c>
      <c r="E4" s="4">
        <f>'Residential-Cooling'!E4*Conversion!$B$3</f>
        <v>0</v>
      </c>
      <c r="F4" s="4">
        <f>'Residential-Cooling'!F4*Conversion!$B$3</f>
        <v>0</v>
      </c>
      <c r="G4" s="4">
        <f>'Residential-Cooling'!G4*Conversion!$B$3</f>
        <v>0</v>
      </c>
      <c r="H4" s="4">
        <f>'Residential-Cooling'!H4*Conversion!$B$3</f>
        <v>0</v>
      </c>
      <c r="I4" s="4">
        <f>'Residential-Cooling'!I4*Conversion!$B$3</f>
        <v>0</v>
      </c>
      <c r="J4" s="4">
        <f>'Residential-Cooling'!J4*Conversion!$B$3</f>
        <v>0</v>
      </c>
      <c r="K4" s="4">
        <f>'Residential-Cooling'!K4*Conversion!$B$3</f>
        <v>0</v>
      </c>
      <c r="L4" s="4">
        <f>'Residential-Cooling'!L4*Conversion!$B$3</f>
        <v>0</v>
      </c>
      <c r="M4" s="4">
        <f>'Residential-Cooling'!M4*Conversion!$B$3</f>
        <v>0</v>
      </c>
      <c r="N4" s="4">
        <f>'Residential-Cooling'!N4*Conversion!$B$3</f>
        <v>0</v>
      </c>
      <c r="O4" s="4">
        <f>'Residential-Cooling'!O4*Conversion!$B$3</f>
        <v>0</v>
      </c>
      <c r="P4" s="4">
        <f>'Residential-Cooling'!P4*Conversion!$B$3</f>
        <v>0</v>
      </c>
      <c r="Q4" s="4">
        <f>'Residential-Cooling'!Q4*Conversion!$B$3</f>
        <v>0</v>
      </c>
      <c r="R4" s="4">
        <f>'Residential-Cooling'!R4*Conversion!$B$3</f>
        <v>0</v>
      </c>
      <c r="S4" s="4">
        <f>'Residential-Cooling'!S4*Conversion!$B$3</f>
        <v>0</v>
      </c>
      <c r="T4" s="4">
        <f>'Residential-Cooling'!T4*Conversion!$B$3</f>
        <v>0</v>
      </c>
      <c r="U4" s="4">
        <f>'Residential-Cooling'!U4*Conversion!$B$3</f>
        <v>0</v>
      </c>
      <c r="V4" s="4">
        <f>'Residential-Cooling'!V4*Conversion!$B$3</f>
        <v>0</v>
      </c>
      <c r="W4" s="4">
        <f>'Residential-Cooling'!W4*Conversion!$B$3</f>
        <v>0</v>
      </c>
      <c r="X4" s="4">
        <f>'Residential-Cooling'!X4*Conversion!$B$3</f>
        <v>0</v>
      </c>
      <c r="Y4" s="4">
        <f>'Residential-Cooling'!Y4*Conversion!$B$3</f>
        <v>0</v>
      </c>
      <c r="Z4" s="4">
        <f>'Residential-Cooling'!Z4*Conversion!$B$3</f>
        <v>0</v>
      </c>
      <c r="AA4" s="4">
        <f>'Residential-Cooling'!AA4*Conversion!$B$3</f>
        <v>0</v>
      </c>
      <c r="AB4" s="4">
        <f>'Residential-Cooling'!AB4*Conversion!$B$3</f>
        <v>0</v>
      </c>
      <c r="AC4" s="4">
        <f>'Residential-Cooling'!AC4*Conversion!$B$3</f>
        <v>0</v>
      </c>
      <c r="AD4" s="4">
        <f>'Residential-Cooling'!AD4*Conversion!$B$3</f>
        <v>0</v>
      </c>
      <c r="AE4" s="4">
        <f>'Residential-Cooling'!AE4*Conversion!$B$3</f>
        <v>0</v>
      </c>
      <c r="AF4" s="4">
        <f>'Residential-Cooling'!AF4*Conversion!$B$3</f>
        <v>0</v>
      </c>
      <c r="AG4" s="4">
        <f>'Residential-Cooling'!AG4*Conversion!$B$3</f>
        <v>0</v>
      </c>
      <c r="AH4" s="4">
        <f>'Residential-Cooling'!AH4*Conversion!$B$3</f>
        <v>0</v>
      </c>
      <c r="AI4" s="4">
        <f>'Residential-Cooling'!AI4*Conversion!$B$3</f>
        <v>0</v>
      </c>
      <c r="AJ4" s="4">
        <f>'Residential-Cooling'!AJ4*Conversion!$B$3</f>
        <v>0</v>
      </c>
      <c r="AK4" s="4">
        <f>'Residential-Cooling'!AK4*Conversion!$B$3</f>
        <v>0</v>
      </c>
      <c r="AL4" s="4">
        <f>'Residential-Cooling'!AL4*Conversion!$B$3</f>
        <v>0</v>
      </c>
      <c r="AM4" s="4">
        <f>'Residential-Cooling'!AM4*Conversion!$B$3</f>
        <v>0</v>
      </c>
      <c r="AN4" s="4">
        <f>'Residential-Cooling'!AN4*Conversion!$B$3</f>
        <v>0</v>
      </c>
      <c r="AO4" s="4">
        <f>'Residential-Cooling'!AO4*Conversion!$B$3</f>
        <v>0</v>
      </c>
      <c r="AP4" s="4">
        <f>'Residential-Cooling'!AP4*Conversion!$B$3</f>
        <v>0</v>
      </c>
      <c r="AQ4" s="4">
        <f>'Residential-Cooling'!AQ4*Conversion!$B$3</f>
        <v>0</v>
      </c>
    </row>
    <row r="5" spans="1:43" x14ac:dyDescent="0.2">
      <c r="A5" s="1" t="s">
        <v>15</v>
      </c>
      <c r="B5" s="4">
        <f>'Residential-Cooling'!B5*Conversion!$B$3</f>
        <v>0</v>
      </c>
      <c r="C5" s="4">
        <f>'Residential-Cooling'!C5*Conversion!$B$3</f>
        <v>0</v>
      </c>
      <c r="D5" s="4">
        <f>'Residential-Cooling'!D5*Conversion!$B$3</f>
        <v>0</v>
      </c>
      <c r="E5" s="4">
        <f>'Residential-Cooling'!E5*Conversion!$B$3</f>
        <v>0</v>
      </c>
      <c r="F5" s="4">
        <f>'Residential-Cooling'!F5*Conversion!$B$3</f>
        <v>0</v>
      </c>
      <c r="G5" s="4">
        <f>'Residential-Cooling'!G5*Conversion!$B$3</f>
        <v>0</v>
      </c>
      <c r="H5" s="4">
        <f>'Residential-Cooling'!H5*Conversion!$B$3</f>
        <v>0</v>
      </c>
      <c r="I5" s="4">
        <f>'Residential-Cooling'!I5*Conversion!$B$3</f>
        <v>0</v>
      </c>
      <c r="J5" s="4">
        <f>'Residential-Cooling'!J5*Conversion!$B$3</f>
        <v>0</v>
      </c>
      <c r="K5" s="4">
        <f>'Residential-Cooling'!K5*Conversion!$B$3</f>
        <v>0</v>
      </c>
      <c r="L5" s="4">
        <f>'Residential-Cooling'!L5*Conversion!$B$3</f>
        <v>0</v>
      </c>
      <c r="M5" s="4">
        <f>'Residential-Cooling'!M5*Conversion!$B$3</f>
        <v>0</v>
      </c>
      <c r="N5" s="4">
        <f>'Residential-Cooling'!N5*Conversion!$B$3</f>
        <v>0</v>
      </c>
      <c r="O5" s="4">
        <f>'Residential-Cooling'!O5*Conversion!$B$3</f>
        <v>0</v>
      </c>
      <c r="P5" s="4">
        <f>'Residential-Cooling'!P5*Conversion!$B$3</f>
        <v>0</v>
      </c>
      <c r="Q5" s="4">
        <f>'Residential-Cooling'!Q5*Conversion!$B$3</f>
        <v>0</v>
      </c>
      <c r="R5" s="4">
        <f>'Residential-Cooling'!R5*Conversion!$B$3</f>
        <v>0</v>
      </c>
      <c r="S5" s="4">
        <f>'Residential-Cooling'!S5*Conversion!$B$3</f>
        <v>0</v>
      </c>
      <c r="T5" s="4">
        <f>'Residential-Cooling'!T5*Conversion!$B$3</f>
        <v>0</v>
      </c>
      <c r="U5" s="4">
        <f>'Residential-Cooling'!U5*Conversion!$B$3</f>
        <v>0</v>
      </c>
      <c r="V5" s="4">
        <f>'Residential-Cooling'!V5*Conversion!$B$3</f>
        <v>0</v>
      </c>
      <c r="W5" s="4">
        <f>'Residential-Cooling'!W5*Conversion!$B$3</f>
        <v>0</v>
      </c>
      <c r="X5" s="4">
        <f>'Residential-Cooling'!X5*Conversion!$B$3</f>
        <v>0</v>
      </c>
      <c r="Y5" s="4">
        <f>'Residential-Cooling'!Y5*Conversion!$B$3</f>
        <v>0</v>
      </c>
      <c r="Z5" s="4">
        <f>'Residential-Cooling'!Z5*Conversion!$B$3</f>
        <v>0</v>
      </c>
      <c r="AA5" s="4">
        <f>'Residential-Cooling'!AA5*Conversion!$B$3</f>
        <v>0</v>
      </c>
      <c r="AB5" s="4">
        <f>'Residential-Cooling'!AB5*Conversion!$B$3</f>
        <v>0</v>
      </c>
      <c r="AC5" s="4">
        <f>'Residential-Cooling'!AC5*Conversion!$B$3</f>
        <v>0</v>
      </c>
      <c r="AD5" s="4">
        <f>'Residential-Cooling'!AD5*Conversion!$B$3</f>
        <v>0</v>
      </c>
      <c r="AE5" s="4">
        <f>'Residential-Cooling'!AE5*Conversion!$B$3</f>
        <v>0</v>
      </c>
      <c r="AF5" s="4">
        <f>'Residential-Cooling'!AF5*Conversion!$B$3</f>
        <v>0</v>
      </c>
      <c r="AG5" s="4">
        <f>'Residential-Cooling'!AG5*Conversion!$B$3</f>
        <v>0</v>
      </c>
      <c r="AH5" s="4">
        <f>'Residential-Cooling'!AH5*Conversion!$B$3</f>
        <v>0</v>
      </c>
      <c r="AI5" s="4">
        <f>'Residential-Cooling'!AI5*Conversion!$B$3</f>
        <v>0</v>
      </c>
      <c r="AJ5" s="4">
        <f>'Residential-Cooling'!AJ5*Conversion!$B$3</f>
        <v>0</v>
      </c>
      <c r="AK5" s="4">
        <f>'Residential-Cooling'!AK5*Conversion!$B$3</f>
        <v>0</v>
      </c>
      <c r="AL5" s="4">
        <f>'Residential-Cooling'!AL5*Conversion!$B$3</f>
        <v>0</v>
      </c>
      <c r="AM5" s="4">
        <f>'Residential-Cooling'!AM5*Conversion!$B$3</f>
        <v>0</v>
      </c>
      <c r="AN5" s="4">
        <f>'Residential-Cooling'!AN5*Conversion!$B$3</f>
        <v>0</v>
      </c>
      <c r="AO5" s="4">
        <f>'Residential-Cooling'!AO5*Conversion!$B$3</f>
        <v>0</v>
      </c>
      <c r="AP5" s="4">
        <f>'Residential-Cooling'!AP5*Conversion!$B$3</f>
        <v>0</v>
      </c>
      <c r="AQ5" s="4">
        <f>'Residential-Cooling'!AQ5*Conversion!$B$3</f>
        <v>0</v>
      </c>
    </row>
    <row r="6" spans="1:43" x14ac:dyDescent="0.2">
      <c r="A6" s="1" t="s">
        <v>16</v>
      </c>
      <c r="B6" s="4">
        <f>'Residential-Cooling'!B6*Conversion!$B$3</f>
        <v>0</v>
      </c>
      <c r="C6" s="4">
        <f>'Residential-Cooling'!C6*Conversion!$B$3</f>
        <v>0</v>
      </c>
      <c r="D6" s="4">
        <f>'Residential-Cooling'!D6*Conversion!$B$3</f>
        <v>0</v>
      </c>
      <c r="E6" s="4">
        <f>'Residential-Cooling'!E6*Conversion!$B$3</f>
        <v>0</v>
      </c>
      <c r="F6" s="4">
        <f>'Residential-Cooling'!F6*Conversion!$B$3</f>
        <v>0</v>
      </c>
      <c r="G6" s="4">
        <f>'Residential-Cooling'!G6*Conversion!$B$3</f>
        <v>0</v>
      </c>
      <c r="H6" s="4">
        <f>'Residential-Cooling'!H6*Conversion!$B$3</f>
        <v>0</v>
      </c>
      <c r="I6" s="4">
        <f>'Residential-Cooling'!I6*Conversion!$B$3</f>
        <v>0</v>
      </c>
      <c r="J6" s="4">
        <f>'Residential-Cooling'!J6*Conversion!$B$3</f>
        <v>0</v>
      </c>
      <c r="K6" s="4">
        <f>'Residential-Cooling'!K6*Conversion!$B$3</f>
        <v>0</v>
      </c>
      <c r="L6" s="4">
        <f>'Residential-Cooling'!L6*Conversion!$B$3</f>
        <v>0</v>
      </c>
      <c r="M6" s="4">
        <f>'Residential-Cooling'!M6*Conversion!$B$3</f>
        <v>0</v>
      </c>
      <c r="N6" s="4">
        <f>'Residential-Cooling'!N6*Conversion!$B$3</f>
        <v>0</v>
      </c>
      <c r="O6" s="4">
        <f>'Residential-Cooling'!O6*Conversion!$B$3</f>
        <v>0</v>
      </c>
      <c r="P6" s="4">
        <f>'Residential-Cooling'!P6*Conversion!$B$3</f>
        <v>0</v>
      </c>
      <c r="Q6" s="4">
        <f>'Residential-Cooling'!Q6*Conversion!$B$3</f>
        <v>0</v>
      </c>
      <c r="R6" s="4">
        <f>'Residential-Cooling'!R6*Conversion!$B$3</f>
        <v>0</v>
      </c>
      <c r="S6" s="4">
        <f>'Residential-Cooling'!S6*Conversion!$B$3</f>
        <v>0</v>
      </c>
      <c r="T6" s="4">
        <f>'Residential-Cooling'!T6*Conversion!$B$3</f>
        <v>0</v>
      </c>
      <c r="U6" s="4">
        <f>'Residential-Cooling'!U6*Conversion!$B$3</f>
        <v>0</v>
      </c>
      <c r="V6" s="4">
        <f>'Residential-Cooling'!V6*Conversion!$B$3</f>
        <v>0</v>
      </c>
      <c r="W6" s="4">
        <f>'Residential-Cooling'!W6*Conversion!$B$3</f>
        <v>0</v>
      </c>
      <c r="X6" s="4">
        <f>'Residential-Cooling'!X6*Conversion!$B$3</f>
        <v>0</v>
      </c>
      <c r="Y6" s="4">
        <f>'Residential-Cooling'!Y6*Conversion!$B$3</f>
        <v>0</v>
      </c>
      <c r="Z6" s="4">
        <f>'Residential-Cooling'!Z6*Conversion!$B$3</f>
        <v>0</v>
      </c>
      <c r="AA6" s="4">
        <f>'Residential-Cooling'!AA6*Conversion!$B$3</f>
        <v>0</v>
      </c>
      <c r="AB6" s="4">
        <f>'Residential-Cooling'!AB6*Conversion!$B$3</f>
        <v>0</v>
      </c>
      <c r="AC6" s="4">
        <f>'Residential-Cooling'!AC6*Conversion!$B$3</f>
        <v>0</v>
      </c>
      <c r="AD6" s="4">
        <f>'Residential-Cooling'!AD6*Conversion!$B$3</f>
        <v>0</v>
      </c>
      <c r="AE6" s="4">
        <f>'Residential-Cooling'!AE6*Conversion!$B$3</f>
        <v>0</v>
      </c>
      <c r="AF6" s="4">
        <f>'Residential-Cooling'!AF6*Conversion!$B$3</f>
        <v>0</v>
      </c>
      <c r="AG6" s="4">
        <f>'Residential-Cooling'!AG6*Conversion!$B$3</f>
        <v>0</v>
      </c>
      <c r="AH6" s="4">
        <f>'Residential-Cooling'!AH6*Conversion!$B$3</f>
        <v>0</v>
      </c>
      <c r="AI6" s="4">
        <f>'Residential-Cooling'!AI6*Conversion!$B$3</f>
        <v>0</v>
      </c>
      <c r="AJ6" s="4">
        <f>'Residential-Cooling'!AJ6*Conversion!$B$3</f>
        <v>0</v>
      </c>
      <c r="AK6" s="4">
        <f>'Residential-Cooling'!AK6*Conversion!$B$3</f>
        <v>0</v>
      </c>
      <c r="AL6" s="4">
        <f>'Residential-Cooling'!AL6*Conversion!$B$3</f>
        <v>0</v>
      </c>
      <c r="AM6" s="4">
        <f>'Residential-Cooling'!AM6*Conversion!$B$3</f>
        <v>0</v>
      </c>
      <c r="AN6" s="4">
        <f>'Residential-Cooling'!AN6*Conversion!$B$3</f>
        <v>0</v>
      </c>
      <c r="AO6" s="4">
        <f>'Residential-Cooling'!AO6*Conversion!$B$3</f>
        <v>0</v>
      </c>
      <c r="AP6" s="4">
        <f>'Residential-Cooling'!AP6*Conversion!$B$3</f>
        <v>0</v>
      </c>
      <c r="AQ6" s="4">
        <f>'Residential-Cooling'!AQ6*Conversion!$B$3</f>
        <v>0</v>
      </c>
    </row>
    <row r="7" spans="1:43" x14ac:dyDescent="0.2">
      <c r="A7" s="1" t="s">
        <v>17</v>
      </c>
      <c r="B7" s="4">
        <f>'Residential-Cooling'!B7*Conversion!$B$3</f>
        <v>0</v>
      </c>
      <c r="C7" s="4">
        <f>'Residential-Cooling'!C7*Conversion!$B$3</f>
        <v>0</v>
      </c>
      <c r="D7" s="4">
        <f>'Residential-Cooling'!D7*Conversion!$B$3</f>
        <v>0</v>
      </c>
      <c r="E7" s="4">
        <f>'Residential-Cooling'!E7*Conversion!$B$3</f>
        <v>0</v>
      </c>
      <c r="F7" s="4">
        <f>'Residential-Cooling'!F7*Conversion!$B$3</f>
        <v>0</v>
      </c>
      <c r="G7" s="4">
        <f>'Residential-Cooling'!G7*Conversion!$B$3</f>
        <v>0</v>
      </c>
      <c r="H7" s="4">
        <f>'Residential-Cooling'!H7*Conversion!$B$3</f>
        <v>0</v>
      </c>
      <c r="I7" s="4">
        <f>'Residential-Cooling'!I7*Conversion!$B$3</f>
        <v>0</v>
      </c>
      <c r="J7" s="4">
        <f>'Residential-Cooling'!J7*Conversion!$B$3</f>
        <v>0</v>
      </c>
      <c r="K7" s="4">
        <f>'Residential-Cooling'!K7*Conversion!$B$3</f>
        <v>0</v>
      </c>
      <c r="L7" s="4">
        <f>'Residential-Cooling'!L7*Conversion!$B$3</f>
        <v>0</v>
      </c>
      <c r="M7" s="4">
        <f>'Residential-Cooling'!M7*Conversion!$B$3</f>
        <v>0</v>
      </c>
      <c r="N7" s="4">
        <f>'Residential-Cooling'!N7*Conversion!$B$3</f>
        <v>0</v>
      </c>
      <c r="O7" s="4">
        <f>'Residential-Cooling'!O7*Conversion!$B$3</f>
        <v>0</v>
      </c>
      <c r="P7" s="4">
        <f>'Residential-Cooling'!P7*Conversion!$B$3</f>
        <v>0</v>
      </c>
      <c r="Q7" s="4">
        <f>'Residential-Cooling'!Q7*Conversion!$B$3</f>
        <v>0</v>
      </c>
      <c r="R7" s="4">
        <f>'Residential-Cooling'!R7*Conversion!$B$3</f>
        <v>0</v>
      </c>
      <c r="S7" s="4">
        <f>'Residential-Cooling'!S7*Conversion!$B$3</f>
        <v>0</v>
      </c>
      <c r="T7" s="4">
        <f>'Residential-Cooling'!T7*Conversion!$B$3</f>
        <v>0</v>
      </c>
      <c r="U7" s="4">
        <f>'Residential-Cooling'!U7*Conversion!$B$3</f>
        <v>0</v>
      </c>
      <c r="V7" s="4">
        <f>'Residential-Cooling'!V7*Conversion!$B$3</f>
        <v>0</v>
      </c>
      <c r="W7" s="4">
        <f>'Residential-Cooling'!W7*Conversion!$B$3</f>
        <v>0</v>
      </c>
      <c r="X7" s="4">
        <f>'Residential-Cooling'!X7*Conversion!$B$3</f>
        <v>0</v>
      </c>
      <c r="Y7" s="4">
        <f>'Residential-Cooling'!Y7*Conversion!$B$3</f>
        <v>0</v>
      </c>
      <c r="Z7" s="4">
        <f>'Residential-Cooling'!Z7*Conversion!$B$3</f>
        <v>0</v>
      </c>
      <c r="AA7" s="4">
        <f>'Residential-Cooling'!AA7*Conversion!$B$3</f>
        <v>0</v>
      </c>
      <c r="AB7" s="4">
        <f>'Residential-Cooling'!AB7*Conversion!$B$3</f>
        <v>0</v>
      </c>
      <c r="AC7" s="4">
        <f>'Residential-Cooling'!AC7*Conversion!$B$3</f>
        <v>0</v>
      </c>
      <c r="AD7" s="4">
        <f>'Residential-Cooling'!AD7*Conversion!$B$3</f>
        <v>0</v>
      </c>
      <c r="AE7" s="4">
        <f>'Residential-Cooling'!AE7*Conversion!$B$3</f>
        <v>0</v>
      </c>
      <c r="AF7" s="4">
        <f>'Residential-Cooling'!AF7*Conversion!$B$3</f>
        <v>0</v>
      </c>
      <c r="AG7" s="4">
        <f>'Residential-Cooling'!AG7*Conversion!$B$3</f>
        <v>0</v>
      </c>
      <c r="AH7" s="4">
        <f>'Residential-Cooling'!AH7*Conversion!$B$3</f>
        <v>0</v>
      </c>
      <c r="AI7" s="4">
        <f>'Residential-Cooling'!AI7*Conversion!$B$3</f>
        <v>0</v>
      </c>
      <c r="AJ7" s="4">
        <f>'Residential-Cooling'!AJ7*Conversion!$B$3</f>
        <v>0</v>
      </c>
      <c r="AK7" s="4">
        <f>'Residential-Cooling'!AK7*Conversion!$B$3</f>
        <v>0</v>
      </c>
      <c r="AL7" s="4">
        <f>'Residential-Cooling'!AL7*Conversion!$B$3</f>
        <v>0</v>
      </c>
      <c r="AM7" s="4">
        <f>'Residential-Cooling'!AM7*Conversion!$B$3</f>
        <v>0</v>
      </c>
      <c r="AN7" s="4">
        <f>'Residential-Cooling'!AN7*Conversion!$B$3</f>
        <v>0</v>
      </c>
      <c r="AO7" s="4">
        <f>'Residential-Cooling'!AO7*Conversion!$B$3</f>
        <v>0</v>
      </c>
      <c r="AP7" s="4">
        <f>'Residential-Cooling'!AP7*Conversion!$B$3</f>
        <v>0</v>
      </c>
      <c r="AQ7" s="4">
        <f>'Residential-Cooling'!AQ7*Conversion!$B$3</f>
        <v>0</v>
      </c>
    </row>
    <row r="8" spans="1:43" x14ac:dyDescent="0.2">
      <c r="A8" s="1" t="s">
        <v>18</v>
      </c>
      <c r="B8" s="4">
        <f>'Residential-Cooling'!B8*Conversion!$B$3</f>
        <v>0</v>
      </c>
      <c r="C8" s="4">
        <f>'Residential-Cooling'!C8*Conversion!$B$3</f>
        <v>0</v>
      </c>
      <c r="D8" s="4">
        <f>'Residential-Cooling'!D8*Conversion!$B$3</f>
        <v>0</v>
      </c>
      <c r="E8" s="4">
        <f>'Residential-Cooling'!E8*Conversion!$B$3</f>
        <v>0</v>
      </c>
      <c r="F8" s="4">
        <f>'Residential-Cooling'!F8*Conversion!$B$3</f>
        <v>0</v>
      </c>
      <c r="G8" s="4">
        <f>'Residential-Cooling'!G8*Conversion!$B$3</f>
        <v>0</v>
      </c>
      <c r="H8" s="4">
        <f>'Residential-Cooling'!H8*Conversion!$B$3</f>
        <v>0</v>
      </c>
      <c r="I8" s="4">
        <f>'Residential-Cooling'!I8*Conversion!$B$3</f>
        <v>0</v>
      </c>
      <c r="J8" s="4">
        <f>'Residential-Cooling'!J8*Conversion!$B$3</f>
        <v>0</v>
      </c>
      <c r="K8" s="4">
        <f>'Residential-Cooling'!K8*Conversion!$B$3</f>
        <v>0</v>
      </c>
      <c r="L8" s="4">
        <f>'Residential-Cooling'!L8*Conversion!$B$3</f>
        <v>0</v>
      </c>
      <c r="M8" s="4">
        <f>'Residential-Cooling'!M8*Conversion!$B$3</f>
        <v>0</v>
      </c>
      <c r="N8" s="4">
        <f>'Residential-Cooling'!N8*Conversion!$B$3</f>
        <v>0</v>
      </c>
      <c r="O8" s="4">
        <f>'Residential-Cooling'!O8*Conversion!$B$3</f>
        <v>0</v>
      </c>
      <c r="P8" s="4">
        <f>'Residential-Cooling'!P8*Conversion!$B$3</f>
        <v>0</v>
      </c>
      <c r="Q8" s="4">
        <f>'Residential-Cooling'!Q8*Conversion!$B$3</f>
        <v>0</v>
      </c>
      <c r="R8" s="4">
        <f>'Residential-Cooling'!R8*Conversion!$B$3</f>
        <v>0</v>
      </c>
      <c r="S8" s="4">
        <f>'Residential-Cooling'!S8*Conversion!$B$3</f>
        <v>0</v>
      </c>
      <c r="T8" s="4">
        <f>'Residential-Cooling'!T8*Conversion!$B$3</f>
        <v>0</v>
      </c>
      <c r="U8" s="4">
        <f>'Residential-Cooling'!U8*Conversion!$B$3</f>
        <v>0</v>
      </c>
      <c r="V8" s="4">
        <f>'Residential-Cooling'!V8*Conversion!$B$3</f>
        <v>0</v>
      </c>
      <c r="W8" s="4">
        <f>'Residential-Cooling'!W8*Conversion!$B$3</f>
        <v>0</v>
      </c>
      <c r="X8" s="4">
        <f>'Residential-Cooling'!X8*Conversion!$B$3</f>
        <v>0</v>
      </c>
      <c r="Y8" s="4">
        <f>'Residential-Cooling'!Y8*Conversion!$B$3</f>
        <v>0</v>
      </c>
      <c r="Z8" s="4">
        <f>'Residential-Cooling'!Z8*Conversion!$B$3</f>
        <v>0</v>
      </c>
      <c r="AA8" s="4">
        <f>'Residential-Cooling'!AA8*Conversion!$B$3</f>
        <v>0</v>
      </c>
      <c r="AB8" s="4">
        <f>'Residential-Cooling'!AB8*Conversion!$B$3</f>
        <v>0</v>
      </c>
      <c r="AC8" s="4">
        <f>'Residential-Cooling'!AC8*Conversion!$B$3</f>
        <v>0</v>
      </c>
      <c r="AD8" s="4">
        <f>'Residential-Cooling'!AD8*Conversion!$B$3</f>
        <v>0</v>
      </c>
      <c r="AE8" s="4">
        <f>'Residential-Cooling'!AE8*Conversion!$B$3</f>
        <v>0</v>
      </c>
      <c r="AF8" s="4">
        <f>'Residential-Cooling'!AF8*Conversion!$B$3</f>
        <v>0</v>
      </c>
      <c r="AG8" s="4">
        <f>'Residential-Cooling'!AG8*Conversion!$B$3</f>
        <v>0</v>
      </c>
      <c r="AH8" s="4">
        <f>'Residential-Cooling'!AH8*Conversion!$B$3</f>
        <v>0</v>
      </c>
      <c r="AI8" s="4">
        <f>'Residential-Cooling'!AI8*Conversion!$B$3</f>
        <v>0</v>
      </c>
      <c r="AJ8" s="4">
        <f>'Residential-Cooling'!AJ8*Conversion!$B$3</f>
        <v>0</v>
      </c>
      <c r="AK8" s="4">
        <f>'Residential-Cooling'!AK8*Conversion!$B$3</f>
        <v>0</v>
      </c>
      <c r="AL8" s="4">
        <f>'Residential-Cooling'!AL8*Conversion!$B$3</f>
        <v>0</v>
      </c>
      <c r="AM8" s="4">
        <f>'Residential-Cooling'!AM8*Conversion!$B$3</f>
        <v>0</v>
      </c>
      <c r="AN8" s="4">
        <f>'Residential-Cooling'!AN8*Conversion!$B$3</f>
        <v>0</v>
      </c>
      <c r="AO8" s="4">
        <f>'Residential-Cooling'!AO8*Conversion!$B$3</f>
        <v>0</v>
      </c>
      <c r="AP8" s="4">
        <f>'Residential-Cooling'!AP8*Conversion!$B$3</f>
        <v>0</v>
      </c>
      <c r="AQ8" s="4">
        <f>'Residential-Cooling'!AQ8*Conversion!$B$3</f>
        <v>0</v>
      </c>
    </row>
    <row r="9" spans="1:43" x14ac:dyDescent="0.2">
      <c r="A9" s="1" t="s">
        <v>19</v>
      </c>
      <c r="B9" s="4">
        <f>'Residential-Cooling'!B9*Conversion!$B$3</f>
        <v>0</v>
      </c>
      <c r="C9" s="4">
        <f>'Residential-Cooling'!C9*Conversion!$B$3</f>
        <v>0</v>
      </c>
      <c r="D9" s="4">
        <f>'Residential-Cooling'!D9*Conversion!$B$3</f>
        <v>0</v>
      </c>
      <c r="E9" s="4">
        <f>'Residential-Cooling'!E9*Conversion!$B$3</f>
        <v>0</v>
      </c>
      <c r="F9" s="4">
        <f>'Residential-Cooling'!F9*Conversion!$B$3</f>
        <v>0</v>
      </c>
      <c r="G9" s="4">
        <f>'Residential-Cooling'!G9*Conversion!$B$3</f>
        <v>0</v>
      </c>
      <c r="H9" s="4">
        <f>'Residential-Cooling'!H9*Conversion!$B$3</f>
        <v>0</v>
      </c>
      <c r="I9" s="4">
        <f>'Residential-Cooling'!I9*Conversion!$B$3</f>
        <v>0</v>
      </c>
      <c r="J9" s="4">
        <f>'Residential-Cooling'!J9*Conversion!$B$3</f>
        <v>0</v>
      </c>
      <c r="K9" s="4">
        <f>'Residential-Cooling'!K9*Conversion!$B$3</f>
        <v>0</v>
      </c>
      <c r="L9" s="4">
        <f>'Residential-Cooling'!L9*Conversion!$B$3</f>
        <v>0</v>
      </c>
      <c r="M9" s="4">
        <f>'Residential-Cooling'!M9*Conversion!$B$3</f>
        <v>0</v>
      </c>
      <c r="N9" s="4">
        <f>'Residential-Cooling'!N9*Conversion!$B$3</f>
        <v>0</v>
      </c>
      <c r="O9" s="4">
        <f>'Residential-Cooling'!O9*Conversion!$B$3</f>
        <v>0</v>
      </c>
      <c r="P9" s="4">
        <f>'Residential-Cooling'!P9*Conversion!$B$3</f>
        <v>0</v>
      </c>
      <c r="Q9" s="4">
        <f>'Residential-Cooling'!Q9*Conversion!$B$3</f>
        <v>0</v>
      </c>
      <c r="R9" s="4">
        <f>'Residential-Cooling'!R9*Conversion!$B$3</f>
        <v>0</v>
      </c>
      <c r="S9" s="4">
        <f>'Residential-Cooling'!S9*Conversion!$B$3</f>
        <v>0</v>
      </c>
      <c r="T9" s="4">
        <f>'Residential-Cooling'!T9*Conversion!$B$3</f>
        <v>0</v>
      </c>
      <c r="U9" s="4">
        <f>'Residential-Cooling'!U9*Conversion!$B$3</f>
        <v>0</v>
      </c>
      <c r="V9" s="4">
        <f>'Residential-Cooling'!V9*Conversion!$B$3</f>
        <v>0</v>
      </c>
      <c r="W9" s="4">
        <f>'Residential-Cooling'!W9*Conversion!$B$3</f>
        <v>0</v>
      </c>
      <c r="X9" s="4">
        <f>'Residential-Cooling'!X9*Conversion!$B$3</f>
        <v>0</v>
      </c>
      <c r="Y9" s="4">
        <f>'Residential-Cooling'!Y9*Conversion!$B$3</f>
        <v>0</v>
      </c>
      <c r="Z9" s="4">
        <f>'Residential-Cooling'!Z9*Conversion!$B$3</f>
        <v>0</v>
      </c>
      <c r="AA9" s="4">
        <f>'Residential-Cooling'!AA9*Conversion!$B$3</f>
        <v>0</v>
      </c>
      <c r="AB9" s="4">
        <f>'Residential-Cooling'!AB9*Conversion!$B$3</f>
        <v>0</v>
      </c>
      <c r="AC9" s="4">
        <f>'Residential-Cooling'!AC9*Conversion!$B$3</f>
        <v>0</v>
      </c>
      <c r="AD9" s="4">
        <f>'Residential-Cooling'!AD9*Conversion!$B$3</f>
        <v>0</v>
      </c>
      <c r="AE9" s="4">
        <f>'Residential-Cooling'!AE9*Conversion!$B$3</f>
        <v>0</v>
      </c>
      <c r="AF9" s="4">
        <f>'Residential-Cooling'!AF9*Conversion!$B$3</f>
        <v>0</v>
      </c>
      <c r="AG9" s="4">
        <f>'Residential-Cooling'!AG9*Conversion!$B$3</f>
        <v>0</v>
      </c>
      <c r="AH9" s="4">
        <f>'Residential-Cooling'!AH9*Conversion!$B$3</f>
        <v>0</v>
      </c>
      <c r="AI9" s="4">
        <f>'Residential-Cooling'!AI9*Conversion!$B$3</f>
        <v>0</v>
      </c>
      <c r="AJ9" s="4">
        <f>'Residential-Cooling'!AJ9*Conversion!$B$3</f>
        <v>0</v>
      </c>
      <c r="AK9" s="4">
        <f>'Residential-Cooling'!AK9*Conversion!$B$3</f>
        <v>0</v>
      </c>
      <c r="AL9" s="4">
        <f>'Residential-Cooling'!AL9*Conversion!$B$3</f>
        <v>0</v>
      </c>
      <c r="AM9" s="4">
        <f>'Residential-Cooling'!AM9*Conversion!$B$3</f>
        <v>0</v>
      </c>
      <c r="AN9" s="4">
        <f>'Residential-Cooling'!AN9*Conversion!$B$3</f>
        <v>0</v>
      </c>
      <c r="AO9" s="4">
        <f>'Residential-Cooling'!AO9*Conversion!$B$3</f>
        <v>0</v>
      </c>
      <c r="AP9" s="4">
        <f>'Residential-Cooling'!AP9*Conversion!$B$3</f>
        <v>0</v>
      </c>
      <c r="AQ9" s="4">
        <f>'Residential-Cooling'!AQ9*Conversion!$B$3</f>
        <v>0</v>
      </c>
    </row>
    <row r="10" spans="1:43" x14ac:dyDescent="0.2">
      <c r="A10" s="1" t="s">
        <v>20</v>
      </c>
      <c r="B10" s="4">
        <f>'Residential-Cooling'!B10*Conversion!$B$3</f>
        <v>0</v>
      </c>
      <c r="C10" s="4">
        <f>'Residential-Cooling'!C10*Conversion!$B$3</f>
        <v>0</v>
      </c>
      <c r="D10" s="4">
        <f>'Residential-Cooling'!D10*Conversion!$B$3</f>
        <v>0</v>
      </c>
      <c r="E10" s="4">
        <f>'Residential-Cooling'!E10*Conversion!$B$3</f>
        <v>0</v>
      </c>
      <c r="F10" s="4">
        <f>'Residential-Cooling'!F10*Conversion!$B$3</f>
        <v>0</v>
      </c>
      <c r="G10" s="4">
        <f>'Residential-Cooling'!G10*Conversion!$B$3</f>
        <v>0</v>
      </c>
      <c r="H10" s="4">
        <f>'Residential-Cooling'!H10*Conversion!$B$3</f>
        <v>0</v>
      </c>
      <c r="I10" s="4">
        <f>'Residential-Cooling'!I10*Conversion!$B$3</f>
        <v>0</v>
      </c>
      <c r="J10" s="4">
        <f>'Residential-Cooling'!J10*Conversion!$B$3</f>
        <v>0</v>
      </c>
      <c r="K10" s="4">
        <f>'Residential-Cooling'!K10*Conversion!$B$3</f>
        <v>0</v>
      </c>
      <c r="L10" s="4">
        <f>'Residential-Cooling'!L10*Conversion!$B$3</f>
        <v>0</v>
      </c>
      <c r="M10" s="4">
        <f>'Residential-Cooling'!M10*Conversion!$B$3</f>
        <v>0</v>
      </c>
      <c r="N10" s="4">
        <f>'Residential-Cooling'!N10*Conversion!$B$3</f>
        <v>0</v>
      </c>
      <c r="O10" s="4">
        <f>'Residential-Cooling'!O10*Conversion!$B$3</f>
        <v>0</v>
      </c>
      <c r="P10" s="4">
        <f>'Residential-Cooling'!P10*Conversion!$B$3</f>
        <v>0</v>
      </c>
      <c r="Q10" s="4">
        <f>'Residential-Cooling'!Q10*Conversion!$B$3</f>
        <v>0</v>
      </c>
      <c r="R10" s="4">
        <f>'Residential-Cooling'!R10*Conversion!$B$3</f>
        <v>0</v>
      </c>
      <c r="S10" s="4">
        <f>'Residential-Cooling'!S10*Conversion!$B$3</f>
        <v>0</v>
      </c>
      <c r="T10" s="4">
        <f>'Residential-Cooling'!T10*Conversion!$B$3</f>
        <v>0</v>
      </c>
      <c r="U10" s="4">
        <f>'Residential-Cooling'!U10*Conversion!$B$3</f>
        <v>0</v>
      </c>
      <c r="V10" s="4">
        <f>'Residential-Cooling'!V10*Conversion!$B$3</f>
        <v>0</v>
      </c>
      <c r="W10" s="4">
        <f>'Residential-Cooling'!W10*Conversion!$B$3</f>
        <v>0</v>
      </c>
      <c r="X10" s="4">
        <f>'Residential-Cooling'!X10*Conversion!$B$3</f>
        <v>0</v>
      </c>
      <c r="Y10" s="4">
        <f>'Residential-Cooling'!Y10*Conversion!$B$3</f>
        <v>0</v>
      </c>
      <c r="Z10" s="4">
        <f>'Residential-Cooling'!Z10*Conversion!$B$3</f>
        <v>0</v>
      </c>
      <c r="AA10" s="4">
        <f>'Residential-Cooling'!AA10*Conversion!$B$3</f>
        <v>0</v>
      </c>
      <c r="AB10" s="4">
        <f>'Residential-Cooling'!AB10*Conversion!$B$3</f>
        <v>0</v>
      </c>
      <c r="AC10" s="4">
        <f>'Residential-Cooling'!AC10*Conversion!$B$3</f>
        <v>0</v>
      </c>
      <c r="AD10" s="4">
        <f>'Residential-Cooling'!AD10*Conversion!$B$3</f>
        <v>0</v>
      </c>
      <c r="AE10" s="4">
        <f>'Residential-Cooling'!AE10*Conversion!$B$3</f>
        <v>0</v>
      </c>
      <c r="AF10" s="4">
        <f>'Residential-Cooling'!AF10*Conversion!$B$3</f>
        <v>0</v>
      </c>
      <c r="AG10" s="4">
        <f>'Residential-Cooling'!AG10*Conversion!$B$3</f>
        <v>0</v>
      </c>
      <c r="AH10" s="4">
        <f>'Residential-Cooling'!AH10*Conversion!$B$3</f>
        <v>0</v>
      </c>
      <c r="AI10" s="4">
        <f>'Residential-Cooling'!AI10*Conversion!$B$3</f>
        <v>0</v>
      </c>
      <c r="AJ10" s="4">
        <f>'Residential-Cooling'!AJ10*Conversion!$B$3</f>
        <v>0</v>
      </c>
      <c r="AK10" s="4">
        <f>'Residential-Cooling'!AK10*Conversion!$B$3</f>
        <v>0</v>
      </c>
      <c r="AL10" s="4">
        <f>'Residential-Cooling'!AL10*Conversion!$B$3</f>
        <v>0</v>
      </c>
      <c r="AM10" s="4">
        <f>'Residential-Cooling'!AM10*Conversion!$B$3</f>
        <v>0</v>
      </c>
      <c r="AN10" s="4">
        <f>'Residential-Cooling'!AN10*Conversion!$B$3</f>
        <v>0</v>
      </c>
      <c r="AO10" s="4">
        <f>'Residential-Cooling'!AO10*Conversion!$B$3</f>
        <v>0</v>
      </c>
      <c r="AP10" s="4">
        <f>'Residential-Cooling'!AP10*Conversion!$B$3</f>
        <v>0</v>
      </c>
      <c r="AQ10" s="4">
        <f>'Residential-Cooling'!AQ10*Conversion!$B$3</f>
        <v>0</v>
      </c>
    </row>
    <row r="11" spans="1:43" x14ac:dyDescent="0.2">
      <c r="A11" s="1" t="s">
        <v>21</v>
      </c>
      <c r="B11" s="4">
        <f>'Residential-Cooling'!B11*Conversion!$B$3</f>
        <v>0</v>
      </c>
      <c r="C11" s="4">
        <f>'Residential-Cooling'!C11*Conversion!$B$3</f>
        <v>0</v>
      </c>
      <c r="D11" s="4">
        <f>'Residential-Cooling'!D11*Conversion!$B$3</f>
        <v>0</v>
      </c>
      <c r="E11" s="4">
        <f>'Residential-Cooling'!E11*Conversion!$B$3</f>
        <v>0</v>
      </c>
      <c r="F11" s="4">
        <f>'Residential-Cooling'!F11*Conversion!$B$3</f>
        <v>0</v>
      </c>
      <c r="G11" s="4">
        <f>'Residential-Cooling'!G11*Conversion!$B$3</f>
        <v>0</v>
      </c>
      <c r="H11" s="4">
        <f>'Residential-Cooling'!H11*Conversion!$B$3</f>
        <v>0</v>
      </c>
      <c r="I11" s="4">
        <f>'Residential-Cooling'!I11*Conversion!$B$3</f>
        <v>0</v>
      </c>
      <c r="J11" s="4">
        <f>'Residential-Cooling'!J11*Conversion!$B$3</f>
        <v>0</v>
      </c>
      <c r="K11" s="4">
        <f>'Residential-Cooling'!K11*Conversion!$B$3</f>
        <v>0</v>
      </c>
      <c r="L11" s="4">
        <f>'Residential-Cooling'!L11*Conversion!$B$3</f>
        <v>0</v>
      </c>
      <c r="M11" s="4">
        <f>'Residential-Cooling'!M11*Conversion!$B$3</f>
        <v>0</v>
      </c>
      <c r="N11" s="4">
        <f>'Residential-Cooling'!N11*Conversion!$B$3</f>
        <v>0</v>
      </c>
      <c r="O11" s="4">
        <f>'Residential-Cooling'!O11*Conversion!$B$3</f>
        <v>0</v>
      </c>
      <c r="P11" s="4">
        <f>'Residential-Cooling'!P11*Conversion!$B$3</f>
        <v>0</v>
      </c>
      <c r="Q11" s="4">
        <f>'Residential-Cooling'!Q11*Conversion!$B$3</f>
        <v>0</v>
      </c>
      <c r="R11" s="4">
        <f>'Residential-Cooling'!R11*Conversion!$B$3</f>
        <v>0</v>
      </c>
      <c r="S11" s="4">
        <f>'Residential-Cooling'!S11*Conversion!$B$3</f>
        <v>0</v>
      </c>
      <c r="T11" s="4">
        <f>'Residential-Cooling'!T11*Conversion!$B$3</f>
        <v>0</v>
      </c>
      <c r="U11" s="4">
        <f>'Residential-Cooling'!U11*Conversion!$B$3</f>
        <v>0</v>
      </c>
      <c r="V11" s="4">
        <f>'Residential-Cooling'!V11*Conversion!$B$3</f>
        <v>0</v>
      </c>
      <c r="W11" s="4">
        <f>'Residential-Cooling'!W11*Conversion!$B$3</f>
        <v>0</v>
      </c>
      <c r="X11" s="4">
        <f>'Residential-Cooling'!X11*Conversion!$B$3</f>
        <v>0</v>
      </c>
      <c r="Y11" s="4">
        <f>'Residential-Cooling'!Y11*Conversion!$B$3</f>
        <v>0</v>
      </c>
      <c r="Z11" s="4">
        <f>'Residential-Cooling'!Z11*Conversion!$B$3</f>
        <v>0</v>
      </c>
      <c r="AA11" s="4">
        <f>'Residential-Cooling'!AA11*Conversion!$B$3</f>
        <v>0</v>
      </c>
      <c r="AB11" s="4">
        <f>'Residential-Cooling'!AB11*Conversion!$B$3</f>
        <v>0</v>
      </c>
      <c r="AC11" s="4">
        <f>'Residential-Cooling'!AC11*Conversion!$B$3</f>
        <v>0</v>
      </c>
      <c r="AD11" s="4">
        <f>'Residential-Cooling'!AD11*Conversion!$B$3</f>
        <v>0</v>
      </c>
      <c r="AE11" s="4">
        <f>'Residential-Cooling'!AE11*Conversion!$B$3</f>
        <v>0</v>
      </c>
      <c r="AF11" s="4">
        <f>'Residential-Cooling'!AF11*Conversion!$B$3</f>
        <v>0</v>
      </c>
      <c r="AG11" s="4">
        <f>'Residential-Cooling'!AG11*Conversion!$B$3</f>
        <v>0</v>
      </c>
      <c r="AH11" s="4">
        <f>'Residential-Cooling'!AH11*Conversion!$B$3</f>
        <v>0</v>
      </c>
      <c r="AI11" s="4">
        <f>'Residential-Cooling'!AI11*Conversion!$B$3</f>
        <v>0</v>
      </c>
      <c r="AJ11" s="4">
        <f>'Residential-Cooling'!AJ11*Conversion!$B$3</f>
        <v>0</v>
      </c>
      <c r="AK11" s="4">
        <f>'Residential-Cooling'!AK11*Conversion!$B$3</f>
        <v>0</v>
      </c>
      <c r="AL11" s="4">
        <f>'Residential-Cooling'!AL11*Conversion!$B$3</f>
        <v>0</v>
      </c>
      <c r="AM11" s="4">
        <f>'Residential-Cooling'!AM11*Conversion!$B$3</f>
        <v>0</v>
      </c>
      <c r="AN11" s="4">
        <f>'Residential-Cooling'!AN11*Conversion!$B$3</f>
        <v>0</v>
      </c>
      <c r="AO11" s="4">
        <f>'Residential-Cooling'!AO11*Conversion!$B$3</f>
        <v>0</v>
      </c>
      <c r="AP11" s="4">
        <f>'Residential-Cooling'!AP11*Conversion!$B$3</f>
        <v>0</v>
      </c>
      <c r="AQ11" s="4">
        <f>'Residential-Cooling'!AQ11*Conversion!$B$3</f>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01C7F-58F7-8847-A99E-EAD1413BFABA}">
  <sheetPr>
    <tabColor theme="3" tint="0.249977111117893"/>
  </sheetPr>
  <dimension ref="A1:AQ11"/>
  <sheetViews>
    <sheetView workbookViewId="0">
      <selection activeCell="A8" sqref="A8"/>
    </sheetView>
  </sheetViews>
  <sheetFormatPr baseColWidth="10" defaultRowHeight="16" x14ac:dyDescent="0.2"/>
  <sheetData>
    <row r="1" spans="1:4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row>
    <row r="2" spans="1:43" x14ac:dyDescent="0.2">
      <c r="A2" s="1" t="s">
        <v>12</v>
      </c>
      <c r="B2" s="15">
        <f>'Residential-lighting'!$C15*Conversion!$B$3</f>
        <v>36602914799047.523</v>
      </c>
      <c r="C2" s="15">
        <f>'Residential-lighting'!$C16*Conversion!$B$3</f>
        <v>36865006968318.266</v>
      </c>
      <c r="D2" s="15">
        <f>'Residential-lighting'!$C17*Conversion!$B$3</f>
        <v>37127099137589.008</v>
      </c>
      <c r="E2" s="15">
        <f>'Residential-lighting'!E2*Conversion!$B$3</f>
        <v>37425465048685.914</v>
      </c>
      <c r="F2" s="4">
        <f>'Residential-lighting'!F2*Conversion!$B$3</f>
        <v>37610059158469.672</v>
      </c>
      <c r="G2" s="4">
        <f>'Residential-lighting'!G2*Conversion!$B$3</f>
        <v>37768783967780.75</v>
      </c>
      <c r="H2" s="4">
        <f>'Residential-lighting'!H2*Conversion!$B$3</f>
        <v>37911321422534.328</v>
      </c>
      <c r="I2" s="4">
        <f>'Residential-lighting'!I2*Conversion!$B$3</f>
        <v>38258309600306.688</v>
      </c>
      <c r="J2" s="4">
        <f>'Residential-lighting'!J2*Conversion!$B$3</f>
        <v>38598930937177.375</v>
      </c>
      <c r="K2" s="4">
        <f>'Residential-lighting'!K2*Conversion!$B$3</f>
        <v>38935480134785.984</v>
      </c>
      <c r="L2" s="4">
        <f>'Residential-lighting'!L2*Conversion!$B$3</f>
        <v>39269394582317.477</v>
      </c>
      <c r="M2" s="4">
        <f>'Residential-lighting'!M2*Conversion!$B$3</f>
        <v>39601573917124.422</v>
      </c>
      <c r="N2" s="4">
        <f>'Residential-lighting'!N2*Conversion!$B$3</f>
        <v>39878486592303.406</v>
      </c>
      <c r="O2" s="4">
        <f>'Residential-lighting'!O2*Conversion!$B$3</f>
        <v>40154625143352.898</v>
      </c>
      <c r="P2" s="4">
        <f>'Residential-lighting'!P2*Conversion!$B$3</f>
        <v>40430211100603.891</v>
      </c>
      <c r="Q2" s="4">
        <f>'Residential-lighting'!Q2*Conversion!$B$3</f>
        <v>40705382725932.859</v>
      </c>
      <c r="R2" s="4">
        <f>'Residential-lighting'!R2*Conversion!$B$3</f>
        <v>40980226301019.312</v>
      </c>
      <c r="S2" s="4">
        <f>'Residential-lighting'!S2*Conversion!$B$3</f>
        <v>41212596395971.25</v>
      </c>
      <c r="T2" s="4">
        <f>'Residential-lighting'!T2*Conversion!$B$3</f>
        <v>41444910591046.195</v>
      </c>
      <c r="U2" s="4">
        <f>'Residential-lighting'!U2*Conversion!$B$3</f>
        <v>41677189953644.633</v>
      </c>
      <c r="V2" s="4">
        <f>'Residential-lighting'!V2*Conversion!$B$3</f>
        <v>41909447612135.039</v>
      </c>
      <c r="W2" s="4">
        <f>'Residential-lighting'!W2*Conversion!$B$3</f>
        <v>42141691747272.18</v>
      </c>
      <c r="X2" s="4">
        <f>'Residential-lighting'!X2*Conversion!$B$3</f>
        <v>42319682594798.539</v>
      </c>
      <c r="Y2" s="4">
        <f>'Residential-lighting'!Y2*Conversion!$B$3</f>
        <v>42497668170319.656</v>
      </c>
      <c r="Z2" s="4">
        <f>'Residential-lighting'!Z2*Conversion!$B$3</f>
        <v>42675650465633.914</v>
      </c>
      <c r="AA2" s="4">
        <f>'Residential-lighting'!AA2*Conversion!$B$3</f>
        <v>42853630720062.992</v>
      </c>
      <c r="AB2" s="4">
        <f>'Residential-lighting'!AB2*Conversion!$B$3</f>
        <v>43031609704713.453</v>
      </c>
      <c r="AC2" s="4">
        <f>'Residential-lighting'!AC2*Conversion!$B$3</f>
        <v>43157541885703.039</v>
      </c>
      <c r="AD2" s="4">
        <f>'Residential-lighting'!AD2*Conversion!$B$3</f>
        <v>43283473573230.172</v>
      </c>
      <c r="AE2" s="4">
        <f>'Residential-lighting'!AE2*Conversion!$B$3</f>
        <v>43409404954134.344</v>
      </c>
      <c r="AF2" s="4">
        <f>'Residential-lighting'!AF2*Conversion!$B$3</f>
        <v>43535336144513.742</v>
      </c>
      <c r="AG2" s="4">
        <f>'Residential-lighting'!AG2*Conversion!$B$3</f>
        <v>43661267216508.75</v>
      </c>
      <c r="AH2" s="4">
        <f>'Residential-lighting'!AH2*Conversion!$B$3</f>
        <v>43661267337780.32</v>
      </c>
      <c r="AI2" s="4">
        <f>'Residential-lighting'!AI2*Conversion!$B$3</f>
        <v>43661267412912.906</v>
      </c>
      <c r="AJ2" s="4">
        <f>'Residential-lighting'!AJ2*Conversion!$B$3</f>
        <v>43661267459460.531</v>
      </c>
      <c r="AK2" s="4">
        <f>'Residential-lighting'!AK2*Conversion!$B$3</f>
        <v>43661267488298.641</v>
      </c>
      <c r="AL2" s="4">
        <f>'Residential-lighting'!AL2*Conversion!$B$3</f>
        <v>43661267506165</v>
      </c>
      <c r="AM2" s="4">
        <f>'Residential-lighting'!AM2*Conversion!$B$3</f>
        <v>43661267517233.914</v>
      </c>
      <c r="AN2" s="4">
        <f>'Residential-lighting'!AN2*Conversion!$B$3</f>
        <v>43661267524091.539</v>
      </c>
      <c r="AO2" s="4">
        <f>'Residential-lighting'!AO2*Conversion!$B$3</f>
        <v>43661267528340.133</v>
      </c>
      <c r="AP2" s="4">
        <f>'Residential-lighting'!AP2*Conversion!$B$3</f>
        <v>43661267530972.297</v>
      </c>
      <c r="AQ2" s="4">
        <f>'Residential-lighting'!AQ2*Conversion!$B$3</f>
        <v>43661267532603.023</v>
      </c>
    </row>
    <row r="3" spans="1:43" x14ac:dyDescent="0.2">
      <c r="A3" s="1" t="s">
        <v>13</v>
      </c>
      <c r="B3" s="15">
        <f>'Residential-lighting'!B3*Conversion!$B$3</f>
        <v>0</v>
      </c>
      <c r="C3" s="15">
        <f>'Residential-lighting'!C3*Conversion!$B$3</f>
        <v>0</v>
      </c>
      <c r="D3" s="15">
        <f>'Residential-lighting'!D3*Conversion!$B$3</f>
        <v>0</v>
      </c>
      <c r="E3" s="15">
        <f>'Residential-lighting'!E3*Conversion!$B$3</f>
        <v>0</v>
      </c>
      <c r="F3" s="4">
        <f>'Residential-lighting'!F3*Conversion!$B$3</f>
        <v>0</v>
      </c>
      <c r="G3" s="4">
        <f>'Residential-lighting'!G3*Conversion!$B$3</f>
        <v>0</v>
      </c>
      <c r="H3" s="4">
        <f>'Residential-lighting'!H3*Conversion!$B$3</f>
        <v>0</v>
      </c>
      <c r="I3" s="4">
        <f>'Residential-lighting'!I3*Conversion!$B$3</f>
        <v>0</v>
      </c>
      <c r="J3" s="4">
        <f>'Residential-lighting'!J3*Conversion!$B$3</f>
        <v>0</v>
      </c>
      <c r="K3" s="4">
        <f>'Residential-lighting'!K3*Conversion!$B$3</f>
        <v>0</v>
      </c>
      <c r="L3" s="4">
        <f>'Residential-lighting'!L3*Conversion!$B$3</f>
        <v>0</v>
      </c>
      <c r="M3" s="4">
        <f>'Residential-lighting'!M3*Conversion!$B$3</f>
        <v>0</v>
      </c>
      <c r="N3" s="4">
        <f>'Residential-lighting'!N3*Conversion!$B$3</f>
        <v>0</v>
      </c>
      <c r="O3" s="4">
        <f>'Residential-lighting'!O3*Conversion!$B$3</f>
        <v>0</v>
      </c>
      <c r="P3" s="4">
        <f>'Residential-lighting'!P3*Conversion!$B$3</f>
        <v>0</v>
      </c>
      <c r="Q3" s="4">
        <f>'Residential-lighting'!Q3*Conversion!$B$3</f>
        <v>0</v>
      </c>
      <c r="R3" s="4">
        <f>'Residential-lighting'!R3*Conversion!$B$3</f>
        <v>0</v>
      </c>
      <c r="S3" s="4">
        <f>'Residential-lighting'!S3*Conversion!$B$3</f>
        <v>0</v>
      </c>
      <c r="T3" s="4">
        <f>'Residential-lighting'!T3*Conversion!$B$3</f>
        <v>0</v>
      </c>
      <c r="U3" s="4">
        <f>'Residential-lighting'!U3*Conversion!$B$3</f>
        <v>0</v>
      </c>
      <c r="V3" s="4">
        <f>'Residential-lighting'!V3*Conversion!$B$3</f>
        <v>0</v>
      </c>
      <c r="W3" s="4">
        <f>'Residential-lighting'!W3*Conversion!$B$3</f>
        <v>0</v>
      </c>
      <c r="X3" s="4">
        <f>'Residential-lighting'!X3*Conversion!$B$3</f>
        <v>0</v>
      </c>
      <c r="Y3" s="4">
        <f>'Residential-lighting'!Y3*Conversion!$B$3</f>
        <v>0</v>
      </c>
      <c r="Z3" s="4">
        <f>'Residential-lighting'!Z3*Conversion!$B$3</f>
        <v>0</v>
      </c>
      <c r="AA3" s="4">
        <f>'Residential-lighting'!AA3*Conversion!$B$3</f>
        <v>0</v>
      </c>
      <c r="AB3" s="4">
        <f>'Residential-lighting'!AB3*Conversion!$B$3</f>
        <v>0</v>
      </c>
      <c r="AC3" s="4">
        <f>'Residential-lighting'!AC3*Conversion!$B$3</f>
        <v>0</v>
      </c>
      <c r="AD3" s="4">
        <f>'Residential-lighting'!AD3*Conversion!$B$3</f>
        <v>0</v>
      </c>
      <c r="AE3" s="4">
        <f>'Residential-lighting'!AE3*Conversion!$B$3</f>
        <v>0</v>
      </c>
      <c r="AF3" s="4">
        <f>'Residential-lighting'!AF3*Conversion!$B$3</f>
        <v>0</v>
      </c>
      <c r="AG3" s="4">
        <f>'Residential-lighting'!AG3*Conversion!$B$3</f>
        <v>0</v>
      </c>
      <c r="AH3" s="4">
        <f>'Residential-lighting'!AH3*Conversion!$B$3</f>
        <v>0</v>
      </c>
      <c r="AI3" s="4">
        <f>'Residential-lighting'!AI3*Conversion!$B$3</f>
        <v>0</v>
      </c>
      <c r="AJ3" s="4">
        <f>'Residential-lighting'!AJ3*Conversion!$B$3</f>
        <v>0</v>
      </c>
      <c r="AK3" s="4">
        <f>'Residential-lighting'!AK3*Conversion!$B$3</f>
        <v>0</v>
      </c>
      <c r="AL3" s="4">
        <f>'Residential-lighting'!AL3*Conversion!$B$3</f>
        <v>0</v>
      </c>
      <c r="AM3" s="4">
        <f>'Residential-lighting'!AM3*Conversion!$B$3</f>
        <v>0</v>
      </c>
      <c r="AN3" s="4">
        <f>'Residential-lighting'!AN3*Conversion!$B$3</f>
        <v>0</v>
      </c>
      <c r="AO3" s="4">
        <f>'Residential-lighting'!AO3*Conversion!$B$3</f>
        <v>0</v>
      </c>
      <c r="AP3" s="4">
        <f>'Residential-lighting'!AP3*Conversion!$B$3</f>
        <v>0</v>
      </c>
      <c r="AQ3" s="4">
        <f>'Residential-lighting'!AQ3*Conversion!$B$3</f>
        <v>0</v>
      </c>
    </row>
    <row r="4" spans="1:43" x14ac:dyDescent="0.2">
      <c r="A4" s="1" t="s">
        <v>14</v>
      </c>
      <c r="B4" s="15">
        <f>'Residential-lighting'!B4*Conversion!$B$3</f>
        <v>0</v>
      </c>
      <c r="C4" s="15">
        <f>'Residential-lighting'!C4*Conversion!$B$3</f>
        <v>0</v>
      </c>
      <c r="D4" s="15">
        <f>'Residential-lighting'!D4*Conversion!$B$3</f>
        <v>0</v>
      </c>
      <c r="E4" s="15">
        <f>'Residential-lighting'!E4*Conversion!$B$3</f>
        <v>0</v>
      </c>
      <c r="F4" s="4">
        <f>'Residential-lighting'!F4*Conversion!$B$3</f>
        <v>0</v>
      </c>
      <c r="G4" s="4">
        <f>'Residential-lighting'!G4*Conversion!$B$3</f>
        <v>0</v>
      </c>
      <c r="H4" s="4">
        <f>'Residential-lighting'!H4*Conversion!$B$3</f>
        <v>0</v>
      </c>
      <c r="I4" s="4">
        <f>'Residential-lighting'!I4*Conversion!$B$3</f>
        <v>0</v>
      </c>
      <c r="J4" s="4">
        <f>'Residential-lighting'!J4*Conversion!$B$3</f>
        <v>0</v>
      </c>
      <c r="K4" s="4">
        <f>'Residential-lighting'!K4*Conversion!$B$3</f>
        <v>0</v>
      </c>
      <c r="L4" s="4">
        <f>'Residential-lighting'!L4*Conversion!$B$3</f>
        <v>0</v>
      </c>
      <c r="M4" s="4">
        <f>'Residential-lighting'!M4*Conversion!$B$3</f>
        <v>0</v>
      </c>
      <c r="N4" s="4">
        <f>'Residential-lighting'!N4*Conversion!$B$3</f>
        <v>0</v>
      </c>
      <c r="O4" s="4">
        <f>'Residential-lighting'!O4*Conversion!$B$3</f>
        <v>0</v>
      </c>
      <c r="P4" s="4">
        <f>'Residential-lighting'!P4*Conversion!$B$3</f>
        <v>0</v>
      </c>
      <c r="Q4" s="4">
        <f>'Residential-lighting'!Q4*Conversion!$B$3</f>
        <v>0</v>
      </c>
      <c r="R4" s="4">
        <f>'Residential-lighting'!R4*Conversion!$B$3</f>
        <v>0</v>
      </c>
      <c r="S4" s="4">
        <f>'Residential-lighting'!S4*Conversion!$B$3</f>
        <v>0</v>
      </c>
      <c r="T4" s="4">
        <f>'Residential-lighting'!T4*Conversion!$B$3</f>
        <v>0</v>
      </c>
      <c r="U4" s="4">
        <f>'Residential-lighting'!U4*Conversion!$B$3</f>
        <v>0</v>
      </c>
      <c r="V4" s="4">
        <f>'Residential-lighting'!V4*Conversion!$B$3</f>
        <v>0</v>
      </c>
      <c r="W4" s="4">
        <f>'Residential-lighting'!W4*Conversion!$B$3</f>
        <v>0</v>
      </c>
      <c r="X4" s="4">
        <f>'Residential-lighting'!X4*Conversion!$B$3</f>
        <v>0</v>
      </c>
      <c r="Y4" s="4">
        <f>'Residential-lighting'!Y4*Conversion!$B$3</f>
        <v>0</v>
      </c>
      <c r="Z4" s="4">
        <f>'Residential-lighting'!Z4*Conversion!$B$3</f>
        <v>0</v>
      </c>
      <c r="AA4" s="4">
        <f>'Residential-lighting'!AA4*Conversion!$B$3</f>
        <v>0</v>
      </c>
      <c r="AB4" s="4">
        <f>'Residential-lighting'!AB4*Conversion!$B$3</f>
        <v>0</v>
      </c>
      <c r="AC4" s="4">
        <f>'Residential-lighting'!AC4*Conversion!$B$3</f>
        <v>0</v>
      </c>
      <c r="AD4" s="4">
        <f>'Residential-lighting'!AD4*Conversion!$B$3</f>
        <v>0</v>
      </c>
      <c r="AE4" s="4">
        <f>'Residential-lighting'!AE4*Conversion!$B$3</f>
        <v>0</v>
      </c>
      <c r="AF4" s="4">
        <f>'Residential-lighting'!AF4*Conversion!$B$3</f>
        <v>0</v>
      </c>
      <c r="AG4" s="4">
        <f>'Residential-lighting'!AG4*Conversion!$B$3</f>
        <v>0</v>
      </c>
      <c r="AH4" s="4">
        <f>'Residential-lighting'!AH4*Conversion!$B$3</f>
        <v>0</v>
      </c>
      <c r="AI4" s="4">
        <f>'Residential-lighting'!AI4*Conversion!$B$3</f>
        <v>0</v>
      </c>
      <c r="AJ4" s="4">
        <f>'Residential-lighting'!AJ4*Conversion!$B$3</f>
        <v>0</v>
      </c>
      <c r="AK4" s="4">
        <f>'Residential-lighting'!AK4*Conversion!$B$3</f>
        <v>0</v>
      </c>
      <c r="AL4" s="4">
        <f>'Residential-lighting'!AL4*Conversion!$B$3</f>
        <v>0</v>
      </c>
      <c r="AM4" s="4">
        <f>'Residential-lighting'!AM4*Conversion!$B$3</f>
        <v>0</v>
      </c>
      <c r="AN4" s="4">
        <f>'Residential-lighting'!AN4*Conversion!$B$3</f>
        <v>0</v>
      </c>
      <c r="AO4" s="4">
        <f>'Residential-lighting'!AO4*Conversion!$B$3</f>
        <v>0</v>
      </c>
      <c r="AP4" s="4">
        <f>'Residential-lighting'!AP4*Conversion!$B$3</f>
        <v>0</v>
      </c>
      <c r="AQ4" s="4">
        <f>'Residential-lighting'!AQ4*Conversion!$B$3</f>
        <v>0</v>
      </c>
    </row>
    <row r="5" spans="1:43" x14ac:dyDescent="0.2">
      <c r="A5" s="1" t="s">
        <v>15</v>
      </c>
      <c r="B5" s="15">
        <f>'Residential-lighting'!B5*Conversion!$B$3</f>
        <v>0</v>
      </c>
      <c r="C5" s="15">
        <f>'Residential-lighting'!C5*Conversion!$B$3</f>
        <v>0</v>
      </c>
      <c r="D5" s="15">
        <f>'Residential-lighting'!D5*Conversion!$B$3</f>
        <v>0</v>
      </c>
      <c r="E5" s="15">
        <f>'Residential-lighting'!E5*Conversion!$B$3</f>
        <v>0</v>
      </c>
      <c r="F5" s="4">
        <f>'Residential-lighting'!F5*Conversion!$B$3</f>
        <v>0</v>
      </c>
      <c r="G5" s="4">
        <f>'Residential-lighting'!G5*Conversion!$B$3</f>
        <v>0</v>
      </c>
      <c r="H5" s="4">
        <f>'Residential-lighting'!H5*Conversion!$B$3</f>
        <v>0</v>
      </c>
      <c r="I5" s="4">
        <f>'Residential-lighting'!I5*Conversion!$B$3</f>
        <v>0</v>
      </c>
      <c r="J5" s="4">
        <f>'Residential-lighting'!J5*Conversion!$B$3</f>
        <v>0</v>
      </c>
      <c r="K5" s="4">
        <f>'Residential-lighting'!K5*Conversion!$B$3</f>
        <v>0</v>
      </c>
      <c r="L5" s="4">
        <f>'Residential-lighting'!L5*Conversion!$B$3</f>
        <v>0</v>
      </c>
      <c r="M5" s="4">
        <f>'Residential-lighting'!M5*Conversion!$B$3</f>
        <v>0</v>
      </c>
      <c r="N5" s="4">
        <f>'Residential-lighting'!N5*Conversion!$B$3</f>
        <v>0</v>
      </c>
      <c r="O5" s="4">
        <f>'Residential-lighting'!O5*Conversion!$B$3</f>
        <v>0</v>
      </c>
      <c r="P5" s="4">
        <f>'Residential-lighting'!P5*Conversion!$B$3</f>
        <v>0</v>
      </c>
      <c r="Q5" s="4">
        <f>'Residential-lighting'!Q5*Conversion!$B$3</f>
        <v>0</v>
      </c>
      <c r="R5" s="4">
        <f>'Residential-lighting'!R5*Conversion!$B$3</f>
        <v>0</v>
      </c>
      <c r="S5" s="4">
        <f>'Residential-lighting'!S5*Conversion!$B$3</f>
        <v>0</v>
      </c>
      <c r="T5" s="4">
        <f>'Residential-lighting'!T5*Conversion!$B$3</f>
        <v>0</v>
      </c>
      <c r="U5" s="4">
        <f>'Residential-lighting'!U5*Conversion!$B$3</f>
        <v>0</v>
      </c>
      <c r="V5" s="4">
        <f>'Residential-lighting'!V5*Conversion!$B$3</f>
        <v>0</v>
      </c>
      <c r="W5" s="4">
        <f>'Residential-lighting'!W5*Conversion!$B$3</f>
        <v>0</v>
      </c>
      <c r="X5" s="4">
        <f>'Residential-lighting'!X5*Conversion!$B$3</f>
        <v>0</v>
      </c>
      <c r="Y5" s="4">
        <f>'Residential-lighting'!Y5*Conversion!$B$3</f>
        <v>0</v>
      </c>
      <c r="Z5" s="4">
        <f>'Residential-lighting'!Z5*Conversion!$B$3</f>
        <v>0</v>
      </c>
      <c r="AA5" s="4">
        <f>'Residential-lighting'!AA5*Conversion!$B$3</f>
        <v>0</v>
      </c>
      <c r="AB5" s="4">
        <f>'Residential-lighting'!AB5*Conversion!$B$3</f>
        <v>0</v>
      </c>
      <c r="AC5" s="4">
        <f>'Residential-lighting'!AC5*Conversion!$B$3</f>
        <v>0</v>
      </c>
      <c r="AD5" s="4">
        <f>'Residential-lighting'!AD5*Conversion!$B$3</f>
        <v>0</v>
      </c>
      <c r="AE5" s="4">
        <f>'Residential-lighting'!AE5*Conversion!$B$3</f>
        <v>0</v>
      </c>
      <c r="AF5" s="4">
        <f>'Residential-lighting'!AF5*Conversion!$B$3</f>
        <v>0</v>
      </c>
      <c r="AG5" s="4">
        <f>'Residential-lighting'!AG5*Conversion!$B$3</f>
        <v>0</v>
      </c>
      <c r="AH5" s="4">
        <f>'Residential-lighting'!AH5*Conversion!$B$3</f>
        <v>0</v>
      </c>
      <c r="AI5" s="4">
        <f>'Residential-lighting'!AI5*Conversion!$B$3</f>
        <v>0</v>
      </c>
      <c r="AJ5" s="4">
        <f>'Residential-lighting'!AJ5*Conversion!$B$3</f>
        <v>0</v>
      </c>
      <c r="AK5" s="4">
        <f>'Residential-lighting'!AK5*Conversion!$B$3</f>
        <v>0</v>
      </c>
      <c r="AL5" s="4">
        <f>'Residential-lighting'!AL5*Conversion!$B$3</f>
        <v>0</v>
      </c>
      <c r="AM5" s="4">
        <f>'Residential-lighting'!AM5*Conversion!$B$3</f>
        <v>0</v>
      </c>
      <c r="AN5" s="4">
        <f>'Residential-lighting'!AN5*Conversion!$B$3</f>
        <v>0</v>
      </c>
      <c r="AO5" s="4">
        <f>'Residential-lighting'!AO5*Conversion!$B$3</f>
        <v>0</v>
      </c>
      <c r="AP5" s="4">
        <f>'Residential-lighting'!AP5*Conversion!$B$3</f>
        <v>0</v>
      </c>
      <c r="AQ5" s="4">
        <f>'Residential-lighting'!AQ5*Conversion!$B$3</f>
        <v>0</v>
      </c>
    </row>
    <row r="6" spans="1:43" x14ac:dyDescent="0.2">
      <c r="A6" s="1" t="s">
        <v>16</v>
      </c>
      <c r="B6" s="15">
        <f>'Residential-lighting'!B6*Conversion!$B$3</f>
        <v>0</v>
      </c>
      <c r="C6" s="15">
        <f>'Residential-lighting'!C6*Conversion!$B$3</f>
        <v>0</v>
      </c>
      <c r="D6" s="15">
        <f>'Residential-lighting'!D6*Conversion!$B$3</f>
        <v>0</v>
      </c>
      <c r="E6" s="15">
        <f>'Residential-lighting'!E6*Conversion!$B$3</f>
        <v>0</v>
      </c>
      <c r="F6" s="4">
        <f>'Residential-lighting'!F6*Conversion!$B$3</f>
        <v>0</v>
      </c>
      <c r="G6" s="4">
        <f>'Residential-lighting'!G6*Conversion!$B$3</f>
        <v>0</v>
      </c>
      <c r="H6" s="4">
        <f>'Residential-lighting'!H6*Conversion!$B$3</f>
        <v>0</v>
      </c>
      <c r="I6" s="4">
        <f>'Residential-lighting'!I6*Conversion!$B$3</f>
        <v>0</v>
      </c>
      <c r="J6" s="4">
        <f>'Residential-lighting'!J6*Conversion!$B$3</f>
        <v>0</v>
      </c>
      <c r="K6" s="4">
        <f>'Residential-lighting'!K6*Conversion!$B$3</f>
        <v>0</v>
      </c>
      <c r="L6" s="4">
        <f>'Residential-lighting'!L6*Conversion!$B$3</f>
        <v>0</v>
      </c>
      <c r="M6" s="4">
        <f>'Residential-lighting'!M6*Conversion!$B$3</f>
        <v>0</v>
      </c>
      <c r="N6" s="4">
        <f>'Residential-lighting'!N6*Conversion!$B$3</f>
        <v>0</v>
      </c>
      <c r="O6" s="4">
        <f>'Residential-lighting'!O6*Conversion!$B$3</f>
        <v>0</v>
      </c>
      <c r="P6" s="4">
        <f>'Residential-lighting'!P6*Conversion!$B$3</f>
        <v>0</v>
      </c>
      <c r="Q6" s="4">
        <f>'Residential-lighting'!Q6*Conversion!$B$3</f>
        <v>0</v>
      </c>
      <c r="R6" s="4">
        <f>'Residential-lighting'!R6*Conversion!$B$3</f>
        <v>0</v>
      </c>
      <c r="S6" s="4">
        <f>'Residential-lighting'!S6*Conversion!$B$3</f>
        <v>0</v>
      </c>
      <c r="T6" s="4">
        <f>'Residential-lighting'!T6*Conversion!$B$3</f>
        <v>0</v>
      </c>
      <c r="U6" s="4">
        <f>'Residential-lighting'!U6*Conversion!$B$3</f>
        <v>0</v>
      </c>
      <c r="V6" s="4">
        <f>'Residential-lighting'!V6*Conversion!$B$3</f>
        <v>0</v>
      </c>
      <c r="W6" s="4">
        <f>'Residential-lighting'!W6*Conversion!$B$3</f>
        <v>0</v>
      </c>
      <c r="X6" s="4">
        <f>'Residential-lighting'!X6*Conversion!$B$3</f>
        <v>0</v>
      </c>
      <c r="Y6" s="4">
        <f>'Residential-lighting'!Y6*Conversion!$B$3</f>
        <v>0</v>
      </c>
      <c r="Z6" s="4">
        <f>'Residential-lighting'!Z6*Conversion!$B$3</f>
        <v>0</v>
      </c>
      <c r="AA6" s="4">
        <f>'Residential-lighting'!AA6*Conversion!$B$3</f>
        <v>0</v>
      </c>
      <c r="AB6" s="4">
        <f>'Residential-lighting'!AB6*Conversion!$B$3</f>
        <v>0</v>
      </c>
      <c r="AC6" s="4">
        <f>'Residential-lighting'!AC6*Conversion!$B$3</f>
        <v>0</v>
      </c>
      <c r="AD6" s="4">
        <f>'Residential-lighting'!AD6*Conversion!$B$3</f>
        <v>0</v>
      </c>
      <c r="AE6" s="4">
        <f>'Residential-lighting'!AE6*Conversion!$B$3</f>
        <v>0</v>
      </c>
      <c r="AF6" s="4">
        <f>'Residential-lighting'!AF6*Conversion!$B$3</f>
        <v>0</v>
      </c>
      <c r="AG6" s="4">
        <f>'Residential-lighting'!AG6*Conversion!$B$3</f>
        <v>0</v>
      </c>
      <c r="AH6" s="4">
        <f>'Residential-lighting'!AH6*Conversion!$B$3</f>
        <v>0</v>
      </c>
      <c r="AI6" s="4">
        <f>'Residential-lighting'!AI6*Conversion!$B$3</f>
        <v>0</v>
      </c>
      <c r="AJ6" s="4">
        <f>'Residential-lighting'!AJ6*Conversion!$B$3</f>
        <v>0</v>
      </c>
      <c r="AK6" s="4">
        <f>'Residential-lighting'!AK6*Conversion!$B$3</f>
        <v>0</v>
      </c>
      <c r="AL6" s="4">
        <f>'Residential-lighting'!AL6*Conversion!$B$3</f>
        <v>0</v>
      </c>
      <c r="AM6" s="4">
        <f>'Residential-lighting'!AM6*Conversion!$B$3</f>
        <v>0</v>
      </c>
      <c r="AN6" s="4">
        <f>'Residential-lighting'!AN6*Conversion!$B$3</f>
        <v>0</v>
      </c>
      <c r="AO6" s="4">
        <f>'Residential-lighting'!AO6*Conversion!$B$3</f>
        <v>0</v>
      </c>
      <c r="AP6" s="4">
        <f>'Residential-lighting'!AP6*Conversion!$B$3</f>
        <v>0</v>
      </c>
      <c r="AQ6" s="4">
        <f>'Residential-lighting'!AQ6*Conversion!$B$3</f>
        <v>0</v>
      </c>
    </row>
    <row r="7" spans="1:43" x14ac:dyDescent="0.2">
      <c r="A7" s="1" t="s">
        <v>17</v>
      </c>
      <c r="B7" s="15">
        <f>'Residential-lighting'!B7*Conversion!$B$3</f>
        <v>0</v>
      </c>
      <c r="C7" s="15">
        <f>'Residential-lighting'!C7*Conversion!$B$3</f>
        <v>0</v>
      </c>
      <c r="D7" s="15">
        <f>'Residential-lighting'!D7*Conversion!$B$3</f>
        <v>0</v>
      </c>
      <c r="E7" s="15">
        <f>'Residential-lighting'!E7*Conversion!$B$3</f>
        <v>0</v>
      </c>
      <c r="F7" s="4">
        <f>'Residential-lighting'!F7*Conversion!$B$3</f>
        <v>0</v>
      </c>
      <c r="G7" s="4">
        <f>'Residential-lighting'!G7*Conversion!$B$3</f>
        <v>0</v>
      </c>
      <c r="H7" s="4">
        <f>'Residential-lighting'!H7*Conversion!$B$3</f>
        <v>0</v>
      </c>
      <c r="I7" s="4">
        <f>'Residential-lighting'!I7*Conversion!$B$3</f>
        <v>0</v>
      </c>
      <c r="J7" s="4">
        <f>'Residential-lighting'!J7*Conversion!$B$3</f>
        <v>0</v>
      </c>
      <c r="K7" s="4">
        <f>'Residential-lighting'!K7*Conversion!$B$3</f>
        <v>0</v>
      </c>
      <c r="L7" s="4">
        <f>'Residential-lighting'!L7*Conversion!$B$3</f>
        <v>0</v>
      </c>
      <c r="M7" s="4">
        <f>'Residential-lighting'!M7*Conversion!$B$3</f>
        <v>0</v>
      </c>
      <c r="N7" s="4">
        <f>'Residential-lighting'!N7*Conversion!$B$3</f>
        <v>0</v>
      </c>
      <c r="O7" s="4">
        <f>'Residential-lighting'!O7*Conversion!$B$3</f>
        <v>0</v>
      </c>
      <c r="P7" s="4">
        <f>'Residential-lighting'!P7*Conversion!$B$3</f>
        <v>0</v>
      </c>
      <c r="Q7" s="4">
        <f>'Residential-lighting'!Q7*Conversion!$B$3</f>
        <v>0</v>
      </c>
      <c r="R7" s="4">
        <f>'Residential-lighting'!R7*Conversion!$B$3</f>
        <v>0</v>
      </c>
      <c r="S7" s="4">
        <f>'Residential-lighting'!S7*Conversion!$B$3</f>
        <v>0</v>
      </c>
      <c r="T7" s="4">
        <f>'Residential-lighting'!T7*Conversion!$B$3</f>
        <v>0</v>
      </c>
      <c r="U7" s="4">
        <f>'Residential-lighting'!U7*Conversion!$B$3</f>
        <v>0</v>
      </c>
      <c r="V7" s="4">
        <f>'Residential-lighting'!V7*Conversion!$B$3</f>
        <v>0</v>
      </c>
      <c r="W7" s="4">
        <f>'Residential-lighting'!W7*Conversion!$B$3</f>
        <v>0</v>
      </c>
      <c r="X7" s="4">
        <f>'Residential-lighting'!X7*Conversion!$B$3</f>
        <v>0</v>
      </c>
      <c r="Y7" s="4">
        <f>'Residential-lighting'!Y7*Conversion!$B$3</f>
        <v>0</v>
      </c>
      <c r="Z7" s="4">
        <f>'Residential-lighting'!Z7*Conversion!$B$3</f>
        <v>0</v>
      </c>
      <c r="AA7" s="4">
        <f>'Residential-lighting'!AA7*Conversion!$B$3</f>
        <v>0</v>
      </c>
      <c r="AB7" s="4">
        <f>'Residential-lighting'!AB7*Conversion!$B$3</f>
        <v>0</v>
      </c>
      <c r="AC7" s="4">
        <f>'Residential-lighting'!AC7*Conversion!$B$3</f>
        <v>0</v>
      </c>
      <c r="AD7" s="4">
        <f>'Residential-lighting'!AD7*Conversion!$B$3</f>
        <v>0</v>
      </c>
      <c r="AE7" s="4">
        <f>'Residential-lighting'!AE7*Conversion!$B$3</f>
        <v>0</v>
      </c>
      <c r="AF7" s="4">
        <f>'Residential-lighting'!AF7*Conversion!$B$3</f>
        <v>0</v>
      </c>
      <c r="AG7" s="4">
        <f>'Residential-lighting'!AG7*Conversion!$B$3</f>
        <v>0</v>
      </c>
      <c r="AH7" s="4">
        <f>'Residential-lighting'!AH7*Conversion!$B$3</f>
        <v>0</v>
      </c>
      <c r="AI7" s="4">
        <f>'Residential-lighting'!AI7*Conversion!$B$3</f>
        <v>0</v>
      </c>
      <c r="AJ7" s="4">
        <f>'Residential-lighting'!AJ7*Conversion!$B$3</f>
        <v>0</v>
      </c>
      <c r="AK7" s="4">
        <f>'Residential-lighting'!AK7*Conversion!$B$3</f>
        <v>0</v>
      </c>
      <c r="AL7" s="4">
        <f>'Residential-lighting'!AL7*Conversion!$B$3</f>
        <v>0</v>
      </c>
      <c r="AM7" s="4">
        <f>'Residential-lighting'!AM7*Conversion!$B$3</f>
        <v>0</v>
      </c>
      <c r="AN7" s="4">
        <f>'Residential-lighting'!AN7*Conversion!$B$3</f>
        <v>0</v>
      </c>
      <c r="AO7" s="4">
        <f>'Residential-lighting'!AO7*Conversion!$B$3</f>
        <v>0</v>
      </c>
      <c r="AP7" s="4">
        <f>'Residential-lighting'!AP7*Conversion!$B$3</f>
        <v>0</v>
      </c>
      <c r="AQ7" s="4">
        <f>'Residential-lighting'!AQ7*Conversion!$B$3</f>
        <v>0</v>
      </c>
    </row>
    <row r="8" spans="1:43" x14ac:dyDescent="0.2">
      <c r="A8" s="1" t="s">
        <v>18</v>
      </c>
      <c r="B8" s="15">
        <f>'Residential-lighting'!$H15*Conversion!$B$3</f>
        <v>4653354983366.0156</v>
      </c>
      <c r="C8" s="15">
        <f>'Residential-lighting'!H16*Conversion!$B$3</f>
        <v>4454252414492.7266</v>
      </c>
      <c r="D8" s="15">
        <f>'Residential-lighting'!$H17*Conversion!$B$3</f>
        <v>4255149845619.4937</v>
      </c>
      <c r="E8" s="15">
        <f>'Residential-lighting'!E8*Conversion!$B$3</f>
        <v>4218949133716.3511</v>
      </c>
      <c r="F8" s="4">
        <f>'Residential-lighting'!F8*Conversion!$B$3</f>
        <v>3788299635128.6841</v>
      </c>
      <c r="G8" s="4">
        <f>'Residential-lighting'!G8*Conversion!$B$3</f>
        <v>3587492067977.2778</v>
      </c>
      <c r="H8" s="4">
        <f>'Residential-lighting'!H8*Conversion!$B$3</f>
        <v>3397328769471.188</v>
      </c>
      <c r="I8" s="4">
        <f>'Residential-lighting'!I8*Conversion!$B$3</f>
        <v>3217245515579.415</v>
      </c>
      <c r="J8" s="4">
        <f>'Residential-lighting'!J8*Conversion!$B$3</f>
        <v>3046707990268.1855</v>
      </c>
      <c r="K8" s="4">
        <f>'Residential-lighting'!K8*Conversion!$B$3</f>
        <v>2885210200158.5293</v>
      </c>
      <c r="L8" s="4">
        <f>'Residential-lighting'!L8*Conversion!$B$3</f>
        <v>2732272973218.5649</v>
      </c>
      <c r="M8" s="4">
        <f>'Residential-lighting'!M8*Conversion!$B$3</f>
        <v>2587442537036.1001</v>
      </c>
      <c r="N8" s="4">
        <f>'Residential-lighting'!N8*Conversion!$B$3</f>
        <v>2450289172453.1436</v>
      </c>
      <c r="O8" s="4">
        <f>'Residential-lighting'!O8*Conversion!$B$3</f>
        <v>2320405938567.6504</v>
      </c>
      <c r="P8" s="4">
        <f>'Residential-lighting'!P8*Conversion!$B$3</f>
        <v>2197407465319.4749</v>
      </c>
      <c r="Q8" s="4">
        <f>'Residential-lighting'!Q8*Conversion!$B$3</f>
        <v>2080928810078.1111</v>
      </c>
      <c r="R8" s="4">
        <f>'Residential-lighting'!R8*Conversion!$B$3</f>
        <v>1970624374839.6184</v>
      </c>
      <c r="S8" s="4">
        <f>'Residential-lighting'!S8*Conversion!$B$3</f>
        <v>1866166880820.0449</v>
      </c>
      <c r="T8" s="4">
        <f>'Residential-lighting'!T8*Conversion!$B$3</f>
        <v>1767246397402.8796</v>
      </c>
      <c r="U8" s="4">
        <f>'Residential-lighting'!U8*Conversion!$B$3</f>
        <v>1673569422559.3879</v>
      </c>
      <c r="V8" s="4">
        <f>'Residential-lighting'!V8*Conversion!$B$3</f>
        <v>1584858012013.3945</v>
      </c>
      <c r="W8" s="4">
        <f>'Residential-lighting'!W8*Conversion!$B$3</f>
        <v>1500848954566.6975</v>
      </c>
      <c r="X8" s="4">
        <f>'Residential-lighting'!X8*Conversion!$B$3</f>
        <v>1421292991138.2581</v>
      </c>
      <c r="Y8" s="4">
        <f>'Residential-lighting'!Y8*Conversion!$B$3</f>
        <v>1345954075200.0195</v>
      </c>
      <c r="Z8" s="4">
        <f>'Residential-lighting'!Z8*Conversion!$B$3</f>
        <v>1274608672415.0422</v>
      </c>
      <c r="AA8" s="4">
        <f>'Residential-lighting'!AA8*Conversion!$B$3</f>
        <v>1207045097399.9277</v>
      </c>
      <c r="AB8" s="4">
        <f>'Residential-lighting'!AB8*Conversion!$B$3</f>
        <v>1143062885643.6824</v>
      </c>
      <c r="AC8" s="4">
        <f>'Residential-lighting'!AC8*Conversion!$B$3</f>
        <v>1082472198719.4735</v>
      </c>
      <c r="AD8" s="4">
        <f>'Residential-lighting'!AD8*Conversion!$B$3</f>
        <v>1025093261024.5129</v>
      </c>
      <c r="AE8" s="4">
        <f>'Residential-lighting'!AE8*Conversion!$B$3</f>
        <v>970755826376.83301</v>
      </c>
      <c r="AF8" s="4">
        <f>'Residential-lighting'!AF8*Conversion!$B$3</f>
        <v>919298672886.3429</v>
      </c>
      <c r="AG8" s="4">
        <f>'Residential-lighting'!AG8*Conversion!$B$3</f>
        <v>870569124601.40295</v>
      </c>
      <c r="AH8" s="4">
        <f>'Residential-lighting'!AH8*Conversion!$B$3</f>
        <v>824422598511.63147</v>
      </c>
      <c r="AI8" s="4">
        <f>'Residential-lighting'!AI8*Conversion!$B$3</f>
        <v>780722175562.87036</v>
      </c>
      <c r="AJ8" s="4">
        <f>'Residential-lighting'!AJ8*Conversion!$B$3</f>
        <v>739338194411.49329</v>
      </c>
      <c r="AK8" s="4">
        <f>'Residential-lighting'!AK8*Conversion!$B$3</f>
        <v>700147866712.70715</v>
      </c>
      <c r="AL8" s="4">
        <f>'Residential-lighting'!AL8*Conversion!$B$3</f>
        <v>663034912801.38062</v>
      </c>
      <c r="AM8" s="4">
        <f>'Residential-lighting'!AM8*Conversion!$B$3</f>
        <v>627889216684.45557</v>
      </c>
      <c r="AN8" s="4">
        <f>'Residential-lighting'!AN8*Conversion!$B$3</f>
        <v>594606499321.28027</v>
      </c>
      <c r="AO8" s="4">
        <f>'Residential-lighting'!AO8*Conversion!$B$3</f>
        <v>563088009222.47253</v>
      </c>
      <c r="AP8" s="4">
        <f>'Residential-lighting'!AP8*Conversion!$B$3</f>
        <v>533240229449.30469</v>
      </c>
      <c r="AQ8" s="4">
        <f>'Residential-lighting'!AQ8*Conversion!$B$3</f>
        <v>504974600144.26282</v>
      </c>
    </row>
    <row r="9" spans="1:43" x14ac:dyDescent="0.2">
      <c r="A9" s="1" t="s">
        <v>19</v>
      </c>
      <c r="B9" s="15">
        <f>'Residential-lighting'!B9*Conversion!$B$3</f>
        <v>0</v>
      </c>
      <c r="C9" s="15">
        <f>'Residential-lighting'!C9*Conversion!$B$3</f>
        <v>0</v>
      </c>
      <c r="D9" s="15">
        <f>'Residential-lighting'!D9*Conversion!$B$3</f>
        <v>0</v>
      </c>
      <c r="E9" s="15">
        <f>'Residential-lighting'!E9*Conversion!$B$3</f>
        <v>0</v>
      </c>
      <c r="F9" s="4">
        <f>'Residential-lighting'!F9*Conversion!$B$3</f>
        <v>0</v>
      </c>
      <c r="G9" s="4">
        <f>'Residential-lighting'!G9*Conversion!$B$3</f>
        <v>0</v>
      </c>
      <c r="H9" s="4">
        <f>'Residential-lighting'!H9*Conversion!$B$3</f>
        <v>0</v>
      </c>
      <c r="I9" s="4">
        <f>'Residential-lighting'!I9*Conversion!$B$3</f>
        <v>0</v>
      </c>
      <c r="J9" s="4">
        <f>'Residential-lighting'!J9*Conversion!$B$3</f>
        <v>0</v>
      </c>
      <c r="K9" s="4">
        <f>'Residential-lighting'!K9*Conversion!$B$3</f>
        <v>0</v>
      </c>
      <c r="L9" s="4">
        <f>'Residential-lighting'!L9*Conversion!$B$3</f>
        <v>0</v>
      </c>
      <c r="M9" s="4">
        <f>'Residential-lighting'!M9*Conversion!$B$3</f>
        <v>0</v>
      </c>
      <c r="N9" s="4">
        <f>'Residential-lighting'!N9*Conversion!$B$3</f>
        <v>0</v>
      </c>
      <c r="O9" s="4">
        <f>'Residential-lighting'!O9*Conversion!$B$3</f>
        <v>0</v>
      </c>
      <c r="P9" s="4">
        <f>'Residential-lighting'!P9*Conversion!$B$3</f>
        <v>0</v>
      </c>
      <c r="Q9" s="4">
        <f>'Residential-lighting'!Q9*Conversion!$B$3</f>
        <v>0</v>
      </c>
      <c r="R9" s="4">
        <f>'Residential-lighting'!R9*Conversion!$B$3</f>
        <v>0</v>
      </c>
      <c r="S9" s="4">
        <f>'Residential-lighting'!S9*Conversion!$B$3</f>
        <v>0</v>
      </c>
      <c r="T9" s="4">
        <f>'Residential-lighting'!T9*Conversion!$B$3</f>
        <v>0</v>
      </c>
      <c r="U9" s="4">
        <f>'Residential-lighting'!U9*Conversion!$B$3</f>
        <v>0</v>
      </c>
      <c r="V9" s="4">
        <f>'Residential-lighting'!V9*Conversion!$B$3</f>
        <v>0</v>
      </c>
      <c r="W9" s="4">
        <f>'Residential-lighting'!W9*Conversion!$B$3</f>
        <v>0</v>
      </c>
      <c r="X9" s="4">
        <f>'Residential-lighting'!X9*Conversion!$B$3</f>
        <v>0</v>
      </c>
      <c r="Y9" s="4">
        <f>'Residential-lighting'!Y9*Conversion!$B$3</f>
        <v>0</v>
      </c>
      <c r="Z9" s="4">
        <f>'Residential-lighting'!Z9*Conversion!$B$3</f>
        <v>0</v>
      </c>
      <c r="AA9" s="4">
        <f>'Residential-lighting'!AA9*Conversion!$B$3</f>
        <v>0</v>
      </c>
      <c r="AB9" s="4">
        <f>'Residential-lighting'!AB9*Conversion!$B$3</f>
        <v>0</v>
      </c>
      <c r="AC9" s="4">
        <f>'Residential-lighting'!AC9*Conversion!$B$3</f>
        <v>0</v>
      </c>
      <c r="AD9" s="4">
        <f>'Residential-lighting'!AD9*Conversion!$B$3</f>
        <v>0</v>
      </c>
      <c r="AE9" s="4">
        <f>'Residential-lighting'!AE9*Conversion!$B$3</f>
        <v>0</v>
      </c>
      <c r="AF9" s="4">
        <f>'Residential-lighting'!AF9*Conversion!$B$3</f>
        <v>0</v>
      </c>
      <c r="AG9" s="4">
        <f>'Residential-lighting'!AG9*Conversion!$B$3</f>
        <v>0</v>
      </c>
      <c r="AH9" s="4">
        <f>'Residential-lighting'!AH9*Conversion!$B$3</f>
        <v>0</v>
      </c>
      <c r="AI9" s="4">
        <f>'Residential-lighting'!AI9*Conversion!$B$3</f>
        <v>0</v>
      </c>
      <c r="AJ9" s="4">
        <f>'Residential-lighting'!AJ9*Conversion!$B$3</f>
        <v>0</v>
      </c>
      <c r="AK9" s="4">
        <f>'Residential-lighting'!AK9*Conversion!$B$3</f>
        <v>0</v>
      </c>
      <c r="AL9" s="4">
        <f>'Residential-lighting'!AL9*Conversion!$B$3</f>
        <v>0</v>
      </c>
      <c r="AM9" s="4">
        <f>'Residential-lighting'!AM9*Conversion!$B$3</f>
        <v>0</v>
      </c>
      <c r="AN9" s="4">
        <f>'Residential-lighting'!AN9*Conversion!$B$3</f>
        <v>0</v>
      </c>
      <c r="AO9" s="4">
        <f>'Residential-lighting'!AO9*Conversion!$B$3</f>
        <v>0</v>
      </c>
      <c r="AP9" s="4">
        <f>'Residential-lighting'!AP9*Conversion!$B$3</f>
        <v>0</v>
      </c>
      <c r="AQ9" s="4">
        <f>'Residential-lighting'!AQ9*Conversion!$B$3</f>
        <v>0</v>
      </c>
    </row>
    <row r="10" spans="1:43" x14ac:dyDescent="0.2">
      <c r="A10" s="1" t="s">
        <v>20</v>
      </c>
      <c r="B10" s="15">
        <f>'Residential-lighting'!B10*Conversion!$B$3</f>
        <v>0</v>
      </c>
      <c r="C10" s="15">
        <f>'Residential-lighting'!C10*Conversion!$B$3</f>
        <v>0</v>
      </c>
      <c r="D10" s="15">
        <f>'Residential-lighting'!D10*Conversion!$B$3</f>
        <v>0</v>
      </c>
      <c r="E10" s="15">
        <f>'Residential-lighting'!E10*Conversion!$B$3</f>
        <v>0</v>
      </c>
      <c r="F10" s="4">
        <f>'Residential-lighting'!F10*Conversion!$B$3</f>
        <v>0</v>
      </c>
      <c r="G10" s="4">
        <f>'Residential-lighting'!G10*Conversion!$B$3</f>
        <v>0</v>
      </c>
      <c r="H10" s="4">
        <f>'Residential-lighting'!H10*Conversion!$B$3</f>
        <v>0</v>
      </c>
      <c r="I10" s="4">
        <f>'Residential-lighting'!I10*Conversion!$B$3</f>
        <v>0</v>
      </c>
      <c r="J10" s="4">
        <f>'Residential-lighting'!J10*Conversion!$B$3</f>
        <v>0</v>
      </c>
      <c r="K10" s="4">
        <f>'Residential-lighting'!K10*Conversion!$B$3</f>
        <v>0</v>
      </c>
      <c r="L10" s="4">
        <f>'Residential-lighting'!L10*Conversion!$B$3</f>
        <v>0</v>
      </c>
      <c r="M10" s="4">
        <f>'Residential-lighting'!M10*Conversion!$B$3</f>
        <v>0</v>
      </c>
      <c r="N10" s="4">
        <f>'Residential-lighting'!N10*Conversion!$B$3</f>
        <v>0</v>
      </c>
      <c r="O10" s="4">
        <f>'Residential-lighting'!O10*Conversion!$B$3</f>
        <v>0</v>
      </c>
      <c r="P10" s="4">
        <f>'Residential-lighting'!P10*Conversion!$B$3</f>
        <v>0</v>
      </c>
      <c r="Q10" s="4">
        <f>'Residential-lighting'!Q10*Conversion!$B$3</f>
        <v>0</v>
      </c>
      <c r="R10" s="4">
        <f>'Residential-lighting'!R10*Conversion!$B$3</f>
        <v>0</v>
      </c>
      <c r="S10" s="4">
        <f>'Residential-lighting'!S10*Conversion!$B$3</f>
        <v>0</v>
      </c>
      <c r="T10" s="4">
        <f>'Residential-lighting'!T10*Conversion!$B$3</f>
        <v>0</v>
      </c>
      <c r="U10" s="4">
        <f>'Residential-lighting'!U10*Conversion!$B$3</f>
        <v>0</v>
      </c>
      <c r="V10" s="4">
        <f>'Residential-lighting'!V10*Conversion!$B$3</f>
        <v>0</v>
      </c>
      <c r="W10" s="4">
        <f>'Residential-lighting'!W10*Conversion!$B$3</f>
        <v>0</v>
      </c>
      <c r="X10" s="4">
        <f>'Residential-lighting'!X10*Conversion!$B$3</f>
        <v>0</v>
      </c>
      <c r="Y10" s="4">
        <f>'Residential-lighting'!Y10*Conversion!$B$3</f>
        <v>0</v>
      </c>
      <c r="Z10" s="4">
        <f>'Residential-lighting'!Z10*Conversion!$B$3</f>
        <v>0</v>
      </c>
      <c r="AA10" s="4">
        <f>'Residential-lighting'!AA10*Conversion!$B$3</f>
        <v>0</v>
      </c>
      <c r="AB10" s="4">
        <f>'Residential-lighting'!AB10*Conversion!$B$3</f>
        <v>0</v>
      </c>
      <c r="AC10" s="4">
        <f>'Residential-lighting'!AC10*Conversion!$B$3</f>
        <v>0</v>
      </c>
      <c r="AD10" s="4">
        <f>'Residential-lighting'!AD10*Conversion!$B$3</f>
        <v>0</v>
      </c>
      <c r="AE10" s="4">
        <f>'Residential-lighting'!AE10*Conversion!$B$3</f>
        <v>0</v>
      </c>
      <c r="AF10" s="4">
        <f>'Residential-lighting'!AF10*Conversion!$B$3</f>
        <v>0</v>
      </c>
      <c r="AG10" s="4">
        <f>'Residential-lighting'!AG10*Conversion!$B$3</f>
        <v>0</v>
      </c>
      <c r="AH10" s="4">
        <f>'Residential-lighting'!AH10*Conversion!$B$3</f>
        <v>0</v>
      </c>
      <c r="AI10" s="4">
        <f>'Residential-lighting'!AI10*Conversion!$B$3</f>
        <v>0</v>
      </c>
      <c r="AJ10" s="4">
        <f>'Residential-lighting'!AJ10*Conversion!$B$3</f>
        <v>0</v>
      </c>
      <c r="AK10" s="4">
        <f>'Residential-lighting'!AK10*Conversion!$B$3</f>
        <v>0</v>
      </c>
      <c r="AL10" s="4">
        <f>'Residential-lighting'!AL10*Conversion!$B$3</f>
        <v>0</v>
      </c>
      <c r="AM10" s="4">
        <f>'Residential-lighting'!AM10*Conversion!$B$3</f>
        <v>0</v>
      </c>
      <c r="AN10" s="4">
        <f>'Residential-lighting'!AN10*Conversion!$B$3</f>
        <v>0</v>
      </c>
      <c r="AO10" s="4">
        <f>'Residential-lighting'!AO10*Conversion!$B$3</f>
        <v>0</v>
      </c>
      <c r="AP10" s="4">
        <f>'Residential-lighting'!AP10*Conversion!$B$3</f>
        <v>0</v>
      </c>
      <c r="AQ10" s="4">
        <f>'Residential-lighting'!AQ10*Conversion!$B$3</f>
        <v>0</v>
      </c>
    </row>
    <row r="11" spans="1:43" x14ac:dyDescent="0.2">
      <c r="A11" s="1" t="s">
        <v>21</v>
      </c>
      <c r="B11" s="15">
        <f>'Residential-lighting'!B11*Conversion!$B$3</f>
        <v>0</v>
      </c>
      <c r="C11" s="15">
        <f>'Residential-lighting'!C11*Conversion!$B$3</f>
        <v>0</v>
      </c>
      <c r="D11" s="15">
        <f>'Residential-lighting'!D11*Conversion!$B$3</f>
        <v>0</v>
      </c>
      <c r="E11" s="15">
        <f>'Residential-lighting'!E11*Conversion!$B$3</f>
        <v>0</v>
      </c>
      <c r="F11" s="4">
        <f>'Residential-lighting'!F11*Conversion!$B$3</f>
        <v>0</v>
      </c>
      <c r="G11" s="4">
        <f>'Residential-lighting'!G11*Conversion!$B$3</f>
        <v>0</v>
      </c>
      <c r="H11" s="4">
        <f>'Residential-lighting'!H11*Conversion!$B$3</f>
        <v>0</v>
      </c>
      <c r="I11" s="4">
        <f>'Residential-lighting'!I11*Conversion!$B$3</f>
        <v>0</v>
      </c>
      <c r="J11" s="4">
        <f>'Residential-lighting'!J11*Conversion!$B$3</f>
        <v>0</v>
      </c>
      <c r="K11" s="4">
        <f>'Residential-lighting'!K11*Conversion!$B$3</f>
        <v>0</v>
      </c>
      <c r="L11" s="4">
        <f>'Residential-lighting'!L11*Conversion!$B$3</f>
        <v>0</v>
      </c>
      <c r="M11" s="4">
        <f>'Residential-lighting'!M11*Conversion!$B$3</f>
        <v>0</v>
      </c>
      <c r="N11" s="4">
        <f>'Residential-lighting'!N11*Conversion!$B$3</f>
        <v>0</v>
      </c>
      <c r="O11" s="4">
        <f>'Residential-lighting'!O11*Conversion!$B$3</f>
        <v>0</v>
      </c>
      <c r="P11" s="4">
        <f>'Residential-lighting'!P11*Conversion!$B$3</f>
        <v>0</v>
      </c>
      <c r="Q11" s="4">
        <f>'Residential-lighting'!Q11*Conversion!$B$3</f>
        <v>0</v>
      </c>
      <c r="R11" s="4">
        <f>'Residential-lighting'!R11*Conversion!$B$3</f>
        <v>0</v>
      </c>
      <c r="S11" s="4">
        <f>'Residential-lighting'!S11*Conversion!$B$3</f>
        <v>0</v>
      </c>
      <c r="T11" s="4">
        <f>'Residential-lighting'!T11*Conversion!$B$3</f>
        <v>0</v>
      </c>
      <c r="U11" s="4">
        <f>'Residential-lighting'!U11*Conversion!$B$3</f>
        <v>0</v>
      </c>
      <c r="V11" s="4">
        <f>'Residential-lighting'!V11*Conversion!$B$3</f>
        <v>0</v>
      </c>
      <c r="W11" s="4">
        <f>'Residential-lighting'!W11*Conversion!$B$3</f>
        <v>0</v>
      </c>
      <c r="X11" s="4">
        <f>'Residential-lighting'!X11*Conversion!$B$3</f>
        <v>0</v>
      </c>
      <c r="Y11" s="4">
        <f>'Residential-lighting'!Y11*Conversion!$B$3</f>
        <v>0</v>
      </c>
      <c r="Z11" s="4">
        <f>'Residential-lighting'!Z11*Conversion!$B$3</f>
        <v>0</v>
      </c>
      <c r="AA11" s="4">
        <f>'Residential-lighting'!AA11*Conversion!$B$3</f>
        <v>0</v>
      </c>
      <c r="AB11" s="4">
        <f>'Residential-lighting'!AB11*Conversion!$B$3</f>
        <v>0</v>
      </c>
      <c r="AC11" s="4">
        <f>'Residential-lighting'!AC11*Conversion!$B$3</f>
        <v>0</v>
      </c>
      <c r="AD11" s="4">
        <f>'Residential-lighting'!AD11*Conversion!$B$3</f>
        <v>0</v>
      </c>
      <c r="AE11" s="4">
        <f>'Residential-lighting'!AE11*Conversion!$B$3</f>
        <v>0</v>
      </c>
      <c r="AF11" s="4">
        <f>'Residential-lighting'!AF11*Conversion!$B$3</f>
        <v>0</v>
      </c>
      <c r="AG11" s="4">
        <f>'Residential-lighting'!AG11*Conversion!$B$3</f>
        <v>0</v>
      </c>
      <c r="AH11" s="4">
        <f>'Residential-lighting'!AH11*Conversion!$B$3</f>
        <v>0</v>
      </c>
      <c r="AI11" s="4">
        <f>'Residential-lighting'!AI11*Conversion!$B$3</f>
        <v>0</v>
      </c>
      <c r="AJ11" s="4">
        <f>'Residential-lighting'!AJ11*Conversion!$B$3</f>
        <v>0</v>
      </c>
      <c r="AK11" s="4">
        <f>'Residential-lighting'!AK11*Conversion!$B$3</f>
        <v>0</v>
      </c>
      <c r="AL11" s="4">
        <f>'Residential-lighting'!AL11*Conversion!$B$3</f>
        <v>0</v>
      </c>
      <c r="AM11" s="4">
        <f>'Residential-lighting'!AM11*Conversion!$B$3</f>
        <v>0</v>
      </c>
      <c r="AN11" s="4">
        <f>'Residential-lighting'!AN11*Conversion!$B$3</f>
        <v>0</v>
      </c>
      <c r="AO11" s="4">
        <f>'Residential-lighting'!AO11*Conversion!$B$3</f>
        <v>0</v>
      </c>
      <c r="AP11" s="4">
        <f>'Residential-lighting'!AP11*Conversion!$B$3</f>
        <v>0</v>
      </c>
      <c r="AQ11" s="4">
        <f>'Residential-lighting'!AQ11*Conversion!$B$3</f>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D4009-DC91-CE49-A7B3-E63AAAFDE032}">
  <sheetPr>
    <tabColor theme="3" tint="0.249977111117893"/>
  </sheetPr>
  <dimension ref="A1:AQ11"/>
  <sheetViews>
    <sheetView workbookViewId="0">
      <selection activeCell="G26" sqref="G26"/>
    </sheetView>
  </sheetViews>
  <sheetFormatPr baseColWidth="10" defaultRowHeight="16" x14ac:dyDescent="0.2"/>
  <sheetData>
    <row r="1" spans="1:4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row>
    <row r="2" spans="1:43" x14ac:dyDescent="0.2">
      <c r="A2" s="1" t="s">
        <v>12</v>
      </c>
      <c r="B2" s="15">
        <f>'Residential-Appliances'!$C15*Conversion!$B$3</f>
        <v>205754010989101.03</v>
      </c>
      <c r="C2" s="15">
        <f>'Residential-Appliances'!$C16*Conversion!$B$3</f>
        <v>223142553733823.78</v>
      </c>
      <c r="D2" s="15">
        <f>'Residential-Appliances'!$C17*Conversion!$B$3</f>
        <v>240531096478546.53</v>
      </c>
      <c r="E2" s="4">
        <f>'Residential-Appliances'!E2*Conversion!$B$3</f>
        <v>249132427099371.25</v>
      </c>
      <c r="F2" s="4">
        <f>'Residential-Appliances'!F2*Conversion!$B$3</f>
        <v>276387733887304.81</v>
      </c>
      <c r="G2" s="4">
        <f>'Residential-Appliances'!G2*Conversion!$B$3</f>
        <v>298034077084229.88</v>
      </c>
      <c r="H2" s="4">
        <f>'Residential-Appliances'!H2*Conversion!$B$3</f>
        <v>313141699793749.38</v>
      </c>
      <c r="I2" s="4">
        <f>'Residential-Appliances'!I2*Conversion!$B$3</f>
        <v>330595894458504.31</v>
      </c>
      <c r="J2" s="4">
        <f>'Residential-Appliances'!J2*Conversion!$B$3</f>
        <v>347015125981406.56</v>
      </c>
      <c r="K2" s="4">
        <f>'Residential-Appliances'!K2*Conversion!$B$3</f>
        <v>362783335623757.12</v>
      </c>
      <c r="L2" s="4">
        <f>'Residential-Appliances'!L2*Conversion!$B$3</f>
        <v>377069246808496.81</v>
      </c>
      <c r="M2" s="4">
        <f>'Residential-Appliances'!M2*Conversion!$B$3</f>
        <v>391097964362093.81</v>
      </c>
      <c r="N2" s="4">
        <f>'Residential-Appliances'!N2*Conversion!$B$3</f>
        <v>416423310646159.25</v>
      </c>
      <c r="O2" s="4">
        <f>'Residential-Appliances'!O2*Conversion!$B$3</f>
        <v>428058818046227.56</v>
      </c>
      <c r="P2" s="4">
        <f>'Residential-Appliances'!P2*Conversion!$B$3</f>
        <v>439351862004055.56</v>
      </c>
      <c r="Q2" s="4">
        <f>'Residential-Appliances'!Q2*Conversion!$B$3</f>
        <v>450489452377980.5</v>
      </c>
      <c r="R2" s="4">
        <f>'Residential-Appliances'!R2*Conversion!$B$3</f>
        <v>461534379614923.44</v>
      </c>
      <c r="S2" s="4">
        <f>'Residential-Appliances'!S2*Conversion!$B$3</f>
        <v>471167184855692.81</v>
      </c>
      <c r="T2" s="4">
        <f>'Residential-Appliances'!T2*Conversion!$B$3</f>
        <v>476668114267960.69</v>
      </c>
      <c r="U2" s="4">
        <f>'Residential-Appliances'!U2*Conversion!$B$3</f>
        <v>482041925534613.56</v>
      </c>
      <c r="V2" s="4">
        <f>'Residential-Appliances'!V2*Conversion!$B$3</f>
        <v>487317109121404.19</v>
      </c>
      <c r="W2" s="4">
        <f>'Residential-Appliances'!W2*Conversion!$B$3</f>
        <v>492518304372018.25</v>
      </c>
      <c r="X2" s="4">
        <f>'Residential-Appliances'!X2*Conversion!$B$3</f>
        <v>500738125487569.12</v>
      </c>
      <c r="Y2" s="4">
        <f>'Residential-Appliances'!Y2*Conversion!$B$3</f>
        <v>504808977873004.44</v>
      </c>
      <c r="Z2" s="4">
        <f>'Residential-Appliances'!Z2*Conversion!$B$3</f>
        <v>508814954214368.06</v>
      </c>
      <c r="AA2" s="4">
        <f>'Residential-Appliances'!AA2*Conversion!$B$3</f>
        <v>512775154320688.31</v>
      </c>
      <c r="AB2" s="4">
        <f>'Residential-Appliances'!AB2*Conversion!$B$3</f>
        <v>516718122757248.19</v>
      </c>
      <c r="AC2" s="4">
        <f>'Residential-Appliances'!AC2*Conversion!$B$3</f>
        <v>520039898491408.69</v>
      </c>
      <c r="AD2" s="4">
        <f>'Residential-Appliances'!AD2*Conversion!$B$3</f>
        <v>523371884909772.75</v>
      </c>
      <c r="AE2" s="4">
        <f>'Residential-Appliances'!AE2*Conversion!$B$3</f>
        <v>526730178840484.06</v>
      </c>
      <c r="AF2" s="4">
        <f>'Residential-Appliances'!AF2*Conversion!$B$3</f>
        <v>530131175215396.75</v>
      </c>
      <c r="AG2" s="4">
        <f>'Residential-Appliances'!AG2*Conversion!$B$3</f>
        <v>533591736011254.25</v>
      </c>
      <c r="AH2" s="4">
        <f>'Residential-Appliances'!AH2*Conversion!$B$3</f>
        <v>537615399350800.94</v>
      </c>
      <c r="AI2" s="4">
        <f>'Residential-Appliances'!AI2*Conversion!$B$3</f>
        <v>539619367395632.25</v>
      </c>
      <c r="AJ2" s="4">
        <f>'Residential-Appliances'!AJ2*Conversion!$B$3</f>
        <v>541719763786181.12</v>
      </c>
      <c r="AK2" s="4">
        <f>'Residential-Appliances'!AK2*Conversion!$B$3</f>
        <v>543936579755799.56</v>
      </c>
      <c r="AL2" s="4">
        <f>'Residential-Appliances'!AL2*Conversion!$B$3</f>
        <v>546291154453100.62</v>
      </c>
      <c r="AM2" s="4">
        <f>'Residential-Appliances'!AM2*Conversion!$B$3</f>
        <v>548863111666276</v>
      </c>
      <c r="AN2" s="4">
        <f>'Residential-Appliances'!AN2*Conversion!$B$3</f>
        <v>551620593542289.69</v>
      </c>
      <c r="AO2" s="4">
        <f>'Residential-Appliances'!AO2*Conversion!$B$3</f>
        <v>554590604461355.75</v>
      </c>
      <c r="AP2" s="4">
        <f>'Residential-Appliances'!AP2*Conversion!$B$3</f>
        <v>557802657532539.62</v>
      </c>
      <c r="AQ2" s="4">
        <f>'Residential-Appliances'!AQ2*Conversion!$B$3</f>
        <v>561289132557721.44</v>
      </c>
    </row>
    <row r="3" spans="1:43" x14ac:dyDescent="0.2">
      <c r="A3" s="1" t="s">
        <v>13</v>
      </c>
      <c r="B3" s="15">
        <f>'Residential-Appliances'!B3*Conversion!$B$3</f>
        <v>0</v>
      </c>
      <c r="C3" s="15">
        <f>'Residential-Appliances'!C3*Conversion!$B$3</f>
        <v>0</v>
      </c>
      <c r="D3" s="15">
        <f>'Residential-Appliances'!D3*Conversion!$B$3</f>
        <v>0</v>
      </c>
      <c r="E3" s="4">
        <f>'Residential-Appliances'!E3*Conversion!$B$3</f>
        <v>0</v>
      </c>
      <c r="F3" s="4">
        <f>'Residential-Appliances'!F3*Conversion!$B$3</f>
        <v>0</v>
      </c>
      <c r="G3" s="4">
        <f>'Residential-Appliances'!G3*Conversion!$B$3</f>
        <v>0</v>
      </c>
      <c r="H3" s="4">
        <f>'Residential-Appliances'!H3*Conversion!$B$3</f>
        <v>0</v>
      </c>
      <c r="I3" s="4">
        <f>'Residential-Appliances'!I3*Conversion!$B$3</f>
        <v>0</v>
      </c>
      <c r="J3" s="4">
        <f>'Residential-Appliances'!J3*Conversion!$B$3</f>
        <v>0</v>
      </c>
      <c r="K3" s="4">
        <f>'Residential-Appliances'!K3*Conversion!$B$3</f>
        <v>0</v>
      </c>
      <c r="L3" s="4">
        <f>'Residential-Appliances'!L3*Conversion!$B$3</f>
        <v>0</v>
      </c>
      <c r="M3" s="4">
        <f>'Residential-Appliances'!M3*Conversion!$B$3</f>
        <v>0</v>
      </c>
      <c r="N3" s="4">
        <f>'Residential-Appliances'!N3*Conversion!$B$3</f>
        <v>0</v>
      </c>
      <c r="O3" s="4">
        <f>'Residential-Appliances'!O3*Conversion!$B$3</f>
        <v>0</v>
      </c>
      <c r="P3" s="4">
        <f>'Residential-Appliances'!P3*Conversion!$B$3</f>
        <v>0</v>
      </c>
      <c r="Q3" s="4">
        <f>'Residential-Appliances'!Q3*Conversion!$B$3</f>
        <v>0</v>
      </c>
      <c r="R3" s="4">
        <f>'Residential-Appliances'!R3*Conversion!$B$3</f>
        <v>0</v>
      </c>
      <c r="S3" s="4">
        <f>'Residential-Appliances'!S3*Conversion!$B$3</f>
        <v>0</v>
      </c>
      <c r="T3" s="4">
        <f>'Residential-Appliances'!T3*Conversion!$B$3</f>
        <v>0</v>
      </c>
      <c r="U3" s="4">
        <f>'Residential-Appliances'!U3*Conversion!$B$3</f>
        <v>0</v>
      </c>
      <c r="V3" s="4">
        <f>'Residential-Appliances'!V3*Conversion!$B$3</f>
        <v>0</v>
      </c>
      <c r="W3" s="4">
        <f>'Residential-Appliances'!W3*Conversion!$B$3</f>
        <v>0</v>
      </c>
      <c r="X3" s="4">
        <f>'Residential-Appliances'!X3*Conversion!$B$3</f>
        <v>0</v>
      </c>
      <c r="Y3" s="4">
        <f>'Residential-Appliances'!Y3*Conversion!$B$3</f>
        <v>0</v>
      </c>
      <c r="Z3" s="4">
        <f>'Residential-Appliances'!Z3*Conversion!$B$3</f>
        <v>0</v>
      </c>
      <c r="AA3" s="4">
        <f>'Residential-Appliances'!AA3*Conversion!$B$3</f>
        <v>0</v>
      </c>
      <c r="AB3" s="4">
        <f>'Residential-Appliances'!AB3*Conversion!$B$3</f>
        <v>0</v>
      </c>
      <c r="AC3" s="4">
        <f>'Residential-Appliances'!AC3*Conversion!$B$3</f>
        <v>0</v>
      </c>
      <c r="AD3" s="4">
        <f>'Residential-Appliances'!AD3*Conversion!$B$3</f>
        <v>0</v>
      </c>
      <c r="AE3" s="4">
        <f>'Residential-Appliances'!AE3*Conversion!$B$3</f>
        <v>0</v>
      </c>
      <c r="AF3" s="4">
        <f>'Residential-Appliances'!AF3*Conversion!$B$3</f>
        <v>0</v>
      </c>
      <c r="AG3" s="4">
        <f>'Residential-Appliances'!AG3*Conversion!$B$3</f>
        <v>0</v>
      </c>
      <c r="AH3" s="4">
        <f>'Residential-Appliances'!AH3*Conversion!$B$3</f>
        <v>0</v>
      </c>
      <c r="AI3" s="4">
        <f>'Residential-Appliances'!AI3*Conversion!$B$3</f>
        <v>0</v>
      </c>
      <c r="AJ3" s="4">
        <f>'Residential-Appliances'!AJ3*Conversion!$B$3</f>
        <v>0</v>
      </c>
      <c r="AK3" s="4">
        <f>'Residential-Appliances'!AK3*Conversion!$B$3</f>
        <v>0</v>
      </c>
      <c r="AL3" s="4">
        <f>'Residential-Appliances'!AL3*Conversion!$B$3</f>
        <v>0</v>
      </c>
      <c r="AM3" s="4">
        <f>'Residential-Appliances'!AM3*Conversion!$B$3</f>
        <v>0</v>
      </c>
      <c r="AN3" s="4">
        <f>'Residential-Appliances'!AN3*Conversion!$B$3</f>
        <v>0</v>
      </c>
      <c r="AO3" s="4">
        <f>'Residential-Appliances'!AO3*Conversion!$B$3</f>
        <v>0</v>
      </c>
      <c r="AP3" s="4">
        <f>'Residential-Appliances'!AP3*Conversion!$B$3</f>
        <v>0</v>
      </c>
      <c r="AQ3" s="4">
        <f>'Residential-Appliances'!AQ3*Conversion!$B$3</f>
        <v>0</v>
      </c>
    </row>
    <row r="4" spans="1:43" x14ac:dyDescent="0.2">
      <c r="A4" s="1" t="s">
        <v>14</v>
      </c>
      <c r="B4" s="15">
        <f>'Residential-Appliances'!$H15*Conversion!$B$3</f>
        <v>787142857142.88953</v>
      </c>
      <c r="C4" s="15">
        <f>'Residential-Appliances'!$H16*Conversion!$B$3</f>
        <v>1150178571428.5552</v>
      </c>
      <c r="D4" s="15">
        <f>'Residential-Appliances'!$H17*Conversion!$B$3</f>
        <v>1513214285714.2209</v>
      </c>
      <c r="E4" s="4">
        <f>'Residential-Appliances'!E4*Conversion!$B$3</f>
        <v>1995000000000</v>
      </c>
      <c r="F4" s="4">
        <f>'Residential-Appliances'!F4*Conversion!$B$3</f>
        <v>2280000000000</v>
      </c>
      <c r="G4" s="4">
        <f>'Residential-Appliances'!G4*Conversion!$B$3</f>
        <v>2565000000000</v>
      </c>
      <c r="H4" s="4">
        <f>'Residential-Appliances'!H4*Conversion!$B$3</f>
        <v>2850000000000</v>
      </c>
      <c r="I4" s="4">
        <f>'Residential-Appliances'!I4*Conversion!$B$3</f>
        <v>3230000000000</v>
      </c>
      <c r="J4" s="4">
        <f>'Residential-Appliances'!J4*Conversion!$B$3</f>
        <v>3610000000000</v>
      </c>
      <c r="K4" s="4">
        <f>'Residential-Appliances'!K4*Conversion!$B$3</f>
        <v>4085000000000</v>
      </c>
      <c r="L4" s="4">
        <f>'Residential-Appliances'!L4*Conversion!$B$3</f>
        <v>4560000000000</v>
      </c>
      <c r="M4" s="4">
        <f>'Residential-Appliances'!M4*Conversion!$B$3</f>
        <v>5130000000000</v>
      </c>
      <c r="N4" s="4">
        <f>'Residential-Appliances'!N4*Conversion!$B$3</f>
        <v>5795000000000</v>
      </c>
      <c r="O4" s="4">
        <f>'Residential-Appliances'!O4*Conversion!$B$3</f>
        <v>6555000000000</v>
      </c>
      <c r="P4" s="4">
        <f>'Residential-Appliances'!P4*Conversion!$B$3</f>
        <v>7315000000000</v>
      </c>
      <c r="Q4" s="4">
        <f>'Residential-Appliances'!Q4*Conversion!$B$3</f>
        <v>8265000000000</v>
      </c>
      <c r="R4" s="4">
        <f>'Residential-Appliances'!R4*Conversion!$B$3</f>
        <v>9310000000000</v>
      </c>
      <c r="S4" s="4">
        <f>'Residential-Appliances'!S4*Conversion!$B$3</f>
        <v>10450000000000</v>
      </c>
      <c r="T4" s="4">
        <f>'Residential-Appliances'!T4*Conversion!$B$3</f>
        <v>11780000000000</v>
      </c>
      <c r="U4" s="4">
        <f>'Residential-Appliances'!U4*Conversion!$B$3</f>
        <v>13300000000000</v>
      </c>
      <c r="V4" s="4">
        <f>'Residential-Appliances'!V4*Conversion!$B$3</f>
        <v>15010000000000</v>
      </c>
      <c r="W4" s="4">
        <f>'Residential-Appliances'!W4*Conversion!$B$3</f>
        <v>15760500000000</v>
      </c>
      <c r="X4" s="4">
        <f>'Residential-Appliances'!X4*Conversion!$B$3</f>
        <v>16520500000000</v>
      </c>
      <c r="Y4" s="4">
        <f>'Residential-Appliances'!Y4*Conversion!$B$3</f>
        <v>17280500000000</v>
      </c>
      <c r="Z4" s="4">
        <f>'Residential-Appliances'!Z4*Conversion!$B$3</f>
        <v>18040500000000</v>
      </c>
      <c r="AA4" s="4">
        <f>'Residential-Appliances'!AA4*Conversion!$B$3</f>
        <v>18791000000000</v>
      </c>
      <c r="AB4" s="4">
        <f>'Residential-Appliances'!AB4*Conversion!$B$3</f>
        <v>19551000000000</v>
      </c>
      <c r="AC4" s="4">
        <f>'Residential-Appliances'!AC4*Conversion!$B$3</f>
        <v>20292000000000</v>
      </c>
      <c r="AD4" s="4">
        <f>'Residential-Appliances'!AD4*Conversion!$B$3</f>
        <v>21023500000000</v>
      </c>
      <c r="AE4" s="4">
        <f>'Residential-Appliances'!AE4*Conversion!$B$3</f>
        <v>21736000000000</v>
      </c>
      <c r="AF4" s="4">
        <f>'Residential-Appliances'!AF4*Conversion!$B$3</f>
        <v>22429500000000</v>
      </c>
      <c r="AG4" s="4">
        <f>'Residential-Appliances'!AG4*Conversion!$B$3</f>
        <v>23104000000000</v>
      </c>
      <c r="AH4" s="4">
        <f>'Residential-Appliances'!AH4*Conversion!$B$3</f>
        <v>23750000000000</v>
      </c>
      <c r="AI4" s="4">
        <f>'Residential-Appliances'!AI4*Conversion!$B$3</f>
        <v>24367500000000</v>
      </c>
      <c r="AJ4" s="4">
        <f>'Residential-Appliances'!AJ4*Conversion!$B$3</f>
        <v>24947000000000</v>
      </c>
      <c r="AK4" s="4">
        <f>'Residential-Appliances'!AK4*Conversion!$B$3</f>
        <v>25498000000000</v>
      </c>
      <c r="AL4" s="4">
        <f>'Residential-Appliances'!AL4*Conversion!$B$3</f>
        <v>26011000000000</v>
      </c>
      <c r="AM4" s="4">
        <f>'Residential-Appliances'!AM4*Conversion!$B$3</f>
        <v>26476500000000</v>
      </c>
      <c r="AN4" s="4">
        <f>'Residential-Appliances'!AN4*Conversion!$B$3</f>
        <v>26904000000000</v>
      </c>
      <c r="AO4" s="4">
        <f>'Residential-Appliances'!AO4*Conversion!$B$3</f>
        <v>27274500000000</v>
      </c>
      <c r="AP4" s="4">
        <f>'Residential-Appliances'!AP4*Conversion!$B$3</f>
        <v>27607000000000</v>
      </c>
      <c r="AQ4" s="4">
        <f>'Residential-Appliances'!AQ4*Conversion!$B$3</f>
        <v>27882500000000</v>
      </c>
    </row>
    <row r="5" spans="1:43" x14ac:dyDescent="0.2">
      <c r="A5" s="1" t="s">
        <v>15</v>
      </c>
      <c r="B5" s="15">
        <f>'Residential-Appliances'!B5*Conversion!$B$3</f>
        <v>0</v>
      </c>
      <c r="C5" s="15">
        <f>'Residential-Appliances'!C5*Conversion!$B$3</f>
        <v>0</v>
      </c>
      <c r="D5" s="15">
        <f>'Residential-Appliances'!D5*Conversion!$B$3</f>
        <v>0</v>
      </c>
      <c r="E5" s="4">
        <f>'Residential-Appliances'!E5*Conversion!$B$3</f>
        <v>0</v>
      </c>
      <c r="F5" s="4">
        <f>'Residential-Appliances'!F5*Conversion!$B$3</f>
        <v>0</v>
      </c>
      <c r="G5" s="4">
        <f>'Residential-Appliances'!G5*Conversion!$B$3</f>
        <v>0</v>
      </c>
      <c r="H5" s="4">
        <f>'Residential-Appliances'!H5*Conversion!$B$3</f>
        <v>0</v>
      </c>
      <c r="I5" s="4">
        <f>'Residential-Appliances'!I5*Conversion!$B$3</f>
        <v>0</v>
      </c>
      <c r="J5" s="4">
        <f>'Residential-Appliances'!J5*Conversion!$B$3</f>
        <v>0</v>
      </c>
      <c r="K5" s="4">
        <f>'Residential-Appliances'!K5*Conversion!$B$3</f>
        <v>0</v>
      </c>
      <c r="L5" s="4">
        <f>'Residential-Appliances'!L5*Conversion!$B$3</f>
        <v>0</v>
      </c>
      <c r="M5" s="4">
        <f>'Residential-Appliances'!M5*Conversion!$B$3</f>
        <v>0</v>
      </c>
      <c r="N5" s="4">
        <f>'Residential-Appliances'!N5*Conversion!$B$3</f>
        <v>0</v>
      </c>
      <c r="O5" s="4">
        <f>'Residential-Appliances'!O5*Conversion!$B$3</f>
        <v>0</v>
      </c>
      <c r="P5" s="4">
        <f>'Residential-Appliances'!P5*Conversion!$B$3</f>
        <v>0</v>
      </c>
      <c r="Q5" s="4">
        <f>'Residential-Appliances'!Q5*Conversion!$B$3</f>
        <v>0</v>
      </c>
      <c r="R5" s="4">
        <f>'Residential-Appliances'!R5*Conversion!$B$3</f>
        <v>0</v>
      </c>
      <c r="S5" s="4">
        <f>'Residential-Appliances'!S5*Conversion!$B$3</f>
        <v>0</v>
      </c>
      <c r="T5" s="4">
        <f>'Residential-Appliances'!T5*Conversion!$B$3</f>
        <v>0</v>
      </c>
      <c r="U5" s="4">
        <f>'Residential-Appliances'!U5*Conversion!$B$3</f>
        <v>0</v>
      </c>
      <c r="V5" s="4">
        <f>'Residential-Appliances'!V5*Conversion!$B$3</f>
        <v>0</v>
      </c>
      <c r="W5" s="4">
        <f>'Residential-Appliances'!W5*Conversion!$B$3</f>
        <v>0</v>
      </c>
      <c r="X5" s="4">
        <f>'Residential-Appliances'!X5*Conversion!$B$3</f>
        <v>0</v>
      </c>
      <c r="Y5" s="4">
        <f>'Residential-Appliances'!Y5*Conversion!$B$3</f>
        <v>0</v>
      </c>
      <c r="Z5" s="4">
        <f>'Residential-Appliances'!Z5*Conversion!$B$3</f>
        <v>0</v>
      </c>
      <c r="AA5" s="4">
        <f>'Residential-Appliances'!AA5*Conversion!$B$3</f>
        <v>0</v>
      </c>
      <c r="AB5" s="4">
        <f>'Residential-Appliances'!AB5*Conversion!$B$3</f>
        <v>0</v>
      </c>
      <c r="AC5" s="4">
        <f>'Residential-Appliances'!AC5*Conversion!$B$3</f>
        <v>0</v>
      </c>
      <c r="AD5" s="4">
        <f>'Residential-Appliances'!AD5*Conversion!$B$3</f>
        <v>0</v>
      </c>
      <c r="AE5" s="4">
        <f>'Residential-Appliances'!AE5*Conversion!$B$3</f>
        <v>0</v>
      </c>
      <c r="AF5" s="4">
        <f>'Residential-Appliances'!AF5*Conversion!$B$3</f>
        <v>0</v>
      </c>
      <c r="AG5" s="4">
        <f>'Residential-Appliances'!AG5*Conversion!$B$3</f>
        <v>0</v>
      </c>
      <c r="AH5" s="4">
        <f>'Residential-Appliances'!AH5*Conversion!$B$3</f>
        <v>0</v>
      </c>
      <c r="AI5" s="4">
        <f>'Residential-Appliances'!AI5*Conversion!$B$3</f>
        <v>0</v>
      </c>
      <c r="AJ5" s="4">
        <f>'Residential-Appliances'!AJ5*Conversion!$B$3</f>
        <v>0</v>
      </c>
      <c r="AK5" s="4">
        <f>'Residential-Appliances'!AK5*Conversion!$B$3</f>
        <v>0</v>
      </c>
      <c r="AL5" s="4">
        <f>'Residential-Appliances'!AL5*Conversion!$B$3</f>
        <v>0</v>
      </c>
      <c r="AM5" s="4">
        <f>'Residential-Appliances'!AM5*Conversion!$B$3</f>
        <v>0</v>
      </c>
      <c r="AN5" s="4">
        <f>'Residential-Appliances'!AN5*Conversion!$B$3</f>
        <v>0</v>
      </c>
      <c r="AO5" s="4">
        <f>'Residential-Appliances'!AO5*Conversion!$B$3</f>
        <v>0</v>
      </c>
      <c r="AP5" s="4">
        <f>'Residential-Appliances'!AP5*Conversion!$B$3</f>
        <v>0</v>
      </c>
      <c r="AQ5" s="4">
        <f>'Residential-Appliances'!AQ5*Conversion!$B$3</f>
        <v>0</v>
      </c>
    </row>
    <row r="6" spans="1:43" x14ac:dyDescent="0.2">
      <c r="A6" s="1" t="s">
        <v>16</v>
      </c>
      <c r="B6" s="15">
        <f>'Residential-Appliances'!B6*Conversion!$B$3</f>
        <v>0</v>
      </c>
      <c r="C6" s="15">
        <f>'Residential-Appliances'!C6*Conversion!$B$3</f>
        <v>0</v>
      </c>
      <c r="D6" s="15">
        <f>'Residential-Appliances'!D6*Conversion!$B$3</f>
        <v>0</v>
      </c>
      <c r="E6" s="4">
        <f>'Residential-Appliances'!E6*Conversion!$B$3</f>
        <v>0</v>
      </c>
      <c r="F6" s="4">
        <f>'Residential-Appliances'!F6*Conversion!$B$3</f>
        <v>0</v>
      </c>
      <c r="G6" s="4">
        <f>'Residential-Appliances'!G6*Conversion!$B$3</f>
        <v>0</v>
      </c>
      <c r="H6" s="4">
        <f>'Residential-Appliances'!H6*Conversion!$B$3</f>
        <v>0</v>
      </c>
      <c r="I6" s="4">
        <f>'Residential-Appliances'!I6*Conversion!$B$3</f>
        <v>0</v>
      </c>
      <c r="J6" s="4">
        <f>'Residential-Appliances'!J6*Conversion!$B$3</f>
        <v>0</v>
      </c>
      <c r="K6" s="4">
        <f>'Residential-Appliances'!K6*Conversion!$B$3</f>
        <v>0</v>
      </c>
      <c r="L6" s="4">
        <f>'Residential-Appliances'!L6*Conversion!$B$3</f>
        <v>0</v>
      </c>
      <c r="M6" s="4">
        <f>'Residential-Appliances'!M6*Conversion!$B$3</f>
        <v>0</v>
      </c>
      <c r="N6" s="4">
        <f>'Residential-Appliances'!N6*Conversion!$B$3</f>
        <v>0</v>
      </c>
      <c r="O6" s="4">
        <f>'Residential-Appliances'!O6*Conversion!$B$3</f>
        <v>0</v>
      </c>
      <c r="P6" s="4">
        <f>'Residential-Appliances'!P6*Conversion!$B$3</f>
        <v>0</v>
      </c>
      <c r="Q6" s="4">
        <f>'Residential-Appliances'!Q6*Conversion!$B$3</f>
        <v>0</v>
      </c>
      <c r="R6" s="4">
        <f>'Residential-Appliances'!R6*Conversion!$B$3</f>
        <v>0</v>
      </c>
      <c r="S6" s="4">
        <f>'Residential-Appliances'!S6*Conversion!$B$3</f>
        <v>0</v>
      </c>
      <c r="T6" s="4">
        <f>'Residential-Appliances'!T6*Conversion!$B$3</f>
        <v>0</v>
      </c>
      <c r="U6" s="4">
        <f>'Residential-Appliances'!U6*Conversion!$B$3</f>
        <v>0</v>
      </c>
      <c r="V6" s="4">
        <f>'Residential-Appliances'!V6*Conversion!$B$3</f>
        <v>0</v>
      </c>
      <c r="W6" s="4">
        <f>'Residential-Appliances'!W6*Conversion!$B$3</f>
        <v>0</v>
      </c>
      <c r="X6" s="4">
        <f>'Residential-Appliances'!X6*Conversion!$B$3</f>
        <v>0</v>
      </c>
      <c r="Y6" s="4">
        <f>'Residential-Appliances'!Y6*Conversion!$B$3</f>
        <v>0</v>
      </c>
      <c r="Z6" s="4">
        <f>'Residential-Appliances'!Z6*Conversion!$B$3</f>
        <v>0</v>
      </c>
      <c r="AA6" s="4">
        <f>'Residential-Appliances'!AA6*Conversion!$B$3</f>
        <v>0</v>
      </c>
      <c r="AB6" s="4">
        <f>'Residential-Appliances'!AB6*Conversion!$B$3</f>
        <v>0</v>
      </c>
      <c r="AC6" s="4">
        <f>'Residential-Appliances'!AC6*Conversion!$B$3</f>
        <v>0</v>
      </c>
      <c r="AD6" s="4">
        <f>'Residential-Appliances'!AD6*Conversion!$B$3</f>
        <v>0</v>
      </c>
      <c r="AE6" s="4">
        <f>'Residential-Appliances'!AE6*Conversion!$B$3</f>
        <v>0</v>
      </c>
      <c r="AF6" s="4">
        <f>'Residential-Appliances'!AF6*Conversion!$B$3</f>
        <v>0</v>
      </c>
      <c r="AG6" s="4">
        <f>'Residential-Appliances'!AG6*Conversion!$B$3</f>
        <v>0</v>
      </c>
      <c r="AH6" s="4">
        <f>'Residential-Appliances'!AH6*Conversion!$B$3</f>
        <v>0</v>
      </c>
      <c r="AI6" s="4">
        <f>'Residential-Appliances'!AI6*Conversion!$B$3</f>
        <v>0</v>
      </c>
      <c r="AJ6" s="4">
        <f>'Residential-Appliances'!AJ6*Conversion!$B$3</f>
        <v>0</v>
      </c>
      <c r="AK6" s="4">
        <f>'Residential-Appliances'!AK6*Conversion!$B$3</f>
        <v>0</v>
      </c>
      <c r="AL6" s="4">
        <f>'Residential-Appliances'!AL6*Conversion!$B$3</f>
        <v>0</v>
      </c>
      <c r="AM6" s="4">
        <f>'Residential-Appliances'!AM6*Conversion!$B$3</f>
        <v>0</v>
      </c>
      <c r="AN6" s="4">
        <f>'Residential-Appliances'!AN6*Conversion!$B$3</f>
        <v>0</v>
      </c>
      <c r="AO6" s="4">
        <f>'Residential-Appliances'!AO6*Conversion!$B$3</f>
        <v>0</v>
      </c>
      <c r="AP6" s="4">
        <f>'Residential-Appliances'!AP6*Conversion!$B$3</f>
        <v>0</v>
      </c>
      <c r="AQ6" s="4">
        <f>'Residential-Appliances'!AQ6*Conversion!$B$3</f>
        <v>0</v>
      </c>
    </row>
    <row r="7" spans="1:43" x14ac:dyDescent="0.2">
      <c r="A7" s="1" t="s">
        <v>17</v>
      </c>
      <c r="B7" s="15">
        <f>'Residential-Appliances'!$M15*Conversion!$B$3</f>
        <v>124079384321579.94</v>
      </c>
      <c r="C7" s="15">
        <f>'Residential-Appliances'!$M16*Conversion!$B$3</f>
        <v>113972695977096.75</v>
      </c>
      <c r="D7" s="15">
        <f>'Residential-Appliances'!$M17*Conversion!$B$3</f>
        <v>103866007632613.56</v>
      </c>
      <c r="E7" s="4">
        <f>'Residential-Appliances'!E7*Conversion!$B$3</f>
        <v>93963081041181.266</v>
      </c>
      <c r="F7" s="4">
        <f>'Residential-Appliances'!F7*Conversion!$B$3</f>
        <v>83245107437545.766</v>
      </c>
      <c r="G7" s="4">
        <f>'Residential-Appliances'!G7*Conversion!$B$3</f>
        <v>73749704352214.656</v>
      </c>
      <c r="H7" s="4">
        <f>'Residential-Appliances'!H7*Conversion!$B$3</f>
        <v>65337416391537.398</v>
      </c>
      <c r="I7" s="4">
        <f>'Residential-Appliances'!I7*Conversion!$B$3</f>
        <v>57884695504496.992</v>
      </c>
      <c r="J7" s="4">
        <f>'Residential-Appliances'!J7*Conversion!$B$3</f>
        <v>51282086457826.469</v>
      </c>
      <c r="K7" s="4">
        <f>'Residential-Appliances'!K7*Conversion!$B$3</f>
        <v>45432619294540.883</v>
      </c>
      <c r="L7" s="4">
        <f>'Residential-Appliances'!L7*Conversion!$B$3</f>
        <v>40250385164540.828</v>
      </c>
      <c r="M7" s="4">
        <f>'Residential-Appliances'!M7*Conversion!$B$3</f>
        <v>35659274609372.148</v>
      </c>
      <c r="N7" s="4">
        <f>'Residential-Appliances'!N7*Conversion!$B$3</f>
        <v>31591859769496.836</v>
      </c>
      <c r="O7" s="4">
        <f>'Residential-Appliances'!O7*Conversion!$B$3</f>
        <v>27988404096514.27</v>
      </c>
      <c r="P7" s="4">
        <f>'Residential-Appliances'!P7*Conversion!$B$3</f>
        <v>24795985025676.055</v>
      </c>
      <c r="Q7" s="4">
        <f>'Residential-Appliances'!Q7*Conversion!$B$3</f>
        <v>21967716723267.699</v>
      </c>
      <c r="R7" s="4">
        <f>'Residential-Appliances'!R7*Conversion!$B$3</f>
        <v>19462061493354.348</v>
      </c>
      <c r="S7" s="4">
        <f>'Residential-Appliances'!S7*Conversion!$B$3</f>
        <v>17242219730608.938</v>
      </c>
      <c r="T7" s="4">
        <f>'Residential-Appliances'!T7*Conversion!$B$3</f>
        <v>15275589459594.521</v>
      </c>
      <c r="U7" s="4">
        <f>'Residential-Appliances'!U7*Conversion!$B$3</f>
        <v>13533287522912.102</v>
      </c>
      <c r="V7" s="4">
        <f>'Residential-Appliances'!V7*Conversion!$B$3</f>
        <v>11989725386069.859</v>
      </c>
      <c r="W7" s="4">
        <f>'Residential-Appliances'!W7*Conversion!$B$3</f>
        <v>10622233329082.441</v>
      </c>
      <c r="X7" s="4">
        <f>'Residential-Appliances'!X7*Conversion!$B$3</f>
        <v>9410727505456.7969</v>
      </c>
      <c r="Y7" s="4">
        <f>'Residential-Appliances'!Y7*Conversion!$B$3</f>
        <v>8337414978802.0732</v>
      </c>
      <c r="Z7" s="4">
        <f>'Residential-Appliances'!Z7*Conversion!$B$3</f>
        <v>7386532405065.7383</v>
      </c>
      <c r="AA7" s="4">
        <f>'Residential-Appliances'!AA7*Conversion!$B$3</f>
        <v>6544114522537.8311</v>
      </c>
      <c r="AB7" s="4">
        <f>'Residential-Appliances'!AB7*Conversion!$B$3</f>
        <v>5797789049539.3848</v>
      </c>
      <c r="AC7" s="4">
        <f>'Residential-Appliances'!AC7*Conversion!$B$3</f>
        <v>5136594977548.6553</v>
      </c>
      <c r="AD7" s="4">
        <f>'Residential-Appliances'!AD7*Conversion!$B$3</f>
        <v>4550821591116.8477</v>
      </c>
      <c r="AE7" s="4">
        <f>'Residential-Appliances'!AE7*Conversion!$B$3</f>
        <v>4031865850329.5474</v>
      </c>
      <c r="AF7" s="4">
        <f>'Residential-Appliances'!AF7*Conversion!$B$3</f>
        <v>3572106041252.1802</v>
      </c>
      <c r="AG7" s="4">
        <f>'Residential-Appliances'!AG7*Conversion!$B$3</f>
        <v>3164789838717.9795</v>
      </c>
      <c r="AH7" s="4">
        <f>'Residential-Appliances'!AH7*Conversion!$B$3</f>
        <v>2803935137484.2905</v>
      </c>
      <c r="AI7" s="4">
        <f>'Residential-Appliances'!AI7*Conversion!$B$3</f>
        <v>2484242195306.1577</v>
      </c>
      <c r="AJ7" s="4">
        <f>'Residential-Appliances'!AJ7*Conversion!$B$3</f>
        <v>2201015797609.0732</v>
      </c>
      <c r="AK7" s="4">
        <f>'Residential-Appliances'!AK7*Conversion!$B$3</f>
        <v>1950096300625.5005</v>
      </c>
      <c r="AL7" s="4">
        <f>'Residential-Appliances'!AL7*Conversion!$B$3</f>
        <v>1727798540253.7852</v>
      </c>
      <c r="AM7" s="4">
        <f>'Residential-Appliances'!AM7*Conversion!$B$3</f>
        <v>1530857709418.5154</v>
      </c>
      <c r="AN7" s="4">
        <f>'Residential-Appliances'!AN7*Conversion!$B$3</f>
        <v>1356381409054.7461</v>
      </c>
      <c r="AO7" s="4">
        <f>'Residential-Appliances'!AO7*Conversion!$B$3</f>
        <v>1201807168507.8601</v>
      </c>
      <c r="AP7" s="4">
        <f>'Residential-Appliances'!AP7*Conversion!$B$3</f>
        <v>1064864811467.8782</v>
      </c>
      <c r="AQ7" s="4">
        <f>'Residential-Appliances'!AQ7*Conversion!$B$3</f>
        <v>943543114721.32861</v>
      </c>
    </row>
    <row r="8" spans="1:43" x14ac:dyDescent="0.2">
      <c r="A8" s="1" t="s">
        <v>18</v>
      </c>
      <c r="B8" s="15">
        <f>'Residential-Appliances'!$R15*Conversion!$B$3</f>
        <v>12046732463715.111</v>
      </c>
      <c r="C8" s="15">
        <f>'Residential-Appliances'!$R16*Conversion!$B$3</f>
        <v>11304995931852.377</v>
      </c>
      <c r="D8" s="15">
        <f>'Residential-Appliances'!$R17*Conversion!$B$3</f>
        <v>10563259399989.641</v>
      </c>
      <c r="E8" s="4">
        <f>'Residential-Appliances'!E8*Conversion!$B$3</f>
        <v>9911516929137.916</v>
      </c>
      <c r="F8" s="4">
        <f>'Residential-Appliances'!F8*Conversion!$B$3</f>
        <v>8899798214241.6035</v>
      </c>
      <c r="G8" s="4">
        <f>'Residential-Appliances'!G8*Conversion!$B$3</f>
        <v>8428043865412.332</v>
      </c>
      <c r="H8" s="4">
        <f>'Residential-Appliances'!H8*Conversion!$B$3</f>
        <v>7981295944850.5293</v>
      </c>
      <c r="I8" s="4">
        <f>'Residential-Appliances'!I8*Conversion!$B$3</f>
        <v>7558228929100.499</v>
      </c>
      <c r="J8" s="4">
        <f>'Residential-Appliances'!J8*Conversion!$B$3</f>
        <v>7157587557137.1885</v>
      </c>
      <c r="K8" s="4">
        <f>'Residential-Appliances'!K8*Conversion!$B$3</f>
        <v>6778183105943.8594</v>
      </c>
      <c r="L8" s="4">
        <f>'Residential-Appliances'!L8*Conversion!$B$3</f>
        <v>6418889863511.3281</v>
      </c>
      <c r="M8" s="4">
        <f>'Residential-Appliances'!M8*Conversion!$B$3</f>
        <v>6078641788794.0967</v>
      </c>
      <c r="N8" s="4">
        <f>'Residential-Appliances'!N8*Conversion!$B$3</f>
        <v>5756429348713.1357</v>
      </c>
      <c r="O8" s="4">
        <f>'Residential-Appliances'!O8*Conversion!$B$3</f>
        <v>5451296522820.7158</v>
      </c>
      <c r="P8" s="4">
        <f>'Residential-Appliances'!P8*Conversion!$B$3</f>
        <v>5162337966739.8232</v>
      </c>
      <c r="Q8" s="4">
        <f>'Residential-Appliances'!Q8*Conversion!$B$3</f>
        <v>4888696325962.0771</v>
      </c>
      <c r="R8" s="4">
        <f>'Residential-Appliances'!R8*Conversion!$B$3</f>
        <v>4629559692033.9316</v>
      </c>
      <c r="S8" s="4">
        <f>'Residential-Appliances'!S8*Conversion!$B$3</f>
        <v>4384159193583.6626</v>
      </c>
      <c r="T8" s="4">
        <f>'Residential-Appliances'!T8*Conversion!$B$3</f>
        <v>4151766715041.4795</v>
      </c>
      <c r="U8" s="4">
        <f>'Residential-Appliances'!U8*Conversion!$B$3</f>
        <v>3931692736284.1616</v>
      </c>
      <c r="V8" s="4">
        <f>'Residential-Appliances'!V8*Conversion!$B$3</f>
        <v>3723284286794.3252</v>
      </c>
      <c r="W8" s="4">
        <f>'Residential-Appliances'!W8*Conversion!$B$3</f>
        <v>3525923008264.1909</v>
      </c>
      <c r="X8" s="4">
        <f>'Residential-Appliances'!X8*Conversion!$B$3</f>
        <v>3339023319895.5229</v>
      </c>
      <c r="Y8" s="4">
        <f>'Residential-Appliances'!Y8*Conversion!$B$3</f>
        <v>3162030680952.0459</v>
      </c>
      <c r="Z8" s="4">
        <f>'Residential-Appliances'!Z8*Conversion!$B$3</f>
        <v>2994419945409.3394</v>
      </c>
      <c r="AA8" s="4">
        <f>'Residential-Appliances'!AA8*Conversion!$B$3</f>
        <v>2835693803820.2593</v>
      </c>
      <c r="AB8" s="4">
        <f>'Residential-Appliances'!AB8*Conversion!$B$3</f>
        <v>2685381307772.9087</v>
      </c>
      <c r="AC8" s="4">
        <f>'Residential-Appliances'!AC8*Conversion!$B$3</f>
        <v>2543036472563.106</v>
      </c>
      <c r="AD8" s="4">
        <f>'Residential-Appliances'!AD8*Conversion!$B$3</f>
        <v>2408236953935.4443</v>
      </c>
      <c r="AE8" s="4">
        <f>'Residential-Appliances'!AE8*Conversion!$B$3</f>
        <v>2280582794966.7168</v>
      </c>
      <c r="AF8" s="4">
        <f>'Residential-Appliances'!AF8*Conversion!$B$3</f>
        <v>2159695239373.7012</v>
      </c>
      <c r="AG8" s="4">
        <f>'Residential-Appliances'!AG8*Conversion!$B$3</f>
        <v>2045215607724.2964</v>
      </c>
      <c r="AH8" s="4">
        <f>'Residential-Appliances'!AH8*Conversion!$B$3</f>
        <v>1936804233217.6826</v>
      </c>
      <c r="AI8" s="4">
        <f>'Residential-Appliances'!AI8*Conversion!$B$3</f>
        <v>1834139453875.9146</v>
      </c>
      <c r="AJ8" s="4">
        <f>'Residential-Appliances'!AJ8*Conversion!$B$3</f>
        <v>1736916658156.7158</v>
      </c>
      <c r="AK8" s="4">
        <f>'Residential-Appliances'!AK8*Conversion!$B$3</f>
        <v>1644847381155.7812</v>
      </c>
      <c r="AL8" s="4">
        <f>'Residential-Appliances'!AL8*Conversion!$B$3</f>
        <v>1557658448716.9578</v>
      </c>
      <c r="AM8" s="4">
        <f>'Residential-Appliances'!AM8*Conversion!$B$3</f>
        <v>1475091166910.8389</v>
      </c>
      <c r="AN8" s="4">
        <f>'Residential-Appliances'!AN8*Conversion!$B$3</f>
        <v>1396900554476.9226</v>
      </c>
      <c r="AO8" s="4">
        <f>'Residential-Appliances'!AO8*Conversion!$B$3</f>
        <v>1322854615951.937</v>
      </c>
      <c r="AP8" s="4">
        <f>'Residential-Appliances'!AP8*Conversion!$B$3</f>
        <v>1252733653327.6877</v>
      </c>
      <c r="AQ8" s="4">
        <f>'Residential-Appliances'!AQ8*Conversion!$B$3</f>
        <v>1186329614196.0576</v>
      </c>
    </row>
    <row r="9" spans="1:43" x14ac:dyDescent="0.2">
      <c r="A9" s="1" t="s">
        <v>19</v>
      </c>
      <c r="B9" s="15">
        <f>'Residential-Appliances'!B9*Conversion!$B$3</f>
        <v>0</v>
      </c>
      <c r="C9" s="15">
        <f>'Residential-Appliances'!C9*Conversion!$B$3</f>
        <v>0</v>
      </c>
      <c r="D9" s="15">
        <f>'Residential-Appliances'!D9*Conversion!$B$3</f>
        <v>0</v>
      </c>
      <c r="E9" s="4">
        <f>'Residential-Appliances'!E9*Conversion!$B$3</f>
        <v>0</v>
      </c>
      <c r="F9" s="4">
        <f>'Residential-Appliances'!F9*Conversion!$B$3</f>
        <v>0</v>
      </c>
      <c r="G9" s="4">
        <f>'Residential-Appliances'!G9*Conversion!$B$3</f>
        <v>0</v>
      </c>
      <c r="H9" s="4">
        <f>'Residential-Appliances'!H9*Conversion!$B$3</f>
        <v>0</v>
      </c>
      <c r="I9" s="4">
        <f>'Residential-Appliances'!I9*Conversion!$B$3</f>
        <v>0</v>
      </c>
      <c r="J9" s="4">
        <f>'Residential-Appliances'!J9*Conversion!$B$3</f>
        <v>0</v>
      </c>
      <c r="K9" s="4">
        <f>'Residential-Appliances'!K9*Conversion!$B$3</f>
        <v>0</v>
      </c>
      <c r="L9" s="4">
        <f>'Residential-Appliances'!L9*Conversion!$B$3</f>
        <v>0</v>
      </c>
      <c r="M9" s="4">
        <f>'Residential-Appliances'!M9*Conversion!$B$3</f>
        <v>0</v>
      </c>
      <c r="N9" s="4">
        <f>'Residential-Appliances'!N9*Conversion!$B$3</f>
        <v>0</v>
      </c>
      <c r="O9" s="4">
        <f>'Residential-Appliances'!O9*Conversion!$B$3</f>
        <v>0</v>
      </c>
      <c r="P9" s="4">
        <f>'Residential-Appliances'!P9*Conversion!$B$3</f>
        <v>0</v>
      </c>
      <c r="Q9" s="4">
        <f>'Residential-Appliances'!Q9*Conversion!$B$3</f>
        <v>0</v>
      </c>
      <c r="R9" s="4">
        <f>'Residential-Appliances'!R9*Conversion!$B$3</f>
        <v>0</v>
      </c>
      <c r="S9" s="4">
        <f>'Residential-Appliances'!S9*Conversion!$B$3</f>
        <v>0</v>
      </c>
      <c r="T9" s="4">
        <f>'Residential-Appliances'!T9*Conversion!$B$3</f>
        <v>0</v>
      </c>
      <c r="U9" s="4">
        <f>'Residential-Appliances'!U9*Conversion!$B$3</f>
        <v>0</v>
      </c>
      <c r="V9" s="4">
        <f>'Residential-Appliances'!V9*Conversion!$B$3</f>
        <v>0</v>
      </c>
      <c r="W9" s="4">
        <f>'Residential-Appliances'!W9*Conversion!$B$3</f>
        <v>0</v>
      </c>
      <c r="X9" s="4">
        <f>'Residential-Appliances'!X9*Conversion!$B$3</f>
        <v>0</v>
      </c>
      <c r="Y9" s="4">
        <f>'Residential-Appliances'!Y9*Conversion!$B$3</f>
        <v>0</v>
      </c>
      <c r="Z9" s="4">
        <f>'Residential-Appliances'!Z9*Conversion!$B$3</f>
        <v>0</v>
      </c>
      <c r="AA9" s="4">
        <f>'Residential-Appliances'!AA9*Conversion!$B$3</f>
        <v>0</v>
      </c>
      <c r="AB9" s="4">
        <f>'Residential-Appliances'!AB9*Conversion!$B$3</f>
        <v>0</v>
      </c>
      <c r="AC9" s="4">
        <f>'Residential-Appliances'!AC9*Conversion!$B$3</f>
        <v>0</v>
      </c>
      <c r="AD9" s="4">
        <f>'Residential-Appliances'!AD9*Conversion!$B$3</f>
        <v>0</v>
      </c>
      <c r="AE9" s="4">
        <f>'Residential-Appliances'!AE9*Conversion!$B$3</f>
        <v>0</v>
      </c>
      <c r="AF9" s="4">
        <f>'Residential-Appliances'!AF9*Conversion!$B$3</f>
        <v>0</v>
      </c>
      <c r="AG9" s="4">
        <f>'Residential-Appliances'!AG9*Conversion!$B$3</f>
        <v>0</v>
      </c>
      <c r="AH9" s="4">
        <f>'Residential-Appliances'!AH9*Conversion!$B$3</f>
        <v>0</v>
      </c>
      <c r="AI9" s="4">
        <f>'Residential-Appliances'!AI9*Conversion!$B$3</f>
        <v>0</v>
      </c>
      <c r="AJ9" s="4">
        <f>'Residential-Appliances'!AJ9*Conversion!$B$3</f>
        <v>0</v>
      </c>
      <c r="AK9" s="4">
        <f>'Residential-Appliances'!AK9*Conversion!$B$3</f>
        <v>0</v>
      </c>
      <c r="AL9" s="4">
        <f>'Residential-Appliances'!AL9*Conversion!$B$3</f>
        <v>0</v>
      </c>
      <c r="AM9" s="4">
        <f>'Residential-Appliances'!AM9*Conversion!$B$3</f>
        <v>0</v>
      </c>
      <c r="AN9" s="4">
        <f>'Residential-Appliances'!AN9*Conversion!$B$3</f>
        <v>0</v>
      </c>
      <c r="AO9" s="4">
        <f>'Residential-Appliances'!AO9*Conversion!$B$3</f>
        <v>0</v>
      </c>
      <c r="AP9" s="4">
        <f>'Residential-Appliances'!AP9*Conversion!$B$3</f>
        <v>0</v>
      </c>
      <c r="AQ9" s="4">
        <f>'Residential-Appliances'!AQ9*Conversion!$B$3</f>
        <v>0</v>
      </c>
    </row>
    <row r="10" spans="1:43" x14ac:dyDescent="0.2">
      <c r="A10" s="1" t="s">
        <v>20</v>
      </c>
      <c r="B10" s="15">
        <f>'Residential-Appliances'!$W15*Conversion!$B$3</f>
        <v>2185000000000</v>
      </c>
      <c r="C10" s="15">
        <f>'Residential-Appliances'!$W16*Conversion!$B$3</f>
        <v>2850000000000</v>
      </c>
      <c r="D10" s="15">
        <f>'Residential-Appliances'!$W17*Conversion!$B$3</f>
        <v>3515000000000</v>
      </c>
      <c r="E10" s="4">
        <f>'Residential-Appliances'!E10*Conversion!$B$3</f>
        <v>4180000000000</v>
      </c>
      <c r="F10" s="4">
        <f>'Residential-Appliances'!F10*Conversion!$B$3</f>
        <v>4845000000000</v>
      </c>
      <c r="G10" s="4">
        <f>'Residential-Appliances'!G10*Conversion!$B$3</f>
        <v>5510000000000</v>
      </c>
      <c r="H10" s="4">
        <f>'Residential-Appliances'!H10*Conversion!$B$3</f>
        <v>6175000000000</v>
      </c>
      <c r="I10" s="4">
        <f>'Residential-Appliances'!I10*Conversion!$B$3</f>
        <v>6840000000000</v>
      </c>
      <c r="J10" s="4">
        <f>'Residential-Appliances'!J10*Conversion!$B$3</f>
        <v>7505000000000</v>
      </c>
      <c r="K10" s="4">
        <f>'Residential-Appliances'!K10*Conversion!$B$3</f>
        <v>8170000000000</v>
      </c>
      <c r="L10" s="4">
        <f>'Residential-Appliances'!L10*Conversion!$B$3</f>
        <v>8835000000000</v>
      </c>
      <c r="M10" s="4">
        <f>'Residential-Appliances'!M10*Conversion!$B$3</f>
        <v>9500000000000</v>
      </c>
      <c r="N10" s="4">
        <f>'Residential-Appliances'!N10*Conversion!$B$3</f>
        <v>10165000000000</v>
      </c>
      <c r="O10" s="4">
        <f>'Residential-Appliances'!O10*Conversion!$B$3</f>
        <v>10830000000000</v>
      </c>
      <c r="P10" s="4">
        <f>'Residential-Appliances'!P10*Conversion!$B$3</f>
        <v>11495000000000</v>
      </c>
      <c r="Q10" s="4">
        <f>'Residential-Appliances'!Q10*Conversion!$B$3</f>
        <v>12160000000000</v>
      </c>
      <c r="R10" s="4">
        <f>'Residential-Appliances'!R10*Conversion!$B$3</f>
        <v>12825000000000</v>
      </c>
      <c r="S10" s="4">
        <f>'Residential-Appliances'!S10*Conversion!$B$3</f>
        <v>13490000000000</v>
      </c>
      <c r="T10" s="4">
        <f>'Residential-Appliances'!T10*Conversion!$B$3</f>
        <v>14155000000000</v>
      </c>
      <c r="U10" s="4">
        <f>'Residential-Appliances'!U10*Conversion!$B$3</f>
        <v>14820000000000</v>
      </c>
      <c r="V10" s="4">
        <f>'Residential-Appliances'!V10*Conversion!$B$3</f>
        <v>15485000000000</v>
      </c>
      <c r="W10" s="4">
        <f>'Residential-Appliances'!W10*Conversion!$B$3</f>
        <v>16150000000000</v>
      </c>
      <c r="X10" s="4">
        <f>'Residential-Appliances'!X10*Conversion!$B$3</f>
        <v>16815000000000</v>
      </c>
      <c r="Y10" s="4">
        <f>'Residential-Appliances'!Y10*Conversion!$B$3</f>
        <v>17480000000000</v>
      </c>
      <c r="Z10" s="4">
        <f>'Residential-Appliances'!Z10*Conversion!$B$3</f>
        <v>18145000000000</v>
      </c>
      <c r="AA10" s="4">
        <f>'Residential-Appliances'!AA10*Conversion!$B$3</f>
        <v>18810000000000</v>
      </c>
      <c r="AB10" s="4">
        <f>'Residential-Appliances'!AB10*Conversion!$B$3</f>
        <v>19475000000000</v>
      </c>
      <c r="AC10" s="4">
        <f>'Residential-Appliances'!AC10*Conversion!$B$3</f>
        <v>20140000000000</v>
      </c>
      <c r="AD10" s="4">
        <f>'Residential-Appliances'!AD10*Conversion!$B$3</f>
        <v>20805000000000</v>
      </c>
      <c r="AE10" s="4">
        <f>'Residential-Appliances'!AE10*Conversion!$B$3</f>
        <v>21470000000000</v>
      </c>
      <c r="AF10" s="4">
        <f>'Residential-Appliances'!AF10*Conversion!$B$3</f>
        <v>22135000000000</v>
      </c>
      <c r="AG10" s="4">
        <f>'Residential-Appliances'!AG10*Conversion!$B$3</f>
        <v>22800000000000</v>
      </c>
      <c r="AH10" s="4">
        <f>'Residential-Appliances'!AH10*Conversion!$B$3</f>
        <v>23465000000000</v>
      </c>
      <c r="AI10" s="4">
        <f>'Residential-Appliances'!AI10*Conversion!$B$3</f>
        <v>24130000000000</v>
      </c>
      <c r="AJ10" s="4">
        <f>'Residential-Appliances'!AJ10*Conversion!$B$3</f>
        <v>24795000000000</v>
      </c>
      <c r="AK10" s="4">
        <f>'Residential-Appliances'!AK10*Conversion!$B$3</f>
        <v>25460000000000</v>
      </c>
      <c r="AL10" s="4">
        <f>'Residential-Appliances'!AL10*Conversion!$B$3</f>
        <v>26125000000000</v>
      </c>
      <c r="AM10" s="4">
        <f>'Residential-Appliances'!AM10*Conversion!$B$3</f>
        <v>26790000000000</v>
      </c>
      <c r="AN10" s="4">
        <f>'Residential-Appliances'!AN10*Conversion!$B$3</f>
        <v>27455000000000</v>
      </c>
      <c r="AO10" s="4">
        <f>'Residential-Appliances'!AO10*Conversion!$B$3</f>
        <v>28120000000000</v>
      </c>
      <c r="AP10" s="4">
        <f>'Residential-Appliances'!AP10*Conversion!$B$3</f>
        <v>28785000000000</v>
      </c>
      <c r="AQ10" s="4">
        <f>'Residential-Appliances'!AQ10*Conversion!$B$3</f>
        <v>29450000000000</v>
      </c>
    </row>
    <row r="11" spans="1:43" x14ac:dyDescent="0.2">
      <c r="A11" s="1" t="s">
        <v>21</v>
      </c>
      <c r="B11" s="15">
        <f>'Residential-Appliances'!B11*Conversion!$B$3</f>
        <v>0</v>
      </c>
      <c r="C11" s="15">
        <f>'Residential-Appliances'!C11*Conversion!$B$3</f>
        <v>0</v>
      </c>
      <c r="D11" s="15">
        <f>'Residential-Appliances'!D11*Conversion!$B$3</f>
        <v>0</v>
      </c>
      <c r="E11" s="4">
        <f>'Residential-Appliances'!E11*Conversion!$B$3</f>
        <v>0</v>
      </c>
      <c r="F11" s="4">
        <f>'Residential-Appliances'!F11*Conversion!$B$3</f>
        <v>0</v>
      </c>
      <c r="G11" s="4">
        <f>'Residential-Appliances'!G11*Conversion!$B$3</f>
        <v>0</v>
      </c>
      <c r="H11" s="4">
        <f>'Residential-Appliances'!H11*Conversion!$B$3</f>
        <v>0</v>
      </c>
      <c r="I11" s="4">
        <f>'Residential-Appliances'!I11*Conversion!$B$3</f>
        <v>0</v>
      </c>
      <c r="J11" s="4">
        <f>'Residential-Appliances'!J11*Conversion!$B$3</f>
        <v>0</v>
      </c>
      <c r="K11" s="4">
        <f>'Residential-Appliances'!K11*Conversion!$B$3</f>
        <v>0</v>
      </c>
      <c r="L11" s="4">
        <f>'Residential-Appliances'!L11*Conversion!$B$3</f>
        <v>0</v>
      </c>
      <c r="M11" s="4">
        <f>'Residential-Appliances'!M11*Conversion!$B$3</f>
        <v>0</v>
      </c>
      <c r="N11" s="4">
        <f>'Residential-Appliances'!N11*Conversion!$B$3</f>
        <v>0</v>
      </c>
      <c r="O11" s="4">
        <f>'Residential-Appliances'!O11*Conversion!$B$3</f>
        <v>0</v>
      </c>
      <c r="P11" s="4">
        <f>'Residential-Appliances'!P11*Conversion!$B$3</f>
        <v>0</v>
      </c>
      <c r="Q11" s="4">
        <f>'Residential-Appliances'!Q11*Conversion!$B$3</f>
        <v>0</v>
      </c>
      <c r="R11" s="4">
        <f>'Residential-Appliances'!R11*Conversion!$B$3</f>
        <v>0</v>
      </c>
      <c r="S11" s="4">
        <f>'Residential-Appliances'!S11*Conversion!$B$3</f>
        <v>0</v>
      </c>
      <c r="T11" s="4">
        <f>'Residential-Appliances'!T11*Conversion!$B$3</f>
        <v>0</v>
      </c>
      <c r="U11" s="4">
        <f>'Residential-Appliances'!U11*Conversion!$B$3</f>
        <v>0</v>
      </c>
      <c r="V11" s="4">
        <f>'Residential-Appliances'!V11*Conversion!$B$3</f>
        <v>0</v>
      </c>
      <c r="W11" s="4">
        <f>'Residential-Appliances'!W11*Conversion!$B$3</f>
        <v>0</v>
      </c>
      <c r="X11" s="4">
        <f>'Residential-Appliances'!X11*Conversion!$B$3</f>
        <v>0</v>
      </c>
      <c r="Y11" s="4">
        <f>'Residential-Appliances'!Y11*Conversion!$B$3</f>
        <v>0</v>
      </c>
      <c r="Z11" s="4">
        <f>'Residential-Appliances'!Z11*Conversion!$B$3</f>
        <v>0</v>
      </c>
      <c r="AA11" s="4">
        <f>'Residential-Appliances'!AA11*Conversion!$B$3</f>
        <v>0</v>
      </c>
      <c r="AB11" s="4">
        <f>'Residential-Appliances'!AB11*Conversion!$B$3</f>
        <v>0</v>
      </c>
      <c r="AC11" s="4">
        <f>'Residential-Appliances'!AC11*Conversion!$B$3</f>
        <v>0</v>
      </c>
      <c r="AD11" s="4">
        <f>'Residential-Appliances'!AD11*Conversion!$B$3</f>
        <v>0</v>
      </c>
      <c r="AE11" s="4">
        <f>'Residential-Appliances'!AE11*Conversion!$B$3</f>
        <v>0</v>
      </c>
      <c r="AF11" s="4">
        <f>'Residential-Appliances'!AF11*Conversion!$B$3</f>
        <v>0</v>
      </c>
      <c r="AG11" s="4">
        <f>'Residential-Appliances'!AG11*Conversion!$B$3</f>
        <v>0</v>
      </c>
      <c r="AH11" s="4">
        <f>'Residential-Appliances'!AH11*Conversion!$B$3</f>
        <v>0</v>
      </c>
      <c r="AI11" s="4">
        <f>'Residential-Appliances'!AI11*Conversion!$B$3</f>
        <v>0</v>
      </c>
      <c r="AJ11" s="4">
        <f>'Residential-Appliances'!AJ11*Conversion!$B$3</f>
        <v>0</v>
      </c>
      <c r="AK11" s="4">
        <f>'Residential-Appliances'!AK11*Conversion!$B$3</f>
        <v>0</v>
      </c>
      <c r="AL11" s="4">
        <f>'Residential-Appliances'!AL11*Conversion!$B$3</f>
        <v>0</v>
      </c>
      <c r="AM11" s="4">
        <f>'Residential-Appliances'!AM11*Conversion!$B$3</f>
        <v>0</v>
      </c>
      <c r="AN11" s="4">
        <f>'Residential-Appliances'!AN11*Conversion!$B$3</f>
        <v>0</v>
      </c>
      <c r="AO11" s="4">
        <f>'Residential-Appliances'!AO11*Conversion!$B$3</f>
        <v>0</v>
      </c>
      <c r="AP11" s="4">
        <f>'Residential-Appliances'!AP11*Conversion!$B$3</f>
        <v>0</v>
      </c>
      <c r="AQ11" s="4">
        <f>'Residential-Appliances'!AQ11*Conversion!$B$3</f>
        <v>0</v>
      </c>
    </row>
  </sheetData>
  <pageMargins left="0.7" right="0.7" top="0.75" bottom="0.75" header="0.3" footer="0.3"/>
  <pageSetup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37204-BD07-F344-9EBC-56E09DC6A74B}">
  <sheetPr>
    <tabColor theme="3" tint="0.249977111117893"/>
  </sheetPr>
  <dimension ref="A1:AQ11"/>
  <sheetViews>
    <sheetView workbookViewId="0">
      <selection activeCell="E21" sqref="E21"/>
    </sheetView>
  </sheetViews>
  <sheetFormatPr baseColWidth="10" defaultRowHeight="16" x14ac:dyDescent="0.2"/>
  <sheetData>
    <row r="1" spans="1:4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row>
    <row r="2" spans="1:43" x14ac:dyDescent="0.2">
      <c r="A2" s="1" t="s">
        <v>12</v>
      </c>
      <c r="B2" s="15">
        <f>C2</f>
        <v>0</v>
      </c>
      <c r="C2" s="4">
        <f>'Residential-Other'!B2*Conversion!$B$3</f>
        <v>0</v>
      </c>
      <c r="D2" s="4">
        <f>'Residential-Other'!C2*Conversion!$B$3</f>
        <v>0</v>
      </c>
      <c r="E2" s="4">
        <f>'Residential-Other'!D2*Conversion!$B$3</f>
        <v>0</v>
      </c>
      <c r="F2" s="4">
        <f>'Residential-Other'!E2*Conversion!$B$3</f>
        <v>0</v>
      </c>
      <c r="G2" s="4">
        <f>'Residential-Other'!F2*Conversion!$B$3</f>
        <v>0</v>
      </c>
      <c r="H2" s="4">
        <f>'Residential-Other'!G2*Conversion!$B$3</f>
        <v>0</v>
      </c>
      <c r="I2" s="4">
        <f>'Residential-Other'!H2*Conversion!$B$3</f>
        <v>0</v>
      </c>
      <c r="J2" s="4">
        <f>'Residential-Other'!I2*Conversion!$B$3</f>
        <v>0</v>
      </c>
      <c r="K2" s="4">
        <f>'Residential-Other'!J2*Conversion!$B$3</f>
        <v>0</v>
      </c>
      <c r="L2" s="4">
        <f>'Residential-Other'!K2*Conversion!$B$3</f>
        <v>0</v>
      </c>
      <c r="M2" s="4">
        <f>'Residential-Other'!L2*Conversion!$B$3</f>
        <v>0</v>
      </c>
      <c r="N2" s="4">
        <f>'Residential-Other'!M2*Conversion!$B$3</f>
        <v>0</v>
      </c>
      <c r="O2" s="4">
        <f>'Residential-Other'!N2*Conversion!$B$3</f>
        <v>0</v>
      </c>
      <c r="P2" s="4">
        <f>'Residential-Other'!O2*Conversion!$B$3</f>
        <v>0</v>
      </c>
      <c r="Q2" s="4">
        <f>'Residential-Other'!P2*Conversion!$B$3</f>
        <v>0</v>
      </c>
      <c r="R2" s="4">
        <f>'Residential-Other'!Q2*Conversion!$B$3</f>
        <v>0</v>
      </c>
      <c r="S2" s="4">
        <f>'Residential-Other'!R2*Conversion!$B$3</f>
        <v>0</v>
      </c>
      <c r="T2" s="4">
        <f>'Residential-Other'!S2*Conversion!$B$3</f>
        <v>0</v>
      </c>
      <c r="U2" s="4">
        <f>'Residential-Other'!T2*Conversion!$B$3</f>
        <v>0</v>
      </c>
      <c r="V2" s="4">
        <f>'Residential-Other'!U2*Conversion!$B$3</f>
        <v>0</v>
      </c>
      <c r="W2" s="4">
        <f>'Residential-Other'!V2*Conversion!$B$3</f>
        <v>0</v>
      </c>
      <c r="X2" s="4">
        <f>'Residential-Other'!W2*Conversion!$B$3</f>
        <v>0</v>
      </c>
      <c r="Y2" s="4">
        <f>'Residential-Other'!X2*Conversion!$B$3</f>
        <v>0</v>
      </c>
      <c r="Z2" s="4">
        <f>'Residential-Other'!Y2*Conversion!$B$3</f>
        <v>0</v>
      </c>
      <c r="AA2" s="4">
        <f>'Residential-Other'!Z2*Conversion!$B$3</f>
        <v>0</v>
      </c>
      <c r="AB2" s="4">
        <f>'Residential-Other'!AA2*Conversion!$B$3</f>
        <v>0</v>
      </c>
      <c r="AC2" s="4">
        <f>'Residential-Other'!AB2*Conversion!$B$3</f>
        <v>0</v>
      </c>
      <c r="AD2" s="4">
        <f>'Residential-Other'!AC2*Conversion!$B$3</f>
        <v>0</v>
      </c>
      <c r="AE2" s="4">
        <f>'Residential-Other'!AD2*Conversion!$B$3</f>
        <v>0</v>
      </c>
      <c r="AF2" s="4">
        <f>'Residential-Other'!AE2*Conversion!$B$3</f>
        <v>0</v>
      </c>
      <c r="AG2" s="4">
        <f>'Residential-Other'!AF2*Conversion!$B$3</f>
        <v>0</v>
      </c>
      <c r="AH2" s="4">
        <f>'Residential-Other'!AG2*Conversion!$B$3</f>
        <v>0</v>
      </c>
      <c r="AI2" s="4">
        <f>'Residential-Other'!AH2*Conversion!$B$3</f>
        <v>0</v>
      </c>
      <c r="AJ2" s="4">
        <f>'Residential-Other'!AI2*Conversion!$B$3</f>
        <v>0</v>
      </c>
      <c r="AK2" s="4">
        <f>'Residential-Other'!AJ2*Conversion!$B$3</f>
        <v>0</v>
      </c>
      <c r="AL2" s="4">
        <f>'Residential-Other'!AK2*Conversion!$B$3</f>
        <v>0</v>
      </c>
      <c r="AM2" s="4">
        <f>'Residential-Other'!AL2*Conversion!$B$3</f>
        <v>0</v>
      </c>
      <c r="AN2" s="4">
        <f>'Residential-Other'!AM2*Conversion!$B$3</f>
        <v>0</v>
      </c>
      <c r="AO2" s="4">
        <f>'Residential-Other'!AN2*Conversion!$B$3</f>
        <v>0</v>
      </c>
      <c r="AP2" s="4">
        <f>'Residential-Other'!AO2*Conversion!$B$3</f>
        <v>0</v>
      </c>
      <c r="AQ2" s="4">
        <f>'Residential-Other'!AP2*Conversion!$B$3</f>
        <v>0</v>
      </c>
    </row>
    <row r="3" spans="1:43" x14ac:dyDescent="0.2">
      <c r="A3" s="1" t="s">
        <v>13</v>
      </c>
      <c r="B3" s="15">
        <f t="shared" ref="B3:B11" si="0">C3</f>
        <v>0</v>
      </c>
      <c r="C3" s="4">
        <f>'Residential-Other'!B3*Conversion!$B$3</f>
        <v>0</v>
      </c>
      <c r="D3" s="4">
        <f>'Residential-Other'!C3*Conversion!$B$3</f>
        <v>0</v>
      </c>
      <c r="E3" s="4">
        <f>'Residential-Other'!D3*Conversion!$B$3</f>
        <v>0</v>
      </c>
      <c r="F3" s="4">
        <f>'Residential-Other'!E3*Conversion!$B$3</f>
        <v>0</v>
      </c>
      <c r="G3" s="4">
        <f>'Residential-Other'!F3*Conversion!$B$3</f>
        <v>0</v>
      </c>
      <c r="H3" s="4">
        <f>'Residential-Other'!G3*Conversion!$B$3</f>
        <v>0</v>
      </c>
      <c r="I3" s="4">
        <f>'Residential-Other'!H3*Conversion!$B$3</f>
        <v>0</v>
      </c>
      <c r="J3" s="4">
        <f>'Residential-Other'!I3*Conversion!$B$3</f>
        <v>0</v>
      </c>
      <c r="K3" s="4">
        <f>'Residential-Other'!J3*Conversion!$B$3</f>
        <v>0</v>
      </c>
      <c r="L3" s="4">
        <f>'Residential-Other'!K3*Conversion!$B$3</f>
        <v>0</v>
      </c>
      <c r="M3" s="4">
        <f>'Residential-Other'!L3*Conversion!$B$3</f>
        <v>0</v>
      </c>
      <c r="N3" s="4">
        <f>'Residential-Other'!M3*Conversion!$B$3</f>
        <v>0</v>
      </c>
      <c r="O3" s="4">
        <f>'Residential-Other'!N3*Conversion!$B$3</f>
        <v>0</v>
      </c>
      <c r="P3" s="4">
        <f>'Residential-Other'!O3*Conversion!$B$3</f>
        <v>0</v>
      </c>
      <c r="Q3" s="4">
        <f>'Residential-Other'!P3*Conversion!$B$3</f>
        <v>0</v>
      </c>
      <c r="R3" s="4">
        <f>'Residential-Other'!Q3*Conversion!$B$3</f>
        <v>0</v>
      </c>
      <c r="S3" s="4">
        <f>'Residential-Other'!R3*Conversion!$B$3</f>
        <v>0</v>
      </c>
      <c r="T3" s="4">
        <f>'Residential-Other'!S3*Conversion!$B$3</f>
        <v>0</v>
      </c>
      <c r="U3" s="4">
        <f>'Residential-Other'!T3*Conversion!$B$3</f>
        <v>0</v>
      </c>
      <c r="V3" s="4">
        <f>'Residential-Other'!U3*Conversion!$B$3</f>
        <v>0</v>
      </c>
      <c r="W3" s="4">
        <f>'Residential-Other'!V3*Conversion!$B$3</f>
        <v>0</v>
      </c>
      <c r="X3" s="4">
        <f>'Residential-Other'!W3*Conversion!$B$3</f>
        <v>0</v>
      </c>
      <c r="Y3" s="4">
        <f>'Residential-Other'!X3*Conversion!$B$3</f>
        <v>0</v>
      </c>
      <c r="Z3" s="4">
        <f>'Residential-Other'!Y3*Conversion!$B$3</f>
        <v>0</v>
      </c>
      <c r="AA3" s="4">
        <f>'Residential-Other'!Z3*Conversion!$B$3</f>
        <v>0</v>
      </c>
      <c r="AB3" s="4">
        <f>'Residential-Other'!AA3*Conversion!$B$3</f>
        <v>0</v>
      </c>
      <c r="AC3" s="4">
        <f>'Residential-Other'!AB3*Conversion!$B$3</f>
        <v>0</v>
      </c>
      <c r="AD3" s="4">
        <f>'Residential-Other'!AC3*Conversion!$B$3</f>
        <v>0</v>
      </c>
      <c r="AE3" s="4">
        <f>'Residential-Other'!AD3*Conversion!$B$3</f>
        <v>0</v>
      </c>
      <c r="AF3" s="4">
        <f>'Residential-Other'!AE3*Conversion!$B$3</f>
        <v>0</v>
      </c>
      <c r="AG3" s="4">
        <f>'Residential-Other'!AF3*Conversion!$B$3</f>
        <v>0</v>
      </c>
      <c r="AH3" s="4">
        <f>'Residential-Other'!AG3*Conversion!$B$3</f>
        <v>0</v>
      </c>
      <c r="AI3" s="4">
        <f>'Residential-Other'!AH3*Conversion!$B$3</f>
        <v>0</v>
      </c>
      <c r="AJ3" s="4">
        <f>'Residential-Other'!AI3*Conversion!$B$3</f>
        <v>0</v>
      </c>
      <c r="AK3" s="4">
        <f>'Residential-Other'!AJ3*Conversion!$B$3</f>
        <v>0</v>
      </c>
      <c r="AL3" s="4">
        <f>'Residential-Other'!AK3*Conversion!$B$3</f>
        <v>0</v>
      </c>
      <c r="AM3" s="4">
        <f>'Residential-Other'!AL3*Conversion!$B$3</f>
        <v>0</v>
      </c>
      <c r="AN3" s="4">
        <f>'Residential-Other'!AM3*Conversion!$B$3</f>
        <v>0</v>
      </c>
      <c r="AO3" s="4">
        <f>'Residential-Other'!AN3*Conversion!$B$3</f>
        <v>0</v>
      </c>
      <c r="AP3" s="4">
        <f>'Residential-Other'!AO3*Conversion!$B$3</f>
        <v>0</v>
      </c>
      <c r="AQ3" s="4">
        <f>'Residential-Other'!AP3*Conversion!$B$3</f>
        <v>0</v>
      </c>
    </row>
    <row r="4" spans="1:43" x14ac:dyDescent="0.2">
      <c r="A4" s="1" t="s">
        <v>14</v>
      </c>
      <c r="B4" s="15">
        <f t="shared" si="0"/>
        <v>0</v>
      </c>
      <c r="C4" s="4">
        <f>'Residential-Other'!B4*Conversion!$B$3</f>
        <v>0</v>
      </c>
      <c r="D4" s="4">
        <f>'Residential-Other'!C4*Conversion!$B$3</f>
        <v>0</v>
      </c>
      <c r="E4" s="4">
        <f>'Residential-Other'!D4*Conversion!$B$3</f>
        <v>0</v>
      </c>
      <c r="F4" s="4">
        <f>'Residential-Other'!E4*Conversion!$B$3</f>
        <v>0</v>
      </c>
      <c r="G4" s="4">
        <f>'Residential-Other'!F4*Conversion!$B$3</f>
        <v>0</v>
      </c>
      <c r="H4" s="4">
        <f>'Residential-Other'!G4*Conversion!$B$3</f>
        <v>0</v>
      </c>
      <c r="I4" s="4">
        <f>'Residential-Other'!H4*Conversion!$B$3</f>
        <v>0</v>
      </c>
      <c r="J4" s="4">
        <f>'Residential-Other'!I4*Conversion!$B$3</f>
        <v>0</v>
      </c>
      <c r="K4" s="4">
        <f>'Residential-Other'!J4*Conversion!$B$3</f>
        <v>0</v>
      </c>
      <c r="L4" s="4">
        <f>'Residential-Other'!K4*Conversion!$B$3</f>
        <v>0</v>
      </c>
      <c r="M4" s="4">
        <f>'Residential-Other'!L4*Conversion!$B$3</f>
        <v>0</v>
      </c>
      <c r="N4" s="4">
        <f>'Residential-Other'!M4*Conversion!$B$3</f>
        <v>0</v>
      </c>
      <c r="O4" s="4">
        <f>'Residential-Other'!N4*Conversion!$B$3</f>
        <v>0</v>
      </c>
      <c r="P4" s="4">
        <f>'Residential-Other'!O4*Conversion!$B$3</f>
        <v>0</v>
      </c>
      <c r="Q4" s="4">
        <f>'Residential-Other'!P4*Conversion!$B$3</f>
        <v>0</v>
      </c>
      <c r="R4" s="4">
        <f>'Residential-Other'!Q4*Conversion!$B$3</f>
        <v>0</v>
      </c>
      <c r="S4" s="4">
        <f>'Residential-Other'!R4*Conversion!$B$3</f>
        <v>0</v>
      </c>
      <c r="T4" s="4">
        <f>'Residential-Other'!S4*Conversion!$B$3</f>
        <v>0</v>
      </c>
      <c r="U4" s="4">
        <f>'Residential-Other'!T4*Conversion!$B$3</f>
        <v>0</v>
      </c>
      <c r="V4" s="4">
        <f>'Residential-Other'!U4*Conversion!$B$3</f>
        <v>0</v>
      </c>
      <c r="W4" s="4">
        <f>'Residential-Other'!V4*Conversion!$B$3</f>
        <v>0</v>
      </c>
      <c r="X4" s="4">
        <f>'Residential-Other'!W4*Conversion!$B$3</f>
        <v>0</v>
      </c>
      <c r="Y4" s="4">
        <f>'Residential-Other'!X4*Conversion!$B$3</f>
        <v>0</v>
      </c>
      <c r="Z4" s="4">
        <f>'Residential-Other'!Y4*Conversion!$B$3</f>
        <v>0</v>
      </c>
      <c r="AA4" s="4">
        <f>'Residential-Other'!Z4*Conversion!$B$3</f>
        <v>0</v>
      </c>
      <c r="AB4" s="4">
        <f>'Residential-Other'!AA4*Conversion!$B$3</f>
        <v>0</v>
      </c>
      <c r="AC4" s="4">
        <f>'Residential-Other'!AB4*Conversion!$B$3</f>
        <v>0</v>
      </c>
      <c r="AD4" s="4">
        <f>'Residential-Other'!AC4*Conversion!$B$3</f>
        <v>0</v>
      </c>
      <c r="AE4" s="4">
        <f>'Residential-Other'!AD4*Conversion!$B$3</f>
        <v>0</v>
      </c>
      <c r="AF4" s="4">
        <f>'Residential-Other'!AE4*Conversion!$B$3</f>
        <v>0</v>
      </c>
      <c r="AG4" s="4">
        <f>'Residential-Other'!AF4*Conversion!$B$3</f>
        <v>0</v>
      </c>
      <c r="AH4" s="4">
        <f>'Residential-Other'!AG4*Conversion!$B$3</f>
        <v>0</v>
      </c>
      <c r="AI4" s="4">
        <f>'Residential-Other'!AH4*Conversion!$B$3</f>
        <v>0</v>
      </c>
      <c r="AJ4" s="4">
        <f>'Residential-Other'!AI4*Conversion!$B$3</f>
        <v>0</v>
      </c>
      <c r="AK4" s="4">
        <f>'Residential-Other'!AJ4*Conversion!$B$3</f>
        <v>0</v>
      </c>
      <c r="AL4" s="4">
        <f>'Residential-Other'!AK4*Conversion!$B$3</f>
        <v>0</v>
      </c>
      <c r="AM4" s="4">
        <f>'Residential-Other'!AL4*Conversion!$B$3</f>
        <v>0</v>
      </c>
      <c r="AN4" s="4">
        <f>'Residential-Other'!AM4*Conversion!$B$3</f>
        <v>0</v>
      </c>
      <c r="AO4" s="4">
        <f>'Residential-Other'!AN4*Conversion!$B$3</f>
        <v>0</v>
      </c>
      <c r="AP4" s="4">
        <f>'Residential-Other'!AO4*Conversion!$B$3</f>
        <v>0</v>
      </c>
      <c r="AQ4" s="4">
        <f>'Residential-Other'!AP4*Conversion!$B$3</f>
        <v>0</v>
      </c>
    </row>
    <row r="5" spans="1:43" x14ac:dyDescent="0.2">
      <c r="A5" s="1" t="s">
        <v>15</v>
      </c>
      <c r="B5" s="15">
        <f t="shared" si="0"/>
        <v>0</v>
      </c>
      <c r="C5" s="4">
        <f>'Residential-Other'!B5*Conversion!$B$3</f>
        <v>0</v>
      </c>
      <c r="D5" s="4">
        <f>'Residential-Other'!C5*Conversion!$B$3</f>
        <v>0</v>
      </c>
      <c r="E5" s="4">
        <f>'Residential-Other'!D5*Conversion!$B$3</f>
        <v>0</v>
      </c>
      <c r="F5" s="4">
        <f>'Residential-Other'!E5*Conversion!$B$3</f>
        <v>0</v>
      </c>
      <c r="G5" s="4">
        <f>'Residential-Other'!F5*Conversion!$B$3</f>
        <v>0</v>
      </c>
      <c r="H5" s="4">
        <f>'Residential-Other'!G5*Conversion!$B$3</f>
        <v>0</v>
      </c>
      <c r="I5" s="4">
        <f>'Residential-Other'!H5*Conversion!$B$3</f>
        <v>0</v>
      </c>
      <c r="J5" s="4">
        <f>'Residential-Other'!I5*Conversion!$B$3</f>
        <v>0</v>
      </c>
      <c r="K5" s="4">
        <f>'Residential-Other'!J5*Conversion!$B$3</f>
        <v>0</v>
      </c>
      <c r="L5" s="4">
        <f>'Residential-Other'!K5*Conversion!$B$3</f>
        <v>0</v>
      </c>
      <c r="M5" s="4">
        <f>'Residential-Other'!L5*Conversion!$B$3</f>
        <v>0</v>
      </c>
      <c r="N5" s="4">
        <f>'Residential-Other'!M5*Conversion!$B$3</f>
        <v>0</v>
      </c>
      <c r="O5" s="4">
        <f>'Residential-Other'!N5*Conversion!$B$3</f>
        <v>0</v>
      </c>
      <c r="P5" s="4">
        <f>'Residential-Other'!O5*Conversion!$B$3</f>
        <v>0</v>
      </c>
      <c r="Q5" s="4">
        <f>'Residential-Other'!P5*Conversion!$B$3</f>
        <v>0</v>
      </c>
      <c r="R5" s="4">
        <f>'Residential-Other'!Q5*Conversion!$B$3</f>
        <v>0</v>
      </c>
      <c r="S5" s="4">
        <f>'Residential-Other'!R5*Conversion!$B$3</f>
        <v>0</v>
      </c>
      <c r="T5" s="4">
        <f>'Residential-Other'!S5*Conversion!$B$3</f>
        <v>0</v>
      </c>
      <c r="U5" s="4">
        <f>'Residential-Other'!T5*Conversion!$B$3</f>
        <v>0</v>
      </c>
      <c r="V5" s="4">
        <f>'Residential-Other'!U5*Conversion!$B$3</f>
        <v>0</v>
      </c>
      <c r="W5" s="4">
        <f>'Residential-Other'!V5*Conversion!$B$3</f>
        <v>0</v>
      </c>
      <c r="X5" s="4">
        <f>'Residential-Other'!W5*Conversion!$B$3</f>
        <v>0</v>
      </c>
      <c r="Y5" s="4">
        <f>'Residential-Other'!X5*Conversion!$B$3</f>
        <v>0</v>
      </c>
      <c r="Z5" s="4">
        <f>'Residential-Other'!Y5*Conversion!$B$3</f>
        <v>0</v>
      </c>
      <c r="AA5" s="4">
        <f>'Residential-Other'!Z5*Conversion!$B$3</f>
        <v>0</v>
      </c>
      <c r="AB5" s="4">
        <f>'Residential-Other'!AA5*Conversion!$B$3</f>
        <v>0</v>
      </c>
      <c r="AC5" s="4">
        <f>'Residential-Other'!AB5*Conversion!$B$3</f>
        <v>0</v>
      </c>
      <c r="AD5" s="4">
        <f>'Residential-Other'!AC5*Conversion!$B$3</f>
        <v>0</v>
      </c>
      <c r="AE5" s="4">
        <f>'Residential-Other'!AD5*Conversion!$B$3</f>
        <v>0</v>
      </c>
      <c r="AF5" s="4">
        <f>'Residential-Other'!AE5*Conversion!$B$3</f>
        <v>0</v>
      </c>
      <c r="AG5" s="4">
        <f>'Residential-Other'!AF5*Conversion!$B$3</f>
        <v>0</v>
      </c>
      <c r="AH5" s="4">
        <f>'Residential-Other'!AG5*Conversion!$B$3</f>
        <v>0</v>
      </c>
      <c r="AI5" s="4">
        <f>'Residential-Other'!AH5*Conversion!$B$3</f>
        <v>0</v>
      </c>
      <c r="AJ5" s="4">
        <f>'Residential-Other'!AI5*Conversion!$B$3</f>
        <v>0</v>
      </c>
      <c r="AK5" s="4">
        <f>'Residential-Other'!AJ5*Conversion!$B$3</f>
        <v>0</v>
      </c>
      <c r="AL5" s="4">
        <f>'Residential-Other'!AK5*Conversion!$B$3</f>
        <v>0</v>
      </c>
      <c r="AM5" s="4">
        <f>'Residential-Other'!AL5*Conversion!$B$3</f>
        <v>0</v>
      </c>
      <c r="AN5" s="4">
        <f>'Residential-Other'!AM5*Conversion!$B$3</f>
        <v>0</v>
      </c>
      <c r="AO5" s="4">
        <f>'Residential-Other'!AN5*Conversion!$B$3</f>
        <v>0</v>
      </c>
      <c r="AP5" s="4">
        <f>'Residential-Other'!AO5*Conversion!$B$3</f>
        <v>0</v>
      </c>
      <c r="AQ5" s="4">
        <f>'Residential-Other'!AP5*Conversion!$B$3</f>
        <v>0</v>
      </c>
    </row>
    <row r="6" spans="1:43" x14ac:dyDescent="0.2">
      <c r="A6" s="1" t="s">
        <v>16</v>
      </c>
      <c r="B6" s="15">
        <f t="shared" si="0"/>
        <v>0</v>
      </c>
      <c r="C6" s="4">
        <f>'Residential-Other'!B6*Conversion!$B$3</f>
        <v>0</v>
      </c>
      <c r="D6" s="4">
        <f>'Residential-Other'!C6*Conversion!$B$3</f>
        <v>0</v>
      </c>
      <c r="E6" s="4">
        <f>'Residential-Other'!D6*Conversion!$B$3</f>
        <v>0</v>
      </c>
      <c r="F6" s="4">
        <f>'Residential-Other'!E6*Conversion!$B$3</f>
        <v>0</v>
      </c>
      <c r="G6" s="4">
        <f>'Residential-Other'!F6*Conversion!$B$3</f>
        <v>0</v>
      </c>
      <c r="H6" s="4">
        <f>'Residential-Other'!G6*Conversion!$B$3</f>
        <v>0</v>
      </c>
      <c r="I6" s="4">
        <f>'Residential-Other'!H6*Conversion!$B$3</f>
        <v>0</v>
      </c>
      <c r="J6" s="4">
        <f>'Residential-Other'!I6*Conversion!$B$3</f>
        <v>0</v>
      </c>
      <c r="K6" s="4">
        <f>'Residential-Other'!J6*Conversion!$B$3</f>
        <v>0</v>
      </c>
      <c r="L6" s="4">
        <f>'Residential-Other'!K6*Conversion!$B$3</f>
        <v>0</v>
      </c>
      <c r="M6" s="4">
        <f>'Residential-Other'!L6*Conversion!$B$3</f>
        <v>0</v>
      </c>
      <c r="N6" s="4">
        <f>'Residential-Other'!M6*Conversion!$B$3</f>
        <v>0</v>
      </c>
      <c r="O6" s="4">
        <f>'Residential-Other'!N6*Conversion!$B$3</f>
        <v>0</v>
      </c>
      <c r="P6" s="4">
        <f>'Residential-Other'!O6*Conversion!$B$3</f>
        <v>0</v>
      </c>
      <c r="Q6" s="4">
        <f>'Residential-Other'!P6*Conversion!$B$3</f>
        <v>0</v>
      </c>
      <c r="R6" s="4">
        <f>'Residential-Other'!Q6*Conversion!$B$3</f>
        <v>0</v>
      </c>
      <c r="S6" s="4">
        <f>'Residential-Other'!R6*Conversion!$B$3</f>
        <v>0</v>
      </c>
      <c r="T6" s="4">
        <f>'Residential-Other'!S6*Conversion!$B$3</f>
        <v>0</v>
      </c>
      <c r="U6" s="4">
        <f>'Residential-Other'!T6*Conversion!$B$3</f>
        <v>0</v>
      </c>
      <c r="V6" s="4">
        <f>'Residential-Other'!U6*Conversion!$B$3</f>
        <v>0</v>
      </c>
      <c r="W6" s="4">
        <f>'Residential-Other'!V6*Conversion!$B$3</f>
        <v>0</v>
      </c>
      <c r="X6" s="4">
        <f>'Residential-Other'!W6*Conversion!$B$3</f>
        <v>0</v>
      </c>
      <c r="Y6" s="4">
        <f>'Residential-Other'!X6*Conversion!$B$3</f>
        <v>0</v>
      </c>
      <c r="Z6" s="4">
        <f>'Residential-Other'!Y6*Conversion!$B$3</f>
        <v>0</v>
      </c>
      <c r="AA6" s="4">
        <f>'Residential-Other'!Z6*Conversion!$B$3</f>
        <v>0</v>
      </c>
      <c r="AB6" s="4">
        <f>'Residential-Other'!AA6*Conversion!$B$3</f>
        <v>0</v>
      </c>
      <c r="AC6" s="4">
        <f>'Residential-Other'!AB6*Conversion!$B$3</f>
        <v>0</v>
      </c>
      <c r="AD6" s="4">
        <f>'Residential-Other'!AC6*Conversion!$B$3</f>
        <v>0</v>
      </c>
      <c r="AE6" s="4">
        <f>'Residential-Other'!AD6*Conversion!$B$3</f>
        <v>0</v>
      </c>
      <c r="AF6" s="4">
        <f>'Residential-Other'!AE6*Conversion!$B$3</f>
        <v>0</v>
      </c>
      <c r="AG6" s="4">
        <f>'Residential-Other'!AF6*Conversion!$B$3</f>
        <v>0</v>
      </c>
      <c r="AH6" s="4">
        <f>'Residential-Other'!AG6*Conversion!$B$3</f>
        <v>0</v>
      </c>
      <c r="AI6" s="4">
        <f>'Residential-Other'!AH6*Conversion!$B$3</f>
        <v>0</v>
      </c>
      <c r="AJ6" s="4">
        <f>'Residential-Other'!AI6*Conversion!$B$3</f>
        <v>0</v>
      </c>
      <c r="AK6" s="4">
        <f>'Residential-Other'!AJ6*Conversion!$B$3</f>
        <v>0</v>
      </c>
      <c r="AL6" s="4">
        <f>'Residential-Other'!AK6*Conversion!$B$3</f>
        <v>0</v>
      </c>
      <c r="AM6" s="4">
        <f>'Residential-Other'!AL6*Conversion!$B$3</f>
        <v>0</v>
      </c>
      <c r="AN6" s="4">
        <f>'Residential-Other'!AM6*Conversion!$B$3</f>
        <v>0</v>
      </c>
      <c r="AO6" s="4">
        <f>'Residential-Other'!AN6*Conversion!$B$3</f>
        <v>0</v>
      </c>
      <c r="AP6" s="4">
        <f>'Residential-Other'!AO6*Conversion!$B$3</f>
        <v>0</v>
      </c>
      <c r="AQ6" s="4">
        <f>'Residential-Other'!AP6*Conversion!$B$3</f>
        <v>0</v>
      </c>
    </row>
    <row r="7" spans="1:43" x14ac:dyDescent="0.2">
      <c r="A7" s="1" t="s">
        <v>17</v>
      </c>
      <c r="B7" s="15">
        <f t="shared" si="0"/>
        <v>0</v>
      </c>
      <c r="C7" s="4">
        <f>'Residential-Other'!B7*Conversion!$B$3</f>
        <v>0</v>
      </c>
      <c r="D7" s="4">
        <f>'Residential-Other'!C7*Conversion!$B$3</f>
        <v>0</v>
      </c>
      <c r="E7" s="4">
        <f>'Residential-Other'!D7*Conversion!$B$3</f>
        <v>0</v>
      </c>
      <c r="F7" s="4">
        <f>'Residential-Other'!E7*Conversion!$B$3</f>
        <v>0</v>
      </c>
      <c r="G7" s="4">
        <f>'Residential-Other'!F7*Conversion!$B$3</f>
        <v>0</v>
      </c>
      <c r="H7" s="4">
        <f>'Residential-Other'!G7*Conversion!$B$3</f>
        <v>0</v>
      </c>
      <c r="I7" s="4">
        <f>'Residential-Other'!H7*Conversion!$B$3</f>
        <v>0</v>
      </c>
      <c r="J7" s="4">
        <f>'Residential-Other'!I7*Conversion!$B$3</f>
        <v>0</v>
      </c>
      <c r="K7" s="4">
        <f>'Residential-Other'!J7*Conversion!$B$3</f>
        <v>0</v>
      </c>
      <c r="L7" s="4">
        <f>'Residential-Other'!K7*Conversion!$B$3</f>
        <v>0</v>
      </c>
      <c r="M7" s="4">
        <f>'Residential-Other'!L7*Conversion!$B$3</f>
        <v>0</v>
      </c>
      <c r="N7" s="4">
        <f>'Residential-Other'!M7*Conversion!$B$3</f>
        <v>0</v>
      </c>
      <c r="O7" s="4">
        <f>'Residential-Other'!N7*Conversion!$B$3</f>
        <v>0</v>
      </c>
      <c r="P7" s="4">
        <f>'Residential-Other'!O7*Conversion!$B$3</f>
        <v>0</v>
      </c>
      <c r="Q7" s="4">
        <f>'Residential-Other'!P7*Conversion!$B$3</f>
        <v>0</v>
      </c>
      <c r="R7" s="4">
        <f>'Residential-Other'!Q7*Conversion!$B$3</f>
        <v>0</v>
      </c>
      <c r="S7" s="4">
        <f>'Residential-Other'!R7*Conversion!$B$3</f>
        <v>0</v>
      </c>
      <c r="T7" s="4">
        <f>'Residential-Other'!S7*Conversion!$B$3</f>
        <v>0</v>
      </c>
      <c r="U7" s="4">
        <f>'Residential-Other'!T7*Conversion!$B$3</f>
        <v>0</v>
      </c>
      <c r="V7" s="4">
        <f>'Residential-Other'!U7*Conversion!$B$3</f>
        <v>0</v>
      </c>
      <c r="W7" s="4">
        <f>'Residential-Other'!V7*Conversion!$B$3</f>
        <v>0</v>
      </c>
      <c r="X7" s="4">
        <f>'Residential-Other'!W7*Conversion!$B$3</f>
        <v>0</v>
      </c>
      <c r="Y7" s="4">
        <f>'Residential-Other'!X7*Conversion!$B$3</f>
        <v>0</v>
      </c>
      <c r="Z7" s="4">
        <f>'Residential-Other'!Y7*Conversion!$B$3</f>
        <v>0</v>
      </c>
      <c r="AA7" s="4">
        <f>'Residential-Other'!Z7*Conversion!$B$3</f>
        <v>0</v>
      </c>
      <c r="AB7" s="4">
        <f>'Residential-Other'!AA7*Conversion!$B$3</f>
        <v>0</v>
      </c>
      <c r="AC7" s="4">
        <f>'Residential-Other'!AB7*Conversion!$B$3</f>
        <v>0</v>
      </c>
      <c r="AD7" s="4">
        <f>'Residential-Other'!AC7*Conversion!$B$3</f>
        <v>0</v>
      </c>
      <c r="AE7" s="4">
        <f>'Residential-Other'!AD7*Conversion!$B$3</f>
        <v>0</v>
      </c>
      <c r="AF7" s="4">
        <f>'Residential-Other'!AE7*Conversion!$B$3</f>
        <v>0</v>
      </c>
      <c r="AG7" s="4">
        <f>'Residential-Other'!AF7*Conversion!$B$3</f>
        <v>0</v>
      </c>
      <c r="AH7" s="4">
        <f>'Residential-Other'!AG7*Conversion!$B$3</f>
        <v>0</v>
      </c>
      <c r="AI7" s="4">
        <f>'Residential-Other'!AH7*Conversion!$B$3</f>
        <v>0</v>
      </c>
      <c r="AJ7" s="4">
        <f>'Residential-Other'!AI7*Conversion!$B$3</f>
        <v>0</v>
      </c>
      <c r="AK7" s="4">
        <f>'Residential-Other'!AJ7*Conversion!$B$3</f>
        <v>0</v>
      </c>
      <c r="AL7" s="4">
        <f>'Residential-Other'!AK7*Conversion!$B$3</f>
        <v>0</v>
      </c>
      <c r="AM7" s="4">
        <f>'Residential-Other'!AL7*Conversion!$B$3</f>
        <v>0</v>
      </c>
      <c r="AN7" s="4">
        <f>'Residential-Other'!AM7*Conversion!$B$3</f>
        <v>0</v>
      </c>
      <c r="AO7" s="4">
        <f>'Residential-Other'!AN7*Conversion!$B$3</f>
        <v>0</v>
      </c>
      <c r="AP7" s="4">
        <f>'Residential-Other'!AO7*Conversion!$B$3</f>
        <v>0</v>
      </c>
      <c r="AQ7" s="4">
        <f>'Residential-Other'!AP7*Conversion!$B$3</f>
        <v>0</v>
      </c>
    </row>
    <row r="8" spans="1:43" x14ac:dyDescent="0.2">
      <c r="A8" s="1" t="s">
        <v>18</v>
      </c>
      <c r="B8" s="15">
        <f t="shared" si="0"/>
        <v>0</v>
      </c>
      <c r="C8" s="4">
        <f>'Residential-Other'!B8*Conversion!$B$3</f>
        <v>0</v>
      </c>
      <c r="D8" s="4">
        <f>'Residential-Other'!C8*Conversion!$B$3</f>
        <v>0</v>
      </c>
      <c r="E8" s="4">
        <f>'Residential-Other'!D8*Conversion!$B$3</f>
        <v>0</v>
      </c>
      <c r="F8" s="4">
        <f>'Residential-Other'!E8*Conversion!$B$3</f>
        <v>0</v>
      </c>
      <c r="G8" s="4">
        <f>'Residential-Other'!F8*Conversion!$B$3</f>
        <v>0</v>
      </c>
      <c r="H8" s="4">
        <f>'Residential-Other'!G8*Conversion!$B$3</f>
        <v>0</v>
      </c>
      <c r="I8" s="4">
        <f>'Residential-Other'!H8*Conversion!$B$3</f>
        <v>0</v>
      </c>
      <c r="J8" s="4">
        <f>'Residential-Other'!I8*Conversion!$B$3</f>
        <v>0</v>
      </c>
      <c r="K8" s="4">
        <f>'Residential-Other'!J8*Conversion!$B$3</f>
        <v>0</v>
      </c>
      <c r="L8" s="4">
        <f>'Residential-Other'!K8*Conversion!$B$3</f>
        <v>0</v>
      </c>
      <c r="M8" s="4">
        <f>'Residential-Other'!L8*Conversion!$B$3</f>
        <v>0</v>
      </c>
      <c r="N8" s="4">
        <f>'Residential-Other'!M8*Conversion!$B$3</f>
        <v>0</v>
      </c>
      <c r="O8" s="4">
        <f>'Residential-Other'!N8*Conversion!$B$3</f>
        <v>0</v>
      </c>
      <c r="P8" s="4">
        <f>'Residential-Other'!O8*Conversion!$B$3</f>
        <v>0</v>
      </c>
      <c r="Q8" s="4">
        <f>'Residential-Other'!P8*Conversion!$B$3</f>
        <v>0</v>
      </c>
      <c r="R8" s="4">
        <f>'Residential-Other'!Q8*Conversion!$B$3</f>
        <v>0</v>
      </c>
      <c r="S8" s="4">
        <f>'Residential-Other'!R8*Conversion!$B$3</f>
        <v>0</v>
      </c>
      <c r="T8" s="4">
        <f>'Residential-Other'!S8*Conversion!$B$3</f>
        <v>0</v>
      </c>
      <c r="U8" s="4">
        <f>'Residential-Other'!T8*Conversion!$B$3</f>
        <v>0</v>
      </c>
      <c r="V8" s="4">
        <f>'Residential-Other'!U8*Conversion!$B$3</f>
        <v>0</v>
      </c>
      <c r="W8" s="4">
        <f>'Residential-Other'!V8*Conversion!$B$3</f>
        <v>0</v>
      </c>
      <c r="X8" s="4">
        <f>'Residential-Other'!W8*Conversion!$B$3</f>
        <v>0</v>
      </c>
      <c r="Y8" s="4">
        <f>'Residential-Other'!X8*Conversion!$B$3</f>
        <v>0</v>
      </c>
      <c r="Z8" s="4">
        <f>'Residential-Other'!Y8*Conversion!$B$3</f>
        <v>0</v>
      </c>
      <c r="AA8" s="4">
        <f>'Residential-Other'!Z8*Conversion!$B$3</f>
        <v>0</v>
      </c>
      <c r="AB8" s="4">
        <f>'Residential-Other'!AA8*Conversion!$B$3</f>
        <v>0</v>
      </c>
      <c r="AC8" s="4">
        <f>'Residential-Other'!AB8*Conversion!$B$3</f>
        <v>0</v>
      </c>
      <c r="AD8" s="4">
        <f>'Residential-Other'!AC8*Conversion!$B$3</f>
        <v>0</v>
      </c>
      <c r="AE8" s="4">
        <f>'Residential-Other'!AD8*Conversion!$B$3</f>
        <v>0</v>
      </c>
      <c r="AF8" s="4">
        <f>'Residential-Other'!AE8*Conversion!$B$3</f>
        <v>0</v>
      </c>
      <c r="AG8" s="4">
        <f>'Residential-Other'!AF8*Conversion!$B$3</f>
        <v>0</v>
      </c>
      <c r="AH8" s="4">
        <f>'Residential-Other'!AG8*Conversion!$B$3</f>
        <v>0</v>
      </c>
      <c r="AI8" s="4">
        <f>'Residential-Other'!AH8*Conversion!$B$3</f>
        <v>0</v>
      </c>
      <c r="AJ8" s="4">
        <f>'Residential-Other'!AI8*Conversion!$B$3</f>
        <v>0</v>
      </c>
      <c r="AK8" s="4">
        <f>'Residential-Other'!AJ8*Conversion!$B$3</f>
        <v>0</v>
      </c>
      <c r="AL8" s="4">
        <f>'Residential-Other'!AK8*Conversion!$B$3</f>
        <v>0</v>
      </c>
      <c r="AM8" s="4">
        <f>'Residential-Other'!AL8*Conversion!$B$3</f>
        <v>0</v>
      </c>
      <c r="AN8" s="4">
        <f>'Residential-Other'!AM8*Conversion!$B$3</f>
        <v>0</v>
      </c>
      <c r="AO8" s="4">
        <f>'Residential-Other'!AN8*Conversion!$B$3</f>
        <v>0</v>
      </c>
      <c r="AP8" s="4">
        <f>'Residential-Other'!AO8*Conversion!$B$3</f>
        <v>0</v>
      </c>
      <c r="AQ8" s="4">
        <f>'Residential-Other'!AP8*Conversion!$B$3</f>
        <v>0</v>
      </c>
    </row>
    <row r="9" spans="1:43" x14ac:dyDescent="0.2">
      <c r="A9" s="1" t="s">
        <v>19</v>
      </c>
      <c r="B9" s="15">
        <f t="shared" si="0"/>
        <v>0</v>
      </c>
      <c r="C9" s="4">
        <f>'Residential-Other'!B9*Conversion!$B$3</f>
        <v>0</v>
      </c>
      <c r="D9" s="4">
        <f>'Residential-Other'!C9*Conversion!$B$3</f>
        <v>0</v>
      </c>
      <c r="E9" s="4">
        <f>'Residential-Other'!D9*Conversion!$B$3</f>
        <v>0</v>
      </c>
      <c r="F9" s="4">
        <f>'Residential-Other'!E9*Conversion!$B$3</f>
        <v>0</v>
      </c>
      <c r="G9" s="4">
        <f>'Residential-Other'!F9*Conversion!$B$3</f>
        <v>0</v>
      </c>
      <c r="H9" s="4">
        <f>'Residential-Other'!G9*Conversion!$B$3</f>
        <v>0</v>
      </c>
      <c r="I9" s="4">
        <f>'Residential-Other'!H9*Conversion!$B$3</f>
        <v>0</v>
      </c>
      <c r="J9" s="4">
        <f>'Residential-Other'!I9*Conversion!$B$3</f>
        <v>0</v>
      </c>
      <c r="K9" s="4">
        <f>'Residential-Other'!J9*Conversion!$B$3</f>
        <v>0</v>
      </c>
      <c r="L9" s="4">
        <f>'Residential-Other'!K9*Conversion!$B$3</f>
        <v>0</v>
      </c>
      <c r="M9" s="4">
        <f>'Residential-Other'!L9*Conversion!$B$3</f>
        <v>0</v>
      </c>
      <c r="N9" s="4">
        <f>'Residential-Other'!M9*Conversion!$B$3</f>
        <v>0</v>
      </c>
      <c r="O9" s="4">
        <f>'Residential-Other'!N9*Conversion!$B$3</f>
        <v>0</v>
      </c>
      <c r="P9" s="4">
        <f>'Residential-Other'!O9*Conversion!$B$3</f>
        <v>0</v>
      </c>
      <c r="Q9" s="4">
        <f>'Residential-Other'!P9*Conversion!$B$3</f>
        <v>0</v>
      </c>
      <c r="R9" s="4">
        <f>'Residential-Other'!Q9*Conversion!$B$3</f>
        <v>0</v>
      </c>
      <c r="S9" s="4">
        <f>'Residential-Other'!R9*Conversion!$B$3</f>
        <v>0</v>
      </c>
      <c r="T9" s="4">
        <f>'Residential-Other'!S9*Conversion!$B$3</f>
        <v>0</v>
      </c>
      <c r="U9" s="4">
        <f>'Residential-Other'!T9*Conversion!$B$3</f>
        <v>0</v>
      </c>
      <c r="V9" s="4">
        <f>'Residential-Other'!U9*Conversion!$B$3</f>
        <v>0</v>
      </c>
      <c r="W9" s="4">
        <f>'Residential-Other'!V9*Conversion!$B$3</f>
        <v>0</v>
      </c>
      <c r="X9" s="4">
        <f>'Residential-Other'!W9*Conversion!$B$3</f>
        <v>0</v>
      </c>
      <c r="Y9" s="4">
        <f>'Residential-Other'!X9*Conversion!$B$3</f>
        <v>0</v>
      </c>
      <c r="Z9" s="4">
        <f>'Residential-Other'!Y9*Conversion!$B$3</f>
        <v>0</v>
      </c>
      <c r="AA9" s="4">
        <f>'Residential-Other'!Z9*Conversion!$B$3</f>
        <v>0</v>
      </c>
      <c r="AB9" s="4">
        <f>'Residential-Other'!AA9*Conversion!$B$3</f>
        <v>0</v>
      </c>
      <c r="AC9" s="4">
        <f>'Residential-Other'!AB9*Conversion!$B$3</f>
        <v>0</v>
      </c>
      <c r="AD9" s="4">
        <f>'Residential-Other'!AC9*Conversion!$B$3</f>
        <v>0</v>
      </c>
      <c r="AE9" s="4">
        <f>'Residential-Other'!AD9*Conversion!$B$3</f>
        <v>0</v>
      </c>
      <c r="AF9" s="4">
        <f>'Residential-Other'!AE9*Conversion!$B$3</f>
        <v>0</v>
      </c>
      <c r="AG9" s="4">
        <f>'Residential-Other'!AF9*Conversion!$B$3</f>
        <v>0</v>
      </c>
      <c r="AH9" s="4">
        <f>'Residential-Other'!AG9*Conversion!$B$3</f>
        <v>0</v>
      </c>
      <c r="AI9" s="4">
        <f>'Residential-Other'!AH9*Conversion!$B$3</f>
        <v>0</v>
      </c>
      <c r="AJ9" s="4">
        <f>'Residential-Other'!AI9*Conversion!$B$3</f>
        <v>0</v>
      </c>
      <c r="AK9" s="4">
        <f>'Residential-Other'!AJ9*Conversion!$B$3</f>
        <v>0</v>
      </c>
      <c r="AL9" s="4">
        <f>'Residential-Other'!AK9*Conversion!$B$3</f>
        <v>0</v>
      </c>
      <c r="AM9" s="4">
        <f>'Residential-Other'!AL9*Conversion!$B$3</f>
        <v>0</v>
      </c>
      <c r="AN9" s="4">
        <f>'Residential-Other'!AM9*Conversion!$B$3</f>
        <v>0</v>
      </c>
      <c r="AO9" s="4">
        <f>'Residential-Other'!AN9*Conversion!$B$3</f>
        <v>0</v>
      </c>
      <c r="AP9" s="4">
        <f>'Residential-Other'!AO9*Conversion!$B$3</f>
        <v>0</v>
      </c>
      <c r="AQ9" s="4">
        <f>'Residential-Other'!AP9*Conversion!$B$3</f>
        <v>0</v>
      </c>
    </row>
    <row r="10" spans="1:43" x14ac:dyDescent="0.2">
      <c r="A10" s="1" t="s">
        <v>20</v>
      </c>
      <c r="B10" s="15">
        <f t="shared" si="0"/>
        <v>0</v>
      </c>
      <c r="C10" s="4">
        <f>'Residential-Other'!B10*Conversion!$B$3</f>
        <v>0</v>
      </c>
      <c r="D10" s="4">
        <f>'Residential-Other'!C10*Conversion!$B$3</f>
        <v>0</v>
      </c>
      <c r="E10" s="4">
        <f>'Residential-Other'!D10*Conversion!$B$3</f>
        <v>0</v>
      </c>
      <c r="F10" s="4">
        <f>'Residential-Other'!E10*Conversion!$B$3</f>
        <v>0</v>
      </c>
      <c r="G10" s="4">
        <f>'Residential-Other'!F10*Conversion!$B$3</f>
        <v>0</v>
      </c>
      <c r="H10" s="4">
        <f>'Residential-Other'!G10*Conversion!$B$3</f>
        <v>0</v>
      </c>
      <c r="I10" s="4">
        <f>'Residential-Other'!H10*Conversion!$B$3</f>
        <v>0</v>
      </c>
      <c r="J10" s="4">
        <f>'Residential-Other'!I10*Conversion!$B$3</f>
        <v>0</v>
      </c>
      <c r="K10" s="4">
        <f>'Residential-Other'!J10*Conversion!$B$3</f>
        <v>0</v>
      </c>
      <c r="L10" s="4">
        <f>'Residential-Other'!K10*Conversion!$B$3</f>
        <v>0</v>
      </c>
      <c r="M10" s="4">
        <f>'Residential-Other'!L10*Conversion!$B$3</f>
        <v>0</v>
      </c>
      <c r="N10" s="4">
        <f>'Residential-Other'!M10*Conversion!$B$3</f>
        <v>0</v>
      </c>
      <c r="O10" s="4">
        <f>'Residential-Other'!N10*Conversion!$B$3</f>
        <v>0</v>
      </c>
      <c r="P10" s="4">
        <f>'Residential-Other'!O10*Conversion!$B$3</f>
        <v>0</v>
      </c>
      <c r="Q10" s="4">
        <f>'Residential-Other'!P10*Conversion!$B$3</f>
        <v>0</v>
      </c>
      <c r="R10" s="4">
        <f>'Residential-Other'!Q10*Conversion!$B$3</f>
        <v>0</v>
      </c>
      <c r="S10" s="4">
        <f>'Residential-Other'!R10*Conversion!$B$3</f>
        <v>0</v>
      </c>
      <c r="T10" s="4">
        <f>'Residential-Other'!S10*Conversion!$B$3</f>
        <v>0</v>
      </c>
      <c r="U10" s="4">
        <f>'Residential-Other'!T10*Conversion!$B$3</f>
        <v>0</v>
      </c>
      <c r="V10" s="4">
        <f>'Residential-Other'!U10*Conversion!$B$3</f>
        <v>0</v>
      </c>
      <c r="W10" s="4">
        <f>'Residential-Other'!V10*Conversion!$B$3</f>
        <v>0</v>
      </c>
      <c r="X10" s="4">
        <f>'Residential-Other'!W10*Conversion!$B$3</f>
        <v>0</v>
      </c>
      <c r="Y10" s="4">
        <f>'Residential-Other'!X10*Conversion!$B$3</f>
        <v>0</v>
      </c>
      <c r="Z10" s="4">
        <f>'Residential-Other'!Y10*Conversion!$B$3</f>
        <v>0</v>
      </c>
      <c r="AA10" s="4">
        <f>'Residential-Other'!Z10*Conversion!$B$3</f>
        <v>0</v>
      </c>
      <c r="AB10" s="4">
        <f>'Residential-Other'!AA10*Conversion!$B$3</f>
        <v>0</v>
      </c>
      <c r="AC10" s="4">
        <f>'Residential-Other'!AB10*Conversion!$B$3</f>
        <v>0</v>
      </c>
      <c r="AD10" s="4">
        <f>'Residential-Other'!AC10*Conversion!$B$3</f>
        <v>0</v>
      </c>
      <c r="AE10" s="4">
        <f>'Residential-Other'!AD10*Conversion!$B$3</f>
        <v>0</v>
      </c>
      <c r="AF10" s="4">
        <f>'Residential-Other'!AE10*Conversion!$B$3</f>
        <v>0</v>
      </c>
      <c r="AG10" s="4">
        <f>'Residential-Other'!AF10*Conversion!$B$3</f>
        <v>0</v>
      </c>
      <c r="AH10" s="4">
        <f>'Residential-Other'!AG10*Conversion!$B$3</f>
        <v>0</v>
      </c>
      <c r="AI10" s="4">
        <f>'Residential-Other'!AH10*Conversion!$B$3</f>
        <v>0</v>
      </c>
      <c r="AJ10" s="4">
        <f>'Residential-Other'!AI10*Conversion!$B$3</f>
        <v>0</v>
      </c>
      <c r="AK10" s="4">
        <f>'Residential-Other'!AJ10*Conversion!$B$3</f>
        <v>0</v>
      </c>
      <c r="AL10" s="4">
        <f>'Residential-Other'!AK10*Conversion!$B$3</f>
        <v>0</v>
      </c>
      <c r="AM10" s="4">
        <f>'Residential-Other'!AL10*Conversion!$B$3</f>
        <v>0</v>
      </c>
      <c r="AN10" s="4">
        <f>'Residential-Other'!AM10*Conversion!$B$3</f>
        <v>0</v>
      </c>
      <c r="AO10" s="4">
        <f>'Residential-Other'!AN10*Conversion!$B$3</f>
        <v>0</v>
      </c>
      <c r="AP10" s="4">
        <f>'Residential-Other'!AO10*Conversion!$B$3</f>
        <v>0</v>
      </c>
      <c r="AQ10" s="4">
        <f>'Residential-Other'!AP10*Conversion!$B$3</f>
        <v>0</v>
      </c>
    </row>
    <row r="11" spans="1:43" x14ac:dyDescent="0.2">
      <c r="A11" s="1" t="s">
        <v>21</v>
      </c>
      <c r="B11" s="15">
        <f t="shared" si="0"/>
        <v>0</v>
      </c>
      <c r="C11" s="4">
        <f>'Residential-Other'!B11*Conversion!$B$3</f>
        <v>0</v>
      </c>
      <c r="D11" s="4">
        <f>'Residential-Other'!C11*Conversion!$B$3</f>
        <v>0</v>
      </c>
      <c r="E11" s="4">
        <f>'Residential-Other'!D11*Conversion!$B$3</f>
        <v>0</v>
      </c>
      <c r="F11" s="4">
        <f>'Residential-Other'!E11*Conversion!$B$3</f>
        <v>0</v>
      </c>
      <c r="G11" s="4">
        <f>'Residential-Other'!F11*Conversion!$B$3</f>
        <v>0</v>
      </c>
      <c r="H11" s="4">
        <f>'Residential-Other'!G11*Conversion!$B$3</f>
        <v>0</v>
      </c>
      <c r="I11" s="4">
        <f>'Residential-Other'!H11*Conversion!$B$3</f>
        <v>0</v>
      </c>
      <c r="J11" s="4">
        <f>'Residential-Other'!I11*Conversion!$B$3</f>
        <v>0</v>
      </c>
      <c r="K11" s="4">
        <f>'Residential-Other'!J11*Conversion!$B$3</f>
        <v>0</v>
      </c>
      <c r="L11" s="4">
        <f>'Residential-Other'!K11*Conversion!$B$3</f>
        <v>0</v>
      </c>
      <c r="M11" s="4">
        <f>'Residential-Other'!L11*Conversion!$B$3</f>
        <v>0</v>
      </c>
      <c r="N11" s="4">
        <f>'Residential-Other'!M11*Conversion!$B$3</f>
        <v>0</v>
      </c>
      <c r="O11" s="4">
        <f>'Residential-Other'!N11*Conversion!$B$3</f>
        <v>0</v>
      </c>
      <c r="P11" s="4">
        <f>'Residential-Other'!O11*Conversion!$B$3</f>
        <v>0</v>
      </c>
      <c r="Q11" s="4">
        <f>'Residential-Other'!P11*Conversion!$B$3</f>
        <v>0</v>
      </c>
      <c r="R11" s="4">
        <f>'Residential-Other'!Q11*Conversion!$B$3</f>
        <v>0</v>
      </c>
      <c r="S11" s="4">
        <f>'Residential-Other'!R11*Conversion!$B$3</f>
        <v>0</v>
      </c>
      <c r="T11" s="4">
        <f>'Residential-Other'!S11*Conversion!$B$3</f>
        <v>0</v>
      </c>
      <c r="U11" s="4">
        <f>'Residential-Other'!T11*Conversion!$B$3</f>
        <v>0</v>
      </c>
      <c r="V11" s="4">
        <f>'Residential-Other'!U11*Conversion!$B$3</f>
        <v>0</v>
      </c>
      <c r="W11" s="4">
        <f>'Residential-Other'!V11*Conversion!$B$3</f>
        <v>0</v>
      </c>
      <c r="X11" s="4">
        <f>'Residential-Other'!W11*Conversion!$B$3</f>
        <v>0</v>
      </c>
      <c r="Y11" s="4">
        <f>'Residential-Other'!X11*Conversion!$B$3</f>
        <v>0</v>
      </c>
      <c r="Z11" s="4">
        <f>'Residential-Other'!Y11*Conversion!$B$3</f>
        <v>0</v>
      </c>
      <c r="AA11" s="4">
        <f>'Residential-Other'!Z11*Conversion!$B$3</f>
        <v>0</v>
      </c>
      <c r="AB11" s="4">
        <f>'Residential-Other'!AA11*Conversion!$B$3</f>
        <v>0</v>
      </c>
      <c r="AC11" s="4">
        <f>'Residential-Other'!AB11*Conversion!$B$3</f>
        <v>0</v>
      </c>
      <c r="AD11" s="4">
        <f>'Residential-Other'!AC11*Conversion!$B$3</f>
        <v>0</v>
      </c>
      <c r="AE11" s="4">
        <f>'Residential-Other'!AD11*Conversion!$B$3</f>
        <v>0</v>
      </c>
      <c r="AF11" s="4">
        <f>'Residential-Other'!AE11*Conversion!$B$3</f>
        <v>0</v>
      </c>
      <c r="AG11" s="4">
        <f>'Residential-Other'!AF11*Conversion!$B$3</f>
        <v>0</v>
      </c>
      <c r="AH11" s="4">
        <f>'Residential-Other'!AG11*Conversion!$B$3</f>
        <v>0</v>
      </c>
      <c r="AI11" s="4">
        <f>'Residential-Other'!AH11*Conversion!$B$3</f>
        <v>0</v>
      </c>
      <c r="AJ11" s="4">
        <f>'Residential-Other'!AI11*Conversion!$B$3</f>
        <v>0</v>
      </c>
      <c r="AK11" s="4">
        <f>'Residential-Other'!AJ11*Conversion!$B$3</f>
        <v>0</v>
      </c>
      <c r="AL11" s="4">
        <f>'Residential-Other'!AK11*Conversion!$B$3</f>
        <v>0</v>
      </c>
      <c r="AM11" s="4">
        <f>'Residential-Other'!AL11*Conversion!$B$3</f>
        <v>0</v>
      </c>
      <c r="AN11" s="4">
        <f>'Residential-Other'!AM11*Conversion!$B$3</f>
        <v>0</v>
      </c>
      <c r="AO11" s="4">
        <f>'Residential-Other'!AN11*Conversion!$B$3</f>
        <v>0</v>
      </c>
      <c r="AP11" s="4">
        <f>'Residential-Other'!AO11*Conversion!$B$3</f>
        <v>0</v>
      </c>
      <c r="AQ11" s="4">
        <f>'Residential-Other'!AP11*Conversion!$B$3</f>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8E7C5-B793-3645-AB8D-F9EDF61DA927}">
  <sheetPr>
    <tabColor theme="3" tint="0.249977111117893"/>
  </sheetPr>
  <dimension ref="A1:AQ11"/>
  <sheetViews>
    <sheetView workbookViewId="0">
      <selection activeCell="B2" sqref="B2:B11"/>
    </sheetView>
  </sheetViews>
  <sheetFormatPr baseColWidth="10" defaultRowHeight="16" x14ac:dyDescent="0.2"/>
  <sheetData>
    <row r="1" spans="1:4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row>
    <row r="2" spans="1:43" x14ac:dyDescent="0.2">
      <c r="A2" s="1" t="s">
        <v>12</v>
      </c>
      <c r="B2" s="15">
        <f>C2</f>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row>
    <row r="3" spans="1:43" x14ac:dyDescent="0.2">
      <c r="A3" s="1" t="s">
        <v>13</v>
      </c>
      <c r="B3" s="15">
        <f t="shared" ref="B3:B11" si="0">C3</f>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row>
    <row r="4" spans="1:43" x14ac:dyDescent="0.2">
      <c r="A4" s="1" t="s">
        <v>14</v>
      </c>
      <c r="B4" s="15">
        <f t="shared" si="0"/>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row>
    <row r="5" spans="1:43" x14ac:dyDescent="0.2">
      <c r="A5" s="1" t="s">
        <v>15</v>
      </c>
      <c r="B5" s="15">
        <f t="shared" si="0"/>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row>
    <row r="6" spans="1:43" x14ac:dyDescent="0.2">
      <c r="A6" s="1" t="s">
        <v>16</v>
      </c>
      <c r="B6" s="15">
        <f t="shared" si="0"/>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row>
    <row r="7" spans="1:43" x14ac:dyDescent="0.2">
      <c r="A7" s="1" t="s">
        <v>17</v>
      </c>
      <c r="B7" s="15">
        <f t="shared" si="0"/>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row>
    <row r="8" spans="1:43" x14ac:dyDescent="0.2">
      <c r="A8" s="1" t="s">
        <v>18</v>
      </c>
      <c r="B8" s="15">
        <f t="shared" si="0"/>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row>
    <row r="9" spans="1:43" x14ac:dyDescent="0.2">
      <c r="A9" s="1" t="s">
        <v>19</v>
      </c>
      <c r="B9" s="15">
        <f t="shared" si="0"/>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row>
    <row r="10" spans="1:43" x14ac:dyDescent="0.2">
      <c r="A10" s="1" t="s">
        <v>20</v>
      </c>
      <c r="B10" s="15">
        <f t="shared" si="0"/>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row>
    <row r="11" spans="1:43" x14ac:dyDescent="0.2">
      <c r="A11" s="1" t="s">
        <v>21</v>
      </c>
      <c r="B11" s="15">
        <f t="shared" si="0"/>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4FBBD-6562-E84C-BDCD-A04F0DA2FA83}">
  <sheetPr>
    <tabColor theme="3" tint="0.249977111117893"/>
  </sheetPr>
  <dimension ref="A1:AQ11"/>
  <sheetViews>
    <sheetView workbookViewId="0">
      <selection activeCell="B2" sqref="B2:B11"/>
    </sheetView>
  </sheetViews>
  <sheetFormatPr baseColWidth="10" defaultRowHeight="16" x14ac:dyDescent="0.2"/>
  <sheetData>
    <row r="1" spans="1:4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row>
    <row r="2" spans="1:43" x14ac:dyDescent="0.2">
      <c r="A2" s="1" t="s">
        <v>12</v>
      </c>
      <c r="B2" s="15">
        <f>C2</f>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row>
    <row r="3" spans="1:43" x14ac:dyDescent="0.2">
      <c r="A3" s="1" t="s">
        <v>13</v>
      </c>
      <c r="B3" s="15">
        <f t="shared" ref="B3:B11" si="0">C3</f>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row>
    <row r="4" spans="1:43" x14ac:dyDescent="0.2">
      <c r="A4" s="1" t="s">
        <v>14</v>
      </c>
      <c r="B4" s="15">
        <f t="shared" si="0"/>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row>
    <row r="5" spans="1:43" x14ac:dyDescent="0.2">
      <c r="A5" s="1" t="s">
        <v>15</v>
      </c>
      <c r="B5" s="15">
        <f t="shared" si="0"/>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row>
    <row r="6" spans="1:43" x14ac:dyDescent="0.2">
      <c r="A6" s="1" t="s">
        <v>16</v>
      </c>
      <c r="B6" s="15">
        <f t="shared" si="0"/>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row>
    <row r="7" spans="1:43" x14ac:dyDescent="0.2">
      <c r="A7" s="1" t="s">
        <v>17</v>
      </c>
      <c r="B7" s="15">
        <f t="shared" si="0"/>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row>
    <row r="8" spans="1:43" x14ac:dyDescent="0.2">
      <c r="A8" s="1" t="s">
        <v>18</v>
      </c>
      <c r="B8" s="15">
        <f t="shared" si="0"/>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row>
    <row r="9" spans="1:43" x14ac:dyDescent="0.2">
      <c r="A9" s="1" t="s">
        <v>19</v>
      </c>
      <c r="B9" s="15">
        <f t="shared" si="0"/>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row>
    <row r="10" spans="1:43" x14ac:dyDescent="0.2">
      <c r="A10" s="1" t="s">
        <v>20</v>
      </c>
      <c r="B10" s="15">
        <f t="shared" si="0"/>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row>
    <row r="11" spans="1:43" x14ac:dyDescent="0.2">
      <c r="A11" s="1" t="s">
        <v>21</v>
      </c>
      <c r="B11" s="15">
        <f t="shared" si="0"/>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1F01-9ABC-B449-8504-860C0CE3D9A4}">
  <sheetPr>
    <tabColor theme="3" tint="0.249977111117893"/>
  </sheetPr>
  <dimension ref="A1:AQ11"/>
  <sheetViews>
    <sheetView workbookViewId="0">
      <selection activeCell="B2" sqref="B2:B11"/>
    </sheetView>
  </sheetViews>
  <sheetFormatPr baseColWidth="10" defaultRowHeight="16" x14ac:dyDescent="0.2"/>
  <sheetData>
    <row r="1" spans="1:4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row>
    <row r="2" spans="1:43" x14ac:dyDescent="0.2">
      <c r="A2" s="1" t="s">
        <v>12</v>
      </c>
      <c r="B2" s="15">
        <f>C2</f>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row>
    <row r="3" spans="1:43" x14ac:dyDescent="0.2">
      <c r="A3" s="1" t="s">
        <v>13</v>
      </c>
      <c r="B3" s="15">
        <f t="shared" ref="B3:B11" si="0">C3</f>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row>
    <row r="4" spans="1:43" x14ac:dyDescent="0.2">
      <c r="A4" s="1" t="s">
        <v>14</v>
      </c>
      <c r="B4" s="15">
        <f t="shared" si="0"/>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row>
    <row r="5" spans="1:43" x14ac:dyDescent="0.2">
      <c r="A5" s="1" t="s">
        <v>15</v>
      </c>
      <c r="B5" s="15">
        <f t="shared" si="0"/>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row>
    <row r="6" spans="1:43" x14ac:dyDescent="0.2">
      <c r="A6" s="1" t="s">
        <v>16</v>
      </c>
      <c r="B6" s="15">
        <f t="shared" si="0"/>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row>
    <row r="7" spans="1:43" x14ac:dyDescent="0.2">
      <c r="A7" s="1" t="s">
        <v>17</v>
      </c>
      <c r="B7" s="15">
        <f t="shared" si="0"/>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row>
    <row r="8" spans="1:43" x14ac:dyDescent="0.2">
      <c r="A8" s="1" t="s">
        <v>18</v>
      </c>
      <c r="B8" s="15">
        <f t="shared" si="0"/>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row>
    <row r="9" spans="1:43" x14ac:dyDescent="0.2">
      <c r="A9" s="1" t="s">
        <v>19</v>
      </c>
      <c r="B9" s="15">
        <f t="shared" si="0"/>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row>
    <row r="10" spans="1:43" x14ac:dyDescent="0.2">
      <c r="A10" s="1" t="s">
        <v>20</v>
      </c>
      <c r="B10" s="15">
        <f t="shared" si="0"/>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row>
    <row r="11" spans="1:43" x14ac:dyDescent="0.2">
      <c r="A11" s="1" t="s">
        <v>21</v>
      </c>
      <c r="B11" s="15">
        <f t="shared" si="0"/>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499DC-B002-3049-8991-262FA7BDF6A4}">
  <sheetPr>
    <tabColor theme="3" tint="0.249977111117893"/>
  </sheetPr>
  <dimension ref="A1:AQ11"/>
  <sheetViews>
    <sheetView workbookViewId="0">
      <selection activeCell="B2" sqref="B2:B11"/>
    </sheetView>
  </sheetViews>
  <sheetFormatPr baseColWidth="10" defaultRowHeight="16" x14ac:dyDescent="0.2"/>
  <sheetData>
    <row r="1" spans="1:4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row>
    <row r="2" spans="1:43" x14ac:dyDescent="0.2">
      <c r="A2" s="1" t="s">
        <v>12</v>
      </c>
      <c r="B2" s="15">
        <f>C2</f>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row>
    <row r="3" spans="1:43" x14ac:dyDescent="0.2">
      <c r="A3" s="1" t="s">
        <v>13</v>
      </c>
      <c r="B3" s="15">
        <f t="shared" ref="B3:B11" si="0">C3</f>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row>
    <row r="4" spans="1:43" x14ac:dyDescent="0.2">
      <c r="A4" s="1" t="s">
        <v>14</v>
      </c>
      <c r="B4" s="15">
        <f t="shared" si="0"/>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row>
    <row r="5" spans="1:43" x14ac:dyDescent="0.2">
      <c r="A5" s="1" t="s">
        <v>15</v>
      </c>
      <c r="B5" s="15">
        <f t="shared" si="0"/>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row>
    <row r="6" spans="1:43" x14ac:dyDescent="0.2">
      <c r="A6" s="1" t="s">
        <v>16</v>
      </c>
      <c r="B6" s="15">
        <f t="shared" si="0"/>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row>
    <row r="7" spans="1:43" x14ac:dyDescent="0.2">
      <c r="A7" s="1" t="s">
        <v>17</v>
      </c>
      <c r="B7" s="15">
        <f t="shared" si="0"/>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row>
    <row r="8" spans="1:43" x14ac:dyDescent="0.2">
      <c r="A8" s="1" t="s">
        <v>18</v>
      </c>
      <c r="B8" s="15">
        <f t="shared" si="0"/>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row>
    <row r="9" spans="1:43" x14ac:dyDescent="0.2">
      <c r="A9" s="1" t="s">
        <v>19</v>
      </c>
      <c r="B9" s="15">
        <f t="shared" si="0"/>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row>
    <row r="10" spans="1:43" x14ac:dyDescent="0.2">
      <c r="A10" s="1" t="s">
        <v>20</v>
      </c>
      <c r="B10" s="15">
        <f t="shared" si="0"/>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row>
    <row r="11" spans="1:43" x14ac:dyDescent="0.2">
      <c r="A11" s="1" t="s">
        <v>21</v>
      </c>
      <c r="B11" s="15">
        <f t="shared" si="0"/>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1556B-1454-614D-9C14-C3790B9102F2}">
  <sheetPr>
    <tabColor theme="3" tint="0.249977111117893"/>
  </sheetPr>
  <dimension ref="A1:AQ11"/>
  <sheetViews>
    <sheetView workbookViewId="0">
      <selection activeCell="B2" sqref="B2:B11"/>
    </sheetView>
  </sheetViews>
  <sheetFormatPr baseColWidth="10" defaultRowHeight="16" x14ac:dyDescent="0.2"/>
  <sheetData>
    <row r="1" spans="1:4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row>
    <row r="2" spans="1:43" x14ac:dyDescent="0.2">
      <c r="A2" s="1" t="s">
        <v>12</v>
      </c>
      <c r="B2" s="15">
        <f>C2</f>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row>
    <row r="3" spans="1:43" x14ac:dyDescent="0.2">
      <c r="A3" s="1" t="s">
        <v>13</v>
      </c>
      <c r="B3" s="15">
        <f t="shared" ref="B3:B11" si="0">C3</f>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row>
    <row r="4" spans="1:43" x14ac:dyDescent="0.2">
      <c r="A4" s="1" t="s">
        <v>14</v>
      </c>
      <c r="B4" s="15">
        <f t="shared" si="0"/>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row>
    <row r="5" spans="1:43" x14ac:dyDescent="0.2">
      <c r="A5" s="1" t="s">
        <v>15</v>
      </c>
      <c r="B5" s="15">
        <f t="shared" si="0"/>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row>
    <row r="6" spans="1:43" x14ac:dyDescent="0.2">
      <c r="A6" s="1" t="s">
        <v>16</v>
      </c>
      <c r="B6" s="15">
        <f t="shared" si="0"/>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row>
    <row r="7" spans="1:43" x14ac:dyDescent="0.2">
      <c r="A7" s="1" t="s">
        <v>17</v>
      </c>
      <c r="B7" s="15">
        <f t="shared" si="0"/>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row>
    <row r="8" spans="1:43" x14ac:dyDescent="0.2">
      <c r="A8" s="1" t="s">
        <v>18</v>
      </c>
      <c r="B8" s="15">
        <f t="shared" si="0"/>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row>
    <row r="9" spans="1:43" x14ac:dyDescent="0.2">
      <c r="A9" s="1" t="s">
        <v>19</v>
      </c>
      <c r="B9" s="15">
        <f t="shared" si="0"/>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row>
    <row r="10" spans="1:43" x14ac:dyDescent="0.2">
      <c r="A10" s="1" t="s">
        <v>20</v>
      </c>
      <c r="B10" s="15">
        <f t="shared" si="0"/>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row>
    <row r="11" spans="1:43" x14ac:dyDescent="0.2">
      <c r="A11" s="1" t="s">
        <v>21</v>
      </c>
      <c r="B11" s="15">
        <f t="shared" si="0"/>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E52C5-CB0D-3A4C-A0F3-671BE08C56C4}">
  <sheetPr>
    <tabColor theme="3" tint="0.249977111117893"/>
  </sheetPr>
  <dimension ref="A1:AQ11"/>
  <sheetViews>
    <sheetView workbookViewId="0">
      <selection activeCell="B2" sqref="B2"/>
    </sheetView>
  </sheetViews>
  <sheetFormatPr baseColWidth="10" defaultRowHeight="16" x14ac:dyDescent="0.2"/>
  <sheetData>
    <row r="1" spans="1:4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row>
    <row r="2" spans="1:43" x14ac:dyDescent="0.2">
      <c r="A2" s="1" t="s">
        <v>12</v>
      </c>
      <c r="B2" s="15">
        <f>C2</f>
        <v>0</v>
      </c>
      <c r="C2" s="4">
        <f>'Commercial-Heating'!C2*Conversion!$B$3</f>
        <v>0</v>
      </c>
      <c r="D2" s="4">
        <f>'Commercial-Heating'!D2*Conversion!$B$3</f>
        <v>0</v>
      </c>
      <c r="E2" s="4">
        <f>'Commercial-Heating'!E2*Conversion!$B$3</f>
        <v>0</v>
      </c>
      <c r="F2" s="4">
        <f>'Commercial-Heating'!F2*Conversion!$B$3</f>
        <v>0</v>
      </c>
      <c r="G2" s="4">
        <f>'Commercial-Heating'!G2*Conversion!$B$3</f>
        <v>0</v>
      </c>
      <c r="H2" s="4">
        <f>'Commercial-Heating'!H2*Conversion!$B$3</f>
        <v>0</v>
      </c>
      <c r="I2" s="4">
        <f>'Commercial-Heating'!I2*Conversion!$B$3</f>
        <v>0</v>
      </c>
      <c r="J2" s="4">
        <f>'Commercial-Heating'!J2*Conversion!$B$3</f>
        <v>0</v>
      </c>
      <c r="K2" s="4">
        <f>'Commercial-Heating'!K2*Conversion!$B$3</f>
        <v>0</v>
      </c>
      <c r="L2" s="4">
        <f>'Commercial-Heating'!L2*Conversion!$B$3</f>
        <v>0</v>
      </c>
      <c r="M2" s="4">
        <f>'Commercial-Heating'!M2*Conversion!$B$3</f>
        <v>0</v>
      </c>
      <c r="N2" s="4">
        <f>'Commercial-Heating'!N2*Conversion!$B$3</f>
        <v>0</v>
      </c>
      <c r="O2" s="4">
        <f>'Commercial-Heating'!O2*Conversion!$B$3</f>
        <v>0</v>
      </c>
      <c r="P2" s="4">
        <f>'Commercial-Heating'!P2*Conversion!$B$3</f>
        <v>0</v>
      </c>
      <c r="Q2" s="4">
        <f>'Commercial-Heating'!Q2*Conversion!$B$3</f>
        <v>0</v>
      </c>
      <c r="R2" s="4">
        <f>'Commercial-Heating'!R2*Conversion!$B$3</f>
        <v>0</v>
      </c>
      <c r="S2" s="4">
        <f>'Commercial-Heating'!S2*Conversion!$B$3</f>
        <v>0</v>
      </c>
      <c r="T2" s="4">
        <f>'Commercial-Heating'!T2*Conversion!$B$3</f>
        <v>0</v>
      </c>
      <c r="U2" s="4">
        <f>'Commercial-Heating'!U2*Conversion!$B$3</f>
        <v>0</v>
      </c>
      <c r="V2" s="4">
        <f>'Commercial-Heating'!V2*Conversion!$B$3</f>
        <v>0</v>
      </c>
      <c r="W2" s="4">
        <f>'Commercial-Heating'!W2*Conversion!$B$3</f>
        <v>0</v>
      </c>
      <c r="X2" s="4">
        <f>'Commercial-Heating'!X2*Conversion!$B$3</f>
        <v>0</v>
      </c>
      <c r="Y2" s="4">
        <f>'Commercial-Heating'!Y2*Conversion!$B$3</f>
        <v>0</v>
      </c>
      <c r="Z2" s="4">
        <f>'Commercial-Heating'!Z2*Conversion!$B$3</f>
        <v>0</v>
      </c>
      <c r="AA2" s="4">
        <f>'Commercial-Heating'!AA2*Conversion!$B$3</f>
        <v>0</v>
      </c>
      <c r="AB2" s="4">
        <f>'Commercial-Heating'!AB2*Conversion!$B$3</f>
        <v>0</v>
      </c>
      <c r="AC2" s="4">
        <f>'Commercial-Heating'!AC2*Conversion!$B$3</f>
        <v>0</v>
      </c>
      <c r="AD2" s="4">
        <f>'Commercial-Heating'!AD2*Conversion!$B$3</f>
        <v>0</v>
      </c>
      <c r="AE2" s="4">
        <f>'Commercial-Heating'!AE2*Conversion!$B$3</f>
        <v>0</v>
      </c>
      <c r="AF2" s="4">
        <f>'Commercial-Heating'!AF2*Conversion!$B$3</f>
        <v>0</v>
      </c>
      <c r="AG2" s="4">
        <f>'Commercial-Heating'!AG2*Conversion!$B$3</f>
        <v>0</v>
      </c>
      <c r="AH2" s="4">
        <f>'Commercial-Heating'!AH2*Conversion!$B$3</f>
        <v>0</v>
      </c>
      <c r="AI2" s="4">
        <f>'Commercial-Heating'!AI2*Conversion!$B$3</f>
        <v>0</v>
      </c>
      <c r="AJ2" s="4">
        <f>'Commercial-Heating'!AJ2*Conversion!$B$3</f>
        <v>0</v>
      </c>
      <c r="AK2" s="4">
        <f>'Commercial-Heating'!AK2*Conversion!$B$3</f>
        <v>0</v>
      </c>
      <c r="AL2" s="4">
        <f>'Commercial-Heating'!AL2*Conversion!$B$3</f>
        <v>0</v>
      </c>
      <c r="AM2" s="4">
        <f>'Commercial-Heating'!AM2*Conversion!$B$3</f>
        <v>0</v>
      </c>
      <c r="AN2" s="4">
        <f>'Commercial-Heating'!AN2*Conversion!$B$3</f>
        <v>0</v>
      </c>
      <c r="AO2" s="4">
        <f>'Commercial-Heating'!AO2*Conversion!$B$3</f>
        <v>0</v>
      </c>
      <c r="AP2" s="4">
        <f>'Commercial-Heating'!AP2*Conversion!$B$3</f>
        <v>0</v>
      </c>
      <c r="AQ2" s="4">
        <f>'Commercial-Heating'!AQ2*Conversion!$B$3</f>
        <v>0</v>
      </c>
    </row>
    <row r="3" spans="1:43" x14ac:dyDescent="0.2">
      <c r="A3" s="1" t="s">
        <v>13</v>
      </c>
      <c r="B3" s="15">
        <f t="shared" ref="B3:B11" si="0">C3</f>
        <v>0</v>
      </c>
      <c r="C3" s="4">
        <f>'Commercial-Heating'!C3*Conversion!$B$3</f>
        <v>0</v>
      </c>
      <c r="D3" s="4">
        <f>'Commercial-Heating'!D3*Conversion!$B$3</f>
        <v>0</v>
      </c>
      <c r="E3" s="4">
        <f>'Commercial-Heating'!E3*Conversion!$B$3</f>
        <v>0</v>
      </c>
      <c r="F3" s="4">
        <f>'Commercial-Heating'!F3*Conversion!$B$3</f>
        <v>0</v>
      </c>
      <c r="G3" s="4">
        <f>'Commercial-Heating'!G3*Conversion!$B$3</f>
        <v>0</v>
      </c>
      <c r="H3" s="4">
        <f>'Commercial-Heating'!H3*Conversion!$B$3</f>
        <v>0</v>
      </c>
      <c r="I3" s="4">
        <f>'Commercial-Heating'!I3*Conversion!$B$3</f>
        <v>0</v>
      </c>
      <c r="J3" s="4">
        <f>'Commercial-Heating'!J3*Conversion!$B$3</f>
        <v>0</v>
      </c>
      <c r="K3" s="4">
        <f>'Commercial-Heating'!K3*Conversion!$B$3</f>
        <v>0</v>
      </c>
      <c r="L3" s="4">
        <f>'Commercial-Heating'!L3*Conversion!$B$3</f>
        <v>0</v>
      </c>
      <c r="M3" s="4">
        <f>'Commercial-Heating'!M3*Conversion!$B$3</f>
        <v>0</v>
      </c>
      <c r="N3" s="4">
        <f>'Commercial-Heating'!N3*Conversion!$B$3</f>
        <v>0</v>
      </c>
      <c r="O3" s="4">
        <f>'Commercial-Heating'!O3*Conversion!$B$3</f>
        <v>0</v>
      </c>
      <c r="P3" s="4">
        <f>'Commercial-Heating'!P3*Conversion!$B$3</f>
        <v>0</v>
      </c>
      <c r="Q3" s="4">
        <f>'Commercial-Heating'!Q3*Conversion!$B$3</f>
        <v>0</v>
      </c>
      <c r="R3" s="4">
        <f>'Commercial-Heating'!R3*Conversion!$B$3</f>
        <v>0</v>
      </c>
      <c r="S3" s="4">
        <f>'Commercial-Heating'!S3*Conversion!$B$3</f>
        <v>0</v>
      </c>
      <c r="T3" s="4">
        <f>'Commercial-Heating'!T3*Conversion!$B$3</f>
        <v>0</v>
      </c>
      <c r="U3" s="4">
        <f>'Commercial-Heating'!U3*Conversion!$B$3</f>
        <v>0</v>
      </c>
      <c r="V3" s="4">
        <f>'Commercial-Heating'!V3*Conversion!$B$3</f>
        <v>0</v>
      </c>
      <c r="W3" s="4">
        <f>'Commercial-Heating'!W3*Conversion!$B$3</f>
        <v>0</v>
      </c>
      <c r="X3" s="4">
        <f>'Commercial-Heating'!X3*Conversion!$B$3</f>
        <v>0</v>
      </c>
      <c r="Y3" s="4">
        <f>'Commercial-Heating'!Y3*Conversion!$B$3</f>
        <v>0</v>
      </c>
      <c r="Z3" s="4">
        <f>'Commercial-Heating'!Z3*Conversion!$B$3</f>
        <v>0</v>
      </c>
      <c r="AA3" s="4">
        <f>'Commercial-Heating'!AA3*Conversion!$B$3</f>
        <v>0</v>
      </c>
      <c r="AB3" s="4">
        <f>'Commercial-Heating'!AB3*Conversion!$B$3</f>
        <v>0</v>
      </c>
      <c r="AC3" s="4">
        <f>'Commercial-Heating'!AC3*Conversion!$B$3</f>
        <v>0</v>
      </c>
      <c r="AD3" s="4">
        <f>'Commercial-Heating'!AD3*Conversion!$B$3</f>
        <v>0</v>
      </c>
      <c r="AE3" s="4">
        <f>'Commercial-Heating'!AE3*Conversion!$B$3</f>
        <v>0</v>
      </c>
      <c r="AF3" s="4">
        <f>'Commercial-Heating'!AF3*Conversion!$B$3</f>
        <v>0</v>
      </c>
      <c r="AG3" s="4">
        <f>'Commercial-Heating'!AG3*Conversion!$B$3</f>
        <v>0</v>
      </c>
      <c r="AH3" s="4">
        <f>'Commercial-Heating'!AH3*Conversion!$B$3</f>
        <v>0</v>
      </c>
      <c r="AI3" s="4">
        <f>'Commercial-Heating'!AI3*Conversion!$B$3</f>
        <v>0</v>
      </c>
      <c r="AJ3" s="4">
        <f>'Commercial-Heating'!AJ3*Conversion!$B$3</f>
        <v>0</v>
      </c>
      <c r="AK3" s="4">
        <f>'Commercial-Heating'!AK3*Conversion!$B$3</f>
        <v>0</v>
      </c>
      <c r="AL3" s="4">
        <f>'Commercial-Heating'!AL3*Conversion!$B$3</f>
        <v>0</v>
      </c>
      <c r="AM3" s="4">
        <f>'Commercial-Heating'!AM3*Conversion!$B$3</f>
        <v>0</v>
      </c>
      <c r="AN3" s="4">
        <f>'Commercial-Heating'!AN3*Conversion!$B$3</f>
        <v>0</v>
      </c>
      <c r="AO3" s="4">
        <f>'Commercial-Heating'!AO3*Conversion!$B$3</f>
        <v>0</v>
      </c>
      <c r="AP3" s="4">
        <f>'Commercial-Heating'!AP3*Conversion!$B$3</f>
        <v>0</v>
      </c>
      <c r="AQ3" s="4">
        <f>'Commercial-Heating'!AQ3*Conversion!$B$3</f>
        <v>0</v>
      </c>
    </row>
    <row r="4" spans="1:43" x14ac:dyDescent="0.2">
      <c r="A4" s="1" t="s">
        <v>14</v>
      </c>
      <c r="B4" s="15">
        <f t="shared" si="0"/>
        <v>0</v>
      </c>
      <c r="C4" s="4">
        <f>'Commercial-Heating'!C4*Conversion!$B$3</f>
        <v>0</v>
      </c>
      <c r="D4" s="4">
        <f>'Commercial-Heating'!D4*Conversion!$B$3</f>
        <v>0</v>
      </c>
      <c r="E4" s="4">
        <f>'Commercial-Heating'!E4*Conversion!$B$3</f>
        <v>0</v>
      </c>
      <c r="F4" s="4">
        <f>'Commercial-Heating'!F4*Conversion!$B$3</f>
        <v>0</v>
      </c>
      <c r="G4" s="4">
        <f>'Commercial-Heating'!G4*Conversion!$B$3</f>
        <v>0</v>
      </c>
      <c r="H4" s="4">
        <f>'Commercial-Heating'!H4*Conversion!$B$3</f>
        <v>0</v>
      </c>
      <c r="I4" s="4">
        <f>'Commercial-Heating'!I4*Conversion!$B$3</f>
        <v>0</v>
      </c>
      <c r="J4" s="4">
        <f>'Commercial-Heating'!J4*Conversion!$B$3</f>
        <v>0</v>
      </c>
      <c r="K4" s="4">
        <f>'Commercial-Heating'!K4*Conversion!$B$3</f>
        <v>0</v>
      </c>
      <c r="L4" s="4">
        <f>'Commercial-Heating'!L4*Conversion!$B$3</f>
        <v>0</v>
      </c>
      <c r="M4" s="4">
        <f>'Commercial-Heating'!M4*Conversion!$B$3</f>
        <v>0</v>
      </c>
      <c r="N4" s="4">
        <f>'Commercial-Heating'!N4*Conversion!$B$3</f>
        <v>0</v>
      </c>
      <c r="O4" s="4">
        <f>'Commercial-Heating'!O4*Conversion!$B$3</f>
        <v>0</v>
      </c>
      <c r="P4" s="4">
        <f>'Commercial-Heating'!P4*Conversion!$B$3</f>
        <v>0</v>
      </c>
      <c r="Q4" s="4">
        <f>'Commercial-Heating'!Q4*Conversion!$B$3</f>
        <v>0</v>
      </c>
      <c r="R4" s="4">
        <f>'Commercial-Heating'!R4*Conversion!$B$3</f>
        <v>0</v>
      </c>
      <c r="S4" s="4">
        <f>'Commercial-Heating'!S4*Conversion!$B$3</f>
        <v>0</v>
      </c>
      <c r="T4" s="4">
        <f>'Commercial-Heating'!T4*Conversion!$B$3</f>
        <v>0</v>
      </c>
      <c r="U4" s="4">
        <f>'Commercial-Heating'!U4*Conversion!$B$3</f>
        <v>0</v>
      </c>
      <c r="V4" s="4">
        <f>'Commercial-Heating'!V4*Conversion!$B$3</f>
        <v>0</v>
      </c>
      <c r="W4" s="4">
        <f>'Commercial-Heating'!W4*Conversion!$B$3</f>
        <v>0</v>
      </c>
      <c r="X4" s="4">
        <f>'Commercial-Heating'!X4*Conversion!$B$3</f>
        <v>0</v>
      </c>
      <c r="Y4" s="4">
        <f>'Commercial-Heating'!Y4*Conversion!$B$3</f>
        <v>0</v>
      </c>
      <c r="Z4" s="4">
        <f>'Commercial-Heating'!Z4*Conversion!$B$3</f>
        <v>0</v>
      </c>
      <c r="AA4" s="4">
        <f>'Commercial-Heating'!AA4*Conversion!$B$3</f>
        <v>0</v>
      </c>
      <c r="AB4" s="4">
        <f>'Commercial-Heating'!AB4*Conversion!$B$3</f>
        <v>0</v>
      </c>
      <c r="AC4" s="4">
        <f>'Commercial-Heating'!AC4*Conversion!$B$3</f>
        <v>0</v>
      </c>
      <c r="AD4" s="4">
        <f>'Commercial-Heating'!AD4*Conversion!$B$3</f>
        <v>0</v>
      </c>
      <c r="AE4" s="4">
        <f>'Commercial-Heating'!AE4*Conversion!$B$3</f>
        <v>0</v>
      </c>
      <c r="AF4" s="4">
        <f>'Commercial-Heating'!AF4*Conversion!$B$3</f>
        <v>0</v>
      </c>
      <c r="AG4" s="4">
        <f>'Commercial-Heating'!AG4*Conversion!$B$3</f>
        <v>0</v>
      </c>
      <c r="AH4" s="4">
        <f>'Commercial-Heating'!AH4*Conversion!$B$3</f>
        <v>0</v>
      </c>
      <c r="AI4" s="4">
        <f>'Commercial-Heating'!AI4*Conversion!$B$3</f>
        <v>0</v>
      </c>
      <c r="AJ4" s="4">
        <f>'Commercial-Heating'!AJ4*Conversion!$B$3</f>
        <v>0</v>
      </c>
      <c r="AK4" s="4">
        <f>'Commercial-Heating'!AK4*Conversion!$B$3</f>
        <v>0</v>
      </c>
      <c r="AL4" s="4">
        <f>'Commercial-Heating'!AL4*Conversion!$B$3</f>
        <v>0</v>
      </c>
      <c r="AM4" s="4">
        <f>'Commercial-Heating'!AM4*Conversion!$B$3</f>
        <v>0</v>
      </c>
      <c r="AN4" s="4">
        <f>'Commercial-Heating'!AN4*Conversion!$B$3</f>
        <v>0</v>
      </c>
      <c r="AO4" s="4">
        <f>'Commercial-Heating'!AO4*Conversion!$B$3</f>
        <v>0</v>
      </c>
      <c r="AP4" s="4">
        <f>'Commercial-Heating'!AP4*Conversion!$B$3</f>
        <v>0</v>
      </c>
      <c r="AQ4" s="4">
        <f>'Commercial-Heating'!AQ4*Conversion!$B$3</f>
        <v>0</v>
      </c>
    </row>
    <row r="5" spans="1:43" x14ac:dyDescent="0.2">
      <c r="A5" s="1" t="s">
        <v>15</v>
      </c>
      <c r="B5" s="15">
        <f t="shared" si="0"/>
        <v>0</v>
      </c>
      <c r="C5" s="4">
        <f>'Commercial-Heating'!C5*Conversion!$B$3</f>
        <v>0</v>
      </c>
      <c r="D5" s="4">
        <f>'Commercial-Heating'!D5*Conversion!$B$3</f>
        <v>0</v>
      </c>
      <c r="E5" s="4">
        <f>'Commercial-Heating'!E5*Conversion!$B$3</f>
        <v>0</v>
      </c>
      <c r="F5" s="4">
        <f>'Commercial-Heating'!F5*Conversion!$B$3</f>
        <v>0</v>
      </c>
      <c r="G5" s="4">
        <f>'Commercial-Heating'!G5*Conversion!$B$3</f>
        <v>0</v>
      </c>
      <c r="H5" s="4">
        <f>'Commercial-Heating'!H5*Conversion!$B$3</f>
        <v>0</v>
      </c>
      <c r="I5" s="4">
        <f>'Commercial-Heating'!I5*Conversion!$B$3</f>
        <v>0</v>
      </c>
      <c r="J5" s="4">
        <f>'Commercial-Heating'!J5*Conversion!$B$3</f>
        <v>0</v>
      </c>
      <c r="K5" s="4">
        <f>'Commercial-Heating'!K5*Conversion!$B$3</f>
        <v>0</v>
      </c>
      <c r="L5" s="4">
        <f>'Commercial-Heating'!L5*Conversion!$B$3</f>
        <v>0</v>
      </c>
      <c r="M5" s="4">
        <f>'Commercial-Heating'!M5*Conversion!$B$3</f>
        <v>0</v>
      </c>
      <c r="N5" s="4">
        <f>'Commercial-Heating'!N5*Conversion!$B$3</f>
        <v>0</v>
      </c>
      <c r="O5" s="4">
        <f>'Commercial-Heating'!O5*Conversion!$B$3</f>
        <v>0</v>
      </c>
      <c r="P5" s="4">
        <f>'Commercial-Heating'!P5*Conversion!$B$3</f>
        <v>0</v>
      </c>
      <c r="Q5" s="4">
        <f>'Commercial-Heating'!Q5*Conversion!$B$3</f>
        <v>0</v>
      </c>
      <c r="R5" s="4">
        <f>'Commercial-Heating'!R5*Conversion!$B$3</f>
        <v>0</v>
      </c>
      <c r="S5" s="4">
        <f>'Commercial-Heating'!S5*Conversion!$B$3</f>
        <v>0</v>
      </c>
      <c r="T5" s="4">
        <f>'Commercial-Heating'!T5*Conversion!$B$3</f>
        <v>0</v>
      </c>
      <c r="U5" s="4">
        <f>'Commercial-Heating'!U5*Conversion!$B$3</f>
        <v>0</v>
      </c>
      <c r="V5" s="4">
        <f>'Commercial-Heating'!V5*Conversion!$B$3</f>
        <v>0</v>
      </c>
      <c r="W5" s="4">
        <f>'Commercial-Heating'!W5*Conversion!$B$3</f>
        <v>0</v>
      </c>
      <c r="X5" s="4">
        <f>'Commercial-Heating'!X5*Conversion!$B$3</f>
        <v>0</v>
      </c>
      <c r="Y5" s="4">
        <f>'Commercial-Heating'!Y5*Conversion!$B$3</f>
        <v>0</v>
      </c>
      <c r="Z5" s="4">
        <f>'Commercial-Heating'!Z5*Conversion!$B$3</f>
        <v>0</v>
      </c>
      <c r="AA5" s="4">
        <f>'Commercial-Heating'!AA5*Conversion!$B$3</f>
        <v>0</v>
      </c>
      <c r="AB5" s="4">
        <f>'Commercial-Heating'!AB5*Conversion!$B$3</f>
        <v>0</v>
      </c>
      <c r="AC5" s="4">
        <f>'Commercial-Heating'!AC5*Conversion!$B$3</f>
        <v>0</v>
      </c>
      <c r="AD5" s="4">
        <f>'Commercial-Heating'!AD5*Conversion!$B$3</f>
        <v>0</v>
      </c>
      <c r="AE5" s="4">
        <f>'Commercial-Heating'!AE5*Conversion!$B$3</f>
        <v>0</v>
      </c>
      <c r="AF5" s="4">
        <f>'Commercial-Heating'!AF5*Conversion!$B$3</f>
        <v>0</v>
      </c>
      <c r="AG5" s="4">
        <f>'Commercial-Heating'!AG5*Conversion!$B$3</f>
        <v>0</v>
      </c>
      <c r="AH5" s="4">
        <f>'Commercial-Heating'!AH5*Conversion!$B$3</f>
        <v>0</v>
      </c>
      <c r="AI5" s="4">
        <f>'Commercial-Heating'!AI5*Conversion!$B$3</f>
        <v>0</v>
      </c>
      <c r="AJ5" s="4">
        <f>'Commercial-Heating'!AJ5*Conversion!$B$3</f>
        <v>0</v>
      </c>
      <c r="AK5" s="4">
        <f>'Commercial-Heating'!AK5*Conversion!$B$3</f>
        <v>0</v>
      </c>
      <c r="AL5" s="4">
        <f>'Commercial-Heating'!AL5*Conversion!$B$3</f>
        <v>0</v>
      </c>
      <c r="AM5" s="4">
        <f>'Commercial-Heating'!AM5*Conversion!$B$3</f>
        <v>0</v>
      </c>
      <c r="AN5" s="4">
        <f>'Commercial-Heating'!AN5*Conversion!$B$3</f>
        <v>0</v>
      </c>
      <c r="AO5" s="4">
        <f>'Commercial-Heating'!AO5*Conversion!$B$3</f>
        <v>0</v>
      </c>
      <c r="AP5" s="4">
        <f>'Commercial-Heating'!AP5*Conversion!$B$3</f>
        <v>0</v>
      </c>
      <c r="AQ5" s="4">
        <f>'Commercial-Heating'!AQ5*Conversion!$B$3</f>
        <v>0</v>
      </c>
    </row>
    <row r="6" spans="1:43" x14ac:dyDescent="0.2">
      <c r="A6" s="1" t="s">
        <v>16</v>
      </c>
      <c r="B6" s="15">
        <f t="shared" si="0"/>
        <v>0</v>
      </c>
      <c r="C6" s="4">
        <f>'Commercial-Heating'!C6*Conversion!$B$3</f>
        <v>0</v>
      </c>
      <c r="D6" s="4">
        <f>'Commercial-Heating'!D6*Conversion!$B$3</f>
        <v>0</v>
      </c>
      <c r="E6" s="4">
        <f>'Commercial-Heating'!E6*Conversion!$B$3</f>
        <v>0</v>
      </c>
      <c r="F6" s="4">
        <f>'Commercial-Heating'!F6*Conversion!$B$3</f>
        <v>0</v>
      </c>
      <c r="G6" s="4">
        <f>'Commercial-Heating'!G6*Conversion!$B$3</f>
        <v>0</v>
      </c>
      <c r="H6" s="4">
        <f>'Commercial-Heating'!H6*Conversion!$B$3</f>
        <v>0</v>
      </c>
      <c r="I6" s="4">
        <f>'Commercial-Heating'!I6*Conversion!$B$3</f>
        <v>0</v>
      </c>
      <c r="J6" s="4">
        <f>'Commercial-Heating'!J6*Conversion!$B$3</f>
        <v>0</v>
      </c>
      <c r="K6" s="4">
        <f>'Commercial-Heating'!K6*Conversion!$B$3</f>
        <v>0</v>
      </c>
      <c r="L6" s="4">
        <f>'Commercial-Heating'!L6*Conversion!$B$3</f>
        <v>0</v>
      </c>
      <c r="M6" s="4">
        <f>'Commercial-Heating'!M6*Conversion!$B$3</f>
        <v>0</v>
      </c>
      <c r="N6" s="4">
        <f>'Commercial-Heating'!N6*Conversion!$B$3</f>
        <v>0</v>
      </c>
      <c r="O6" s="4">
        <f>'Commercial-Heating'!O6*Conversion!$B$3</f>
        <v>0</v>
      </c>
      <c r="P6" s="4">
        <f>'Commercial-Heating'!P6*Conversion!$B$3</f>
        <v>0</v>
      </c>
      <c r="Q6" s="4">
        <f>'Commercial-Heating'!Q6*Conversion!$B$3</f>
        <v>0</v>
      </c>
      <c r="R6" s="4">
        <f>'Commercial-Heating'!R6*Conversion!$B$3</f>
        <v>0</v>
      </c>
      <c r="S6" s="4">
        <f>'Commercial-Heating'!S6*Conversion!$B$3</f>
        <v>0</v>
      </c>
      <c r="T6" s="4">
        <f>'Commercial-Heating'!T6*Conversion!$B$3</f>
        <v>0</v>
      </c>
      <c r="U6" s="4">
        <f>'Commercial-Heating'!U6*Conversion!$B$3</f>
        <v>0</v>
      </c>
      <c r="V6" s="4">
        <f>'Commercial-Heating'!V6*Conversion!$B$3</f>
        <v>0</v>
      </c>
      <c r="W6" s="4">
        <f>'Commercial-Heating'!W6*Conversion!$B$3</f>
        <v>0</v>
      </c>
      <c r="X6" s="4">
        <f>'Commercial-Heating'!X6*Conversion!$B$3</f>
        <v>0</v>
      </c>
      <c r="Y6" s="4">
        <f>'Commercial-Heating'!Y6*Conversion!$B$3</f>
        <v>0</v>
      </c>
      <c r="Z6" s="4">
        <f>'Commercial-Heating'!Z6*Conversion!$B$3</f>
        <v>0</v>
      </c>
      <c r="AA6" s="4">
        <f>'Commercial-Heating'!AA6*Conversion!$B$3</f>
        <v>0</v>
      </c>
      <c r="AB6" s="4">
        <f>'Commercial-Heating'!AB6*Conversion!$B$3</f>
        <v>0</v>
      </c>
      <c r="AC6" s="4">
        <f>'Commercial-Heating'!AC6*Conversion!$B$3</f>
        <v>0</v>
      </c>
      <c r="AD6" s="4">
        <f>'Commercial-Heating'!AD6*Conversion!$B$3</f>
        <v>0</v>
      </c>
      <c r="AE6" s="4">
        <f>'Commercial-Heating'!AE6*Conversion!$B$3</f>
        <v>0</v>
      </c>
      <c r="AF6" s="4">
        <f>'Commercial-Heating'!AF6*Conversion!$B$3</f>
        <v>0</v>
      </c>
      <c r="AG6" s="4">
        <f>'Commercial-Heating'!AG6*Conversion!$B$3</f>
        <v>0</v>
      </c>
      <c r="AH6" s="4">
        <f>'Commercial-Heating'!AH6*Conversion!$B$3</f>
        <v>0</v>
      </c>
      <c r="AI6" s="4">
        <f>'Commercial-Heating'!AI6*Conversion!$B$3</f>
        <v>0</v>
      </c>
      <c r="AJ6" s="4">
        <f>'Commercial-Heating'!AJ6*Conversion!$B$3</f>
        <v>0</v>
      </c>
      <c r="AK6" s="4">
        <f>'Commercial-Heating'!AK6*Conversion!$B$3</f>
        <v>0</v>
      </c>
      <c r="AL6" s="4">
        <f>'Commercial-Heating'!AL6*Conversion!$B$3</f>
        <v>0</v>
      </c>
      <c r="AM6" s="4">
        <f>'Commercial-Heating'!AM6*Conversion!$B$3</f>
        <v>0</v>
      </c>
      <c r="AN6" s="4">
        <f>'Commercial-Heating'!AN6*Conversion!$B$3</f>
        <v>0</v>
      </c>
      <c r="AO6" s="4">
        <f>'Commercial-Heating'!AO6*Conversion!$B$3</f>
        <v>0</v>
      </c>
      <c r="AP6" s="4">
        <f>'Commercial-Heating'!AP6*Conversion!$B$3</f>
        <v>0</v>
      </c>
      <c r="AQ6" s="4">
        <f>'Commercial-Heating'!AQ6*Conversion!$B$3</f>
        <v>0</v>
      </c>
    </row>
    <row r="7" spans="1:43" x14ac:dyDescent="0.2">
      <c r="A7" s="1" t="s">
        <v>17</v>
      </c>
      <c r="B7" s="15">
        <f t="shared" si="0"/>
        <v>0</v>
      </c>
      <c r="C7" s="4">
        <f>'Commercial-Heating'!C7*Conversion!$B$3</f>
        <v>0</v>
      </c>
      <c r="D7" s="4">
        <f>'Commercial-Heating'!D7*Conversion!$B$3</f>
        <v>0</v>
      </c>
      <c r="E7" s="4">
        <f>'Commercial-Heating'!E7*Conversion!$B$3</f>
        <v>0</v>
      </c>
      <c r="F7" s="4">
        <f>'Commercial-Heating'!F7*Conversion!$B$3</f>
        <v>0</v>
      </c>
      <c r="G7" s="4">
        <f>'Commercial-Heating'!G7*Conversion!$B$3</f>
        <v>0</v>
      </c>
      <c r="H7" s="4">
        <f>'Commercial-Heating'!H7*Conversion!$B$3</f>
        <v>0</v>
      </c>
      <c r="I7" s="4">
        <f>'Commercial-Heating'!I7*Conversion!$B$3</f>
        <v>0</v>
      </c>
      <c r="J7" s="4">
        <f>'Commercial-Heating'!J7*Conversion!$B$3</f>
        <v>0</v>
      </c>
      <c r="K7" s="4">
        <f>'Commercial-Heating'!K7*Conversion!$B$3</f>
        <v>0</v>
      </c>
      <c r="L7" s="4">
        <f>'Commercial-Heating'!L7*Conversion!$B$3</f>
        <v>0</v>
      </c>
      <c r="M7" s="4">
        <f>'Commercial-Heating'!M7*Conversion!$B$3</f>
        <v>0</v>
      </c>
      <c r="N7" s="4">
        <f>'Commercial-Heating'!N7*Conversion!$B$3</f>
        <v>0</v>
      </c>
      <c r="O7" s="4">
        <f>'Commercial-Heating'!O7*Conversion!$B$3</f>
        <v>0</v>
      </c>
      <c r="P7" s="4">
        <f>'Commercial-Heating'!P7*Conversion!$B$3</f>
        <v>0</v>
      </c>
      <c r="Q7" s="4">
        <f>'Commercial-Heating'!Q7*Conversion!$B$3</f>
        <v>0</v>
      </c>
      <c r="R7" s="4">
        <f>'Commercial-Heating'!R7*Conversion!$B$3</f>
        <v>0</v>
      </c>
      <c r="S7" s="4">
        <f>'Commercial-Heating'!S7*Conversion!$B$3</f>
        <v>0</v>
      </c>
      <c r="T7" s="4">
        <f>'Commercial-Heating'!T7*Conversion!$B$3</f>
        <v>0</v>
      </c>
      <c r="U7" s="4">
        <f>'Commercial-Heating'!U7*Conversion!$B$3</f>
        <v>0</v>
      </c>
      <c r="V7" s="4">
        <f>'Commercial-Heating'!V7*Conversion!$B$3</f>
        <v>0</v>
      </c>
      <c r="W7" s="4">
        <f>'Commercial-Heating'!W7*Conversion!$B$3</f>
        <v>0</v>
      </c>
      <c r="X7" s="4">
        <f>'Commercial-Heating'!X7*Conversion!$B$3</f>
        <v>0</v>
      </c>
      <c r="Y7" s="4">
        <f>'Commercial-Heating'!Y7*Conversion!$B$3</f>
        <v>0</v>
      </c>
      <c r="Z7" s="4">
        <f>'Commercial-Heating'!Z7*Conversion!$B$3</f>
        <v>0</v>
      </c>
      <c r="AA7" s="4">
        <f>'Commercial-Heating'!AA7*Conversion!$B$3</f>
        <v>0</v>
      </c>
      <c r="AB7" s="4">
        <f>'Commercial-Heating'!AB7*Conversion!$B$3</f>
        <v>0</v>
      </c>
      <c r="AC7" s="4">
        <f>'Commercial-Heating'!AC7*Conversion!$B$3</f>
        <v>0</v>
      </c>
      <c r="AD7" s="4">
        <f>'Commercial-Heating'!AD7*Conversion!$B$3</f>
        <v>0</v>
      </c>
      <c r="AE7" s="4">
        <f>'Commercial-Heating'!AE7*Conversion!$B$3</f>
        <v>0</v>
      </c>
      <c r="AF7" s="4">
        <f>'Commercial-Heating'!AF7*Conversion!$B$3</f>
        <v>0</v>
      </c>
      <c r="AG7" s="4">
        <f>'Commercial-Heating'!AG7*Conversion!$B$3</f>
        <v>0</v>
      </c>
      <c r="AH7" s="4">
        <f>'Commercial-Heating'!AH7*Conversion!$B$3</f>
        <v>0</v>
      </c>
      <c r="AI7" s="4">
        <f>'Commercial-Heating'!AI7*Conversion!$B$3</f>
        <v>0</v>
      </c>
      <c r="AJ7" s="4">
        <f>'Commercial-Heating'!AJ7*Conversion!$B$3</f>
        <v>0</v>
      </c>
      <c r="AK7" s="4">
        <f>'Commercial-Heating'!AK7*Conversion!$B$3</f>
        <v>0</v>
      </c>
      <c r="AL7" s="4">
        <f>'Commercial-Heating'!AL7*Conversion!$B$3</f>
        <v>0</v>
      </c>
      <c r="AM7" s="4">
        <f>'Commercial-Heating'!AM7*Conversion!$B$3</f>
        <v>0</v>
      </c>
      <c r="AN7" s="4">
        <f>'Commercial-Heating'!AN7*Conversion!$B$3</f>
        <v>0</v>
      </c>
      <c r="AO7" s="4">
        <f>'Commercial-Heating'!AO7*Conversion!$B$3</f>
        <v>0</v>
      </c>
      <c r="AP7" s="4">
        <f>'Commercial-Heating'!AP7*Conversion!$B$3</f>
        <v>0</v>
      </c>
      <c r="AQ7" s="4">
        <f>'Commercial-Heating'!AQ7*Conversion!$B$3</f>
        <v>0</v>
      </c>
    </row>
    <row r="8" spans="1:43" x14ac:dyDescent="0.2">
      <c r="A8" s="1" t="s">
        <v>18</v>
      </c>
      <c r="B8" s="15">
        <f t="shared" si="0"/>
        <v>0</v>
      </c>
      <c r="C8" s="4">
        <f>'Commercial-Heating'!C8*Conversion!$B$3</f>
        <v>0</v>
      </c>
      <c r="D8" s="4">
        <f>'Commercial-Heating'!D8*Conversion!$B$3</f>
        <v>0</v>
      </c>
      <c r="E8" s="4">
        <f>'Commercial-Heating'!E8*Conversion!$B$3</f>
        <v>0</v>
      </c>
      <c r="F8" s="4">
        <f>'Commercial-Heating'!F8*Conversion!$B$3</f>
        <v>0</v>
      </c>
      <c r="G8" s="4">
        <f>'Commercial-Heating'!G8*Conversion!$B$3</f>
        <v>0</v>
      </c>
      <c r="H8" s="4">
        <f>'Commercial-Heating'!H8*Conversion!$B$3</f>
        <v>0</v>
      </c>
      <c r="I8" s="4">
        <f>'Commercial-Heating'!I8*Conversion!$B$3</f>
        <v>0</v>
      </c>
      <c r="J8" s="4">
        <f>'Commercial-Heating'!J8*Conversion!$B$3</f>
        <v>0</v>
      </c>
      <c r="K8" s="4">
        <f>'Commercial-Heating'!K8*Conversion!$B$3</f>
        <v>0</v>
      </c>
      <c r="L8" s="4">
        <f>'Commercial-Heating'!L8*Conversion!$B$3</f>
        <v>0</v>
      </c>
      <c r="M8" s="4">
        <f>'Commercial-Heating'!M8*Conversion!$B$3</f>
        <v>0</v>
      </c>
      <c r="N8" s="4">
        <f>'Commercial-Heating'!N8*Conversion!$B$3</f>
        <v>0</v>
      </c>
      <c r="O8" s="4">
        <f>'Commercial-Heating'!O8*Conversion!$B$3</f>
        <v>0</v>
      </c>
      <c r="P8" s="4">
        <f>'Commercial-Heating'!P8*Conversion!$B$3</f>
        <v>0</v>
      </c>
      <c r="Q8" s="4">
        <f>'Commercial-Heating'!Q8*Conversion!$B$3</f>
        <v>0</v>
      </c>
      <c r="R8" s="4">
        <f>'Commercial-Heating'!R8*Conversion!$B$3</f>
        <v>0</v>
      </c>
      <c r="S8" s="4">
        <f>'Commercial-Heating'!S8*Conversion!$B$3</f>
        <v>0</v>
      </c>
      <c r="T8" s="4">
        <f>'Commercial-Heating'!T8*Conversion!$B$3</f>
        <v>0</v>
      </c>
      <c r="U8" s="4">
        <f>'Commercial-Heating'!U8*Conversion!$B$3</f>
        <v>0</v>
      </c>
      <c r="V8" s="4">
        <f>'Commercial-Heating'!V8*Conversion!$B$3</f>
        <v>0</v>
      </c>
      <c r="W8" s="4">
        <f>'Commercial-Heating'!W8*Conversion!$B$3</f>
        <v>0</v>
      </c>
      <c r="X8" s="4">
        <f>'Commercial-Heating'!X8*Conversion!$B$3</f>
        <v>0</v>
      </c>
      <c r="Y8" s="4">
        <f>'Commercial-Heating'!Y8*Conversion!$B$3</f>
        <v>0</v>
      </c>
      <c r="Z8" s="4">
        <f>'Commercial-Heating'!Z8*Conversion!$B$3</f>
        <v>0</v>
      </c>
      <c r="AA8" s="4">
        <f>'Commercial-Heating'!AA8*Conversion!$B$3</f>
        <v>0</v>
      </c>
      <c r="AB8" s="4">
        <f>'Commercial-Heating'!AB8*Conversion!$B$3</f>
        <v>0</v>
      </c>
      <c r="AC8" s="4">
        <f>'Commercial-Heating'!AC8*Conversion!$B$3</f>
        <v>0</v>
      </c>
      <c r="AD8" s="4">
        <f>'Commercial-Heating'!AD8*Conversion!$B$3</f>
        <v>0</v>
      </c>
      <c r="AE8" s="4">
        <f>'Commercial-Heating'!AE8*Conversion!$B$3</f>
        <v>0</v>
      </c>
      <c r="AF8" s="4">
        <f>'Commercial-Heating'!AF8*Conversion!$B$3</f>
        <v>0</v>
      </c>
      <c r="AG8" s="4">
        <f>'Commercial-Heating'!AG8*Conversion!$B$3</f>
        <v>0</v>
      </c>
      <c r="AH8" s="4">
        <f>'Commercial-Heating'!AH8*Conversion!$B$3</f>
        <v>0</v>
      </c>
      <c r="AI8" s="4">
        <f>'Commercial-Heating'!AI8*Conversion!$B$3</f>
        <v>0</v>
      </c>
      <c r="AJ8" s="4">
        <f>'Commercial-Heating'!AJ8*Conversion!$B$3</f>
        <v>0</v>
      </c>
      <c r="AK8" s="4">
        <f>'Commercial-Heating'!AK8*Conversion!$B$3</f>
        <v>0</v>
      </c>
      <c r="AL8" s="4">
        <f>'Commercial-Heating'!AL8*Conversion!$B$3</f>
        <v>0</v>
      </c>
      <c r="AM8" s="4">
        <f>'Commercial-Heating'!AM8*Conversion!$B$3</f>
        <v>0</v>
      </c>
      <c r="AN8" s="4">
        <f>'Commercial-Heating'!AN8*Conversion!$B$3</f>
        <v>0</v>
      </c>
      <c r="AO8" s="4">
        <f>'Commercial-Heating'!AO8*Conversion!$B$3</f>
        <v>0</v>
      </c>
      <c r="AP8" s="4">
        <f>'Commercial-Heating'!AP8*Conversion!$B$3</f>
        <v>0</v>
      </c>
      <c r="AQ8" s="4">
        <f>'Commercial-Heating'!AQ8*Conversion!$B$3</f>
        <v>0</v>
      </c>
    </row>
    <row r="9" spans="1:43" x14ac:dyDescent="0.2">
      <c r="A9" s="1" t="s">
        <v>19</v>
      </c>
      <c r="B9" s="15">
        <f t="shared" si="0"/>
        <v>0</v>
      </c>
      <c r="C9" s="4">
        <f>'Commercial-Heating'!C9*Conversion!$B$3</f>
        <v>0</v>
      </c>
      <c r="D9" s="4">
        <f>'Commercial-Heating'!D9*Conversion!$B$3</f>
        <v>0</v>
      </c>
      <c r="E9" s="4">
        <f>'Commercial-Heating'!E9*Conversion!$B$3</f>
        <v>0</v>
      </c>
      <c r="F9" s="4">
        <f>'Commercial-Heating'!F9*Conversion!$B$3</f>
        <v>0</v>
      </c>
      <c r="G9" s="4">
        <f>'Commercial-Heating'!G9*Conversion!$B$3</f>
        <v>0</v>
      </c>
      <c r="H9" s="4">
        <f>'Commercial-Heating'!H9*Conversion!$B$3</f>
        <v>0</v>
      </c>
      <c r="I9" s="4">
        <f>'Commercial-Heating'!I9*Conversion!$B$3</f>
        <v>0</v>
      </c>
      <c r="J9" s="4">
        <f>'Commercial-Heating'!J9*Conversion!$B$3</f>
        <v>0</v>
      </c>
      <c r="K9" s="4">
        <f>'Commercial-Heating'!K9*Conversion!$B$3</f>
        <v>0</v>
      </c>
      <c r="L9" s="4">
        <f>'Commercial-Heating'!L9*Conversion!$B$3</f>
        <v>0</v>
      </c>
      <c r="M9" s="4">
        <f>'Commercial-Heating'!M9*Conversion!$B$3</f>
        <v>0</v>
      </c>
      <c r="N9" s="4">
        <f>'Commercial-Heating'!N9*Conversion!$B$3</f>
        <v>0</v>
      </c>
      <c r="O9" s="4">
        <f>'Commercial-Heating'!O9*Conversion!$B$3</f>
        <v>0</v>
      </c>
      <c r="P9" s="4">
        <f>'Commercial-Heating'!P9*Conversion!$B$3</f>
        <v>0</v>
      </c>
      <c r="Q9" s="4">
        <f>'Commercial-Heating'!Q9*Conversion!$B$3</f>
        <v>0</v>
      </c>
      <c r="R9" s="4">
        <f>'Commercial-Heating'!R9*Conversion!$B$3</f>
        <v>0</v>
      </c>
      <c r="S9" s="4">
        <f>'Commercial-Heating'!S9*Conversion!$B$3</f>
        <v>0</v>
      </c>
      <c r="T9" s="4">
        <f>'Commercial-Heating'!T9*Conversion!$B$3</f>
        <v>0</v>
      </c>
      <c r="U9" s="4">
        <f>'Commercial-Heating'!U9*Conversion!$B$3</f>
        <v>0</v>
      </c>
      <c r="V9" s="4">
        <f>'Commercial-Heating'!V9*Conversion!$B$3</f>
        <v>0</v>
      </c>
      <c r="W9" s="4">
        <f>'Commercial-Heating'!W9*Conversion!$B$3</f>
        <v>0</v>
      </c>
      <c r="X9" s="4">
        <f>'Commercial-Heating'!X9*Conversion!$B$3</f>
        <v>0</v>
      </c>
      <c r="Y9" s="4">
        <f>'Commercial-Heating'!Y9*Conversion!$B$3</f>
        <v>0</v>
      </c>
      <c r="Z9" s="4">
        <f>'Commercial-Heating'!Z9*Conversion!$B$3</f>
        <v>0</v>
      </c>
      <c r="AA9" s="4">
        <f>'Commercial-Heating'!AA9*Conversion!$B$3</f>
        <v>0</v>
      </c>
      <c r="AB9" s="4">
        <f>'Commercial-Heating'!AB9*Conversion!$B$3</f>
        <v>0</v>
      </c>
      <c r="AC9" s="4">
        <f>'Commercial-Heating'!AC9*Conversion!$B$3</f>
        <v>0</v>
      </c>
      <c r="AD9" s="4">
        <f>'Commercial-Heating'!AD9*Conversion!$B$3</f>
        <v>0</v>
      </c>
      <c r="AE9" s="4">
        <f>'Commercial-Heating'!AE9*Conversion!$B$3</f>
        <v>0</v>
      </c>
      <c r="AF9" s="4">
        <f>'Commercial-Heating'!AF9*Conversion!$B$3</f>
        <v>0</v>
      </c>
      <c r="AG9" s="4">
        <f>'Commercial-Heating'!AG9*Conversion!$B$3</f>
        <v>0</v>
      </c>
      <c r="AH9" s="4">
        <f>'Commercial-Heating'!AH9*Conversion!$B$3</f>
        <v>0</v>
      </c>
      <c r="AI9" s="4">
        <f>'Commercial-Heating'!AI9*Conversion!$B$3</f>
        <v>0</v>
      </c>
      <c r="AJ9" s="4">
        <f>'Commercial-Heating'!AJ9*Conversion!$B$3</f>
        <v>0</v>
      </c>
      <c r="AK9" s="4">
        <f>'Commercial-Heating'!AK9*Conversion!$B$3</f>
        <v>0</v>
      </c>
      <c r="AL9" s="4">
        <f>'Commercial-Heating'!AL9*Conversion!$B$3</f>
        <v>0</v>
      </c>
      <c r="AM9" s="4">
        <f>'Commercial-Heating'!AM9*Conversion!$B$3</f>
        <v>0</v>
      </c>
      <c r="AN9" s="4">
        <f>'Commercial-Heating'!AN9*Conversion!$B$3</f>
        <v>0</v>
      </c>
      <c r="AO9" s="4">
        <f>'Commercial-Heating'!AO9*Conversion!$B$3</f>
        <v>0</v>
      </c>
      <c r="AP9" s="4">
        <f>'Commercial-Heating'!AP9*Conversion!$B$3</f>
        <v>0</v>
      </c>
      <c r="AQ9" s="4">
        <f>'Commercial-Heating'!AQ9*Conversion!$B$3</f>
        <v>0</v>
      </c>
    </row>
    <row r="10" spans="1:43" x14ac:dyDescent="0.2">
      <c r="A10" s="1" t="s">
        <v>20</v>
      </c>
      <c r="B10" s="15">
        <f t="shared" si="0"/>
        <v>0</v>
      </c>
      <c r="C10" s="4">
        <f>'Commercial-Heating'!C10*Conversion!$B$3</f>
        <v>0</v>
      </c>
      <c r="D10" s="4">
        <f>'Commercial-Heating'!D10*Conversion!$B$3</f>
        <v>0</v>
      </c>
      <c r="E10" s="4">
        <f>'Commercial-Heating'!E10*Conversion!$B$3</f>
        <v>0</v>
      </c>
      <c r="F10" s="4">
        <f>'Commercial-Heating'!F10*Conversion!$B$3</f>
        <v>0</v>
      </c>
      <c r="G10" s="4">
        <f>'Commercial-Heating'!G10*Conversion!$B$3</f>
        <v>0</v>
      </c>
      <c r="H10" s="4">
        <f>'Commercial-Heating'!H10*Conversion!$B$3</f>
        <v>0</v>
      </c>
      <c r="I10" s="4">
        <f>'Commercial-Heating'!I10*Conversion!$B$3</f>
        <v>0</v>
      </c>
      <c r="J10" s="4">
        <f>'Commercial-Heating'!J10*Conversion!$B$3</f>
        <v>0</v>
      </c>
      <c r="K10" s="4">
        <f>'Commercial-Heating'!K10*Conversion!$B$3</f>
        <v>0</v>
      </c>
      <c r="L10" s="4">
        <f>'Commercial-Heating'!L10*Conversion!$B$3</f>
        <v>0</v>
      </c>
      <c r="M10" s="4">
        <f>'Commercial-Heating'!M10*Conversion!$B$3</f>
        <v>0</v>
      </c>
      <c r="N10" s="4">
        <f>'Commercial-Heating'!N10*Conversion!$B$3</f>
        <v>0</v>
      </c>
      <c r="O10" s="4">
        <f>'Commercial-Heating'!O10*Conversion!$B$3</f>
        <v>0</v>
      </c>
      <c r="P10" s="4">
        <f>'Commercial-Heating'!P10*Conversion!$B$3</f>
        <v>0</v>
      </c>
      <c r="Q10" s="4">
        <f>'Commercial-Heating'!Q10*Conversion!$B$3</f>
        <v>0</v>
      </c>
      <c r="R10" s="4">
        <f>'Commercial-Heating'!R10*Conversion!$B$3</f>
        <v>0</v>
      </c>
      <c r="S10" s="4">
        <f>'Commercial-Heating'!S10*Conversion!$B$3</f>
        <v>0</v>
      </c>
      <c r="T10" s="4">
        <f>'Commercial-Heating'!T10*Conversion!$B$3</f>
        <v>0</v>
      </c>
      <c r="U10" s="4">
        <f>'Commercial-Heating'!U10*Conversion!$B$3</f>
        <v>0</v>
      </c>
      <c r="V10" s="4">
        <f>'Commercial-Heating'!V10*Conversion!$B$3</f>
        <v>0</v>
      </c>
      <c r="W10" s="4">
        <f>'Commercial-Heating'!W10*Conversion!$B$3</f>
        <v>0</v>
      </c>
      <c r="X10" s="4">
        <f>'Commercial-Heating'!X10*Conversion!$B$3</f>
        <v>0</v>
      </c>
      <c r="Y10" s="4">
        <f>'Commercial-Heating'!Y10*Conversion!$B$3</f>
        <v>0</v>
      </c>
      <c r="Z10" s="4">
        <f>'Commercial-Heating'!Z10*Conversion!$B$3</f>
        <v>0</v>
      </c>
      <c r="AA10" s="4">
        <f>'Commercial-Heating'!AA10*Conversion!$B$3</f>
        <v>0</v>
      </c>
      <c r="AB10" s="4">
        <f>'Commercial-Heating'!AB10*Conversion!$B$3</f>
        <v>0</v>
      </c>
      <c r="AC10" s="4">
        <f>'Commercial-Heating'!AC10*Conversion!$B$3</f>
        <v>0</v>
      </c>
      <c r="AD10" s="4">
        <f>'Commercial-Heating'!AD10*Conversion!$B$3</f>
        <v>0</v>
      </c>
      <c r="AE10" s="4">
        <f>'Commercial-Heating'!AE10*Conversion!$B$3</f>
        <v>0</v>
      </c>
      <c r="AF10" s="4">
        <f>'Commercial-Heating'!AF10*Conversion!$B$3</f>
        <v>0</v>
      </c>
      <c r="AG10" s="4">
        <f>'Commercial-Heating'!AG10*Conversion!$B$3</f>
        <v>0</v>
      </c>
      <c r="AH10" s="4">
        <f>'Commercial-Heating'!AH10*Conversion!$B$3</f>
        <v>0</v>
      </c>
      <c r="AI10" s="4">
        <f>'Commercial-Heating'!AI10*Conversion!$B$3</f>
        <v>0</v>
      </c>
      <c r="AJ10" s="4">
        <f>'Commercial-Heating'!AJ10*Conversion!$B$3</f>
        <v>0</v>
      </c>
      <c r="AK10" s="4">
        <f>'Commercial-Heating'!AK10*Conversion!$B$3</f>
        <v>0</v>
      </c>
      <c r="AL10" s="4">
        <f>'Commercial-Heating'!AL10*Conversion!$B$3</f>
        <v>0</v>
      </c>
      <c r="AM10" s="4">
        <f>'Commercial-Heating'!AM10*Conversion!$B$3</f>
        <v>0</v>
      </c>
      <c r="AN10" s="4">
        <f>'Commercial-Heating'!AN10*Conversion!$B$3</f>
        <v>0</v>
      </c>
      <c r="AO10" s="4">
        <f>'Commercial-Heating'!AO10*Conversion!$B$3</f>
        <v>0</v>
      </c>
      <c r="AP10" s="4">
        <f>'Commercial-Heating'!AP10*Conversion!$B$3</f>
        <v>0</v>
      </c>
      <c r="AQ10" s="4">
        <f>'Commercial-Heating'!AQ10*Conversion!$B$3</f>
        <v>0</v>
      </c>
    </row>
    <row r="11" spans="1:43" x14ac:dyDescent="0.2">
      <c r="A11" s="1" t="s">
        <v>21</v>
      </c>
      <c r="B11" s="15">
        <f t="shared" si="0"/>
        <v>0</v>
      </c>
      <c r="C11" s="4">
        <f>'Commercial-Heating'!C11*Conversion!$B$3</f>
        <v>0</v>
      </c>
      <c r="D11" s="4">
        <f>'Commercial-Heating'!D11*Conversion!$B$3</f>
        <v>0</v>
      </c>
      <c r="E11" s="4">
        <f>'Commercial-Heating'!E11*Conversion!$B$3</f>
        <v>0</v>
      </c>
      <c r="F11" s="4">
        <f>'Commercial-Heating'!F11*Conversion!$B$3</f>
        <v>0</v>
      </c>
      <c r="G11" s="4">
        <f>'Commercial-Heating'!G11*Conversion!$B$3</f>
        <v>0</v>
      </c>
      <c r="H11" s="4">
        <f>'Commercial-Heating'!H11*Conversion!$B$3</f>
        <v>0</v>
      </c>
      <c r="I11" s="4">
        <f>'Commercial-Heating'!I11*Conversion!$B$3</f>
        <v>0</v>
      </c>
      <c r="J11" s="4">
        <f>'Commercial-Heating'!J11*Conversion!$B$3</f>
        <v>0</v>
      </c>
      <c r="K11" s="4">
        <f>'Commercial-Heating'!K11*Conversion!$B$3</f>
        <v>0</v>
      </c>
      <c r="L11" s="4">
        <f>'Commercial-Heating'!L11*Conversion!$B$3</f>
        <v>0</v>
      </c>
      <c r="M11" s="4">
        <f>'Commercial-Heating'!M11*Conversion!$B$3</f>
        <v>0</v>
      </c>
      <c r="N11" s="4">
        <f>'Commercial-Heating'!N11*Conversion!$B$3</f>
        <v>0</v>
      </c>
      <c r="O11" s="4">
        <f>'Commercial-Heating'!O11*Conversion!$B$3</f>
        <v>0</v>
      </c>
      <c r="P11" s="4">
        <f>'Commercial-Heating'!P11*Conversion!$B$3</f>
        <v>0</v>
      </c>
      <c r="Q11" s="4">
        <f>'Commercial-Heating'!Q11*Conversion!$B$3</f>
        <v>0</v>
      </c>
      <c r="R11" s="4">
        <f>'Commercial-Heating'!R11*Conversion!$B$3</f>
        <v>0</v>
      </c>
      <c r="S11" s="4">
        <f>'Commercial-Heating'!S11*Conversion!$B$3</f>
        <v>0</v>
      </c>
      <c r="T11" s="4">
        <f>'Commercial-Heating'!T11*Conversion!$B$3</f>
        <v>0</v>
      </c>
      <c r="U11" s="4">
        <f>'Commercial-Heating'!U11*Conversion!$B$3</f>
        <v>0</v>
      </c>
      <c r="V11" s="4">
        <f>'Commercial-Heating'!V11*Conversion!$B$3</f>
        <v>0</v>
      </c>
      <c r="W11" s="4">
        <f>'Commercial-Heating'!W11*Conversion!$B$3</f>
        <v>0</v>
      </c>
      <c r="X11" s="4">
        <f>'Commercial-Heating'!X11*Conversion!$B$3</f>
        <v>0</v>
      </c>
      <c r="Y11" s="4">
        <f>'Commercial-Heating'!Y11*Conversion!$B$3</f>
        <v>0</v>
      </c>
      <c r="Z11" s="4">
        <f>'Commercial-Heating'!Z11*Conversion!$B$3</f>
        <v>0</v>
      </c>
      <c r="AA11" s="4">
        <f>'Commercial-Heating'!AA11*Conversion!$B$3</f>
        <v>0</v>
      </c>
      <c r="AB11" s="4">
        <f>'Commercial-Heating'!AB11*Conversion!$B$3</f>
        <v>0</v>
      </c>
      <c r="AC11" s="4">
        <f>'Commercial-Heating'!AC11*Conversion!$B$3</f>
        <v>0</v>
      </c>
      <c r="AD11" s="4">
        <f>'Commercial-Heating'!AD11*Conversion!$B$3</f>
        <v>0</v>
      </c>
      <c r="AE11" s="4">
        <f>'Commercial-Heating'!AE11*Conversion!$B$3</f>
        <v>0</v>
      </c>
      <c r="AF11" s="4">
        <f>'Commercial-Heating'!AF11*Conversion!$B$3</f>
        <v>0</v>
      </c>
      <c r="AG11" s="4">
        <f>'Commercial-Heating'!AG11*Conversion!$B$3</f>
        <v>0</v>
      </c>
      <c r="AH11" s="4">
        <f>'Commercial-Heating'!AH11*Conversion!$B$3</f>
        <v>0</v>
      </c>
      <c r="AI11" s="4">
        <f>'Commercial-Heating'!AI11*Conversion!$B$3</f>
        <v>0</v>
      </c>
      <c r="AJ11" s="4">
        <f>'Commercial-Heating'!AJ11*Conversion!$B$3</f>
        <v>0</v>
      </c>
      <c r="AK11" s="4">
        <f>'Commercial-Heating'!AK11*Conversion!$B$3</f>
        <v>0</v>
      </c>
      <c r="AL11" s="4">
        <f>'Commercial-Heating'!AL11*Conversion!$B$3</f>
        <v>0</v>
      </c>
      <c r="AM11" s="4">
        <f>'Commercial-Heating'!AM11*Conversion!$B$3</f>
        <v>0</v>
      </c>
      <c r="AN11" s="4">
        <f>'Commercial-Heating'!AN11*Conversion!$B$3</f>
        <v>0</v>
      </c>
      <c r="AO11" s="4">
        <f>'Commercial-Heating'!AO11*Conversion!$B$3</f>
        <v>0</v>
      </c>
      <c r="AP11" s="4">
        <f>'Commercial-Heating'!AP11*Conversion!$B$3</f>
        <v>0</v>
      </c>
      <c r="AQ11" s="4">
        <f>'Commercial-Heating'!AQ11*Conversion!$B$3</f>
        <v>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1D170-4F75-1942-AA9F-35D4887DAA8A}">
  <sheetPr>
    <tabColor theme="3" tint="0.249977111117893"/>
  </sheetPr>
  <dimension ref="A1:AQ11"/>
  <sheetViews>
    <sheetView workbookViewId="0">
      <selection activeCell="C2" sqref="C2"/>
    </sheetView>
  </sheetViews>
  <sheetFormatPr baseColWidth="10" defaultRowHeight="16" x14ac:dyDescent="0.2"/>
  <sheetData>
    <row r="1" spans="1:4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row>
    <row r="2" spans="1:43" x14ac:dyDescent="0.2">
      <c r="A2" s="1" t="s">
        <v>12</v>
      </c>
      <c r="B2" s="4">
        <f>'Commercial-Cooling'!B2*Conversion!$B$3</f>
        <v>137594899798916.86</v>
      </c>
      <c r="C2" s="4">
        <f>'Commercial-Cooling'!C2*Conversion!$B$3</f>
        <v>141677934245869.12</v>
      </c>
      <c r="D2" s="4">
        <f>'Commercial-Cooling'!D2*Conversion!$B$3</f>
        <v>145760968692823.16</v>
      </c>
      <c r="E2" s="4">
        <f>'Commercial-Cooling'!E2*Conversion!$B$3</f>
        <v>151147032518432.38</v>
      </c>
      <c r="F2" s="4">
        <f>'Commercial-Cooling'!F2*Conversion!$B$3</f>
        <v>155584130308490.88</v>
      </c>
      <c r="G2" s="4">
        <f>'Commercial-Cooling'!G2*Conversion!$B$3</f>
        <v>158424084158615.12</v>
      </c>
      <c r="H2" s="4">
        <f>'Commercial-Cooling'!H2*Conversion!$B$3</f>
        <v>161392420184167.25</v>
      </c>
      <c r="I2" s="4">
        <f>'Commercial-Cooling'!I2*Conversion!$B$3</f>
        <v>165159693867817.28</v>
      </c>
      <c r="J2" s="4">
        <f>'Commercial-Cooling'!J2*Conversion!$B$3</f>
        <v>169074088306221.88</v>
      </c>
      <c r="K2" s="4">
        <f>'Commercial-Cooling'!K2*Conversion!$B$3</f>
        <v>173144059693429.44</v>
      </c>
      <c r="L2" s="4">
        <f>'Commercial-Cooling'!L2*Conversion!$B$3</f>
        <v>177378575742153.5</v>
      </c>
      <c r="M2" s="4">
        <f>'Commercial-Cooling'!M2*Conversion!$B$3</f>
        <v>181787147049263.69</v>
      </c>
      <c r="N2" s="4">
        <f>'Commercial-Cooling'!N2*Conversion!$B$3</f>
        <v>186208284131435.38</v>
      </c>
      <c r="O2" s="4">
        <f>'Commercial-Cooling'!O2*Conversion!$B$3</f>
        <v>190823432229659.91</v>
      </c>
      <c r="P2" s="4">
        <f>'Commercial-Cooling'!P2*Conversion!$B$3</f>
        <v>195643938865038.84</v>
      </c>
      <c r="Q2" s="4">
        <f>'Commercial-Cooling'!Q2*Conversion!$B$3</f>
        <v>200681840624768.34</v>
      </c>
      <c r="R2" s="4">
        <f>'Commercial-Cooling'!R2*Conversion!$B$3</f>
        <v>205949905557499</v>
      </c>
      <c r="S2" s="4">
        <f>'Commercial-Cooling'!S2*Conversion!$B$3</f>
        <v>211286020970767.38</v>
      </c>
      <c r="T2" s="4">
        <f>'Commercial-Cooling'!T2*Conversion!$B$3</f>
        <v>216879373985092.16</v>
      </c>
      <c r="U2" s="4">
        <f>'Commercial-Cooling'!U2*Conversion!$B$3</f>
        <v>222745208625843.59</v>
      </c>
      <c r="V2" s="4">
        <f>'Commercial-Cooling'!V2*Conversion!$B$3</f>
        <v>228899698052800.81</v>
      </c>
      <c r="W2" s="4">
        <f>'Commercial-Cooling'!W2*Conversion!$B$3</f>
        <v>235360001911701.28</v>
      </c>
      <c r="X2" s="4">
        <f>'Commercial-Cooling'!X2*Conversion!$B$3</f>
        <v>241970474378869.59</v>
      </c>
      <c r="Y2" s="4">
        <f>'Commercial-Cooling'!Y2*Conversion!$B$3</f>
        <v>248923466977081.25</v>
      </c>
      <c r="Z2" s="4">
        <f>'Commercial-Cooling'!Z2*Conversion!$B$3</f>
        <v>256239479846473.56</v>
      </c>
      <c r="AA2" s="4">
        <f>'Commercial-Cooling'!AA2*Conversion!$B$3</f>
        <v>263940267131349.16</v>
      </c>
      <c r="AB2" s="4">
        <f>'Commercial-Cooling'!AB2*Conversion!$B$3</f>
        <v>272048914625798.78</v>
      </c>
      <c r="AC2" s="4">
        <f>'Commercial-Cooling'!AC2*Conversion!$B$3</f>
        <v>280421148425099.59</v>
      </c>
      <c r="AD2" s="4">
        <f>'Commercial-Cooling'!AD2*Conversion!$B$3</f>
        <v>289250956836972.62</v>
      </c>
      <c r="AE2" s="4">
        <f>'Commercial-Cooling'!AE2*Conversion!$B$3</f>
        <v>298565936607689.19</v>
      </c>
      <c r="AF2" s="4">
        <f>'Commercial-Cooling'!AF2*Conversion!$B$3</f>
        <v>308395378456772.94</v>
      </c>
      <c r="AG2" s="4">
        <f>'Commercial-Cooling'!AG2*Conversion!$B$3</f>
        <v>318770372277627.19</v>
      </c>
      <c r="AH2" s="4">
        <f>'Commercial-Cooling'!AH2*Conversion!$B$3</f>
        <v>329310790168668.88</v>
      </c>
      <c r="AI2" s="4">
        <f>'Commercial-Cooling'!AI2*Conversion!$B$3</f>
        <v>340462886564828.88</v>
      </c>
      <c r="AJ2" s="4">
        <f>'Commercial-Cooling'!AJ2*Conversion!$B$3</f>
        <v>352263848178479.06</v>
      </c>
      <c r="AK2" s="4">
        <f>'Commercial-Cooling'!AK2*Conversion!$B$3</f>
        <v>364753151986048.5</v>
      </c>
      <c r="AL2" s="4">
        <f>'Commercial-Cooling'!AL2*Conversion!$B$3</f>
        <v>377972707865609.88</v>
      </c>
      <c r="AM2" s="4">
        <f>'Commercial-Cooling'!AM2*Conversion!$B$3</f>
        <v>391967010201872.31</v>
      </c>
      <c r="AN2" s="4">
        <f>'Commercial-Cooling'!AN2*Conversion!$B$3</f>
        <v>406783299026747.88</v>
      </c>
      <c r="AO2" s="4">
        <f>'Commercial-Cooling'!AO2*Conversion!$B$3</f>
        <v>422471731299880.44</v>
      </c>
      <c r="AP2" s="4">
        <f>'Commercial-Cooling'!AP2*Conversion!$B$3</f>
        <v>439085562972079.62</v>
      </c>
      <c r="AQ2" s="4">
        <f>'Commercial-Cooling'!AQ2*Conversion!$B$3</f>
        <v>456681342515618.62</v>
      </c>
    </row>
    <row r="3" spans="1:43" x14ac:dyDescent="0.2">
      <c r="A3" s="1" t="s">
        <v>13</v>
      </c>
      <c r="B3" s="4">
        <f>'Commercial-Cooling'!B3*Conversion!$B$3</f>
        <v>0</v>
      </c>
      <c r="C3" s="4">
        <f>'Commercial-Cooling'!C3*Conversion!$B$3</f>
        <v>0</v>
      </c>
      <c r="D3" s="4">
        <f>'Commercial-Cooling'!D3*Conversion!$B$3</f>
        <v>0</v>
      </c>
      <c r="E3" s="4">
        <f>'Commercial-Cooling'!E3*Conversion!$B$3</f>
        <v>0</v>
      </c>
      <c r="F3" s="4">
        <f>'Commercial-Cooling'!F3*Conversion!$B$3</f>
        <v>0</v>
      </c>
      <c r="G3" s="4">
        <f>'Commercial-Cooling'!G3*Conversion!$B$3</f>
        <v>0</v>
      </c>
      <c r="H3" s="4">
        <f>'Commercial-Cooling'!H3*Conversion!$B$3</f>
        <v>0</v>
      </c>
      <c r="I3" s="4">
        <f>'Commercial-Cooling'!I3*Conversion!$B$3</f>
        <v>0</v>
      </c>
      <c r="J3" s="4">
        <f>'Commercial-Cooling'!J3*Conversion!$B$3</f>
        <v>0</v>
      </c>
      <c r="K3" s="4">
        <f>'Commercial-Cooling'!K3*Conversion!$B$3</f>
        <v>0</v>
      </c>
      <c r="L3" s="4">
        <f>'Commercial-Cooling'!L3*Conversion!$B$3</f>
        <v>0</v>
      </c>
      <c r="M3" s="4">
        <f>'Commercial-Cooling'!M3*Conversion!$B$3</f>
        <v>0</v>
      </c>
      <c r="N3" s="4">
        <f>'Commercial-Cooling'!N3*Conversion!$B$3</f>
        <v>0</v>
      </c>
      <c r="O3" s="4">
        <f>'Commercial-Cooling'!O3*Conversion!$B$3</f>
        <v>0</v>
      </c>
      <c r="P3" s="4">
        <f>'Commercial-Cooling'!P3*Conversion!$B$3</f>
        <v>0</v>
      </c>
      <c r="Q3" s="4">
        <f>'Commercial-Cooling'!Q3*Conversion!$B$3</f>
        <v>0</v>
      </c>
      <c r="R3" s="4">
        <f>'Commercial-Cooling'!R3*Conversion!$B$3</f>
        <v>0</v>
      </c>
      <c r="S3" s="4">
        <f>'Commercial-Cooling'!S3*Conversion!$B$3</f>
        <v>0</v>
      </c>
      <c r="T3" s="4">
        <f>'Commercial-Cooling'!T3*Conversion!$B$3</f>
        <v>0</v>
      </c>
      <c r="U3" s="4">
        <f>'Commercial-Cooling'!U3*Conversion!$B$3</f>
        <v>0</v>
      </c>
      <c r="V3" s="4">
        <f>'Commercial-Cooling'!V3*Conversion!$B$3</f>
        <v>0</v>
      </c>
      <c r="W3" s="4">
        <f>'Commercial-Cooling'!W3*Conversion!$B$3</f>
        <v>0</v>
      </c>
      <c r="X3" s="4">
        <f>'Commercial-Cooling'!X3*Conversion!$B$3</f>
        <v>0</v>
      </c>
      <c r="Y3" s="4">
        <f>'Commercial-Cooling'!Y3*Conversion!$B$3</f>
        <v>0</v>
      </c>
      <c r="Z3" s="4">
        <f>'Commercial-Cooling'!Z3*Conversion!$B$3</f>
        <v>0</v>
      </c>
      <c r="AA3" s="4">
        <f>'Commercial-Cooling'!AA3*Conversion!$B$3</f>
        <v>0</v>
      </c>
      <c r="AB3" s="4">
        <f>'Commercial-Cooling'!AB3*Conversion!$B$3</f>
        <v>0</v>
      </c>
      <c r="AC3" s="4">
        <f>'Commercial-Cooling'!AC3*Conversion!$B$3</f>
        <v>0</v>
      </c>
      <c r="AD3" s="4">
        <f>'Commercial-Cooling'!AD3*Conversion!$B$3</f>
        <v>0</v>
      </c>
      <c r="AE3" s="4">
        <f>'Commercial-Cooling'!AE3*Conversion!$B$3</f>
        <v>0</v>
      </c>
      <c r="AF3" s="4">
        <f>'Commercial-Cooling'!AF3*Conversion!$B$3</f>
        <v>0</v>
      </c>
      <c r="AG3" s="4">
        <f>'Commercial-Cooling'!AG3*Conversion!$B$3</f>
        <v>0</v>
      </c>
      <c r="AH3" s="4">
        <f>'Commercial-Cooling'!AH3*Conversion!$B$3</f>
        <v>0</v>
      </c>
      <c r="AI3" s="4">
        <f>'Commercial-Cooling'!AI3*Conversion!$B$3</f>
        <v>0</v>
      </c>
      <c r="AJ3" s="4">
        <f>'Commercial-Cooling'!AJ3*Conversion!$B$3</f>
        <v>0</v>
      </c>
      <c r="AK3" s="4">
        <f>'Commercial-Cooling'!AK3*Conversion!$B$3</f>
        <v>0</v>
      </c>
      <c r="AL3" s="4">
        <f>'Commercial-Cooling'!AL3*Conversion!$B$3</f>
        <v>0</v>
      </c>
      <c r="AM3" s="4">
        <f>'Commercial-Cooling'!AM3*Conversion!$B$3</f>
        <v>0</v>
      </c>
      <c r="AN3" s="4">
        <f>'Commercial-Cooling'!AN3*Conversion!$B$3</f>
        <v>0</v>
      </c>
      <c r="AO3" s="4">
        <f>'Commercial-Cooling'!AO3*Conversion!$B$3</f>
        <v>0</v>
      </c>
      <c r="AP3" s="4">
        <f>'Commercial-Cooling'!AP3*Conversion!$B$3</f>
        <v>0</v>
      </c>
      <c r="AQ3" s="4">
        <f>'Commercial-Cooling'!AQ3*Conversion!$B$3</f>
        <v>0</v>
      </c>
    </row>
    <row r="4" spans="1:43" x14ac:dyDescent="0.2">
      <c r="A4" s="1" t="s">
        <v>14</v>
      </c>
      <c r="B4" s="4">
        <f>'Commercial-Cooling'!B4*Conversion!$B$3</f>
        <v>0</v>
      </c>
      <c r="C4" s="4">
        <f>'Commercial-Cooling'!C4*Conversion!$B$3</f>
        <v>0</v>
      </c>
      <c r="D4" s="4">
        <f>'Commercial-Cooling'!D4*Conversion!$B$3</f>
        <v>0</v>
      </c>
      <c r="E4" s="4">
        <f>'Commercial-Cooling'!E4*Conversion!$B$3</f>
        <v>0</v>
      </c>
      <c r="F4" s="4">
        <f>'Commercial-Cooling'!F4*Conversion!$B$3</f>
        <v>0</v>
      </c>
      <c r="G4" s="4">
        <f>'Commercial-Cooling'!G4*Conversion!$B$3</f>
        <v>0</v>
      </c>
      <c r="H4" s="4">
        <f>'Commercial-Cooling'!H4*Conversion!$B$3</f>
        <v>0</v>
      </c>
      <c r="I4" s="4">
        <f>'Commercial-Cooling'!I4*Conversion!$B$3</f>
        <v>0</v>
      </c>
      <c r="J4" s="4">
        <f>'Commercial-Cooling'!J4*Conversion!$B$3</f>
        <v>0</v>
      </c>
      <c r="K4" s="4">
        <f>'Commercial-Cooling'!K4*Conversion!$B$3</f>
        <v>0</v>
      </c>
      <c r="L4" s="4">
        <f>'Commercial-Cooling'!L4*Conversion!$B$3</f>
        <v>0</v>
      </c>
      <c r="M4" s="4">
        <f>'Commercial-Cooling'!M4*Conversion!$B$3</f>
        <v>0</v>
      </c>
      <c r="N4" s="4">
        <f>'Commercial-Cooling'!N4*Conversion!$B$3</f>
        <v>0</v>
      </c>
      <c r="O4" s="4">
        <f>'Commercial-Cooling'!O4*Conversion!$B$3</f>
        <v>0</v>
      </c>
      <c r="P4" s="4">
        <f>'Commercial-Cooling'!P4*Conversion!$B$3</f>
        <v>0</v>
      </c>
      <c r="Q4" s="4">
        <f>'Commercial-Cooling'!Q4*Conversion!$B$3</f>
        <v>0</v>
      </c>
      <c r="R4" s="4">
        <f>'Commercial-Cooling'!R4*Conversion!$B$3</f>
        <v>0</v>
      </c>
      <c r="S4" s="4">
        <f>'Commercial-Cooling'!S4*Conversion!$B$3</f>
        <v>0</v>
      </c>
      <c r="T4" s="4">
        <f>'Commercial-Cooling'!T4*Conversion!$B$3</f>
        <v>0</v>
      </c>
      <c r="U4" s="4">
        <f>'Commercial-Cooling'!U4*Conversion!$B$3</f>
        <v>0</v>
      </c>
      <c r="V4" s="4">
        <f>'Commercial-Cooling'!V4*Conversion!$B$3</f>
        <v>0</v>
      </c>
      <c r="W4" s="4">
        <f>'Commercial-Cooling'!W4*Conversion!$B$3</f>
        <v>0</v>
      </c>
      <c r="X4" s="4">
        <f>'Commercial-Cooling'!X4*Conversion!$B$3</f>
        <v>0</v>
      </c>
      <c r="Y4" s="4">
        <f>'Commercial-Cooling'!Y4*Conversion!$B$3</f>
        <v>0</v>
      </c>
      <c r="Z4" s="4">
        <f>'Commercial-Cooling'!Z4*Conversion!$B$3</f>
        <v>0</v>
      </c>
      <c r="AA4" s="4">
        <f>'Commercial-Cooling'!AA4*Conversion!$B$3</f>
        <v>0</v>
      </c>
      <c r="AB4" s="4">
        <f>'Commercial-Cooling'!AB4*Conversion!$B$3</f>
        <v>0</v>
      </c>
      <c r="AC4" s="4">
        <f>'Commercial-Cooling'!AC4*Conversion!$B$3</f>
        <v>0</v>
      </c>
      <c r="AD4" s="4">
        <f>'Commercial-Cooling'!AD4*Conversion!$B$3</f>
        <v>0</v>
      </c>
      <c r="AE4" s="4">
        <f>'Commercial-Cooling'!AE4*Conversion!$B$3</f>
        <v>0</v>
      </c>
      <c r="AF4" s="4">
        <f>'Commercial-Cooling'!AF4*Conversion!$B$3</f>
        <v>0</v>
      </c>
      <c r="AG4" s="4">
        <f>'Commercial-Cooling'!AG4*Conversion!$B$3</f>
        <v>0</v>
      </c>
      <c r="AH4" s="4">
        <f>'Commercial-Cooling'!AH4*Conversion!$B$3</f>
        <v>0</v>
      </c>
      <c r="AI4" s="4">
        <f>'Commercial-Cooling'!AI4*Conversion!$B$3</f>
        <v>0</v>
      </c>
      <c r="AJ4" s="4">
        <f>'Commercial-Cooling'!AJ4*Conversion!$B$3</f>
        <v>0</v>
      </c>
      <c r="AK4" s="4">
        <f>'Commercial-Cooling'!AK4*Conversion!$B$3</f>
        <v>0</v>
      </c>
      <c r="AL4" s="4">
        <f>'Commercial-Cooling'!AL4*Conversion!$B$3</f>
        <v>0</v>
      </c>
      <c r="AM4" s="4">
        <f>'Commercial-Cooling'!AM4*Conversion!$B$3</f>
        <v>0</v>
      </c>
      <c r="AN4" s="4">
        <f>'Commercial-Cooling'!AN4*Conversion!$B$3</f>
        <v>0</v>
      </c>
      <c r="AO4" s="4">
        <f>'Commercial-Cooling'!AO4*Conversion!$B$3</f>
        <v>0</v>
      </c>
      <c r="AP4" s="4">
        <f>'Commercial-Cooling'!AP4*Conversion!$B$3</f>
        <v>0</v>
      </c>
      <c r="AQ4" s="4">
        <f>'Commercial-Cooling'!AQ4*Conversion!$B$3</f>
        <v>0</v>
      </c>
    </row>
    <row r="5" spans="1:43" x14ac:dyDescent="0.2">
      <c r="A5" s="1" t="s">
        <v>15</v>
      </c>
      <c r="B5" s="4">
        <f>'Commercial-Cooling'!B5*Conversion!$B$3</f>
        <v>0</v>
      </c>
      <c r="C5" s="4">
        <f>'Commercial-Cooling'!C5*Conversion!$B$3</f>
        <v>0</v>
      </c>
      <c r="D5" s="4">
        <f>'Commercial-Cooling'!D5*Conversion!$B$3</f>
        <v>0</v>
      </c>
      <c r="E5" s="4">
        <f>'Commercial-Cooling'!E5*Conversion!$B$3</f>
        <v>0</v>
      </c>
      <c r="F5" s="4">
        <f>'Commercial-Cooling'!F5*Conversion!$B$3</f>
        <v>0</v>
      </c>
      <c r="G5" s="4">
        <f>'Commercial-Cooling'!G5*Conversion!$B$3</f>
        <v>0</v>
      </c>
      <c r="H5" s="4">
        <f>'Commercial-Cooling'!H5*Conversion!$B$3</f>
        <v>0</v>
      </c>
      <c r="I5" s="4">
        <f>'Commercial-Cooling'!I5*Conversion!$B$3</f>
        <v>0</v>
      </c>
      <c r="J5" s="4">
        <f>'Commercial-Cooling'!J5*Conversion!$B$3</f>
        <v>0</v>
      </c>
      <c r="K5" s="4">
        <f>'Commercial-Cooling'!K5*Conversion!$B$3</f>
        <v>0</v>
      </c>
      <c r="L5" s="4">
        <f>'Commercial-Cooling'!L5*Conversion!$B$3</f>
        <v>0</v>
      </c>
      <c r="M5" s="4">
        <f>'Commercial-Cooling'!M5*Conversion!$B$3</f>
        <v>0</v>
      </c>
      <c r="N5" s="4">
        <f>'Commercial-Cooling'!N5*Conversion!$B$3</f>
        <v>0</v>
      </c>
      <c r="O5" s="4">
        <f>'Commercial-Cooling'!O5*Conversion!$B$3</f>
        <v>0</v>
      </c>
      <c r="P5" s="4">
        <f>'Commercial-Cooling'!P5*Conversion!$B$3</f>
        <v>0</v>
      </c>
      <c r="Q5" s="4">
        <f>'Commercial-Cooling'!Q5*Conversion!$B$3</f>
        <v>0</v>
      </c>
      <c r="R5" s="4">
        <f>'Commercial-Cooling'!R5*Conversion!$B$3</f>
        <v>0</v>
      </c>
      <c r="S5" s="4">
        <f>'Commercial-Cooling'!S5*Conversion!$B$3</f>
        <v>0</v>
      </c>
      <c r="T5" s="4">
        <f>'Commercial-Cooling'!T5*Conversion!$B$3</f>
        <v>0</v>
      </c>
      <c r="U5" s="4">
        <f>'Commercial-Cooling'!U5*Conversion!$B$3</f>
        <v>0</v>
      </c>
      <c r="V5" s="4">
        <f>'Commercial-Cooling'!V5*Conversion!$B$3</f>
        <v>0</v>
      </c>
      <c r="W5" s="4">
        <f>'Commercial-Cooling'!W5*Conversion!$B$3</f>
        <v>0</v>
      </c>
      <c r="X5" s="4">
        <f>'Commercial-Cooling'!X5*Conversion!$B$3</f>
        <v>0</v>
      </c>
      <c r="Y5" s="4">
        <f>'Commercial-Cooling'!Y5*Conversion!$B$3</f>
        <v>0</v>
      </c>
      <c r="Z5" s="4">
        <f>'Commercial-Cooling'!Z5*Conversion!$B$3</f>
        <v>0</v>
      </c>
      <c r="AA5" s="4">
        <f>'Commercial-Cooling'!AA5*Conversion!$B$3</f>
        <v>0</v>
      </c>
      <c r="AB5" s="4">
        <f>'Commercial-Cooling'!AB5*Conversion!$B$3</f>
        <v>0</v>
      </c>
      <c r="AC5" s="4">
        <f>'Commercial-Cooling'!AC5*Conversion!$B$3</f>
        <v>0</v>
      </c>
      <c r="AD5" s="4">
        <f>'Commercial-Cooling'!AD5*Conversion!$B$3</f>
        <v>0</v>
      </c>
      <c r="AE5" s="4">
        <f>'Commercial-Cooling'!AE5*Conversion!$B$3</f>
        <v>0</v>
      </c>
      <c r="AF5" s="4">
        <f>'Commercial-Cooling'!AF5*Conversion!$B$3</f>
        <v>0</v>
      </c>
      <c r="AG5" s="4">
        <f>'Commercial-Cooling'!AG5*Conversion!$B$3</f>
        <v>0</v>
      </c>
      <c r="AH5" s="4">
        <f>'Commercial-Cooling'!AH5*Conversion!$B$3</f>
        <v>0</v>
      </c>
      <c r="AI5" s="4">
        <f>'Commercial-Cooling'!AI5*Conversion!$B$3</f>
        <v>0</v>
      </c>
      <c r="AJ5" s="4">
        <f>'Commercial-Cooling'!AJ5*Conversion!$B$3</f>
        <v>0</v>
      </c>
      <c r="AK5" s="4">
        <f>'Commercial-Cooling'!AK5*Conversion!$B$3</f>
        <v>0</v>
      </c>
      <c r="AL5" s="4">
        <f>'Commercial-Cooling'!AL5*Conversion!$B$3</f>
        <v>0</v>
      </c>
      <c r="AM5" s="4">
        <f>'Commercial-Cooling'!AM5*Conversion!$B$3</f>
        <v>0</v>
      </c>
      <c r="AN5" s="4">
        <f>'Commercial-Cooling'!AN5*Conversion!$B$3</f>
        <v>0</v>
      </c>
      <c r="AO5" s="4">
        <f>'Commercial-Cooling'!AO5*Conversion!$B$3</f>
        <v>0</v>
      </c>
      <c r="AP5" s="4">
        <f>'Commercial-Cooling'!AP5*Conversion!$B$3</f>
        <v>0</v>
      </c>
      <c r="AQ5" s="4">
        <f>'Commercial-Cooling'!AQ5*Conversion!$B$3</f>
        <v>0</v>
      </c>
    </row>
    <row r="6" spans="1:43" x14ac:dyDescent="0.2">
      <c r="A6" s="1" t="s">
        <v>16</v>
      </c>
      <c r="B6" s="4">
        <f>'Commercial-Cooling'!B6*Conversion!$B$3</f>
        <v>0</v>
      </c>
      <c r="C6" s="4">
        <f>'Commercial-Cooling'!C6*Conversion!$B$3</f>
        <v>0</v>
      </c>
      <c r="D6" s="4">
        <f>'Commercial-Cooling'!D6*Conversion!$B$3</f>
        <v>0</v>
      </c>
      <c r="E6" s="4">
        <f>'Commercial-Cooling'!E6*Conversion!$B$3</f>
        <v>0</v>
      </c>
      <c r="F6" s="4">
        <f>'Commercial-Cooling'!F6*Conversion!$B$3</f>
        <v>0</v>
      </c>
      <c r="G6" s="4">
        <f>'Commercial-Cooling'!G6*Conversion!$B$3</f>
        <v>0</v>
      </c>
      <c r="H6" s="4">
        <f>'Commercial-Cooling'!H6*Conversion!$B$3</f>
        <v>0</v>
      </c>
      <c r="I6" s="4">
        <f>'Commercial-Cooling'!I6*Conversion!$B$3</f>
        <v>0</v>
      </c>
      <c r="J6" s="4">
        <f>'Commercial-Cooling'!J6*Conversion!$B$3</f>
        <v>0</v>
      </c>
      <c r="K6" s="4">
        <f>'Commercial-Cooling'!K6*Conversion!$B$3</f>
        <v>0</v>
      </c>
      <c r="L6" s="4">
        <f>'Commercial-Cooling'!L6*Conversion!$B$3</f>
        <v>0</v>
      </c>
      <c r="M6" s="4">
        <f>'Commercial-Cooling'!M6*Conversion!$B$3</f>
        <v>0</v>
      </c>
      <c r="N6" s="4">
        <f>'Commercial-Cooling'!N6*Conversion!$B$3</f>
        <v>0</v>
      </c>
      <c r="O6" s="4">
        <f>'Commercial-Cooling'!O6*Conversion!$B$3</f>
        <v>0</v>
      </c>
      <c r="P6" s="4">
        <f>'Commercial-Cooling'!P6*Conversion!$B$3</f>
        <v>0</v>
      </c>
      <c r="Q6" s="4">
        <f>'Commercial-Cooling'!Q6*Conversion!$B$3</f>
        <v>0</v>
      </c>
      <c r="R6" s="4">
        <f>'Commercial-Cooling'!R6*Conversion!$B$3</f>
        <v>0</v>
      </c>
      <c r="S6" s="4">
        <f>'Commercial-Cooling'!S6*Conversion!$B$3</f>
        <v>0</v>
      </c>
      <c r="T6" s="4">
        <f>'Commercial-Cooling'!T6*Conversion!$B$3</f>
        <v>0</v>
      </c>
      <c r="U6" s="4">
        <f>'Commercial-Cooling'!U6*Conversion!$B$3</f>
        <v>0</v>
      </c>
      <c r="V6" s="4">
        <f>'Commercial-Cooling'!V6*Conversion!$B$3</f>
        <v>0</v>
      </c>
      <c r="W6" s="4">
        <f>'Commercial-Cooling'!W6*Conversion!$B$3</f>
        <v>0</v>
      </c>
      <c r="X6" s="4">
        <f>'Commercial-Cooling'!X6*Conversion!$B$3</f>
        <v>0</v>
      </c>
      <c r="Y6" s="4">
        <f>'Commercial-Cooling'!Y6*Conversion!$B$3</f>
        <v>0</v>
      </c>
      <c r="Z6" s="4">
        <f>'Commercial-Cooling'!Z6*Conversion!$B$3</f>
        <v>0</v>
      </c>
      <c r="AA6" s="4">
        <f>'Commercial-Cooling'!AA6*Conversion!$B$3</f>
        <v>0</v>
      </c>
      <c r="AB6" s="4">
        <f>'Commercial-Cooling'!AB6*Conversion!$B$3</f>
        <v>0</v>
      </c>
      <c r="AC6" s="4">
        <f>'Commercial-Cooling'!AC6*Conversion!$B$3</f>
        <v>0</v>
      </c>
      <c r="AD6" s="4">
        <f>'Commercial-Cooling'!AD6*Conversion!$B$3</f>
        <v>0</v>
      </c>
      <c r="AE6" s="4">
        <f>'Commercial-Cooling'!AE6*Conversion!$B$3</f>
        <v>0</v>
      </c>
      <c r="AF6" s="4">
        <f>'Commercial-Cooling'!AF6*Conversion!$B$3</f>
        <v>0</v>
      </c>
      <c r="AG6" s="4">
        <f>'Commercial-Cooling'!AG6*Conversion!$B$3</f>
        <v>0</v>
      </c>
      <c r="AH6" s="4">
        <f>'Commercial-Cooling'!AH6*Conversion!$B$3</f>
        <v>0</v>
      </c>
      <c r="AI6" s="4">
        <f>'Commercial-Cooling'!AI6*Conversion!$B$3</f>
        <v>0</v>
      </c>
      <c r="AJ6" s="4">
        <f>'Commercial-Cooling'!AJ6*Conversion!$B$3</f>
        <v>0</v>
      </c>
      <c r="AK6" s="4">
        <f>'Commercial-Cooling'!AK6*Conversion!$B$3</f>
        <v>0</v>
      </c>
      <c r="AL6" s="4">
        <f>'Commercial-Cooling'!AL6*Conversion!$B$3</f>
        <v>0</v>
      </c>
      <c r="AM6" s="4">
        <f>'Commercial-Cooling'!AM6*Conversion!$B$3</f>
        <v>0</v>
      </c>
      <c r="AN6" s="4">
        <f>'Commercial-Cooling'!AN6*Conversion!$B$3</f>
        <v>0</v>
      </c>
      <c r="AO6" s="4">
        <f>'Commercial-Cooling'!AO6*Conversion!$B$3</f>
        <v>0</v>
      </c>
      <c r="AP6" s="4">
        <f>'Commercial-Cooling'!AP6*Conversion!$B$3</f>
        <v>0</v>
      </c>
      <c r="AQ6" s="4">
        <f>'Commercial-Cooling'!AQ6*Conversion!$B$3</f>
        <v>0</v>
      </c>
    </row>
    <row r="7" spans="1:43" x14ac:dyDescent="0.2">
      <c r="A7" s="1" t="s">
        <v>17</v>
      </c>
      <c r="B7" s="4">
        <f>'Commercial-Cooling'!B7*Conversion!$B$3</f>
        <v>0</v>
      </c>
      <c r="C7" s="4">
        <f>'Commercial-Cooling'!C7*Conversion!$B$3</f>
        <v>0</v>
      </c>
      <c r="D7" s="4">
        <f>'Commercial-Cooling'!D7*Conversion!$B$3</f>
        <v>0</v>
      </c>
      <c r="E7" s="4">
        <f>'Commercial-Cooling'!E7*Conversion!$B$3</f>
        <v>0</v>
      </c>
      <c r="F7" s="4">
        <f>'Commercial-Cooling'!F7*Conversion!$B$3</f>
        <v>0</v>
      </c>
      <c r="G7" s="4">
        <f>'Commercial-Cooling'!G7*Conversion!$B$3</f>
        <v>0</v>
      </c>
      <c r="H7" s="4">
        <f>'Commercial-Cooling'!H7*Conversion!$B$3</f>
        <v>0</v>
      </c>
      <c r="I7" s="4">
        <f>'Commercial-Cooling'!I7*Conversion!$B$3</f>
        <v>0</v>
      </c>
      <c r="J7" s="4">
        <f>'Commercial-Cooling'!J7*Conversion!$B$3</f>
        <v>0</v>
      </c>
      <c r="K7" s="4">
        <f>'Commercial-Cooling'!K7*Conversion!$B$3</f>
        <v>0</v>
      </c>
      <c r="L7" s="4">
        <f>'Commercial-Cooling'!L7*Conversion!$B$3</f>
        <v>0</v>
      </c>
      <c r="M7" s="4">
        <f>'Commercial-Cooling'!M7*Conversion!$B$3</f>
        <v>0</v>
      </c>
      <c r="N7" s="4">
        <f>'Commercial-Cooling'!N7*Conversion!$B$3</f>
        <v>0</v>
      </c>
      <c r="O7" s="4">
        <f>'Commercial-Cooling'!O7*Conversion!$B$3</f>
        <v>0</v>
      </c>
      <c r="P7" s="4">
        <f>'Commercial-Cooling'!P7*Conversion!$B$3</f>
        <v>0</v>
      </c>
      <c r="Q7" s="4">
        <f>'Commercial-Cooling'!Q7*Conversion!$B$3</f>
        <v>0</v>
      </c>
      <c r="R7" s="4">
        <f>'Commercial-Cooling'!R7*Conversion!$B$3</f>
        <v>0</v>
      </c>
      <c r="S7" s="4">
        <f>'Commercial-Cooling'!S7*Conversion!$B$3</f>
        <v>0</v>
      </c>
      <c r="T7" s="4">
        <f>'Commercial-Cooling'!T7*Conversion!$B$3</f>
        <v>0</v>
      </c>
      <c r="U7" s="4">
        <f>'Commercial-Cooling'!U7*Conversion!$B$3</f>
        <v>0</v>
      </c>
      <c r="V7" s="4">
        <f>'Commercial-Cooling'!V7*Conversion!$B$3</f>
        <v>0</v>
      </c>
      <c r="W7" s="4">
        <f>'Commercial-Cooling'!W7*Conversion!$B$3</f>
        <v>0</v>
      </c>
      <c r="X7" s="4">
        <f>'Commercial-Cooling'!X7*Conversion!$B$3</f>
        <v>0</v>
      </c>
      <c r="Y7" s="4">
        <f>'Commercial-Cooling'!Y7*Conversion!$B$3</f>
        <v>0</v>
      </c>
      <c r="Z7" s="4">
        <f>'Commercial-Cooling'!Z7*Conversion!$B$3</f>
        <v>0</v>
      </c>
      <c r="AA7" s="4">
        <f>'Commercial-Cooling'!AA7*Conversion!$B$3</f>
        <v>0</v>
      </c>
      <c r="AB7" s="4">
        <f>'Commercial-Cooling'!AB7*Conversion!$B$3</f>
        <v>0</v>
      </c>
      <c r="AC7" s="4">
        <f>'Commercial-Cooling'!AC7*Conversion!$B$3</f>
        <v>0</v>
      </c>
      <c r="AD7" s="4">
        <f>'Commercial-Cooling'!AD7*Conversion!$B$3</f>
        <v>0</v>
      </c>
      <c r="AE7" s="4">
        <f>'Commercial-Cooling'!AE7*Conversion!$B$3</f>
        <v>0</v>
      </c>
      <c r="AF7" s="4">
        <f>'Commercial-Cooling'!AF7*Conversion!$B$3</f>
        <v>0</v>
      </c>
      <c r="AG7" s="4">
        <f>'Commercial-Cooling'!AG7*Conversion!$B$3</f>
        <v>0</v>
      </c>
      <c r="AH7" s="4">
        <f>'Commercial-Cooling'!AH7*Conversion!$B$3</f>
        <v>0</v>
      </c>
      <c r="AI7" s="4">
        <f>'Commercial-Cooling'!AI7*Conversion!$B$3</f>
        <v>0</v>
      </c>
      <c r="AJ7" s="4">
        <f>'Commercial-Cooling'!AJ7*Conversion!$B$3</f>
        <v>0</v>
      </c>
      <c r="AK7" s="4">
        <f>'Commercial-Cooling'!AK7*Conversion!$B$3</f>
        <v>0</v>
      </c>
      <c r="AL7" s="4">
        <f>'Commercial-Cooling'!AL7*Conversion!$B$3</f>
        <v>0</v>
      </c>
      <c r="AM7" s="4">
        <f>'Commercial-Cooling'!AM7*Conversion!$B$3</f>
        <v>0</v>
      </c>
      <c r="AN7" s="4">
        <f>'Commercial-Cooling'!AN7*Conversion!$B$3</f>
        <v>0</v>
      </c>
      <c r="AO7" s="4">
        <f>'Commercial-Cooling'!AO7*Conversion!$B$3</f>
        <v>0</v>
      </c>
      <c r="AP7" s="4">
        <f>'Commercial-Cooling'!AP7*Conversion!$B$3</f>
        <v>0</v>
      </c>
      <c r="AQ7" s="4">
        <f>'Commercial-Cooling'!AQ7*Conversion!$B$3</f>
        <v>0</v>
      </c>
    </row>
    <row r="8" spans="1:43" x14ac:dyDescent="0.2">
      <c r="A8" s="1" t="s">
        <v>18</v>
      </c>
      <c r="B8" s="4">
        <f>'Commercial-Cooling'!B8*Conversion!$B$3</f>
        <v>0</v>
      </c>
      <c r="C8" s="4">
        <f>'Commercial-Cooling'!C8*Conversion!$B$3</f>
        <v>0</v>
      </c>
      <c r="D8" s="4">
        <f>'Commercial-Cooling'!D8*Conversion!$B$3</f>
        <v>0</v>
      </c>
      <c r="E8" s="4">
        <f>'Commercial-Cooling'!E8*Conversion!$B$3</f>
        <v>0</v>
      </c>
      <c r="F8" s="4">
        <f>'Commercial-Cooling'!F8*Conversion!$B$3</f>
        <v>0</v>
      </c>
      <c r="G8" s="4">
        <f>'Commercial-Cooling'!G8*Conversion!$B$3</f>
        <v>0</v>
      </c>
      <c r="H8" s="4">
        <f>'Commercial-Cooling'!H8*Conversion!$B$3</f>
        <v>0</v>
      </c>
      <c r="I8" s="4">
        <f>'Commercial-Cooling'!I8*Conversion!$B$3</f>
        <v>0</v>
      </c>
      <c r="J8" s="4">
        <f>'Commercial-Cooling'!J8*Conversion!$B$3</f>
        <v>0</v>
      </c>
      <c r="K8" s="4">
        <f>'Commercial-Cooling'!K8*Conversion!$B$3</f>
        <v>0</v>
      </c>
      <c r="L8" s="4">
        <f>'Commercial-Cooling'!L8*Conversion!$B$3</f>
        <v>0</v>
      </c>
      <c r="M8" s="4">
        <f>'Commercial-Cooling'!M8*Conversion!$B$3</f>
        <v>0</v>
      </c>
      <c r="N8" s="4">
        <f>'Commercial-Cooling'!N8*Conversion!$B$3</f>
        <v>0</v>
      </c>
      <c r="O8" s="4">
        <f>'Commercial-Cooling'!O8*Conversion!$B$3</f>
        <v>0</v>
      </c>
      <c r="P8" s="4">
        <f>'Commercial-Cooling'!P8*Conversion!$B$3</f>
        <v>0</v>
      </c>
      <c r="Q8" s="4">
        <f>'Commercial-Cooling'!Q8*Conversion!$B$3</f>
        <v>0</v>
      </c>
      <c r="R8" s="4">
        <f>'Commercial-Cooling'!R8*Conversion!$B$3</f>
        <v>0</v>
      </c>
      <c r="S8" s="4">
        <f>'Commercial-Cooling'!S8*Conversion!$B$3</f>
        <v>0</v>
      </c>
      <c r="T8" s="4">
        <f>'Commercial-Cooling'!T8*Conversion!$B$3</f>
        <v>0</v>
      </c>
      <c r="U8" s="4">
        <f>'Commercial-Cooling'!U8*Conversion!$B$3</f>
        <v>0</v>
      </c>
      <c r="V8" s="4">
        <f>'Commercial-Cooling'!V8*Conversion!$B$3</f>
        <v>0</v>
      </c>
      <c r="W8" s="4">
        <f>'Commercial-Cooling'!W8*Conversion!$B$3</f>
        <v>0</v>
      </c>
      <c r="X8" s="4">
        <f>'Commercial-Cooling'!X8*Conversion!$B$3</f>
        <v>0</v>
      </c>
      <c r="Y8" s="4">
        <f>'Commercial-Cooling'!Y8*Conversion!$B$3</f>
        <v>0</v>
      </c>
      <c r="Z8" s="4">
        <f>'Commercial-Cooling'!Z8*Conversion!$B$3</f>
        <v>0</v>
      </c>
      <c r="AA8" s="4">
        <f>'Commercial-Cooling'!AA8*Conversion!$B$3</f>
        <v>0</v>
      </c>
      <c r="AB8" s="4">
        <f>'Commercial-Cooling'!AB8*Conversion!$B$3</f>
        <v>0</v>
      </c>
      <c r="AC8" s="4">
        <f>'Commercial-Cooling'!AC8*Conversion!$B$3</f>
        <v>0</v>
      </c>
      <c r="AD8" s="4">
        <f>'Commercial-Cooling'!AD8*Conversion!$B$3</f>
        <v>0</v>
      </c>
      <c r="AE8" s="4">
        <f>'Commercial-Cooling'!AE8*Conversion!$B$3</f>
        <v>0</v>
      </c>
      <c r="AF8" s="4">
        <f>'Commercial-Cooling'!AF8*Conversion!$B$3</f>
        <v>0</v>
      </c>
      <c r="AG8" s="4">
        <f>'Commercial-Cooling'!AG8*Conversion!$B$3</f>
        <v>0</v>
      </c>
      <c r="AH8" s="4">
        <f>'Commercial-Cooling'!AH8*Conversion!$B$3</f>
        <v>0</v>
      </c>
      <c r="AI8" s="4">
        <f>'Commercial-Cooling'!AI8*Conversion!$B$3</f>
        <v>0</v>
      </c>
      <c r="AJ8" s="4">
        <f>'Commercial-Cooling'!AJ8*Conversion!$B$3</f>
        <v>0</v>
      </c>
      <c r="AK8" s="4">
        <f>'Commercial-Cooling'!AK8*Conversion!$B$3</f>
        <v>0</v>
      </c>
      <c r="AL8" s="4">
        <f>'Commercial-Cooling'!AL8*Conversion!$B$3</f>
        <v>0</v>
      </c>
      <c r="AM8" s="4">
        <f>'Commercial-Cooling'!AM8*Conversion!$B$3</f>
        <v>0</v>
      </c>
      <c r="AN8" s="4">
        <f>'Commercial-Cooling'!AN8*Conversion!$B$3</f>
        <v>0</v>
      </c>
      <c r="AO8" s="4">
        <f>'Commercial-Cooling'!AO8*Conversion!$B$3</f>
        <v>0</v>
      </c>
      <c r="AP8" s="4">
        <f>'Commercial-Cooling'!AP8*Conversion!$B$3</f>
        <v>0</v>
      </c>
      <c r="AQ8" s="4">
        <f>'Commercial-Cooling'!AQ8*Conversion!$B$3</f>
        <v>0</v>
      </c>
    </row>
    <row r="9" spans="1:43" x14ac:dyDescent="0.2">
      <c r="A9" s="1" t="s">
        <v>19</v>
      </c>
      <c r="B9" s="4">
        <f>'Commercial-Cooling'!B9*Conversion!$B$3</f>
        <v>0</v>
      </c>
      <c r="C9" s="4">
        <f>'Commercial-Cooling'!C9*Conversion!$B$3</f>
        <v>0</v>
      </c>
      <c r="D9" s="4">
        <f>'Commercial-Cooling'!D9*Conversion!$B$3</f>
        <v>0</v>
      </c>
      <c r="E9" s="4">
        <f>'Commercial-Cooling'!E9*Conversion!$B$3</f>
        <v>0</v>
      </c>
      <c r="F9" s="4">
        <f>'Commercial-Cooling'!F9*Conversion!$B$3</f>
        <v>0</v>
      </c>
      <c r="G9" s="4">
        <f>'Commercial-Cooling'!G9*Conversion!$B$3</f>
        <v>0</v>
      </c>
      <c r="H9" s="4">
        <f>'Commercial-Cooling'!H9*Conversion!$B$3</f>
        <v>0</v>
      </c>
      <c r="I9" s="4">
        <f>'Commercial-Cooling'!I9*Conversion!$B$3</f>
        <v>0</v>
      </c>
      <c r="J9" s="4">
        <f>'Commercial-Cooling'!J9*Conversion!$B$3</f>
        <v>0</v>
      </c>
      <c r="K9" s="4">
        <f>'Commercial-Cooling'!K9*Conversion!$B$3</f>
        <v>0</v>
      </c>
      <c r="L9" s="4">
        <f>'Commercial-Cooling'!L9*Conversion!$B$3</f>
        <v>0</v>
      </c>
      <c r="M9" s="4">
        <f>'Commercial-Cooling'!M9*Conversion!$B$3</f>
        <v>0</v>
      </c>
      <c r="N9" s="4">
        <f>'Commercial-Cooling'!N9*Conversion!$B$3</f>
        <v>0</v>
      </c>
      <c r="O9" s="4">
        <f>'Commercial-Cooling'!O9*Conversion!$B$3</f>
        <v>0</v>
      </c>
      <c r="P9" s="4">
        <f>'Commercial-Cooling'!P9*Conversion!$B$3</f>
        <v>0</v>
      </c>
      <c r="Q9" s="4">
        <f>'Commercial-Cooling'!Q9*Conversion!$B$3</f>
        <v>0</v>
      </c>
      <c r="R9" s="4">
        <f>'Commercial-Cooling'!R9*Conversion!$B$3</f>
        <v>0</v>
      </c>
      <c r="S9" s="4">
        <f>'Commercial-Cooling'!S9*Conversion!$B$3</f>
        <v>0</v>
      </c>
      <c r="T9" s="4">
        <f>'Commercial-Cooling'!T9*Conversion!$B$3</f>
        <v>0</v>
      </c>
      <c r="U9" s="4">
        <f>'Commercial-Cooling'!U9*Conversion!$B$3</f>
        <v>0</v>
      </c>
      <c r="V9" s="4">
        <f>'Commercial-Cooling'!V9*Conversion!$B$3</f>
        <v>0</v>
      </c>
      <c r="W9" s="4">
        <f>'Commercial-Cooling'!W9*Conversion!$B$3</f>
        <v>0</v>
      </c>
      <c r="X9" s="4">
        <f>'Commercial-Cooling'!X9*Conversion!$B$3</f>
        <v>0</v>
      </c>
      <c r="Y9" s="4">
        <f>'Commercial-Cooling'!Y9*Conversion!$B$3</f>
        <v>0</v>
      </c>
      <c r="Z9" s="4">
        <f>'Commercial-Cooling'!Z9*Conversion!$B$3</f>
        <v>0</v>
      </c>
      <c r="AA9" s="4">
        <f>'Commercial-Cooling'!AA9*Conversion!$B$3</f>
        <v>0</v>
      </c>
      <c r="AB9" s="4">
        <f>'Commercial-Cooling'!AB9*Conversion!$B$3</f>
        <v>0</v>
      </c>
      <c r="AC9" s="4">
        <f>'Commercial-Cooling'!AC9*Conversion!$B$3</f>
        <v>0</v>
      </c>
      <c r="AD9" s="4">
        <f>'Commercial-Cooling'!AD9*Conversion!$B$3</f>
        <v>0</v>
      </c>
      <c r="AE9" s="4">
        <f>'Commercial-Cooling'!AE9*Conversion!$B$3</f>
        <v>0</v>
      </c>
      <c r="AF9" s="4">
        <f>'Commercial-Cooling'!AF9*Conversion!$B$3</f>
        <v>0</v>
      </c>
      <c r="AG9" s="4">
        <f>'Commercial-Cooling'!AG9*Conversion!$B$3</f>
        <v>0</v>
      </c>
      <c r="AH9" s="4">
        <f>'Commercial-Cooling'!AH9*Conversion!$B$3</f>
        <v>0</v>
      </c>
      <c r="AI9" s="4">
        <f>'Commercial-Cooling'!AI9*Conversion!$B$3</f>
        <v>0</v>
      </c>
      <c r="AJ9" s="4">
        <f>'Commercial-Cooling'!AJ9*Conversion!$B$3</f>
        <v>0</v>
      </c>
      <c r="AK9" s="4">
        <f>'Commercial-Cooling'!AK9*Conversion!$B$3</f>
        <v>0</v>
      </c>
      <c r="AL9" s="4">
        <f>'Commercial-Cooling'!AL9*Conversion!$B$3</f>
        <v>0</v>
      </c>
      <c r="AM9" s="4">
        <f>'Commercial-Cooling'!AM9*Conversion!$B$3</f>
        <v>0</v>
      </c>
      <c r="AN9" s="4">
        <f>'Commercial-Cooling'!AN9*Conversion!$B$3</f>
        <v>0</v>
      </c>
      <c r="AO9" s="4">
        <f>'Commercial-Cooling'!AO9*Conversion!$B$3</f>
        <v>0</v>
      </c>
      <c r="AP9" s="4">
        <f>'Commercial-Cooling'!AP9*Conversion!$B$3</f>
        <v>0</v>
      </c>
      <c r="AQ9" s="4">
        <f>'Commercial-Cooling'!AQ9*Conversion!$B$3</f>
        <v>0</v>
      </c>
    </row>
    <row r="10" spans="1:43" x14ac:dyDescent="0.2">
      <c r="A10" s="1" t="s">
        <v>20</v>
      </c>
      <c r="B10" s="4">
        <f>'Commercial-Cooling'!B10*Conversion!$B$3</f>
        <v>0</v>
      </c>
      <c r="C10" s="4">
        <f>'Commercial-Cooling'!C10*Conversion!$B$3</f>
        <v>0</v>
      </c>
      <c r="D10" s="4">
        <f>'Commercial-Cooling'!D10*Conversion!$B$3</f>
        <v>0</v>
      </c>
      <c r="E10" s="4">
        <f>'Commercial-Cooling'!E10*Conversion!$B$3</f>
        <v>0</v>
      </c>
      <c r="F10" s="4">
        <f>'Commercial-Cooling'!F10*Conversion!$B$3</f>
        <v>0</v>
      </c>
      <c r="G10" s="4">
        <f>'Commercial-Cooling'!G10*Conversion!$B$3</f>
        <v>0</v>
      </c>
      <c r="H10" s="4">
        <f>'Commercial-Cooling'!H10*Conversion!$B$3</f>
        <v>0</v>
      </c>
      <c r="I10" s="4">
        <f>'Commercial-Cooling'!I10*Conversion!$B$3</f>
        <v>0</v>
      </c>
      <c r="J10" s="4">
        <f>'Commercial-Cooling'!J10*Conversion!$B$3</f>
        <v>0</v>
      </c>
      <c r="K10" s="4">
        <f>'Commercial-Cooling'!K10*Conversion!$B$3</f>
        <v>0</v>
      </c>
      <c r="L10" s="4">
        <f>'Commercial-Cooling'!L10*Conversion!$B$3</f>
        <v>0</v>
      </c>
      <c r="M10" s="4">
        <f>'Commercial-Cooling'!M10*Conversion!$B$3</f>
        <v>0</v>
      </c>
      <c r="N10" s="4">
        <f>'Commercial-Cooling'!N10*Conversion!$B$3</f>
        <v>0</v>
      </c>
      <c r="O10" s="4">
        <f>'Commercial-Cooling'!O10*Conversion!$B$3</f>
        <v>0</v>
      </c>
      <c r="P10" s="4">
        <f>'Commercial-Cooling'!P10*Conversion!$B$3</f>
        <v>0</v>
      </c>
      <c r="Q10" s="4">
        <f>'Commercial-Cooling'!Q10*Conversion!$B$3</f>
        <v>0</v>
      </c>
      <c r="R10" s="4">
        <f>'Commercial-Cooling'!R10*Conversion!$B$3</f>
        <v>0</v>
      </c>
      <c r="S10" s="4">
        <f>'Commercial-Cooling'!S10*Conversion!$B$3</f>
        <v>0</v>
      </c>
      <c r="T10" s="4">
        <f>'Commercial-Cooling'!T10*Conversion!$B$3</f>
        <v>0</v>
      </c>
      <c r="U10" s="4">
        <f>'Commercial-Cooling'!U10*Conversion!$B$3</f>
        <v>0</v>
      </c>
      <c r="V10" s="4">
        <f>'Commercial-Cooling'!V10*Conversion!$B$3</f>
        <v>0</v>
      </c>
      <c r="W10" s="4">
        <f>'Commercial-Cooling'!W10*Conversion!$B$3</f>
        <v>0</v>
      </c>
      <c r="X10" s="4">
        <f>'Commercial-Cooling'!X10*Conversion!$B$3</f>
        <v>0</v>
      </c>
      <c r="Y10" s="4">
        <f>'Commercial-Cooling'!Y10*Conversion!$B$3</f>
        <v>0</v>
      </c>
      <c r="Z10" s="4">
        <f>'Commercial-Cooling'!Z10*Conversion!$B$3</f>
        <v>0</v>
      </c>
      <c r="AA10" s="4">
        <f>'Commercial-Cooling'!AA10*Conversion!$B$3</f>
        <v>0</v>
      </c>
      <c r="AB10" s="4">
        <f>'Commercial-Cooling'!AB10*Conversion!$B$3</f>
        <v>0</v>
      </c>
      <c r="AC10" s="4">
        <f>'Commercial-Cooling'!AC10*Conversion!$B$3</f>
        <v>0</v>
      </c>
      <c r="AD10" s="4">
        <f>'Commercial-Cooling'!AD10*Conversion!$B$3</f>
        <v>0</v>
      </c>
      <c r="AE10" s="4">
        <f>'Commercial-Cooling'!AE10*Conversion!$B$3</f>
        <v>0</v>
      </c>
      <c r="AF10" s="4">
        <f>'Commercial-Cooling'!AF10*Conversion!$B$3</f>
        <v>0</v>
      </c>
      <c r="AG10" s="4">
        <f>'Commercial-Cooling'!AG10*Conversion!$B$3</f>
        <v>0</v>
      </c>
      <c r="AH10" s="4">
        <f>'Commercial-Cooling'!AH10*Conversion!$B$3</f>
        <v>0</v>
      </c>
      <c r="AI10" s="4">
        <f>'Commercial-Cooling'!AI10*Conversion!$B$3</f>
        <v>0</v>
      </c>
      <c r="AJ10" s="4">
        <f>'Commercial-Cooling'!AJ10*Conversion!$B$3</f>
        <v>0</v>
      </c>
      <c r="AK10" s="4">
        <f>'Commercial-Cooling'!AK10*Conversion!$B$3</f>
        <v>0</v>
      </c>
      <c r="AL10" s="4">
        <f>'Commercial-Cooling'!AL10*Conversion!$B$3</f>
        <v>0</v>
      </c>
      <c r="AM10" s="4">
        <f>'Commercial-Cooling'!AM10*Conversion!$B$3</f>
        <v>0</v>
      </c>
      <c r="AN10" s="4">
        <f>'Commercial-Cooling'!AN10*Conversion!$B$3</f>
        <v>0</v>
      </c>
      <c r="AO10" s="4">
        <f>'Commercial-Cooling'!AO10*Conversion!$B$3</f>
        <v>0</v>
      </c>
      <c r="AP10" s="4">
        <f>'Commercial-Cooling'!AP10*Conversion!$B$3</f>
        <v>0</v>
      </c>
      <c r="AQ10" s="4">
        <f>'Commercial-Cooling'!AQ10*Conversion!$B$3</f>
        <v>0</v>
      </c>
    </row>
    <row r="11" spans="1:43" x14ac:dyDescent="0.2">
      <c r="A11" s="1" t="s">
        <v>21</v>
      </c>
      <c r="B11" s="4">
        <f>'Commercial-Cooling'!B11*Conversion!$B$3</f>
        <v>0</v>
      </c>
      <c r="C11" s="4">
        <f>'Commercial-Cooling'!C11*Conversion!$B$3</f>
        <v>0</v>
      </c>
      <c r="D11" s="4">
        <f>'Commercial-Cooling'!D11*Conversion!$B$3</f>
        <v>0</v>
      </c>
      <c r="E11" s="4">
        <f>'Commercial-Cooling'!E11*Conversion!$B$3</f>
        <v>0</v>
      </c>
      <c r="F11" s="4">
        <f>'Commercial-Cooling'!F11*Conversion!$B$3</f>
        <v>0</v>
      </c>
      <c r="G11" s="4">
        <f>'Commercial-Cooling'!G11*Conversion!$B$3</f>
        <v>0</v>
      </c>
      <c r="H11" s="4">
        <f>'Commercial-Cooling'!H11*Conversion!$B$3</f>
        <v>0</v>
      </c>
      <c r="I11" s="4">
        <f>'Commercial-Cooling'!I11*Conversion!$B$3</f>
        <v>0</v>
      </c>
      <c r="J11" s="4">
        <f>'Commercial-Cooling'!J11*Conversion!$B$3</f>
        <v>0</v>
      </c>
      <c r="K11" s="4">
        <f>'Commercial-Cooling'!K11*Conversion!$B$3</f>
        <v>0</v>
      </c>
      <c r="L11" s="4">
        <f>'Commercial-Cooling'!L11*Conversion!$B$3</f>
        <v>0</v>
      </c>
      <c r="M11" s="4">
        <f>'Commercial-Cooling'!M11*Conversion!$B$3</f>
        <v>0</v>
      </c>
      <c r="N11" s="4">
        <f>'Commercial-Cooling'!N11*Conversion!$B$3</f>
        <v>0</v>
      </c>
      <c r="O11" s="4">
        <f>'Commercial-Cooling'!O11*Conversion!$B$3</f>
        <v>0</v>
      </c>
      <c r="P11" s="4">
        <f>'Commercial-Cooling'!P11*Conversion!$B$3</f>
        <v>0</v>
      </c>
      <c r="Q11" s="4">
        <f>'Commercial-Cooling'!Q11*Conversion!$B$3</f>
        <v>0</v>
      </c>
      <c r="R11" s="4">
        <f>'Commercial-Cooling'!R11*Conversion!$B$3</f>
        <v>0</v>
      </c>
      <c r="S11" s="4">
        <f>'Commercial-Cooling'!S11*Conversion!$B$3</f>
        <v>0</v>
      </c>
      <c r="T11" s="4">
        <f>'Commercial-Cooling'!T11*Conversion!$B$3</f>
        <v>0</v>
      </c>
      <c r="U11" s="4">
        <f>'Commercial-Cooling'!U11*Conversion!$B$3</f>
        <v>0</v>
      </c>
      <c r="V11" s="4">
        <f>'Commercial-Cooling'!V11*Conversion!$B$3</f>
        <v>0</v>
      </c>
      <c r="W11" s="4">
        <f>'Commercial-Cooling'!W11*Conversion!$B$3</f>
        <v>0</v>
      </c>
      <c r="X11" s="4">
        <f>'Commercial-Cooling'!X11*Conversion!$B$3</f>
        <v>0</v>
      </c>
      <c r="Y11" s="4">
        <f>'Commercial-Cooling'!Y11*Conversion!$B$3</f>
        <v>0</v>
      </c>
      <c r="Z11" s="4">
        <f>'Commercial-Cooling'!Z11*Conversion!$B$3</f>
        <v>0</v>
      </c>
      <c r="AA11" s="4">
        <f>'Commercial-Cooling'!AA11*Conversion!$B$3</f>
        <v>0</v>
      </c>
      <c r="AB11" s="4">
        <f>'Commercial-Cooling'!AB11*Conversion!$B$3</f>
        <v>0</v>
      </c>
      <c r="AC11" s="4">
        <f>'Commercial-Cooling'!AC11*Conversion!$B$3</f>
        <v>0</v>
      </c>
      <c r="AD11" s="4">
        <f>'Commercial-Cooling'!AD11*Conversion!$B$3</f>
        <v>0</v>
      </c>
      <c r="AE11" s="4">
        <f>'Commercial-Cooling'!AE11*Conversion!$B$3</f>
        <v>0</v>
      </c>
      <c r="AF11" s="4">
        <f>'Commercial-Cooling'!AF11*Conversion!$B$3</f>
        <v>0</v>
      </c>
      <c r="AG11" s="4">
        <f>'Commercial-Cooling'!AG11*Conversion!$B$3</f>
        <v>0</v>
      </c>
      <c r="AH11" s="4">
        <f>'Commercial-Cooling'!AH11*Conversion!$B$3</f>
        <v>0</v>
      </c>
      <c r="AI11" s="4">
        <f>'Commercial-Cooling'!AI11*Conversion!$B$3</f>
        <v>0</v>
      </c>
      <c r="AJ11" s="4">
        <f>'Commercial-Cooling'!AJ11*Conversion!$B$3</f>
        <v>0</v>
      </c>
      <c r="AK11" s="4">
        <f>'Commercial-Cooling'!AK11*Conversion!$B$3</f>
        <v>0</v>
      </c>
      <c r="AL11" s="4">
        <f>'Commercial-Cooling'!AL11*Conversion!$B$3</f>
        <v>0</v>
      </c>
      <c r="AM11" s="4">
        <f>'Commercial-Cooling'!AM11*Conversion!$B$3</f>
        <v>0</v>
      </c>
      <c r="AN11" s="4">
        <f>'Commercial-Cooling'!AN11*Conversion!$B$3</f>
        <v>0</v>
      </c>
      <c r="AO11" s="4">
        <f>'Commercial-Cooling'!AO11*Conversion!$B$3</f>
        <v>0</v>
      </c>
      <c r="AP11" s="4">
        <f>'Commercial-Cooling'!AP11*Conversion!$B$3</f>
        <v>0</v>
      </c>
      <c r="AQ11" s="4">
        <f>'Commercial-Cooling'!AQ11*Conversion!$B$3</f>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DD4EE-D7B5-9E4D-B3AC-59891EED6742}">
  <sheetPr>
    <tabColor theme="3" tint="0.249977111117893"/>
  </sheetPr>
  <dimension ref="A1:AQ11"/>
  <sheetViews>
    <sheetView workbookViewId="0">
      <selection activeCell="I2" sqref="I2"/>
    </sheetView>
  </sheetViews>
  <sheetFormatPr baseColWidth="10" defaultRowHeight="16" x14ac:dyDescent="0.2"/>
  <sheetData>
    <row r="1" spans="1:4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row>
    <row r="2" spans="1:43" x14ac:dyDescent="0.2">
      <c r="A2" s="1" t="s">
        <v>12</v>
      </c>
      <c r="B2" s="15">
        <f>'Commercial-Lighting'!B2*Conversion!$B$3</f>
        <v>54687646191006.258</v>
      </c>
      <c r="C2" s="15">
        <f>'Commercial-Lighting'!C2*Conversion!$B$3</f>
        <v>56047978889224.055</v>
      </c>
      <c r="D2" s="15">
        <f>'Commercial-Lighting'!D2*Conversion!$B$3</f>
        <v>57408311587441.852</v>
      </c>
      <c r="E2" s="15">
        <f>'Commercial-Lighting'!E2*Conversion!$B$3</f>
        <v>58766364067064.867</v>
      </c>
      <c r="F2" s="15">
        <f>'Commercial-Lighting'!F2*Conversion!$B$3</f>
        <v>60443438751677.352</v>
      </c>
      <c r="G2" s="15">
        <f>'Commercial-Lighting'!G2*Conversion!$B$3</f>
        <v>61493519351646.453</v>
      </c>
      <c r="H2" s="15">
        <f>'Commercial-Lighting'!H2*Conversion!$B$3</f>
        <v>62589296343886.539</v>
      </c>
      <c r="I2" s="15">
        <f>'Commercial-Lighting'!I2*Conversion!$B$3</f>
        <v>63994315598020.477</v>
      </c>
      <c r="J2" s="15">
        <f>'Commercial-Lighting'!J2*Conversion!$B$3</f>
        <v>65451694069525.023</v>
      </c>
      <c r="K2" s="15">
        <f>'Commercial-Lighting'!K2*Conversion!$B$3</f>
        <v>66964373052271.453</v>
      </c>
      <c r="L2" s="15">
        <f>'Commercial-Lighting'!L2*Conversion!$B$3</f>
        <v>68535468601288.141</v>
      </c>
      <c r="M2" s="15">
        <f>'Commercial-Lighting'!M2*Conversion!$B$3</f>
        <v>70168282078417.742</v>
      </c>
      <c r="N2" s="15">
        <f>'Commercial-Lighting'!N2*Conversion!$B$3</f>
        <v>71798798086379.562</v>
      </c>
      <c r="O2" s="15">
        <f>'Commercial-Lighting'!O2*Conversion!$B$3</f>
        <v>73497912635297.781</v>
      </c>
      <c r="P2" s="15">
        <f>'Commercial-Lighting'!P2*Conversion!$B$3</f>
        <v>75269552936264.266</v>
      </c>
      <c r="Q2" s="15">
        <f>'Commercial-Lighting'!Q2*Conversion!$B$3</f>
        <v>77117880554648.391</v>
      </c>
      <c r="R2" s="15">
        <f>'Commercial-Lighting'!R2*Conversion!$B$3</f>
        <v>79047305607456.781</v>
      </c>
      <c r="S2" s="15">
        <f>'Commercial-Lighting'!S2*Conversion!$B$3</f>
        <v>80993390049421.922</v>
      </c>
      <c r="T2" s="15">
        <f>'Commercial-Lighting'!T2*Conversion!$B$3</f>
        <v>83029871797134.5</v>
      </c>
      <c r="U2" s="15">
        <f>'Commercial-Lighting'!U2*Conversion!$B$3</f>
        <v>85162000797817.031</v>
      </c>
      <c r="V2" s="15">
        <f>'Commercial-Lighting'!V2*Conversion!$B$3</f>
        <v>87395341615450</v>
      </c>
      <c r="W2" s="15">
        <f>'Commercial-Lighting'!W2*Conversion!$B$3</f>
        <v>89735792563162.594</v>
      </c>
      <c r="X2" s="15">
        <f>'Commercial-Lighting'!X2*Conversion!$B$3</f>
        <v>92121211186208.828</v>
      </c>
      <c r="Y2" s="15">
        <f>'Commercial-Lighting'!Y2*Conversion!$B$3</f>
        <v>94626300272110.406</v>
      </c>
      <c r="Z2" s="15">
        <f>'Commercial-Lighting'!Z2*Conversion!$B$3</f>
        <v>97258086333710.203</v>
      </c>
      <c r="AA2" s="15">
        <f>'Commercial-Lighting'!AA2*Conversion!$B$3</f>
        <v>100024018706343.78</v>
      </c>
      <c r="AB2" s="15">
        <f>'Commercial-Lighting'!AB2*Conversion!$B$3</f>
        <v>102931995355179.12</v>
      </c>
      <c r="AC2" s="15">
        <f>'Commercial-Lighting'!AC2*Conversion!$B$3</f>
        <v>105924000247409.77</v>
      </c>
      <c r="AD2" s="15">
        <f>'Commercial-Lighting'!AD2*Conversion!$B$3</f>
        <v>109074995475214.55</v>
      </c>
      <c r="AE2" s="15">
        <f>'Commercial-Lighting'!AE2*Conversion!$B$3</f>
        <v>112394396190739.19</v>
      </c>
      <c r="AF2" s="15">
        <f>'Commercial-Lighting'!AF2*Conversion!$B$3</f>
        <v>115892186382378.22</v>
      </c>
      <c r="AG2" s="15">
        <f>'Commercial-Lighting'!AG2*Conversion!$B$3</f>
        <v>119578953717653.42</v>
      </c>
      <c r="AH2" s="15">
        <f>'Commercial-Lighting'!AH2*Conversion!$B$3</f>
        <v>123303431364666.81</v>
      </c>
      <c r="AI2" s="15">
        <f>'Commercial-Lighting'!AI2*Conversion!$B$3</f>
        <v>127239279860079.66</v>
      </c>
      <c r="AJ2" s="15">
        <f>'Commercial-Lighting'!AJ2*Conversion!$B$3</f>
        <v>131399129249981.7</v>
      </c>
      <c r="AK2" s="15">
        <f>'Commercial-Lighting'!AK2*Conversion!$B$3</f>
        <v>135796375626035.17</v>
      </c>
      <c r="AL2" s="15">
        <f>'Commercial-Lighting'!AL2*Conversion!$B$3</f>
        <v>140445228208669.78</v>
      </c>
      <c r="AM2" s="15">
        <f>'Commercial-Lighting'!AM2*Conversion!$B$3</f>
        <v>145360759357520.38</v>
      </c>
      <c r="AN2" s="15">
        <f>'Commercial-Lighting'!AN2*Conversion!$B$3</f>
        <v>150558957692871.91</v>
      </c>
      <c r="AO2" s="15">
        <f>'Commercial-Lighting'!AO2*Conversion!$B$3</f>
        <v>156056784523505.22</v>
      </c>
      <c r="AP2" s="15">
        <f>'Commercial-Lighting'!AP2*Conversion!$B$3</f>
        <v>161872233788706.38</v>
      </c>
      <c r="AQ2" s="15">
        <f>'Commercial-Lighting'!AQ2*Conversion!$B$3</f>
        <v>168024395735362.56</v>
      </c>
    </row>
    <row r="3" spans="1:43" x14ac:dyDescent="0.2">
      <c r="A3" s="1" t="s">
        <v>13</v>
      </c>
      <c r="B3" s="15">
        <f>'Commercial-Lighting'!B3*Conversion!$B$3</f>
        <v>0</v>
      </c>
      <c r="C3" s="15">
        <f>'Commercial-Lighting'!C3*Conversion!$B$3</f>
        <v>0</v>
      </c>
      <c r="D3" s="15">
        <f>'Commercial-Lighting'!D3*Conversion!$B$3</f>
        <v>0</v>
      </c>
      <c r="E3" s="15">
        <f>'Commercial-Lighting'!E3*Conversion!$B$3</f>
        <v>0</v>
      </c>
      <c r="F3" s="15">
        <f>'Commercial-Lighting'!F3*Conversion!$B$3</f>
        <v>0</v>
      </c>
      <c r="G3" s="15">
        <f>'Commercial-Lighting'!G3*Conversion!$B$3</f>
        <v>0</v>
      </c>
      <c r="H3" s="15">
        <f>'Commercial-Lighting'!H3*Conversion!$B$3</f>
        <v>0</v>
      </c>
      <c r="I3" s="15">
        <f>'Commercial-Lighting'!I3*Conversion!$B$3</f>
        <v>0</v>
      </c>
      <c r="J3" s="15">
        <f>'Commercial-Lighting'!J3*Conversion!$B$3</f>
        <v>0</v>
      </c>
      <c r="K3" s="15">
        <f>'Commercial-Lighting'!K3*Conversion!$B$3</f>
        <v>0</v>
      </c>
      <c r="L3" s="15">
        <f>'Commercial-Lighting'!L3*Conversion!$B$3</f>
        <v>0</v>
      </c>
      <c r="M3" s="15">
        <f>'Commercial-Lighting'!M3*Conversion!$B$3</f>
        <v>0</v>
      </c>
      <c r="N3" s="15">
        <f>'Commercial-Lighting'!N3*Conversion!$B$3</f>
        <v>0</v>
      </c>
      <c r="O3" s="15">
        <f>'Commercial-Lighting'!O3*Conversion!$B$3</f>
        <v>0</v>
      </c>
      <c r="P3" s="15">
        <f>'Commercial-Lighting'!P3*Conversion!$B$3</f>
        <v>0</v>
      </c>
      <c r="Q3" s="15">
        <f>'Commercial-Lighting'!Q3*Conversion!$B$3</f>
        <v>0</v>
      </c>
      <c r="R3" s="15">
        <f>'Commercial-Lighting'!R3*Conversion!$B$3</f>
        <v>0</v>
      </c>
      <c r="S3" s="15">
        <f>'Commercial-Lighting'!S3*Conversion!$B$3</f>
        <v>0</v>
      </c>
      <c r="T3" s="15">
        <f>'Commercial-Lighting'!T3*Conversion!$B$3</f>
        <v>0</v>
      </c>
      <c r="U3" s="15">
        <f>'Commercial-Lighting'!U3*Conversion!$B$3</f>
        <v>0</v>
      </c>
      <c r="V3" s="15">
        <f>'Commercial-Lighting'!V3*Conversion!$B$3</f>
        <v>0</v>
      </c>
      <c r="W3" s="15">
        <f>'Commercial-Lighting'!W3*Conversion!$B$3</f>
        <v>0</v>
      </c>
      <c r="X3" s="15">
        <f>'Commercial-Lighting'!X3*Conversion!$B$3</f>
        <v>0</v>
      </c>
      <c r="Y3" s="15">
        <f>'Commercial-Lighting'!Y3*Conversion!$B$3</f>
        <v>0</v>
      </c>
      <c r="Z3" s="15">
        <f>'Commercial-Lighting'!Z3*Conversion!$B$3</f>
        <v>0</v>
      </c>
      <c r="AA3" s="15">
        <f>'Commercial-Lighting'!AA3*Conversion!$B$3</f>
        <v>0</v>
      </c>
      <c r="AB3" s="15">
        <f>'Commercial-Lighting'!AB3*Conversion!$B$3</f>
        <v>0</v>
      </c>
      <c r="AC3" s="15">
        <f>'Commercial-Lighting'!AC3*Conversion!$B$3</f>
        <v>0</v>
      </c>
      <c r="AD3" s="15">
        <f>'Commercial-Lighting'!AD3*Conversion!$B$3</f>
        <v>0</v>
      </c>
      <c r="AE3" s="15">
        <f>'Commercial-Lighting'!AE3*Conversion!$B$3</f>
        <v>0</v>
      </c>
      <c r="AF3" s="15">
        <f>'Commercial-Lighting'!AF3*Conversion!$B$3</f>
        <v>0</v>
      </c>
      <c r="AG3" s="15">
        <f>'Commercial-Lighting'!AG3*Conversion!$B$3</f>
        <v>0</v>
      </c>
      <c r="AH3" s="15">
        <f>'Commercial-Lighting'!AH3*Conversion!$B$3</f>
        <v>0</v>
      </c>
      <c r="AI3" s="15">
        <f>'Commercial-Lighting'!AI3*Conversion!$B$3</f>
        <v>0</v>
      </c>
      <c r="AJ3" s="15">
        <f>'Commercial-Lighting'!AJ3*Conversion!$B$3</f>
        <v>0</v>
      </c>
      <c r="AK3" s="15">
        <f>'Commercial-Lighting'!AK3*Conversion!$B$3</f>
        <v>0</v>
      </c>
      <c r="AL3" s="15">
        <f>'Commercial-Lighting'!AL3*Conversion!$B$3</f>
        <v>0</v>
      </c>
      <c r="AM3" s="15">
        <f>'Commercial-Lighting'!AM3*Conversion!$B$3</f>
        <v>0</v>
      </c>
      <c r="AN3" s="15">
        <f>'Commercial-Lighting'!AN3*Conversion!$B$3</f>
        <v>0</v>
      </c>
      <c r="AO3" s="15">
        <f>'Commercial-Lighting'!AO3*Conversion!$B$3</f>
        <v>0</v>
      </c>
      <c r="AP3" s="15">
        <f>'Commercial-Lighting'!AP3*Conversion!$B$3</f>
        <v>0</v>
      </c>
      <c r="AQ3" s="15">
        <f>'Commercial-Lighting'!AQ3*Conversion!$B$3</f>
        <v>0</v>
      </c>
    </row>
    <row r="4" spans="1:43" x14ac:dyDescent="0.2">
      <c r="A4" s="1" t="s">
        <v>14</v>
      </c>
      <c r="B4" s="15">
        <f>'Commercial-Lighting'!B4*Conversion!$B$3</f>
        <v>0</v>
      </c>
      <c r="C4" s="15">
        <f>'Commercial-Lighting'!C4*Conversion!$B$3</f>
        <v>0</v>
      </c>
      <c r="D4" s="15">
        <f>'Commercial-Lighting'!D4*Conversion!$B$3</f>
        <v>0</v>
      </c>
      <c r="E4" s="15">
        <f>'Commercial-Lighting'!E4*Conversion!$B$3</f>
        <v>0</v>
      </c>
      <c r="F4" s="15">
        <f>'Commercial-Lighting'!F4*Conversion!$B$3</f>
        <v>0</v>
      </c>
      <c r="G4" s="15">
        <f>'Commercial-Lighting'!G4*Conversion!$B$3</f>
        <v>0</v>
      </c>
      <c r="H4" s="15">
        <f>'Commercial-Lighting'!H4*Conversion!$B$3</f>
        <v>0</v>
      </c>
      <c r="I4" s="15">
        <f>'Commercial-Lighting'!I4*Conversion!$B$3</f>
        <v>0</v>
      </c>
      <c r="J4" s="15">
        <f>'Commercial-Lighting'!J4*Conversion!$B$3</f>
        <v>0</v>
      </c>
      <c r="K4" s="15">
        <f>'Commercial-Lighting'!K4*Conversion!$B$3</f>
        <v>0</v>
      </c>
      <c r="L4" s="15">
        <f>'Commercial-Lighting'!L4*Conversion!$B$3</f>
        <v>0</v>
      </c>
      <c r="M4" s="15">
        <f>'Commercial-Lighting'!M4*Conversion!$B$3</f>
        <v>0</v>
      </c>
      <c r="N4" s="15">
        <f>'Commercial-Lighting'!N4*Conversion!$B$3</f>
        <v>0</v>
      </c>
      <c r="O4" s="15">
        <f>'Commercial-Lighting'!O4*Conversion!$B$3</f>
        <v>0</v>
      </c>
      <c r="P4" s="15">
        <f>'Commercial-Lighting'!P4*Conversion!$B$3</f>
        <v>0</v>
      </c>
      <c r="Q4" s="15">
        <f>'Commercial-Lighting'!Q4*Conversion!$B$3</f>
        <v>0</v>
      </c>
      <c r="R4" s="15">
        <f>'Commercial-Lighting'!R4*Conversion!$B$3</f>
        <v>0</v>
      </c>
      <c r="S4" s="15">
        <f>'Commercial-Lighting'!S4*Conversion!$B$3</f>
        <v>0</v>
      </c>
      <c r="T4" s="15">
        <f>'Commercial-Lighting'!T4*Conversion!$B$3</f>
        <v>0</v>
      </c>
      <c r="U4" s="15">
        <f>'Commercial-Lighting'!U4*Conversion!$B$3</f>
        <v>0</v>
      </c>
      <c r="V4" s="15">
        <f>'Commercial-Lighting'!V4*Conversion!$B$3</f>
        <v>0</v>
      </c>
      <c r="W4" s="15">
        <f>'Commercial-Lighting'!W4*Conversion!$B$3</f>
        <v>0</v>
      </c>
      <c r="X4" s="15">
        <f>'Commercial-Lighting'!X4*Conversion!$B$3</f>
        <v>0</v>
      </c>
      <c r="Y4" s="15">
        <f>'Commercial-Lighting'!Y4*Conversion!$B$3</f>
        <v>0</v>
      </c>
      <c r="Z4" s="15">
        <f>'Commercial-Lighting'!Z4*Conversion!$B$3</f>
        <v>0</v>
      </c>
      <c r="AA4" s="15">
        <f>'Commercial-Lighting'!AA4*Conversion!$B$3</f>
        <v>0</v>
      </c>
      <c r="AB4" s="15">
        <f>'Commercial-Lighting'!AB4*Conversion!$B$3</f>
        <v>0</v>
      </c>
      <c r="AC4" s="15">
        <f>'Commercial-Lighting'!AC4*Conversion!$B$3</f>
        <v>0</v>
      </c>
      <c r="AD4" s="15">
        <f>'Commercial-Lighting'!AD4*Conversion!$B$3</f>
        <v>0</v>
      </c>
      <c r="AE4" s="15">
        <f>'Commercial-Lighting'!AE4*Conversion!$B$3</f>
        <v>0</v>
      </c>
      <c r="AF4" s="15">
        <f>'Commercial-Lighting'!AF4*Conversion!$B$3</f>
        <v>0</v>
      </c>
      <c r="AG4" s="15">
        <f>'Commercial-Lighting'!AG4*Conversion!$B$3</f>
        <v>0</v>
      </c>
      <c r="AH4" s="15">
        <f>'Commercial-Lighting'!AH4*Conversion!$B$3</f>
        <v>0</v>
      </c>
      <c r="AI4" s="15">
        <f>'Commercial-Lighting'!AI4*Conversion!$B$3</f>
        <v>0</v>
      </c>
      <c r="AJ4" s="15">
        <f>'Commercial-Lighting'!AJ4*Conversion!$B$3</f>
        <v>0</v>
      </c>
      <c r="AK4" s="15">
        <f>'Commercial-Lighting'!AK4*Conversion!$B$3</f>
        <v>0</v>
      </c>
      <c r="AL4" s="15">
        <f>'Commercial-Lighting'!AL4*Conversion!$B$3</f>
        <v>0</v>
      </c>
      <c r="AM4" s="15">
        <f>'Commercial-Lighting'!AM4*Conversion!$B$3</f>
        <v>0</v>
      </c>
      <c r="AN4" s="15">
        <f>'Commercial-Lighting'!AN4*Conversion!$B$3</f>
        <v>0</v>
      </c>
      <c r="AO4" s="15">
        <f>'Commercial-Lighting'!AO4*Conversion!$B$3</f>
        <v>0</v>
      </c>
      <c r="AP4" s="15">
        <f>'Commercial-Lighting'!AP4*Conversion!$B$3</f>
        <v>0</v>
      </c>
      <c r="AQ4" s="15">
        <f>'Commercial-Lighting'!AQ4*Conversion!$B$3</f>
        <v>0</v>
      </c>
    </row>
    <row r="5" spans="1:43" x14ac:dyDescent="0.2">
      <c r="A5" s="1" t="s">
        <v>15</v>
      </c>
      <c r="B5" s="15">
        <f>'Commercial-Lighting'!B5*Conversion!$B$3</f>
        <v>0</v>
      </c>
      <c r="C5" s="15">
        <f>'Commercial-Lighting'!C5*Conversion!$B$3</f>
        <v>0</v>
      </c>
      <c r="D5" s="15">
        <f>'Commercial-Lighting'!D5*Conversion!$B$3</f>
        <v>0</v>
      </c>
      <c r="E5" s="15">
        <f>'Commercial-Lighting'!E5*Conversion!$B$3</f>
        <v>0</v>
      </c>
      <c r="F5" s="15">
        <f>'Commercial-Lighting'!F5*Conversion!$B$3</f>
        <v>0</v>
      </c>
      <c r="G5" s="15">
        <f>'Commercial-Lighting'!G5*Conversion!$B$3</f>
        <v>0</v>
      </c>
      <c r="H5" s="15">
        <f>'Commercial-Lighting'!H5*Conversion!$B$3</f>
        <v>0</v>
      </c>
      <c r="I5" s="15">
        <f>'Commercial-Lighting'!I5*Conversion!$B$3</f>
        <v>0</v>
      </c>
      <c r="J5" s="15">
        <f>'Commercial-Lighting'!J5*Conversion!$B$3</f>
        <v>0</v>
      </c>
      <c r="K5" s="15">
        <f>'Commercial-Lighting'!K5*Conversion!$B$3</f>
        <v>0</v>
      </c>
      <c r="L5" s="15">
        <f>'Commercial-Lighting'!L5*Conversion!$B$3</f>
        <v>0</v>
      </c>
      <c r="M5" s="15">
        <f>'Commercial-Lighting'!M5*Conversion!$B$3</f>
        <v>0</v>
      </c>
      <c r="N5" s="15">
        <f>'Commercial-Lighting'!N5*Conversion!$B$3</f>
        <v>0</v>
      </c>
      <c r="O5" s="15">
        <f>'Commercial-Lighting'!O5*Conversion!$B$3</f>
        <v>0</v>
      </c>
      <c r="P5" s="15">
        <f>'Commercial-Lighting'!P5*Conversion!$B$3</f>
        <v>0</v>
      </c>
      <c r="Q5" s="15">
        <f>'Commercial-Lighting'!Q5*Conversion!$B$3</f>
        <v>0</v>
      </c>
      <c r="R5" s="15">
        <f>'Commercial-Lighting'!R5*Conversion!$B$3</f>
        <v>0</v>
      </c>
      <c r="S5" s="15">
        <f>'Commercial-Lighting'!S5*Conversion!$B$3</f>
        <v>0</v>
      </c>
      <c r="T5" s="15">
        <f>'Commercial-Lighting'!T5*Conversion!$B$3</f>
        <v>0</v>
      </c>
      <c r="U5" s="15">
        <f>'Commercial-Lighting'!U5*Conversion!$B$3</f>
        <v>0</v>
      </c>
      <c r="V5" s="15">
        <f>'Commercial-Lighting'!V5*Conversion!$B$3</f>
        <v>0</v>
      </c>
      <c r="W5" s="15">
        <f>'Commercial-Lighting'!W5*Conversion!$B$3</f>
        <v>0</v>
      </c>
      <c r="X5" s="15">
        <f>'Commercial-Lighting'!X5*Conversion!$B$3</f>
        <v>0</v>
      </c>
      <c r="Y5" s="15">
        <f>'Commercial-Lighting'!Y5*Conversion!$B$3</f>
        <v>0</v>
      </c>
      <c r="Z5" s="15">
        <f>'Commercial-Lighting'!Z5*Conversion!$B$3</f>
        <v>0</v>
      </c>
      <c r="AA5" s="15">
        <f>'Commercial-Lighting'!AA5*Conversion!$B$3</f>
        <v>0</v>
      </c>
      <c r="AB5" s="15">
        <f>'Commercial-Lighting'!AB5*Conversion!$B$3</f>
        <v>0</v>
      </c>
      <c r="AC5" s="15">
        <f>'Commercial-Lighting'!AC5*Conversion!$B$3</f>
        <v>0</v>
      </c>
      <c r="AD5" s="15">
        <f>'Commercial-Lighting'!AD5*Conversion!$B$3</f>
        <v>0</v>
      </c>
      <c r="AE5" s="15">
        <f>'Commercial-Lighting'!AE5*Conversion!$B$3</f>
        <v>0</v>
      </c>
      <c r="AF5" s="15">
        <f>'Commercial-Lighting'!AF5*Conversion!$B$3</f>
        <v>0</v>
      </c>
      <c r="AG5" s="15">
        <f>'Commercial-Lighting'!AG5*Conversion!$B$3</f>
        <v>0</v>
      </c>
      <c r="AH5" s="15">
        <f>'Commercial-Lighting'!AH5*Conversion!$B$3</f>
        <v>0</v>
      </c>
      <c r="AI5" s="15">
        <f>'Commercial-Lighting'!AI5*Conversion!$B$3</f>
        <v>0</v>
      </c>
      <c r="AJ5" s="15">
        <f>'Commercial-Lighting'!AJ5*Conversion!$B$3</f>
        <v>0</v>
      </c>
      <c r="AK5" s="15">
        <f>'Commercial-Lighting'!AK5*Conversion!$B$3</f>
        <v>0</v>
      </c>
      <c r="AL5" s="15">
        <f>'Commercial-Lighting'!AL5*Conversion!$B$3</f>
        <v>0</v>
      </c>
      <c r="AM5" s="15">
        <f>'Commercial-Lighting'!AM5*Conversion!$B$3</f>
        <v>0</v>
      </c>
      <c r="AN5" s="15">
        <f>'Commercial-Lighting'!AN5*Conversion!$B$3</f>
        <v>0</v>
      </c>
      <c r="AO5" s="15">
        <f>'Commercial-Lighting'!AO5*Conversion!$B$3</f>
        <v>0</v>
      </c>
      <c r="AP5" s="15">
        <f>'Commercial-Lighting'!AP5*Conversion!$B$3</f>
        <v>0</v>
      </c>
      <c r="AQ5" s="15">
        <f>'Commercial-Lighting'!AQ5*Conversion!$B$3</f>
        <v>0</v>
      </c>
    </row>
    <row r="6" spans="1:43" x14ac:dyDescent="0.2">
      <c r="A6" s="1" t="s">
        <v>16</v>
      </c>
      <c r="B6" s="15">
        <f>'Commercial-Lighting'!B6*Conversion!$B$3</f>
        <v>0</v>
      </c>
      <c r="C6" s="15">
        <f>'Commercial-Lighting'!C6*Conversion!$B$3</f>
        <v>0</v>
      </c>
      <c r="D6" s="15">
        <f>'Commercial-Lighting'!D6*Conversion!$B$3</f>
        <v>0</v>
      </c>
      <c r="E6" s="15">
        <f>'Commercial-Lighting'!E6*Conversion!$B$3</f>
        <v>0</v>
      </c>
      <c r="F6" s="15">
        <f>'Commercial-Lighting'!F6*Conversion!$B$3</f>
        <v>0</v>
      </c>
      <c r="G6" s="15">
        <f>'Commercial-Lighting'!G6*Conversion!$B$3</f>
        <v>0</v>
      </c>
      <c r="H6" s="15">
        <f>'Commercial-Lighting'!H6*Conversion!$B$3</f>
        <v>0</v>
      </c>
      <c r="I6" s="15">
        <f>'Commercial-Lighting'!I6*Conversion!$B$3</f>
        <v>0</v>
      </c>
      <c r="J6" s="15">
        <f>'Commercial-Lighting'!J6*Conversion!$B$3</f>
        <v>0</v>
      </c>
      <c r="K6" s="15">
        <f>'Commercial-Lighting'!K6*Conversion!$B$3</f>
        <v>0</v>
      </c>
      <c r="L6" s="15">
        <f>'Commercial-Lighting'!L6*Conversion!$B$3</f>
        <v>0</v>
      </c>
      <c r="M6" s="15">
        <f>'Commercial-Lighting'!M6*Conversion!$B$3</f>
        <v>0</v>
      </c>
      <c r="N6" s="15">
        <f>'Commercial-Lighting'!N6*Conversion!$B$3</f>
        <v>0</v>
      </c>
      <c r="O6" s="15">
        <f>'Commercial-Lighting'!O6*Conversion!$B$3</f>
        <v>0</v>
      </c>
      <c r="P6" s="15">
        <f>'Commercial-Lighting'!P6*Conversion!$B$3</f>
        <v>0</v>
      </c>
      <c r="Q6" s="15">
        <f>'Commercial-Lighting'!Q6*Conversion!$B$3</f>
        <v>0</v>
      </c>
      <c r="R6" s="15">
        <f>'Commercial-Lighting'!R6*Conversion!$B$3</f>
        <v>0</v>
      </c>
      <c r="S6" s="15">
        <f>'Commercial-Lighting'!S6*Conversion!$B$3</f>
        <v>0</v>
      </c>
      <c r="T6" s="15">
        <f>'Commercial-Lighting'!T6*Conversion!$B$3</f>
        <v>0</v>
      </c>
      <c r="U6" s="15">
        <f>'Commercial-Lighting'!U6*Conversion!$B$3</f>
        <v>0</v>
      </c>
      <c r="V6" s="15">
        <f>'Commercial-Lighting'!V6*Conversion!$B$3</f>
        <v>0</v>
      </c>
      <c r="W6" s="15">
        <f>'Commercial-Lighting'!W6*Conversion!$B$3</f>
        <v>0</v>
      </c>
      <c r="X6" s="15">
        <f>'Commercial-Lighting'!X6*Conversion!$B$3</f>
        <v>0</v>
      </c>
      <c r="Y6" s="15">
        <f>'Commercial-Lighting'!Y6*Conversion!$B$3</f>
        <v>0</v>
      </c>
      <c r="Z6" s="15">
        <f>'Commercial-Lighting'!Z6*Conversion!$B$3</f>
        <v>0</v>
      </c>
      <c r="AA6" s="15">
        <f>'Commercial-Lighting'!AA6*Conversion!$B$3</f>
        <v>0</v>
      </c>
      <c r="AB6" s="15">
        <f>'Commercial-Lighting'!AB6*Conversion!$B$3</f>
        <v>0</v>
      </c>
      <c r="AC6" s="15">
        <f>'Commercial-Lighting'!AC6*Conversion!$B$3</f>
        <v>0</v>
      </c>
      <c r="AD6" s="15">
        <f>'Commercial-Lighting'!AD6*Conversion!$B$3</f>
        <v>0</v>
      </c>
      <c r="AE6" s="15">
        <f>'Commercial-Lighting'!AE6*Conversion!$B$3</f>
        <v>0</v>
      </c>
      <c r="AF6" s="15">
        <f>'Commercial-Lighting'!AF6*Conversion!$B$3</f>
        <v>0</v>
      </c>
      <c r="AG6" s="15">
        <f>'Commercial-Lighting'!AG6*Conversion!$B$3</f>
        <v>0</v>
      </c>
      <c r="AH6" s="15">
        <f>'Commercial-Lighting'!AH6*Conversion!$B$3</f>
        <v>0</v>
      </c>
      <c r="AI6" s="15">
        <f>'Commercial-Lighting'!AI6*Conversion!$B$3</f>
        <v>0</v>
      </c>
      <c r="AJ6" s="15">
        <f>'Commercial-Lighting'!AJ6*Conversion!$B$3</f>
        <v>0</v>
      </c>
      <c r="AK6" s="15">
        <f>'Commercial-Lighting'!AK6*Conversion!$B$3</f>
        <v>0</v>
      </c>
      <c r="AL6" s="15">
        <f>'Commercial-Lighting'!AL6*Conversion!$B$3</f>
        <v>0</v>
      </c>
      <c r="AM6" s="15">
        <f>'Commercial-Lighting'!AM6*Conversion!$B$3</f>
        <v>0</v>
      </c>
      <c r="AN6" s="15">
        <f>'Commercial-Lighting'!AN6*Conversion!$B$3</f>
        <v>0</v>
      </c>
      <c r="AO6" s="15">
        <f>'Commercial-Lighting'!AO6*Conversion!$B$3</f>
        <v>0</v>
      </c>
      <c r="AP6" s="15">
        <f>'Commercial-Lighting'!AP6*Conversion!$B$3</f>
        <v>0</v>
      </c>
      <c r="AQ6" s="15">
        <f>'Commercial-Lighting'!AQ6*Conversion!$B$3</f>
        <v>0</v>
      </c>
    </row>
    <row r="7" spans="1:43" x14ac:dyDescent="0.2">
      <c r="A7" s="1" t="s">
        <v>17</v>
      </c>
      <c r="B7" s="15">
        <f>'Commercial-Lighting'!B7*Conversion!$B$3</f>
        <v>0</v>
      </c>
      <c r="C7" s="15">
        <f>'Commercial-Lighting'!C7*Conversion!$B$3</f>
        <v>0</v>
      </c>
      <c r="D7" s="15">
        <f>'Commercial-Lighting'!D7*Conversion!$B$3</f>
        <v>0</v>
      </c>
      <c r="E7" s="15">
        <f>'Commercial-Lighting'!E7*Conversion!$B$3</f>
        <v>0</v>
      </c>
      <c r="F7" s="15">
        <f>'Commercial-Lighting'!F7*Conversion!$B$3</f>
        <v>0</v>
      </c>
      <c r="G7" s="15">
        <f>'Commercial-Lighting'!G7*Conversion!$B$3</f>
        <v>0</v>
      </c>
      <c r="H7" s="15">
        <f>'Commercial-Lighting'!H7*Conversion!$B$3</f>
        <v>0</v>
      </c>
      <c r="I7" s="15">
        <f>'Commercial-Lighting'!I7*Conversion!$B$3</f>
        <v>0</v>
      </c>
      <c r="J7" s="15">
        <f>'Commercial-Lighting'!J7*Conversion!$B$3</f>
        <v>0</v>
      </c>
      <c r="K7" s="15">
        <f>'Commercial-Lighting'!K7*Conversion!$B$3</f>
        <v>0</v>
      </c>
      <c r="L7" s="15">
        <f>'Commercial-Lighting'!L7*Conversion!$B$3</f>
        <v>0</v>
      </c>
      <c r="M7" s="15">
        <f>'Commercial-Lighting'!M7*Conversion!$B$3</f>
        <v>0</v>
      </c>
      <c r="N7" s="15">
        <f>'Commercial-Lighting'!N7*Conversion!$B$3</f>
        <v>0</v>
      </c>
      <c r="O7" s="15">
        <f>'Commercial-Lighting'!O7*Conversion!$B$3</f>
        <v>0</v>
      </c>
      <c r="P7" s="15">
        <f>'Commercial-Lighting'!P7*Conversion!$B$3</f>
        <v>0</v>
      </c>
      <c r="Q7" s="15">
        <f>'Commercial-Lighting'!Q7*Conversion!$B$3</f>
        <v>0</v>
      </c>
      <c r="R7" s="15">
        <f>'Commercial-Lighting'!R7*Conversion!$B$3</f>
        <v>0</v>
      </c>
      <c r="S7" s="15">
        <f>'Commercial-Lighting'!S7*Conversion!$B$3</f>
        <v>0</v>
      </c>
      <c r="T7" s="15">
        <f>'Commercial-Lighting'!T7*Conversion!$B$3</f>
        <v>0</v>
      </c>
      <c r="U7" s="15">
        <f>'Commercial-Lighting'!U7*Conversion!$B$3</f>
        <v>0</v>
      </c>
      <c r="V7" s="15">
        <f>'Commercial-Lighting'!V7*Conversion!$B$3</f>
        <v>0</v>
      </c>
      <c r="W7" s="15">
        <f>'Commercial-Lighting'!W7*Conversion!$B$3</f>
        <v>0</v>
      </c>
      <c r="X7" s="15">
        <f>'Commercial-Lighting'!X7*Conversion!$B$3</f>
        <v>0</v>
      </c>
      <c r="Y7" s="15">
        <f>'Commercial-Lighting'!Y7*Conversion!$B$3</f>
        <v>0</v>
      </c>
      <c r="Z7" s="15">
        <f>'Commercial-Lighting'!Z7*Conversion!$B$3</f>
        <v>0</v>
      </c>
      <c r="AA7" s="15">
        <f>'Commercial-Lighting'!AA7*Conversion!$B$3</f>
        <v>0</v>
      </c>
      <c r="AB7" s="15">
        <f>'Commercial-Lighting'!AB7*Conversion!$B$3</f>
        <v>0</v>
      </c>
      <c r="AC7" s="15">
        <f>'Commercial-Lighting'!AC7*Conversion!$B$3</f>
        <v>0</v>
      </c>
      <c r="AD7" s="15">
        <f>'Commercial-Lighting'!AD7*Conversion!$B$3</f>
        <v>0</v>
      </c>
      <c r="AE7" s="15">
        <f>'Commercial-Lighting'!AE7*Conversion!$B$3</f>
        <v>0</v>
      </c>
      <c r="AF7" s="15">
        <f>'Commercial-Lighting'!AF7*Conversion!$B$3</f>
        <v>0</v>
      </c>
      <c r="AG7" s="15">
        <f>'Commercial-Lighting'!AG7*Conversion!$B$3</f>
        <v>0</v>
      </c>
      <c r="AH7" s="15">
        <f>'Commercial-Lighting'!AH7*Conversion!$B$3</f>
        <v>0</v>
      </c>
      <c r="AI7" s="15">
        <f>'Commercial-Lighting'!AI7*Conversion!$B$3</f>
        <v>0</v>
      </c>
      <c r="AJ7" s="15">
        <f>'Commercial-Lighting'!AJ7*Conversion!$B$3</f>
        <v>0</v>
      </c>
      <c r="AK7" s="15">
        <f>'Commercial-Lighting'!AK7*Conversion!$B$3</f>
        <v>0</v>
      </c>
      <c r="AL7" s="15">
        <f>'Commercial-Lighting'!AL7*Conversion!$B$3</f>
        <v>0</v>
      </c>
      <c r="AM7" s="15">
        <f>'Commercial-Lighting'!AM7*Conversion!$B$3</f>
        <v>0</v>
      </c>
      <c r="AN7" s="15">
        <f>'Commercial-Lighting'!AN7*Conversion!$B$3</f>
        <v>0</v>
      </c>
      <c r="AO7" s="15">
        <f>'Commercial-Lighting'!AO7*Conversion!$B$3</f>
        <v>0</v>
      </c>
      <c r="AP7" s="15">
        <f>'Commercial-Lighting'!AP7*Conversion!$B$3</f>
        <v>0</v>
      </c>
      <c r="AQ7" s="15">
        <f>'Commercial-Lighting'!AQ7*Conversion!$B$3</f>
        <v>0</v>
      </c>
    </row>
    <row r="8" spans="1:43" x14ac:dyDescent="0.2">
      <c r="A8" s="1" t="s">
        <v>18</v>
      </c>
      <c r="B8" s="15">
        <f>'Commercial-Lighting'!B8*Conversion!$B$3</f>
        <v>0</v>
      </c>
      <c r="C8" s="15">
        <f>'Commercial-Lighting'!C8*Conversion!$B$3</f>
        <v>0</v>
      </c>
      <c r="D8" s="15">
        <f>'Commercial-Lighting'!D8*Conversion!$B$3</f>
        <v>0</v>
      </c>
      <c r="E8" s="15">
        <f>'Commercial-Lighting'!E8*Conversion!$B$3</f>
        <v>0</v>
      </c>
      <c r="F8" s="15">
        <f>'Commercial-Lighting'!F8*Conversion!$B$3</f>
        <v>0</v>
      </c>
      <c r="G8" s="15">
        <f>'Commercial-Lighting'!G8*Conversion!$B$3</f>
        <v>0</v>
      </c>
      <c r="H8" s="15">
        <f>'Commercial-Lighting'!H8*Conversion!$B$3</f>
        <v>0</v>
      </c>
      <c r="I8" s="15">
        <f>'Commercial-Lighting'!I8*Conversion!$B$3</f>
        <v>0</v>
      </c>
      <c r="J8" s="15">
        <f>'Commercial-Lighting'!J8*Conversion!$B$3</f>
        <v>0</v>
      </c>
      <c r="K8" s="15">
        <f>'Commercial-Lighting'!K8*Conversion!$B$3</f>
        <v>0</v>
      </c>
      <c r="L8" s="15">
        <f>'Commercial-Lighting'!L8*Conversion!$B$3</f>
        <v>0</v>
      </c>
      <c r="M8" s="15">
        <f>'Commercial-Lighting'!M8*Conversion!$B$3</f>
        <v>0</v>
      </c>
      <c r="N8" s="15">
        <f>'Commercial-Lighting'!N8*Conversion!$B$3</f>
        <v>0</v>
      </c>
      <c r="O8" s="15">
        <f>'Commercial-Lighting'!O8*Conversion!$B$3</f>
        <v>0</v>
      </c>
      <c r="P8" s="15">
        <f>'Commercial-Lighting'!P8*Conversion!$B$3</f>
        <v>0</v>
      </c>
      <c r="Q8" s="15">
        <f>'Commercial-Lighting'!Q8*Conversion!$B$3</f>
        <v>0</v>
      </c>
      <c r="R8" s="15">
        <f>'Commercial-Lighting'!R8*Conversion!$B$3</f>
        <v>0</v>
      </c>
      <c r="S8" s="15">
        <f>'Commercial-Lighting'!S8*Conversion!$B$3</f>
        <v>0</v>
      </c>
      <c r="T8" s="15">
        <f>'Commercial-Lighting'!T8*Conversion!$B$3</f>
        <v>0</v>
      </c>
      <c r="U8" s="15">
        <f>'Commercial-Lighting'!U8*Conversion!$B$3</f>
        <v>0</v>
      </c>
      <c r="V8" s="15">
        <f>'Commercial-Lighting'!V8*Conversion!$B$3</f>
        <v>0</v>
      </c>
      <c r="W8" s="15">
        <f>'Commercial-Lighting'!W8*Conversion!$B$3</f>
        <v>0</v>
      </c>
      <c r="X8" s="15">
        <f>'Commercial-Lighting'!X8*Conversion!$B$3</f>
        <v>0</v>
      </c>
      <c r="Y8" s="15">
        <f>'Commercial-Lighting'!Y8*Conversion!$B$3</f>
        <v>0</v>
      </c>
      <c r="Z8" s="15">
        <f>'Commercial-Lighting'!Z8*Conversion!$B$3</f>
        <v>0</v>
      </c>
      <c r="AA8" s="15">
        <f>'Commercial-Lighting'!AA8*Conversion!$B$3</f>
        <v>0</v>
      </c>
      <c r="AB8" s="15">
        <f>'Commercial-Lighting'!AB8*Conversion!$B$3</f>
        <v>0</v>
      </c>
      <c r="AC8" s="15">
        <f>'Commercial-Lighting'!AC8*Conversion!$B$3</f>
        <v>0</v>
      </c>
      <c r="AD8" s="15">
        <f>'Commercial-Lighting'!AD8*Conversion!$B$3</f>
        <v>0</v>
      </c>
      <c r="AE8" s="15">
        <f>'Commercial-Lighting'!AE8*Conversion!$B$3</f>
        <v>0</v>
      </c>
      <c r="AF8" s="15">
        <f>'Commercial-Lighting'!AF8*Conversion!$B$3</f>
        <v>0</v>
      </c>
      <c r="AG8" s="15">
        <f>'Commercial-Lighting'!AG8*Conversion!$B$3</f>
        <v>0</v>
      </c>
      <c r="AH8" s="15">
        <f>'Commercial-Lighting'!AH8*Conversion!$B$3</f>
        <v>0</v>
      </c>
      <c r="AI8" s="15">
        <f>'Commercial-Lighting'!AI8*Conversion!$B$3</f>
        <v>0</v>
      </c>
      <c r="AJ8" s="15">
        <f>'Commercial-Lighting'!AJ8*Conversion!$B$3</f>
        <v>0</v>
      </c>
      <c r="AK8" s="15">
        <f>'Commercial-Lighting'!AK8*Conversion!$B$3</f>
        <v>0</v>
      </c>
      <c r="AL8" s="15">
        <f>'Commercial-Lighting'!AL8*Conversion!$B$3</f>
        <v>0</v>
      </c>
      <c r="AM8" s="15">
        <f>'Commercial-Lighting'!AM8*Conversion!$B$3</f>
        <v>0</v>
      </c>
      <c r="AN8" s="15">
        <f>'Commercial-Lighting'!AN8*Conversion!$B$3</f>
        <v>0</v>
      </c>
      <c r="AO8" s="15">
        <f>'Commercial-Lighting'!AO8*Conversion!$B$3</f>
        <v>0</v>
      </c>
      <c r="AP8" s="15">
        <f>'Commercial-Lighting'!AP8*Conversion!$B$3</f>
        <v>0</v>
      </c>
      <c r="AQ8" s="15">
        <f>'Commercial-Lighting'!AQ8*Conversion!$B$3</f>
        <v>0</v>
      </c>
    </row>
    <row r="9" spans="1:43" x14ac:dyDescent="0.2">
      <c r="A9" s="1" t="s">
        <v>19</v>
      </c>
      <c r="B9" s="15">
        <f>'Commercial-Lighting'!B9*Conversion!$B$3</f>
        <v>0</v>
      </c>
      <c r="C9" s="15">
        <f>'Commercial-Lighting'!C9*Conversion!$B$3</f>
        <v>0</v>
      </c>
      <c r="D9" s="15">
        <f>'Commercial-Lighting'!D9*Conversion!$B$3</f>
        <v>0</v>
      </c>
      <c r="E9" s="15">
        <f>'Commercial-Lighting'!E9*Conversion!$B$3</f>
        <v>0</v>
      </c>
      <c r="F9" s="15">
        <f>'Commercial-Lighting'!F9*Conversion!$B$3</f>
        <v>0</v>
      </c>
      <c r="G9" s="15">
        <f>'Commercial-Lighting'!G9*Conversion!$B$3</f>
        <v>0</v>
      </c>
      <c r="H9" s="15">
        <f>'Commercial-Lighting'!H9*Conversion!$B$3</f>
        <v>0</v>
      </c>
      <c r="I9" s="15">
        <f>'Commercial-Lighting'!I9*Conversion!$B$3</f>
        <v>0</v>
      </c>
      <c r="J9" s="15">
        <f>'Commercial-Lighting'!J9*Conversion!$B$3</f>
        <v>0</v>
      </c>
      <c r="K9" s="15">
        <f>'Commercial-Lighting'!K9*Conversion!$B$3</f>
        <v>0</v>
      </c>
      <c r="L9" s="15">
        <f>'Commercial-Lighting'!L9*Conversion!$B$3</f>
        <v>0</v>
      </c>
      <c r="M9" s="15">
        <f>'Commercial-Lighting'!M9*Conversion!$B$3</f>
        <v>0</v>
      </c>
      <c r="N9" s="15">
        <f>'Commercial-Lighting'!N9*Conversion!$B$3</f>
        <v>0</v>
      </c>
      <c r="O9" s="15">
        <f>'Commercial-Lighting'!O9*Conversion!$B$3</f>
        <v>0</v>
      </c>
      <c r="P9" s="15">
        <f>'Commercial-Lighting'!P9*Conversion!$B$3</f>
        <v>0</v>
      </c>
      <c r="Q9" s="15">
        <f>'Commercial-Lighting'!Q9*Conversion!$B$3</f>
        <v>0</v>
      </c>
      <c r="R9" s="15">
        <f>'Commercial-Lighting'!R9*Conversion!$B$3</f>
        <v>0</v>
      </c>
      <c r="S9" s="15">
        <f>'Commercial-Lighting'!S9*Conversion!$B$3</f>
        <v>0</v>
      </c>
      <c r="T9" s="15">
        <f>'Commercial-Lighting'!T9*Conversion!$B$3</f>
        <v>0</v>
      </c>
      <c r="U9" s="15">
        <f>'Commercial-Lighting'!U9*Conversion!$B$3</f>
        <v>0</v>
      </c>
      <c r="V9" s="15">
        <f>'Commercial-Lighting'!V9*Conversion!$B$3</f>
        <v>0</v>
      </c>
      <c r="W9" s="15">
        <f>'Commercial-Lighting'!W9*Conversion!$B$3</f>
        <v>0</v>
      </c>
      <c r="X9" s="15">
        <f>'Commercial-Lighting'!X9*Conversion!$B$3</f>
        <v>0</v>
      </c>
      <c r="Y9" s="15">
        <f>'Commercial-Lighting'!Y9*Conversion!$B$3</f>
        <v>0</v>
      </c>
      <c r="Z9" s="15">
        <f>'Commercial-Lighting'!Z9*Conversion!$B$3</f>
        <v>0</v>
      </c>
      <c r="AA9" s="15">
        <f>'Commercial-Lighting'!AA9*Conversion!$B$3</f>
        <v>0</v>
      </c>
      <c r="AB9" s="15">
        <f>'Commercial-Lighting'!AB9*Conversion!$B$3</f>
        <v>0</v>
      </c>
      <c r="AC9" s="15">
        <f>'Commercial-Lighting'!AC9*Conversion!$B$3</f>
        <v>0</v>
      </c>
      <c r="AD9" s="15">
        <f>'Commercial-Lighting'!AD9*Conversion!$B$3</f>
        <v>0</v>
      </c>
      <c r="AE9" s="15">
        <f>'Commercial-Lighting'!AE9*Conversion!$B$3</f>
        <v>0</v>
      </c>
      <c r="AF9" s="15">
        <f>'Commercial-Lighting'!AF9*Conversion!$B$3</f>
        <v>0</v>
      </c>
      <c r="AG9" s="15">
        <f>'Commercial-Lighting'!AG9*Conversion!$B$3</f>
        <v>0</v>
      </c>
      <c r="AH9" s="15">
        <f>'Commercial-Lighting'!AH9*Conversion!$B$3</f>
        <v>0</v>
      </c>
      <c r="AI9" s="15">
        <f>'Commercial-Lighting'!AI9*Conversion!$B$3</f>
        <v>0</v>
      </c>
      <c r="AJ9" s="15">
        <f>'Commercial-Lighting'!AJ9*Conversion!$B$3</f>
        <v>0</v>
      </c>
      <c r="AK9" s="15">
        <f>'Commercial-Lighting'!AK9*Conversion!$B$3</f>
        <v>0</v>
      </c>
      <c r="AL9" s="15">
        <f>'Commercial-Lighting'!AL9*Conversion!$B$3</f>
        <v>0</v>
      </c>
      <c r="AM9" s="15">
        <f>'Commercial-Lighting'!AM9*Conversion!$B$3</f>
        <v>0</v>
      </c>
      <c r="AN9" s="15">
        <f>'Commercial-Lighting'!AN9*Conversion!$B$3</f>
        <v>0</v>
      </c>
      <c r="AO9" s="15">
        <f>'Commercial-Lighting'!AO9*Conversion!$B$3</f>
        <v>0</v>
      </c>
      <c r="AP9" s="15">
        <f>'Commercial-Lighting'!AP9*Conversion!$B$3</f>
        <v>0</v>
      </c>
      <c r="AQ9" s="15">
        <f>'Commercial-Lighting'!AQ9*Conversion!$B$3</f>
        <v>0</v>
      </c>
    </row>
    <row r="10" spans="1:43" x14ac:dyDescent="0.2">
      <c r="A10" s="1" t="s">
        <v>20</v>
      </c>
      <c r="B10" s="15">
        <f>'Commercial-Lighting'!B10*Conversion!$B$3</f>
        <v>0</v>
      </c>
      <c r="C10" s="15">
        <f>'Commercial-Lighting'!C10*Conversion!$B$3</f>
        <v>0</v>
      </c>
      <c r="D10" s="15">
        <f>'Commercial-Lighting'!D10*Conversion!$B$3</f>
        <v>0</v>
      </c>
      <c r="E10" s="15">
        <f>'Commercial-Lighting'!E10*Conversion!$B$3</f>
        <v>0</v>
      </c>
      <c r="F10" s="15">
        <f>'Commercial-Lighting'!F10*Conversion!$B$3</f>
        <v>0</v>
      </c>
      <c r="G10" s="15">
        <f>'Commercial-Lighting'!G10*Conversion!$B$3</f>
        <v>0</v>
      </c>
      <c r="H10" s="15">
        <f>'Commercial-Lighting'!H10*Conversion!$B$3</f>
        <v>0</v>
      </c>
      <c r="I10" s="15">
        <f>'Commercial-Lighting'!I10*Conversion!$B$3</f>
        <v>0</v>
      </c>
      <c r="J10" s="15">
        <f>'Commercial-Lighting'!J10*Conversion!$B$3</f>
        <v>0</v>
      </c>
      <c r="K10" s="15">
        <f>'Commercial-Lighting'!K10*Conversion!$B$3</f>
        <v>0</v>
      </c>
      <c r="L10" s="15">
        <f>'Commercial-Lighting'!L10*Conversion!$B$3</f>
        <v>0</v>
      </c>
      <c r="M10" s="15">
        <f>'Commercial-Lighting'!M10*Conversion!$B$3</f>
        <v>0</v>
      </c>
      <c r="N10" s="15">
        <f>'Commercial-Lighting'!N10*Conversion!$B$3</f>
        <v>0</v>
      </c>
      <c r="O10" s="15">
        <f>'Commercial-Lighting'!O10*Conversion!$B$3</f>
        <v>0</v>
      </c>
      <c r="P10" s="15">
        <f>'Commercial-Lighting'!P10*Conversion!$B$3</f>
        <v>0</v>
      </c>
      <c r="Q10" s="15">
        <f>'Commercial-Lighting'!Q10*Conversion!$B$3</f>
        <v>0</v>
      </c>
      <c r="R10" s="15">
        <f>'Commercial-Lighting'!R10*Conversion!$B$3</f>
        <v>0</v>
      </c>
      <c r="S10" s="15">
        <f>'Commercial-Lighting'!S10*Conversion!$B$3</f>
        <v>0</v>
      </c>
      <c r="T10" s="15">
        <f>'Commercial-Lighting'!T10*Conversion!$B$3</f>
        <v>0</v>
      </c>
      <c r="U10" s="15">
        <f>'Commercial-Lighting'!U10*Conversion!$B$3</f>
        <v>0</v>
      </c>
      <c r="V10" s="15">
        <f>'Commercial-Lighting'!V10*Conversion!$B$3</f>
        <v>0</v>
      </c>
      <c r="W10" s="15">
        <f>'Commercial-Lighting'!W10*Conversion!$B$3</f>
        <v>0</v>
      </c>
      <c r="X10" s="15">
        <f>'Commercial-Lighting'!X10*Conversion!$B$3</f>
        <v>0</v>
      </c>
      <c r="Y10" s="15">
        <f>'Commercial-Lighting'!Y10*Conversion!$B$3</f>
        <v>0</v>
      </c>
      <c r="Z10" s="15">
        <f>'Commercial-Lighting'!Z10*Conversion!$B$3</f>
        <v>0</v>
      </c>
      <c r="AA10" s="15">
        <f>'Commercial-Lighting'!AA10*Conversion!$B$3</f>
        <v>0</v>
      </c>
      <c r="AB10" s="15">
        <f>'Commercial-Lighting'!AB10*Conversion!$B$3</f>
        <v>0</v>
      </c>
      <c r="AC10" s="15">
        <f>'Commercial-Lighting'!AC10*Conversion!$B$3</f>
        <v>0</v>
      </c>
      <c r="AD10" s="15">
        <f>'Commercial-Lighting'!AD10*Conversion!$B$3</f>
        <v>0</v>
      </c>
      <c r="AE10" s="15">
        <f>'Commercial-Lighting'!AE10*Conversion!$B$3</f>
        <v>0</v>
      </c>
      <c r="AF10" s="15">
        <f>'Commercial-Lighting'!AF10*Conversion!$B$3</f>
        <v>0</v>
      </c>
      <c r="AG10" s="15">
        <f>'Commercial-Lighting'!AG10*Conversion!$B$3</f>
        <v>0</v>
      </c>
      <c r="AH10" s="15">
        <f>'Commercial-Lighting'!AH10*Conversion!$B$3</f>
        <v>0</v>
      </c>
      <c r="AI10" s="15">
        <f>'Commercial-Lighting'!AI10*Conversion!$B$3</f>
        <v>0</v>
      </c>
      <c r="AJ10" s="15">
        <f>'Commercial-Lighting'!AJ10*Conversion!$B$3</f>
        <v>0</v>
      </c>
      <c r="AK10" s="15">
        <f>'Commercial-Lighting'!AK10*Conversion!$B$3</f>
        <v>0</v>
      </c>
      <c r="AL10" s="15">
        <f>'Commercial-Lighting'!AL10*Conversion!$B$3</f>
        <v>0</v>
      </c>
      <c r="AM10" s="15">
        <f>'Commercial-Lighting'!AM10*Conversion!$B$3</f>
        <v>0</v>
      </c>
      <c r="AN10" s="15">
        <f>'Commercial-Lighting'!AN10*Conversion!$B$3</f>
        <v>0</v>
      </c>
      <c r="AO10" s="15">
        <f>'Commercial-Lighting'!AO10*Conversion!$B$3</f>
        <v>0</v>
      </c>
      <c r="AP10" s="15">
        <f>'Commercial-Lighting'!AP10*Conversion!$B$3</f>
        <v>0</v>
      </c>
      <c r="AQ10" s="15">
        <f>'Commercial-Lighting'!AQ10*Conversion!$B$3</f>
        <v>0</v>
      </c>
    </row>
    <row r="11" spans="1:43" x14ac:dyDescent="0.2">
      <c r="A11" s="1" t="s">
        <v>21</v>
      </c>
      <c r="B11" s="15">
        <f>'Commercial-Lighting'!B11*Conversion!$B$3</f>
        <v>0</v>
      </c>
      <c r="C11" s="15">
        <f>'Commercial-Lighting'!C11*Conversion!$B$3</f>
        <v>0</v>
      </c>
      <c r="D11" s="15">
        <f>'Commercial-Lighting'!D11*Conversion!$B$3</f>
        <v>0</v>
      </c>
      <c r="E11" s="15">
        <f>'Commercial-Lighting'!E11*Conversion!$B$3</f>
        <v>0</v>
      </c>
      <c r="F11" s="15">
        <f>'Commercial-Lighting'!F11*Conversion!$B$3</f>
        <v>0</v>
      </c>
      <c r="G11" s="15">
        <f>'Commercial-Lighting'!G11*Conversion!$B$3</f>
        <v>0</v>
      </c>
      <c r="H11" s="15">
        <f>'Commercial-Lighting'!H11*Conversion!$B$3</f>
        <v>0</v>
      </c>
      <c r="I11" s="15">
        <f>'Commercial-Lighting'!I11*Conversion!$B$3</f>
        <v>0</v>
      </c>
      <c r="J11" s="15">
        <f>'Commercial-Lighting'!J11*Conversion!$B$3</f>
        <v>0</v>
      </c>
      <c r="K11" s="15">
        <f>'Commercial-Lighting'!K11*Conversion!$B$3</f>
        <v>0</v>
      </c>
      <c r="L11" s="15">
        <f>'Commercial-Lighting'!L11*Conversion!$B$3</f>
        <v>0</v>
      </c>
      <c r="M11" s="15">
        <f>'Commercial-Lighting'!M11*Conversion!$B$3</f>
        <v>0</v>
      </c>
      <c r="N11" s="15">
        <f>'Commercial-Lighting'!N11*Conversion!$B$3</f>
        <v>0</v>
      </c>
      <c r="O11" s="15">
        <f>'Commercial-Lighting'!O11*Conversion!$B$3</f>
        <v>0</v>
      </c>
      <c r="P11" s="15">
        <f>'Commercial-Lighting'!P11*Conversion!$B$3</f>
        <v>0</v>
      </c>
      <c r="Q11" s="15">
        <f>'Commercial-Lighting'!Q11*Conversion!$B$3</f>
        <v>0</v>
      </c>
      <c r="R11" s="15">
        <f>'Commercial-Lighting'!R11*Conversion!$B$3</f>
        <v>0</v>
      </c>
      <c r="S11" s="15">
        <f>'Commercial-Lighting'!S11*Conversion!$B$3</f>
        <v>0</v>
      </c>
      <c r="T11" s="15">
        <f>'Commercial-Lighting'!T11*Conversion!$B$3</f>
        <v>0</v>
      </c>
      <c r="U11" s="15">
        <f>'Commercial-Lighting'!U11*Conversion!$B$3</f>
        <v>0</v>
      </c>
      <c r="V11" s="15">
        <f>'Commercial-Lighting'!V11*Conversion!$B$3</f>
        <v>0</v>
      </c>
      <c r="W11" s="15">
        <f>'Commercial-Lighting'!W11*Conversion!$B$3</f>
        <v>0</v>
      </c>
      <c r="X11" s="15">
        <f>'Commercial-Lighting'!X11*Conversion!$B$3</f>
        <v>0</v>
      </c>
      <c r="Y11" s="15">
        <f>'Commercial-Lighting'!Y11*Conversion!$B$3</f>
        <v>0</v>
      </c>
      <c r="Z11" s="15">
        <f>'Commercial-Lighting'!Z11*Conversion!$B$3</f>
        <v>0</v>
      </c>
      <c r="AA11" s="15">
        <f>'Commercial-Lighting'!AA11*Conversion!$B$3</f>
        <v>0</v>
      </c>
      <c r="AB11" s="15">
        <f>'Commercial-Lighting'!AB11*Conversion!$B$3</f>
        <v>0</v>
      </c>
      <c r="AC11" s="15">
        <f>'Commercial-Lighting'!AC11*Conversion!$B$3</f>
        <v>0</v>
      </c>
      <c r="AD11" s="15">
        <f>'Commercial-Lighting'!AD11*Conversion!$B$3</f>
        <v>0</v>
      </c>
      <c r="AE11" s="15">
        <f>'Commercial-Lighting'!AE11*Conversion!$B$3</f>
        <v>0</v>
      </c>
      <c r="AF11" s="15">
        <f>'Commercial-Lighting'!AF11*Conversion!$B$3</f>
        <v>0</v>
      </c>
      <c r="AG11" s="15">
        <f>'Commercial-Lighting'!AG11*Conversion!$B$3</f>
        <v>0</v>
      </c>
      <c r="AH11" s="15">
        <f>'Commercial-Lighting'!AH11*Conversion!$B$3</f>
        <v>0</v>
      </c>
      <c r="AI11" s="15">
        <f>'Commercial-Lighting'!AI11*Conversion!$B$3</f>
        <v>0</v>
      </c>
      <c r="AJ11" s="15">
        <f>'Commercial-Lighting'!AJ11*Conversion!$B$3</f>
        <v>0</v>
      </c>
      <c r="AK11" s="15">
        <f>'Commercial-Lighting'!AK11*Conversion!$B$3</f>
        <v>0</v>
      </c>
      <c r="AL11" s="15">
        <f>'Commercial-Lighting'!AL11*Conversion!$B$3</f>
        <v>0</v>
      </c>
      <c r="AM11" s="15">
        <f>'Commercial-Lighting'!AM11*Conversion!$B$3</f>
        <v>0</v>
      </c>
      <c r="AN11" s="15">
        <f>'Commercial-Lighting'!AN11*Conversion!$B$3</f>
        <v>0</v>
      </c>
      <c r="AO11" s="15">
        <f>'Commercial-Lighting'!AO11*Conversion!$B$3</f>
        <v>0</v>
      </c>
      <c r="AP11" s="15">
        <f>'Commercial-Lighting'!AP11*Conversion!$B$3</f>
        <v>0</v>
      </c>
      <c r="AQ11" s="15">
        <f>'Commercial-Lighting'!AQ11*Conversion!$B$3</f>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9DF8F-4656-F446-92D2-3FEB8D9DE8F1}">
  <sheetPr>
    <tabColor theme="3" tint="0.249977111117893"/>
  </sheetPr>
  <dimension ref="A1:AQ11"/>
  <sheetViews>
    <sheetView workbookViewId="0">
      <selection activeCell="H2" sqref="H2"/>
    </sheetView>
  </sheetViews>
  <sheetFormatPr baseColWidth="10" defaultRowHeight="16" x14ac:dyDescent="0.2"/>
  <sheetData>
    <row r="1" spans="1:4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row>
    <row r="2" spans="1:43" x14ac:dyDescent="0.2">
      <c r="A2" s="1" t="s">
        <v>12</v>
      </c>
      <c r="B2" s="15">
        <f>'Commercial-Appliances'!B2*Conversion!$B$3</f>
        <v>9281376065375.9238</v>
      </c>
      <c r="C2" s="15">
        <f>'Commercial-Appliances'!C2*Conversion!$B$3</f>
        <v>9606888279853.0332</v>
      </c>
      <c r="D2" s="15">
        <f>'Commercial-Appliances'!D2*Conversion!$B$3</f>
        <v>9932400494330.1445</v>
      </c>
      <c r="E2" s="15">
        <f>'Commercial-Appliances'!E2*Conversion!$B$3</f>
        <v>10382937622083.955</v>
      </c>
      <c r="F2" s="15">
        <f>'Commercial-Appliances'!F2*Conversion!$B$3</f>
        <v>10711503450839.367</v>
      </c>
      <c r="G2" s="15">
        <f>'Commercial-Appliances'!G2*Conversion!$B$3</f>
        <v>10940811009735.369</v>
      </c>
      <c r="H2" s="15">
        <f>'Commercial-Appliances'!H2*Conversion!$B$3</f>
        <v>11181417724219.861</v>
      </c>
      <c r="I2" s="15">
        <f>'Commercial-Appliances'!I2*Conversion!$B$3</f>
        <v>11476541157710.584</v>
      </c>
      <c r="J2" s="15">
        <f>'Commercial-Appliances'!J2*Conversion!$B$3</f>
        <v>11784576584503.947</v>
      </c>
      <c r="K2" s="15">
        <f>'Commercial-Appliances'!K2*Conversion!$B$3</f>
        <v>12106292441054.309</v>
      </c>
      <c r="L2" s="15">
        <f>'Commercial-Appliances'!L2*Conversion!$B$3</f>
        <v>12442504683993.908</v>
      </c>
      <c r="M2" s="15">
        <f>'Commercial-Appliances'!M2*Conversion!$B$3</f>
        <v>12794079759942.525</v>
      </c>
      <c r="N2" s="15">
        <f>'Commercial-Appliances'!N2*Conversion!$B$3</f>
        <v>13150930963612.486</v>
      </c>
      <c r="O2" s="15">
        <f>'Commercial-Appliances'!O2*Conversion!$B$3</f>
        <v>13524989140102.211</v>
      </c>
      <c r="P2" s="15">
        <f>'Commercial-Appliances'!P2*Conversion!$B$3</f>
        <v>13917291957515.844</v>
      </c>
      <c r="Q2" s="15">
        <f>'Commercial-Appliances'!Q2*Conversion!$B$3</f>
        <v>14328941448392.453</v>
      </c>
      <c r="R2" s="15">
        <f>'Commercial-Appliances'!R2*Conversion!$B$3</f>
        <v>14761108042497.508</v>
      </c>
      <c r="S2" s="15">
        <f>'Commercial-Appliances'!S2*Conversion!$B$3</f>
        <v>15203766652943.025</v>
      </c>
      <c r="T2" s="15">
        <f>'Commercial-Appliances'!T2*Conversion!$B$3</f>
        <v>15669452175183.639</v>
      </c>
      <c r="U2" s="15">
        <f>'Commercial-Appliances'!U2*Conversion!$B$3</f>
        <v>16159567057520.311</v>
      </c>
      <c r="V2" s="15">
        <f>'Commercial-Appliances'!V2*Conversion!$B$3</f>
        <v>16675600992016.773</v>
      </c>
      <c r="W2" s="15">
        <f>'Commercial-Appliances'!W2*Conversion!$B$3</f>
        <v>17219136394106.02</v>
      </c>
      <c r="X2" s="15">
        <f>'Commercial-Appliances'!X2*Conversion!$B$3</f>
        <v>17780702156625.297</v>
      </c>
      <c r="Y2" s="15">
        <f>'Commercial-Appliances'!Y2*Conversion!$B$3</f>
        <v>18373183576712.832</v>
      </c>
      <c r="Z2" s="15">
        <f>'Commercial-Appliances'!Z2*Conversion!$B$3</f>
        <v>18998477698571.711</v>
      </c>
      <c r="AA2" s="15">
        <f>'Commercial-Appliances'!AA2*Conversion!$B$3</f>
        <v>19658599905503.27</v>
      </c>
      <c r="AB2" s="15">
        <f>'Commercial-Appliances'!AB2*Conversion!$B$3</f>
        <v>20355691369724.965</v>
      </c>
      <c r="AC2" s="15">
        <f>'Commercial-Appliances'!AC2*Conversion!$B$3</f>
        <v>21081201067264.605</v>
      </c>
      <c r="AD2" s="15">
        <f>'Commercial-Appliances'!AD2*Conversion!$B$3</f>
        <v>21848321566877.062</v>
      </c>
      <c r="AE2" s="15">
        <f>'Commercial-Appliances'!AE2*Conversion!$B$3</f>
        <v>22659620984474.871</v>
      </c>
      <c r="AF2" s="15">
        <f>'Commercial-Appliances'!AF2*Conversion!$B$3</f>
        <v>23517828060836.832</v>
      </c>
      <c r="AG2" s="15">
        <f>'Commercial-Appliances'!AG2*Conversion!$B$3</f>
        <v>24425842295616.98</v>
      </c>
      <c r="AH2" s="15">
        <f>'Commercial-Appliances'!AH2*Conversion!$B$3</f>
        <v>25360245670213.355</v>
      </c>
      <c r="AI2" s="15">
        <f>'Commercial-Appliances'!AI2*Conversion!$B$3</f>
        <v>26350689428302.84</v>
      </c>
      <c r="AJ2" s="15">
        <f>'Commercial-Appliances'!AJ2*Conversion!$B$3</f>
        <v>27400652797995.102</v>
      </c>
      <c r="AK2" s="15">
        <f>'Commercial-Appliances'!AK2*Conversion!$B$3</f>
        <v>28513833166593.809</v>
      </c>
      <c r="AL2" s="15">
        <f>'Commercial-Appliances'!AL2*Conversion!$B$3</f>
        <v>29694159873108.531</v>
      </c>
      <c r="AM2" s="15">
        <f>'Commercial-Appliances'!AM2*Conversion!$B$3</f>
        <v>30945808878651.484</v>
      </c>
      <c r="AN2" s="15">
        <f>'Commercial-Appliances'!AN2*Conversion!$B$3</f>
        <v>32273218370899.898</v>
      </c>
      <c r="AO2" s="15">
        <f>'Commercial-Appliances'!AO2*Conversion!$B$3</f>
        <v>33681105362416.035</v>
      </c>
      <c r="AP2" s="15">
        <f>'Commercial-Appliances'!AP2*Conversion!$B$3</f>
        <v>35174483346460.402</v>
      </c>
      <c r="AQ2" s="15">
        <f>'Commercial-Appliances'!AQ2*Conversion!$B$3</f>
        <v>36758681078025.547</v>
      </c>
    </row>
    <row r="3" spans="1:43" x14ac:dyDescent="0.2">
      <c r="A3" s="1" t="s">
        <v>13</v>
      </c>
      <c r="B3" s="15">
        <f>'Commercial-Appliances'!B3*Conversion!$B$3</f>
        <v>0</v>
      </c>
      <c r="C3" s="15">
        <f>'Commercial-Appliances'!C3*Conversion!$B$3</f>
        <v>0</v>
      </c>
      <c r="D3" s="15">
        <f>'Commercial-Appliances'!D3*Conversion!$B$3</f>
        <v>0</v>
      </c>
      <c r="E3" s="15">
        <f>'Commercial-Appliances'!E3*Conversion!$B$3</f>
        <v>0</v>
      </c>
      <c r="F3" s="15">
        <f>'Commercial-Appliances'!F3*Conversion!$B$3</f>
        <v>0</v>
      </c>
      <c r="G3" s="15">
        <f>'Commercial-Appliances'!G3*Conversion!$B$3</f>
        <v>0</v>
      </c>
      <c r="H3" s="15">
        <f>'Commercial-Appliances'!H3*Conversion!$B$3</f>
        <v>0</v>
      </c>
      <c r="I3" s="15">
        <f>'Commercial-Appliances'!I3*Conversion!$B$3</f>
        <v>0</v>
      </c>
      <c r="J3" s="15">
        <f>'Commercial-Appliances'!J3*Conversion!$B$3</f>
        <v>0</v>
      </c>
      <c r="K3" s="15">
        <f>'Commercial-Appliances'!K3*Conversion!$B$3</f>
        <v>0</v>
      </c>
      <c r="L3" s="15">
        <f>'Commercial-Appliances'!L3*Conversion!$B$3</f>
        <v>0</v>
      </c>
      <c r="M3" s="15">
        <f>'Commercial-Appliances'!M3*Conversion!$B$3</f>
        <v>0</v>
      </c>
      <c r="N3" s="15">
        <f>'Commercial-Appliances'!N3*Conversion!$B$3</f>
        <v>0</v>
      </c>
      <c r="O3" s="15">
        <f>'Commercial-Appliances'!O3*Conversion!$B$3</f>
        <v>0</v>
      </c>
      <c r="P3" s="15">
        <f>'Commercial-Appliances'!P3*Conversion!$B$3</f>
        <v>0</v>
      </c>
      <c r="Q3" s="15">
        <f>'Commercial-Appliances'!Q3*Conversion!$B$3</f>
        <v>0</v>
      </c>
      <c r="R3" s="15">
        <f>'Commercial-Appliances'!R3*Conversion!$B$3</f>
        <v>0</v>
      </c>
      <c r="S3" s="15">
        <f>'Commercial-Appliances'!S3*Conversion!$B$3</f>
        <v>0</v>
      </c>
      <c r="T3" s="15">
        <f>'Commercial-Appliances'!T3*Conversion!$B$3</f>
        <v>0</v>
      </c>
      <c r="U3" s="15">
        <f>'Commercial-Appliances'!U3*Conversion!$B$3</f>
        <v>0</v>
      </c>
      <c r="V3" s="15">
        <f>'Commercial-Appliances'!V3*Conversion!$B$3</f>
        <v>0</v>
      </c>
      <c r="W3" s="15">
        <f>'Commercial-Appliances'!W3*Conversion!$B$3</f>
        <v>0</v>
      </c>
      <c r="X3" s="15">
        <f>'Commercial-Appliances'!X3*Conversion!$B$3</f>
        <v>0</v>
      </c>
      <c r="Y3" s="15">
        <f>'Commercial-Appliances'!Y3*Conversion!$B$3</f>
        <v>0</v>
      </c>
      <c r="Z3" s="15">
        <f>'Commercial-Appliances'!Z3*Conversion!$B$3</f>
        <v>0</v>
      </c>
      <c r="AA3" s="15">
        <f>'Commercial-Appliances'!AA3*Conversion!$B$3</f>
        <v>0</v>
      </c>
      <c r="AB3" s="15">
        <f>'Commercial-Appliances'!AB3*Conversion!$B$3</f>
        <v>0</v>
      </c>
      <c r="AC3" s="15">
        <f>'Commercial-Appliances'!AC3*Conversion!$B$3</f>
        <v>0</v>
      </c>
      <c r="AD3" s="15">
        <f>'Commercial-Appliances'!AD3*Conversion!$B$3</f>
        <v>0</v>
      </c>
      <c r="AE3" s="15">
        <f>'Commercial-Appliances'!AE3*Conversion!$B$3</f>
        <v>0</v>
      </c>
      <c r="AF3" s="15">
        <f>'Commercial-Appliances'!AF3*Conversion!$B$3</f>
        <v>0</v>
      </c>
      <c r="AG3" s="15">
        <f>'Commercial-Appliances'!AG3*Conversion!$B$3</f>
        <v>0</v>
      </c>
      <c r="AH3" s="15">
        <f>'Commercial-Appliances'!AH3*Conversion!$B$3</f>
        <v>0</v>
      </c>
      <c r="AI3" s="15">
        <f>'Commercial-Appliances'!AI3*Conversion!$B$3</f>
        <v>0</v>
      </c>
      <c r="AJ3" s="15">
        <f>'Commercial-Appliances'!AJ3*Conversion!$B$3</f>
        <v>0</v>
      </c>
      <c r="AK3" s="15">
        <f>'Commercial-Appliances'!AK3*Conversion!$B$3</f>
        <v>0</v>
      </c>
      <c r="AL3" s="15">
        <f>'Commercial-Appliances'!AL3*Conversion!$B$3</f>
        <v>0</v>
      </c>
      <c r="AM3" s="15">
        <f>'Commercial-Appliances'!AM3*Conversion!$B$3</f>
        <v>0</v>
      </c>
      <c r="AN3" s="15">
        <f>'Commercial-Appliances'!AN3*Conversion!$B$3</f>
        <v>0</v>
      </c>
      <c r="AO3" s="15">
        <f>'Commercial-Appliances'!AO3*Conversion!$B$3</f>
        <v>0</v>
      </c>
      <c r="AP3" s="15">
        <f>'Commercial-Appliances'!AP3*Conversion!$B$3</f>
        <v>0</v>
      </c>
      <c r="AQ3" s="15">
        <f>'Commercial-Appliances'!AQ3*Conversion!$B$3</f>
        <v>0</v>
      </c>
    </row>
    <row r="4" spans="1:43" x14ac:dyDescent="0.2">
      <c r="A4" s="1" t="s">
        <v>14</v>
      </c>
      <c r="B4" s="15">
        <f>'Commercial-Appliances'!B4*Conversion!$B$3</f>
        <v>0</v>
      </c>
      <c r="C4" s="15">
        <f>'Commercial-Appliances'!C4*Conversion!$B$3</f>
        <v>0</v>
      </c>
      <c r="D4" s="15">
        <f>'Commercial-Appliances'!D4*Conversion!$B$3</f>
        <v>0</v>
      </c>
      <c r="E4" s="15">
        <f>'Commercial-Appliances'!E4*Conversion!$B$3</f>
        <v>0</v>
      </c>
      <c r="F4" s="15">
        <f>'Commercial-Appliances'!F4*Conversion!$B$3</f>
        <v>0</v>
      </c>
      <c r="G4" s="15">
        <f>'Commercial-Appliances'!G4*Conversion!$B$3</f>
        <v>0</v>
      </c>
      <c r="H4" s="15">
        <f>'Commercial-Appliances'!H4*Conversion!$B$3</f>
        <v>0</v>
      </c>
      <c r="I4" s="15">
        <f>'Commercial-Appliances'!I4*Conversion!$B$3</f>
        <v>0</v>
      </c>
      <c r="J4" s="15">
        <f>'Commercial-Appliances'!J4*Conversion!$B$3</f>
        <v>0</v>
      </c>
      <c r="K4" s="15">
        <f>'Commercial-Appliances'!K4*Conversion!$B$3</f>
        <v>0</v>
      </c>
      <c r="L4" s="15">
        <f>'Commercial-Appliances'!L4*Conversion!$B$3</f>
        <v>0</v>
      </c>
      <c r="M4" s="15">
        <f>'Commercial-Appliances'!M4*Conversion!$B$3</f>
        <v>0</v>
      </c>
      <c r="N4" s="15">
        <f>'Commercial-Appliances'!N4*Conversion!$B$3</f>
        <v>0</v>
      </c>
      <c r="O4" s="15">
        <f>'Commercial-Appliances'!O4*Conversion!$B$3</f>
        <v>0</v>
      </c>
      <c r="P4" s="15">
        <f>'Commercial-Appliances'!P4*Conversion!$B$3</f>
        <v>0</v>
      </c>
      <c r="Q4" s="15">
        <f>'Commercial-Appliances'!Q4*Conversion!$B$3</f>
        <v>0</v>
      </c>
      <c r="R4" s="15">
        <f>'Commercial-Appliances'!R4*Conversion!$B$3</f>
        <v>0</v>
      </c>
      <c r="S4" s="15">
        <f>'Commercial-Appliances'!S4*Conversion!$B$3</f>
        <v>0</v>
      </c>
      <c r="T4" s="15">
        <f>'Commercial-Appliances'!T4*Conversion!$B$3</f>
        <v>0</v>
      </c>
      <c r="U4" s="15">
        <f>'Commercial-Appliances'!U4*Conversion!$B$3</f>
        <v>0</v>
      </c>
      <c r="V4" s="15">
        <f>'Commercial-Appliances'!V4*Conversion!$B$3</f>
        <v>0</v>
      </c>
      <c r="W4" s="15">
        <f>'Commercial-Appliances'!W4*Conversion!$B$3</f>
        <v>0</v>
      </c>
      <c r="X4" s="15">
        <f>'Commercial-Appliances'!X4*Conversion!$B$3</f>
        <v>0</v>
      </c>
      <c r="Y4" s="15">
        <f>'Commercial-Appliances'!Y4*Conversion!$B$3</f>
        <v>0</v>
      </c>
      <c r="Z4" s="15">
        <f>'Commercial-Appliances'!Z4*Conversion!$B$3</f>
        <v>0</v>
      </c>
      <c r="AA4" s="15">
        <f>'Commercial-Appliances'!AA4*Conversion!$B$3</f>
        <v>0</v>
      </c>
      <c r="AB4" s="15">
        <f>'Commercial-Appliances'!AB4*Conversion!$B$3</f>
        <v>0</v>
      </c>
      <c r="AC4" s="15">
        <f>'Commercial-Appliances'!AC4*Conversion!$B$3</f>
        <v>0</v>
      </c>
      <c r="AD4" s="15">
        <f>'Commercial-Appliances'!AD4*Conversion!$B$3</f>
        <v>0</v>
      </c>
      <c r="AE4" s="15">
        <f>'Commercial-Appliances'!AE4*Conversion!$B$3</f>
        <v>0</v>
      </c>
      <c r="AF4" s="15">
        <f>'Commercial-Appliances'!AF4*Conversion!$B$3</f>
        <v>0</v>
      </c>
      <c r="AG4" s="15">
        <f>'Commercial-Appliances'!AG4*Conversion!$B$3</f>
        <v>0</v>
      </c>
      <c r="AH4" s="15">
        <f>'Commercial-Appliances'!AH4*Conversion!$B$3</f>
        <v>0</v>
      </c>
      <c r="AI4" s="15">
        <f>'Commercial-Appliances'!AI4*Conversion!$B$3</f>
        <v>0</v>
      </c>
      <c r="AJ4" s="15">
        <f>'Commercial-Appliances'!AJ4*Conversion!$B$3</f>
        <v>0</v>
      </c>
      <c r="AK4" s="15">
        <f>'Commercial-Appliances'!AK4*Conversion!$B$3</f>
        <v>0</v>
      </c>
      <c r="AL4" s="15">
        <f>'Commercial-Appliances'!AL4*Conversion!$B$3</f>
        <v>0</v>
      </c>
      <c r="AM4" s="15">
        <f>'Commercial-Appliances'!AM4*Conversion!$B$3</f>
        <v>0</v>
      </c>
      <c r="AN4" s="15">
        <f>'Commercial-Appliances'!AN4*Conversion!$B$3</f>
        <v>0</v>
      </c>
      <c r="AO4" s="15">
        <f>'Commercial-Appliances'!AO4*Conversion!$B$3</f>
        <v>0</v>
      </c>
      <c r="AP4" s="15">
        <f>'Commercial-Appliances'!AP4*Conversion!$B$3</f>
        <v>0</v>
      </c>
      <c r="AQ4" s="15">
        <f>'Commercial-Appliances'!AQ4*Conversion!$B$3</f>
        <v>0</v>
      </c>
    </row>
    <row r="5" spans="1:43" x14ac:dyDescent="0.2">
      <c r="A5" s="1" t="s">
        <v>15</v>
      </c>
      <c r="B5" s="15">
        <f>'Commercial-Appliances'!B5*Conversion!$B$3</f>
        <v>0</v>
      </c>
      <c r="C5" s="15">
        <f>'Commercial-Appliances'!C5*Conversion!$B$3</f>
        <v>0</v>
      </c>
      <c r="D5" s="15">
        <f>'Commercial-Appliances'!D5*Conversion!$B$3</f>
        <v>0</v>
      </c>
      <c r="E5" s="15">
        <f>'Commercial-Appliances'!E5*Conversion!$B$3</f>
        <v>0</v>
      </c>
      <c r="F5" s="15">
        <f>'Commercial-Appliances'!F5*Conversion!$B$3</f>
        <v>0</v>
      </c>
      <c r="G5" s="15">
        <f>'Commercial-Appliances'!G5*Conversion!$B$3</f>
        <v>0</v>
      </c>
      <c r="H5" s="15">
        <f>'Commercial-Appliances'!H5*Conversion!$B$3</f>
        <v>0</v>
      </c>
      <c r="I5" s="15">
        <f>'Commercial-Appliances'!I5*Conversion!$B$3</f>
        <v>0</v>
      </c>
      <c r="J5" s="15">
        <f>'Commercial-Appliances'!J5*Conversion!$B$3</f>
        <v>0</v>
      </c>
      <c r="K5" s="15">
        <f>'Commercial-Appliances'!K5*Conversion!$B$3</f>
        <v>0</v>
      </c>
      <c r="L5" s="15">
        <f>'Commercial-Appliances'!L5*Conversion!$B$3</f>
        <v>0</v>
      </c>
      <c r="M5" s="15">
        <f>'Commercial-Appliances'!M5*Conversion!$B$3</f>
        <v>0</v>
      </c>
      <c r="N5" s="15">
        <f>'Commercial-Appliances'!N5*Conversion!$B$3</f>
        <v>0</v>
      </c>
      <c r="O5" s="15">
        <f>'Commercial-Appliances'!O5*Conversion!$B$3</f>
        <v>0</v>
      </c>
      <c r="P5" s="15">
        <f>'Commercial-Appliances'!P5*Conversion!$B$3</f>
        <v>0</v>
      </c>
      <c r="Q5" s="15">
        <f>'Commercial-Appliances'!Q5*Conversion!$B$3</f>
        <v>0</v>
      </c>
      <c r="R5" s="15">
        <f>'Commercial-Appliances'!R5*Conversion!$B$3</f>
        <v>0</v>
      </c>
      <c r="S5" s="15">
        <f>'Commercial-Appliances'!S5*Conversion!$B$3</f>
        <v>0</v>
      </c>
      <c r="T5" s="15">
        <f>'Commercial-Appliances'!T5*Conversion!$B$3</f>
        <v>0</v>
      </c>
      <c r="U5" s="15">
        <f>'Commercial-Appliances'!U5*Conversion!$B$3</f>
        <v>0</v>
      </c>
      <c r="V5" s="15">
        <f>'Commercial-Appliances'!V5*Conversion!$B$3</f>
        <v>0</v>
      </c>
      <c r="W5" s="15">
        <f>'Commercial-Appliances'!W5*Conversion!$B$3</f>
        <v>0</v>
      </c>
      <c r="X5" s="15">
        <f>'Commercial-Appliances'!X5*Conversion!$B$3</f>
        <v>0</v>
      </c>
      <c r="Y5" s="15">
        <f>'Commercial-Appliances'!Y5*Conversion!$B$3</f>
        <v>0</v>
      </c>
      <c r="Z5" s="15">
        <f>'Commercial-Appliances'!Z5*Conversion!$B$3</f>
        <v>0</v>
      </c>
      <c r="AA5" s="15">
        <f>'Commercial-Appliances'!AA5*Conversion!$B$3</f>
        <v>0</v>
      </c>
      <c r="AB5" s="15">
        <f>'Commercial-Appliances'!AB5*Conversion!$B$3</f>
        <v>0</v>
      </c>
      <c r="AC5" s="15">
        <f>'Commercial-Appliances'!AC5*Conversion!$B$3</f>
        <v>0</v>
      </c>
      <c r="AD5" s="15">
        <f>'Commercial-Appliances'!AD5*Conversion!$B$3</f>
        <v>0</v>
      </c>
      <c r="AE5" s="15">
        <f>'Commercial-Appliances'!AE5*Conversion!$B$3</f>
        <v>0</v>
      </c>
      <c r="AF5" s="15">
        <f>'Commercial-Appliances'!AF5*Conversion!$B$3</f>
        <v>0</v>
      </c>
      <c r="AG5" s="15">
        <f>'Commercial-Appliances'!AG5*Conversion!$B$3</f>
        <v>0</v>
      </c>
      <c r="AH5" s="15">
        <f>'Commercial-Appliances'!AH5*Conversion!$B$3</f>
        <v>0</v>
      </c>
      <c r="AI5" s="15">
        <f>'Commercial-Appliances'!AI5*Conversion!$B$3</f>
        <v>0</v>
      </c>
      <c r="AJ5" s="15">
        <f>'Commercial-Appliances'!AJ5*Conversion!$B$3</f>
        <v>0</v>
      </c>
      <c r="AK5" s="15">
        <f>'Commercial-Appliances'!AK5*Conversion!$B$3</f>
        <v>0</v>
      </c>
      <c r="AL5" s="15">
        <f>'Commercial-Appliances'!AL5*Conversion!$B$3</f>
        <v>0</v>
      </c>
      <c r="AM5" s="15">
        <f>'Commercial-Appliances'!AM5*Conversion!$B$3</f>
        <v>0</v>
      </c>
      <c r="AN5" s="15">
        <f>'Commercial-Appliances'!AN5*Conversion!$B$3</f>
        <v>0</v>
      </c>
      <c r="AO5" s="15">
        <f>'Commercial-Appliances'!AO5*Conversion!$B$3</f>
        <v>0</v>
      </c>
      <c r="AP5" s="15">
        <f>'Commercial-Appliances'!AP5*Conversion!$B$3</f>
        <v>0</v>
      </c>
      <c r="AQ5" s="15">
        <f>'Commercial-Appliances'!AQ5*Conversion!$B$3</f>
        <v>0</v>
      </c>
    </row>
    <row r="6" spans="1:43" x14ac:dyDescent="0.2">
      <c r="A6" s="1" t="s">
        <v>16</v>
      </c>
      <c r="B6" s="15">
        <f>'Commercial-Appliances'!B6*Conversion!$B$3</f>
        <v>0</v>
      </c>
      <c r="C6" s="15">
        <f>'Commercial-Appliances'!C6*Conversion!$B$3</f>
        <v>0</v>
      </c>
      <c r="D6" s="15">
        <f>'Commercial-Appliances'!D6*Conversion!$B$3</f>
        <v>0</v>
      </c>
      <c r="E6" s="15">
        <f>'Commercial-Appliances'!E6*Conversion!$B$3</f>
        <v>0</v>
      </c>
      <c r="F6" s="15">
        <f>'Commercial-Appliances'!F6*Conversion!$B$3</f>
        <v>0</v>
      </c>
      <c r="G6" s="15">
        <f>'Commercial-Appliances'!G6*Conversion!$B$3</f>
        <v>0</v>
      </c>
      <c r="H6" s="15">
        <f>'Commercial-Appliances'!H6*Conversion!$B$3</f>
        <v>0</v>
      </c>
      <c r="I6" s="15">
        <f>'Commercial-Appliances'!I6*Conversion!$B$3</f>
        <v>0</v>
      </c>
      <c r="J6" s="15">
        <f>'Commercial-Appliances'!J6*Conversion!$B$3</f>
        <v>0</v>
      </c>
      <c r="K6" s="15">
        <f>'Commercial-Appliances'!K6*Conversion!$B$3</f>
        <v>0</v>
      </c>
      <c r="L6" s="15">
        <f>'Commercial-Appliances'!L6*Conversion!$B$3</f>
        <v>0</v>
      </c>
      <c r="M6" s="15">
        <f>'Commercial-Appliances'!M6*Conversion!$B$3</f>
        <v>0</v>
      </c>
      <c r="N6" s="15">
        <f>'Commercial-Appliances'!N6*Conversion!$B$3</f>
        <v>0</v>
      </c>
      <c r="O6" s="15">
        <f>'Commercial-Appliances'!O6*Conversion!$B$3</f>
        <v>0</v>
      </c>
      <c r="P6" s="15">
        <f>'Commercial-Appliances'!P6*Conversion!$B$3</f>
        <v>0</v>
      </c>
      <c r="Q6" s="15">
        <f>'Commercial-Appliances'!Q6*Conversion!$B$3</f>
        <v>0</v>
      </c>
      <c r="R6" s="15">
        <f>'Commercial-Appliances'!R6*Conversion!$B$3</f>
        <v>0</v>
      </c>
      <c r="S6" s="15">
        <f>'Commercial-Appliances'!S6*Conversion!$B$3</f>
        <v>0</v>
      </c>
      <c r="T6" s="15">
        <f>'Commercial-Appliances'!T6*Conversion!$B$3</f>
        <v>0</v>
      </c>
      <c r="U6" s="15">
        <f>'Commercial-Appliances'!U6*Conversion!$B$3</f>
        <v>0</v>
      </c>
      <c r="V6" s="15">
        <f>'Commercial-Appliances'!V6*Conversion!$B$3</f>
        <v>0</v>
      </c>
      <c r="W6" s="15">
        <f>'Commercial-Appliances'!W6*Conversion!$B$3</f>
        <v>0</v>
      </c>
      <c r="X6" s="15">
        <f>'Commercial-Appliances'!X6*Conversion!$B$3</f>
        <v>0</v>
      </c>
      <c r="Y6" s="15">
        <f>'Commercial-Appliances'!Y6*Conversion!$B$3</f>
        <v>0</v>
      </c>
      <c r="Z6" s="15">
        <f>'Commercial-Appliances'!Z6*Conversion!$B$3</f>
        <v>0</v>
      </c>
      <c r="AA6" s="15">
        <f>'Commercial-Appliances'!AA6*Conversion!$B$3</f>
        <v>0</v>
      </c>
      <c r="AB6" s="15">
        <f>'Commercial-Appliances'!AB6*Conversion!$B$3</f>
        <v>0</v>
      </c>
      <c r="AC6" s="15">
        <f>'Commercial-Appliances'!AC6*Conversion!$B$3</f>
        <v>0</v>
      </c>
      <c r="AD6" s="15">
        <f>'Commercial-Appliances'!AD6*Conversion!$B$3</f>
        <v>0</v>
      </c>
      <c r="AE6" s="15">
        <f>'Commercial-Appliances'!AE6*Conversion!$B$3</f>
        <v>0</v>
      </c>
      <c r="AF6" s="15">
        <f>'Commercial-Appliances'!AF6*Conversion!$B$3</f>
        <v>0</v>
      </c>
      <c r="AG6" s="15">
        <f>'Commercial-Appliances'!AG6*Conversion!$B$3</f>
        <v>0</v>
      </c>
      <c r="AH6" s="15">
        <f>'Commercial-Appliances'!AH6*Conversion!$B$3</f>
        <v>0</v>
      </c>
      <c r="AI6" s="15">
        <f>'Commercial-Appliances'!AI6*Conversion!$B$3</f>
        <v>0</v>
      </c>
      <c r="AJ6" s="15">
        <f>'Commercial-Appliances'!AJ6*Conversion!$B$3</f>
        <v>0</v>
      </c>
      <c r="AK6" s="15">
        <f>'Commercial-Appliances'!AK6*Conversion!$B$3</f>
        <v>0</v>
      </c>
      <c r="AL6" s="15">
        <f>'Commercial-Appliances'!AL6*Conversion!$B$3</f>
        <v>0</v>
      </c>
      <c r="AM6" s="15">
        <f>'Commercial-Appliances'!AM6*Conversion!$B$3</f>
        <v>0</v>
      </c>
      <c r="AN6" s="15">
        <f>'Commercial-Appliances'!AN6*Conversion!$B$3</f>
        <v>0</v>
      </c>
      <c r="AO6" s="15">
        <f>'Commercial-Appliances'!AO6*Conversion!$B$3</f>
        <v>0</v>
      </c>
      <c r="AP6" s="15">
        <f>'Commercial-Appliances'!AP6*Conversion!$B$3</f>
        <v>0</v>
      </c>
      <c r="AQ6" s="15">
        <f>'Commercial-Appliances'!AQ6*Conversion!$B$3</f>
        <v>0</v>
      </c>
    </row>
    <row r="7" spans="1:43" x14ac:dyDescent="0.2">
      <c r="A7" s="1" t="s">
        <v>17</v>
      </c>
      <c r="B7" s="15">
        <f>'Commercial-Appliances'!B7*Conversion!$B$3</f>
        <v>0</v>
      </c>
      <c r="C7" s="15">
        <f>'Commercial-Appliances'!C7*Conversion!$B$3</f>
        <v>0</v>
      </c>
      <c r="D7" s="15">
        <f>'Commercial-Appliances'!D7*Conversion!$B$3</f>
        <v>0</v>
      </c>
      <c r="E7" s="15">
        <f>'Commercial-Appliances'!E7*Conversion!$B$3</f>
        <v>0</v>
      </c>
      <c r="F7" s="15">
        <f>'Commercial-Appliances'!F7*Conversion!$B$3</f>
        <v>0</v>
      </c>
      <c r="G7" s="15">
        <f>'Commercial-Appliances'!G7*Conversion!$B$3</f>
        <v>0</v>
      </c>
      <c r="H7" s="15">
        <f>'Commercial-Appliances'!H7*Conversion!$B$3</f>
        <v>0</v>
      </c>
      <c r="I7" s="15">
        <f>'Commercial-Appliances'!I7*Conversion!$B$3</f>
        <v>0</v>
      </c>
      <c r="J7" s="15">
        <f>'Commercial-Appliances'!J7*Conversion!$B$3</f>
        <v>0</v>
      </c>
      <c r="K7" s="15">
        <f>'Commercial-Appliances'!K7*Conversion!$B$3</f>
        <v>0</v>
      </c>
      <c r="L7" s="15">
        <f>'Commercial-Appliances'!L7*Conversion!$B$3</f>
        <v>0</v>
      </c>
      <c r="M7" s="15">
        <f>'Commercial-Appliances'!M7*Conversion!$B$3</f>
        <v>0</v>
      </c>
      <c r="N7" s="15">
        <f>'Commercial-Appliances'!N7*Conversion!$B$3</f>
        <v>0</v>
      </c>
      <c r="O7" s="15">
        <f>'Commercial-Appliances'!O7*Conversion!$B$3</f>
        <v>0</v>
      </c>
      <c r="P7" s="15">
        <f>'Commercial-Appliances'!P7*Conversion!$B$3</f>
        <v>0</v>
      </c>
      <c r="Q7" s="15">
        <f>'Commercial-Appliances'!Q7*Conversion!$B$3</f>
        <v>0</v>
      </c>
      <c r="R7" s="15">
        <f>'Commercial-Appliances'!R7*Conversion!$B$3</f>
        <v>0</v>
      </c>
      <c r="S7" s="15">
        <f>'Commercial-Appliances'!S7*Conversion!$B$3</f>
        <v>0</v>
      </c>
      <c r="T7" s="15">
        <f>'Commercial-Appliances'!T7*Conversion!$B$3</f>
        <v>0</v>
      </c>
      <c r="U7" s="15">
        <f>'Commercial-Appliances'!U7*Conversion!$B$3</f>
        <v>0</v>
      </c>
      <c r="V7" s="15">
        <f>'Commercial-Appliances'!V7*Conversion!$B$3</f>
        <v>0</v>
      </c>
      <c r="W7" s="15">
        <f>'Commercial-Appliances'!W7*Conversion!$B$3</f>
        <v>0</v>
      </c>
      <c r="X7" s="15">
        <f>'Commercial-Appliances'!X7*Conversion!$B$3</f>
        <v>0</v>
      </c>
      <c r="Y7" s="15">
        <f>'Commercial-Appliances'!Y7*Conversion!$B$3</f>
        <v>0</v>
      </c>
      <c r="Z7" s="15">
        <f>'Commercial-Appliances'!Z7*Conversion!$B$3</f>
        <v>0</v>
      </c>
      <c r="AA7" s="15">
        <f>'Commercial-Appliances'!AA7*Conversion!$B$3</f>
        <v>0</v>
      </c>
      <c r="AB7" s="15">
        <f>'Commercial-Appliances'!AB7*Conversion!$B$3</f>
        <v>0</v>
      </c>
      <c r="AC7" s="15">
        <f>'Commercial-Appliances'!AC7*Conversion!$B$3</f>
        <v>0</v>
      </c>
      <c r="AD7" s="15">
        <f>'Commercial-Appliances'!AD7*Conversion!$B$3</f>
        <v>0</v>
      </c>
      <c r="AE7" s="15">
        <f>'Commercial-Appliances'!AE7*Conversion!$B$3</f>
        <v>0</v>
      </c>
      <c r="AF7" s="15">
        <f>'Commercial-Appliances'!AF7*Conversion!$B$3</f>
        <v>0</v>
      </c>
      <c r="AG7" s="15">
        <f>'Commercial-Appliances'!AG7*Conversion!$B$3</f>
        <v>0</v>
      </c>
      <c r="AH7" s="15">
        <f>'Commercial-Appliances'!AH7*Conversion!$B$3</f>
        <v>0</v>
      </c>
      <c r="AI7" s="15">
        <f>'Commercial-Appliances'!AI7*Conversion!$B$3</f>
        <v>0</v>
      </c>
      <c r="AJ7" s="15">
        <f>'Commercial-Appliances'!AJ7*Conversion!$B$3</f>
        <v>0</v>
      </c>
      <c r="AK7" s="15">
        <f>'Commercial-Appliances'!AK7*Conversion!$B$3</f>
        <v>0</v>
      </c>
      <c r="AL7" s="15">
        <f>'Commercial-Appliances'!AL7*Conversion!$B$3</f>
        <v>0</v>
      </c>
      <c r="AM7" s="15">
        <f>'Commercial-Appliances'!AM7*Conversion!$B$3</f>
        <v>0</v>
      </c>
      <c r="AN7" s="15">
        <f>'Commercial-Appliances'!AN7*Conversion!$B$3</f>
        <v>0</v>
      </c>
      <c r="AO7" s="15">
        <f>'Commercial-Appliances'!AO7*Conversion!$B$3</f>
        <v>0</v>
      </c>
      <c r="AP7" s="15">
        <f>'Commercial-Appliances'!AP7*Conversion!$B$3</f>
        <v>0</v>
      </c>
      <c r="AQ7" s="15">
        <f>'Commercial-Appliances'!AQ7*Conversion!$B$3</f>
        <v>0</v>
      </c>
    </row>
    <row r="8" spans="1:43" x14ac:dyDescent="0.2">
      <c r="A8" s="1" t="s">
        <v>18</v>
      </c>
      <c r="B8" s="15">
        <f>'Commercial-Appliances'!B8*Conversion!$B$3</f>
        <v>0</v>
      </c>
      <c r="C8" s="15">
        <f>'Commercial-Appliances'!C8*Conversion!$B$3</f>
        <v>0</v>
      </c>
      <c r="D8" s="15">
        <f>'Commercial-Appliances'!D8*Conversion!$B$3</f>
        <v>0</v>
      </c>
      <c r="E8" s="15">
        <f>'Commercial-Appliances'!E8*Conversion!$B$3</f>
        <v>0</v>
      </c>
      <c r="F8" s="15">
        <f>'Commercial-Appliances'!F8*Conversion!$B$3</f>
        <v>0</v>
      </c>
      <c r="G8" s="15">
        <f>'Commercial-Appliances'!G8*Conversion!$B$3</f>
        <v>0</v>
      </c>
      <c r="H8" s="15">
        <f>'Commercial-Appliances'!H8*Conversion!$B$3</f>
        <v>0</v>
      </c>
      <c r="I8" s="15">
        <f>'Commercial-Appliances'!I8*Conversion!$B$3</f>
        <v>0</v>
      </c>
      <c r="J8" s="15">
        <f>'Commercial-Appliances'!J8*Conversion!$B$3</f>
        <v>0</v>
      </c>
      <c r="K8" s="15">
        <f>'Commercial-Appliances'!K8*Conversion!$B$3</f>
        <v>0</v>
      </c>
      <c r="L8" s="15">
        <f>'Commercial-Appliances'!L8*Conversion!$B$3</f>
        <v>0</v>
      </c>
      <c r="M8" s="15">
        <f>'Commercial-Appliances'!M8*Conversion!$B$3</f>
        <v>0</v>
      </c>
      <c r="N8" s="15">
        <f>'Commercial-Appliances'!N8*Conversion!$B$3</f>
        <v>0</v>
      </c>
      <c r="O8" s="15">
        <f>'Commercial-Appliances'!O8*Conversion!$B$3</f>
        <v>0</v>
      </c>
      <c r="P8" s="15">
        <f>'Commercial-Appliances'!P8*Conversion!$B$3</f>
        <v>0</v>
      </c>
      <c r="Q8" s="15">
        <f>'Commercial-Appliances'!Q8*Conversion!$B$3</f>
        <v>0</v>
      </c>
      <c r="R8" s="15">
        <f>'Commercial-Appliances'!R8*Conversion!$B$3</f>
        <v>0</v>
      </c>
      <c r="S8" s="15">
        <f>'Commercial-Appliances'!S8*Conversion!$B$3</f>
        <v>0</v>
      </c>
      <c r="T8" s="15">
        <f>'Commercial-Appliances'!T8*Conversion!$B$3</f>
        <v>0</v>
      </c>
      <c r="U8" s="15">
        <f>'Commercial-Appliances'!U8*Conversion!$B$3</f>
        <v>0</v>
      </c>
      <c r="V8" s="15">
        <f>'Commercial-Appliances'!V8*Conversion!$B$3</f>
        <v>0</v>
      </c>
      <c r="W8" s="15">
        <f>'Commercial-Appliances'!W8*Conversion!$B$3</f>
        <v>0</v>
      </c>
      <c r="X8" s="15">
        <f>'Commercial-Appliances'!X8*Conversion!$B$3</f>
        <v>0</v>
      </c>
      <c r="Y8" s="15">
        <f>'Commercial-Appliances'!Y8*Conversion!$B$3</f>
        <v>0</v>
      </c>
      <c r="Z8" s="15">
        <f>'Commercial-Appliances'!Z8*Conversion!$B$3</f>
        <v>0</v>
      </c>
      <c r="AA8" s="15">
        <f>'Commercial-Appliances'!AA8*Conversion!$B$3</f>
        <v>0</v>
      </c>
      <c r="AB8" s="15">
        <f>'Commercial-Appliances'!AB8*Conversion!$B$3</f>
        <v>0</v>
      </c>
      <c r="AC8" s="15">
        <f>'Commercial-Appliances'!AC8*Conversion!$B$3</f>
        <v>0</v>
      </c>
      <c r="AD8" s="15">
        <f>'Commercial-Appliances'!AD8*Conversion!$B$3</f>
        <v>0</v>
      </c>
      <c r="AE8" s="15">
        <f>'Commercial-Appliances'!AE8*Conversion!$B$3</f>
        <v>0</v>
      </c>
      <c r="AF8" s="15">
        <f>'Commercial-Appliances'!AF8*Conversion!$B$3</f>
        <v>0</v>
      </c>
      <c r="AG8" s="15">
        <f>'Commercial-Appliances'!AG8*Conversion!$B$3</f>
        <v>0</v>
      </c>
      <c r="AH8" s="15">
        <f>'Commercial-Appliances'!AH8*Conversion!$B$3</f>
        <v>0</v>
      </c>
      <c r="AI8" s="15">
        <f>'Commercial-Appliances'!AI8*Conversion!$B$3</f>
        <v>0</v>
      </c>
      <c r="AJ8" s="15">
        <f>'Commercial-Appliances'!AJ8*Conversion!$B$3</f>
        <v>0</v>
      </c>
      <c r="AK8" s="15">
        <f>'Commercial-Appliances'!AK8*Conversion!$B$3</f>
        <v>0</v>
      </c>
      <c r="AL8" s="15">
        <f>'Commercial-Appliances'!AL8*Conversion!$B$3</f>
        <v>0</v>
      </c>
      <c r="AM8" s="15">
        <f>'Commercial-Appliances'!AM8*Conversion!$B$3</f>
        <v>0</v>
      </c>
      <c r="AN8" s="15">
        <f>'Commercial-Appliances'!AN8*Conversion!$B$3</f>
        <v>0</v>
      </c>
      <c r="AO8" s="15">
        <f>'Commercial-Appliances'!AO8*Conversion!$B$3</f>
        <v>0</v>
      </c>
      <c r="AP8" s="15">
        <f>'Commercial-Appliances'!AP8*Conversion!$B$3</f>
        <v>0</v>
      </c>
      <c r="AQ8" s="15">
        <f>'Commercial-Appliances'!AQ8*Conversion!$B$3</f>
        <v>0</v>
      </c>
    </row>
    <row r="9" spans="1:43" x14ac:dyDescent="0.2">
      <c r="A9" s="1" t="s">
        <v>19</v>
      </c>
      <c r="B9" s="15">
        <f>'Commercial-Appliances'!B9*Conversion!$B$3</f>
        <v>0</v>
      </c>
      <c r="C9" s="15">
        <f>'Commercial-Appliances'!C9*Conversion!$B$3</f>
        <v>0</v>
      </c>
      <c r="D9" s="15">
        <f>'Commercial-Appliances'!D9*Conversion!$B$3</f>
        <v>0</v>
      </c>
      <c r="E9" s="15">
        <f>'Commercial-Appliances'!E9*Conversion!$B$3</f>
        <v>0</v>
      </c>
      <c r="F9" s="15">
        <f>'Commercial-Appliances'!F9*Conversion!$B$3</f>
        <v>0</v>
      </c>
      <c r="G9" s="15">
        <f>'Commercial-Appliances'!G9*Conversion!$B$3</f>
        <v>0</v>
      </c>
      <c r="H9" s="15">
        <f>'Commercial-Appliances'!H9*Conversion!$B$3</f>
        <v>0</v>
      </c>
      <c r="I9" s="15">
        <f>'Commercial-Appliances'!I9*Conversion!$B$3</f>
        <v>0</v>
      </c>
      <c r="J9" s="15">
        <f>'Commercial-Appliances'!J9*Conversion!$B$3</f>
        <v>0</v>
      </c>
      <c r="K9" s="15">
        <f>'Commercial-Appliances'!K9*Conversion!$B$3</f>
        <v>0</v>
      </c>
      <c r="L9" s="15">
        <f>'Commercial-Appliances'!L9*Conversion!$B$3</f>
        <v>0</v>
      </c>
      <c r="M9" s="15">
        <f>'Commercial-Appliances'!M9*Conversion!$B$3</f>
        <v>0</v>
      </c>
      <c r="N9" s="15">
        <f>'Commercial-Appliances'!N9*Conversion!$B$3</f>
        <v>0</v>
      </c>
      <c r="O9" s="15">
        <f>'Commercial-Appliances'!O9*Conversion!$B$3</f>
        <v>0</v>
      </c>
      <c r="P9" s="15">
        <f>'Commercial-Appliances'!P9*Conversion!$B$3</f>
        <v>0</v>
      </c>
      <c r="Q9" s="15">
        <f>'Commercial-Appliances'!Q9*Conversion!$B$3</f>
        <v>0</v>
      </c>
      <c r="R9" s="15">
        <f>'Commercial-Appliances'!R9*Conversion!$B$3</f>
        <v>0</v>
      </c>
      <c r="S9" s="15">
        <f>'Commercial-Appliances'!S9*Conversion!$B$3</f>
        <v>0</v>
      </c>
      <c r="T9" s="15">
        <f>'Commercial-Appliances'!T9*Conversion!$B$3</f>
        <v>0</v>
      </c>
      <c r="U9" s="15">
        <f>'Commercial-Appliances'!U9*Conversion!$B$3</f>
        <v>0</v>
      </c>
      <c r="V9" s="15">
        <f>'Commercial-Appliances'!V9*Conversion!$B$3</f>
        <v>0</v>
      </c>
      <c r="W9" s="15">
        <f>'Commercial-Appliances'!W9*Conversion!$B$3</f>
        <v>0</v>
      </c>
      <c r="X9" s="15">
        <f>'Commercial-Appliances'!X9*Conversion!$B$3</f>
        <v>0</v>
      </c>
      <c r="Y9" s="15">
        <f>'Commercial-Appliances'!Y9*Conversion!$B$3</f>
        <v>0</v>
      </c>
      <c r="Z9" s="15">
        <f>'Commercial-Appliances'!Z9*Conversion!$B$3</f>
        <v>0</v>
      </c>
      <c r="AA9" s="15">
        <f>'Commercial-Appliances'!AA9*Conversion!$B$3</f>
        <v>0</v>
      </c>
      <c r="AB9" s="15">
        <f>'Commercial-Appliances'!AB9*Conversion!$B$3</f>
        <v>0</v>
      </c>
      <c r="AC9" s="15">
        <f>'Commercial-Appliances'!AC9*Conversion!$B$3</f>
        <v>0</v>
      </c>
      <c r="AD9" s="15">
        <f>'Commercial-Appliances'!AD9*Conversion!$B$3</f>
        <v>0</v>
      </c>
      <c r="AE9" s="15">
        <f>'Commercial-Appliances'!AE9*Conversion!$B$3</f>
        <v>0</v>
      </c>
      <c r="AF9" s="15">
        <f>'Commercial-Appliances'!AF9*Conversion!$B$3</f>
        <v>0</v>
      </c>
      <c r="AG9" s="15">
        <f>'Commercial-Appliances'!AG9*Conversion!$B$3</f>
        <v>0</v>
      </c>
      <c r="AH9" s="15">
        <f>'Commercial-Appliances'!AH9*Conversion!$B$3</f>
        <v>0</v>
      </c>
      <c r="AI9" s="15">
        <f>'Commercial-Appliances'!AI9*Conversion!$B$3</f>
        <v>0</v>
      </c>
      <c r="AJ9" s="15">
        <f>'Commercial-Appliances'!AJ9*Conversion!$B$3</f>
        <v>0</v>
      </c>
      <c r="AK9" s="15">
        <f>'Commercial-Appliances'!AK9*Conversion!$B$3</f>
        <v>0</v>
      </c>
      <c r="AL9" s="15">
        <f>'Commercial-Appliances'!AL9*Conversion!$B$3</f>
        <v>0</v>
      </c>
      <c r="AM9" s="15">
        <f>'Commercial-Appliances'!AM9*Conversion!$B$3</f>
        <v>0</v>
      </c>
      <c r="AN9" s="15">
        <f>'Commercial-Appliances'!AN9*Conversion!$B$3</f>
        <v>0</v>
      </c>
      <c r="AO9" s="15">
        <f>'Commercial-Appliances'!AO9*Conversion!$B$3</f>
        <v>0</v>
      </c>
      <c r="AP9" s="15">
        <f>'Commercial-Appliances'!AP9*Conversion!$B$3</f>
        <v>0</v>
      </c>
      <c r="AQ9" s="15">
        <f>'Commercial-Appliances'!AQ9*Conversion!$B$3</f>
        <v>0</v>
      </c>
    </row>
    <row r="10" spans="1:43" x14ac:dyDescent="0.2">
      <c r="A10" s="1" t="s">
        <v>20</v>
      </c>
      <c r="B10" s="15">
        <f>'Commercial-Appliances'!B10*Conversion!$B$3</f>
        <v>0</v>
      </c>
      <c r="C10" s="15">
        <f>'Commercial-Appliances'!C10*Conversion!$B$3</f>
        <v>0</v>
      </c>
      <c r="D10" s="15">
        <f>'Commercial-Appliances'!D10*Conversion!$B$3</f>
        <v>0</v>
      </c>
      <c r="E10" s="15">
        <f>'Commercial-Appliances'!E10*Conversion!$B$3</f>
        <v>0</v>
      </c>
      <c r="F10" s="15">
        <f>'Commercial-Appliances'!F10*Conversion!$B$3</f>
        <v>0</v>
      </c>
      <c r="G10" s="15">
        <f>'Commercial-Appliances'!G10*Conversion!$B$3</f>
        <v>0</v>
      </c>
      <c r="H10" s="15">
        <f>'Commercial-Appliances'!H10*Conversion!$B$3</f>
        <v>0</v>
      </c>
      <c r="I10" s="15">
        <f>'Commercial-Appliances'!I10*Conversion!$B$3</f>
        <v>0</v>
      </c>
      <c r="J10" s="15">
        <f>'Commercial-Appliances'!J10*Conversion!$B$3</f>
        <v>0</v>
      </c>
      <c r="K10" s="15">
        <f>'Commercial-Appliances'!K10*Conversion!$B$3</f>
        <v>0</v>
      </c>
      <c r="L10" s="15">
        <f>'Commercial-Appliances'!L10*Conversion!$B$3</f>
        <v>0</v>
      </c>
      <c r="M10" s="15">
        <f>'Commercial-Appliances'!M10*Conversion!$B$3</f>
        <v>0</v>
      </c>
      <c r="N10" s="15">
        <f>'Commercial-Appliances'!N10*Conversion!$B$3</f>
        <v>0</v>
      </c>
      <c r="O10" s="15">
        <f>'Commercial-Appliances'!O10*Conversion!$B$3</f>
        <v>0</v>
      </c>
      <c r="P10" s="15">
        <f>'Commercial-Appliances'!P10*Conversion!$B$3</f>
        <v>0</v>
      </c>
      <c r="Q10" s="15">
        <f>'Commercial-Appliances'!Q10*Conversion!$B$3</f>
        <v>0</v>
      </c>
      <c r="R10" s="15">
        <f>'Commercial-Appliances'!R10*Conversion!$B$3</f>
        <v>0</v>
      </c>
      <c r="S10" s="15">
        <f>'Commercial-Appliances'!S10*Conversion!$B$3</f>
        <v>0</v>
      </c>
      <c r="T10" s="15">
        <f>'Commercial-Appliances'!T10*Conversion!$B$3</f>
        <v>0</v>
      </c>
      <c r="U10" s="15">
        <f>'Commercial-Appliances'!U10*Conversion!$B$3</f>
        <v>0</v>
      </c>
      <c r="V10" s="15">
        <f>'Commercial-Appliances'!V10*Conversion!$B$3</f>
        <v>0</v>
      </c>
      <c r="W10" s="15">
        <f>'Commercial-Appliances'!W10*Conversion!$B$3</f>
        <v>0</v>
      </c>
      <c r="X10" s="15">
        <f>'Commercial-Appliances'!X10*Conversion!$B$3</f>
        <v>0</v>
      </c>
      <c r="Y10" s="15">
        <f>'Commercial-Appliances'!Y10*Conversion!$B$3</f>
        <v>0</v>
      </c>
      <c r="Z10" s="15">
        <f>'Commercial-Appliances'!Z10*Conversion!$B$3</f>
        <v>0</v>
      </c>
      <c r="AA10" s="15">
        <f>'Commercial-Appliances'!AA10*Conversion!$B$3</f>
        <v>0</v>
      </c>
      <c r="AB10" s="15">
        <f>'Commercial-Appliances'!AB10*Conversion!$B$3</f>
        <v>0</v>
      </c>
      <c r="AC10" s="15">
        <f>'Commercial-Appliances'!AC10*Conversion!$B$3</f>
        <v>0</v>
      </c>
      <c r="AD10" s="15">
        <f>'Commercial-Appliances'!AD10*Conversion!$B$3</f>
        <v>0</v>
      </c>
      <c r="AE10" s="15">
        <f>'Commercial-Appliances'!AE10*Conversion!$B$3</f>
        <v>0</v>
      </c>
      <c r="AF10" s="15">
        <f>'Commercial-Appliances'!AF10*Conversion!$B$3</f>
        <v>0</v>
      </c>
      <c r="AG10" s="15">
        <f>'Commercial-Appliances'!AG10*Conversion!$B$3</f>
        <v>0</v>
      </c>
      <c r="AH10" s="15">
        <f>'Commercial-Appliances'!AH10*Conversion!$B$3</f>
        <v>0</v>
      </c>
      <c r="AI10" s="15">
        <f>'Commercial-Appliances'!AI10*Conversion!$B$3</f>
        <v>0</v>
      </c>
      <c r="AJ10" s="15">
        <f>'Commercial-Appliances'!AJ10*Conversion!$B$3</f>
        <v>0</v>
      </c>
      <c r="AK10" s="15">
        <f>'Commercial-Appliances'!AK10*Conversion!$B$3</f>
        <v>0</v>
      </c>
      <c r="AL10" s="15">
        <f>'Commercial-Appliances'!AL10*Conversion!$B$3</f>
        <v>0</v>
      </c>
      <c r="AM10" s="15">
        <f>'Commercial-Appliances'!AM10*Conversion!$B$3</f>
        <v>0</v>
      </c>
      <c r="AN10" s="15">
        <f>'Commercial-Appliances'!AN10*Conversion!$B$3</f>
        <v>0</v>
      </c>
      <c r="AO10" s="15">
        <f>'Commercial-Appliances'!AO10*Conversion!$B$3</f>
        <v>0</v>
      </c>
      <c r="AP10" s="15">
        <f>'Commercial-Appliances'!AP10*Conversion!$B$3</f>
        <v>0</v>
      </c>
      <c r="AQ10" s="15">
        <f>'Commercial-Appliances'!AQ10*Conversion!$B$3</f>
        <v>0</v>
      </c>
    </row>
    <row r="11" spans="1:43" x14ac:dyDescent="0.2">
      <c r="A11" s="1" t="s">
        <v>21</v>
      </c>
      <c r="B11" s="15">
        <f>'Commercial-Appliances'!B11*Conversion!$B$3</f>
        <v>0</v>
      </c>
      <c r="C11" s="15">
        <f>'Commercial-Appliances'!C11*Conversion!$B$3</f>
        <v>0</v>
      </c>
      <c r="D11" s="15">
        <f>'Commercial-Appliances'!D11*Conversion!$B$3</f>
        <v>0</v>
      </c>
      <c r="E11" s="15">
        <f>'Commercial-Appliances'!E11*Conversion!$B$3</f>
        <v>0</v>
      </c>
      <c r="F11" s="15">
        <f>'Commercial-Appliances'!F11*Conversion!$B$3</f>
        <v>0</v>
      </c>
      <c r="G11" s="15">
        <f>'Commercial-Appliances'!G11*Conversion!$B$3</f>
        <v>0</v>
      </c>
      <c r="H11" s="15">
        <f>'Commercial-Appliances'!H11*Conversion!$B$3</f>
        <v>0</v>
      </c>
      <c r="I11" s="15">
        <f>'Commercial-Appliances'!I11*Conversion!$B$3</f>
        <v>0</v>
      </c>
      <c r="J11" s="15">
        <f>'Commercial-Appliances'!J11*Conversion!$B$3</f>
        <v>0</v>
      </c>
      <c r="K11" s="15">
        <f>'Commercial-Appliances'!K11*Conversion!$B$3</f>
        <v>0</v>
      </c>
      <c r="L11" s="15">
        <f>'Commercial-Appliances'!L11*Conversion!$B$3</f>
        <v>0</v>
      </c>
      <c r="M11" s="15">
        <f>'Commercial-Appliances'!M11*Conversion!$B$3</f>
        <v>0</v>
      </c>
      <c r="N11" s="15">
        <f>'Commercial-Appliances'!N11*Conversion!$B$3</f>
        <v>0</v>
      </c>
      <c r="O11" s="15">
        <f>'Commercial-Appliances'!O11*Conversion!$B$3</f>
        <v>0</v>
      </c>
      <c r="P11" s="15">
        <f>'Commercial-Appliances'!P11*Conversion!$B$3</f>
        <v>0</v>
      </c>
      <c r="Q11" s="15">
        <f>'Commercial-Appliances'!Q11*Conversion!$B$3</f>
        <v>0</v>
      </c>
      <c r="R11" s="15">
        <f>'Commercial-Appliances'!R11*Conversion!$B$3</f>
        <v>0</v>
      </c>
      <c r="S11" s="15">
        <f>'Commercial-Appliances'!S11*Conversion!$B$3</f>
        <v>0</v>
      </c>
      <c r="T11" s="15">
        <f>'Commercial-Appliances'!T11*Conversion!$B$3</f>
        <v>0</v>
      </c>
      <c r="U11" s="15">
        <f>'Commercial-Appliances'!U11*Conversion!$B$3</f>
        <v>0</v>
      </c>
      <c r="V11" s="15">
        <f>'Commercial-Appliances'!V11*Conversion!$B$3</f>
        <v>0</v>
      </c>
      <c r="W11" s="15">
        <f>'Commercial-Appliances'!W11*Conversion!$B$3</f>
        <v>0</v>
      </c>
      <c r="X11" s="15">
        <f>'Commercial-Appliances'!X11*Conversion!$B$3</f>
        <v>0</v>
      </c>
      <c r="Y11" s="15">
        <f>'Commercial-Appliances'!Y11*Conversion!$B$3</f>
        <v>0</v>
      </c>
      <c r="Z11" s="15">
        <f>'Commercial-Appliances'!Z11*Conversion!$B$3</f>
        <v>0</v>
      </c>
      <c r="AA11" s="15">
        <f>'Commercial-Appliances'!AA11*Conversion!$B$3</f>
        <v>0</v>
      </c>
      <c r="AB11" s="15">
        <f>'Commercial-Appliances'!AB11*Conversion!$B$3</f>
        <v>0</v>
      </c>
      <c r="AC11" s="15">
        <f>'Commercial-Appliances'!AC11*Conversion!$B$3</f>
        <v>0</v>
      </c>
      <c r="AD11" s="15">
        <f>'Commercial-Appliances'!AD11*Conversion!$B$3</f>
        <v>0</v>
      </c>
      <c r="AE11" s="15">
        <f>'Commercial-Appliances'!AE11*Conversion!$B$3</f>
        <v>0</v>
      </c>
      <c r="AF11" s="15">
        <f>'Commercial-Appliances'!AF11*Conversion!$B$3</f>
        <v>0</v>
      </c>
      <c r="AG11" s="15">
        <f>'Commercial-Appliances'!AG11*Conversion!$B$3</f>
        <v>0</v>
      </c>
      <c r="AH11" s="15">
        <f>'Commercial-Appliances'!AH11*Conversion!$B$3</f>
        <v>0</v>
      </c>
      <c r="AI11" s="15">
        <f>'Commercial-Appliances'!AI11*Conversion!$B$3</f>
        <v>0</v>
      </c>
      <c r="AJ11" s="15">
        <f>'Commercial-Appliances'!AJ11*Conversion!$B$3</f>
        <v>0</v>
      </c>
      <c r="AK11" s="15">
        <f>'Commercial-Appliances'!AK11*Conversion!$B$3</f>
        <v>0</v>
      </c>
      <c r="AL11" s="15">
        <f>'Commercial-Appliances'!AL11*Conversion!$B$3</f>
        <v>0</v>
      </c>
      <c r="AM11" s="15">
        <f>'Commercial-Appliances'!AM11*Conversion!$B$3</f>
        <v>0</v>
      </c>
      <c r="AN11" s="15">
        <f>'Commercial-Appliances'!AN11*Conversion!$B$3</f>
        <v>0</v>
      </c>
      <c r="AO11" s="15">
        <f>'Commercial-Appliances'!AO11*Conversion!$B$3</f>
        <v>0</v>
      </c>
      <c r="AP11" s="15">
        <f>'Commercial-Appliances'!AP11*Conversion!$B$3</f>
        <v>0</v>
      </c>
      <c r="AQ11" s="15">
        <f>'Commercial-Appliances'!AQ11*Conversion!$B$3</f>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A8E17-9716-784B-A1B1-FC645674B1DC}">
  <sheetPr>
    <tabColor theme="3" tint="0.249977111117893"/>
  </sheetPr>
  <dimension ref="A1:AQ11"/>
  <sheetViews>
    <sheetView workbookViewId="0">
      <selection activeCell="B10" sqref="B10"/>
    </sheetView>
  </sheetViews>
  <sheetFormatPr baseColWidth="10" defaultRowHeight="16" x14ac:dyDescent="0.2"/>
  <sheetData>
    <row r="1" spans="1:4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row>
    <row r="2" spans="1:43" x14ac:dyDescent="0.2">
      <c r="A2" s="1" t="s">
        <v>12</v>
      </c>
      <c r="B2" s="15">
        <f>'Commercial-Others'!B2*Conversion!$B$3</f>
        <v>27142772912954.066</v>
      </c>
      <c r="C2" s="15">
        <f>'Commercial-Others'!C2*Conversion!$B$3</f>
        <v>28014229028706.555</v>
      </c>
      <c r="D2" s="15">
        <f>'Commercial-Others'!D2*Conversion!$B$3</f>
        <v>28885685144459.098</v>
      </c>
      <c r="E2" s="15">
        <f>'Commercial-Others'!E2*Conversion!$B$3</f>
        <v>20391340089713.039</v>
      </c>
      <c r="F2" s="15">
        <f>'Commercial-Others'!F2*Conversion!$B$3</f>
        <v>21037216406647.625</v>
      </c>
      <c r="G2" s="15">
        <f>'Commercial-Others'!G2*Conversion!$B$3</f>
        <v>21524672232967.891</v>
      </c>
      <c r="H2" s="15">
        <f>'Commercial-Others'!H2*Conversion!$B$3</f>
        <v>22037600655448.09</v>
      </c>
      <c r="I2" s="15">
        <f>'Commercial-Others'!I2*Conversion!$B$3</f>
        <v>22658356461146.652</v>
      </c>
      <c r="J2" s="15">
        <f>'Commercial-Others'!J2*Conversion!$B$3</f>
        <v>23308182251852.867</v>
      </c>
      <c r="K2" s="15">
        <f>'Commercial-Others'!K2*Conversion!$B$3</f>
        <v>23988859786283.512</v>
      </c>
      <c r="L2" s="15">
        <f>'Commercial-Others'!L2*Conversion!$B$3</f>
        <v>24702283129550.922</v>
      </c>
      <c r="M2" s="15">
        <f>'Commercial-Others'!M2*Conversion!$B$3</f>
        <v>25450465783826.902</v>
      </c>
      <c r="N2" s="15">
        <f>'Commercial-Others'!N2*Conversion!$B$3</f>
        <v>26214677568424.246</v>
      </c>
      <c r="O2" s="15">
        <f>'Commercial-Others'!O2*Conversion!$B$3</f>
        <v>27017976768494.371</v>
      </c>
      <c r="P2" s="15">
        <f>'Commercial-Others'!P2*Conversion!$B$3</f>
        <v>27862782683699.668</v>
      </c>
      <c r="Q2" s="15">
        <f>'Commercial-Others'!Q2*Conversion!$B$3</f>
        <v>28751667429529.039</v>
      </c>
      <c r="R2" s="15">
        <f>'Commercial-Others'!R2*Conversion!$B$3</f>
        <v>29687365656822.625</v>
      </c>
      <c r="S2" s="15">
        <f>'Commercial-Others'!S2*Conversion!$B$3</f>
        <v>30651450269579.727</v>
      </c>
      <c r="T2" s="15">
        <f>'Commercial-Others'!T2*Conversion!$B$3</f>
        <v>31668258239918.887</v>
      </c>
      <c r="U2" s="15">
        <f>'Commercial-Others'!U2*Conversion!$B$3</f>
        <v>32741076560579.637</v>
      </c>
      <c r="V2" s="15">
        <f>'Commercial-Others'!V2*Conversion!$B$3</f>
        <v>33873400266596.602</v>
      </c>
      <c r="W2" s="15">
        <f>'Commercial-Others'!W2*Conversion!$B$3</f>
        <v>35068945688999.438</v>
      </c>
      <c r="X2" s="15">
        <f>'Commercial-Others'!X2*Conversion!$B$3</f>
        <v>36310580484973.32</v>
      </c>
      <c r="Y2" s="15">
        <f>'Commercial-Others'!Y2*Conversion!$B$3</f>
        <v>37623503757730.625</v>
      </c>
      <c r="Z2" s="15">
        <f>'Commercial-Others'!Z2*Conversion!$B$3</f>
        <v>39012184012862.336</v>
      </c>
      <c r="AA2" s="15">
        <f>'Commercial-Others'!AA2*Conversion!$B$3</f>
        <v>40481373118376.469</v>
      </c>
      <c r="AB2" s="15">
        <f>'Commercial-Others'!AB2*Conversion!$B$3</f>
        <v>42036124384593.922</v>
      </c>
      <c r="AC2" s="15">
        <f>'Commercial-Others'!AC2*Conversion!$B$3</f>
        <v>43661373466101.523</v>
      </c>
      <c r="AD2" s="15">
        <f>'Commercial-Others'!AD2*Conversion!$B$3</f>
        <v>45383190274398.109</v>
      </c>
      <c r="AE2" s="15">
        <f>'Commercial-Others'!AE2*Conversion!$B$3</f>
        <v>47207652897024.109</v>
      </c>
      <c r="AF2" s="15">
        <f>'Commercial-Others'!AF2*Conversion!$B$3</f>
        <v>49141225547043.5</v>
      </c>
      <c r="AG2" s="15">
        <f>'Commercial-Others'!AG2*Conversion!$B$3</f>
        <v>51190783235452.555</v>
      </c>
      <c r="AH2" s="15">
        <f>'Commercial-Others'!AH2*Conversion!$B$3</f>
        <v>53313679764889.281</v>
      </c>
      <c r="AI2" s="15">
        <f>'Commercial-Others'!AI2*Conversion!$B$3</f>
        <v>55567448247593.141</v>
      </c>
      <c r="AJ2" s="15">
        <f>'Commercial-Others'!AJ2*Conversion!$B$3</f>
        <v>57960360478038.133</v>
      </c>
      <c r="AK2" s="15">
        <f>'Commercial-Others'!AK2*Conversion!$B$3</f>
        <v>60501214630542.156</v>
      </c>
      <c r="AL2" s="15">
        <f>'Commercial-Others'!AL2*Conversion!$B$3</f>
        <v>63199368939464.398</v>
      </c>
      <c r="AM2" s="15">
        <f>'Commercial-Others'!AM2*Conversion!$B$3</f>
        <v>66064777543838.711</v>
      </c>
      <c r="AN2" s="15">
        <f>'Commercial-Others'!AN2*Conversion!$B$3</f>
        <v>69108028636020.125</v>
      </c>
      <c r="AO2" s="15">
        <f>'Commercial-Others'!AO2*Conversion!$B$3</f>
        <v>72340385062945.672</v>
      </c>
      <c r="AP2" s="15">
        <f>'Commercial-Others'!AP2*Conversion!$B$3</f>
        <v>75773827538221.938</v>
      </c>
      <c r="AQ2" s="15">
        <f>'Commercial-Others'!AQ2*Conversion!$B$3</f>
        <v>79421100633483.781</v>
      </c>
    </row>
    <row r="3" spans="1:43" x14ac:dyDescent="0.2">
      <c r="A3" s="1" t="s">
        <v>13</v>
      </c>
      <c r="B3" s="15">
        <f>'Commercial-Others'!B3*Conversion!$B$3</f>
        <v>0</v>
      </c>
      <c r="C3" s="15">
        <f>'Commercial-Others'!C3*Conversion!$B$3</f>
        <v>0</v>
      </c>
      <c r="D3" s="15">
        <f>'Commercial-Others'!D3*Conversion!$B$3</f>
        <v>0</v>
      </c>
      <c r="E3" s="15">
        <f>'Commercial-Others'!E3*Conversion!$B$3</f>
        <v>0</v>
      </c>
      <c r="F3" s="15">
        <f>'Commercial-Others'!F3*Conversion!$B$3</f>
        <v>0</v>
      </c>
      <c r="G3" s="15">
        <f>'Commercial-Others'!G3*Conversion!$B$3</f>
        <v>0</v>
      </c>
      <c r="H3" s="15">
        <f>'Commercial-Others'!H3*Conversion!$B$3</f>
        <v>0</v>
      </c>
      <c r="I3" s="15">
        <f>'Commercial-Others'!I3*Conversion!$B$3</f>
        <v>0</v>
      </c>
      <c r="J3" s="15">
        <f>'Commercial-Others'!J3*Conversion!$B$3</f>
        <v>0</v>
      </c>
      <c r="K3" s="15">
        <f>'Commercial-Others'!K3*Conversion!$B$3</f>
        <v>0</v>
      </c>
      <c r="L3" s="15">
        <f>'Commercial-Others'!L3*Conversion!$B$3</f>
        <v>0</v>
      </c>
      <c r="M3" s="15">
        <f>'Commercial-Others'!M3*Conversion!$B$3</f>
        <v>0</v>
      </c>
      <c r="N3" s="15">
        <f>'Commercial-Others'!N3*Conversion!$B$3</f>
        <v>0</v>
      </c>
      <c r="O3" s="15">
        <f>'Commercial-Others'!O3*Conversion!$B$3</f>
        <v>0</v>
      </c>
      <c r="P3" s="15">
        <f>'Commercial-Others'!P3*Conversion!$B$3</f>
        <v>0</v>
      </c>
      <c r="Q3" s="15">
        <f>'Commercial-Others'!Q3*Conversion!$B$3</f>
        <v>0</v>
      </c>
      <c r="R3" s="15">
        <f>'Commercial-Others'!R3*Conversion!$B$3</f>
        <v>0</v>
      </c>
      <c r="S3" s="15">
        <f>'Commercial-Others'!S3*Conversion!$B$3</f>
        <v>0</v>
      </c>
      <c r="T3" s="15">
        <f>'Commercial-Others'!T3*Conversion!$B$3</f>
        <v>0</v>
      </c>
      <c r="U3" s="15">
        <f>'Commercial-Others'!U3*Conversion!$B$3</f>
        <v>0</v>
      </c>
      <c r="V3" s="15">
        <f>'Commercial-Others'!V3*Conversion!$B$3</f>
        <v>0</v>
      </c>
      <c r="W3" s="15">
        <f>'Commercial-Others'!W3*Conversion!$B$3</f>
        <v>0</v>
      </c>
      <c r="X3" s="15">
        <f>'Commercial-Others'!X3*Conversion!$B$3</f>
        <v>0</v>
      </c>
      <c r="Y3" s="15">
        <f>'Commercial-Others'!Y3*Conversion!$B$3</f>
        <v>0</v>
      </c>
      <c r="Z3" s="15">
        <f>'Commercial-Others'!Z3*Conversion!$B$3</f>
        <v>0</v>
      </c>
      <c r="AA3" s="15">
        <f>'Commercial-Others'!AA3*Conversion!$B$3</f>
        <v>0</v>
      </c>
      <c r="AB3" s="15">
        <f>'Commercial-Others'!AB3*Conversion!$B$3</f>
        <v>0</v>
      </c>
      <c r="AC3" s="15">
        <f>'Commercial-Others'!AC3*Conversion!$B$3</f>
        <v>0</v>
      </c>
      <c r="AD3" s="15">
        <f>'Commercial-Others'!AD3*Conversion!$B$3</f>
        <v>0</v>
      </c>
      <c r="AE3" s="15">
        <f>'Commercial-Others'!AE3*Conversion!$B$3</f>
        <v>0</v>
      </c>
      <c r="AF3" s="15">
        <f>'Commercial-Others'!AF3*Conversion!$B$3</f>
        <v>0</v>
      </c>
      <c r="AG3" s="15">
        <f>'Commercial-Others'!AG3*Conversion!$B$3</f>
        <v>0</v>
      </c>
      <c r="AH3" s="15">
        <f>'Commercial-Others'!AH3*Conversion!$B$3</f>
        <v>0</v>
      </c>
      <c r="AI3" s="15">
        <f>'Commercial-Others'!AI3*Conversion!$B$3</f>
        <v>0</v>
      </c>
      <c r="AJ3" s="15">
        <f>'Commercial-Others'!AJ3*Conversion!$B$3</f>
        <v>0</v>
      </c>
      <c r="AK3" s="15">
        <f>'Commercial-Others'!AK3*Conversion!$B$3</f>
        <v>0</v>
      </c>
      <c r="AL3" s="15">
        <f>'Commercial-Others'!AL3*Conversion!$B$3</f>
        <v>0</v>
      </c>
      <c r="AM3" s="15">
        <f>'Commercial-Others'!AM3*Conversion!$B$3</f>
        <v>0</v>
      </c>
      <c r="AN3" s="15">
        <f>'Commercial-Others'!AN3*Conversion!$B$3</f>
        <v>0</v>
      </c>
      <c r="AO3" s="15">
        <f>'Commercial-Others'!AO3*Conversion!$B$3</f>
        <v>0</v>
      </c>
      <c r="AP3" s="15">
        <f>'Commercial-Others'!AP3*Conversion!$B$3</f>
        <v>0</v>
      </c>
      <c r="AQ3" s="15">
        <f>'Commercial-Others'!AQ3*Conversion!$B$3</f>
        <v>0</v>
      </c>
    </row>
    <row r="4" spans="1:43" x14ac:dyDescent="0.2">
      <c r="A4" s="1" t="s">
        <v>14</v>
      </c>
      <c r="B4" s="15">
        <f>'Commercial-Others'!B4*Conversion!$B$3</f>
        <v>2017203787648.6472</v>
      </c>
      <c r="C4" s="15">
        <f>'Commercial-Others'!C4*Conversion!$B$3</f>
        <v>2067638832346.5251</v>
      </c>
      <c r="D4" s="15">
        <f>'Commercial-Others'!D4*Conversion!$B$3</f>
        <v>2118073877044.3887</v>
      </c>
      <c r="E4" s="15">
        <f>'Commercial-Others'!E4*Conversion!$B$3</f>
        <v>2184916719936.2007</v>
      </c>
      <c r="F4" s="15">
        <f>'Commercial-Others'!F4*Conversion!$B$3</f>
        <v>2222666573088.8433</v>
      </c>
      <c r="G4" s="15">
        <f>'Commercial-Others'!G4*Conversion!$B$3</f>
        <v>2262501812109.418</v>
      </c>
      <c r="H4" s="15">
        <f>'Commercial-Others'!H4*Conversion!$B$3</f>
        <v>2304558538928.748</v>
      </c>
      <c r="I4" s="15">
        <f>'Commercial-Others'!I4*Conversion!$B$3</f>
        <v>2358691764983.2632</v>
      </c>
      <c r="J4" s="15">
        <f>'Commercial-Others'!J4*Conversion!$B$3</f>
        <v>2415345910345.7231</v>
      </c>
      <c r="K4" s="15">
        <f>'Commercial-Others'!K4*Conversion!$B$3</f>
        <v>2474685501874.4604</v>
      </c>
      <c r="L4" s="15">
        <f>'Commercial-Others'!L4*Conversion!$B$3</f>
        <v>2536885804211.8438</v>
      </c>
      <c r="M4" s="15">
        <f>'Commercial-Others'!M4*Conversion!$B$3</f>
        <v>2602133520581.7544</v>
      </c>
      <c r="N4" s="15">
        <f>'Commercial-Others'!N4*Conversion!$B$3</f>
        <v>2668145203817.8032</v>
      </c>
      <c r="O4" s="15">
        <f>'Commercial-Others'!O4*Conversion!$B$3</f>
        <v>2737615058140.0098</v>
      </c>
      <c r="P4" s="15">
        <f>'Commercial-Others'!P4*Conversion!$B$3</f>
        <v>2810768779794.4131</v>
      </c>
      <c r="Q4" s="15">
        <f>'Commercial-Others'!Q4*Conversion!$B$3</f>
        <v>2887846795008.3662</v>
      </c>
      <c r="R4" s="15">
        <f>'Commercial-Others'!R4*Conversion!$B$3</f>
        <v>2969105221337.2749</v>
      </c>
      <c r="S4" s="15">
        <f>'Commercial-Others'!S4*Conversion!$B$3</f>
        <v>3052305859579.2529</v>
      </c>
      <c r="T4" s="15">
        <f>'Commercial-Others'!T4*Conversion!$B$3</f>
        <v>3140250381222.5898</v>
      </c>
      <c r="U4" s="15">
        <f>'Commercial-Others'!U4*Conversion!$B$3</f>
        <v>3233248394048.0098</v>
      </c>
      <c r="V4" s="15">
        <f>'Commercial-Others'!V4*Conversion!$B$3</f>
        <v>3331629712272.5566</v>
      </c>
      <c r="W4" s="15">
        <f>'Commercial-Others'!W4*Conversion!$B$3</f>
        <v>3435745675315.1328</v>
      </c>
      <c r="X4" s="15">
        <f>'Commercial-Others'!X4*Conversion!$B$3</f>
        <v>3543514639205.8018</v>
      </c>
      <c r="Y4" s="15">
        <f>'Commercial-Others'!Y4*Conversion!$B$3</f>
        <v>3657791213380.9316</v>
      </c>
      <c r="Z4" s="15">
        <f>'Commercial-Others'!Z4*Conversion!$B$3</f>
        <v>3779000114598.3999</v>
      </c>
      <c r="AA4" s="15">
        <f>'Commercial-Others'!AA4*Conversion!$B$3</f>
        <v>3907593778596.8677</v>
      </c>
      <c r="AB4" s="15">
        <f>'Commercial-Others'!AB4*Conversion!$B$3</f>
        <v>4044054169164.7153</v>
      </c>
      <c r="AC4" s="15">
        <f>'Commercial-Others'!AC4*Conversion!$B$3</f>
        <v>4186538344944.1528</v>
      </c>
      <c r="AD4" s="15">
        <f>'Commercial-Others'!AD4*Conversion!$B$3</f>
        <v>4337949593341.4131</v>
      </c>
      <c r="AE4" s="15">
        <f>'Commercial-Others'!AE4*Conversion!$B$3</f>
        <v>4498870536421.0996</v>
      </c>
      <c r="AF4" s="15">
        <f>'Commercial-Others'!AF4*Conversion!$B$3</f>
        <v>4669921820859.5449</v>
      </c>
      <c r="AG4" s="15">
        <f>'Commercial-Others'!AG4*Conversion!$B$3</f>
        <v>4851764599606.9102</v>
      </c>
      <c r="AH4" s="15">
        <f>'Commercial-Others'!AH4*Conversion!$B$3</f>
        <v>5039401710801.3838</v>
      </c>
      <c r="AI4" s="15">
        <f>'Commercial-Others'!AI4*Conversion!$B$3</f>
        <v>5239284888069.3232</v>
      </c>
      <c r="AJ4" s="15">
        <f>'Commercial-Others'!AJ4*Conversion!$B$3</f>
        <v>5452213366345.2305</v>
      </c>
      <c r="AK4" s="15">
        <f>'Commercial-Others'!AK4*Conversion!$B$3</f>
        <v>5679038542333.4902</v>
      </c>
      <c r="AL4" s="15">
        <f>'Commercial-Others'!AL4*Conversion!$B$3</f>
        <v>5920667378826.835</v>
      </c>
      <c r="AM4" s="15">
        <f>'Commercial-Others'!AM4*Conversion!$B$3</f>
        <v>6178066031206.3604</v>
      </c>
      <c r="AN4" s="15">
        <f>'Commercial-Others'!AN4*Conversion!$B$3</f>
        <v>6452263710623.7383</v>
      </c>
      <c r="AO4" s="15">
        <f>'Commercial-Others'!AO4*Conversion!$B$3</f>
        <v>6744356799312.5596</v>
      </c>
      <c r="AP4" s="15">
        <f>'Commercial-Others'!AP4*Conversion!$B$3</f>
        <v>7055513234483.9326</v>
      </c>
      <c r="AQ4" s="15">
        <f>'Commercial-Others'!AQ4*Conversion!$B$3</f>
        <v>7386977178335.415</v>
      </c>
    </row>
    <row r="5" spans="1:43" x14ac:dyDescent="0.2">
      <c r="A5" s="1" t="s">
        <v>15</v>
      </c>
      <c r="B5" s="15">
        <f>'Commercial-Others'!B5*Conversion!$B$3</f>
        <v>874045186837.57446</v>
      </c>
      <c r="C5" s="15">
        <f>'Commercial-Others'!C5*Conversion!$B$3</f>
        <v>894548729532.75403</v>
      </c>
      <c r="D5" s="15">
        <f>'Commercial-Others'!D5*Conversion!$B$3</f>
        <v>915052272227.93359</v>
      </c>
      <c r="E5" s="15">
        <f>'Commercial-Others'!E5*Conversion!$B$3</f>
        <v>940314725031.59558</v>
      </c>
      <c r="F5" s="15">
        <f>'Commercial-Others'!F5*Conversion!$B$3</f>
        <v>965609899436.65881</v>
      </c>
      <c r="G5" s="15">
        <f>'Commercial-Others'!G5*Conversion!$B$3</f>
        <v>978989084085.99597</v>
      </c>
      <c r="H5" s="15">
        <f>'Commercial-Others'!H5*Conversion!$B$3</f>
        <v>992934139276.48462</v>
      </c>
      <c r="I5" s="15">
        <f>'Commercial-Others'!I5*Conversion!$B$3</f>
        <v>1012285601365.5935</v>
      </c>
      <c r="J5" s="15">
        <f>'Commercial-Others'!J5*Conversion!$B$3</f>
        <v>1032300743120.6917</v>
      </c>
      <c r="K5" s="15">
        <f>'Commercial-Others'!K5*Conversion!$B$3</f>
        <v>1053020391180.4172</v>
      </c>
      <c r="L5" s="15">
        <f>'Commercial-Others'!L5*Conversion!$B$3</f>
        <v>1074488034787.0649</v>
      </c>
      <c r="M5" s="15">
        <f>'Commercial-Others'!M5*Conversion!$B$3</f>
        <v>1096749999463.8389</v>
      </c>
      <c r="N5" s="15">
        <f>'Commercial-Others'!N5*Conversion!$B$3</f>
        <v>1118612343410.9055</v>
      </c>
      <c r="O5" s="15">
        <f>'Commercial-Others'!O5*Conversion!$B$3</f>
        <v>1141364912342.5918</v>
      </c>
      <c r="P5" s="15">
        <f>'Commercial-Others'!P5*Conversion!$B$3</f>
        <v>1165063699734.1597</v>
      </c>
      <c r="Q5" s="15">
        <f>'Commercial-Others'!Q5*Conversion!$B$3</f>
        <v>1189768350988.7759</v>
      </c>
      <c r="R5" s="15">
        <f>'Commercial-Others'!R5*Conversion!$B$3</f>
        <v>1215542401655.9543</v>
      </c>
      <c r="S5" s="15">
        <f>'Commercial-Others'!S5*Conversion!$B$3</f>
        <v>1241180675905.5112</v>
      </c>
      <c r="T5" s="15">
        <f>'Commercial-Others'!T5*Conversion!$B$3</f>
        <v>1268022045169.7744</v>
      </c>
      <c r="U5" s="15">
        <f>'Commercial-Others'!U5*Conversion!$B$3</f>
        <v>1296143305294.74</v>
      </c>
      <c r="V5" s="15">
        <f>'Commercial-Others'!V5*Conversion!$B$3</f>
        <v>1325626261032.1375</v>
      </c>
      <c r="W5" s="15">
        <f>'Commercial-Others'!W5*Conversion!$B$3</f>
        <v>1356558052786.468</v>
      </c>
      <c r="X5" s="15">
        <f>'Commercial-Others'!X5*Conversion!$B$3</f>
        <v>1387771729065.9922</v>
      </c>
      <c r="Y5" s="15">
        <f>'Commercial-Others'!Y5*Conversion!$B$3</f>
        <v>1420619999971.1431</v>
      </c>
      <c r="Z5" s="15">
        <f>'Commercial-Others'!Z5*Conversion!$B$3</f>
        <v>1455208193563.6133</v>
      </c>
      <c r="AA5" s="15">
        <f>'Commercial-Others'!AA5*Conversion!$B$3</f>
        <v>1491648508085.9207</v>
      </c>
      <c r="AB5" s="15">
        <f>'Commercial-Others'!AB5*Conversion!$B$3</f>
        <v>1530060460140.4055</v>
      </c>
      <c r="AC5" s="15">
        <f>'Commercial-Others'!AC5*Conversion!$B$3</f>
        <v>1569348394924.5432</v>
      </c>
      <c r="AD5" s="15">
        <f>'Commercial-Others'!AD5*Conversion!$B$3</f>
        <v>1610865193177.8274</v>
      </c>
      <c r="AE5" s="15">
        <f>'Commercial-Others'!AE5*Conversion!$B$3</f>
        <v>1654755317721.7373</v>
      </c>
      <c r="AF5" s="15">
        <f>'Commercial-Others'!AF5*Conversion!$B$3</f>
        <v>1701172654564.5742</v>
      </c>
      <c r="AG5" s="15">
        <f>'Commercial-Others'!AG5*Conversion!$B$3</f>
        <v>1750281127645.9744</v>
      </c>
      <c r="AH5" s="15">
        <f>'Commercial-Others'!AH5*Conversion!$B$3</f>
        <v>1799261755796.6079</v>
      </c>
      <c r="AI5" s="15">
        <f>'Commercial-Others'!AI5*Conversion!$B$3</f>
        <v>1851280344563.5183</v>
      </c>
      <c r="AJ5" s="15">
        <f>'Commercial-Others'!AJ5*Conversion!$B$3</f>
        <v>1906535034485.7629</v>
      </c>
      <c r="AK5" s="15">
        <f>'Commercial-Others'!AK5*Conversion!$B$3</f>
        <v>1965236891129.4016</v>
      </c>
      <c r="AL5" s="15">
        <f>'Commercial-Others'!AL5*Conversion!$B$3</f>
        <v>2027610748307.4993</v>
      </c>
      <c r="AM5" s="15">
        <f>'Commercial-Others'!AM5*Conversion!$B$3</f>
        <v>2093896106316.2048</v>
      </c>
      <c r="AN5" s="15">
        <f>'Commercial-Others'!AN5*Conversion!$B$3</f>
        <v>2164348088776.7107</v>
      </c>
      <c r="AO5" s="15">
        <f>'Commercial-Others'!AO5*Conversion!$B$3</f>
        <v>2239238461907.1069</v>
      </c>
      <c r="AP5" s="15">
        <f>'Commercial-Others'!AP5*Conversion!$B$3</f>
        <v>2318856720297.708</v>
      </c>
      <c r="AQ5" s="15">
        <f>'Commercial-Others'!AQ5*Conversion!$B$3</f>
        <v>2403511243529.2217</v>
      </c>
    </row>
    <row r="6" spans="1:43" x14ac:dyDescent="0.2">
      <c r="A6" s="1" t="s">
        <v>16</v>
      </c>
      <c r="B6" s="15">
        <f>'Commercial-Others'!B6*Conversion!$B$3</f>
        <v>4089541145545.8047</v>
      </c>
      <c r="C6" s="15">
        <f>'Commercial-Others'!C6*Conversion!$B$3</f>
        <v>4370342227609.4141</v>
      </c>
      <c r="D6" s="15">
        <f>'Commercial-Others'!D6*Conversion!$B$3</f>
        <v>4651143309673.0234</v>
      </c>
      <c r="E6" s="15">
        <f>'Commercial-Others'!E6*Conversion!$B$3</f>
        <v>5091318450219.7236</v>
      </c>
      <c r="F6" s="15">
        <f>'Commercial-Others'!F6*Conversion!$B$3</f>
        <v>5288576006761.1514</v>
      </c>
      <c r="G6" s="15">
        <f>'Commercial-Others'!G6*Conversion!$B$3</f>
        <v>5498220264207.9658</v>
      </c>
      <c r="H6" s="15">
        <f>'Commercial-Others'!H6*Conversion!$B$3</f>
        <v>5721059635974.5146</v>
      </c>
      <c r="I6" s="15">
        <f>'Commercial-Others'!I6*Conversion!$B$3</f>
        <v>5970460080912.8438</v>
      </c>
      <c r="J6" s="15">
        <f>'Commercial-Others'!J6*Conversion!$B$3</f>
        <v>6234834192813.3838</v>
      </c>
      <c r="K6" s="15">
        <f>'Commercial-Others'!K6*Conversion!$B$3</f>
        <v>6515159222465.25</v>
      </c>
      <c r="L6" s="15">
        <f>'Commercial-Others'!L6*Conversion!$B$3</f>
        <v>6812476200565.7891</v>
      </c>
      <c r="M6" s="15">
        <f>'Commercial-Others'!M6*Conversion!$B$3</f>
        <v>7127894100292.5049</v>
      </c>
      <c r="N6" s="15">
        <f>'Commercial-Others'!N6*Conversion!$B$3</f>
        <v>7459397465670.4326</v>
      </c>
      <c r="O6" s="15">
        <f>'Commercial-Others'!O6*Conversion!$B$3</f>
        <v>7811441552831.584</v>
      </c>
      <c r="P6" s="15">
        <f>'Commercial-Others'!P6*Conversion!$B$3</f>
        <v>8185366944321.4512</v>
      </c>
      <c r="Q6" s="15">
        <f>'Commercial-Others'!Q6*Conversion!$B$3</f>
        <v>8582601715305.3213</v>
      </c>
      <c r="R6" s="15">
        <f>'Commercial-Others'!R6*Conversion!$B$3</f>
        <v>9004667143741.4785</v>
      </c>
      <c r="S6" s="15">
        <f>'Commercial-Others'!S6*Conversion!$B$3</f>
        <v>9449950031158.4141</v>
      </c>
      <c r="T6" s="15">
        <f>'Commercial-Others'!T6*Conversion!$B$3</f>
        <v>9923410468699.8789</v>
      </c>
      <c r="U6" s="15">
        <f>'Commercial-Others'!U6*Conversion!$B$3</f>
        <v>10426887453664.529</v>
      </c>
      <c r="V6" s="15">
        <f>'Commercial-Others'!V6*Conversion!$B$3</f>
        <v>10962340004823.766</v>
      </c>
      <c r="W6" s="15">
        <f>'Commercial-Others'!W6*Conversion!$B$3</f>
        <v>11531854995578.385</v>
      </c>
      <c r="X6" s="15">
        <f>'Commercial-Others'!X6*Conversion!$B$3</f>
        <v>12134492719403.688</v>
      </c>
      <c r="Y6" s="15">
        <f>'Commercial-Others'!Y6*Conversion!$B$3</f>
        <v>12775784115646.137</v>
      </c>
      <c r="Z6" s="15">
        <f>'Commercial-Others'!Z6*Conversion!$B$3</f>
        <v>13458251901818.221</v>
      </c>
      <c r="AA6" s="15">
        <f>'Commercial-Others'!AA6*Conversion!$B$3</f>
        <v>14184583439649.898</v>
      </c>
      <c r="AB6" s="15">
        <f>'Commercial-Others'!AB6*Conversion!$B$3</f>
        <v>14957641480532.055</v>
      </c>
      <c r="AC6" s="15">
        <f>'Commercial-Others'!AC6*Conversion!$B$3</f>
        <v>15777441039963.426</v>
      </c>
      <c r="AD6" s="15">
        <f>'Commercial-Others'!AD6*Conversion!$B$3</f>
        <v>16650265308240.275</v>
      </c>
      <c r="AE6" s="15">
        <f>'Commercial-Others'!AE6*Conversion!$B$3</f>
        <v>17579574923207.188</v>
      </c>
      <c r="AF6" s="15">
        <f>'Commercial-Others'!AF6*Conversion!$B$3</f>
        <v>18569056379946.855</v>
      </c>
      <c r="AG6" s="15">
        <f>'Commercial-Others'!AG6*Conversion!$B$3</f>
        <v>19622636771268.473</v>
      </c>
      <c r="AH6" s="15">
        <f>'Commercial-Others'!AH6*Conversion!$B$3</f>
        <v>20737157019466.086</v>
      </c>
      <c r="AI6" s="15">
        <f>'Commercial-Others'!AI6*Conversion!$B$3</f>
        <v>21924416015946.262</v>
      </c>
      <c r="AJ6" s="15">
        <f>'Commercial-Others'!AJ6*Conversion!$B$3</f>
        <v>23189161027984.113</v>
      </c>
      <c r="AK6" s="15">
        <f>'Commercial-Others'!AK6*Conversion!$B$3</f>
        <v>24536449151482.715</v>
      </c>
      <c r="AL6" s="15">
        <f>'Commercial-Others'!AL6*Conversion!$B$3</f>
        <v>25971667531822.996</v>
      </c>
      <c r="AM6" s="15">
        <f>'Commercial-Others'!AM6*Conversion!$B$3</f>
        <v>27500554904419.727</v>
      </c>
      <c r="AN6" s="15">
        <f>'Commercial-Others'!AN6*Conversion!$B$3</f>
        <v>29129224541113.992</v>
      </c>
      <c r="AO6" s="15">
        <f>'Commercial-Others'!AO6*Conversion!$B$3</f>
        <v>30864188694153.336</v>
      </c>
      <c r="AP6" s="15">
        <f>'Commercial-Others'!AP6*Conversion!$B$3</f>
        <v>32712384635499.16</v>
      </c>
      <c r="AQ6" s="15">
        <f>'Commercial-Others'!AQ6*Conversion!$B$3</f>
        <v>34681202395579.828</v>
      </c>
    </row>
    <row r="7" spans="1:43" x14ac:dyDescent="0.2">
      <c r="A7" s="1" t="s">
        <v>17</v>
      </c>
      <c r="B7" s="15">
        <f>'Commercial-Others'!B7*Conversion!$B$3</f>
        <v>6060197738717.0371</v>
      </c>
      <c r="C7" s="15">
        <f>'Commercial-Others'!C7*Conversion!$B$3</f>
        <v>6388858225239.6943</v>
      </c>
      <c r="D7" s="15">
        <f>'Commercial-Others'!D7*Conversion!$B$3</f>
        <v>6717518711762.2373</v>
      </c>
      <c r="E7" s="15">
        <f>'Commercial-Others'!E7*Conversion!$B$3</f>
        <v>7049558759713.6709</v>
      </c>
      <c r="F7" s="15">
        <f>'Commercial-Others'!F7*Conversion!$B$3</f>
        <v>7368080561950.125</v>
      </c>
      <c r="G7" s="15">
        <f>'Commercial-Others'!G7*Conversion!$B$3</f>
        <v>7706879732758.9229</v>
      </c>
      <c r="H7" s="15">
        <f>'Commercial-Others'!H7*Conversion!$B$3</f>
        <v>8067279667036.4795</v>
      </c>
      <c r="I7" s="15">
        <f>'Commercial-Others'!I7*Conversion!$B$3</f>
        <v>8463800549275.2236</v>
      </c>
      <c r="J7" s="15">
        <f>'Commercial-Others'!J7*Conversion!$B$3</f>
        <v>8884833734361.3105</v>
      </c>
      <c r="K7" s="15">
        <f>'Commercial-Others'!K7*Conversion!$B$3</f>
        <v>9331979008596.9902</v>
      </c>
      <c r="L7" s="15">
        <f>'Commercial-Others'!L7*Conversion!$B$3</f>
        <v>9806940567740.7988</v>
      </c>
      <c r="M7" s="15">
        <f>'Commercial-Others'!M7*Conversion!$B$3</f>
        <v>10311533831251.797</v>
      </c>
      <c r="N7" s="15">
        <f>'Commercial-Others'!N7*Conversion!$B$3</f>
        <v>10844341067085.664</v>
      </c>
      <c r="O7" s="15">
        <f>'Commercial-Others'!O7*Conversion!$B$3</f>
        <v>11410774026953.871</v>
      </c>
      <c r="P7" s="15">
        <f>'Commercial-Others'!P7*Conversion!$B$3</f>
        <v>12013027281193.131</v>
      </c>
      <c r="Q7" s="15">
        <f>'Commercial-Others'!Q7*Conversion!$B$3</f>
        <v>12653438627954.586</v>
      </c>
      <c r="R7" s="15">
        <f>'Commercial-Others'!R7*Conversion!$B$3</f>
        <v>13334498440913.742</v>
      </c>
      <c r="S7" s="15">
        <f>'Commercial-Others'!S7*Conversion!$B$3</f>
        <v>14055469246813.473</v>
      </c>
      <c r="T7" s="15">
        <f>'Commercial-Others'!T7*Conversion!$B$3</f>
        <v>14822567473864.736</v>
      </c>
      <c r="U7" s="15">
        <f>'Commercial-Others'!U7*Conversion!$B$3</f>
        <v>15638803611003.461</v>
      </c>
      <c r="V7" s="15">
        <f>'Commercial-Others'!V7*Conversion!$B$3</f>
        <v>16507384625603.066</v>
      </c>
      <c r="W7" s="15">
        <f>'Commercial-Others'!W7*Conversion!$B$3</f>
        <v>17431726786566.396</v>
      </c>
      <c r="X7" s="15">
        <f>'Commercial-Others'!X7*Conversion!$B$3</f>
        <v>18412153365067.262</v>
      </c>
      <c r="Y7" s="15">
        <f>'Commercial-Others'!Y7*Conversion!$B$3</f>
        <v>19455857063784.73</v>
      </c>
      <c r="Z7" s="15">
        <f>'Commercial-Others'!Z7*Conversion!$B$3</f>
        <v>20566967640367.363</v>
      </c>
      <c r="AA7" s="15">
        <f>'Commercial-Others'!AA7*Conversion!$B$3</f>
        <v>21749884379556.27</v>
      </c>
      <c r="AB7" s="15">
        <f>'Commercial-Others'!AB7*Conversion!$B$3</f>
        <v>23009293683770.25</v>
      </c>
      <c r="AC7" s="15">
        <f>'Commercial-Others'!AC7*Conversion!$B$3</f>
        <v>24347006268463.379</v>
      </c>
      <c r="AD7" s="15">
        <f>'Commercial-Others'!AD7*Conversion!$B$3</f>
        <v>25771521753534.398</v>
      </c>
      <c r="AE7" s="15">
        <f>'Commercial-Others'!AE7*Conversion!$B$3</f>
        <v>27288505297899.004</v>
      </c>
      <c r="AF7" s="15">
        <f>'Commercial-Others'!AF7*Conversion!$B$3</f>
        <v>28903991794956.383</v>
      </c>
      <c r="AG7" s="15">
        <f>'Commercial-Others'!AG7*Conversion!$B$3</f>
        <v>30624410003172.438</v>
      </c>
      <c r="AH7" s="15">
        <f>'Commercial-Others'!AH7*Conversion!$B$3</f>
        <v>32448910168847.445</v>
      </c>
      <c r="AI7" s="15">
        <f>'Commercial-Others'!AI7*Conversion!$B$3</f>
        <v>34392485657296.676</v>
      </c>
      <c r="AJ7" s="15">
        <f>'Commercial-Others'!AJ7*Conversion!$B$3</f>
        <v>36462907875045.883</v>
      </c>
      <c r="AK7" s="15">
        <f>'Commercial-Others'!AK7*Conversion!$B$3</f>
        <v>38668455426569.008</v>
      </c>
      <c r="AL7" s="15">
        <f>'Commercial-Others'!AL7*Conversion!$B$3</f>
        <v>41017947216373.055</v>
      </c>
      <c r="AM7" s="15">
        <f>'Commercial-Others'!AM7*Conversion!$B$3</f>
        <v>43520777711478.219</v>
      </c>
      <c r="AN7" s="15">
        <f>'Commercial-Others'!AN7*Conversion!$B$3</f>
        <v>46186954505290.664</v>
      </c>
      <c r="AO7" s="15">
        <f>'Commercial-Others'!AO7*Conversion!$B$3</f>
        <v>49027138333067.32</v>
      </c>
      <c r="AP7" s="15">
        <f>'Commercial-Others'!AP7*Conversion!$B$3</f>
        <v>52052685698975.258</v>
      </c>
      <c r="AQ7" s="15">
        <f>'Commercial-Others'!AQ7*Conversion!$B$3</f>
        <v>55275694285190.008</v>
      </c>
    </row>
    <row r="8" spans="1:43" x14ac:dyDescent="0.2">
      <c r="A8" s="1" t="s">
        <v>18</v>
      </c>
      <c r="B8" s="15">
        <f>'Commercial-Others'!B8*Conversion!$B$3</f>
        <v>589338205153.08337</v>
      </c>
      <c r="C8" s="15">
        <f>'Commercial-Others'!C8*Conversion!$B$3</f>
        <v>594041390831.98901</v>
      </c>
      <c r="D8" s="15">
        <f>'Commercial-Others'!D8*Conversion!$B$3</f>
        <v>598744576510.89465</v>
      </c>
      <c r="E8" s="15">
        <f>'Commercial-Others'!E8*Conversion!$B$3</f>
        <v>607829998269.28101</v>
      </c>
      <c r="F8" s="15">
        <f>'Commercial-Others'!F8*Conversion!$B$3</f>
        <v>609908437992.27124</v>
      </c>
      <c r="G8" s="15">
        <f>'Commercial-Others'!G8*Conversion!$B$3</f>
        <v>611986877715.2616</v>
      </c>
      <c r="H8" s="15">
        <f>'Commercial-Others'!H8*Conversion!$B$3</f>
        <v>614065317438.25195</v>
      </c>
      <c r="I8" s="15">
        <f>'Commercial-Others'!I8*Conversion!$B$3</f>
        <v>619625114676.76709</v>
      </c>
      <c r="J8" s="15">
        <f>'Commercial-Others'!J8*Conversion!$B$3</f>
        <v>625184911915.28223</v>
      </c>
      <c r="K8" s="15">
        <f>'Commercial-Others'!K8*Conversion!$B$3</f>
        <v>630744709153.79736</v>
      </c>
      <c r="L8" s="15">
        <f>'Commercial-Others'!L8*Conversion!$B$3</f>
        <v>636304506392.3125</v>
      </c>
      <c r="M8" s="15">
        <f>'Commercial-Others'!M8*Conversion!$B$3</f>
        <v>641864303630.82776</v>
      </c>
      <c r="N8" s="15">
        <f>'Commercial-Others'!N8*Conversion!$B$3</f>
        <v>646534103602.30103</v>
      </c>
      <c r="O8" s="15">
        <f>'Commercial-Others'!O8*Conversion!$B$3</f>
        <v>651203903573.77466</v>
      </c>
      <c r="P8" s="15">
        <f>'Commercial-Others'!P8*Conversion!$B$3</f>
        <v>655873703545.24817</v>
      </c>
      <c r="Q8" s="15">
        <f>'Commercial-Others'!Q8*Conversion!$B$3</f>
        <v>660543503516.72156</v>
      </c>
      <c r="R8" s="15">
        <f>'Commercial-Others'!R8*Conversion!$B$3</f>
        <v>665213303488.19507</v>
      </c>
      <c r="S8" s="15">
        <f>'Commercial-Others'!S8*Conversion!$B$3</f>
        <v>668982817512.65015</v>
      </c>
      <c r="T8" s="15">
        <f>'Commercial-Others'!T8*Conversion!$B$3</f>
        <v>672752331537.1051</v>
      </c>
      <c r="U8" s="15">
        <f>'Commercial-Others'!U8*Conversion!$B$3</f>
        <v>676521845561.56006</v>
      </c>
      <c r="V8" s="15">
        <f>'Commercial-Others'!V8*Conversion!$B$3</f>
        <v>680291359586.01501</v>
      </c>
      <c r="W8" s="15">
        <f>'Commercial-Others'!W8*Conversion!$B$3</f>
        <v>684060873610.46997</v>
      </c>
      <c r="X8" s="15">
        <f>'Commercial-Others'!X8*Conversion!$B$3</f>
        <v>686949863535.52283</v>
      </c>
      <c r="Y8" s="15">
        <f>'Commercial-Others'!Y8*Conversion!$B$3</f>
        <v>689838853460.57532</v>
      </c>
      <c r="Z8" s="15">
        <f>'Commercial-Others'!Z8*Conversion!$B$3</f>
        <v>692727843385.62805</v>
      </c>
      <c r="AA8" s="15">
        <f>'Commercial-Others'!AA8*Conversion!$B$3</f>
        <v>695616833310.68079</v>
      </c>
      <c r="AB8" s="15">
        <f>'Commercial-Others'!AB8*Conversion!$B$3</f>
        <v>698505823235.73328</v>
      </c>
      <c r="AC8" s="15">
        <f>'Commercial-Others'!AC8*Conversion!$B$3</f>
        <v>700549982052.71704</v>
      </c>
      <c r="AD8" s="15">
        <f>'Commercial-Others'!AD8*Conversion!$B$3</f>
        <v>702594140869.70081</v>
      </c>
      <c r="AE8" s="15">
        <f>'Commercial-Others'!AE8*Conversion!$B$3</f>
        <v>704638299686.68445</v>
      </c>
      <c r="AF8" s="15">
        <f>'Commercial-Others'!AF8*Conversion!$B$3</f>
        <v>706682458503.66797</v>
      </c>
      <c r="AG8" s="15">
        <f>'Commercial-Others'!AG8*Conversion!$B$3</f>
        <v>708726617320.65173</v>
      </c>
      <c r="AH8" s="15">
        <f>'Commercial-Others'!AH8*Conversion!$B$3</f>
        <v>708726617320.65173</v>
      </c>
      <c r="AI8" s="15">
        <f>'Commercial-Others'!AI8*Conversion!$B$3</f>
        <v>708726617320.65173</v>
      </c>
      <c r="AJ8" s="15">
        <f>'Commercial-Others'!AJ8*Conversion!$B$3</f>
        <v>708726617320.65173</v>
      </c>
      <c r="AK8" s="15">
        <f>'Commercial-Others'!AK8*Conversion!$B$3</f>
        <v>708726617320.65173</v>
      </c>
      <c r="AL8" s="15">
        <f>'Commercial-Others'!AL8*Conversion!$B$3</f>
        <v>708726617320.65173</v>
      </c>
      <c r="AM8" s="15">
        <f>'Commercial-Others'!AM8*Conversion!$B$3</f>
        <v>708726617320.65173</v>
      </c>
      <c r="AN8" s="15">
        <f>'Commercial-Others'!AN8*Conversion!$B$3</f>
        <v>708726617320.65173</v>
      </c>
      <c r="AO8" s="15">
        <f>'Commercial-Others'!AO8*Conversion!$B$3</f>
        <v>708726617320.65173</v>
      </c>
      <c r="AP8" s="15">
        <f>'Commercial-Others'!AP8*Conversion!$B$3</f>
        <v>708726617320.65173</v>
      </c>
      <c r="AQ8" s="15">
        <f>'Commercial-Others'!AQ8*Conversion!$B$3</f>
        <v>708726617320.65173</v>
      </c>
    </row>
    <row r="9" spans="1:43" x14ac:dyDescent="0.2">
      <c r="A9" s="1" t="s">
        <v>19</v>
      </c>
      <c r="B9" s="15">
        <f>'Commercial-Others'!B9*Conversion!$B$3</f>
        <v>0</v>
      </c>
      <c r="C9" s="15">
        <f>'Commercial-Others'!C9*Conversion!$B$3</f>
        <v>0</v>
      </c>
      <c r="D9" s="15">
        <f>'Commercial-Others'!D9*Conversion!$B$3</f>
        <v>0</v>
      </c>
      <c r="E9" s="15">
        <f>'Commercial-Others'!E9*Conversion!$B$3</f>
        <v>0</v>
      </c>
      <c r="F9" s="15">
        <f>'Commercial-Others'!F9*Conversion!$B$3</f>
        <v>0</v>
      </c>
      <c r="G9" s="15">
        <f>'Commercial-Others'!G9*Conversion!$B$3</f>
        <v>0</v>
      </c>
      <c r="H9" s="15">
        <f>'Commercial-Others'!H9*Conversion!$B$3</f>
        <v>0</v>
      </c>
      <c r="I9" s="15">
        <f>'Commercial-Others'!I9*Conversion!$B$3</f>
        <v>0</v>
      </c>
      <c r="J9" s="15">
        <f>'Commercial-Others'!J9*Conversion!$B$3</f>
        <v>0</v>
      </c>
      <c r="K9" s="15">
        <f>'Commercial-Others'!K9*Conversion!$B$3</f>
        <v>0</v>
      </c>
      <c r="L9" s="15">
        <f>'Commercial-Others'!L9*Conversion!$B$3</f>
        <v>0</v>
      </c>
      <c r="M9" s="15">
        <f>'Commercial-Others'!M9*Conversion!$B$3</f>
        <v>0</v>
      </c>
      <c r="N9" s="15">
        <f>'Commercial-Others'!N9*Conversion!$B$3</f>
        <v>0</v>
      </c>
      <c r="O9" s="15">
        <f>'Commercial-Others'!O9*Conversion!$B$3</f>
        <v>0</v>
      </c>
      <c r="P9" s="15">
        <f>'Commercial-Others'!P9*Conversion!$B$3</f>
        <v>0</v>
      </c>
      <c r="Q9" s="15">
        <f>'Commercial-Others'!Q9*Conversion!$B$3</f>
        <v>0</v>
      </c>
      <c r="R9" s="15">
        <f>'Commercial-Others'!R9*Conversion!$B$3</f>
        <v>0</v>
      </c>
      <c r="S9" s="15">
        <f>'Commercial-Others'!S9*Conversion!$B$3</f>
        <v>0</v>
      </c>
      <c r="T9" s="15">
        <f>'Commercial-Others'!T9*Conversion!$B$3</f>
        <v>0</v>
      </c>
      <c r="U9" s="15">
        <f>'Commercial-Others'!U9*Conversion!$B$3</f>
        <v>0</v>
      </c>
      <c r="V9" s="15">
        <f>'Commercial-Others'!V9*Conversion!$B$3</f>
        <v>0</v>
      </c>
      <c r="W9" s="15">
        <f>'Commercial-Others'!W9*Conversion!$B$3</f>
        <v>0</v>
      </c>
      <c r="X9" s="15">
        <f>'Commercial-Others'!X9*Conversion!$B$3</f>
        <v>0</v>
      </c>
      <c r="Y9" s="15">
        <f>'Commercial-Others'!Y9*Conversion!$B$3</f>
        <v>0</v>
      </c>
      <c r="Z9" s="15">
        <f>'Commercial-Others'!Z9*Conversion!$B$3</f>
        <v>0</v>
      </c>
      <c r="AA9" s="15">
        <f>'Commercial-Others'!AA9*Conversion!$B$3</f>
        <v>0</v>
      </c>
      <c r="AB9" s="15">
        <f>'Commercial-Others'!AB9*Conversion!$B$3</f>
        <v>0</v>
      </c>
      <c r="AC9" s="15">
        <f>'Commercial-Others'!AC9*Conversion!$B$3</f>
        <v>0</v>
      </c>
      <c r="AD9" s="15">
        <f>'Commercial-Others'!AD9*Conversion!$B$3</f>
        <v>0</v>
      </c>
      <c r="AE9" s="15">
        <f>'Commercial-Others'!AE9*Conversion!$B$3</f>
        <v>0</v>
      </c>
      <c r="AF9" s="15">
        <f>'Commercial-Others'!AF9*Conversion!$B$3</f>
        <v>0</v>
      </c>
      <c r="AG9" s="15">
        <f>'Commercial-Others'!AG9*Conversion!$B$3</f>
        <v>0</v>
      </c>
      <c r="AH9" s="15">
        <f>'Commercial-Others'!AH9*Conversion!$B$3</f>
        <v>0</v>
      </c>
      <c r="AI9" s="15">
        <f>'Commercial-Others'!AI9*Conversion!$B$3</f>
        <v>0</v>
      </c>
      <c r="AJ9" s="15">
        <f>'Commercial-Others'!AJ9*Conversion!$B$3</f>
        <v>0</v>
      </c>
      <c r="AK9" s="15">
        <f>'Commercial-Others'!AK9*Conversion!$B$3</f>
        <v>0</v>
      </c>
      <c r="AL9" s="15">
        <f>'Commercial-Others'!AL9*Conversion!$B$3</f>
        <v>0</v>
      </c>
      <c r="AM9" s="15">
        <f>'Commercial-Others'!AM9*Conversion!$B$3</f>
        <v>0</v>
      </c>
      <c r="AN9" s="15">
        <f>'Commercial-Others'!AN9*Conversion!$B$3</f>
        <v>0</v>
      </c>
      <c r="AO9" s="15">
        <f>'Commercial-Others'!AO9*Conversion!$B$3</f>
        <v>0</v>
      </c>
      <c r="AP9" s="15">
        <f>'Commercial-Others'!AP9*Conversion!$B$3</f>
        <v>0</v>
      </c>
      <c r="AQ9" s="15">
        <f>'Commercial-Others'!AQ9*Conversion!$B$3</f>
        <v>0</v>
      </c>
    </row>
    <row r="10" spans="1:43" x14ac:dyDescent="0.2">
      <c r="A10" s="1" t="s">
        <v>20</v>
      </c>
      <c r="B10" s="15">
        <f>'Commercial-Others'!B10*Conversion!$B$3</f>
        <v>400222471202.87085</v>
      </c>
      <c r="C10" s="15">
        <f>'Commercial-Others'!C10*Conversion!$B$3</f>
        <v>403359686215.60626</v>
      </c>
      <c r="D10" s="15">
        <f>'Commercial-Others'!D10*Conversion!$B$3</f>
        <v>406496901228.34167</v>
      </c>
      <c r="E10" s="15">
        <f>'Commercial-Others'!E10*Conversion!$B$3</f>
        <v>412420895792.82629</v>
      </c>
      <c r="F10" s="15">
        <f>'Commercial-Others'!F10*Conversion!$B$3</f>
        <v>413831145327.8078</v>
      </c>
      <c r="G10" s="15">
        <f>'Commercial-Others'!G10*Conversion!$B$3</f>
        <v>415241394862.78925</v>
      </c>
      <c r="H10" s="15">
        <f>'Commercial-Others'!H10*Conversion!$B$3</f>
        <v>416651644397.77081</v>
      </c>
      <c r="I10" s="15">
        <f>'Commercial-Others'!I10*Conversion!$B$3</f>
        <v>420424042213.05444</v>
      </c>
      <c r="J10" s="15">
        <f>'Commercial-Others'!J10*Conversion!$B$3</f>
        <v>424196440028.33807</v>
      </c>
      <c r="K10" s="15">
        <f>'Commercial-Others'!K10*Conversion!$B$3</f>
        <v>427968837843.62177</v>
      </c>
      <c r="L10" s="15">
        <f>'Commercial-Others'!L10*Conversion!$B$3</f>
        <v>431741235658.9054</v>
      </c>
      <c r="M10" s="15">
        <f>'Commercial-Others'!M10*Conversion!$B$3</f>
        <v>435513633474.18909</v>
      </c>
      <c r="N10" s="15">
        <f>'Commercial-Others'!N10*Conversion!$B$3</f>
        <v>438682156075.72607</v>
      </c>
      <c r="O10" s="15">
        <f>'Commercial-Others'!O10*Conversion!$B$3</f>
        <v>441850678677.26306</v>
      </c>
      <c r="P10" s="15">
        <f>'Commercial-Others'!P10*Conversion!$B$3</f>
        <v>445019201278.79999</v>
      </c>
      <c r="Q10" s="15">
        <f>'Commercial-Others'!Q10*Conversion!$B$3</f>
        <v>448187723880.33691</v>
      </c>
      <c r="R10" s="15">
        <f>'Commercial-Others'!R10*Conversion!$B$3</f>
        <v>451356246481.87396</v>
      </c>
      <c r="S10" s="15">
        <f>'Commercial-Others'!S10*Conversion!$B$3</f>
        <v>453913912860.78906</v>
      </c>
      <c r="T10" s="15">
        <f>'Commercial-Others'!T10*Conversion!$B$3</f>
        <v>456471579239.70422</v>
      </c>
      <c r="U10" s="15">
        <f>'Commercial-Others'!U10*Conversion!$B$3</f>
        <v>459029245618.61926</v>
      </c>
      <c r="V10" s="15">
        <f>'Commercial-Others'!V10*Conversion!$B$3</f>
        <v>461586911997.53436</v>
      </c>
      <c r="W10" s="15">
        <f>'Commercial-Others'!W10*Conversion!$B$3</f>
        <v>464144578376.4494</v>
      </c>
      <c r="X10" s="15">
        <f>'Commercial-Others'!X10*Conversion!$B$3</f>
        <v>466104797214.31403</v>
      </c>
      <c r="Y10" s="15">
        <f>'Commercial-Others'!Y10*Conversion!$B$3</f>
        <v>468065016052.17877</v>
      </c>
      <c r="Z10" s="15">
        <f>'Commercial-Others'!Z10*Conversion!$B$3</f>
        <v>470025234890.04321</v>
      </c>
      <c r="AA10" s="15">
        <f>'Commercial-Others'!AA10*Conversion!$B$3</f>
        <v>471985453727.90796</v>
      </c>
      <c r="AB10" s="15">
        <f>'Commercial-Others'!AB10*Conversion!$B$3</f>
        <v>473945672565.77258</v>
      </c>
      <c r="AC10" s="15">
        <f>'Commercial-Others'!AC10*Conversion!$B$3</f>
        <v>475332662041.19128</v>
      </c>
      <c r="AD10" s="15">
        <f>'Commercial-Others'!AD10*Conversion!$B$3</f>
        <v>476719651516.60992</v>
      </c>
      <c r="AE10" s="15">
        <f>'Commercial-Others'!AE10*Conversion!$B$3</f>
        <v>478106640992.0285</v>
      </c>
      <c r="AF10" s="15">
        <f>'Commercial-Others'!AF10*Conversion!$B$3</f>
        <v>479493630467.44714</v>
      </c>
      <c r="AG10" s="15">
        <f>'Commercial-Others'!AG10*Conversion!$B$3</f>
        <v>480880619942.86572</v>
      </c>
      <c r="AH10" s="15">
        <f>'Commercial-Others'!AH10*Conversion!$B$3</f>
        <v>480880619942.86572</v>
      </c>
      <c r="AI10" s="15">
        <f>'Commercial-Others'!AI10*Conversion!$B$3</f>
        <v>480880619942.86572</v>
      </c>
      <c r="AJ10" s="15">
        <f>'Commercial-Others'!AJ10*Conversion!$B$3</f>
        <v>480880619942.86572</v>
      </c>
      <c r="AK10" s="15">
        <f>'Commercial-Others'!AK10*Conversion!$B$3</f>
        <v>480880619942.86572</v>
      </c>
      <c r="AL10" s="15">
        <f>'Commercial-Others'!AL10*Conversion!$B$3</f>
        <v>480880619942.86572</v>
      </c>
      <c r="AM10" s="15">
        <f>'Commercial-Others'!AM10*Conversion!$B$3</f>
        <v>480880619942.86572</v>
      </c>
      <c r="AN10" s="15">
        <f>'Commercial-Others'!AN10*Conversion!$B$3</f>
        <v>480880619942.86572</v>
      </c>
      <c r="AO10" s="15">
        <f>'Commercial-Others'!AO10*Conversion!$B$3</f>
        <v>480880619942.86572</v>
      </c>
      <c r="AP10" s="15">
        <f>'Commercial-Others'!AP10*Conversion!$B$3</f>
        <v>480880619942.86572</v>
      </c>
      <c r="AQ10" s="15">
        <f>'Commercial-Others'!AQ10*Conversion!$B$3</f>
        <v>480880619942.86572</v>
      </c>
    </row>
    <row r="11" spans="1:43" x14ac:dyDescent="0.2">
      <c r="A11" s="1" t="s">
        <v>21</v>
      </c>
      <c r="B11" s="15">
        <f>'Commercial-Others'!B11*Conversion!$B$3</f>
        <v>0</v>
      </c>
      <c r="C11" s="15">
        <f>'Commercial-Others'!C11*Conversion!$B$3</f>
        <v>0</v>
      </c>
      <c r="D11" s="15">
        <f>'Commercial-Others'!D11*Conversion!$B$3</f>
        <v>0</v>
      </c>
      <c r="E11" s="15">
        <f>'Commercial-Others'!E11*Conversion!$B$3</f>
        <v>0</v>
      </c>
      <c r="F11" s="15">
        <f>'Commercial-Others'!F11*Conversion!$B$3</f>
        <v>0</v>
      </c>
      <c r="G11" s="15">
        <f>'Commercial-Others'!G11*Conversion!$B$3</f>
        <v>0</v>
      </c>
      <c r="H11" s="15">
        <f>'Commercial-Others'!H11*Conversion!$B$3</f>
        <v>0</v>
      </c>
      <c r="I11" s="15">
        <f>'Commercial-Others'!I11*Conversion!$B$3</f>
        <v>0</v>
      </c>
      <c r="J11" s="15">
        <f>'Commercial-Others'!J11*Conversion!$B$3</f>
        <v>0</v>
      </c>
      <c r="K11" s="15">
        <f>'Commercial-Others'!K11*Conversion!$B$3</f>
        <v>0</v>
      </c>
      <c r="L11" s="15">
        <f>'Commercial-Others'!L11*Conversion!$B$3</f>
        <v>0</v>
      </c>
      <c r="M11" s="15">
        <f>'Commercial-Others'!M11*Conversion!$B$3</f>
        <v>0</v>
      </c>
      <c r="N11" s="15">
        <f>'Commercial-Others'!N11*Conversion!$B$3</f>
        <v>0</v>
      </c>
      <c r="O11" s="15">
        <f>'Commercial-Others'!O11*Conversion!$B$3</f>
        <v>0</v>
      </c>
      <c r="P11" s="15">
        <f>'Commercial-Others'!P11*Conversion!$B$3</f>
        <v>0</v>
      </c>
      <c r="Q11" s="15">
        <f>'Commercial-Others'!Q11*Conversion!$B$3</f>
        <v>0</v>
      </c>
      <c r="R11" s="15">
        <f>'Commercial-Others'!R11*Conversion!$B$3</f>
        <v>0</v>
      </c>
      <c r="S11" s="15">
        <f>'Commercial-Others'!S11*Conversion!$B$3</f>
        <v>0</v>
      </c>
      <c r="T11" s="15">
        <f>'Commercial-Others'!T11*Conversion!$B$3</f>
        <v>0</v>
      </c>
      <c r="U11" s="15">
        <f>'Commercial-Others'!U11*Conversion!$B$3</f>
        <v>0</v>
      </c>
      <c r="V11" s="15">
        <f>'Commercial-Others'!V11*Conversion!$B$3</f>
        <v>0</v>
      </c>
      <c r="W11" s="15">
        <f>'Commercial-Others'!W11*Conversion!$B$3</f>
        <v>0</v>
      </c>
      <c r="X11" s="15">
        <f>'Commercial-Others'!X11*Conversion!$B$3</f>
        <v>0</v>
      </c>
      <c r="Y11" s="15">
        <f>'Commercial-Others'!Y11*Conversion!$B$3</f>
        <v>0</v>
      </c>
      <c r="Z11" s="15">
        <f>'Commercial-Others'!Z11*Conversion!$B$3</f>
        <v>0</v>
      </c>
      <c r="AA11" s="15">
        <f>'Commercial-Others'!AA11*Conversion!$B$3</f>
        <v>0</v>
      </c>
      <c r="AB11" s="15">
        <f>'Commercial-Others'!AB11*Conversion!$B$3</f>
        <v>0</v>
      </c>
      <c r="AC11" s="15">
        <f>'Commercial-Others'!AC11*Conversion!$B$3</f>
        <v>0</v>
      </c>
      <c r="AD11" s="15">
        <f>'Commercial-Others'!AD11*Conversion!$B$3</f>
        <v>0</v>
      </c>
      <c r="AE11" s="15">
        <f>'Commercial-Others'!AE11*Conversion!$B$3</f>
        <v>0</v>
      </c>
      <c r="AF11" s="15">
        <f>'Commercial-Others'!AF11*Conversion!$B$3</f>
        <v>0</v>
      </c>
      <c r="AG11" s="15">
        <f>'Commercial-Others'!AG11*Conversion!$B$3</f>
        <v>0</v>
      </c>
      <c r="AH11" s="15">
        <f>'Commercial-Others'!AH11*Conversion!$B$3</f>
        <v>0</v>
      </c>
      <c r="AI11" s="15">
        <f>'Commercial-Others'!AI11*Conversion!$B$3</f>
        <v>0</v>
      </c>
      <c r="AJ11" s="15">
        <f>'Commercial-Others'!AJ11*Conversion!$B$3</f>
        <v>0</v>
      </c>
      <c r="AK11" s="15">
        <f>'Commercial-Others'!AK11*Conversion!$B$3</f>
        <v>0</v>
      </c>
      <c r="AL11" s="15">
        <f>'Commercial-Others'!AL11*Conversion!$B$3</f>
        <v>0</v>
      </c>
      <c r="AM11" s="15">
        <f>'Commercial-Others'!AM11*Conversion!$B$3</f>
        <v>0</v>
      </c>
      <c r="AN11" s="15">
        <f>'Commercial-Others'!AN11*Conversion!$B$3</f>
        <v>0</v>
      </c>
      <c r="AO11" s="15">
        <f>'Commercial-Others'!AO11*Conversion!$B$3</f>
        <v>0</v>
      </c>
      <c r="AP11" s="15">
        <f>'Commercial-Others'!AP11*Conversion!$B$3</f>
        <v>0</v>
      </c>
      <c r="AQ11" s="15">
        <f>'Commercial-Others'!AQ11*Conversion!$B$3</f>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FAA6E-2D07-F04F-840A-EDB80FE3E7DD}">
  <sheetPr>
    <tabColor theme="3" tint="0.249977111117893"/>
  </sheetPr>
  <dimension ref="A1:AQ11"/>
  <sheetViews>
    <sheetView workbookViewId="0">
      <selection activeCell="C1" sqref="C1:AG1"/>
    </sheetView>
  </sheetViews>
  <sheetFormatPr baseColWidth="10" defaultRowHeight="16" x14ac:dyDescent="0.2"/>
  <sheetData>
    <row r="1" spans="1:43" x14ac:dyDescent="0.2">
      <c r="A1" s="1" t="s">
        <v>11</v>
      </c>
      <c r="B1" s="12">
        <v>2019</v>
      </c>
      <c r="C1" s="12">
        <v>2020</v>
      </c>
      <c r="D1" s="12">
        <v>2021</v>
      </c>
      <c r="E1" s="12">
        <v>2022</v>
      </c>
      <c r="F1" s="12">
        <v>2023</v>
      </c>
      <c r="G1" s="12">
        <v>2024</v>
      </c>
      <c r="H1" s="12">
        <v>2025</v>
      </c>
      <c r="I1" s="12">
        <v>2026</v>
      </c>
      <c r="J1" s="12">
        <v>2027</v>
      </c>
      <c r="K1" s="12">
        <v>2028</v>
      </c>
      <c r="L1" s="12">
        <v>2029</v>
      </c>
      <c r="M1" s="12">
        <v>2030</v>
      </c>
      <c r="N1" s="12">
        <v>2031</v>
      </c>
      <c r="O1" s="12">
        <v>2032</v>
      </c>
      <c r="P1" s="12">
        <v>2033</v>
      </c>
      <c r="Q1" s="12">
        <v>2034</v>
      </c>
      <c r="R1" s="12">
        <v>2035</v>
      </c>
      <c r="S1" s="12">
        <v>2036</v>
      </c>
      <c r="T1" s="12">
        <v>2037</v>
      </c>
      <c r="U1" s="12">
        <v>2038</v>
      </c>
      <c r="V1" s="12">
        <v>2039</v>
      </c>
      <c r="W1" s="12">
        <v>2040</v>
      </c>
      <c r="X1" s="12">
        <v>2041</v>
      </c>
      <c r="Y1" s="12">
        <v>2042</v>
      </c>
      <c r="Z1" s="12">
        <v>2043</v>
      </c>
      <c r="AA1" s="12">
        <v>2044</v>
      </c>
      <c r="AB1" s="12">
        <v>2045</v>
      </c>
      <c r="AC1" s="12">
        <v>2046</v>
      </c>
      <c r="AD1" s="12">
        <v>2047</v>
      </c>
      <c r="AE1" s="12">
        <v>2048</v>
      </c>
      <c r="AF1" s="12">
        <v>2049</v>
      </c>
      <c r="AG1" s="12">
        <v>2050</v>
      </c>
      <c r="AH1" s="12">
        <v>2051</v>
      </c>
      <c r="AI1" s="12">
        <v>2052</v>
      </c>
      <c r="AJ1" s="12">
        <v>2053</v>
      </c>
      <c r="AK1" s="12">
        <v>2054</v>
      </c>
      <c r="AL1" s="12">
        <v>2055</v>
      </c>
      <c r="AM1" s="12">
        <v>2056</v>
      </c>
      <c r="AN1" s="12">
        <v>2057</v>
      </c>
      <c r="AO1" s="12">
        <v>2058</v>
      </c>
      <c r="AP1" s="12">
        <v>2059</v>
      </c>
      <c r="AQ1" s="12">
        <v>2060</v>
      </c>
    </row>
    <row r="2" spans="1:43" x14ac:dyDescent="0.2">
      <c r="A2" s="1" t="s">
        <v>12</v>
      </c>
      <c r="B2" s="4">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row>
    <row r="3" spans="1:43" x14ac:dyDescent="0.2">
      <c r="A3" s="1" t="s">
        <v>13</v>
      </c>
      <c r="B3" s="4">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row>
    <row r="4" spans="1:43" x14ac:dyDescent="0.2">
      <c r="A4" s="1" t="s">
        <v>14</v>
      </c>
      <c r="B4" s="4">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row>
    <row r="5" spans="1:43" x14ac:dyDescent="0.2">
      <c r="A5" s="1" t="s">
        <v>15</v>
      </c>
      <c r="B5" s="4">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row>
    <row r="6" spans="1:43" x14ac:dyDescent="0.2">
      <c r="A6" s="1" t="s">
        <v>16</v>
      </c>
      <c r="B6" s="4">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row>
    <row r="7" spans="1:43" x14ac:dyDescent="0.2">
      <c r="A7" s="1" t="s">
        <v>17</v>
      </c>
      <c r="B7" s="4">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row>
    <row r="8" spans="1:43" x14ac:dyDescent="0.2">
      <c r="A8" s="1" t="s">
        <v>18</v>
      </c>
      <c r="B8" s="4">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row>
    <row r="9" spans="1:43" x14ac:dyDescent="0.2">
      <c r="A9" s="1" t="s">
        <v>19</v>
      </c>
      <c r="B9" s="4">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row>
    <row r="10" spans="1:43" x14ac:dyDescent="0.2">
      <c r="A10" s="1" t="s">
        <v>20</v>
      </c>
      <c r="B10" s="4">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row>
    <row r="11" spans="1:43" x14ac:dyDescent="0.2">
      <c r="A11" s="1" t="s">
        <v>21</v>
      </c>
      <c r="B11" s="4">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36</vt:i4>
      </vt:variant>
    </vt:vector>
  </HeadingPairs>
  <TitlesOfParts>
    <vt:vector size="36" baseType="lpstr">
      <vt:lpstr>About </vt:lpstr>
      <vt:lpstr>Commercial</vt:lpstr>
      <vt:lpstr>Commercial-Conversion</vt:lpstr>
      <vt:lpstr>Electricity</vt:lpstr>
      <vt:lpstr>Electricity-Conversion</vt:lpstr>
      <vt:lpstr>Total Other Sectors</vt:lpstr>
      <vt:lpstr>Total Electricity Consumption</vt:lpstr>
      <vt:lpstr>Commercial-Heating</vt:lpstr>
      <vt:lpstr>Commercial-Cooling</vt:lpstr>
      <vt:lpstr>Commercial-Lighting</vt:lpstr>
      <vt:lpstr>Commercial-Appliances</vt:lpstr>
      <vt:lpstr>Commercial-Others</vt:lpstr>
      <vt:lpstr>Residential</vt:lpstr>
      <vt:lpstr>Residential-Conversion</vt:lpstr>
      <vt:lpstr>Residentail-Heating</vt:lpstr>
      <vt:lpstr>Residential-Cooling</vt:lpstr>
      <vt:lpstr>Residential-lighting</vt:lpstr>
      <vt:lpstr>Residential-Appliances</vt:lpstr>
      <vt:lpstr>Residential-Other</vt:lpstr>
      <vt:lpstr>Conversion</vt:lpstr>
      <vt:lpstr>BCEU-urban-residential-heating</vt:lpstr>
      <vt:lpstr>BCEU-urban-residential-cooling</vt:lpstr>
      <vt:lpstr>BCEU-urban-residential-lighting</vt:lpstr>
      <vt:lpstr>BCEU-urban-residential-appl</vt:lpstr>
      <vt:lpstr>BCEU-urban-residential-other</vt:lpstr>
      <vt:lpstr>BCEU-rural-residential-heating</vt:lpstr>
      <vt:lpstr>BCEU-rural-residential-cooling</vt:lpstr>
      <vt:lpstr>BCEU-rural-residential-lighting</vt:lpstr>
      <vt:lpstr>BCEU-rural-residential-appl</vt:lpstr>
      <vt:lpstr>BCEU-rural-residential-other</vt:lpstr>
      <vt:lpstr>BCEU-commercial-heating</vt:lpstr>
      <vt:lpstr>BCEU-commercial-cooling</vt:lpstr>
      <vt:lpstr>BCEU-commercial-lighting</vt:lpstr>
      <vt:lpstr>BCEU-commercial-appl</vt:lpstr>
      <vt:lpstr>BCEU-commercial-other</vt:lpstr>
      <vt:lpstr>BCEU-all-envelope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 Saidou Abdoulaye</dc:creator>
  <cp:lastModifiedBy>Sy, Saidou Abdoulaye</cp:lastModifiedBy>
  <dcterms:created xsi:type="dcterms:W3CDTF">2024-10-07T12:43:26Z</dcterms:created>
  <dcterms:modified xsi:type="dcterms:W3CDTF">2025-01-16T17:39:48Z</dcterms:modified>
</cp:coreProperties>
</file>