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ssy02/Desktop/Postdoc Projects/eps-indonesia-cpl/InputData/land/PLANAbPiaSY/"/>
    </mc:Choice>
  </mc:AlternateContent>
  <xr:revisionPtr revIDLastSave="0" documentId="13_ncr:1_{5BF033EB-207D-1E4D-AD87-DE79FF73337A}" xr6:coauthVersionLast="47" xr6:coauthVersionMax="47" xr10:uidLastSave="{00000000-0000-0000-0000-000000000000}"/>
  <bookViews>
    <workbookView xWindow="0" yWindow="760" windowWidth="34200" windowHeight="21380" activeTab="3" xr2:uid="{00000000-000D-0000-FFFF-FFFF00000000}"/>
  </bookViews>
  <sheets>
    <sheet name="About" sheetId="1" r:id="rId1"/>
    <sheet name="Set Asides" sheetId="2" r:id="rId2"/>
    <sheet name="CO2 Sequestrated" sheetId="5" r:id="rId3"/>
    <sheet name="Potential land area" sheetId="3" r:id="rId4"/>
    <sheet name="PLANAbPiaSY" sheetId="4" r:id="rId5"/>
  </sheets>
  <externalReferences>
    <externalReference r:id="rId6"/>
  </externalReferences>
  <definedNames>
    <definedName name="acres_per_hectare">#REF!</definedName>
    <definedName name="acres_per_million_hectares" localSheetId="1">#REF!</definedName>
    <definedName name="acres_per_million_hectares">#REF!</definedName>
    <definedName name="C_to_CO2">'[1]Conversion Factors'!$A$4</definedName>
    <definedName name="grams_per_t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VJn36eam5aaaqNoPuA/GHsRoUnrF6hjLYom9c7LSd0="/>
    </ext>
  </extLst>
</workbook>
</file>

<file path=xl/calcChain.xml><?xml version="1.0" encoding="utf-8"?>
<calcChain xmlns="http://schemas.openxmlformats.org/spreadsheetml/2006/main">
  <c r="D41" i="3" l="1"/>
  <c r="C6" i="4"/>
  <c r="D6" i="4" s="1"/>
  <c r="E6" i="4" s="1"/>
  <c r="F6" i="4" s="1"/>
  <c r="G6" i="4" s="1"/>
  <c r="H6" i="4" s="1"/>
  <c r="P8" i="3"/>
  <c r="P9" i="3" s="1"/>
  <c r="I6" i="4" s="1"/>
  <c r="N14" i="3"/>
  <c r="O9" i="3"/>
  <c r="N13" i="3"/>
  <c r="F40" i="3"/>
  <c r="D40" i="3"/>
  <c r="N9" i="3"/>
  <c r="O8" i="3"/>
  <c r="C41" i="3"/>
  <c r="C40" i="3"/>
  <c r="B41" i="3"/>
  <c r="J6" i="4" l="1"/>
  <c r="K6" i="4" s="1"/>
  <c r="L6" i="4" s="1"/>
  <c r="M6" i="4" s="1"/>
  <c r="N6" i="4" s="1"/>
  <c r="O6" i="4" s="1"/>
  <c r="P6" i="4" s="1"/>
  <c r="Q6" i="4" s="1"/>
  <c r="R6" i="4" s="1"/>
  <c r="S6" i="4" s="1"/>
  <c r="T6" i="4" s="1"/>
  <c r="V6" i="4" s="1"/>
  <c r="W6" i="4" s="1"/>
  <c r="X6" i="4" s="1"/>
  <c r="Y6" i="4" s="1"/>
  <c r="Z6" i="4" s="1"/>
  <c r="AA6" i="4" s="1"/>
  <c r="AB6" i="4" s="1"/>
  <c r="AC6" i="4" s="1"/>
  <c r="AD6" i="4" s="1"/>
  <c r="AE6" i="4" s="1"/>
  <c r="AF6" i="4" s="1"/>
  <c r="AG6" i="4" s="1"/>
  <c r="AH6" i="4" s="1"/>
  <c r="AI6" i="4" s="1"/>
  <c r="AJ6" i="4" s="1"/>
  <c r="AK6" i="4" s="1"/>
  <c r="AL6" i="4" s="1"/>
  <c r="AM6" i="4" s="1"/>
  <c r="AN6" i="4" s="1"/>
  <c r="AO6" i="4" s="1"/>
  <c r="AP6" i="4" s="1"/>
  <c r="AQ6" i="4" s="1"/>
  <c r="AR6" i="4" s="1"/>
  <c r="AS6" i="4" s="1"/>
  <c r="AT6" i="4" s="1"/>
  <c r="AU6" i="4" s="1"/>
  <c r="AV6" i="4" s="1"/>
  <c r="AW6" i="4" s="1"/>
  <c r="AX6" i="4" s="1"/>
  <c r="AY6" i="4" s="1"/>
  <c r="AZ6" i="4" s="1"/>
  <c r="F17" i="3"/>
  <c r="B2" i="4" s="1"/>
  <c r="N2" i="3"/>
  <c r="B14" i="3"/>
  <c r="B2" i="3"/>
  <c r="G3" i="5"/>
  <c r="G4" i="5"/>
  <c r="G5" i="5"/>
  <c r="G6" i="5"/>
  <c r="G7" i="5"/>
  <c r="G2" i="5"/>
  <c r="B20" i="3" l="1"/>
  <c r="B21" i="3" s="1"/>
  <c r="B7" i="4" s="1"/>
  <c r="N8" i="3"/>
  <c r="F8" i="3"/>
  <c r="F3" i="3"/>
  <c r="F5" i="3" s="1"/>
  <c r="B8" i="3"/>
  <c r="B9" i="3" s="1"/>
  <c r="C2" i="4"/>
  <c r="D2" i="4" s="1"/>
  <c r="E2" i="4" s="1"/>
  <c r="F2" i="4" s="1"/>
  <c r="G2" i="4" s="1"/>
  <c r="H2" i="4" s="1"/>
  <c r="I2" i="4" s="1"/>
  <c r="J2" i="4" s="1"/>
  <c r="K2" i="4" s="1"/>
  <c r="L2" i="4" s="1"/>
  <c r="M2" i="4" s="1"/>
  <c r="N2" i="4" s="1"/>
  <c r="O2" i="4" s="1"/>
  <c r="P2" i="4" s="1"/>
  <c r="Q2" i="4" s="1"/>
  <c r="R2" i="4" s="1"/>
  <c r="S2" i="4" s="1"/>
  <c r="T2" i="4" s="1"/>
  <c r="U2" i="4" s="1"/>
  <c r="V2" i="4" s="1"/>
  <c r="W2" i="4" s="1"/>
  <c r="X2" i="4" s="1"/>
  <c r="Y2" i="4" s="1"/>
  <c r="Z2" i="4" s="1"/>
  <c r="AA2" i="4" s="1"/>
  <c r="AB2" i="4" s="1"/>
  <c r="AC2" i="4" s="1"/>
  <c r="AD2" i="4" s="1"/>
  <c r="AE2" i="4" s="1"/>
  <c r="AF2" i="4" s="1"/>
  <c r="AG2" i="4" s="1"/>
  <c r="AH2" i="4" s="1"/>
  <c r="AI2" i="4" s="1"/>
  <c r="AJ2" i="4" s="1"/>
  <c r="AK2" i="4" s="1"/>
  <c r="AL2" i="4" s="1"/>
  <c r="AM2" i="4" s="1"/>
  <c r="AN2" i="4" s="1"/>
  <c r="AO2" i="4" s="1"/>
  <c r="AP2" i="4" s="1"/>
  <c r="AQ2" i="4" s="1"/>
  <c r="AR2" i="4" s="1"/>
  <c r="AS2" i="4" s="1"/>
  <c r="AT2" i="4" s="1"/>
  <c r="AU2" i="4" s="1"/>
  <c r="AV2" i="4" s="1"/>
  <c r="AW2" i="4" s="1"/>
  <c r="AX2" i="4" s="1"/>
  <c r="AY2" i="4" s="1"/>
  <c r="AZ2" i="4" s="1"/>
  <c r="B17" i="3"/>
  <c r="J5" i="3"/>
  <c r="B5" i="4" s="1"/>
  <c r="C5" i="4" s="1"/>
  <c r="D5" i="4" s="1"/>
  <c r="E5" i="4" s="1"/>
  <c r="F5" i="4" s="1"/>
  <c r="G5" i="4" s="1"/>
  <c r="H5" i="4" s="1"/>
  <c r="I5" i="4" s="1"/>
  <c r="J5" i="4" s="1"/>
  <c r="K5" i="4" s="1"/>
  <c r="L5" i="4" s="1"/>
  <c r="M5" i="4" s="1"/>
  <c r="N5" i="4" s="1"/>
  <c r="O5" i="4" s="1"/>
  <c r="P5" i="4" s="1"/>
  <c r="Q5" i="4" s="1"/>
  <c r="R5" i="4" s="1"/>
  <c r="S5" i="4" s="1"/>
  <c r="T5" i="4" s="1"/>
  <c r="U5" i="4" s="1"/>
  <c r="V5" i="4" s="1"/>
  <c r="W5" i="4" s="1"/>
  <c r="X5" i="4" s="1"/>
  <c r="Y5" i="4" s="1"/>
  <c r="Z5" i="4" s="1"/>
  <c r="AA5" i="4" s="1"/>
  <c r="AB5" i="4" s="1"/>
  <c r="AC5" i="4" s="1"/>
  <c r="AD5" i="4" s="1"/>
  <c r="AE5" i="4" s="1"/>
  <c r="AF5" i="4" s="1"/>
  <c r="AG5" i="4" s="1"/>
  <c r="AH5" i="4" s="1"/>
  <c r="AI5" i="4" s="1"/>
  <c r="AJ5" i="4" s="1"/>
  <c r="AK5" i="4" s="1"/>
  <c r="AL5" i="4" s="1"/>
  <c r="AM5" i="4" s="1"/>
  <c r="AN5" i="4" s="1"/>
  <c r="AO5" i="4" s="1"/>
  <c r="AP5" i="4" s="1"/>
  <c r="AQ5" i="4" s="1"/>
  <c r="AR5" i="4" s="1"/>
  <c r="AS5" i="4" s="1"/>
  <c r="AT5" i="4" s="1"/>
  <c r="AU5" i="4" s="1"/>
  <c r="AV5" i="4" s="1"/>
  <c r="AW5" i="4" s="1"/>
  <c r="AX5" i="4" s="1"/>
  <c r="AY5" i="4" s="1"/>
  <c r="AZ5" i="4" s="1"/>
  <c r="A12" i="2"/>
  <c r="A29" i="2" s="1"/>
  <c r="A11" i="2"/>
  <c r="C7" i="4" l="1"/>
  <c r="D7" i="4" s="1"/>
  <c r="E7" i="4" s="1"/>
  <c r="F7" i="4" s="1"/>
  <c r="G7" i="4" s="1"/>
  <c r="H7" i="4" s="1"/>
  <c r="I7" i="4" s="1"/>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O7" i="4" s="1"/>
  <c r="AP7" i="4" s="1"/>
  <c r="AQ7" i="4" s="1"/>
  <c r="AR7" i="4" s="1"/>
  <c r="AS7" i="4" s="1"/>
  <c r="AT7" i="4" s="1"/>
  <c r="AU7" i="4" s="1"/>
  <c r="AV7" i="4" s="1"/>
  <c r="AW7" i="4" s="1"/>
  <c r="AX7" i="4" s="1"/>
  <c r="AY7" i="4" s="1"/>
  <c r="AZ7" i="4" s="1"/>
  <c r="F9" i="3"/>
  <c r="B4" i="4"/>
  <c r="C4" i="4" s="1"/>
  <c r="D4" i="4" s="1"/>
  <c r="E4" i="4" s="1"/>
  <c r="F4" i="4" s="1"/>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AO4" i="4" s="1"/>
  <c r="AP4" i="4" s="1"/>
  <c r="AQ4" i="4" s="1"/>
  <c r="AR4" i="4" s="1"/>
  <c r="AS4" i="4" s="1"/>
  <c r="AT4" i="4" s="1"/>
  <c r="AU4" i="4" s="1"/>
  <c r="AV4" i="4" s="1"/>
  <c r="AW4" i="4" s="1"/>
  <c r="AX4" i="4" s="1"/>
  <c r="AY4" i="4" s="1"/>
  <c r="AZ4" i="4" s="1"/>
  <c r="B3" i="4"/>
  <c r="C3" i="4" s="1"/>
  <c r="D3" i="4" s="1"/>
  <c r="E3" i="4" s="1"/>
  <c r="F3" i="4" s="1"/>
  <c r="G3" i="4" s="1"/>
  <c r="H3" i="4" s="1"/>
  <c r="I3" i="4" s="1"/>
  <c r="J3" i="4" s="1"/>
  <c r="K3" i="4" s="1"/>
  <c r="L3" i="4" s="1"/>
  <c r="M3" i="4" s="1"/>
  <c r="N3" i="4" s="1"/>
  <c r="O3" i="4" s="1"/>
  <c r="P3" i="4" s="1"/>
  <c r="Q3" i="4" s="1"/>
  <c r="R3" i="4" s="1"/>
  <c r="S3" i="4" s="1"/>
  <c r="T3" i="4" s="1"/>
  <c r="U3" i="4" s="1"/>
  <c r="V3" i="4" s="1"/>
  <c r="W3" i="4" s="1"/>
  <c r="X3" i="4" s="1"/>
  <c r="Y3" i="4" s="1"/>
  <c r="Z3" i="4" s="1"/>
  <c r="AA3" i="4" s="1"/>
  <c r="AB3" i="4" s="1"/>
  <c r="AC3" i="4" s="1"/>
  <c r="AD3" i="4" s="1"/>
  <c r="AE3" i="4" s="1"/>
  <c r="AF3" i="4" s="1"/>
  <c r="AG3" i="4" s="1"/>
  <c r="AH3" i="4" s="1"/>
  <c r="AI3" i="4" s="1"/>
  <c r="AJ3" i="4" s="1"/>
  <c r="AK3" i="4" s="1"/>
  <c r="AL3" i="4" s="1"/>
  <c r="AM3" i="4" s="1"/>
  <c r="AN3" i="4" s="1"/>
  <c r="AO3" i="4" s="1"/>
  <c r="AP3" i="4" s="1"/>
  <c r="AQ3" i="4" s="1"/>
  <c r="AR3" i="4" s="1"/>
  <c r="AS3" i="4" s="1"/>
  <c r="AT3" i="4" s="1"/>
  <c r="AU3" i="4" s="1"/>
  <c r="AV3" i="4" s="1"/>
  <c r="AW3" i="4" s="1"/>
  <c r="AX3" i="4" s="1"/>
  <c r="AY3" i="4" s="1"/>
  <c r="AZ3" i="4" s="1"/>
</calcChain>
</file>

<file path=xl/sharedStrings.xml><?xml version="1.0" encoding="utf-8"?>
<sst xmlns="http://schemas.openxmlformats.org/spreadsheetml/2006/main" count="145" uniqueCount="120">
  <si>
    <t>PLANAbPiaSY Potential Land Area Newly Affected by Policy in a Single Year</t>
  </si>
  <si>
    <t>Sources:</t>
  </si>
  <si>
    <t>COPENHAGEN CONSENSUS ON CLIMATE</t>
  </si>
  <si>
    <t>An Analysis of Forestry Carbon Sequestration as a Response to Climate Change</t>
  </si>
  <si>
    <t>Carbon Sequestration rate for Afforestation, reforestation and restoration</t>
  </si>
  <si>
    <t>https://aede.osu.edu/sites/aede/files/publication_files/Analysis%20of%20Forestry%20Carbon.pdf#:~:text=Deforestation%20causes%20about%205%20billion%20tons%20CO2,in%20biomass%20(see%20Kindermann%20et%20al.%2C%202008).</t>
  </si>
  <si>
    <t>Page 7 to 9</t>
  </si>
  <si>
    <t>Global Watch Forest</t>
  </si>
  <si>
    <t>Potential land area (deforestation)</t>
  </si>
  <si>
    <t>2015-2020</t>
  </si>
  <si>
    <t>Deforestation rate</t>
  </si>
  <si>
    <t>https://www.globalforestwatch.org/dashboards/country/IDN/?category=climate&amp;location=WyJjb3VudHJ5IiwiSUROIl0%3D</t>
  </si>
  <si>
    <t>PennState Extension</t>
  </si>
  <si>
    <t>Carbon Accounting in Forest Management</t>
  </si>
  <si>
    <t>Carbon Sequestration rate for forest management</t>
  </si>
  <si>
    <t>https://extension.psu.edu/carbon-accounting-in-forest-management#:~:text=Delaying%20harvest%20is%20another%20common,stored%20beyond%20the%20baseline%20amount.</t>
  </si>
  <si>
    <t xml:space="preserve">Griscom et al. </t>
  </si>
  <si>
    <t>Natural climate solutions</t>
  </si>
  <si>
    <t>Country level maximum mitigation potential</t>
  </si>
  <si>
    <t>https://www.pnas.org/doi/10.1073/pnas.1710465114</t>
  </si>
  <si>
    <t>Indonesia targets 2.3m hectares of protected forests for food &amp; biofuel crop production</t>
  </si>
  <si>
    <t>Forest set asides</t>
  </si>
  <si>
    <t>https://news.mongabay.com/2025/02/indonesia-targets-2-3m-hectares-of-protected-forests-for-food-biofuel-crop-production/#:~:text=Out%20of%20Indonesia%27s%2027%20million,among%20environmental%20groups%20and%20lawmakers.</t>
  </si>
  <si>
    <t>Notes</t>
  </si>
  <si>
    <t>In the US EPS, we repurpose the forest restoration policy to represent</t>
  </si>
  <si>
    <t>grassland restoration and avoided conversion.</t>
  </si>
  <si>
    <t>Because most forest management policies in the US are targeted at privately</t>
  </si>
  <si>
    <t>owned lands, we calculate the available acreage for the forest management</t>
  </si>
  <si>
    <t>policy based on a share of private owned forests.</t>
  </si>
  <si>
    <t>Guidance regarding acres available per year in TNC data:</t>
  </si>
  <si>
    <t>Annual Acreage Cut</t>
  </si>
  <si>
    <t>thousand acres</t>
  </si>
  <si>
    <t>Clearcut</t>
  </si>
  <si>
    <t>Partial Cut</t>
  </si>
  <si>
    <t>All Owners</t>
  </si>
  <si>
    <t>We assume that a "Partial Cut" results in 50% deforestation on a given acre,</t>
  </si>
  <si>
    <t>so we weight partial cut half as heavily as clearcut when determining the number</t>
  </si>
  <si>
    <t>of acres cut per year.</t>
  </si>
  <si>
    <t>Acres Cut per Year</t>
  </si>
  <si>
    <t>acres</t>
  </si>
  <si>
    <t>How many of these acres are available annually for set-asides?</t>
  </si>
  <si>
    <t>This depends on the speed with which timber harvesting could be scaled</t>
  </si>
  <si>
    <t>down, given the need to find replacement materials for forest products.</t>
  </si>
  <si>
    <t>It also is likely not desirable to completely cease timber harvesting,</t>
  </si>
  <si>
    <t>as wood is a renewable resource and may be better than fabricating</t>
  </si>
  <si>
    <t>certain replacement materials.  Lacking good data on this,</t>
  </si>
  <si>
    <t>we will assume that timber harvesting could be reduced from its</t>
  </si>
  <si>
    <t>present scale by 2% of its current level per year.  The model run</t>
  </si>
  <si>
    <t>period (2016-2050) is 35 years long, so if the policy were to</t>
  </si>
  <si>
    <t>be implemented in full strength throughout the entire model run,</t>
  </si>
  <si>
    <t>there would be a total 70% reduction in timber harvesting per year</t>
  </si>
  <si>
    <t>by the end.</t>
  </si>
  <si>
    <t>potential reduction in timber harvesting achievable per year</t>
  </si>
  <si>
    <t>acres potentially available for forest set-asides per year</t>
  </si>
  <si>
    <t>Afforestation and Reforestation</t>
  </si>
  <si>
    <t>Forest Management</t>
  </si>
  <si>
    <t>Deforestation</t>
  </si>
  <si>
    <t>Peatland Restoration</t>
  </si>
  <si>
    <t>Carbon sequestration rate (tonnes/ha/year)</t>
  </si>
  <si>
    <t>Year</t>
  </si>
  <si>
    <t>Deforestation rate (kha/year)</t>
  </si>
  <si>
    <t>Reforestation (Tg CO2e/year)</t>
  </si>
  <si>
    <t>Forest management (Tg CO2e/year)</t>
  </si>
  <si>
    <t>kha to acres</t>
  </si>
  <si>
    <t>Peatland restoration (Tg CO2e/year)</t>
  </si>
  <si>
    <t>avoid deforestation (acres/year)</t>
  </si>
  <si>
    <t>Tg CO2e to t CO2e</t>
  </si>
  <si>
    <t>Reforestation (t CO2e/year)</t>
  </si>
  <si>
    <t>Forest management (t CO2e/year)</t>
  </si>
  <si>
    <t>Peatland restoration (t CO2e/year)</t>
  </si>
  <si>
    <t>ha to acres</t>
  </si>
  <si>
    <t>Forest management (acres/year)</t>
  </si>
  <si>
    <t>Forest Restoration</t>
  </si>
  <si>
    <t>Forest Set Asides</t>
  </si>
  <si>
    <t>Forest Set Asides (acres/year)</t>
  </si>
  <si>
    <t>Source: Mongabay (2025)</t>
  </si>
  <si>
    <t>Forest restoration (Tg CO2e/year)</t>
  </si>
  <si>
    <t>Forest restoration (t CO2e/year)</t>
  </si>
  <si>
    <t>Potential Land Area (acres/year)</t>
  </si>
  <si>
    <t>forest set asides</t>
  </si>
  <si>
    <t>afforestation and reforestation</t>
  </si>
  <si>
    <t>improved forest management</t>
  </si>
  <si>
    <t>avoid deforestation</t>
  </si>
  <si>
    <t>peatland restoration</t>
  </si>
  <si>
    <t>forest restoration</t>
  </si>
  <si>
    <t>Carbon sequestration rate (t CO2e/acres/year)</t>
  </si>
  <si>
    <t>0.2 to 85</t>
  </si>
  <si>
    <t>Average (t CO2e/acres/year)</t>
  </si>
  <si>
    <t>Carbon sequestration rate (t CO2e/ha/year)</t>
  </si>
  <si>
    <t>Average (t CO2e/ha/year)</t>
  </si>
  <si>
    <t>g CO2 / acre / yr</t>
  </si>
  <si>
    <t>g to ton</t>
  </si>
  <si>
    <t>ton CO2 / acre / yr</t>
  </si>
  <si>
    <t>Afforestation and Reforestation (acres)</t>
  </si>
  <si>
    <t>Forest restoration (acres)</t>
  </si>
  <si>
    <t>Griscom et al. has a 2030 value and therefore we use the acres estimated in 2030 as the maximum annual rate.</t>
  </si>
  <si>
    <t>Peatland restoration (acres)</t>
  </si>
  <si>
    <t>Forest Set Asides (acres)</t>
  </si>
  <si>
    <t>Length of sumulation</t>
  </si>
  <si>
    <t>Despite their considerable environmental significance, only 6 % of Indonesian peatlands remain intact while 13.4–14.9 million ha (87–97 %) are considered degraded</t>
  </si>
  <si>
    <t>https://www.sciencedirect.com/science/article/pii/S2212041624001001?ref=pdf_download&amp;fr=RR-2&amp;rr=967b26ebdf079032</t>
  </si>
  <si>
    <t>Nevertheless, degraded and drained peatlands are estimated to emit 1.9 gigatonnes of CO2e annually</t>
  </si>
  <si>
    <t>https://www.nature.org/en-us/about-us/where-we-work/asia-pacific/indonesia/stories-in-indonesia/peatland-conservation/</t>
  </si>
  <si>
    <t>Indonesia’s peatlands have not been fully and accurately mapped, so estimates of their extent vary widely, ranging from the official figure of approximately 15 million hectares (ha) to more than 22 million ha.2,</t>
  </si>
  <si>
    <t>https://gggi.org/wp-content/uploads/2020/11/Indonesia-Peat-Insight-Brief_October2020_tentative.pdf</t>
  </si>
  <si>
    <t>Emissions from degradated land (Gt CO2e/year)</t>
  </si>
  <si>
    <t>Millions acres</t>
  </si>
  <si>
    <t>Millions ha</t>
  </si>
  <si>
    <t xml:space="preserve">Peatland area </t>
  </si>
  <si>
    <t xml:space="preserve">Degradated land </t>
  </si>
  <si>
    <t>Acres</t>
  </si>
  <si>
    <t>Conversely, rewetting 590 km2/year aligns with Indonesia’s FOLU Net Sink 2030 target (−140 Mt CO2e) and mitigates 1.4–1.6 MtCO2 annually</t>
  </si>
  <si>
    <t>https://www.mdpi.com/3042-4658/2/3/17</t>
  </si>
  <si>
    <t>2030 target millions ha</t>
  </si>
  <si>
    <t>2030 target acres</t>
  </si>
  <si>
    <t>Peatland Sequestration Rate (Mg C/ha/year)</t>
  </si>
  <si>
    <t>0.5 to 1.5</t>
  </si>
  <si>
    <t>Mg C to t CO2</t>
  </si>
  <si>
    <t>Peatland Sequestration Rate (t CO₂/ha/year)</t>
  </si>
  <si>
    <t xml:space="preserve">60 t CO2 per 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</si>
</sst>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u/>
      <sz val="11"/>
      <color theme="10"/>
      <name val="Calibri"/>
      <family val="2"/>
    </font>
    <font>
      <sz val="11"/>
      <color rgb="FF0B0B0B"/>
      <name val="Calibri"/>
      <family val="2"/>
    </font>
    <font>
      <sz val="11"/>
      <color rgb="FF000000"/>
      <name val="Calibri"/>
      <family val="2"/>
    </font>
    <font>
      <u/>
      <sz val="11"/>
      <color rgb="FF0000FF"/>
      <name val="Calibri"/>
      <family val="2"/>
    </font>
    <font>
      <i/>
      <sz val="11"/>
      <color theme="1"/>
      <name val="Calibri"/>
      <family val="2"/>
    </font>
    <font>
      <b/>
      <sz val="16"/>
      <color theme="1"/>
      <name val="Calibri"/>
      <family val="2"/>
    </font>
    <font>
      <b/>
      <sz val="16"/>
      <color theme="1"/>
      <name val="Calibri"/>
      <family val="2"/>
      <scheme val="minor"/>
    </font>
    <font>
      <u/>
      <sz val="11"/>
      <color rgb="FF0000FF"/>
      <name val="Calibri"/>
      <family val="2"/>
    </font>
    <font>
      <u/>
      <sz val="11"/>
      <color theme="10"/>
      <name val="Calibri"/>
      <family val="2"/>
      <scheme val="minor"/>
    </font>
    <font>
      <sz val="11"/>
      <color rgb="FF000000"/>
      <name val="Calibri"/>
      <family val="2"/>
      <scheme val="minor"/>
    </font>
    <font>
      <b/>
      <sz val="11"/>
      <color theme="1"/>
      <name val="Calibri"/>
      <family val="2"/>
      <scheme val="minor"/>
    </font>
    <font>
      <b/>
      <sz val="11"/>
      <color rgb="FF1A1A1A"/>
      <name val="Calibri"/>
      <family val="2"/>
      <scheme val="minor"/>
    </font>
  </fonts>
  <fills count="6">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rgb="FFFFC000"/>
        <bgColor rgb="FFFFC000"/>
      </patternFill>
    </fill>
    <fill>
      <patternFill patternType="solid">
        <fgColor rgb="FFFFFF00"/>
        <bgColor indexed="64"/>
      </patternFill>
    </fill>
  </fills>
  <borders count="2">
    <border>
      <left/>
      <right/>
      <top/>
      <bottom/>
      <diagonal/>
    </border>
    <border>
      <left/>
      <right/>
      <top/>
      <bottom/>
      <diagonal/>
    </border>
  </borders>
  <cellStyleXfs count="2">
    <xf numFmtId="0" fontId="0" fillId="0" borderId="0"/>
    <xf numFmtId="0" fontId="12" fillId="0" borderId="0" applyNumberFormat="0" applyFill="0" applyBorder="0" applyAlignment="0" applyProtection="0"/>
  </cellStyleXfs>
  <cellXfs count="34">
    <xf numFmtId="0" fontId="0" fillId="0" borderId="0" xfId="0"/>
    <xf numFmtId="0" fontId="1" fillId="0" borderId="0" xfId="0" applyFont="1"/>
    <xf numFmtId="0" fontId="2" fillId="0" borderId="0" xfId="0" applyFont="1"/>
    <xf numFmtId="0" fontId="3" fillId="0" borderId="0" xfId="0" applyFont="1" applyAlignment="1">
      <alignment horizontal="left"/>
    </xf>
    <xf numFmtId="0" fontId="4" fillId="0" borderId="0" xfId="0" applyFont="1"/>
    <xf numFmtId="0" fontId="1" fillId="2" borderId="1" xfId="0" applyFont="1" applyFill="1" applyBorder="1"/>
    <xf numFmtId="0" fontId="3" fillId="0" borderId="0" xfId="0" applyFont="1"/>
    <xf numFmtId="0" fontId="5" fillId="0" borderId="0" xfId="0" applyFont="1"/>
    <xf numFmtId="0" fontId="6" fillId="3" borderId="0" xfId="0" applyFont="1" applyFill="1"/>
    <xf numFmtId="0" fontId="2" fillId="0" borderId="0" xfId="0" applyFont="1" applyAlignment="1">
      <alignment horizontal="left"/>
    </xf>
    <xf numFmtId="0" fontId="7" fillId="0" borderId="0" xfId="0" applyFont="1"/>
    <xf numFmtId="0" fontId="8" fillId="0" borderId="0" xfId="0" applyFont="1"/>
    <xf numFmtId="9" fontId="3" fillId="4" borderId="1" xfId="0" applyNumberFormat="1" applyFont="1" applyFill="1" applyBorder="1"/>
    <xf numFmtId="0" fontId="9" fillId="0" borderId="0" xfId="0" applyFont="1" applyAlignment="1">
      <alignment horizontal="center"/>
    </xf>
    <xf numFmtId="0" fontId="1" fillId="0" borderId="0" xfId="0" applyFont="1" applyAlignment="1">
      <alignment horizontal="right"/>
    </xf>
    <xf numFmtId="11" fontId="3" fillId="0" borderId="0" xfId="0" applyNumberFormat="1" applyFont="1"/>
    <xf numFmtId="0" fontId="10" fillId="0" borderId="0" xfId="0" applyFont="1"/>
    <xf numFmtId="11" fontId="2" fillId="0" borderId="0" xfId="0" applyNumberFormat="1" applyFont="1"/>
    <xf numFmtId="0" fontId="11" fillId="0" borderId="0" xfId="0" applyFont="1"/>
    <xf numFmtId="0" fontId="12" fillId="0" borderId="0" xfId="1"/>
    <xf numFmtId="11" fontId="0" fillId="0" borderId="0" xfId="0" applyNumberFormat="1"/>
    <xf numFmtId="0" fontId="2" fillId="0" borderId="0" xfId="0" applyFont="1" applyAlignment="1">
      <alignment horizontal="right"/>
    </xf>
    <xf numFmtId="0" fontId="13" fillId="0" borderId="1" xfId="0" applyFont="1" applyBorder="1"/>
    <xf numFmtId="0" fontId="13" fillId="0" borderId="1" xfId="0" applyFont="1" applyBorder="1" applyAlignment="1">
      <alignment horizontal="right"/>
    </xf>
    <xf numFmtId="1" fontId="13" fillId="0" borderId="1" xfId="0" applyNumberFormat="1" applyFont="1" applyBorder="1"/>
    <xf numFmtId="0" fontId="3" fillId="0" borderId="0" xfId="0" applyFont="1" applyAlignment="1">
      <alignment horizontal="right"/>
    </xf>
    <xf numFmtId="0" fontId="9" fillId="5" borderId="0" xfId="0" applyFont="1" applyFill="1"/>
    <xf numFmtId="0" fontId="2" fillId="0" borderId="1" xfId="0" applyFont="1" applyBorder="1"/>
    <xf numFmtId="0" fontId="14" fillId="0" borderId="0" xfId="0" applyFont="1"/>
    <xf numFmtId="0" fontId="15" fillId="0" borderId="0" xfId="0" applyFont="1"/>
    <xf numFmtId="0" fontId="0" fillId="0" borderId="0" xfId="0" applyAlignment="1">
      <alignment horizontal="left"/>
    </xf>
    <xf numFmtId="0" fontId="0" fillId="5" borderId="0" xfId="0" applyFill="1"/>
    <xf numFmtId="0" fontId="9" fillId="0" borderId="0" xfId="0" applyFont="1" applyAlignment="1">
      <alignment horizontal="center"/>
    </xf>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571500</xdr:colOff>
      <xdr:row>6</xdr:row>
      <xdr:rowOff>9525</xdr:rowOff>
    </xdr:from>
    <xdr:ext cx="4048125" cy="44481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0</xdr:colOff>
      <xdr:row>45</xdr:row>
      <xdr:rowOff>0</xdr:rowOff>
    </xdr:from>
    <xdr:to>
      <xdr:col>4</xdr:col>
      <xdr:colOff>2082800</xdr:colOff>
      <xdr:row>62</xdr:row>
      <xdr:rowOff>178982</xdr:rowOff>
    </xdr:to>
    <xdr:pic>
      <xdr:nvPicPr>
        <xdr:cNvPr id="4" name="Picture 3">
          <a:extLst>
            <a:ext uri="{FF2B5EF4-FFF2-40B4-BE49-F238E27FC236}">
              <a16:creationId xmlns:a16="http://schemas.microsoft.com/office/drawing/2014/main" id="{052BB98B-A4C3-C2D9-A0CB-692D389FBC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8851900"/>
          <a:ext cx="7772400" cy="34174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eff-nonadmin/Dropbox%20(Energy%20InNovation)/Desktop/Old%20U.S.%20land/VFC/Various%20Forestry%20Calcul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2 Aff &amp; Ref"/>
      <sheetName val="VFC-PIIiCRfAaREY"/>
      <sheetName val="Lost Value Aff &amp; Ref"/>
      <sheetName val="VFC-LVpIIiCAbAaR"/>
      <sheetName val="One Time Cost Aff &amp; Ref"/>
      <sheetName val="VFC-OTCpIIiCAbAaR"/>
      <sheetName val="Ongoing Cost Aff &amp; Ref"/>
      <sheetName val="VFC-OCpMCAbAaR"/>
      <sheetName val="CO2 Set Asides"/>
      <sheetName val="VFC-PACRfFSA"/>
      <sheetName val="Lost Value Set Asides"/>
      <sheetName val="VFC-LVpMCAbFSA"/>
      <sheetName val="CO2 Avoided Deforestation"/>
      <sheetName val="VFC-PACRfAD"/>
      <sheetName val="Lost Value Avoided Deforestatio"/>
      <sheetName val="VFC-LVpMCAbAD"/>
      <sheetName val="County Data"/>
      <sheetName val="Forest Mgmt Costs"/>
      <sheetName val="Conversion Fac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
          <cell r="A4">
            <v>3.6666666666666665</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ede.osu.edu/sites/aede/files/publication_files/Analysis%20of%20Forestry%20Carbon.pdf" TargetMode="External"/><Relationship Id="rId2" Type="http://schemas.openxmlformats.org/officeDocument/2006/relationships/hyperlink" Target="https://news.mongabay.com/2025/02/indonesia-targets-2-3m-hectares-of-protected-forests-for-food-biofuel-crop-production/" TargetMode="External"/><Relationship Id="rId1" Type="http://schemas.openxmlformats.org/officeDocument/2006/relationships/hyperlink" Target="https://extension.psu.edu/carbon-accounting-in-forest-management" TargetMode="External"/><Relationship Id="rId4" Type="http://schemas.openxmlformats.org/officeDocument/2006/relationships/hyperlink" Target="https://www.pnas.org/doi/10.1073/pnas.171046511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nature.org/en-us/about-us/where-we-work/asia-pacific/indonesia/stories-in-indonesia/peatland-conservation/" TargetMode="External"/><Relationship Id="rId2" Type="http://schemas.openxmlformats.org/officeDocument/2006/relationships/hyperlink" Target="https://www.sciencedirect.com/science/article/pii/S2212041624001001?ref=pdf_download&amp;fr=RR-2&amp;rr=967b26ebdf079032" TargetMode="External"/><Relationship Id="rId1" Type="http://schemas.openxmlformats.org/officeDocument/2006/relationships/hyperlink" Target="https://news.mongabay.com/2025/02/indonesia-targets-2-3m-hectares-of-protected-forests-for-food-biofuel-crop-production/" TargetMode="External"/><Relationship Id="rId6" Type="http://schemas.openxmlformats.org/officeDocument/2006/relationships/drawing" Target="../drawings/drawing1.xml"/><Relationship Id="rId5" Type="http://schemas.openxmlformats.org/officeDocument/2006/relationships/hyperlink" Target="https://www.mdpi.com/3042-4658/2/3/17" TargetMode="External"/><Relationship Id="rId4" Type="http://schemas.openxmlformats.org/officeDocument/2006/relationships/hyperlink" Target="https://gggi.org/wp-content/uploads/2020/11/Indonesia-Peat-Insight-Brief_October2020_tentativ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5"/>
  <sheetViews>
    <sheetView workbookViewId="0"/>
  </sheetViews>
  <sheetFormatPr baseColWidth="10" defaultColWidth="14.5" defaultRowHeight="15" customHeight="1" x14ac:dyDescent="0.2"/>
  <cols>
    <col min="1" max="1" width="8.83203125" customWidth="1"/>
    <col min="2" max="2" width="57.6640625" customWidth="1"/>
    <col min="3" max="26" width="8.83203125" customWidth="1"/>
  </cols>
  <sheetData>
    <row r="1" spans="1:2" x14ac:dyDescent="0.2">
      <c r="A1" s="1" t="s">
        <v>0</v>
      </c>
    </row>
    <row r="3" spans="1:2" x14ac:dyDescent="0.2">
      <c r="A3" s="1" t="s">
        <v>1</v>
      </c>
      <c r="B3" s="2" t="s">
        <v>2</v>
      </c>
    </row>
    <row r="4" spans="1:2" x14ac:dyDescent="0.2">
      <c r="B4" s="2" t="s">
        <v>3</v>
      </c>
    </row>
    <row r="5" spans="1:2" x14ac:dyDescent="0.2">
      <c r="B5" s="3">
        <v>2009</v>
      </c>
    </row>
    <row r="6" spans="1:2" x14ac:dyDescent="0.2">
      <c r="B6" s="2" t="s">
        <v>4</v>
      </c>
    </row>
    <row r="7" spans="1:2" x14ac:dyDescent="0.2">
      <c r="B7" s="19" t="s">
        <v>5</v>
      </c>
    </row>
    <row r="8" spans="1:2" x14ac:dyDescent="0.2">
      <c r="B8" s="2" t="s">
        <v>6</v>
      </c>
    </row>
    <row r="10" spans="1:2" x14ac:dyDescent="0.2">
      <c r="B10" s="5" t="s">
        <v>7</v>
      </c>
    </row>
    <row r="11" spans="1:2" x14ac:dyDescent="0.2">
      <c r="B11" s="2" t="s">
        <v>8</v>
      </c>
    </row>
    <row r="12" spans="1:2" x14ac:dyDescent="0.2">
      <c r="B12" s="3" t="s">
        <v>9</v>
      </c>
    </row>
    <row r="13" spans="1:2" x14ac:dyDescent="0.2">
      <c r="B13" s="2" t="s">
        <v>10</v>
      </c>
    </row>
    <row r="14" spans="1:2" x14ac:dyDescent="0.2">
      <c r="B14" s="4" t="s">
        <v>11</v>
      </c>
    </row>
    <row r="17" spans="2:4" x14ac:dyDescent="0.2">
      <c r="B17" s="5" t="s">
        <v>12</v>
      </c>
    </row>
    <row r="18" spans="2:4" x14ac:dyDescent="0.2">
      <c r="B18" s="6" t="s">
        <v>13</v>
      </c>
    </row>
    <row r="19" spans="2:4" x14ac:dyDescent="0.2">
      <c r="B19" s="3">
        <v>2023</v>
      </c>
    </row>
    <row r="20" spans="2:4" x14ac:dyDescent="0.2">
      <c r="B20" s="2" t="s">
        <v>14</v>
      </c>
    </row>
    <row r="21" spans="2:4" ht="15.75" customHeight="1" x14ac:dyDescent="0.2">
      <c r="B21" s="19" t="s">
        <v>15</v>
      </c>
    </row>
    <row r="22" spans="2:4" ht="15.75" customHeight="1" x14ac:dyDescent="0.2"/>
    <row r="23" spans="2:4" ht="15.75" customHeight="1" x14ac:dyDescent="0.2"/>
    <row r="24" spans="2:4" ht="15.75" customHeight="1" x14ac:dyDescent="0.2">
      <c r="B24" s="5" t="s">
        <v>16</v>
      </c>
    </row>
    <row r="25" spans="2:4" ht="15.75" customHeight="1" x14ac:dyDescent="0.2">
      <c r="B25" s="7" t="s">
        <v>17</v>
      </c>
      <c r="D25" s="7"/>
    </row>
    <row r="26" spans="2:4" ht="15.75" customHeight="1" x14ac:dyDescent="0.2">
      <c r="B26" s="6" t="s">
        <v>18</v>
      </c>
      <c r="D26" s="7"/>
    </row>
    <row r="27" spans="2:4" ht="15.75" customHeight="1" x14ac:dyDescent="0.2">
      <c r="B27" s="3">
        <v>2017</v>
      </c>
    </row>
    <row r="28" spans="2:4" ht="15.75" customHeight="1" x14ac:dyDescent="0.2">
      <c r="B28" s="2" t="s">
        <v>14</v>
      </c>
    </row>
    <row r="29" spans="2:4" ht="15.75" customHeight="1" x14ac:dyDescent="0.2">
      <c r="B29" s="19" t="s">
        <v>19</v>
      </c>
    </row>
    <row r="30" spans="2:4" ht="15.75" customHeight="1" x14ac:dyDescent="0.2">
      <c r="B30" s="6"/>
    </row>
    <row r="31" spans="2:4" ht="15.75" customHeight="1" x14ac:dyDescent="0.2"/>
    <row r="32" spans="2:4" ht="15.75" customHeight="1" x14ac:dyDescent="0.2">
      <c r="B32" s="5" t="s">
        <v>16</v>
      </c>
    </row>
    <row r="33" spans="1:2" ht="15.75" customHeight="1" x14ac:dyDescent="0.2">
      <c r="B33" s="8" t="s">
        <v>20</v>
      </c>
    </row>
    <row r="34" spans="1:2" ht="15.75" customHeight="1" x14ac:dyDescent="0.2">
      <c r="B34" s="9">
        <v>2025</v>
      </c>
    </row>
    <row r="35" spans="1:2" ht="15.75" customHeight="1" x14ac:dyDescent="0.2">
      <c r="B35" s="2" t="s">
        <v>21</v>
      </c>
    </row>
    <row r="36" spans="1:2" ht="15.75" customHeight="1" x14ac:dyDescent="0.2">
      <c r="B36" s="10" t="s">
        <v>22</v>
      </c>
    </row>
    <row r="37" spans="1:2" ht="15.75" customHeight="1" x14ac:dyDescent="0.2">
      <c r="B37" s="2"/>
    </row>
    <row r="38" spans="1:2" ht="15.75" customHeight="1" x14ac:dyDescent="0.2">
      <c r="A38" s="1" t="s">
        <v>23</v>
      </c>
    </row>
    <row r="39" spans="1:2" ht="15.75" customHeight="1" x14ac:dyDescent="0.2">
      <c r="A39" s="2" t="s">
        <v>24</v>
      </c>
    </row>
    <row r="40" spans="1:2" ht="15.75" customHeight="1" x14ac:dyDescent="0.2">
      <c r="A40" s="2" t="s">
        <v>25</v>
      </c>
    </row>
    <row r="41" spans="1:2" ht="15.75" customHeight="1" x14ac:dyDescent="0.2">
      <c r="A41" s="1"/>
    </row>
    <row r="42" spans="1:2" ht="15.75" customHeight="1" x14ac:dyDescent="0.2">
      <c r="A42" s="2" t="s">
        <v>26</v>
      </c>
    </row>
    <row r="43" spans="1:2" ht="15.75" customHeight="1" x14ac:dyDescent="0.2">
      <c r="A43" s="2" t="s">
        <v>27</v>
      </c>
    </row>
    <row r="44" spans="1:2" ht="15.75" customHeight="1" x14ac:dyDescent="0.2">
      <c r="A44" s="2" t="s">
        <v>28</v>
      </c>
    </row>
    <row r="45" spans="1:2" ht="15.75" customHeight="1" x14ac:dyDescent="0.2"/>
    <row r="46" spans="1:2" ht="15.75" customHeight="1" x14ac:dyDescent="0.2">
      <c r="A46" s="2" t="s">
        <v>29</v>
      </c>
    </row>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hyperlinks>
    <hyperlink ref="B21" r:id="rId1" location=":~:text=Delaying%20harvest%20is%20another%20common,stored%20beyond%20the%20baseline%20amount." xr:uid="{00000000-0004-0000-0000-000000000000}"/>
    <hyperlink ref="B36" r:id="rId2" location=":~:text=Out%20of%20Indonesia%27s%2027%20million,among%20environmental%20groups%20and%20lawmakers." xr:uid="{00000000-0004-0000-0000-000001000000}"/>
    <hyperlink ref="B7" r:id="rId3" location=":~:text=Deforestation%20causes%20about%205%20billion%20tons%20CO2,in%20biomass%20(see%20Kindermann%20et%20al.%2C%202008)." xr:uid="{E7B4D6E3-11E8-D34E-80FE-988A78A7DB45}"/>
    <hyperlink ref="B29" r:id="rId4" xr:uid="{A3C4CE9E-B79A-8040-ABC0-401307894164}"/>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5" defaultRowHeight="15" customHeight="1" x14ac:dyDescent="0.2"/>
  <cols>
    <col min="1" max="1" width="15.83203125" customWidth="1"/>
    <col min="2" max="26" width="8.83203125" customWidth="1"/>
  </cols>
  <sheetData>
    <row r="1" spans="1:3" x14ac:dyDescent="0.2">
      <c r="A1" s="1" t="s">
        <v>30</v>
      </c>
    </row>
    <row r="2" spans="1:3" x14ac:dyDescent="0.2">
      <c r="A2" s="11" t="s">
        <v>31</v>
      </c>
    </row>
    <row r="3" spans="1:3" x14ac:dyDescent="0.2">
      <c r="B3" s="2" t="s">
        <v>32</v>
      </c>
      <c r="C3" s="2" t="s">
        <v>33</v>
      </c>
    </row>
    <row r="4" spans="1:3" x14ac:dyDescent="0.2">
      <c r="A4" s="2" t="s">
        <v>34</v>
      </c>
      <c r="B4" s="3">
        <v>3774</v>
      </c>
      <c r="C4" s="3">
        <v>6081</v>
      </c>
    </row>
    <row r="6" spans="1:3" x14ac:dyDescent="0.2">
      <c r="A6" s="2" t="s">
        <v>35</v>
      </c>
    </row>
    <row r="7" spans="1:3" x14ac:dyDescent="0.2">
      <c r="A7" s="2" t="s">
        <v>36</v>
      </c>
    </row>
    <row r="8" spans="1:3" x14ac:dyDescent="0.2">
      <c r="A8" s="2" t="s">
        <v>37</v>
      </c>
    </row>
    <row r="10" spans="1:3" x14ac:dyDescent="0.2">
      <c r="A10" s="2" t="s">
        <v>38</v>
      </c>
    </row>
    <row r="11" spans="1:3" x14ac:dyDescent="0.2">
      <c r="A11" s="2">
        <f>B4+(0.5*C4)</f>
        <v>6814.5</v>
      </c>
      <c r="B11" s="2" t="s">
        <v>31</v>
      </c>
    </row>
    <row r="12" spans="1:3" x14ac:dyDescent="0.2">
      <c r="A12" s="2">
        <f>A11*1000</f>
        <v>6814500</v>
      </c>
      <c r="B12" s="2" t="s">
        <v>39</v>
      </c>
    </row>
    <row r="14" spans="1:3" x14ac:dyDescent="0.2">
      <c r="A14" s="1" t="s">
        <v>40</v>
      </c>
    </row>
    <row r="15" spans="1:3" x14ac:dyDescent="0.2">
      <c r="A15" s="2" t="s">
        <v>41</v>
      </c>
    </row>
    <row r="16" spans="1:3" x14ac:dyDescent="0.2">
      <c r="A16" s="2" t="s">
        <v>42</v>
      </c>
    </row>
    <row r="17" spans="1:2" x14ac:dyDescent="0.2">
      <c r="A17" s="2" t="s">
        <v>43</v>
      </c>
    </row>
    <row r="18" spans="1:2" x14ac:dyDescent="0.2">
      <c r="A18" s="2" t="s">
        <v>44</v>
      </c>
    </row>
    <row r="19" spans="1:2" x14ac:dyDescent="0.2">
      <c r="A19" s="2" t="s">
        <v>45</v>
      </c>
    </row>
    <row r="20" spans="1:2" x14ac:dyDescent="0.2">
      <c r="A20" s="2" t="s">
        <v>46</v>
      </c>
    </row>
    <row r="21" spans="1:2" ht="15.75" customHeight="1" x14ac:dyDescent="0.2">
      <c r="A21" s="2" t="s">
        <v>47</v>
      </c>
    </row>
    <row r="22" spans="1:2" ht="15.75" customHeight="1" x14ac:dyDescent="0.2">
      <c r="A22" s="2" t="s">
        <v>48</v>
      </c>
    </row>
    <row r="23" spans="1:2" ht="15.75" customHeight="1" x14ac:dyDescent="0.2">
      <c r="A23" s="2" t="s">
        <v>49</v>
      </c>
    </row>
    <row r="24" spans="1:2" ht="15.75" customHeight="1" x14ac:dyDescent="0.2">
      <c r="A24" s="2" t="s">
        <v>50</v>
      </c>
    </row>
    <row r="25" spans="1:2" ht="15.75" customHeight="1" x14ac:dyDescent="0.2">
      <c r="A25" s="2" t="s">
        <v>51</v>
      </c>
    </row>
    <row r="26" spans="1:2" ht="15.75" customHeight="1" x14ac:dyDescent="0.2"/>
    <row r="27" spans="1:2" ht="15.75" customHeight="1" x14ac:dyDescent="0.2">
      <c r="A27" s="12">
        <v>0.02</v>
      </c>
      <c r="B27" s="2" t="s">
        <v>52</v>
      </c>
    </row>
    <row r="28" spans="1:2" ht="15.75" customHeight="1" x14ac:dyDescent="0.2"/>
    <row r="29" spans="1:2" ht="15.75" customHeight="1" x14ac:dyDescent="0.2">
      <c r="A29" s="2">
        <f>A12*A27</f>
        <v>136290</v>
      </c>
      <c r="B29" s="2" t="s">
        <v>53</v>
      </c>
    </row>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3DCC-EB5E-C646-86FF-13F327F9523E}">
  <dimension ref="A1:G7"/>
  <sheetViews>
    <sheetView workbookViewId="0">
      <selection activeCell="K5" sqref="K5"/>
    </sheetView>
  </sheetViews>
  <sheetFormatPr baseColWidth="10" defaultRowHeight="15" x14ac:dyDescent="0.2"/>
  <sheetData>
    <row r="1" spans="1:7" x14ac:dyDescent="0.2">
      <c r="A1" s="22"/>
      <c r="B1" s="23" t="s">
        <v>90</v>
      </c>
      <c r="D1" s="2" t="s">
        <v>91</v>
      </c>
      <c r="F1" s="22"/>
      <c r="G1" s="23" t="s">
        <v>92</v>
      </c>
    </row>
    <row r="2" spans="1:7" x14ac:dyDescent="0.2">
      <c r="A2" s="22" t="s">
        <v>79</v>
      </c>
      <c r="B2" s="22">
        <v>0</v>
      </c>
      <c r="D2" s="20">
        <v>1000000</v>
      </c>
      <c r="F2" s="22" t="s">
        <v>79</v>
      </c>
      <c r="G2">
        <f>B2/$D$2</f>
        <v>0</v>
      </c>
    </row>
    <row r="3" spans="1:7" x14ac:dyDescent="0.2">
      <c r="A3" s="22" t="s">
        <v>80</v>
      </c>
      <c r="B3" s="24">
        <v>7921902</v>
      </c>
      <c r="F3" s="22" t="s">
        <v>80</v>
      </c>
      <c r="G3">
        <f t="shared" ref="G3:G7" si="0">B3/$D$2</f>
        <v>7.9219020000000002</v>
      </c>
    </row>
    <row r="4" spans="1:7" x14ac:dyDescent="0.2">
      <c r="A4" s="22" t="s">
        <v>81</v>
      </c>
      <c r="B4" s="22">
        <v>0</v>
      </c>
      <c r="F4" s="22" t="s">
        <v>81</v>
      </c>
      <c r="G4">
        <f t="shared" si="0"/>
        <v>0</v>
      </c>
    </row>
    <row r="5" spans="1:7" x14ac:dyDescent="0.2">
      <c r="A5" s="22" t="s">
        <v>82</v>
      </c>
      <c r="B5" s="24">
        <v>7921902</v>
      </c>
      <c r="F5" s="22" t="s">
        <v>82</v>
      </c>
      <c r="G5">
        <f t="shared" si="0"/>
        <v>7.9219020000000002</v>
      </c>
    </row>
    <row r="6" spans="1:7" x14ac:dyDescent="0.2">
      <c r="A6" s="22" t="s">
        <v>83</v>
      </c>
      <c r="B6" s="24">
        <v>7253293</v>
      </c>
      <c r="F6" s="22" t="s">
        <v>83</v>
      </c>
      <c r="G6">
        <f t="shared" si="0"/>
        <v>7.2532930000000002</v>
      </c>
    </row>
    <row r="7" spans="1:7" x14ac:dyDescent="0.2">
      <c r="A7" s="22" t="s">
        <v>84</v>
      </c>
      <c r="B7" s="24">
        <v>3712996</v>
      </c>
      <c r="F7" s="22" t="s">
        <v>84</v>
      </c>
      <c r="G7">
        <f t="shared" si="0"/>
        <v>3.712996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4"/>
  <sheetViews>
    <sheetView tabSelected="1" topLeftCell="A48" zoomScale="150" zoomScaleNormal="150" workbookViewId="0">
      <selection activeCell="A69" sqref="A69"/>
    </sheetView>
  </sheetViews>
  <sheetFormatPr baseColWidth="10" defaultColWidth="14.5" defaultRowHeight="15" customHeight="1" x14ac:dyDescent="0.2"/>
  <cols>
    <col min="1" max="1" width="39.33203125" customWidth="1"/>
    <col min="2" max="3" width="10.6640625" customWidth="1"/>
    <col min="4" max="4" width="14" customWidth="1"/>
    <col min="5" max="5" width="40.33203125" customWidth="1"/>
    <col min="6" max="8" width="10.6640625" customWidth="1"/>
    <col min="9" max="9" width="43.1640625" customWidth="1"/>
    <col min="10" max="12" width="10.6640625" customWidth="1"/>
    <col min="13" max="13" width="35.1640625" customWidth="1"/>
    <col min="14" max="14" width="11.6640625" customWidth="1"/>
    <col min="15" max="26" width="10.6640625" customWidth="1"/>
  </cols>
  <sheetData>
    <row r="1" spans="1:16" ht="21" x14ac:dyDescent="0.25">
      <c r="A1" s="32" t="s">
        <v>54</v>
      </c>
      <c r="B1" s="33"/>
      <c r="E1" s="32" t="s">
        <v>55</v>
      </c>
      <c r="F1" s="33"/>
      <c r="G1" s="13"/>
      <c r="I1" s="32" t="s">
        <v>56</v>
      </c>
      <c r="J1" s="33"/>
      <c r="M1" s="32" t="s">
        <v>57</v>
      </c>
      <c r="N1" s="33"/>
    </row>
    <row r="2" spans="1:16" x14ac:dyDescent="0.2">
      <c r="A2" s="1" t="s">
        <v>85</v>
      </c>
      <c r="B2" s="25">
        <f>'CO2 Sequestrated'!G3</f>
        <v>7.9219020000000002</v>
      </c>
      <c r="E2" s="1" t="s">
        <v>88</v>
      </c>
      <c r="F2" s="21" t="s">
        <v>86</v>
      </c>
      <c r="I2" s="1" t="s">
        <v>59</v>
      </c>
      <c r="J2" s="14" t="s">
        <v>9</v>
      </c>
      <c r="M2" s="1" t="s">
        <v>88</v>
      </c>
      <c r="N2" s="25">
        <f>'CO2 Sequestrated'!G6</f>
        <v>7.2532930000000002</v>
      </c>
    </row>
    <row r="3" spans="1:16" x14ac:dyDescent="0.2">
      <c r="A3" s="1"/>
      <c r="B3" s="2"/>
      <c r="E3" s="1" t="s">
        <v>89</v>
      </c>
      <c r="F3" s="2">
        <f>(2+85)/2</f>
        <v>43.5</v>
      </c>
      <c r="I3" s="1" t="s">
        <v>60</v>
      </c>
      <c r="J3" s="2">
        <v>650</v>
      </c>
      <c r="M3" s="1"/>
      <c r="N3" s="2"/>
    </row>
    <row r="4" spans="1:16" x14ac:dyDescent="0.2">
      <c r="A4" s="1" t="s">
        <v>61</v>
      </c>
      <c r="B4" s="2">
        <v>212.02</v>
      </c>
      <c r="E4" s="2" t="s">
        <v>70</v>
      </c>
      <c r="F4">
        <v>2.4710538146999999</v>
      </c>
      <c r="I4" s="2" t="s">
        <v>63</v>
      </c>
      <c r="J4" s="2">
        <v>2471</v>
      </c>
      <c r="M4" s="2" t="s">
        <v>70</v>
      </c>
      <c r="N4">
        <v>2.4710538146999999</v>
      </c>
    </row>
    <row r="5" spans="1:16" x14ac:dyDescent="0.2">
      <c r="A5" s="2" t="s">
        <v>66</v>
      </c>
      <c r="B5" s="17">
        <v>1000000</v>
      </c>
      <c r="E5" s="1" t="s">
        <v>87</v>
      </c>
      <c r="F5">
        <f>F3/F4</f>
        <v>17.603825437238061</v>
      </c>
      <c r="I5" s="1" t="s">
        <v>65</v>
      </c>
      <c r="J5" s="15">
        <f>J3*J4</f>
        <v>1606150</v>
      </c>
      <c r="M5" s="1"/>
    </row>
    <row r="6" spans="1:16" x14ac:dyDescent="0.2">
      <c r="A6" s="2"/>
      <c r="B6" s="15"/>
      <c r="E6" s="1" t="s">
        <v>62</v>
      </c>
      <c r="F6" s="2">
        <v>80.25</v>
      </c>
      <c r="J6" s="15"/>
      <c r="M6" s="1" t="s">
        <v>64</v>
      </c>
      <c r="N6" s="2">
        <v>363.85</v>
      </c>
      <c r="O6">
        <v>1.5</v>
      </c>
      <c r="P6" s="31">
        <v>2</v>
      </c>
    </row>
    <row r="7" spans="1:16" x14ac:dyDescent="0.2">
      <c r="A7" s="2"/>
      <c r="B7" s="15"/>
      <c r="E7" s="2" t="s">
        <v>66</v>
      </c>
      <c r="F7" s="17">
        <v>1000000</v>
      </c>
      <c r="J7" s="15"/>
      <c r="M7" s="2" t="s">
        <v>66</v>
      </c>
      <c r="N7" s="17">
        <v>1000000</v>
      </c>
    </row>
    <row r="8" spans="1:16" x14ac:dyDescent="0.2">
      <c r="A8" s="1" t="s">
        <v>67</v>
      </c>
      <c r="B8" s="15">
        <f>B4*B5</f>
        <v>212020000</v>
      </c>
      <c r="E8" s="1" t="s">
        <v>68</v>
      </c>
      <c r="F8" s="15">
        <f>F6*F7</f>
        <v>80250000</v>
      </c>
      <c r="I8" s="1"/>
      <c r="J8" s="15"/>
      <c r="M8" s="1" t="s">
        <v>69</v>
      </c>
      <c r="N8" s="15">
        <f>N6*N7</f>
        <v>363850000</v>
      </c>
      <c r="O8" s="17">
        <f>O6*N7</f>
        <v>1500000</v>
      </c>
      <c r="P8" s="17">
        <f>P6*N7</f>
        <v>2000000</v>
      </c>
    </row>
    <row r="9" spans="1:16" x14ac:dyDescent="0.2">
      <c r="A9" s="1" t="s">
        <v>93</v>
      </c>
      <c r="B9" s="15">
        <f>B8/B2</f>
        <v>26763774.659166448</v>
      </c>
      <c r="E9" s="1" t="s">
        <v>71</v>
      </c>
      <c r="F9" s="15">
        <f>F8/F5</f>
        <v>4558668.2443603445</v>
      </c>
      <c r="I9" s="1"/>
      <c r="J9" s="15"/>
      <c r="M9" s="1" t="s">
        <v>96</v>
      </c>
      <c r="N9" s="15">
        <f>(N8/N2)*N4</f>
        <v>123956516.0925658</v>
      </c>
      <c r="O9" s="20">
        <f>(O8/N2)*N4</f>
        <v>511020.40439425234</v>
      </c>
      <c r="P9" s="20">
        <f>(P8*N13)/N4</f>
        <v>2967964.5001541134</v>
      </c>
    </row>
    <row r="11" spans="1:16" ht="15" customHeight="1" x14ac:dyDescent="0.2">
      <c r="M11" s="1" t="s">
        <v>115</v>
      </c>
      <c r="N11" s="21" t="s">
        <v>116</v>
      </c>
      <c r="P11" s="20"/>
    </row>
    <row r="12" spans="1:16" ht="15" customHeight="1" x14ac:dyDescent="0.2">
      <c r="M12" s="2" t="s">
        <v>117</v>
      </c>
      <c r="N12" s="2">
        <v>3.6669999999999998</v>
      </c>
    </row>
    <row r="13" spans="1:16" ht="21" x14ac:dyDescent="0.25">
      <c r="A13" s="32" t="s">
        <v>72</v>
      </c>
      <c r="B13" s="33"/>
      <c r="E13" s="16" t="s">
        <v>73</v>
      </c>
      <c r="M13" s="28" t="s">
        <v>118</v>
      </c>
      <c r="N13" s="2">
        <f>((0.5+1.5)/2)*N12</f>
        <v>3.6669999999999998</v>
      </c>
    </row>
    <row r="14" spans="1:16" x14ac:dyDescent="0.2">
      <c r="A14" s="1" t="s">
        <v>58</v>
      </c>
      <c r="B14" s="25">
        <f>'CO2 Sequestrated'!G7</f>
        <v>3.712996</v>
      </c>
      <c r="E14" s="2" t="s">
        <v>97</v>
      </c>
      <c r="F14" s="17">
        <v>50100000</v>
      </c>
      <c r="M14" s="1" t="s">
        <v>96</v>
      </c>
      <c r="N14" s="17">
        <f>(O8/N13)*N4</f>
        <v>1010793.7611262612</v>
      </c>
    </row>
    <row r="15" spans="1:16" x14ac:dyDescent="0.2">
      <c r="A15" s="1"/>
      <c r="B15" s="2"/>
      <c r="E15" s="18" t="s">
        <v>75</v>
      </c>
      <c r="M15" s="2"/>
      <c r="N15" s="15"/>
    </row>
    <row r="16" spans="1:16" x14ac:dyDescent="0.2">
      <c r="A16" s="2" t="s">
        <v>70</v>
      </c>
      <c r="B16">
        <v>2.4710538146999999</v>
      </c>
      <c r="E16" s="27" t="s">
        <v>98</v>
      </c>
      <c r="F16">
        <v>50</v>
      </c>
      <c r="M16" s="2"/>
      <c r="N16" s="15"/>
    </row>
    <row r="17" spans="1:6" x14ac:dyDescent="0.2">
      <c r="A17" s="1" t="s">
        <v>87</v>
      </c>
      <c r="B17">
        <f>B15/B16</f>
        <v>0</v>
      </c>
      <c r="E17" s="22" t="s">
        <v>74</v>
      </c>
      <c r="F17" s="20">
        <f>F14/F16</f>
        <v>1002000</v>
      </c>
    </row>
    <row r="18" spans="1:6" x14ac:dyDescent="0.2">
      <c r="A18" s="1" t="s">
        <v>76</v>
      </c>
      <c r="B18" s="2">
        <v>21.56</v>
      </c>
    </row>
    <row r="19" spans="1:6" ht="15.75" customHeight="1" x14ac:dyDescent="0.2">
      <c r="A19" s="2" t="s">
        <v>66</v>
      </c>
      <c r="B19" s="17">
        <v>1000000</v>
      </c>
      <c r="E19" s="1"/>
      <c r="F19" s="2"/>
    </row>
    <row r="20" spans="1:6" ht="15.75" customHeight="1" x14ac:dyDescent="0.2">
      <c r="A20" s="1" t="s">
        <v>77</v>
      </c>
      <c r="B20" s="20">
        <f>B18*B19</f>
        <v>21560000</v>
      </c>
      <c r="E20" s="2"/>
      <c r="F20" s="2"/>
    </row>
    <row r="21" spans="1:6" ht="15.75" customHeight="1" x14ac:dyDescent="0.2">
      <c r="A21" s="1" t="s">
        <v>94</v>
      </c>
      <c r="B21" s="15">
        <f>B20/B14</f>
        <v>5806631.6257814448</v>
      </c>
      <c r="E21" s="2"/>
      <c r="F21" s="15"/>
    </row>
    <row r="22" spans="1:6" ht="15.75" customHeight="1" x14ac:dyDescent="0.2">
      <c r="A22" s="2"/>
      <c r="B22" s="2"/>
      <c r="E22" s="2"/>
      <c r="F22" s="15"/>
    </row>
    <row r="23" spans="1:6" ht="15.75" customHeight="1" x14ac:dyDescent="0.2">
      <c r="A23" s="1"/>
      <c r="B23" s="15"/>
    </row>
    <row r="24" spans="1:6" ht="15.75" customHeight="1" x14ac:dyDescent="0.2"/>
    <row r="26" spans="1:6" ht="25" customHeight="1" x14ac:dyDescent="0.25">
      <c r="A26" s="26" t="s">
        <v>95</v>
      </c>
      <c r="B26" s="26"/>
    </row>
    <row r="27" spans="1:6" ht="15.75" customHeight="1" x14ac:dyDescent="0.2">
      <c r="A27" s="1"/>
      <c r="B27" s="2"/>
      <c r="E27" s="1"/>
      <c r="F27" s="2"/>
    </row>
    <row r="28" spans="1:6" ht="15.75" customHeight="1" x14ac:dyDescent="0.2">
      <c r="A28" s="2"/>
      <c r="B28" s="20"/>
      <c r="E28" s="2"/>
      <c r="F28" s="2"/>
    </row>
    <row r="29" spans="1:6" ht="15.75" customHeight="1" x14ac:dyDescent="0.2">
      <c r="A29" s="1"/>
      <c r="B29" s="20"/>
      <c r="E29" s="2"/>
      <c r="F29" s="15"/>
    </row>
    <row r="30" spans="1:6" ht="15.75" customHeight="1" x14ac:dyDescent="0.2">
      <c r="A30" s="28" t="s">
        <v>99</v>
      </c>
      <c r="E30" s="2"/>
      <c r="F30" s="15"/>
    </row>
    <row r="31" spans="1:6" ht="15.75" customHeight="1" x14ac:dyDescent="0.2">
      <c r="A31" s="19" t="s">
        <v>100</v>
      </c>
      <c r="B31" s="20"/>
      <c r="E31" s="1"/>
      <c r="F31" s="15"/>
    </row>
    <row r="32" spans="1:6" ht="15.75" customHeight="1" x14ac:dyDescent="0.2">
      <c r="E32" s="1"/>
      <c r="F32" s="15"/>
    </row>
    <row r="33" spans="1:6" ht="15.75" customHeight="1" x14ac:dyDescent="0.2">
      <c r="A33" s="29" t="s">
        <v>101</v>
      </c>
    </row>
    <row r="34" spans="1:6" ht="15.75" customHeight="1" x14ac:dyDescent="0.2">
      <c r="A34" s="19" t="s">
        <v>102</v>
      </c>
    </row>
    <row r="35" spans="1:6" ht="15.75" customHeight="1" x14ac:dyDescent="0.2"/>
    <row r="36" spans="1:6" ht="15.75" customHeight="1" x14ac:dyDescent="0.2">
      <c r="A36" s="28" t="s">
        <v>103</v>
      </c>
    </row>
    <row r="37" spans="1:6" ht="15.75" customHeight="1" x14ac:dyDescent="0.2">
      <c r="A37" t="s">
        <v>104</v>
      </c>
    </row>
    <row r="38" spans="1:6" ht="15.75" customHeight="1" x14ac:dyDescent="0.2"/>
    <row r="39" spans="1:6" ht="15.75" customHeight="1" x14ac:dyDescent="0.2">
      <c r="B39" s="2" t="s">
        <v>107</v>
      </c>
      <c r="C39" s="2" t="s">
        <v>106</v>
      </c>
      <c r="D39" s="2" t="s">
        <v>110</v>
      </c>
      <c r="E39" s="2" t="s">
        <v>113</v>
      </c>
      <c r="F39" s="2" t="s">
        <v>114</v>
      </c>
    </row>
    <row r="40" spans="1:6" ht="15.75" customHeight="1" x14ac:dyDescent="0.2">
      <c r="A40" s="2" t="s">
        <v>108</v>
      </c>
      <c r="B40">
        <v>22</v>
      </c>
      <c r="C40">
        <f>N4*B40</f>
        <v>54.363183923399994</v>
      </c>
      <c r="D40" s="20">
        <f>C40*1000000</f>
        <v>54363183.923399992</v>
      </c>
      <c r="E40" s="30">
        <v>1.7</v>
      </c>
      <c r="F40" s="20">
        <f>E40*N4*1000000</f>
        <v>4200791.4849899998</v>
      </c>
    </row>
    <row r="41" spans="1:6" ht="15.75" customHeight="1" x14ac:dyDescent="0.2">
      <c r="A41" s="2" t="s">
        <v>109</v>
      </c>
      <c r="B41">
        <f>(13.4+14.9)/2</f>
        <v>14.15</v>
      </c>
      <c r="C41">
        <f>N4*B41</f>
        <v>34.965411478005002</v>
      </c>
      <c r="D41" s="20">
        <f>C41*1000000</f>
        <v>34965411.478004999</v>
      </c>
    </row>
    <row r="42" spans="1:6" ht="15.75" customHeight="1" x14ac:dyDescent="0.2">
      <c r="A42" s="2"/>
    </row>
    <row r="43" spans="1:6" ht="15.75" customHeight="1" x14ac:dyDescent="0.2">
      <c r="A43" s="2" t="s">
        <v>105</v>
      </c>
      <c r="B43">
        <v>1.9</v>
      </c>
    </row>
    <row r="44" spans="1:6" ht="15.75" customHeight="1" x14ac:dyDescent="0.2"/>
    <row r="45" spans="1:6" ht="15.75" customHeight="1" x14ac:dyDescent="0.2"/>
    <row r="46" spans="1:6" ht="15.75" customHeight="1" x14ac:dyDescent="0.2"/>
    <row r="47" spans="1:6" ht="15.75" customHeight="1" x14ac:dyDescent="0.2">
      <c r="F47" s="2" t="s">
        <v>119</v>
      </c>
    </row>
    <row r="48" spans="1:6" ht="15.75" customHeight="1" x14ac:dyDescent="0.2"/>
    <row r="49" spans="1:1" ht="15.75" customHeight="1" x14ac:dyDescent="0.2"/>
    <row r="50" spans="1:1" ht="15.75" customHeight="1" x14ac:dyDescent="0.2"/>
    <row r="51" spans="1:1" ht="15.75" customHeight="1" x14ac:dyDescent="0.2"/>
    <row r="52" spans="1:1" ht="15.75" customHeight="1" x14ac:dyDescent="0.2"/>
    <row r="53" spans="1:1" ht="15.75" customHeight="1" x14ac:dyDescent="0.2"/>
    <row r="54" spans="1:1" ht="15.75" customHeight="1" x14ac:dyDescent="0.2"/>
    <row r="55" spans="1:1" ht="15.75" customHeight="1" x14ac:dyDescent="0.2"/>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c r="A64" s="19" t="s">
        <v>104</v>
      </c>
    </row>
    <row r="65" spans="1:1" ht="15.75" customHeight="1" x14ac:dyDescent="0.2"/>
    <row r="66" spans="1:1" ht="15.75" customHeight="1" x14ac:dyDescent="0.2"/>
    <row r="67" spans="1:1" ht="15.75" customHeight="1" x14ac:dyDescent="0.2">
      <c r="A67" s="2" t="s">
        <v>111</v>
      </c>
    </row>
    <row r="68" spans="1:1" ht="15.75" customHeight="1" x14ac:dyDescent="0.2">
      <c r="A68" s="19" t="s">
        <v>112</v>
      </c>
    </row>
    <row r="69" spans="1:1" ht="15.75" customHeight="1" x14ac:dyDescent="0.2"/>
    <row r="70" spans="1:1" ht="15.75" customHeight="1" x14ac:dyDescent="0.2"/>
    <row r="71" spans="1:1" ht="15.75" customHeight="1" x14ac:dyDescent="0.2"/>
    <row r="72" spans="1:1" ht="15.75" customHeight="1" x14ac:dyDescent="0.2"/>
    <row r="73" spans="1:1" ht="15.75" customHeight="1" x14ac:dyDescent="0.2"/>
    <row r="74" spans="1:1" ht="15.75" customHeight="1" x14ac:dyDescent="0.2"/>
    <row r="75" spans="1:1" ht="15.75" customHeight="1" x14ac:dyDescent="0.2"/>
    <row r="76" spans="1:1" ht="15.75" customHeight="1" x14ac:dyDescent="0.2"/>
    <row r="77" spans="1:1" ht="15.75" customHeight="1" x14ac:dyDescent="0.2"/>
    <row r="78" spans="1:1" ht="15.75" customHeight="1" x14ac:dyDescent="0.2"/>
    <row r="79" spans="1:1" ht="15.75" customHeight="1" x14ac:dyDescent="0.2"/>
    <row r="80" spans="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
    <mergeCell ref="A1:B1"/>
    <mergeCell ref="E1:F1"/>
    <mergeCell ref="I1:J1"/>
    <mergeCell ref="M1:N1"/>
    <mergeCell ref="A13:B13"/>
  </mergeCells>
  <hyperlinks>
    <hyperlink ref="E15" r:id="rId1" location=":~:text=Out%20of%20Indonesia's%2027%20million,among%20environmental%20groups%20and%20lawmakers." xr:uid="{00000000-0004-0000-0200-000000000000}"/>
    <hyperlink ref="A31" r:id="rId2" xr:uid="{D2C2543B-2FE3-2741-AA39-42D63CDCE2A3}"/>
    <hyperlink ref="A34" r:id="rId3" xr:uid="{F4A67961-5D19-5B44-A132-82205BEA5C53}"/>
    <hyperlink ref="A64" r:id="rId4" xr:uid="{C8FA7D2F-09A8-C24D-B8CD-0ACDAE7CCE6C}"/>
    <hyperlink ref="A68" r:id="rId5" xr:uid="{2BF5590A-7311-964A-9A14-7F654CC6792A}"/>
  </hyperlinks>
  <pageMargins left="0.7" right="0.7" top="0.75" bottom="0.75" header="0" footer="0"/>
  <pageSetup orientation="landscape"/>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AZ1000"/>
  <sheetViews>
    <sheetView workbookViewId="0">
      <selection activeCell="I6" sqref="I6:T6"/>
    </sheetView>
  </sheetViews>
  <sheetFormatPr baseColWidth="10" defaultColWidth="14.5" defaultRowHeight="15" customHeight="1" x14ac:dyDescent="0.2"/>
  <cols>
    <col min="1" max="1" width="29.33203125" customWidth="1"/>
    <col min="2" max="32" width="10" customWidth="1"/>
    <col min="33" max="52" width="8.83203125" customWidth="1"/>
  </cols>
  <sheetData>
    <row r="1" spans="1:52" x14ac:dyDescent="0.2">
      <c r="A1" s="1" t="s">
        <v>78</v>
      </c>
      <c r="B1" s="14">
        <v>2020</v>
      </c>
      <c r="C1" s="1">
        <v>2021</v>
      </c>
      <c r="D1" s="14">
        <v>2022</v>
      </c>
      <c r="E1" s="1">
        <v>2023</v>
      </c>
      <c r="F1" s="14">
        <v>2024</v>
      </c>
      <c r="G1" s="1">
        <v>2025</v>
      </c>
      <c r="H1" s="14">
        <v>2026</v>
      </c>
      <c r="I1" s="1">
        <v>2027</v>
      </c>
      <c r="J1" s="14">
        <v>2028</v>
      </c>
      <c r="K1" s="1">
        <v>2029</v>
      </c>
      <c r="L1" s="14">
        <v>2030</v>
      </c>
      <c r="M1" s="1">
        <v>2031</v>
      </c>
      <c r="N1" s="14">
        <v>2032</v>
      </c>
      <c r="O1" s="1">
        <v>2033</v>
      </c>
      <c r="P1" s="14">
        <v>2034</v>
      </c>
      <c r="Q1" s="1">
        <v>2035</v>
      </c>
      <c r="R1" s="14">
        <v>2036</v>
      </c>
      <c r="S1" s="1">
        <v>2037</v>
      </c>
      <c r="T1" s="14">
        <v>2038</v>
      </c>
      <c r="U1" s="1">
        <v>2039</v>
      </c>
      <c r="V1" s="14">
        <v>2040</v>
      </c>
      <c r="W1" s="1">
        <v>2041</v>
      </c>
      <c r="X1" s="14">
        <v>2042</v>
      </c>
      <c r="Y1" s="1">
        <v>2043</v>
      </c>
      <c r="Z1" s="14">
        <v>2044</v>
      </c>
      <c r="AA1" s="1">
        <v>2045</v>
      </c>
      <c r="AB1" s="14">
        <v>2046</v>
      </c>
      <c r="AC1" s="1">
        <v>2047</v>
      </c>
      <c r="AD1" s="14">
        <v>2048</v>
      </c>
      <c r="AE1" s="1">
        <v>2049</v>
      </c>
      <c r="AF1" s="14">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
      <c r="A2" s="2" t="s">
        <v>79</v>
      </c>
      <c r="B2" s="15">
        <f>'Potential land area'!F17</f>
        <v>1002000</v>
      </c>
      <c r="C2" s="15">
        <f t="shared" ref="C2:AZ2" si="0">B2</f>
        <v>1002000</v>
      </c>
      <c r="D2" s="15">
        <f t="shared" si="0"/>
        <v>1002000</v>
      </c>
      <c r="E2" s="15">
        <f t="shared" si="0"/>
        <v>1002000</v>
      </c>
      <c r="F2" s="15">
        <f t="shared" si="0"/>
        <v>1002000</v>
      </c>
      <c r="G2" s="15">
        <f t="shared" si="0"/>
        <v>1002000</v>
      </c>
      <c r="H2" s="15">
        <f t="shared" si="0"/>
        <v>1002000</v>
      </c>
      <c r="I2" s="15">
        <f t="shared" si="0"/>
        <v>1002000</v>
      </c>
      <c r="J2" s="15">
        <f t="shared" si="0"/>
        <v>1002000</v>
      </c>
      <c r="K2" s="15">
        <f t="shared" si="0"/>
        <v>1002000</v>
      </c>
      <c r="L2" s="15">
        <f t="shared" si="0"/>
        <v>1002000</v>
      </c>
      <c r="M2" s="15">
        <f t="shared" si="0"/>
        <v>1002000</v>
      </c>
      <c r="N2" s="15">
        <f t="shared" si="0"/>
        <v>1002000</v>
      </c>
      <c r="O2" s="15">
        <f t="shared" si="0"/>
        <v>1002000</v>
      </c>
      <c r="P2" s="15">
        <f t="shared" si="0"/>
        <v>1002000</v>
      </c>
      <c r="Q2" s="15">
        <f t="shared" si="0"/>
        <v>1002000</v>
      </c>
      <c r="R2" s="15">
        <f t="shared" si="0"/>
        <v>1002000</v>
      </c>
      <c r="S2" s="15">
        <f t="shared" si="0"/>
        <v>1002000</v>
      </c>
      <c r="T2" s="15">
        <f t="shared" si="0"/>
        <v>1002000</v>
      </c>
      <c r="U2" s="15">
        <f t="shared" si="0"/>
        <v>1002000</v>
      </c>
      <c r="V2" s="15">
        <f t="shared" si="0"/>
        <v>1002000</v>
      </c>
      <c r="W2" s="15">
        <f t="shared" si="0"/>
        <v>1002000</v>
      </c>
      <c r="X2" s="15">
        <f t="shared" si="0"/>
        <v>1002000</v>
      </c>
      <c r="Y2" s="15">
        <f t="shared" si="0"/>
        <v>1002000</v>
      </c>
      <c r="Z2" s="15">
        <f t="shared" si="0"/>
        <v>1002000</v>
      </c>
      <c r="AA2" s="15">
        <f t="shared" si="0"/>
        <v>1002000</v>
      </c>
      <c r="AB2" s="15">
        <f t="shared" si="0"/>
        <v>1002000</v>
      </c>
      <c r="AC2" s="15">
        <f t="shared" si="0"/>
        <v>1002000</v>
      </c>
      <c r="AD2" s="15">
        <f t="shared" si="0"/>
        <v>1002000</v>
      </c>
      <c r="AE2" s="15">
        <f t="shared" si="0"/>
        <v>1002000</v>
      </c>
      <c r="AF2" s="15">
        <f t="shared" si="0"/>
        <v>1002000</v>
      </c>
      <c r="AG2" s="15">
        <f t="shared" si="0"/>
        <v>1002000</v>
      </c>
      <c r="AH2" s="15">
        <f t="shared" si="0"/>
        <v>1002000</v>
      </c>
      <c r="AI2" s="15">
        <f t="shared" si="0"/>
        <v>1002000</v>
      </c>
      <c r="AJ2" s="15">
        <f t="shared" si="0"/>
        <v>1002000</v>
      </c>
      <c r="AK2" s="15">
        <f t="shared" si="0"/>
        <v>1002000</v>
      </c>
      <c r="AL2" s="15">
        <f t="shared" si="0"/>
        <v>1002000</v>
      </c>
      <c r="AM2" s="15">
        <f t="shared" si="0"/>
        <v>1002000</v>
      </c>
      <c r="AN2" s="15">
        <f t="shared" si="0"/>
        <v>1002000</v>
      </c>
      <c r="AO2" s="15">
        <f t="shared" si="0"/>
        <v>1002000</v>
      </c>
      <c r="AP2" s="15">
        <f t="shared" si="0"/>
        <v>1002000</v>
      </c>
      <c r="AQ2" s="15">
        <f t="shared" si="0"/>
        <v>1002000</v>
      </c>
      <c r="AR2" s="15">
        <f t="shared" si="0"/>
        <v>1002000</v>
      </c>
      <c r="AS2" s="15">
        <f t="shared" si="0"/>
        <v>1002000</v>
      </c>
      <c r="AT2" s="15">
        <f t="shared" si="0"/>
        <v>1002000</v>
      </c>
      <c r="AU2" s="15">
        <f t="shared" si="0"/>
        <v>1002000</v>
      </c>
      <c r="AV2" s="15">
        <f t="shared" si="0"/>
        <v>1002000</v>
      </c>
      <c r="AW2" s="15">
        <f t="shared" si="0"/>
        <v>1002000</v>
      </c>
      <c r="AX2" s="15">
        <f t="shared" si="0"/>
        <v>1002000</v>
      </c>
      <c r="AY2" s="15">
        <f t="shared" si="0"/>
        <v>1002000</v>
      </c>
      <c r="AZ2" s="15">
        <f t="shared" si="0"/>
        <v>1002000</v>
      </c>
    </row>
    <row r="3" spans="1:52" x14ac:dyDescent="0.2">
      <c r="A3" s="2" t="s">
        <v>80</v>
      </c>
      <c r="B3" s="15">
        <f>'Potential land area'!B9</f>
        <v>26763774.659166448</v>
      </c>
      <c r="C3" s="15">
        <f t="shared" ref="C3:AZ3" si="1">B3</f>
        <v>26763774.659166448</v>
      </c>
      <c r="D3" s="15">
        <f t="shared" si="1"/>
        <v>26763774.659166448</v>
      </c>
      <c r="E3" s="15">
        <f t="shared" si="1"/>
        <v>26763774.659166448</v>
      </c>
      <c r="F3" s="15">
        <f t="shared" si="1"/>
        <v>26763774.659166448</v>
      </c>
      <c r="G3" s="15">
        <f t="shared" si="1"/>
        <v>26763774.659166448</v>
      </c>
      <c r="H3" s="15">
        <f t="shared" si="1"/>
        <v>26763774.659166448</v>
      </c>
      <c r="I3" s="15">
        <f t="shared" si="1"/>
        <v>26763774.659166448</v>
      </c>
      <c r="J3" s="15">
        <f t="shared" si="1"/>
        <v>26763774.659166448</v>
      </c>
      <c r="K3" s="15">
        <f t="shared" si="1"/>
        <v>26763774.659166448</v>
      </c>
      <c r="L3" s="15">
        <f t="shared" si="1"/>
        <v>26763774.659166448</v>
      </c>
      <c r="M3" s="15">
        <f t="shared" si="1"/>
        <v>26763774.659166448</v>
      </c>
      <c r="N3" s="15">
        <f t="shared" si="1"/>
        <v>26763774.659166448</v>
      </c>
      <c r="O3" s="15">
        <f t="shared" si="1"/>
        <v>26763774.659166448</v>
      </c>
      <c r="P3" s="15">
        <f t="shared" si="1"/>
        <v>26763774.659166448</v>
      </c>
      <c r="Q3" s="15">
        <f t="shared" si="1"/>
        <v>26763774.659166448</v>
      </c>
      <c r="R3" s="15">
        <f t="shared" si="1"/>
        <v>26763774.659166448</v>
      </c>
      <c r="S3" s="15">
        <f t="shared" si="1"/>
        <v>26763774.659166448</v>
      </c>
      <c r="T3" s="15">
        <f t="shared" si="1"/>
        <v>26763774.659166448</v>
      </c>
      <c r="U3" s="15">
        <f t="shared" si="1"/>
        <v>26763774.659166448</v>
      </c>
      <c r="V3" s="15">
        <f t="shared" si="1"/>
        <v>26763774.659166448</v>
      </c>
      <c r="W3" s="15">
        <f t="shared" si="1"/>
        <v>26763774.659166448</v>
      </c>
      <c r="X3" s="15">
        <f t="shared" si="1"/>
        <v>26763774.659166448</v>
      </c>
      <c r="Y3" s="15">
        <f t="shared" si="1"/>
        <v>26763774.659166448</v>
      </c>
      <c r="Z3" s="15">
        <f t="shared" si="1"/>
        <v>26763774.659166448</v>
      </c>
      <c r="AA3" s="15">
        <f t="shared" si="1"/>
        <v>26763774.659166448</v>
      </c>
      <c r="AB3" s="15">
        <f t="shared" si="1"/>
        <v>26763774.659166448</v>
      </c>
      <c r="AC3" s="15">
        <f t="shared" si="1"/>
        <v>26763774.659166448</v>
      </c>
      <c r="AD3" s="15">
        <f t="shared" si="1"/>
        <v>26763774.659166448</v>
      </c>
      <c r="AE3" s="15">
        <f t="shared" si="1"/>
        <v>26763774.659166448</v>
      </c>
      <c r="AF3" s="15">
        <f t="shared" si="1"/>
        <v>26763774.659166448</v>
      </c>
      <c r="AG3" s="15">
        <f t="shared" si="1"/>
        <v>26763774.659166448</v>
      </c>
      <c r="AH3" s="15">
        <f t="shared" si="1"/>
        <v>26763774.659166448</v>
      </c>
      <c r="AI3" s="15">
        <f t="shared" si="1"/>
        <v>26763774.659166448</v>
      </c>
      <c r="AJ3" s="15">
        <f t="shared" si="1"/>
        <v>26763774.659166448</v>
      </c>
      <c r="AK3" s="15">
        <f t="shared" si="1"/>
        <v>26763774.659166448</v>
      </c>
      <c r="AL3" s="15">
        <f t="shared" si="1"/>
        <v>26763774.659166448</v>
      </c>
      <c r="AM3" s="15">
        <f t="shared" si="1"/>
        <v>26763774.659166448</v>
      </c>
      <c r="AN3" s="15">
        <f t="shared" si="1"/>
        <v>26763774.659166448</v>
      </c>
      <c r="AO3" s="15">
        <f t="shared" si="1"/>
        <v>26763774.659166448</v>
      </c>
      <c r="AP3" s="15">
        <f t="shared" si="1"/>
        <v>26763774.659166448</v>
      </c>
      <c r="AQ3" s="15">
        <f t="shared" si="1"/>
        <v>26763774.659166448</v>
      </c>
      <c r="AR3" s="15">
        <f t="shared" si="1"/>
        <v>26763774.659166448</v>
      </c>
      <c r="AS3" s="15">
        <f t="shared" si="1"/>
        <v>26763774.659166448</v>
      </c>
      <c r="AT3" s="15">
        <f t="shared" si="1"/>
        <v>26763774.659166448</v>
      </c>
      <c r="AU3" s="15">
        <f t="shared" si="1"/>
        <v>26763774.659166448</v>
      </c>
      <c r="AV3" s="15">
        <f t="shared" si="1"/>
        <v>26763774.659166448</v>
      </c>
      <c r="AW3" s="15">
        <f t="shared" si="1"/>
        <v>26763774.659166448</v>
      </c>
      <c r="AX3" s="15">
        <f t="shared" si="1"/>
        <v>26763774.659166448</v>
      </c>
      <c r="AY3" s="15">
        <f t="shared" si="1"/>
        <v>26763774.659166448</v>
      </c>
      <c r="AZ3" s="15">
        <f t="shared" si="1"/>
        <v>26763774.659166448</v>
      </c>
    </row>
    <row r="4" spans="1:52" x14ac:dyDescent="0.2">
      <c r="A4" s="2" t="s">
        <v>81</v>
      </c>
      <c r="B4" s="15">
        <f>'Potential land area'!F9</f>
        <v>4558668.2443603445</v>
      </c>
      <c r="C4" s="15">
        <f t="shared" ref="C4:AZ4" si="2">B4</f>
        <v>4558668.2443603445</v>
      </c>
      <c r="D4" s="15">
        <f t="shared" si="2"/>
        <v>4558668.2443603445</v>
      </c>
      <c r="E4" s="15">
        <f t="shared" si="2"/>
        <v>4558668.2443603445</v>
      </c>
      <c r="F4" s="15">
        <f t="shared" si="2"/>
        <v>4558668.2443603445</v>
      </c>
      <c r="G4" s="15">
        <f t="shared" si="2"/>
        <v>4558668.2443603445</v>
      </c>
      <c r="H4" s="15">
        <f t="shared" si="2"/>
        <v>4558668.2443603445</v>
      </c>
      <c r="I4" s="15">
        <f t="shared" si="2"/>
        <v>4558668.2443603445</v>
      </c>
      <c r="J4" s="15">
        <f t="shared" si="2"/>
        <v>4558668.2443603445</v>
      </c>
      <c r="K4" s="15">
        <f t="shared" si="2"/>
        <v>4558668.2443603445</v>
      </c>
      <c r="L4" s="15">
        <f t="shared" si="2"/>
        <v>4558668.2443603445</v>
      </c>
      <c r="M4" s="15">
        <f t="shared" si="2"/>
        <v>4558668.2443603445</v>
      </c>
      <c r="N4" s="15">
        <f t="shared" si="2"/>
        <v>4558668.2443603445</v>
      </c>
      <c r="O4" s="15">
        <f t="shared" si="2"/>
        <v>4558668.2443603445</v>
      </c>
      <c r="P4" s="15">
        <f t="shared" si="2"/>
        <v>4558668.2443603445</v>
      </c>
      <c r="Q4" s="15">
        <f t="shared" si="2"/>
        <v>4558668.2443603445</v>
      </c>
      <c r="R4" s="15">
        <f t="shared" si="2"/>
        <v>4558668.2443603445</v>
      </c>
      <c r="S4" s="15">
        <f t="shared" si="2"/>
        <v>4558668.2443603445</v>
      </c>
      <c r="T4" s="15">
        <f t="shared" si="2"/>
        <v>4558668.2443603445</v>
      </c>
      <c r="U4" s="15">
        <f t="shared" si="2"/>
        <v>4558668.2443603445</v>
      </c>
      <c r="V4" s="15">
        <f t="shared" si="2"/>
        <v>4558668.2443603445</v>
      </c>
      <c r="W4" s="15">
        <f t="shared" si="2"/>
        <v>4558668.2443603445</v>
      </c>
      <c r="X4" s="15">
        <f t="shared" si="2"/>
        <v>4558668.2443603445</v>
      </c>
      <c r="Y4" s="15">
        <f t="shared" si="2"/>
        <v>4558668.2443603445</v>
      </c>
      <c r="Z4" s="15">
        <f t="shared" si="2"/>
        <v>4558668.2443603445</v>
      </c>
      <c r="AA4" s="15">
        <f t="shared" si="2"/>
        <v>4558668.2443603445</v>
      </c>
      <c r="AB4" s="15">
        <f t="shared" si="2"/>
        <v>4558668.2443603445</v>
      </c>
      <c r="AC4" s="15">
        <f t="shared" si="2"/>
        <v>4558668.2443603445</v>
      </c>
      <c r="AD4" s="15">
        <f t="shared" si="2"/>
        <v>4558668.2443603445</v>
      </c>
      <c r="AE4" s="15">
        <f t="shared" si="2"/>
        <v>4558668.2443603445</v>
      </c>
      <c r="AF4" s="15">
        <f t="shared" si="2"/>
        <v>4558668.2443603445</v>
      </c>
      <c r="AG4" s="15">
        <f t="shared" si="2"/>
        <v>4558668.2443603445</v>
      </c>
      <c r="AH4" s="15">
        <f t="shared" si="2"/>
        <v>4558668.2443603445</v>
      </c>
      <c r="AI4" s="15">
        <f t="shared" si="2"/>
        <v>4558668.2443603445</v>
      </c>
      <c r="AJ4" s="15">
        <f t="shared" si="2"/>
        <v>4558668.2443603445</v>
      </c>
      <c r="AK4" s="15">
        <f t="shared" si="2"/>
        <v>4558668.2443603445</v>
      </c>
      <c r="AL4" s="15">
        <f t="shared" si="2"/>
        <v>4558668.2443603445</v>
      </c>
      <c r="AM4" s="15">
        <f t="shared" si="2"/>
        <v>4558668.2443603445</v>
      </c>
      <c r="AN4" s="15">
        <f t="shared" si="2"/>
        <v>4558668.2443603445</v>
      </c>
      <c r="AO4" s="15">
        <f t="shared" si="2"/>
        <v>4558668.2443603445</v>
      </c>
      <c r="AP4" s="15">
        <f t="shared" si="2"/>
        <v>4558668.2443603445</v>
      </c>
      <c r="AQ4" s="15">
        <f t="shared" si="2"/>
        <v>4558668.2443603445</v>
      </c>
      <c r="AR4" s="15">
        <f t="shared" si="2"/>
        <v>4558668.2443603445</v>
      </c>
      <c r="AS4" s="15">
        <f t="shared" si="2"/>
        <v>4558668.2443603445</v>
      </c>
      <c r="AT4" s="15">
        <f t="shared" si="2"/>
        <v>4558668.2443603445</v>
      </c>
      <c r="AU4" s="15">
        <f t="shared" si="2"/>
        <v>4558668.2443603445</v>
      </c>
      <c r="AV4" s="15">
        <f t="shared" si="2"/>
        <v>4558668.2443603445</v>
      </c>
      <c r="AW4" s="15">
        <f t="shared" si="2"/>
        <v>4558668.2443603445</v>
      </c>
      <c r="AX4" s="15">
        <f t="shared" si="2"/>
        <v>4558668.2443603445</v>
      </c>
      <c r="AY4" s="15">
        <f t="shared" si="2"/>
        <v>4558668.2443603445</v>
      </c>
      <c r="AZ4" s="15">
        <f t="shared" si="2"/>
        <v>4558668.2443603445</v>
      </c>
    </row>
    <row r="5" spans="1:52" x14ac:dyDescent="0.2">
      <c r="A5" s="2" t="s">
        <v>82</v>
      </c>
      <c r="B5" s="15">
        <f>'Potential land area'!J5</f>
        <v>1606150</v>
      </c>
      <c r="C5" s="15">
        <f t="shared" ref="C5:AZ6" si="3">B5</f>
        <v>1606150</v>
      </c>
      <c r="D5" s="15">
        <f t="shared" si="3"/>
        <v>1606150</v>
      </c>
      <c r="E5" s="15">
        <f t="shared" si="3"/>
        <v>1606150</v>
      </c>
      <c r="F5" s="15">
        <f t="shared" si="3"/>
        <v>1606150</v>
      </c>
      <c r="G5" s="15">
        <f t="shared" si="3"/>
        <v>1606150</v>
      </c>
      <c r="H5" s="15">
        <f t="shared" si="3"/>
        <v>1606150</v>
      </c>
      <c r="I5" s="15">
        <f t="shared" si="3"/>
        <v>1606150</v>
      </c>
      <c r="J5" s="15">
        <f t="shared" si="3"/>
        <v>1606150</v>
      </c>
      <c r="K5" s="15">
        <f t="shared" si="3"/>
        <v>1606150</v>
      </c>
      <c r="L5" s="15">
        <f t="shared" si="3"/>
        <v>1606150</v>
      </c>
      <c r="M5" s="15">
        <f t="shared" si="3"/>
        <v>1606150</v>
      </c>
      <c r="N5" s="15">
        <f t="shared" si="3"/>
        <v>1606150</v>
      </c>
      <c r="O5" s="15">
        <f t="shared" si="3"/>
        <v>1606150</v>
      </c>
      <c r="P5" s="15">
        <f t="shared" si="3"/>
        <v>1606150</v>
      </c>
      <c r="Q5" s="15">
        <f t="shared" si="3"/>
        <v>1606150</v>
      </c>
      <c r="R5" s="15">
        <f t="shared" si="3"/>
        <v>1606150</v>
      </c>
      <c r="S5" s="15">
        <f t="shared" si="3"/>
        <v>1606150</v>
      </c>
      <c r="T5" s="15">
        <f t="shared" si="3"/>
        <v>1606150</v>
      </c>
      <c r="U5" s="15">
        <f t="shared" si="3"/>
        <v>1606150</v>
      </c>
      <c r="V5" s="15">
        <f t="shared" si="3"/>
        <v>1606150</v>
      </c>
      <c r="W5" s="15">
        <f t="shared" si="3"/>
        <v>1606150</v>
      </c>
      <c r="X5" s="15">
        <f t="shared" si="3"/>
        <v>1606150</v>
      </c>
      <c r="Y5" s="15">
        <f t="shared" si="3"/>
        <v>1606150</v>
      </c>
      <c r="Z5" s="15">
        <f t="shared" si="3"/>
        <v>1606150</v>
      </c>
      <c r="AA5" s="15">
        <f t="shared" si="3"/>
        <v>1606150</v>
      </c>
      <c r="AB5" s="15">
        <f t="shared" si="3"/>
        <v>1606150</v>
      </c>
      <c r="AC5" s="15">
        <f t="shared" si="3"/>
        <v>1606150</v>
      </c>
      <c r="AD5" s="15">
        <f t="shared" si="3"/>
        <v>1606150</v>
      </c>
      <c r="AE5" s="15">
        <f t="shared" si="3"/>
        <v>1606150</v>
      </c>
      <c r="AF5" s="15">
        <f t="shared" si="3"/>
        <v>1606150</v>
      </c>
      <c r="AG5" s="15">
        <f t="shared" si="3"/>
        <v>1606150</v>
      </c>
      <c r="AH5" s="15">
        <f t="shared" si="3"/>
        <v>1606150</v>
      </c>
      <c r="AI5" s="15">
        <f t="shared" si="3"/>
        <v>1606150</v>
      </c>
      <c r="AJ5" s="15">
        <f t="shared" si="3"/>
        <v>1606150</v>
      </c>
      <c r="AK5" s="15">
        <f t="shared" si="3"/>
        <v>1606150</v>
      </c>
      <c r="AL5" s="15">
        <f t="shared" si="3"/>
        <v>1606150</v>
      </c>
      <c r="AM5" s="15">
        <f t="shared" si="3"/>
        <v>1606150</v>
      </c>
      <c r="AN5" s="15">
        <f t="shared" si="3"/>
        <v>1606150</v>
      </c>
      <c r="AO5" s="15">
        <f t="shared" si="3"/>
        <v>1606150</v>
      </c>
      <c r="AP5" s="15">
        <f t="shared" si="3"/>
        <v>1606150</v>
      </c>
      <c r="AQ5" s="15">
        <f t="shared" si="3"/>
        <v>1606150</v>
      </c>
      <c r="AR5" s="15">
        <f t="shared" si="3"/>
        <v>1606150</v>
      </c>
      <c r="AS5" s="15">
        <f t="shared" si="3"/>
        <v>1606150</v>
      </c>
      <c r="AT5" s="15">
        <f t="shared" si="3"/>
        <v>1606150</v>
      </c>
      <c r="AU5" s="15">
        <f t="shared" si="3"/>
        <v>1606150</v>
      </c>
      <c r="AV5" s="15">
        <f t="shared" si="3"/>
        <v>1606150</v>
      </c>
      <c r="AW5" s="15">
        <f t="shared" si="3"/>
        <v>1606150</v>
      </c>
      <c r="AX5" s="15">
        <f t="shared" si="3"/>
        <v>1606150</v>
      </c>
      <c r="AY5" s="15">
        <f t="shared" si="3"/>
        <v>1606150</v>
      </c>
      <c r="AZ5" s="15">
        <f t="shared" si="3"/>
        <v>1606150</v>
      </c>
    </row>
    <row r="6" spans="1:52" x14ac:dyDescent="0.2">
      <c r="A6" s="2" t="s">
        <v>83</v>
      </c>
      <c r="B6" s="15">
        <v>0</v>
      </c>
      <c r="C6" s="15">
        <f>B6</f>
        <v>0</v>
      </c>
      <c r="D6" s="15">
        <f t="shared" si="3"/>
        <v>0</v>
      </c>
      <c r="E6" s="15">
        <f t="shared" si="3"/>
        <v>0</v>
      </c>
      <c r="F6" s="15">
        <f t="shared" si="3"/>
        <v>0</v>
      </c>
      <c r="G6" s="15">
        <f t="shared" si="3"/>
        <v>0</v>
      </c>
      <c r="H6" s="15">
        <f t="shared" si="3"/>
        <v>0</v>
      </c>
      <c r="I6" s="15">
        <f>'Potential land area'!P9</f>
        <v>2967964.5001541134</v>
      </c>
      <c r="J6" s="15">
        <f t="shared" si="3"/>
        <v>2967964.5001541134</v>
      </c>
      <c r="K6" s="15">
        <f t="shared" si="3"/>
        <v>2967964.5001541134</v>
      </c>
      <c r="L6" s="15">
        <f t="shared" si="3"/>
        <v>2967964.5001541134</v>
      </c>
      <c r="M6" s="15">
        <f t="shared" si="3"/>
        <v>2967964.5001541134</v>
      </c>
      <c r="N6" s="15">
        <f t="shared" si="3"/>
        <v>2967964.5001541134</v>
      </c>
      <c r="O6" s="15">
        <f t="shared" si="3"/>
        <v>2967964.5001541134</v>
      </c>
      <c r="P6" s="15">
        <f t="shared" si="3"/>
        <v>2967964.5001541134</v>
      </c>
      <c r="Q6" s="15">
        <f t="shared" si="3"/>
        <v>2967964.5001541134</v>
      </c>
      <c r="R6" s="15">
        <f t="shared" si="3"/>
        <v>2967964.5001541134</v>
      </c>
      <c r="S6" s="15">
        <f t="shared" si="3"/>
        <v>2967964.5001541134</v>
      </c>
      <c r="T6" s="15">
        <f t="shared" si="3"/>
        <v>2967964.5001541134</v>
      </c>
      <c r="U6" s="15">
        <v>0</v>
      </c>
      <c r="V6" s="15">
        <f t="shared" si="3"/>
        <v>0</v>
      </c>
      <c r="W6" s="15">
        <f t="shared" si="3"/>
        <v>0</v>
      </c>
      <c r="X6" s="15">
        <f t="shared" si="3"/>
        <v>0</v>
      </c>
      <c r="Y6" s="15">
        <f t="shared" si="3"/>
        <v>0</v>
      </c>
      <c r="Z6" s="15">
        <f t="shared" si="3"/>
        <v>0</v>
      </c>
      <c r="AA6" s="15">
        <f t="shared" si="3"/>
        <v>0</v>
      </c>
      <c r="AB6" s="15">
        <f t="shared" si="3"/>
        <v>0</v>
      </c>
      <c r="AC6" s="15">
        <f t="shared" si="3"/>
        <v>0</v>
      </c>
      <c r="AD6" s="15">
        <f t="shared" si="3"/>
        <v>0</v>
      </c>
      <c r="AE6" s="15">
        <f t="shared" si="3"/>
        <v>0</v>
      </c>
      <c r="AF6" s="15">
        <f t="shared" si="3"/>
        <v>0</v>
      </c>
      <c r="AG6" s="15">
        <f t="shared" si="3"/>
        <v>0</v>
      </c>
      <c r="AH6" s="15">
        <f t="shared" si="3"/>
        <v>0</v>
      </c>
      <c r="AI6" s="15">
        <f t="shared" si="3"/>
        <v>0</v>
      </c>
      <c r="AJ6" s="15">
        <f t="shared" si="3"/>
        <v>0</v>
      </c>
      <c r="AK6" s="15">
        <f t="shared" si="3"/>
        <v>0</v>
      </c>
      <c r="AL6" s="15">
        <f t="shared" si="3"/>
        <v>0</v>
      </c>
      <c r="AM6" s="15">
        <f t="shared" si="3"/>
        <v>0</v>
      </c>
      <c r="AN6" s="15">
        <f t="shared" si="3"/>
        <v>0</v>
      </c>
      <c r="AO6" s="15">
        <f t="shared" si="3"/>
        <v>0</v>
      </c>
      <c r="AP6" s="15">
        <f t="shared" si="3"/>
        <v>0</v>
      </c>
      <c r="AQ6" s="15">
        <f t="shared" si="3"/>
        <v>0</v>
      </c>
      <c r="AR6" s="15">
        <f t="shared" si="3"/>
        <v>0</v>
      </c>
      <c r="AS6" s="15">
        <f t="shared" si="3"/>
        <v>0</v>
      </c>
      <c r="AT6" s="15">
        <f t="shared" si="3"/>
        <v>0</v>
      </c>
      <c r="AU6" s="15">
        <f t="shared" si="3"/>
        <v>0</v>
      </c>
      <c r="AV6" s="15">
        <f t="shared" si="3"/>
        <v>0</v>
      </c>
      <c r="AW6" s="15">
        <f t="shared" si="3"/>
        <v>0</v>
      </c>
      <c r="AX6" s="15">
        <f t="shared" si="3"/>
        <v>0</v>
      </c>
      <c r="AY6" s="15">
        <f t="shared" si="3"/>
        <v>0</v>
      </c>
      <c r="AZ6" s="15">
        <f t="shared" si="3"/>
        <v>0</v>
      </c>
    </row>
    <row r="7" spans="1:52" x14ac:dyDescent="0.2">
      <c r="A7" s="2" t="s">
        <v>84</v>
      </c>
      <c r="B7" s="15">
        <f>'Potential land area'!B21</f>
        <v>5806631.6257814448</v>
      </c>
      <c r="C7" s="15">
        <f t="shared" ref="C7:AZ7" si="4">B7</f>
        <v>5806631.6257814448</v>
      </c>
      <c r="D7" s="15">
        <f t="shared" si="4"/>
        <v>5806631.6257814448</v>
      </c>
      <c r="E7" s="15">
        <f t="shared" si="4"/>
        <v>5806631.6257814448</v>
      </c>
      <c r="F7" s="15">
        <f t="shared" si="4"/>
        <v>5806631.6257814448</v>
      </c>
      <c r="G7" s="15">
        <f t="shared" si="4"/>
        <v>5806631.6257814448</v>
      </c>
      <c r="H7" s="15">
        <f t="shared" si="4"/>
        <v>5806631.6257814448</v>
      </c>
      <c r="I7" s="15">
        <f t="shared" si="4"/>
        <v>5806631.6257814448</v>
      </c>
      <c r="J7" s="15">
        <f t="shared" si="4"/>
        <v>5806631.6257814448</v>
      </c>
      <c r="K7" s="15">
        <f t="shared" si="4"/>
        <v>5806631.6257814448</v>
      </c>
      <c r="L7" s="15">
        <f t="shared" si="4"/>
        <v>5806631.6257814448</v>
      </c>
      <c r="M7" s="15">
        <f t="shared" si="4"/>
        <v>5806631.6257814448</v>
      </c>
      <c r="N7" s="15">
        <f t="shared" si="4"/>
        <v>5806631.6257814448</v>
      </c>
      <c r="O7" s="15">
        <f t="shared" si="4"/>
        <v>5806631.6257814448</v>
      </c>
      <c r="P7" s="15">
        <f t="shared" si="4"/>
        <v>5806631.6257814448</v>
      </c>
      <c r="Q7" s="15">
        <f t="shared" si="4"/>
        <v>5806631.6257814448</v>
      </c>
      <c r="R7" s="15">
        <f t="shared" si="4"/>
        <v>5806631.6257814448</v>
      </c>
      <c r="S7" s="15">
        <f t="shared" si="4"/>
        <v>5806631.6257814448</v>
      </c>
      <c r="T7" s="15">
        <f t="shared" si="4"/>
        <v>5806631.6257814448</v>
      </c>
      <c r="U7" s="15">
        <f t="shared" si="4"/>
        <v>5806631.6257814448</v>
      </c>
      <c r="V7" s="15">
        <f t="shared" si="4"/>
        <v>5806631.6257814448</v>
      </c>
      <c r="W7" s="15">
        <f t="shared" si="4"/>
        <v>5806631.6257814448</v>
      </c>
      <c r="X7" s="15">
        <f t="shared" si="4"/>
        <v>5806631.6257814448</v>
      </c>
      <c r="Y7" s="15">
        <f t="shared" si="4"/>
        <v>5806631.6257814448</v>
      </c>
      <c r="Z7" s="15">
        <f t="shared" si="4"/>
        <v>5806631.6257814448</v>
      </c>
      <c r="AA7" s="15">
        <f t="shared" si="4"/>
        <v>5806631.6257814448</v>
      </c>
      <c r="AB7" s="15">
        <f t="shared" si="4"/>
        <v>5806631.6257814448</v>
      </c>
      <c r="AC7" s="15">
        <f t="shared" si="4"/>
        <v>5806631.6257814448</v>
      </c>
      <c r="AD7" s="15">
        <f t="shared" si="4"/>
        <v>5806631.6257814448</v>
      </c>
      <c r="AE7" s="15">
        <f t="shared" si="4"/>
        <v>5806631.6257814448</v>
      </c>
      <c r="AF7" s="15">
        <f t="shared" si="4"/>
        <v>5806631.6257814448</v>
      </c>
      <c r="AG7" s="15">
        <f t="shared" si="4"/>
        <v>5806631.6257814448</v>
      </c>
      <c r="AH7" s="15">
        <f t="shared" si="4"/>
        <v>5806631.6257814448</v>
      </c>
      <c r="AI7" s="15">
        <f t="shared" si="4"/>
        <v>5806631.6257814448</v>
      </c>
      <c r="AJ7" s="15">
        <f t="shared" si="4"/>
        <v>5806631.6257814448</v>
      </c>
      <c r="AK7" s="15">
        <f t="shared" si="4"/>
        <v>5806631.6257814448</v>
      </c>
      <c r="AL7" s="15">
        <f t="shared" si="4"/>
        <v>5806631.6257814448</v>
      </c>
      <c r="AM7" s="15">
        <f t="shared" si="4"/>
        <v>5806631.6257814448</v>
      </c>
      <c r="AN7" s="15">
        <f t="shared" si="4"/>
        <v>5806631.6257814448</v>
      </c>
      <c r="AO7" s="15">
        <f t="shared" si="4"/>
        <v>5806631.6257814448</v>
      </c>
      <c r="AP7" s="15">
        <f t="shared" si="4"/>
        <v>5806631.6257814448</v>
      </c>
      <c r="AQ7" s="15">
        <f t="shared" si="4"/>
        <v>5806631.6257814448</v>
      </c>
      <c r="AR7" s="15">
        <f t="shared" si="4"/>
        <v>5806631.6257814448</v>
      </c>
      <c r="AS7" s="15">
        <f t="shared" si="4"/>
        <v>5806631.6257814448</v>
      </c>
      <c r="AT7" s="15">
        <f t="shared" si="4"/>
        <v>5806631.6257814448</v>
      </c>
      <c r="AU7" s="15">
        <f t="shared" si="4"/>
        <v>5806631.6257814448</v>
      </c>
      <c r="AV7" s="15">
        <f t="shared" si="4"/>
        <v>5806631.6257814448</v>
      </c>
      <c r="AW7" s="15">
        <f t="shared" si="4"/>
        <v>5806631.6257814448</v>
      </c>
      <c r="AX7" s="15">
        <f t="shared" si="4"/>
        <v>5806631.6257814448</v>
      </c>
      <c r="AY7" s="15">
        <f t="shared" si="4"/>
        <v>5806631.6257814448</v>
      </c>
      <c r="AZ7" s="15">
        <f t="shared" si="4"/>
        <v>5806631.6257814448</v>
      </c>
    </row>
    <row r="10" spans="1:52" ht="15" customHeight="1" x14ac:dyDescent="0.2">
      <c r="B10" s="20"/>
      <c r="D10" s="20"/>
      <c r="E10" s="20"/>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ignoredErrors>
    <ignoredError sqref="I6"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Set Asides</vt:lpstr>
      <vt:lpstr>CO2 Sequestrated</vt:lpstr>
      <vt:lpstr>Potential land area</vt:lpstr>
      <vt:lpstr>PLANAbPiaSY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2017-01-27T05:17:42Z</dcterms:created>
  <dcterms:modified xsi:type="dcterms:W3CDTF">2025-07-31T17:12:54Z</dcterms:modified>
</cp:coreProperties>
</file>