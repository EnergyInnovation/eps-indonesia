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ssy02/Desktop/"/>
    </mc:Choice>
  </mc:AlternateContent>
  <xr:revisionPtr revIDLastSave="0" documentId="13_ncr:1_{9228989A-591D-DD40-8520-C3C30B0BE105}" xr6:coauthVersionLast="47" xr6:coauthVersionMax="47" xr10:uidLastSave="{00000000-0000-0000-0000-000000000000}"/>
  <bookViews>
    <workbookView xWindow="4300" yWindow="780" windowWidth="29900" windowHeight="21360" activeTab="3" xr2:uid="{00000000-000D-0000-FFFF-FFFF00000000}"/>
  </bookViews>
  <sheets>
    <sheet name="About" sheetId="1" r:id="rId1"/>
    <sheet name="UNFCCC" sheetId="5" r:id="rId2"/>
    <sheet name="Growth Rate" sheetId="6" r:id="rId3"/>
    <sheet name="BLAP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30kEgygm9Ug6YpWMjb1cVZnDsLql6XCI1/oB84BG7Y="/>
    </ext>
  </extLst>
</workbook>
</file>

<file path=xl/calcChain.xml><?xml version="1.0" encoding="utf-8"?>
<calcChain xmlns="http://schemas.openxmlformats.org/spreadsheetml/2006/main">
  <c r="C12" i="4" l="1"/>
  <c r="D12" i="4"/>
  <c r="B12" i="4"/>
  <c r="F2" i="6"/>
  <c r="G2" i="6" s="1"/>
  <c r="D5" i="5"/>
  <c r="C11" i="4" s="1"/>
  <c r="C5" i="5"/>
  <c r="B2" i="4" s="1"/>
  <c r="H2" i="6" l="1"/>
  <c r="G12" i="4" s="1"/>
  <c r="F12" i="4"/>
  <c r="E2" i="4"/>
  <c r="E12" i="4"/>
  <c r="B11" i="4"/>
  <c r="G11" i="4"/>
  <c r="E11" i="4"/>
  <c r="F11" i="4"/>
  <c r="D11" i="4"/>
  <c r="D2" i="4"/>
  <c r="G2" i="4"/>
  <c r="C2" i="4"/>
  <c r="F2" i="4"/>
  <c r="I2" i="6"/>
  <c r="H12" i="4" s="1"/>
  <c r="H2" i="4" l="1"/>
  <c r="H11" i="4"/>
  <c r="J2" i="6"/>
  <c r="I12" i="4" l="1"/>
  <c r="I11" i="4"/>
  <c r="I2" i="4"/>
  <c r="K2" i="6"/>
  <c r="J12" i="4" l="1"/>
  <c r="J2" i="4"/>
  <c r="J11" i="4"/>
  <c r="L2" i="6"/>
  <c r="K12" i="4" l="1"/>
  <c r="K11" i="4"/>
  <c r="K2" i="4"/>
  <c r="M2" i="6"/>
  <c r="L12" i="4" l="1"/>
  <c r="L11" i="4"/>
  <c r="L2" i="4"/>
  <c r="N2" i="6"/>
  <c r="M12" i="4" l="1"/>
  <c r="M11" i="4"/>
  <c r="M2" i="4"/>
  <c r="O2" i="6"/>
  <c r="N12" i="4" l="1"/>
  <c r="N11" i="4"/>
  <c r="N2" i="4"/>
  <c r="P2" i="6"/>
  <c r="O12" i="4" l="1"/>
  <c r="O11" i="4"/>
  <c r="O2" i="4"/>
  <c r="Q2" i="6"/>
  <c r="P12" i="4" l="1"/>
  <c r="P2" i="4"/>
  <c r="P11" i="4"/>
  <c r="R2" i="6"/>
  <c r="Q12" i="4" l="1"/>
  <c r="Q2" i="4"/>
  <c r="Q11" i="4"/>
  <c r="S2" i="6"/>
  <c r="R12" i="4" l="1"/>
  <c r="R2" i="4"/>
  <c r="R11" i="4"/>
  <c r="T2" i="6"/>
  <c r="S12" i="4" l="1"/>
  <c r="S11" i="4"/>
  <c r="S2" i="4"/>
  <c r="U2" i="6"/>
  <c r="T12" i="4" l="1"/>
  <c r="T2" i="4"/>
  <c r="T11" i="4"/>
  <c r="V2" i="6"/>
  <c r="U12" i="4" l="1"/>
  <c r="U11" i="4"/>
  <c r="U2" i="4"/>
  <c r="W2" i="6"/>
  <c r="V12" i="4" l="1"/>
  <c r="V11" i="4"/>
  <c r="V2" i="4"/>
  <c r="X2" i="6"/>
  <c r="W12" i="4" l="1"/>
  <c r="W2" i="4"/>
  <c r="W11" i="4"/>
  <c r="Y2" i="6"/>
  <c r="X12" i="4" l="1"/>
  <c r="X2" i="4"/>
  <c r="X11" i="4"/>
  <c r="Z2" i="6"/>
  <c r="Y12" i="4" l="1"/>
  <c r="Y2" i="4"/>
  <c r="Y11" i="4"/>
  <c r="AA2" i="6"/>
  <c r="Z12" i="4" l="1"/>
  <c r="Z2" i="4"/>
  <c r="Z11" i="4"/>
  <c r="AB2" i="6"/>
  <c r="AA12" i="4" l="1"/>
  <c r="AA2" i="4"/>
  <c r="AA11" i="4"/>
  <c r="AC2" i="6"/>
  <c r="AB12" i="4" l="1"/>
  <c r="AB11" i="4"/>
  <c r="AB2" i="4"/>
  <c r="AD2" i="6"/>
  <c r="AC12" i="4" l="1"/>
  <c r="AC11" i="4"/>
  <c r="AC2" i="4"/>
  <c r="AE2" i="6"/>
  <c r="AD12" i="4" l="1"/>
  <c r="AD11" i="4"/>
  <c r="AD2" i="4"/>
  <c r="AF2" i="6"/>
  <c r="AG2" i="6" l="1"/>
  <c r="AE12" i="4"/>
  <c r="AE2" i="4"/>
  <c r="AE11" i="4"/>
  <c r="AF12" i="4" l="1"/>
  <c r="AF2" i="4"/>
  <c r="AF11" i="4"/>
</calcChain>
</file>

<file path=xl/sharedStrings.xml><?xml version="1.0" encoding="utf-8"?>
<sst xmlns="http://schemas.openxmlformats.org/spreadsheetml/2006/main" count="62" uniqueCount="57">
  <si>
    <t>BLAPE BAU LULUCF Anthropogenic Pollutant Emissions</t>
  </si>
  <si>
    <t>Source:</t>
  </si>
  <si>
    <t>UNFCCC</t>
  </si>
  <si>
    <t>Third Biennial Update Report</t>
  </si>
  <si>
    <t>https://www.climatewatchdata.org/ghg-emissions?breakBy=gas&amp;gases=ch4%2Cco2%2Cf-gas%2Cn2o&amp;regions=IDN&amp;source=Climate%20Watch</t>
  </si>
  <si>
    <t>Notes</t>
  </si>
  <si>
    <t>We project the 2000-2019 trend forward to 2050.</t>
  </si>
  <si>
    <t>Year</t>
  </si>
  <si>
    <t>CO2</t>
  </si>
  <si>
    <t>CH4</t>
  </si>
  <si>
    <t>N2O</t>
  </si>
  <si>
    <t>CF4</t>
  </si>
  <si>
    <t>CO</t>
  </si>
  <si>
    <t>NOx</t>
  </si>
  <si>
    <t>SOx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</si>
  <si>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</si>
  <si>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</si>
  <si>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</si>
  <si>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</si>
  <si>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</si>
  <si>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</si>
  <si>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</si>
  <si>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</si>
  <si>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</si>
  <si>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</si>
  <si>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</si>
  <si>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</si>
  <si>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N20</t>
  </si>
  <si>
    <t>Non CO2 Biomass Burning GL &amp; GL</t>
  </si>
  <si>
    <t>HFCs</t>
  </si>
  <si>
    <t>PFCs</t>
  </si>
  <si>
    <t>SF6</t>
  </si>
  <si>
    <t>Other halogenated gases with CO2 equivalent conversion factors</t>
  </si>
  <si>
    <t>Other halogenated gases without CO2 equivalent conversion factors</t>
  </si>
  <si>
    <t>Nox</t>
  </si>
  <si>
    <t>NMVOCs</t>
  </si>
  <si>
    <t>SO2</t>
  </si>
  <si>
    <t>Total CO2e</t>
  </si>
  <si>
    <t>CO2e (g)</t>
  </si>
  <si>
    <t>total</t>
  </si>
  <si>
    <t>AFOLU</t>
  </si>
  <si>
    <t>Sector</t>
  </si>
  <si>
    <t>Global Warming Potential (g CO2e/g pollutant)</t>
  </si>
  <si>
    <t>one hundred years</t>
  </si>
  <si>
    <t>VOC</t>
  </si>
  <si>
    <t>PM10</t>
  </si>
  <si>
    <t>PM25</t>
  </si>
  <si>
    <t>BC</t>
  </si>
  <si>
    <t>OC</t>
  </si>
  <si>
    <t>F gases</t>
  </si>
  <si>
    <t>Agriculture and forestry Ouput (% GDP)</t>
  </si>
  <si>
    <t>Growth Rate</t>
  </si>
  <si>
    <t>Trading Economics</t>
  </si>
  <si>
    <t>https://tradingeconomics.com/indonesia/agriculture-value-added-percent-of-gdp-wb-data.html</t>
  </si>
  <si>
    <t>agriculture and forestry 01T03 (g)</t>
  </si>
  <si>
    <t>agriculture sector</t>
  </si>
  <si>
    <t>forestry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</si>
</sst>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212529"/>
      <name val="Calibri"/>
      <family val="2"/>
      <scheme val="maj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4" fontId="3" fillId="0" borderId="0" xfId="0" applyNumberFormat="1" applyFont="1"/>
    <xf numFmtId="11" fontId="4" fillId="0" borderId="0" xfId="0" applyNumberFormat="1" applyFont="1"/>
    <xf numFmtId="0" fontId="6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11" fontId="1" fillId="2" borderId="2" xfId="0" applyNumberFormat="1" applyFont="1" applyFill="1" applyBorder="1" applyAlignment="1">
      <alignment horizontal="left"/>
    </xf>
    <xf numFmtId="11" fontId="1" fillId="2" borderId="2" xfId="0" applyNumberFormat="1" applyFont="1" applyFill="1" applyBorder="1" applyAlignment="1">
      <alignment horizontal="left" vertical="center"/>
    </xf>
    <xf numFmtId="11" fontId="1" fillId="2" borderId="2" xfId="0" applyNumberFormat="1" applyFont="1" applyFill="1" applyBorder="1" applyAlignment="1">
      <alignment horizontal="left" vertical="center" wrapText="1"/>
    </xf>
    <xf numFmtId="11" fontId="1" fillId="2" borderId="3" xfId="0" applyNumberFormat="1" applyFont="1" applyFill="1" applyBorder="1" applyAlignment="1">
      <alignment horizontal="left"/>
    </xf>
    <xf numFmtId="11" fontId="1" fillId="2" borderId="9" xfId="0" applyNumberFormat="1" applyFont="1" applyFill="1" applyBorder="1" applyAlignment="1">
      <alignment horizontal="left"/>
    </xf>
    <xf numFmtId="11" fontId="1" fillId="2" borderId="9" xfId="0" applyNumberFormat="1" applyFont="1" applyFill="1" applyBorder="1" applyAlignment="1">
      <alignment horizontal="left" vertical="center"/>
    </xf>
    <xf numFmtId="11" fontId="1" fillId="2" borderId="10" xfId="0" applyNumberFormat="1" applyFont="1" applyFill="1" applyBorder="1" applyAlignment="1">
      <alignment horizontal="left"/>
    </xf>
    <xf numFmtId="0" fontId="0" fillId="2" borderId="12" xfId="0" applyFill="1" applyBorder="1"/>
    <xf numFmtId="11" fontId="1" fillId="2" borderId="12" xfId="0" applyNumberFormat="1" applyFont="1" applyFill="1" applyBorder="1" applyAlignment="1">
      <alignment horizontal="left"/>
    </xf>
    <xf numFmtId="11" fontId="1" fillId="2" borderId="13" xfId="0" applyNumberFormat="1" applyFont="1" applyFill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3" borderId="0" xfId="0" applyFont="1" applyFill="1" applyAlignment="1">
      <alignment wrapText="1"/>
    </xf>
    <xf numFmtId="0" fontId="8" fillId="3" borderId="0" xfId="0" applyFont="1" applyFill="1" applyAlignment="1">
      <alignment horizontal="center" vertical="top" wrapText="1"/>
    </xf>
    <xf numFmtId="0" fontId="8" fillId="3" borderId="0" xfId="0" applyFont="1" applyFill="1"/>
    <xf numFmtId="0" fontId="9" fillId="3" borderId="0" xfId="0" applyFont="1" applyFill="1" applyAlignment="1">
      <alignment horizontal="center"/>
    </xf>
    <xf numFmtId="11" fontId="0" fillId="0" borderId="0" xfId="0" applyNumberFormat="1" applyAlignment="1">
      <alignment vertical="center"/>
    </xf>
    <xf numFmtId="11" fontId="3" fillId="0" borderId="0" xfId="0" applyNumberFormat="1" applyFont="1" applyAlignment="1">
      <alignment vertical="center"/>
    </xf>
    <xf numFmtId="0" fontId="10" fillId="0" borderId="0" xfId="0" applyFont="1"/>
    <xf numFmtId="0" fontId="7" fillId="0" borderId="0" xfId="0" applyFont="1" applyAlignment="1">
      <alignment horizontal="right"/>
    </xf>
    <xf numFmtId="0" fontId="12" fillId="0" borderId="0" xfId="0" applyFont="1"/>
    <xf numFmtId="0" fontId="11" fillId="0" borderId="0" xfId="1"/>
    <xf numFmtId="0" fontId="3" fillId="2" borderId="2" xfId="0" applyFont="1" applyFill="1" applyBorder="1"/>
    <xf numFmtId="0" fontId="3" fillId="2" borderId="9" xfId="0" applyFont="1" applyFill="1" applyBorder="1"/>
    <xf numFmtId="0" fontId="6" fillId="0" borderId="1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5" xfId="0" applyFont="1" applyBorder="1" applyAlignment="1">
      <alignment horizontal="left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left" vertical="center"/>
    </xf>
    <xf numFmtId="0" fontId="6" fillId="2" borderId="1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dingeconomics.com/indonesia/agriculture-value-added-percent-of-gdp-wb-data.html" TargetMode="External"/><Relationship Id="rId1" Type="http://schemas.openxmlformats.org/officeDocument/2006/relationships/hyperlink" Target="https://www.climatewatchdata.org/ghg-emissions?breakBy=gas&amp;gases=ch4%2Cco2%2Cf-gas%2Cn2o&amp;regions=IDN&amp;source=Climate%20Wat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8"/>
  <sheetViews>
    <sheetView workbookViewId="0">
      <selection activeCell="I26" sqref="I26"/>
    </sheetView>
  </sheetViews>
  <sheetFormatPr baseColWidth="10" defaultColWidth="14.5" defaultRowHeight="15" customHeight="1" x14ac:dyDescent="0.2"/>
  <cols>
    <col min="1" max="1" width="9.5" customWidth="1"/>
    <col min="2" max="2" width="51.5" customWidth="1"/>
    <col min="3" max="26" width="8.6640625" customWidth="1"/>
  </cols>
  <sheetData>
    <row r="1" spans="1:2" ht="14.25" customHeight="1" x14ac:dyDescent="0.2">
      <c r="A1" s="1" t="s">
        <v>0</v>
      </c>
    </row>
    <row r="2" spans="1:2" ht="14.25" customHeight="1" x14ac:dyDescent="0.2"/>
    <row r="3" spans="1:2" ht="14.25" customHeight="1" x14ac:dyDescent="0.2">
      <c r="A3" s="1" t="s">
        <v>1</v>
      </c>
      <c r="B3" s="2" t="s">
        <v>2</v>
      </c>
    </row>
    <row r="4" spans="1:2" ht="14.25" customHeight="1" x14ac:dyDescent="0.2">
      <c r="B4" s="3">
        <v>2021</v>
      </c>
    </row>
    <row r="5" spans="1:2" ht="14.25" customHeight="1" x14ac:dyDescent="0.2">
      <c r="B5" s="2" t="s">
        <v>3</v>
      </c>
    </row>
    <row r="6" spans="1:2" ht="14.25" customHeight="1" x14ac:dyDescent="0.2">
      <c r="B6" s="4" t="s">
        <v>4</v>
      </c>
    </row>
    <row r="7" spans="1:2" ht="14.25" customHeight="1" x14ac:dyDescent="0.2"/>
    <row r="8" spans="1:2" ht="14.25" customHeight="1" x14ac:dyDescent="0.2">
      <c r="A8" s="1" t="s">
        <v>5</v>
      </c>
    </row>
    <row r="9" spans="1:2" ht="14.25" customHeight="1" x14ac:dyDescent="0.2">
      <c r="A9" s="2" t="s">
        <v>6</v>
      </c>
    </row>
    <row r="10" spans="1:2" ht="14.25" customHeight="1" x14ac:dyDescent="0.2"/>
    <row r="11" spans="1:2" ht="14.25" customHeight="1" x14ac:dyDescent="0.2"/>
    <row r="12" spans="1:2" ht="14.25" customHeight="1" x14ac:dyDescent="0.2">
      <c r="A12" s="29" t="s">
        <v>51</v>
      </c>
    </row>
    <row r="13" spans="1:2" ht="14.25" customHeight="1" x14ac:dyDescent="0.2"/>
    <row r="14" spans="1:2" ht="14.25" customHeight="1" x14ac:dyDescent="0.2">
      <c r="A14" s="29" t="s">
        <v>1</v>
      </c>
      <c r="B14" s="2" t="s">
        <v>52</v>
      </c>
    </row>
    <row r="15" spans="1:2" ht="14.25" customHeight="1" x14ac:dyDescent="0.2">
      <c r="B15" s="30" t="s">
        <v>53</v>
      </c>
    </row>
    <row r="16" spans="1:2" ht="14.25" customHeight="1" x14ac:dyDescent="0.2"/>
    <row r="17" ht="14.25" customHeight="1" x14ac:dyDescent="0.2"/>
    <row r="18" ht="14.25" customHeight="1" x14ac:dyDescent="0.2"/>
    <row r="19" ht="14.25" customHeight="1" x14ac:dyDescent="0.2"/>
    <row r="20" ht="14.25" customHeight="1" x14ac:dyDescent="0.2"/>
    <row r="21" ht="14.25" customHeight="1" x14ac:dyDescent="0.2"/>
    <row r="22" ht="14.25" customHeight="1" x14ac:dyDescent="0.2"/>
    <row r="23" ht="14.25" customHeight="1" x14ac:dyDescent="0.2"/>
    <row r="24" ht="14.25" customHeight="1" x14ac:dyDescent="0.2"/>
    <row r="25" ht="14.25" customHeight="1" x14ac:dyDescent="0.2"/>
    <row r="26" ht="14.25" customHeight="1" x14ac:dyDescent="0.2"/>
    <row r="27" ht="14.25" customHeight="1" x14ac:dyDescent="0.2"/>
    <row r="28" ht="14.25" customHeight="1" x14ac:dyDescent="0.2"/>
    <row r="29" ht="14.25" customHeight="1" x14ac:dyDescent="0.2"/>
    <row r="30" ht="14.25" customHeight="1" x14ac:dyDescent="0.2"/>
    <row r="31" ht="14.25" customHeight="1" x14ac:dyDescent="0.2"/>
    <row r="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</sheetData>
  <hyperlinks>
    <hyperlink ref="B6" r:id="rId1" xr:uid="{00000000-0004-0000-0000-000000000000}"/>
    <hyperlink ref="B15" r:id="rId2" xr:uid="{D4EDA6E0-4E08-A941-99B8-036097BA6D72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F182-DBC3-7547-BCE8-218E0100505E}">
  <dimension ref="A1:Q21"/>
  <sheetViews>
    <sheetView workbookViewId="0">
      <selection activeCell="C16" sqref="C16"/>
    </sheetView>
  </sheetViews>
  <sheetFormatPr baseColWidth="10" defaultRowHeight="15" x14ac:dyDescent="0.2"/>
  <cols>
    <col min="1" max="1" width="28.83203125" customWidth="1"/>
    <col min="2" max="2" width="32.6640625" customWidth="1"/>
  </cols>
  <sheetData>
    <row r="1" spans="1:17" ht="136" x14ac:dyDescent="0.2">
      <c r="A1" s="33" t="s">
        <v>40</v>
      </c>
      <c r="B1" s="35" t="s">
        <v>41</v>
      </c>
      <c r="C1" s="7" t="s">
        <v>8</v>
      </c>
      <c r="D1" s="7" t="s">
        <v>9</v>
      </c>
      <c r="E1" s="7" t="s">
        <v>27</v>
      </c>
      <c r="F1" s="7" t="s">
        <v>11</v>
      </c>
      <c r="G1" s="8" t="s">
        <v>28</v>
      </c>
      <c r="H1" s="8" t="s">
        <v>29</v>
      </c>
      <c r="I1" s="8" t="s">
        <v>30</v>
      </c>
      <c r="J1" s="8" t="s">
        <v>31</v>
      </c>
      <c r="K1" s="8" t="s">
        <v>32</v>
      </c>
      <c r="L1" s="8" t="s">
        <v>33</v>
      </c>
      <c r="M1" s="8" t="s">
        <v>34</v>
      </c>
      <c r="N1" s="8" t="s">
        <v>12</v>
      </c>
      <c r="O1" s="7" t="s">
        <v>35</v>
      </c>
      <c r="P1" s="8" t="s">
        <v>36</v>
      </c>
      <c r="Q1" s="9" t="s">
        <v>37</v>
      </c>
    </row>
    <row r="2" spans="1:17" ht="16" thickBot="1" x14ac:dyDescent="0.25">
      <c r="A2" s="34"/>
      <c r="B2" s="36"/>
      <c r="C2" s="37" t="s">
        <v>38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8"/>
    </row>
    <row r="3" spans="1:17" ht="17" thickBot="1" x14ac:dyDescent="0.25">
      <c r="A3" s="39" t="s">
        <v>54</v>
      </c>
      <c r="B3" s="31" t="s">
        <v>55</v>
      </c>
      <c r="C3" s="10">
        <v>160420000000000</v>
      </c>
      <c r="D3" s="10">
        <v>54965000000000</v>
      </c>
      <c r="E3" s="10">
        <v>43669000000000</v>
      </c>
      <c r="F3" s="11">
        <v>0</v>
      </c>
      <c r="G3" s="11">
        <v>2077000000000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66000000000</v>
      </c>
      <c r="N3" s="12">
        <v>2436000000000</v>
      </c>
      <c r="O3" s="12">
        <v>0</v>
      </c>
      <c r="P3" s="12">
        <v>0</v>
      </c>
      <c r="Q3" s="13">
        <v>98053000000000</v>
      </c>
    </row>
    <row r="4" spans="1:17" ht="17" thickBot="1" x14ac:dyDescent="0.25">
      <c r="A4" s="40"/>
      <c r="B4" s="32" t="s">
        <v>56</v>
      </c>
      <c r="C4" s="14">
        <v>16410290000</v>
      </c>
      <c r="D4" s="14">
        <v>14573000000000</v>
      </c>
      <c r="E4" s="14">
        <v>0</v>
      </c>
      <c r="F4" s="11">
        <v>0</v>
      </c>
      <c r="G4" s="15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6">
        <v>1655602000000000</v>
      </c>
    </row>
    <row r="5" spans="1:17" ht="17" thickBot="1" x14ac:dyDescent="0.25">
      <c r="A5" s="41"/>
      <c r="B5" s="17" t="s">
        <v>39</v>
      </c>
      <c r="C5" s="18">
        <f>C3+C4</f>
        <v>160436410290000</v>
      </c>
      <c r="D5" s="18">
        <f>D3+D4</f>
        <v>69538000000000</v>
      </c>
      <c r="E5" s="18">
        <v>43669000000000</v>
      </c>
      <c r="F5" s="11">
        <v>0</v>
      </c>
      <c r="G5" s="18">
        <v>2077000000000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66000000000</v>
      </c>
      <c r="N5" s="12">
        <v>2436000000000</v>
      </c>
      <c r="O5" s="12">
        <v>0</v>
      </c>
      <c r="P5" s="12">
        <v>0</v>
      </c>
      <c r="Q5" s="19">
        <v>1753655000000000</v>
      </c>
    </row>
    <row r="9" spans="1:17" ht="32" x14ac:dyDescent="0.2">
      <c r="A9" s="21" t="s">
        <v>42</v>
      </c>
      <c r="B9" s="22" t="s">
        <v>43</v>
      </c>
    </row>
    <row r="10" spans="1:17" x14ac:dyDescent="0.2">
      <c r="A10" s="23" t="s">
        <v>8</v>
      </c>
      <c r="B10" s="24">
        <v>1</v>
      </c>
    </row>
    <row r="11" spans="1:17" x14ac:dyDescent="0.2">
      <c r="A11" s="23" t="s">
        <v>44</v>
      </c>
      <c r="B11" s="24">
        <v>0</v>
      </c>
    </row>
    <row r="12" spans="1:17" x14ac:dyDescent="0.2">
      <c r="A12" s="23" t="s">
        <v>12</v>
      </c>
      <c r="B12" s="24">
        <v>0</v>
      </c>
    </row>
    <row r="13" spans="1:17" x14ac:dyDescent="0.2">
      <c r="A13" s="23" t="s">
        <v>13</v>
      </c>
      <c r="B13" s="24">
        <v>0</v>
      </c>
    </row>
    <row r="14" spans="1:17" x14ac:dyDescent="0.2">
      <c r="A14" s="23" t="s">
        <v>45</v>
      </c>
      <c r="B14" s="24">
        <v>0</v>
      </c>
    </row>
    <row r="15" spans="1:17" x14ac:dyDescent="0.2">
      <c r="A15" s="23" t="s">
        <v>46</v>
      </c>
      <c r="B15" s="24">
        <v>0</v>
      </c>
    </row>
    <row r="16" spans="1:17" x14ac:dyDescent="0.2">
      <c r="A16" s="23" t="s">
        <v>14</v>
      </c>
      <c r="B16" s="24">
        <v>0</v>
      </c>
    </row>
    <row r="17" spans="1:2" x14ac:dyDescent="0.2">
      <c r="A17" s="23" t="s">
        <v>47</v>
      </c>
      <c r="B17" s="24">
        <v>0</v>
      </c>
    </row>
    <row r="18" spans="1:2" x14ac:dyDescent="0.2">
      <c r="A18" s="23" t="s">
        <v>48</v>
      </c>
      <c r="B18" s="24">
        <v>0</v>
      </c>
    </row>
    <row r="19" spans="1:2" x14ac:dyDescent="0.2">
      <c r="A19" s="23" t="s">
        <v>9</v>
      </c>
      <c r="B19" s="24">
        <v>28</v>
      </c>
    </row>
    <row r="20" spans="1:2" x14ac:dyDescent="0.2">
      <c r="A20" s="23" t="s">
        <v>10</v>
      </c>
      <c r="B20" s="24">
        <v>265</v>
      </c>
    </row>
    <row r="21" spans="1:2" x14ac:dyDescent="0.2">
      <c r="A21" s="23" t="s">
        <v>49</v>
      </c>
      <c r="B21" s="24">
        <v>1</v>
      </c>
    </row>
  </sheetData>
  <mergeCells count="4">
    <mergeCell ref="A1:A2"/>
    <mergeCell ref="B1:B2"/>
    <mergeCell ref="C2:Q2"/>
    <mergeCell ref="A3:A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70B2-AE97-AE4E-842F-E16FFC0DF749}">
  <dimension ref="A1:AL2"/>
  <sheetViews>
    <sheetView workbookViewId="0">
      <selection activeCell="F2" sqref="F2"/>
    </sheetView>
  </sheetViews>
  <sheetFormatPr baseColWidth="10" defaultRowHeight="15" x14ac:dyDescent="0.2"/>
  <cols>
    <col min="1" max="1" width="31.6640625" customWidth="1"/>
  </cols>
  <sheetData>
    <row r="1" spans="1:38" ht="16" x14ac:dyDescent="0.2">
      <c r="A1" s="20" t="s">
        <v>40</v>
      </c>
      <c r="B1" s="28">
        <v>2019</v>
      </c>
      <c r="C1" s="28">
        <v>2020</v>
      </c>
      <c r="D1" s="28">
        <v>2021</v>
      </c>
      <c r="E1" s="28">
        <v>2022</v>
      </c>
      <c r="F1" s="28">
        <v>2023</v>
      </c>
      <c r="G1" s="28">
        <v>2024</v>
      </c>
      <c r="H1" s="28">
        <v>2025</v>
      </c>
      <c r="I1" s="28">
        <v>2026</v>
      </c>
      <c r="J1" s="28">
        <v>2027</v>
      </c>
      <c r="K1" s="28">
        <v>2028</v>
      </c>
      <c r="L1" s="28">
        <v>2029</v>
      </c>
      <c r="M1" s="28">
        <v>2030</v>
      </c>
      <c r="N1" s="28">
        <v>2031</v>
      </c>
      <c r="O1" s="28">
        <v>2032</v>
      </c>
      <c r="P1" s="28">
        <v>2033</v>
      </c>
      <c r="Q1" s="28">
        <v>2034</v>
      </c>
      <c r="R1" s="28">
        <v>2035</v>
      </c>
      <c r="S1" s="28">
        <v>2036</v>
      </c>
      <c r="T1" s="28">
        <v>2037</v>
      </c>
      <c r="U1" s="28">
        <v>2038</v>
      </c>
      <c r="V1" s="28">
        <v>2039</v>
      </c>
      <c r="W1" s="28">
        <v>2040</v>
      </c>
      <c r="X1" s="28">
        <v>2041</v>
      </c>
      <c r="Y1" s="28">
        <v>2042</v>
      </c>
      <c r="Z1" s="28">
        <v>2043</v>
      </c>
      <c r="AA1" s="28">
        <v>2044</v>
      </c>
      <c r="AB1" s="28">
        <v>2045</v>
      </c>
      <c r="AC1" s="28">
        <v>2046</v>
      </c>
      <c r="AD1" s="28">
        <v>2047</v>
      </c>
      <c r="AE1" s="28">
        <v>2048</v>
      </c>
      <c r="AF1" s="28">
        <v>2049</v>
      </c>
      <c r="AG1" s="28">
        <v>2050</v>
      </c>
    </row>
    <row r="2" spans="1:38" x14ac:dyDescent="0.2">
      <c r="A2" s="27" t="s">
        <v>50</v>
      </c>
      <c r="B2" s="25">
        <v>0.106</v>
      </c>
      <c r="C2" s="26">
        <v>0.121</v>
      </c>
      <c r="D2" s="25">
        <v>0.14299999999999999</v>
      </c>
      <c r="E2" s="25">
        <v>0.155</v>
      </c>
      <c r="F2" s="25">
        <f>_xlfn.FORECAST.LINEAR(F1,D2:E2,D1:E1)</f>
        <v>0.16700000000000159</v>
      </c>
      <c r="G2" s="25">
        <f t="shared" ref="G2:AG2" si="0">_xlfn.FORECAST.LINEAR(G1,E2:F2,E1:F1)</f>
        <v>0.17900000000000205</v>
      </c>
      <c r="H2" s="25">
        <f t="shared" si="0"/>
        <v>0.1910000000000025</v>
      </c>
      <c r="I2" s="25">
        <f t="shared" si="0"/>
        <v>0.20300000000000296</v>
      </c>
      <c r="J2" s="25">
        <f t="shared" si="0"/>
        <v>0.21500000000000341</v>
      </c>
      <c r="K2" s="25">
        <f t="shared" si="0"/>
        <v>0.22700000000000387</v>
      </c>
      <c r="L2" s="25">
        <f t="shared" si="0"/>
        <v>0.23900000000000432</v>
      </c>
      <c r="M2" s="25">
        <f t="shared" si="0"/>
        <v>0.25100000000000477</v>
      </c>
      <c r="N2" s="25">
        <f t="shared" si="0"/>
        <v>0.26300000000000523</v>
      </c>
      <c r="O2" s="25">
        <f t="shared" si="0"/>
        <v>0.27500000000000568</v>
      </c>
      <c r="P2" s="25">
        <f t="shared" si="0"/>
        <v>0.28700000000000614</v>
      </c>
      <c r="Q2" s="25">
        <f t="shared" si="0"/>
        <v>0.29900000000000659</v>
      </c>
      <c r="R2" s="25">
        <f t="shared" si="0"/>
        <v>0.31100000000000705</v>
      </c>
      <c r="S2" s="25">
        <f t="shared" si="0"/>
        <v>0.3230000000000075</v>
      </c>
      <c r="T2" s="25">
        <f t="shared" si="0"/>
        <v>0.33500000000000796</v>
      </c>
      <c r="U2" s="25">
        <f t="shared" si="0"/>
        <v>0.34700000000000841</v>
      </c>
      <c r="V2" s="25">
        <f t="shared" si="0"/>
        <v>0.35900000000000887</v>
      </c>
      <c r="W2" s="25">
        <f t="shared" si="0"/>
        <v>0.37100000000000932</v>
      </c>
      <c r="X2" s="25">
        <f t="shared" si="0"/>
        <v>0.38300000000000978</v>
      </c>
      <c r="Y2" s="25">
        <f t="shared" si="0"/>
        <v>0.39500000000001023</v>
      </c>
      <c r="Z2" s="25">
        <f t="shared" si="0"/>
        <v>0.40700000000001069</v>
      </c>
      <c r="AA2" s="25">
        <f t="shared" si="0"/>
        <v>0.41900000000001114</v>
      </c>
      <c r="AB2" s="25">
        <f t="shared" si="0"/>
        <v>0.4310000000000116</v>
      </c>
      <c r="AC2" s="25">
        <f t="shared" si="0"/>
        <v>0.44300000000001205</v>
      </c>
      <c r="AD2" s="25">
        <f t="shared" si="0"/>
        <v>0.45500000000001251</v>
      </c>
      <c r="AE2" s="25">
        <f t="shared" si="0"/>
        <v>0.46700000000001296</v>
      </c>
      <c r="AF2" s="25">
        <f t="shared" si="0"/>
        <v>0.47900000000001342</v>
      </c>
      <c r="AG2" s="25">
        <f t="shared" si="0"/>
        <v>0.49100000000001387</v>
      </c>
      <c r="AH2" s="25"/>
      <c r="AI2" s="25"/>
      <c r="AJ2" s="25"/>
      <c r="AK2" s="25"/>
      <c r="AL2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AF1000"/>
  <sheetViews>
    <sheetView tabSelected="1" workbookViewId="0">
      <selection activeCell="Q2" sqref="Q2"/>
    </sheetView>
  </sheetViews>
  <sheetFormatPr baseColWidth="10" defaultColWidth="14.5" defaultRowHeight="15" customHeight="1" x14ac:dyDescent="0.2"/>
  <cols>
    <col min="1" max="1" width="16.6640625" customWidth="1"/>
    <col min="2" max="17" width="11.33203125" customWidth="1"/>
    <col min="18" max="32" width="8.6640625" customWidth="1"/>
  </cols>
  <sheetData>
    <row r="1" spans="1:32" ht="14.25" customHeight="1" x14ac:dyDescent="0.2">
      <c r="A1" s="2" t="s">
        <v>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</row>
    <row r="2" spans="1:32" ht="14.25" customHeight="1" x14ac:dyDescent="0.2">
      <c r="A2" s="5" t="s">
        <v>15</v>
      </c>
      <c r="B2" s="6">
        <f>(UNFCCC!$C$5+UNFCCC!$C$5*'Growth Rate'!C2)/UNFCCC!$B10</f>
        <v>179849215935090</v>
      </c>
      <c r="C2" s="6">
        <f>(UNFCCC!$C$5+UNFCCC!$C$5*'Growth Rate'!D2)/UNFCCC!$B10</f>
        <v>183378816961470</v>
      </c>
      <c r="D2" s="6">
        <f>(UNFCCC!$C$5+UNFCCC!$C$5*'Growth Rate'!E2)/UNFCCC!$B10</f>
        <v>185304053884950</v>
      </c>
      <c r="E2" s="6">
        <f>(UNFCCC!$C$5+UNFCCC!$C$5*'Growth Rate'!F2)/UNFCCC!$B10</f>
        <v>187229290808430.25</v>
      </c>
      <c r="F2" s="6">
        <f>(UNFCCC!$C$5+UNFCCC!$C$5*'Growth Rate'!G2)/UNFCCC!$B10</f>
        <v>189154527731910.31</v>
      </c>
      <c r="G2" s="6">
        <f>(UNFCCC!$C$5+UNFCCC!$C$5*'Growth Rate'!H2)/UNFCCC!$B10</f>
        <v>191079764655390.41</v>
      </c>
      <c r="H2" s="6">
        <f>(UNFCCC!$C$5+UNFCCC!$C$5*'Growth Rate'!I2)/UNFCCC!$B10</f>
        <v>193005001578870.47</v>
      </c>
      <c r="I2" s="6">
        <f>(UNFCCC!$C$5+UNFCCC!$C$5*'Growth Rate'!J2)/UNFCCC!$B10</f>
        <v>194930238502350.56</v>
      </c>
      <c r="J2" s="6">
        <f>(UNFCCC!$C$5+UNFCCC!$C$5*'Growth Rate'!K2)/UNFCCC!$B10</f>
        <v>196855475425830.62</v>
      </c>
      <c r="K2" s="6">
        <f>(UNFCCC!$C$5+UNFCCC!$C$5*'Growth Rate'!L2)/UNFCCC!$B10</f>
        <v>198780712349310.69</v>
      </c>
      <c r="L2" s="6">
        <f>(UNFCCC!$C$5+UNFCCC!$C$5*'Growth Rate'!M2)/UNFCCC!$B10</f>
        <v>200705949272790.75</v>
      </c>
      <c r="M2" s="6">
        <f>(UNFCCC!$C$5+UNFCCC!$C$5*'Growth Rate'!N2)/UNFCCC!$B10</f>
        <v>202631186196270.84</v>
      </c>
      <c r="N2" s="6">
        <f>(UNFCCC!$C$5+UNFCCC!$C$5*'Growth Rate'!O2)/UNFCCC!$B10</f>
        <v>204556423119750.91</v>
      </c>
      <c r="O2" s="6">
        <f>(UNFCCC!$C$5+UNFCCC!$C$5*'Growth Rate'!P2)/UNFCCC!$B10</f>
        <v>206481660043231</v>
      </c>
      <c r="P2" s="6">
        <f>(UNFCCC!$C$5+UNFCCC!$C$5*'Growth Rate'!Q2)/UNFCCC!$B10</f>
        <v>208406896966711.06</v>
      </c>
      <c r="Q2" s="6">
        <f>(UNFCCC!$C$5+UNFCCC!$C$5*'Growth Rate'!R2)/UNFCCC!$B10</f>
        <v>210332133890191.12</v>
      </c>
      <c r="R2" s="6">
        <f>(UNFCCC!$C$5+UNFCCC!$C$5*'Growth Rate'!S2)/UNFCCC!$B10</f>
        <v>212257370813671.19</v>
      </c>
      <c r="S2" s="6">
        <f>(UNFCCC!$C$5+UNFCCC!$C$5*'Growth Rate'!T2)/UNFCCC!$B10</f>
        <v>214182607737151.28</v>
      </c>
      <c r="T2" s="6">
        <f>(UNFCCC!$C$5+UNFCCC!$C$5*'Growth Rate'!U2)/UNFCCC!$B10</f>
        <v>216107844660631.34</v>
      </c>
      <c r="U2" s="6">
        <f>(UNFCCC!$C$5+UNFCCC!$C$5*'Growth Rate'!V2)/UNFCCC!$B10</f>
        <v>218033081584111.44</v>
      </c>
      <c r="V2" s="6">
        <f>(UNFCCC!$C$5+UNFCCC!$C$5*'Growth Rate'!W2)/UNFCCC!$B10</f>
        <v>219958318507591.5</v>
      </c>
      <c r="W2" s="6">
        <f>(UNFCCC!$C$5+UNFCCC!$C$5*'Growth Rate'!X2)/UNFCCC!$B10</f>
        <v>221883555431071.56</v>
      </c>
      <c r="X2" s="6">
        <f>(UNFCCC!$C$5+UNFCCC!$C$5*'Growth Rate'!Y2)/UNFCCC!$B10</f>
        <v>223808792354551.62</v>
      </c>
      <c r="Y2" s="6">
        <f>(UNFCCC!$C$5+UNFCCC!$C$5*'Growth Rate'!Z2)/UNFCCC!$B10</f>
        <v>225734029278031.72</v>
      </c>
      <c r="Z2" s="6">
        <f>(UNFCCC!$C$5+UNFCCC!$C$5*'Growth Rate'!AA2)/UNFCCC!$B10</f>
        <v>227659266201511.78</v>
      </c>
      <c r="AA2" s="6">
        <f>(UNFCCC!$C$5+UNFCCC!$C$5*'Growth Rate'!AB2)/UNFCCC!$B10</f>
        <v>229584503124991.88</v>
      </c>
      <c r="AB2" s="6">
        <f>(UNFCCC!$C$5+UNFCCC!$C$5*'Growth Rate'!AC2)/UNFCCC!$B10</f>
        <v>231509740048471.94</v>
      </c>
      <c r="AC2" s="6">
        <f>(UNFCCC!$C$5+UNFCCC!$C$5*'Growth Rate'!AD2)/UNFCCC!$B10</f>
        <v>233434976971952</v>
      </c>
      <c r="AD2" s="6">
        <f>(UNFCCC!$C$5+UNFCCC!$C$5*'Growth Rate'!AE2)/UNFCCC!$B10</f>
        <v>235360213895432.06</v>
      </c>
      <c r="AE2" s="6">
        <f>(UNFCCC!$C$5+UNFCCC!$C$5*'Growth Rate'!AF2)/UNFCCC!$B10</f>
        <v>237285450818912.16</v>
      </c>
      <c r="AF2" s="6">
        <f>(UNFCCC!$C$5+UNFCCC!$C$5*'Growth Rate'!AG2)/UNFCCC!$B10</f>
        <v>239210687742392.22</v>
      </c>
    </row>
    <row r="3" spans="1:32" ht="14.25" customHeight="1" x14ac:dyDescent="0.2">
      <c r="A3" s="5" t="s">
        <v>16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 ht="14.25" customHeight="1" x14ac:dyDescent="0.2">
      <c r="A4" s="5" t="s">
        <v>17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>
        <v>0</v>
      </c>
    </row>
    <row r="5" spans="1:32" ht="14.25" customHeight="1" x14ac:dyDescent="0.2">
      <c r="A5" s="5" t="s">
        <v>18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</row>
    <row r="6" spans="1:32" ht="14.25" customHeight="1" x14ac:dyDescent="0.2">
      <c r="A6" s="5" t="s">
        <v>19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 ht="14.25" customHeight="1" x14ac:dyDescent="0.2">
      <c r="A7" s="5" t="s">
        <v>20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 ht="14.25" customHeight="1" x14ac:dyDescent="0.2">
      <c r="A8" s="5" t="s">
        <v>21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</row>
    <row r="9" spans="1:32" ht="14.25" customHeight="1" x14ac:dyDescent="0.2">
      <c r="A9" s="5" t="s">
        <v>22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</row>
    <row r="10" spans="1:32" ht="14.25" customHeight="1" x14ac:dyDescent="0.2">
      <c r="A10" s="5" t="s">
        <v>23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</row>
    <row r="11" spans="1:32" ht="14.25" customHeight="1" x14ac:dyDescent="0.2">
      <c r="A11" s="5" t="s">
        <v>24</v>
      </c>
      <c r="B11" s="6">
        <f>(UNFCCC!$D$5+UNFCCC!$D$5*'Growth Rate'!C2)/UNFCCC!$B19</f>
        <v>2784003500000</v>
      </c>
      <c r="C11" s="6">
        <f>(UNFCCC!$D$5+UNFCCC!$D$5*'Growth Rate'!D2)/UNFCCC!$B19</f>
        <v>2838640500000</v>
      </c>
      <c r="D11" s="6">
        <f>(UNFCCC!$D$5+UNFCCC!$D$5*'Growth Rate'!E2)/UNFCCC!$B19</f>
        <v>2868442500000</v>
      </c>
      <c r="E11" s="6">
        <f>(UNFCCC!$D$5+UNFCCC!$D$5*'Growth Rate'!F2)/UNFCCC!$B19</f>
        <v>2898244500000.0039</v>
      </c>
      <c r="F11" s="6">
        <f>(UNFCCC!$D$5+UNFCCC!$D$5*'Growth Rate'!G2)/UNFCCC!$B19</f>
        <v>2928046500000.0049</v>
      </c>
      <c r="G11" s="6">
        <f>(UNFCCC!$D$5+UNFCCC!$D$5*'Growth Rate'!H2)/UNFCCC!$B19</f>
        <v>2957848500000.0063</v>
      </c>
      <c r="H11" s="6">
        <f>(UNFCCC!$D$5+UNFCCC!$D$5*'Growth Rate'!I2)/UNFCCC!$B19</f>
        <v>2987650500000.0073</v>
      </c>
      <c r="I11" s="6">
        <f>(UNFCCC!$D$5+UNFCCC!$D$5*'Growth Rate'!J2)/UNFCCC!$B19</f>
        <v>3017452500000.0083</v>
      </c>
      <c r="J11" s="6">
        <f>(UNFCCC!$D$5+UNFCCC!$D$5*'Growth Rate'!K2)/UNFCCC!$B19</f>
        <v>3047254500000.0093</v>
      </c>
      <c r="K11" s="6">
        <f>(UNFCCC!$D$5+UNFCCC!$D$5*'Growth Rate'!L2)/UNFCCC!$B19</f>
        <v>3077056500000.0107</v>
      </c>
      <c r="L11" s="6">
        <f>(UNFCCC!$D$5+UNFCCC!$D$5*'Growth Rate'!M2)/UNFCCC!$B19</f>
        <v>3106858500000.0117</v>
      </c>
      <c r="M11" s="6">
        <f>(UNFCCC!$D$5+UNFCCC!$D$5*'Growth Rate'!N2)/UNFCCC!$B19</f>
        <v>3136660500000.0127</v>
      </c>
      <c r="N11" s="6">
        <f>(UNFCCC!$D$5+UNFCCC!$D$5*'Growth Rate'!O2)/UNFCCC!$B19</f>
        <v>3166462500000.0142</v>
      </c>
      <c r="O11" s="6">
        <f>(UNFCCC!$D$5+UNFCCC!$D$5*'Growth Rate'!P2)/UNFCCC!$B19</f>
        <v>3196264500000.0151</v>
      </c>
      <c r="P11" s="6">
        <f>(UNFCCC!$D$5+UNFCCC!$D$5*'Growth Rate'!Q2)/UNFCCC!$B19</f>
        <v>3226066500000.0161</v>
      </c>
      <c r="Q11" s="6">
        <f>(UNFCCC!$D$5+UNFCCC!$D$5*'Growth Rate'!R2)/UNFCCC!$B19</f>
        <v>3255868500000.0171</v>
      </c>
      <c r="R11" s="6">
        <f>(UNFCCC!$D$5+UNFCCC!$D$5*'Growth Rate'!S2)/UNFCCC!$B19</f>
        <v>3285670500000.019</v>
      </c>
      <c r="S11" s="6">
        <f>(UNFCCC!$D$5+UNFCCC!$D$5*'Growth Rate'!T2)/UNFCCC!$B19</f>
        <v>3315472500000.02</v>
      </c>
      <c r="T11" s="6">
        <f>(UNFCCC!$D$5+UNFCCC!$D$5*'Growth Rate'!U2)/UNFCCC!$B19</f>
        <v>3345274500000.021</v>
      </c>
      <c r="U11" s="6">
        <f>(UNFCCC!$D$5+UNFCCC!$D$5*'Growth Rate'!V2)/UNFCCC!$B19</f>
        <v>3375076500000.0225</v>
      </c>
      <c r="V11" s="6">
        <f>(UNFCCC!$D$5+UNFCCC!$D$5*'Growth Rate'!W2)/UNFCCC!$B19</f>
        <v>3404878500000.0234</v>
      </c>
      <c r="W11" s="6">
        <f>(UNFCCC!$D$5+UNFCCC!$D$5*'Growth Rate'!X2)/UNFCCC!$B19</f>
        <v>3434680500000.0244</v>
      </c>
      <c r="X11" s="6">
        <f>(UNFCCC!$D$5+UNFCCC!$D$5*'Growth Rate'!Y2)/UNFCCC!$B19</f>
        <v>3464482500000.0259</v>
      </c>
      <c r="Y11" s="6">
        <f>(UNFCCC!$D$5+UNFCCC!$D$5*'Growth Rate'!Z2)/UNFCCC!$B19</f>
        <v>3494284500000.0269</v>
      </c>
      <c r="Z11" s="6">
        <f>(UNFCCC!$D$5+UNFCCC!$D$5*'Growth Rate'!AA2)/UNFCCC!$B19</f>
        <v>3524086500000.0278</v>
      </c>
      <c r="AA11" s="6">
        <f>(UNFCCC!$D$5+UNFCCC!$D$5*'Growth Rate'!AB2)/UNFCCC!$B19</f>
        <v>3553888500000.0288</v>
      </c>
      <c r="AB11" s="6">
        <f>(UNFCCC!$D$5+UNFCCC!$D$5*'Growth Rate'!AC2)/UNFCCC!$B19</f>
        <v>3583690500000.0303</v>
      </c>
      <c r="AC11" s="6">
        <f>(UNFCCC!$D$5+UNFCCC!$D$5*'Growth Rate'!AD2)/UNFCCC!$B19</f>
        <v>3613492500000.0312</v>
      </c>
      <c r="AD11" s="6">
        <f>(UNFCCC!$D$5+UNFCCC!$D$5*'Growth Rate'!AE2)/UNFCCC!$B19</f>
        <v>3643294500000.0322</v>
      </c>
      <c r="AE11" s="6">
        <f>(UNFCCC!$D$5+UNFCCC!$D$5*'Growth Rate'!AF2)/UNFCCC!$B19</f>
        <v>3673096500000.0337</v>
      </c>
      <c r="AF11" s="6">
        <f>(UNFCCC!$D$5+UNFCCC!$D$5*'Growth Rate'!AG2)/UNFCCC!$B19</f>
        <v>3702898500000.0347</v>
      </c>
    </row>
    <row r="12" spans="1:32" ht="14.25" customHeight="1" x14ac:dyDescent="0.2">
      <c r="A12" s="5" t="s">
        <v>25</v>
      </c>
      <c r="B12" s="6">
        <f>(UNFCCC!$E$5+UNFCCC!$E$5*'Growth Rate'!C2)/UNFCCC!$B20</f>
        <v>184728109433.96225</v>
      </c>
      <c r="C12" s="6">
        <f>(UNFCCC!$E$5+UNFCCC!$E$5*'Growth Rate'!D2)/UNFCCC!$B20</f>
        <v>188353460377.35849</v>
      </c>
      <c r="D12" s="6">
        <f>(UNFCCC!$E$5+UNFCCC!$E$5*'Growth Rate'!E2)/UNFCCC!$B20</f>
        <v>190330924528.30188</v>
      </c>
      <c r="E12" s="6">
        <f>(UNFCCC!$E$5+UNFCCC!$E$5*'Growth Rate'!F2)/UNFCCC!$B20</f>
        <v>192308388679.24554</v>
      </c>
      <c r="F12" s="6">
        <f>(UNFCCC!$E$5+UNFCCC!$E$5*'Growth Rate'!G2)/UNFCCC!$B20</f>
        <v>194285852830.18903</v>
      </c>
      <c r="G12" s="6">
        <f>(UNFCCC!$E$5+UNFCCC!$E$5*'Growth Rate'!H2)/UNFCCC!$B20</f>
        <v>196263316981.13248</v>
      </c>
      <c r="H12" s="6">
        <f>(UNFCCC!$E$5+UNFCCC!$E$5*'Growth Rate'!I2)/UNFCCC!$B20</f>
        <v>198240781132.07596</v>
      </c>
      <c r="I12" s="6">
        <f>(UNFCCC!$E$5+UNFCCC!$E$5*'Growth Rate'!J2)/UNFCCC!$B20</f>
        <v>200218245283.01944</v>
      </c>
      <c r="J12" s="6">
        <f>(UNFCCC!$E$5+UNFCCC!$E$5*'Growth Rate'!K2)/UNFCCC!$B20</f>
        <v>202195709433.96292</v>
      </c>
      <c r="K12" s="6">
        <f>(UNFCCC!$E$5+UNFCCC!$E$5*'Growth Rate'!L2)/UNFCCC!$B20</f>
        <v>204173173584.90637</v>
      </c>
      <c r="L12" s="6">
        <f>(UNFCCC!$E$5+UNFCCC!$E$5*'Growth Rate'!M2)/UNFCCC!$B20</f>
        <v>206150637735.84985</v>
      </c>
      <c r="M12" s="6">
        <f>(UNFCCC!$E$5+UNFCCC!$E$5*'Growth Rate'!N2)/UNFCCC!$B20</f>
        <v>208128101886.7933</v>
      </c>
      <c r="N12" s="6">
        <f>(UNFCCC!$E$5+UNFCCC!$E$5*'Growth Rate'!O2)/UNFCCC!$B20</f>
        <v>210105566037.73679</v>
      </c>
      <c r="O12" s="6">
        <f>(UNFCCC!$E$5+UNFCCC!$E$5*'Growth Rate'!P2)/UNFCCC!$B20</f>
        <v>212083030188.68024</v>
      </c>
      <c r="P12" s="6">
        <f>(UNFCCC!$E$5+UNFCCC!$E$5*'Growth Rate'!Q2)/UNFCCC!$B20</f>
        <v>214060494339.62372</v>
      </c>
      <c r="Q12" s="6">
        <f>(UNFCCC!$E$5+UNFCCC!$E$5*'Growth Rate'!R2)/UNFCCC!$B20</f>
        <v>216037958490.56723</v>
      </c>
      <c r="R12" s="6">
        <f>(UNFCCC!$E$5+UNFCCC!$E$5*'Growth Rate'!S2)/UNFCCC!$B20</f>
        <v>218015422641.51068</v>
      </c>
      <c r="S12" s="6">
        <f>(UNFCCC!$E$5+UNFCCC!$E$5*'Growth Rate'!T2)/UNFCCC!$B20</f>
        <v>219992886792.45413</v>
      </c>
      <c r="T12" s="6">
        <f>(UNFCCC!$E$5+UNFCCC!$E$5*'Growth Rate'!U2)/UNFCCC!$B20</f>
        <v>221970350943.39761</v>
      </c>
      <c r="U12" s="6">
        <f>(UNFCCC!$E$5+UNFCCC!$E$5*'Growth Rate'!V2)/UNFCCC!$B20</f>
        <v>223947815094.34109</v>
      </c>
      <c r="V12" s="6">
        <f>(UNFCCC!$E$5+UNFCCC!$E$5*'Growth Rate'!W2)/UNFCCC!$B20</f>
        <v>225925279245.28455</v>
      </c>
      <c r="W12" s="6">
        <f>(UNFCCC!$E$5+UNFCCC!$E$5*'Growth Rate'!X2)/UNFCCC!$B20</f>
        <v>227902743396.22803</v>
      </c>
      <c r="X12" s="6">
        <f>(UNFCCC!$E$5+UNFCCC!$E$5*'Growth Rate'!Y2)/UNFCCC!$B20</f>
        <v>229880207547.17148</v>
      </c>
      <c r="Y12" s="6">
        <f>(UNFCCC!$E$5+UNFCCC!$E$5*'Growth Rate'!Z2)/UNFCCC!$B20</f>
        <v>231857671698.11499</v>
      </c>
      <c r="Z12" s="6">
        <f>(UNFCCC!$E$5+UNFCCC!$E$5*'Growth Rate'!AA2)/UNFCCC!$B20</f>
        <v>233835135849.05844</v>
      </c>
      <c r="AA12" s="6">
        <f>(UNFCCC!$E$5+UNFCCC!$E$5*'Growth Rate'!AB2)/UNFCCC!$B20</f>
        <v>235812600000.00192</v>
      </c>
      <c r="AB12" s="6">
        <f>(UNFCCC!$E$5+UNFCCC!$E$5*'Growth Rate'!AC2)/UNFCCC!$B20</f>
        <v>237790064150.9454</v>
      </c>
      <c r="AC12" s="6">
        <f>(UNFCCC!$E$5+UNFCCC!$E$5*'Growth Rate'!AD2)/UNFCCC!$B20</f>
        <v>239767528301.88885</v>
      </c>
      <c r="AD12" s="6">
        <f>(UNFCCC!$E$5+UNFCCC!$E$5*'Growth Rate'!AE2)/UNFCCC!$B20</f>
        <v>241744992452.83231</v>
      </c>
      <c r="AE12" s="6">
        <f>(UNFCCC!$E$5+UNFCCC!$E$5*'Growth Rate'!AF2)/UNFCCC!$B20</f>
        <v>243722456603.77579</v>
      </c>
      <c r="AF12" s="6">
        <f>(UNFCCC!$E$5+UNFCCC!$E$5*'Growth Rate'!AG2)/UNFCCC!$B20</f>
        <v>245699920754.71927</v>
      </c>
    </row>
    <row r="13" spans="1:32" ht="14.25" customHeight="1" x14ac:dyDescent="0.2">
      <c r="A13" s="5" t="s">
        <v>26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</row>
    <row r="14" spans="1:32" ht="14.25" customHeight="1" x14ac:dyDescent="0.2"/>
    <row r="15" spans="1:32" ht="14.25" customHeight="1" x14ac:dyDescent="0.2"/>
    <row r="16" spans="1:32" ht="14.25" customHeight="1" x14ac:dyDescent="0.2"/>
    <row r="17" ht="14.25" customHeight="1" x14ac:dyDescent="0.2"/>
    <row r="18" ht="14.25" customHeight="1" x14ac:dyDescent="0.2"/>
    <row r="19" ht="14.25" customHeight="1" x14ac:dyDescent="0.2"/>
    <row r="20" ht="14.25" customHeight="1" x14ac:dyDescent="0.2"/>
    <row r="21" ht="14.25" customHeight="1" x14ac:dyDescent="0.2"/>
    <row r="22" ht="14.25" customHeight="1" x14ac:dyDescent="0.2"/>
    <row r="23" ht="14.25" customHeight="1" x14ac:dyDescent="0.2"/>
    <row r="24" ht="14.25" customHeight="1" x14ac:dyDescent="0.2"/>
    <row r="25" ht="14.25" customHeight="1" x14ac:dyDescent="0.2"/>
    <row r="26" ht="14.25" customHeight="1" x14ac:dyDescent="0.2"/>
    <row r="27" ht="14.25" customHeight="1" x14ac:dyDescent="0.2"/>
    <row r="28" ht="14.25" customHeight="1" x14ac:dyDescent="0.2"/>
    <row r="29" ht="14.25" customHeight="1" x14ac:dyDescent="0.2"/>
    <row r="30" ht="14.25" customHeight="1" x14ac:dyDescent="0.2"/>
    <row r="31" ht="14.25" customHeight="1" x14ac:dyDescent="0.2"/>
    <row r="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UNFCCC</vt:lpstr>
      <vt:lpstr>Growth Rate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2015-08-06T00:31:42Z</dcterms:created>
  <dcterms:modified xsi:type="dcterms:W3CDTF">2025-01-08T16:57:12Z</dcterms:modified>
</cp:coreProperties>
</file>