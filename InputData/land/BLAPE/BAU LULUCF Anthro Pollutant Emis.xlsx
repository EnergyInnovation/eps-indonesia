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"/>
    </mc:Choice>
  </mc:AlternateContent>
  <xr:revisionPtr revIDLastSave="0" documentId="13_ncr:1_{4D2ADC5A-3F89-4A44-BCFC-E9F0833CC9AE}" xr6:coauthVersionLast="47" xr6:coauthVersionMax="47" xr10:uidLastSave="{00000000-0000-0000-0000-000000000000}"/>
  <bookViews>
    <workbookView xWindow="0" yWindow="760" windowWidth="34200" windowHeight="21380" activeTab="7" xr2:uid="{00000000-000D-0000-FFFF-FFFF00000000}"/>
  </bookViews>
  <sheets>
    <sheet name="About" sheetId="1" r:id="rId1"/>
    <sheet name="UNFCCC" sheetId="5" r:id="rId2"/>
    <sheet name="Share of Pollutants" sheetId="4" r:id="rId3"/>
    <sheet name="GWF-Smoothing " sheetId="11" r:id="rId4"/>
    <sheet name="Global Watch Data" sheetId="8" r:id="rId5"/>
    <sheet name="Stata-1" sheetId="9" r:id="rId6"/>
    <sheet name="Stata-2" sheetId="10" r:id="rId7"/>
    <sheet name="BLAPE" sheetId="7" r:id="rId8"/>
  </sheets>
  <definedNames>
    <definedName name="_xlchart.v1.0" hidden="1">BLAPE!$A$1</definedName>
    <definedName name="_xlchart.v1.1" hidden="1">BLAPE!$A$10</definedName>
    <definedName name="_xlchart.v1.10" hidden="1">BLAPE!$A$7</definedName>
    <definedName name="_xlchart.v1.11" hidden="1">BLAPE!$A$8</definedName>
    <definedName name="_xlchart.v1.12" hidden="1">BLAPE!$A$9</definedName>
    <definedName name="_xlchart.v1.13" hidden="1">BLAPE!$B$10:$AZ$10</definedName>
    <definedName name="_xlchart.v1.14" hidden="1">BLAPE!$B$11:$AZ$11</definedName>
    <definedName name="_xlchart.v1.15" hidden="1">BLAPE!$B$12:$AZ$12</definedName>
    <definedName name="_xlchart.v1.16" hidden="1">BLAPE!$B$13:$AZ$13</definedName>
    <definedName name="_xlchart.v1.17" hidden="1">BLAPE!$B$1:$AZ$1</definedName>
    <definedName name="_xlchart.v1.18" hidden="1">BLAPE!$B$2:$AZ$2</definedName>
    <definedName name="_xlchart.v1.19" hidden="1">BLAPE!$B$3:$AZ$3</definedName>
    <definedName name="_xlchart.v1.2" hidden="1">BLAPE!$A$11</definedName>
    <definedName name="_xlchart.v1.20" hidden="1">BLAPE!$B$4:$AZ$4</definedName>
    <definedName name="_xlchart.v1.21" hidden="1">BLAPE!$B$5:$AZ$5</definedName>
    <definedName name="_xlchart.v1.22" hidden="1">BLAPE!$B$6:$AZ$6</definedName>
    <definedName name="_xlchart.v1.23" hidden="1">BLAPE!$B$7:$AZ$7</definedName>
    <definedName name="_xlchart.v1.24" hidden="1">BLAPE!$B$8:$AZ$8</definedName>
    <definedName name="_xlchart.v1.25" hidden="1">BLAPE!$B$9:$AZ$9</definedName>
    <definedName name="_xlchart.v1.26" hidden="1">BLAPE!$A$1</definedName>
    <definedName name="_xlchart.v1.27" hidden="1">BLAPE!$A$10</definedName>
    <definedName name="_xlchart.v1.28" hidden="1">BLAPE!$A$11</definedName>
    <definedName name="_xlchart.v1.29" hidden="1">BLAPE!$A$12</definedName>
    <definedName name="_xlchart.v1.3" hidden="1">BLAPE!$A$12</definedName>
    <definedName name="_xlchart.v1.30" hidden="1">BLAPE!$A$13</definedName>
    <definedName name="_xlchart.v1.31" hidden="1">BLAPE!$A$2</definedName>
    <definedName name="_xlchart.v1.32" hidden="1">BLAPE!$A$3</definedName>
    <definedName name="_xlchart.v1.33" hidden="1">BLAPE!$A$4</definedName>
    <definedName name="_xlchart.v1.34" hidden="1">BLAPE!$A$5</definedName>
    <definedName name="_xlchart.v1.35" hidden="1">BLAPE!$A$6</definedName>
    <definedName name="_xlchart.v1.36" hidden="1">BLAPE!$A$7</definedName>
    <definedName name="_xlchart.v1.37" hidden="1">BLAPE!$A$8</definedName>
    <definedName name="_xlchart.v1.38" hidden="1">BLAPE!$A$9</definedName>
    <definedName name="_xlchart.v1.39" hidden="1">BLAPE!$B$10:$AZ$10</definedName>
    <definedName name="_xlchart.v1.4" hidden="1">BLAPE!$A$13</definedName>
    <definedName name="_xlchart.v1.40" hidden="1">BLAPE!$B$11:$AZ$11</definedName>
    <definedName name="_xlchart.v1.41" hidden="1">BLAPE!$B$12:$AZ$12</definedName>
    <definedName name="_xlchart.v1.42" hidden="1">BLAPE!$B$13:$AZ$13</definedName>
    <definedName name="_xlchart.v1.43" hidden="1">BLAPE!$B$1:$AZ$1</definedName>
    <definedName name="_xlchart.v1.44" hidden="1">BLAPE!$B$2:$AZ$2</definedName>
    <definedName name="_xlchart.v1.45" hidden="1">BLAPE!$B$3:$AZ$3</definedName>
    <definedName name="_xlchart.v1.46" hidden="1">BLAPE!$B$4:$AZ$4</definedName>
    <definedName name="_xlchart.v1.47" hidden="1">BLAPE!$B$5:$AZ$5</definedName>
    <definedName name="_xlchart.v1.48" hidden="1">BLAPE!$B$6:$AZ$6</definedName>
    <definedName name="_xlchart.v1.49" hidden="1">BLAPE!$B$7:$AZ$7</definedName>
    <definedName name="_xlchart.v1.5" hidden="1">BLAPE!$A$2</definedName>
    <definedName name="_xlchart.v1.50" hidden="1">BLAPE!$B$8:$AZ$8</definedName>
    <definedName name="_xlchart.v1.51" hidden="1">BLAPE!$B$9:$AZ$9</definedName>
    <definedName name="_xlchart.v1.6" hidden="1">BLAPE!$A$3</definedName>
    <definedName name="_xlchart.v1.7" hidden="1">BLAPE!$A$4</definedName>
    <definedName name="_xlchart.v1.8" hidden="1">BLAPE!$A$5</definedName>
    <definedName name="_xlchart.v1.9" hidden="1">BLAPE!$A$6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30kEgygm9Ug6YpWMjb1cVZnDsLql6XCI1/oB84BG7Y="/>
    </ext>
  </extLst>
</workbook>
</file>

<file path=xl/calcChain.xml><?xml version="1.0" encoding="utf-8"?>
<calcChain xmlns="http://schemas.openxmlformats.org/spreadsheetml/2006/main">
  <c r="C3" i="8" l="1"/>
  <c r="D3" i="8"/>
  <c r="E3" i="8"/>
  <c r="F3" i="8"/>
  <c r="F6" i="8" s="1"/>
  <c r="G3" i="8"/>
  <c r="G6" i="8" s="1"/>
  <c r="H3" i="8"/>
  <c r="H6" i="8" s="1"/>
  <c r="I3" i="8"/>
  <c r="I6" i="8" s="1"/>
  <c r="J3" i="8"/>
  <c r="K3" i="8"/>
  <c r="L3" i="8"/>
  <c r="M3" i="8"/>
  <c r="N3" i="8"/>
  <c r="N6" i="8" s="1"/>
  <c r="O3" i="8"/>
  <c r="O6" i="8" s="1"/>
  <c r="P3" i="8"/>
  <c r="P6" i="8" s="1"/>
  <c r="Q3" i="8"/>
  <c r="Q6" i="8" s="1"/>
  <c r="R3" i="8"/>
  <c r="S3" i="8"/>
  <c r="T3" i="8"/>
  <c r="U3" i="8"/>
  <c r="V3" i="8"/>
  <c r="V6" i="8" s="1"/>
  <c r="W3" i="8"/>
  <c r="W6" i="8" s="1"/>
  <c r="X3" i="8"/>
  <c r="X6" i="8" s="1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BL3" i="8"/>
  <c r="BM3" i="8"/>
  <c r="BN3" i="8"/>
  <c r="BO3" i="8"/>
  <c r="BP3" i="8"/>
  <c r="BQ3" i="8"/>
  <c r="BR3" i="8"/>
  <c r="BS3" i="8"/>
  <c r="B3" i="8"/>
  <c r="B6" i="8" s="1"/>
  <c r="Y2" i="11"/>
  <c r="C6" i="8"/>
  <c r="D6" i="8"/>
  <c r="E6" i="8"/>
  <c r="J6" i="8"/>
  <c r="K6" i="8"/>
  <c r="L6" i="8"/>
  <c r="M6" i="8"/>
  <c r="R6" i="8"/>
  <c r="S6" i="8"/>
  <c r="T6" i="8"/>
  <c r="U6" i="8"/>
  <c r="B5" i="8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C13" i="7"/>
  <c r="B12" i="4"/>
  <c r="Z2" i="11" l="1"/>
  <c r="Y6" i="8"/>
  <c r="D5" i="5"/>
  <c r="C5" i="5"/>
  <c r="AA2" i="11" l="1"/>
  <c r="AB2" i="11"/>
  <c r="F10" i="5"/>
  <c r="F13" i="5" s="1"/>
  <c r="B2" i="4"/>
  <c r="B11" i="4"/>
  <c r="F12" i="5"/>
  <c r="Z6" i="8"/>
  <c r="AC2" i="11" l="1"/>
  <c r="B18" i="4"/>
  <c r="F11" i="5"/>
  <c r="AA6" i="8"/>
  <c r="AD2" i="11" l="1"/>
  <c r="B19" i="4"/>
  <c r="B21" i="4"/>
  <c r="B20" i="4"/>
  <c r="AB6" i="8"/>
  <c r="AE2" i="11" l="1"/>
  <c r="D8" i="8"/>
  <c r="D14" i="8" s="1"/>
  <c r="D18" i="8" s="1"/>
  <c r="L8" i="8"/>
  <c r="L14" i="8" s="1"/>
  <c r="L18" i="8" s="1"/>
  <c r="T8" i="8"/>
  <c r="T14" i="8" s="1"/>
  <c r="T18" i="8" s="1"/>
  <c r="AB8" i="8"/>
  <c r="AB14" i="8" s="1"/>
  <c r="AB18" i="8" s="1"/>
  <c r="I11" i="7" s="1"/>
  <c r="E8" i="8"/>
  <c r="E14" i="8" s="1"/>
  <c r="E18" i="8" s="1"/>
  <c r="M8" i="8"/>
  <c r="M14" i="8" s="1"/>
  <c r="M18" i="8" s="1"/>
  <c r="U8" i="8"/>
  <c r="U14" i="8" s="1"/>
  <c r="U18" i="8" s="1"/>
  <c r="B11" i="7" s="1"/>
  <c r="I8" i="8"/>
  <c r="I14" i="8" s="1"/>
  <c r="I18" i="8" s="1"/>
  <c r="B8" i="8"/>
  <c r="B14" i="8" s="1"/>
  <c r="B18" i="8" s="1"/>
  <c r="G8" i="8"/>
  <c r="G14" i="8" s="1"/>
  <c r="G18" i="8" s="1"/>
  <c r="W8" i="8"/>
  <c r="W14" i="8" s="1"/>
  <c r="W18" i="8" s="1"/>
  <c r="D11" i="7" s="1"/>
  <c r="P8" i="8"/>
  <c r="P14" i="8" s="1"/>
  <c r="P18" i="8" s="1"/>
  <c r="Q8" i="8"/>
  <c r="Q14" i="8" s="1"/>
  <c r="Q18" i="8" s="1"/>
  <c r="J8" i="8"/>
  <c r="J14" i="8" s="1"/>
  <c r="J18" i="8" s="1"/>
  <c r="R8" i="8"/>
  <c r="R14" i="8" s="1"/>
  <c r="R18" i="8" s="1"/>
  <c r="Z8" i="8"/>
  <c r="Z14" i="8" s="1"/>
  <c r="Z18" i="8" s="1"/>
  <c r="G11" i="7" s="1"/>
  <c r="N8" i="8"/>
  <c r="N14" i="8" s="1"/>
  <c r="N18" i="8" s="1"/>
  <c r="O8" i="8"/>
  <c r="O14" i="8" s="1"/>
  <c r="O18" i="8" s="1"/>
  <c r="H8" i="8"/>
  <c r="H14" i="8" s="1"/>
  <c r="H18" i="8" s="1"/>
  <c r="Y8" i="8"/>
  <c r="Y14" i="8" s="1"/>
  <c r="Y18" i="8" s="1"/>
  <c r="F11" i="7" s="1"/>
  <c r="C8" i="8"/>
  <c r="C14" i="8" s="1"/>
  <c r="C18" i="8" s="1"/>
  <c r="K8" i="8"/>
  <c r="K14" i="8" s="1"/>
  <c r="K18" i="8" s="1"/>
  <c r="S8" i="8"/>
  <c r="S14" i="8" s="1"/>
  <c r="S18" i="8" s="1"/>
  <c r="AA8" i="8"/>
  <c r="AA14" i="8" s="1"/>
  <c r="AA18" i="8" s="1"/>
  <c r="H11" i="7" s="1"/>
  <c r="F8" i="8"/>
  <c r="F14" i="8" s="1"/>
  <c r="F18" i="8" s="1"/>
  <c r="V8" i="8"/>
  <c r="V14" i="8" s="1"/>
  <c r="V18" i="8" s="1"/>
  <c r="C11" i="7" s="1"/>
  <c r="X8" i="8"/>
  <c r="X14" i="8" s="1"/>
  <c r="X18" i="8" s="1"/>
  <c r="E11" i="7" s="1"/>
  <c r="G9" i="8"/>
  <c r="G15" i="8" s="1"/>
  <c r="G19" i="8" s="1"/>
  <c r="O9" i="8"/>
  <c r="O15" i="8" s="1"/>
  <c r="O19" i="8" s="1"/>
  <c r="W9" i="8"/>
  <c r="W15" i="8" s="1"/>
  <c r="W19" i="8" s="1"/>
  <c r="D12" i="7" s="1"/>
  <c r="H9" i="8"/>
  <c r="H15" i="8" s="1"/>
  <c r="H19" i="8" s="1"/>
  <c r="P9" i="8"/>
  <c r="P15" i="8" s="1"/>
  <c r="P19" i="8" s="1"/>
  <c r="X9" i="8"/>
  <c r="X15" i="8" s="1"/>
  <c r="X19" i="8" s="1"/>
  <c r="E12" i="7" s="1"/>
  <c r="B9" i="8"/>
  <c r="B15" i="8" s="1"/>
  <c r="B19" i="8" s="1"/>
  <c r="R9" i="8"/>
  <c r="R15" i="8" s="1"/>
  <c r="R19" i="8" s="1"/>
  <c r="C9" i="8"/>
  <c r="C15" i="8" s="1"/>
  <c r="C19" i="8" s="1"/>
  <c r="AB9" i="8"/>
  <c r="AB15" i="8" s="1"/>
  <c r="AB19" i="8" s="1"/>
  <c r="I12" i="7" s="1"/>
  <c r="Q9" i="8"/>
  <c r="Q15" i="8" s="1"/>
  <c r="Q19" i="8" s="1"/>
  <c r="Z9" i="8"/>
  <c r="Z15" i="8" s="1"/>
  <c r="Z19" i="8" s="1"/>
  <c r="G12" i="7" s="1"/>
  <c r="AA9" i="8"/>
  <c r="AA15" i="8" s="1"/>
  <c r="AA19" i="8" s="1"/>
  <c r="H12" i="7" s="1"/>
  <c r="L9" i="8"/>
  <c r="L15" i="8" s="1"/>
  <c r="L19" i="8" s="1"/>
  <c r="E9" i="8"/>
  <c r="E15" i="8" s="1"/>
  <c r="E19" i="8" s="1"/>
  <c r="M9" i="8"/>
  <c r="M15" i="8" s="1"/>
  <c r="M19" i="8" s="1"/>
  <c r="U9" i="8"/>
  <c r="U15" i="8" s="1"/>
  <c r="U19" i="8" s="1"/>
  <c r="B12" i="7" s="1"/>
  <c r="I9" i="8"/>
  <c r="I15" i="8" s="1"/>
  <c r="I19" i="8" s="1"/>
  <c r="J9" i="8"/>
  <c r="J15" i="8" s="1"/>
  <c r="J19" i="8" s="1"/>
  <c r="K9" i="8"/>
  <c r="K15" i="8" s="1"/>
  <c r="K19" i="8" s="1"/>
  <c r="D9" i="8"/>
  <c r="D15" i="8" s="1"/>
  <c r="D19" i="8" s="1"/>
  <c r="F9" i="8"/>
  <c r="F15" i="8" s="1"/>
  <c r="F19" i="8" s="1"/>
  <c r="N9" i="8"/>
  <c r="N15" i="8" s="1"/>
  <c r="N19" i="8" s="1"/>
  <c r="V9" i="8"/>
  <c r="V15" i="8" s="1"/>
  <c r="V19" i="8" s="1"/>
  <c r="C12" i="7" s="1"/>
  <c r="Y9" i="8"/>
  <c r="Y15" i="8" s="1"/>
  <c r="Y19" i="8" s="1"/>
  <c r="F12" i="7" s="1"/>
  <c r="S9" i="8"/>
  <c r="S15" i="8" s="1"/>
  <c r="S19" i="8" s="1"/>
  <c r="T9" i="8"/>
  <c r="T15" i="8" s="1"/>
  <c r="T19" i="8" s="1"/>
  <c r="I7" i="8"/>
  <c r="I13" i="8" s="1"/>
  <c r="I17" i="8" s="1"/>
  <c r="Q7" i="8"/>
  <c r="Q13" i="8" s="1"/>
  <c r="Q17" i="8" s="1"/>
  <c r="Y7" i="8"/>
  <c r="Y13" i="8" s="1"/>
  <c r="Y17" i="8" s="1"/>
  <c r="F2" i="7" s="1"/>
  <c r="J7" i="8"/>
  <c r="J13" i="8" s="1"/>
  <c r="J17" i="8" s="1"/>
  <c r="R7" i="8"/>
  <c r="R13" i="8" s="1"/>
  <c r="R17" i="8" s="1"/>
  <c r="Z7" i="8"/>
  <c r="Z13" i="8" s="1"/>
  <c r="Z17" i="8" s="1"/>
  <c r="G2" i="7" s="1"/>
  <c r="T7" i="8"/>
  <c r="T13" i="8" s="1"/>
  <c r="T17" i="8" s="1"/>
  <c r="N7" i="8"/>
  <c r="N13" i="8" s="1"/>
  <c r="N17" i="8" s="1"/>
  <c r="C7" i="8"/>
  <c r="C13" i="8" s="1"/>
  <c r="C17" i="8" s="1"/>
  <c r="L7" i="8"/>
  <c r="L13" i="8" s="1"/>
  <c r="L17" i="8" s="1"/>
  <c r="B7" i="8"/>
  <c r="B13" i="8" s="1"/>
  <c r="B17" i="8" s="1"/>
  <c r="U7" i="8"/>
  <c r="U13" i="8" s="1"/>
  <c r="U17" i="8" s="1"/>
  <c r="B2" i="7" s="1"/>
  <c r="V7" i="8"/>
  <c r="V13" i="8" s="1"/>
  <c r="V17" i="8" s="1"/>
  <c r="C2" i="7" s="1"/>
  <c r="G7" i="8"/>
  <c r="G13" i="8" s="1"/>
  <c r="G17" i="8" s="1"/>
  <c r="O7" i="8"/>
  <c r="O13" i="8" s="1"/>
  <c r="O17" i="8" s="1"/>
  <c r="W7" i="8"/>
  <c r="W13" i="8" s="1"/>
  <c r="W17" i="8" s="1"/>
  <c r="D2" i="7" s="1"/>
  <c r="K7" i="8"/>
  <c r="K13" i="8" s="1"/>
  <c r="K17" i="8" s="1"/>
  <c r="D7" i="8"/>
  <c r="D13" i="8" s="1"/>
  <c r="D17" i="8" s="1"/>
  <c r="AB7" i="8"/>
  <c r="AB13" i="8" s="1"/>
  <c r="AB17" i="8" s="1"/>
  <c r="I2" i="7" s="1"/>
  <c r="E7" i="8"/>
  <c r="E13" i="8" s="1"/>
  <c r="E17" i="8" s="1"/>
  <c r="F7" i="8"/>
  <c r="F13" i="8" s="1"/>
  <c r="F17" i="8" s="1"/>
  <c r="H7" i="8"/>
  <c r="H13" i="8" s="1"/>
  <c r="H17" i="8" s="1"/>
  <c r="P7" i="8"/>
  <c r="P13" i="8" s="1"/>
  <c r="P17" i="8" s="1"/>
  <c r="X7" i="8"/>
  <c r="X13" i="8" s="1"/>
  <c r="X17" i="8" s="1"/>
  <c r="E2" i="7" s="1"/>
  <c r="S7" i="8"/>
  <c r="S13" i="8" s="1"/>
  <c r="S17" i="8" s="1"/>
  <c r="AA7" i="8"/>
  <c r="AA13" i="8" s="1"/>
  <c r="AA17" i="8" s="1"/>
  <c r="H2" i="7" s="1"/>
  <c r="M7" i="8"/>
  <c r="M13" i="8" s="1"/>
  <c r="M17" i="8" s="1"/>
  <c r="AC6" i="8"/>
  <c r="AC9" i="8" s="1"/>
  <c r="AF2" i="11" l="1"/>
  <c r="AC7" i="8"/>
  <c r="AC8" i="8"/>
  <c r="AC14" i="8" s="1"/>
  <c r="AC18" i="8" s="1"/>
  <c r="J11" i="7" s="1"/>
  <c r="AC13" i="8"/>
  <c r="AC17" i="8" s="1"/>
  <c r="J2" i="7" s="1"/>
  <c r="AC15" i="8"/>
  <c r="AC19" i="8" s="1"/>
  <c r="J12" i="7" s="1"/>
  <c r="AG2" i="11" l="1"/>
  <c r="AE6" i="8"/>
  <c r="AD6" i="8"/>
  <c r="AH2" i="11" l="1"/>
  <c r="AG6" i="8"/>
  <c r="AF6" i="8"/>
  <c r="AD7" i="8"/>
  <c r="AD13" i="8" s="1"/>
  <c r="AD17" i="8" s="1"/>
  <c r="K2" i="7" s="1"/>
  <c r="AD8" i="8"/>
  <c r="AD14" i="8" s="1"/>
  <c r="AD18" i="8" s="1"/>
  <c r="K11" i="7" s="1"/>
  <c r="AD9" i="8"/>
  <c r="AD15" i="8" s="1"/>
  <c r="AD19" i="8" s="1"/>
  <c r="K12" i="7" s="1"/>
  <c r="AE8" i="8"/>
  <c r="AE14" i="8" s="1"/>
  <c r="AE18" i="8" s="1"/>
  <c r="L11" i="7" s="1"/>
  <c r="AE7" i="8"/>
  <c r="AE13" i="8" s="1"/>
  <c r="AE17" i="8" s="1"/>
  <c r="L2" i="7" s="1"/>
  <c r="AE9" i="8"/>
  <c r="AE15" i="8" s="1"/>
  <c r="AE19" i="8" s="1"/>
  <c r="L12" i="7" s="1"/>
  <c r="AH6" i="8"/>
  <c r="AI2" i="11" l="1"/>
  <c r="AH7" i="8"/>
  <c r="AH9" i="8"/>
  <c r="AH8" i="8"/>
  <c r="AF9" i="8"/>
  <c r="AF15" i="8" s="1"/>
  <c r="AF19" i="8" s="1"/>
  <c r="M12" i="7" s="1"/>
  <c r="AF8" i="8"/>
  <c r="AF14" i="8" s="1"/>
  <c r="AF18" i="8" s="1"/>
  <c r="M11" i="7" s="1"/>
  <c r="AF7" i="8"/>
  <c r="AF13" i="8" s="1"/>
  <c r="AF17" i="8" s="1"/>
  <c r="M2" i="7" s="1"/>
  <c r="AG7" i="8"/>
  <c r="AG13" i="8" s="1"/>
  <c r="AG17" i="8" s="1"/>
  <c r="N2" i="7" s="1"/>
  <c r="AG9" i="8"/>
  <c r="AG15" i="8" s="1"/>
  <c r="AG19" i="8" s="1"/>
  <c r="N12" i="7" s="1"/>
  <c r="AG8" i="8"/>
  <c r="AG14" i="8" s="1"/>
  <c r="AG18" i="8" s="1"/>
  <c r="N11" i="7" s="1"/>
  <c r="AH15" i="8"/>
  <c r="AH19" i="8" s="1"/>
  <c r="O12" i="7" s="1"/>
  <c r="AH14" i="8"/>
  <c r="AH18" i="8" s="1"/>
  <c r="O11" i="7" s="1"/>
  <c r="AH13" i="8"/>
  <c r="AH17" i="8" s="1"/>
  <c r="O2" i="7" s="1"/>
  <c r="AI6" i="8"/>
  <c r="AJ2" i="11" l="1"/>
  <c r="AI8" i="8"/>
  <c r="AI9" i="8"/>
  <c r="AI15" i="8" s="1"/>
  <c r="AI19" i="8" s="1"/>
  <c r="P12" i="7" s="1"/>
  <c r="AI7" i="8"/>
  <c r="AI13" i="8" s="1"/>
  <c r="AI17" i="8" s="1"/>
  <c r="P2" i="7" s="1"/>
  <c r="AI14" i="8"/>
  <c r="AI18" i="8" s="1"/>
  <c r="P11" i="7" s="1"/>
  <c r="AJ6" i="8"/>
  <c r="AK2" i="11" l="1"/>
  <c r="AJ9" i="8"/>
  <c r="AJ8" i="8"/>
  <c r="AJ14" i="8" s="1"/>
  <c r="AJ18" i="8" s="1"/>
  <c r="Q11" i="7" s="1"/>
  <c r="AJ7" i="8"/>
  <c r="AJ13" i="8" s="1"/>
  <c r="AJ17" i="8" s="1"/>
  <c r="Q2" i="7" s="1"/>
  <c r="AK6" i="8"/>
  <c r="AJ15" i="8"/>
  <c r="AJ19" i="8" s="1"/>
  <c r="Q12" i="7" s="1"/>
  <c r="AL2" i="11" l="1"/>
  <c r="AK9" i="8"/>
  <c r="AK8" i="8"/>
  <c r="AK7" i="8"/>
  <c r="AK13" i="8" s="1"/>
  <c r="AK17" i="8" s="1"/>
  <c r="R2" i="7" s="1"/>
  <c r="AM6" i="8"/>
  <c r="AL6" i="8"/>
  <c r="AK15" i="8"/>
  <c r="AK19" i="8" s="1"/>
  <c r="R12" i="7" s="1"/>
  <c r="AK14" i="8"/>
  <c r="AK18" i="8" s="1"/>
  <c r="R11" i="7" s="1"/>
  <c r="AM2" i="11" l="1"/>
  <c r="AN6" i="8"/>
  <c r="AN8" i="8" s="1"/>
  <c r="AN14" i="8" s="1"/>
  <c r="AN18" i="8" s="1"/>
  <c r="U11" i="7" s="1"/>
  <c r="AN7" i="8"/>
  <c r="AN13" i="8" s="1"/>
  <c r="AN17" i="8" s="1"/>
  <c r="U2" i="7" s="1"/>
  <c r="AL7" i="8"/>
  <c r="AL13" i="8" s="1"/>
  <c r="AL17" i="8" s="1"/>
  <c r="S2" i="7" s="1"/>
  <c r="AL8" i="8"/>
  <c r="AL14" i="8" s="1"/>
  <c r="AL18" i="8" s="1"/>
  <c r="S11" i="7" s="1"/>
  <c r="AL9" i="8"/>
  <c r="AL15" i="8" s="1"/>
  <c r="AL19" i="8" s="1"/>
  <c r="S12" i="7" s="1"/>
  <c r="AM7" i="8"/>
  <c r="AM13" i="8" s="1"/>
  <c r="AM17" i="8" s="1"/>
  <c r="T2" i="7" s="1"/>
  <c r="AM8" i="8"/>
  <c r="AM14" i="8" s="1"/>
  <c r="AM18" i="8" s="1"/>
  <c r="T11" i="7" s="1"/>
  <c r="AM9" i="8"/>
  <c r="AM15" i="8" s="1"/>
  <c r="AM19" i="8" s="1"/>
  <c r="T12" i="7" s="1"/>
  <c r="AO6" i="8"/>
  <c r="AN9" i="8" l="1"/>
  <c r="AN15" i="8" s="1"/>
  <c r="AN19" i="8" s="1"/>
  <c r="U12" i="7" s="1"/>
  <c r="AN2" i="11"/>
  <c r="AO7" i="8"/>
  <c r="AO13" i="8" s="1"/>
  <c r="AO17" i="8" s="1"/>
  <c r="V2" i="7" s="1"/>
  <c r="AO8" i="8"/>
  <c r="AO14" i="8" s="1"/>
  <c r="AO18" i="8" s="1"/>
  <c r="V11" i="7" s="1"/>
  <c r="AO9" i="8"/>
  <c r="AO15" i="8" s="1"/>
  <c r="AO19" i="8" s="1"/>
  <c r="V12" i="7" s="1"/>
  <c r="AP6" i="8"/>
  <c r="AO2" i="11" l="1"/>
  <c r="AP7" i="8"/>
  <c r="AP9" i="8"/>
  <c r="AP15" i="8" s="1"/>
  <c r="AP19" i="8" s="1"/>
  <c r="W12" i="7" s="1"/>
  <c r="AP8" i="8"/>
  <c r="AP14" i="8" s="1"/>
  <c r="AP18" i="8" s="1"/>
  <c r="W11" i="7" s="1"/>
  <c r="AQ6" i="8"/>
  <c r="AP13" i="8"/>
  <c r="AP17" i="8" s="1"/>
  <c r="W2" i="7" s="1"/>
  <c r="AP2" i="11" l="1"/>
  <c r="AR6" i="8"/>
  <c r="AQ8" i="8"/>
  <c r="AQ14" i="8" s="1"/>
  <c r="AQ18" i="8" s="1"/>
  <c r="X11" i="7" s="1"/>
  <c r="AQ7" i="8"/>
  <c r="AQ13" i="8" s="1"/>
  <c r="AQ17" i="8" s="1"/>
  <c r="X2" i="7" s="1"/>
  <c r="AQ9" i="8"/>
  <c r="AQ15" i="8" s="1"/>
  <c r="AQ19" i="8" s="1"/>
  <c r="X12" i="7" s="1"/>
  <c r="AR9" i="8"/>
  <c r="AR15" i="8" s="1"/>
  <c r="AR19" i="8" s="1"/>
  <c r="Y12" i="7" s="1"/>
  <c r="AR8" i="8"/>
  <c r="AR14" i="8" s="1"/>
  <c r="AR18" i="8" s="1"/>
  <c r="Y11" i="7" s="1"/>
  <c r="AR7" i="8"/>
  <c r="AR13" i="8" s="1"/>
  <c r="AR17" i="8" s="1"/>
  <c r="Y2" i="7" s="1"/>
  <c r="AT6" i="8" l="1"/>
  <c r="AT7" i="8" s="1"/>
  <c r="AT13" i="8" s="1"/>
  <c r="AT17" i="8" s="1"/>
  <c r="AA2" i="7" s="1"/>
  <c r="AQ2" i="11"/>
  <c r="AU6" i="8"/>
  <c r="AT9" i="8" l="1"/>
  <c r="AT15" i="8" s="1"/>
  <c r="AT19" i="8" s="1"/>
  <c r="AA12" i="7" s="1"/>
  <c r="AT8" i="8"/>
  <c r="AT14" i="8" s="1"/>
  <c r="AT18" i="8" s="1"/>
  <c r="AA11" i="7" s="1"/>
  <c r="AS6" i="8"/>
  <c r="AS9" i="8" s="1"/>
  <c r="AS15" i="8" s="1"/>
  <c r="AS19" i="8" s="1"/>
  <c r="Z12" i="7" s="1"/>
  <c r="AR2" i="11"/>
  <c r="AU8" i="8"/>
  <c r="AU14" i="8" s="1"/>
  <c r="AU18" i="8" s="1"/>
  <c r="AB11" i="7" s="1"/>
  <c r="AU9" i="8"/>
  <c r="AU15" i="8" s="1"/>
  <c r="AU19" i="8" s="1"/>
  <c r="AB12" i="7" s="1"/>
  <c r="AU7" i="8"/>
  <c r="AU13" i="8" s="1"/>
  <c r="AU17" i="8" s="1"/>
  <c r="AB2" i="7" s="1"/>
  <c r="AS7" i="8"/>
  <c r="AS13" i="8" s="1"/>
  <c r="AS17" i="8" s="1"/>
  <c r="Z2" i="7" s="1"/>
  <c r="AV6" i="8"/>
  <c r="AS8" i="8" l="1"/>
  <c r="AS14" i="8" s="1"/>
  <c r="AS18" i="8" s="1"/>
  <c r="Z11" i="7" s="1"/>
  <c r="AS2" i="11"/>
  <c r="AV9" i="8"/>
  <c r="AV7" i="8"/>
  <c r="AV13" i="8" s="1"/>
  <c r="AV17" i="8" s="1"/>
  <c r="AC2" i="7" s="1"/>
  <c r="AV8" i="8"/>
  <c r="AV14" i="8" s="1"/>
  <c r="AV18" i="8" s="1"/>
  <c r="AC11" i="7" s="1"/>
  <c r="AV15" i="8"/>
  <c r="AV19" i="8" s="1"/>
  <c r="AC12" i="7" s="1"/>
  <c r="AW6" i="8"/>
  <c r="AT2" i="11" l="1"/>
  <c r="AW8" i="8"/>
  <c r="AW9" i="8"/>
  <c r="AW15" i="8" s="1"/>
  <c r="AW19" i="8" s="1"/>
  <c r="AD12" i="7" s="1"/>
  <c r="AW7" i="8"/>
  <c r="AW13" i="8" s="1"/>
  <c r="AW17" i="8" s="1"/>
  <c r="AD2" i="7" s="1"/>
  <c r="AW14" i="8"/>
  <c r="AW18" i="8" s="1"/>
  <c r="AD11" i="7" s="1"/>
  <c r="AX6" i="8"/>
  <c r="AU2" i="11" l="1"/>
  <c r="AX7" i="8"/>
  <c r="AX9" i="8"/>
  <c r="AX8" i="8"/>
  <c r="AY6" i="8"/>
  <c r="AX13" i="8"/>
  <c r="AX17" i="8" s="1"/>
  <c r="AE2" i="7" s="1"/>
  <c r="AX15" i="8"/>
  <c r="AX19" i="8" s="1"/>
  <c r="AE12" i="7" s="1"/>
  <c r="AX14" i="8"/>
  <c r="AX18" i="8" s="1"/>
  <c r="AE11" i="7" s="1"/>
  <c r="AV2" i="11" l="1"/>
  <c r="AY7" i="8"/>
  <c r="AY13" i="8" s="1"/>
  <c r="AY17" i="8" s="1"/>
  <c r="AF2" i="7" s="1"/>
  <c r="AY9" i="8"/>
  <c r="AY15" i="8" s="1"/>
  <c r="AY19" i="8" s="1"/>
  <c r="AF12" i="7" s="1"/>
  <c r="AY8" i="8"/>
  <c r="AY14" i="8" s="1"/>
  <c r="AY18" i="8" s="1"/>
  <c r="AF11" i="7" s="1"/>
  <c r="AZ6" i="8"/>
  <c r="AW2" i="11" l="1"/>
  <c r="AZ9" i="8"/>
  <c r="AZ7" i="8"/>
  <c r="AZ13" i="8" s="1"/>
  <c r="AZ17" i="8" s="1"/>
  <c r="AG2" i="7" s="1"/>
  <c r="AZ8" i="8"/>
  <c r="AZ14" i="8" s="1"/>
  <c r="AZ18" i="8" s="1"/>
  <c r="AG11" i="7" s="1"/>
  <c r="AZ15" i="8"/>
  <c r="AZ19" i="8" s="1"/>
  <c r="AG12" i="7" s="1"/>
  <c r="BA6" i="8"/>
  <c r="AX2" i="11" l="1"/>
  <c r="AY2" i="11" s="1"/>
  <c r="AZ2" i="11" s="1"/>
  <c r="BA2" i="11" s="1"/>
  <c r="BB2" i="11" s="1"/>
  <c r="BC2" i="11" s="1"/>
  <c r="BD2" i="11" s="1"/>
  <c r="BE2" i="11" s="1"/>
  <c r="BF2" i="11" s="1"/>
  <c r="BG2" i="11" s="1"/>
  <c r="BH2" i="11" s="1"/>
  <c r="BI2" i="11" s="1"/>
  <c r="BJ2" i="11" s="1"/>
  <c r="BK2" i="11" s="1"/>
  <c r="BL2" i="11" s="1"/>
  <c r="BM2" i="11" s="1"/>
  <c r="BA8" i="8"/>
  <c r="BA9" i="8"/>
  <c r="BA7" i="8"/>
  <c r="BA13" i="8" s="1"/>
  <c r="BA17" i="8" s="1"/>
  <c r="AH2" i="7" s="1"/>
  <c r="BA14" i="8"/>
  <c r="BA18" i="8" s="1"/>
  <c r="AH11" i="7" s="1"/>
  <c r="BA15" i="8"/>
  <c r="BA19" i="8" s="1"/>
  <c r="AH12" i="7" s="1"/>
  <c r="BB6" i="8"/>
  <c r="BN2" i="11" l="1"/>
  <c r="BO2" i="11" s="1"/>
  <c r="BP2" i="11"/>
  <c r="BQ2" i="11"/>
  <c r="BR2" i="11" s="1"/>
  <c r="BS2" i="11" s="1"/>
  <c r="BB9" i="8"/>
  <c r="BB8" i="8"/>
  <c r="BB14" i="8" s="1"/>
  <c r="BB18" i="8" s="1"/>
  <c r="AI11" i="7" s="1"/>
  <c r="BB7" i="8"/>
  <c r="BB13" i="8" s="1"/>
  <c r="BB17" i="8" s="1"/>
  <c r="AI2" i="7" s="1"/>
  <c r="BB15" i="8"/>
  <c r="BB19" i="8" s="1"/>
  <c r="AI12" i="7" s="1"/>
  <c r="BD6" i="8" l="1"/>
  <c r="BC6" i="8"/>
  <c r="BE6" i="8"/>
  <c r="BE9" i="8" l="1"/>
  <c r="BE8" i="8"/>
  <c r="BE7" i="8"/>
  <c r="BC7" i="8"/>
  <c r="BC13" i="8" s="1"/>
  <c r="BC17" i="8" s="1"/>
  <c r="AJ2" i="7" s="1"/>
  <c r="BC8" i="8"/>
  <c r="BC14" i="8" s="1"/>
  <c r="BC18" i="8" s="1"/>
  <c r="AJ11" i="7" s="1"/>
  <c r="BC9" i="8"/>
  <c r="BC15" i="8" s="1"/>
  <c r="BC19" i="8" s="1"/>
  <c r="AJ12" i="7" s="1"/>
  <c r="BD7" i="8"/>
  <c r="BD13" i="8" s="1"/>
  <c r="BD17" i="8" s="1"/>
  <c r="AK2" i="7" s="1"/>
  <c r="BD8" i="8"/>
  <c r="BD14" i="8" s="1"/>
  <c r="BD18" i="8" s="1"/>
  <c r="AK11" i="7" s="1"/>
  <c r="BD9" i="8"/>
  <c r="BD15" i="8" s="1"/>
  <c r="BD19" i="8" s="1"/>
  <c r="AK12" i="7" s="1"/>
  <c r="BE15" i="8"/>
  <c r="BE19" i="8" s="1"/>
  <c r="AL12" i="7" s="1"/>
  <c r="BE14" i="8"/>
  <c r="BE18" i="8" s="1"/>
  <c r="AL11" i="7" s="1"/>
  <c r="BE13" i="8"/>
  <c r="BE17" i="8" s="1"/>
  <c r="AL2" i="7" s="1"/>
  <c r="BF6" i="8"/>
  <c r="BF8" i="8" l="1"/>
  <c r="BF14" i="8" s="1"/>
  <c r="BF18" i="8" s="1"/>
  <c r="AM11" i="7" s="1"/>
  <c r="BF9" i="8"/>
  <c r="BF7" i="8"/>
  <c r="BF13" i="8" s="1"/>
  <c r="BF17" i="8" s="1"/>
  <c r="AM2" i="7" s="1"/>
  <c r="BF15" i="8"/>
  <c r="BF19" i="8" s="1"/>
  <c r="AM12" i="7" s="1"/>
  <c r="BG6" i="8"/>
  <c r="BG9" i="8" l="1"/>
  <c r="BG8" i="8"/>
  <c r="BG14" i="8" s="1"/>
  <c r="BG18" i="8" s="1"/>
  <c r="AN11" i="7" s="1"/>
  <c r="BG7" i="8"/>
  <c r="BG15" i="8"/>
  <c r="BG19" i="8" s="1"/>
  <c r="AN12" i="7" s="1"/>
  <c r="BG13" i="8"/>
  <c r="BG17" i="8" s="1"/>
  <c r="AN2" i="7" s="1"/>
  <c r="BH6" i="8"/>
  <c r="BH8" i="8" l="1"/>
  <c r="BH14" i="8" s="1"/>
  <c r="BH18" i="8" s="1"/>
  <c r="AO11" i="7" s="1"/>
  <c r="BH7" i="8"/>
  <c r="BH9" i="8"/>
  <c r="BH13" i="8"/>
  <c r="BH17" i="8" s="1"/>
  <c r="AO2" i="7" s="1"/>
  <c r="BH15" i="8"/>
  <c r="BH19" i="8" s="1"/>
  <c r="AO12" i="7" s="1"/>
  <c r="BI6" i="8"/>
  <c r="BI8" i="8" l="1"/>
  <c r="BI9" i="8"/>
  <c r="BI15" i="8" s="1"/>
  <c r="BI19" i="8" s="1"/>
  <c r="AP12" i="7" s="1"/>
  <c r="BI7" i="8"/>
  <c r="BI13" i="8" s="1"/>
  <c r="BI17" i="8" s="1"/>
  <c r="AP2" i="7" s="1"/>
  <c r="BI14" i="8"/>
  <c r="BI18" i="8" s="1"/>
  <c r="AP11" i="7" s="1"/>
  <c r="BK6" i="8" l="1"/>
  <c r="BJ6" i="8"/>
  <c r="BL6" i="8"/>
  <c r="BL7" i="8" l="1"/>
  <c r="BL8" i="8"/>
  <c r="BL9" i="8"/>
  <c r="BL15" i="8" s="1"/>
  <c r="BL19" i="8" s="1"/>
  <c r="AS12" i="7" s="1"/>
  <c r="BJ9" i="8"/>
  <c r="BJ15" i="8" s="1"/>
  <c r="BJ19" i="8" s="1"/>
  <c r="AQ12" i="7" s="1"/>
  <c r="BJ8" i="8"/>
  <c r="BJ14" i="8" s="1"/>
  <c r="BJ18" i="8" s="1"/>
  <c r="AQ11" i="7" s="1"/>
  <c r="BJ7" i="8"/>
  <c r="BJ13" i="8" s="1"/>
  <c r="BJ17" i="8" s="1"/>
  <c r="AQ2" i="7" s="1"/>
  <c r="BK7" i="8"/>
  <c r="BK13" i="8" s="1"/>
  <c r="BK17" i="8" s="1"/>
  <c r="AR2" i="7" s="1"/>
  <c r="BK8" i="8"/>
  <c r="BK14" i="8" s="1"/>
  <c r="BK18" i="8" s="1"/>
  <c r="AR11" i="7" s="1"/>
  <c r="BK9" i="8"/>
  <c r="BK15" i="8" s="1"/>
  <c r="BK19" i="8" s="1"/>
  <c r="AR12" i="7" s="1"/>
  <c r="BL14" i="8"/>
  <c r="BL18" i="8" s="1"/>
  <c r="AS11" i="7" s="1"/>
  <c r="BL13" i="8"/>
  <c r="BL17" i="8" s="1"/>
  <c r="AS2" i="7" s="1"/>
  <c r="BM6" i="8"/>
  <c r="BM7" i="8" l="1"/>
  <c r="BM8" i="8"/>
  <c r="BM9" i="8"/>
  <c r="BM15" i="8" s="1"/>
  <c r="BM19" i="8" s="1"/>
  <c r="AT12" i="7" s="1"/>
  <c r="BN6" i="8"/>
  <c r="BM14" i="8"/>
  <c r="BM18" i="8" s="1"/>
  <c r="AT11" i="7" s="1"/>
  <c r="BM13" i="8"/>
  <c r="BM17" i="8" s="1"/>
  <c r="AT2" i="7" s="1"/>
  <c r="BN8" i="8" l="1"/>
  <c r="BN14" i="8" s="1"/>
  <c r="BN18" i="8" s="1"/>
  <c r="AU11" i="7" s="1"/>
  <c r="BN7" i="8"/>
  <c r="BN9" i="8"/>
  <c r="BN15" i="8" s="1"/>
  <c r="BN19" i="8" s="1"/>
  <c r="AU12" i="7" s="1"/>
  <c r="BO6" i="8"/>
  <c r="BN13" i="8"/>
  <c r="BN17" i="8" s="1"/>
  <c r="AU2" i="7" s="1"/>
  <c r="BO7" i="8" l="1"/>
  <c r="BO8" i="8"/>
  <c r="BO9" i="8"/>
  <c r="BO15" i="8" s="1"/>
  <c r="BO19" i="8" s="1"/>
  <c r="AV12" i="7" s="1"/>
  <c r="BO13" i="8"/>
  <c r="BO17" i="8" s="1"/>
  <c r="AV2" i="7" s="1"/>
  <c r="BO14" i="8"/>
  <c r="BO18" i="8" s="1"/>
  <c r="AV11" i="7" s="1"/>
  <c r="BP6" i="8"/>
  <c r="BP9" i="8" l="1"/>
  <c r="BP7" i="8"/>
  <c r="BP8" i="8"/>
  <c r="BP14" i="8" s="1"/>
  <c r="BP18" i="8" s="1"/>
  <c r="AW11" i="7" s="1"/>
  <c r="BP15" i="8"/>
  <c r="BP19" i="8" s="1"/>
  <c r="AW12" i="7" s="1"/>
  <c r="BQ6" i="8"/>
  <c r="BP13" i="8"/>
  <c r="BP17" i="8" s="1"/>
  <c r="AW2" i="7" s="1"/>
  <c r="BQ7" i="8" l="1"/>
  <c r="BQ8" i="8"/>
  <c r="BQ14" i="8" s="1"/>
  <c r="BQ18" i="8" s="1"/>
  <c r="AX11" i="7" s="1"/>
  <c r="BQ9" i="8"/>
  <c r="BQ15" i="8" s="1"/>
  <c r="BQ19" i="8" s="1"/>
  <c r="AX12" i="7" s="1"/>
  <c r="BQ13" i="8"/>
  <c r="BQ17" i="8" s="1"/>
  <c r="AX2" i="7" s="1"/>
  <c r="BR6" i="8"/>
  <c r="BR7" i="8" l="1"/>
  <c r="BR9" i="8"/>
  <c r="BR8" i="8"/>
  <c r="BR14" i="8" s="1"/>
  <c r="BR18" i="8" s="1"/>
  <c r="AY11" i="7" s="1"/>
  <c r="BR13" i="8"/>
  <c r="BR17" i="8" s="1"/>
  <c r="AY2" i="7" s="1"/>
  <c r="BR15" i="8"/>
  <c r="BR19" i="8" s="1"/>
  <c r="AY12" i="7" s="1"/>
  <c r="BS6" i="8"/>
  <c r="BS8" i="8" l="1"/>
  <c r="BS7" i="8"/>
  <c r="BS9" i="8"/>
  <c r="BS14" i="8"/>
  <c r="BS18" i="8" s="1"/>
  <c r="AZ11" i="7" s="1"/>
  <c r="BS13" i="8"/>
  <c r="BS17" i="8" s="1"/>
  <c r="AZ2" i="7" s="1"/>
  <c r="BS15" i="8"/>
  <c r="BS19" i="8" s="1"/>
  <c r="AZ12" i="7" s="1"/>
</calcChain>
</file>

<file path=xl/sharedStrings.xml><?xml version="1.0" encoding="utf-8"?>
<sst xmlns="http://schemas.openxmlformats.org/spreadsheetml/2006/main" count="107" uniqueCount="77">
  <si>
    <t>BLAPE BAU LULUCF Anthropogenic Pollutant Emissions</t>
  </si>
  <si>
    <t>Source:</t>
  </si>
  <si>
    <t>UNFCCC</t>
  </si>
  <si>
    <t>Third Biennial Update Report</t>
  </si>
  <si>
    <t>https://www.climatewatchdata.org/ghg-emissions?breakBy=gas&amp;gases=ch4%2Cco2%2Cf-gas%2Cn2o&amp;regions=IDN&amp;source=Climate%20Watch</t>
  </si>
  <si>
    <t>Year</t>
  </si>
  <si>
    <t>CO2</t>
  </si>
  <si>
    <t>CH4</t>
  </si>
  <si>
    <t>N2O</t>
  </si>
  <si>
    <t>CF4</t>
  </si>
  <si>
    <t>CO</t>
  </si>
  <si>
    <t>NOx</t>
  </si>
  <si>
    <t>SOx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</si>
  <si>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</si>
  <si>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</si>
  <si>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</si>
  <si>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</si>
  <si>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</si>
  <si>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</si>
  <si>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</si>
  <si>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</si>
  <si>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</si>
  <si>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</si>
  <si>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</si>
  <si>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F gases (g CO2e)</t>
  </si>
  <si>
    <t>N20</t>
  </si>
  <si>
    <t>Non CO2 Biomass Burning GL &amp; GL</t>
  </si>
  <si>
    <t>HFCs</t>
  </si>
  <si>
    <t>PFCs</t>
  </si>
  <si>
    <t>SF6</t>
  </si>
  <si>
    <t>Other halogenated gases with CO2 equivalent conversion factors</t>
  </si>
  <si>
    <t>Other halogenated gases without CO2 equivalent conversion factors</t>
  </si>
  <si>
    <t>Nox</t>
  </si>
  <si>
    <t>NMVOCs</t>
  </si>
  <si>
    <t>SO2</t>
  </si>
  <si>
    <t>CO2e (g)</t>
  </si>
  <si>
    <t>total</t>
  </si>
  <si>
    <t>AFOLU</t>
  </si>
  <si>
    <t>Sector</t>
  </si>
  <si>
    <t>Global Warming Potential (g CO2e/g pollutant)</t>
  </si>
  <si>
    <t>one hundred years</t>
  </si>
  <si>
    <t>VOC</t>
  </si>
  <si>
    <t>PM10</t>
  </si>
  <si>
    <t>PM25</t>
  </si>
  <si>
    <t>BC</t>
  </si>
  <si>
    <t>OC</t>
  </si>
  <si>
    <t>F gases</t>
  </si>
  <si>
    <t>agriculture sector</t>
  </si>
  <si>
    <t>forestry sector</t>
  </si>
  <si>
    <t>FOLU Emissions (Mt CO2e)</t>
  </si>
  <si>
    <t>Total</t>
  </si>
  <si>
    <t>Share of CO2 (g)</t>
  </si>
  <si>
    <t>Share of CH4 (g)</t>
  </si>
  <si>
    <t>Share of N2O (g)</t>
  </si>
  <si>
    <t>Global Warming Potential</t>
  </si>
  <si>
    <t>CO2e</t>
  </si>
  <si>
    <t>https://niwa.co.nz/atmosphere/what-are-global-warming-potentialtm-and-co2-equivalent-emissionstm</t>
  </si>
  <si>
    <t>Global Warming Potentials</t>
  </si>
  <si>
    <t>Global Forest Watch</t>
  </si>
  <si>
    <t>https://www.globalforestwatch.org/dashboards/country/IDN/?category=climate</t>
  </si>
  <si>
    <t>https://www.edf.org/sites/default/files/content/emission_equivalency_tool_documentation_methodology_23062022.pdf</t>
  </si>
  <si>
    <t xml:space="preserve">agriculture and forestry 01T03 </t>
  </si>
  <si>
    <t>Global Watch FOLU Emissions (Mg CO2e)</t>
  </si>
  <si>
    <t>t to g CO2e</t>
  </si>
  <si>
    <t>CO2 (by t CO2e)</t>
  </si>
  <si>
    <t>CH4 (t Co2e)</t>
  </si>
  <si>
    <t>N2O(t CO2e)</t>
  </si>
  <si>
    <t>CO2 (by g CO2e)</t>
  </si>
  <si>
    <t>CH4 (g Co2e)</t>
  </si>
  <si>
    <t>N2O(g CO2e)</t>
  </si>
  <si>
    <t>CO2 (g pollutant)</t>
  </si>
  <si>
    <t>CH4 (g pollutant)</t>
  </si>
  <si>
    <t>N2O (g pollutant)</t>
  </si>
  <si>
    <t>Average annual removal (Harris, 2021) (Mt CO2e/year)</t>
  </si>
  <si>
    <t>Average annual removal (Mg CO2e/year)</t>
  </si>
  <si>
    <t>Net Emissions</t>
  </si>
  <si>
    <t>Smoothing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</si>
</sst>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4" fontId="3" fillId="0" borderId="0" xfId="0" applyNumberFormat="1" applyFont="1"/>
    <xf numFmtId="11" fontId="4" fillId="0" borderId="0" xfId="0" applyNumberFormat="1" applyFont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11" fontId="1" fillId="2" borderId="2" xfId="0" applyNumberFormat="1" applyFont="1" applyFill="1" applyBorder="1" applyAlignment="1">
      <alignment horizontal="left"/>
    </xf>
    <xf numFmtId="11" fontId="1" fillId="2" borderId="2" xfId="0" applyNumberFormat="1" applyFont="1" applyFill="1" applyBorder="1" applyAlignment="1">
      <alignment horizontal="left" vertical="center"/>
    </xf>
    <xf numFmtId="11" fontId="1" fillId="2" borderId="2" xfId="0" applyNumberFormat="1" applyFont="1" applyFill="1" applyBorder="1" applyAlignment="1">
      <alignment horizontal="left" vertical="center" wrapText="1"/>
    </xf>
    <xf numFmtId="11" fontId="1" fillId="2" borderId="7" xfId="0" applyNumberFormat="1" applyFont="1" applyFill="1" applyBorder="1" applyAlignment="1">
      <alignment horizontal="left"/>
    </xf>
    <xf numFmtId="11" fontId="1" fillId="2" borderId="7" xfId="0" applyNumberFormat="1" applyFont="1" applyFill="1" applyBorder="1" applyAlignment="1">
      <alignment horizontal="left" vertical="center"/>
    </xf>
    <xf numFmtId="0" fontId="0" fillId="2" borderId="9" xfId="0" applyFill="1" applyBorder="1"/>
    <xf numFmtId="11" fontId="1" fillId="2" borderId="9" xfId="0" applyNumberFormat="1" applyFont="1" applyFill="1" applyBorder="1" applyAlignment="1">
      <alignment horizontal="left"/>
    </xf>
    <xf numFmtId="0" fontId="7" fillId="3" borderId="0" xfId="0" applyFont="1" applyFill="1" applyAlignment="1">
      <alignment wrapText="1"/>
    </xf>
    <xf numFmtId="0" fontId="7" fillId="3" borderId="0" xfId="0" applyFont="1" applyFill="1" applyAlignment="1">
      <alignment horizontal="center" vertical="top" wrapText="1"/>
    </xf>
    <xf numFmtId="0" fontId="7" fillId="3" borderId="0" xfId="0" applyFont="1" applyFill="1"/>
    <xf numFmtId="0" fontId="8" fillId="3" borderId="0" xfId="0" applyFont="1" applyFill="1" applyAlignment="1">
      <alignment horizontal="center"/>
    </xf>
    <xf numFmtId="0" fontId="10" fillId="0" borderId="0" xfId="0" applyFont="1"/>
    <xf numFmtId="0" fontId="9" fillId="0" borderId="0" xfId="1"/>
    <xf numFmtId="0" fontId="3" fillId="2" borderId="2" xfId="0" applyFont="1" applyFill="1" applyBorder="1"/>
    <xf numFmtId="0" fontId="3" fillId="2" borderId="7" xfId="0" applyFont="1" applyFill="1" applyBorder="1"/>
    <xf numFmtId="11" fontId="0" fillId="0" borderId="0" xfId="0" applyNumberFormat="1"/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4" fontId="3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11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/>
    <xf numFmtId="11" fontId="3" fillId="0" borderId="0" xfId="0" applyNumberFormat="1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10" fontId="0" fillId="0" borderId="0" xfId="0" applyNumberFormat="1"/>
    <xf numFmtId="11" fontId="11" fillId="0" borderId="0" xfId="0" applyNumberFormat="1" applyFont="1"/>
    <xf numFmtId="0" fontId="13" fillId="0" borderId="0" xfId="0" applyFont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13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  <xf numFmtId="11" fontId="0" fillId="0" borderId="0" xfId="0" applyNumberFormat="1" applyAlignment="1">
      <alignment horizontal="right"/>
    </xf>
    <xf numFmtId="11" fontId="1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forestwatch.org/dashboards/country/IDN/?category=climate" TargetMode="External"/><Relationship Id="rId2" Type="http://schemas.openxmlformats.org/officeDocument/2006/relationships/hyperlink" Target="https://niwa.co.nz/atmosphere/what-are-global-warming-potentialtm-and-co2-equivalent-emissionstm" TargetMode="External"/><Relationship Id="rId1" Type="http://schemas.openxmlformats.org/officeDocument/2006/relationships/hyperlink" Target="https://www.climatewatchdata.org/ghg-emissions?breakBy=gas&amp;gases=ch4%2Cco2%2Cf-gas%2Cn2o&amp;regions=IDN&amp;source=Climate%20Watch" TargetMode="External"/><Relationship Id="rId4" Type="http://schemas.openxmlformats.org/officeDocument/2006/relationships/hyperlink" Target="https://www.edf.org/sites/default/files/content/emission_equivalency_tool_documentation_methodology_23062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3"/>
  <sheetViews>
    <sheetView workbookViewId="0">
      <selection activeCell="F30" sqref="F30"/>
    </sheetView>
  </sheetViews>
  <sheetFormatPr baseColWidth="10" defaultColWidth="14.5" defaultRowHeight="15" customHeight="1" x14ac:dyDescent="0.2"/>
  <cols>
    <col min="1" max="1" width="9.5" customWidth="1"/>
    <col min="2" max="2" width="51.5" customWidth="1"/>
    <col min="3" max="26" width="8.6640625" customWidth="1"/>
  </cols>
  <sheetData>
    <row r="1" spans="1:2" ht="14.25" customHeight="1" x14ac:dyDescent="0.2">
      <c r="A1" s="1" t="s">
        <v>0</v>
      </c>
    </row>
    <row r="2" spans="1:2" ht="14.25" customHeight="1" x14ac:dyDescent="0.2"/>
    <row r="3" spans="1:2" ht="14.25" customHeight="1" x14ac:dyDescent="0.2">
      <c r="A3" s="1" t="s">
        <v>1</v>
      </c>
      <c r="B3" s="2" t="s">
        <v>2</v>
      </c>
    </row>
    <row r="4" spans="1:2" ht="14.25" customHeight="1" x14ac:dyDescent="0.2">
      <c r="B4" s="3">
        <v>2021</v>
      </c>
    </row>
    <row r="5" spans="1:2" ht="14.25" customHeight="1" x14ac:dyDescent="0.2">
      <c r="B5" s="2" t="s">
        <v>3</v>
      </c>
    </row>
    <row r="6" spans="1:2" ht="14.25" customHeight="1" x14ac:dyDescent="0.2">
      <c r="B6" s="4" t="s">
        <v>4</v>
      </c>
    </row>
    <row r="7" spans="1:2" ht="14.25" customHeight="1" x14ac:dyDescent="0.2"/>
    <row r="8" spans="1:2" ht="14.25" customHeight="1" x14ac:dyDescent="0.2">
      <c r="A8" s="20" t="s">
        <v>1</v>
      </c>
      <c r="B8" s="2" t="s">
        <v>58</v>
      </c>
    </row>
    <row r="9" spans="1:2" ht="14.25" customHeight="1" x14ac:dyDescent="0.2">
      <c r="A9" s="2"/>
      <c r="B9" s="34">
        <v>2021</v>
      </c>
    </row>
    <row r="10" spans="1:2" ht="14.25" customHeight="1" x14ac:dyDescent="0.2">
      <c r="B10" s="21" t="s">
        <v>59</v>
      </c>
    </row>
    <row r="11" spans="1:2" ht="14.25" customHeight="1" x14ac:dyDescent="0.2">
      <c r="B11" s="21" t="s">
        <v>60</v>
      </c>
    </row>
    <row r="12" spans="1:2" ht="14.25" customHeight="1" x14ac:dyDescent="0.2">
      <c r="B12" s="21"/>
    </row>
    <row r="13" spans="1:2" ht="14.25" customHeight="1" x14ac:dyDescent="0.2">
      <c r="A13" s="20" t="s">
        <v>1</v>
      </c>
    </row>
    <row r="14" spans="1:2" ht="14.25" customHeight="1" x14ac:dyDescent="0.2">
      <c r="B14" s="2" t="s">
        <v>57</v>
      </c>
    </row>
    <row r="15" spans="1:2" ht="14.25" customHeight="1" x14ac:dyDescent="0.2">
      <c r="B15" s="21" t="s">
        <v>56</v>
      </c>
    </row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</sheetData>
  <hyperlinks>
    <hyperlink ref="B6" r:id="rId1" xr:uid="{00000000-0004-0000-0000-000000000000}"/>
    <hyperlink ref="B15" r:id="rId2" xr:uid="{BA9E64A2-C784-144C-9086-2C15ECF48502}"/>
    <hyperlink ref="B10" r:id="rId3" xr:uid="{825427B7-CEF8-CC46-8F21-A3C87CC4EB34}"/>
    <hyperlink ref="B11" r:id="rId4" xr:uid="{95D448A2-BF8A-4943-AD37-B31B443DFEF3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F182-DBC3-7547-BCE8-218E0100505E}">
  <dimension ref="A1:P21"/>
  <sheetViews>
    <sheetView zoomScale="110" zoomScaleNormal="110" workbookViewId="0">
      <selection activeCell="N9" sqref="N9"/>
    </sheetView>
  </sheetViews>
  <sheetFormatPr baseColWidth="10" defaultRowHeight="15" x14ac:dyDescent="0.2"/>
  <cols>
    <col min="1" max="1" width="28.83203125" customWidth="1"/>
    <col min="2" max="2" width="32.6640625" customWidth="1"/>
  </cols>
  <sheetData>
    <row r="1" spans="1:16" ht="136" x14ac:dyDescent="0.2">
      <c r="A1" s="39" t="s">
        <v>37</v>
      </c>
      <c r="B1" s="41" t="s">
        <v>38</v>
      </c>
      <c r="C1" s="7" t="s">
        <v>6</v>
      </c>
      <c r="D1" s="7" t="s">
        <v>7</v>
      </c>
      <c r="E1" s="7" t="s">
        <v>25</v>
      </c>
      <c r="F1" s="7" t="s">
        <v>9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10</v>
      </c>
      <c r="O1" s="7" t="s">
        <v>33</v>
      </c>
      <c r="P1" s="8" t="s">
        <v>34</v>
      </c>
    </row>
    <row r="2" spans="1:16" ht="16" thickBot="1" x14ac:dyDescent="0.25">
      <c r="A2" s="40"/>
      <c r="B2" s="42"/>
      <c r="C2" s="43" t="s">
        <v>35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ht="17" thickBot="1" x14ac:dyDescent="0.25">
      <c r="A3" s="44" t="s">
        <v>61</v>
      </c>
      <c r="B3" s="22" t="s">
        <v>47</v>
      </c>
      <c r="C3" s="9">
        <v>160420000000000</v>
      </c>
      <c r="D3" s="9">
        <v>54965000000000</v>
      </c>
      <c r="E3" s="9">
        <v>43669000000000</v>
      </c>
      <c r="F3" s="10">
        <v>0</v>
      </c>
      <c r="G3" s="10">
        <v>2077000000000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66000000000</v>
      </c>
      <c r="N3" s="11">
        <v>2436000000000</v>
      </c>
      <c r="O3" s="11">
        <v>0</v>
      </c>
      <c r="P3" s="11">
        <v>0</v>
      </c>
    </row>
    <row r="4" spans="1:16" ht="17" thickBot="1" x14ac:dyDescent="0.25">
      <c r="A4" s="45"/>
      <c r="B4" s="23" t="s">
        <v>48</v>
      </c>
      <c r="C4" s="12">
        <v>16410290000</v>
      </c>
      <c r="D4" s="12">
        <v>14573000000000</v>
      </c>
      <c r="E4" s="12">
        <v>0</v>
      </c>
      <c r="F4" s="10">
        <v>0</v>
      </c>
      <c r="G4" s="13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</row>
    <row r="5" spans="1:16" ht="17" thickBot="1" x14ac:dyDescent="0.25">
      <c r="A5" s="46"/>
      <c r="B5" s="14" t="s">
        <v>36</v>
      </c>
      <c r="C5" s="15">
        <f>C3+C4</f>
        <v>160436410290000</v>
      </c>
      <c r="D5" s="15">
        <f>D3+D4</f>
        <v>69538000000000</v>
      </c>
      <c r="E5" s="15">
        <v>43669000000000</v>
      </c>
      <c r="F5" s="10">
        <v>0</v>
      </c>
      <c r="G5" s="15">
        <v>2077000000000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66000000000</v>
      </c>
      <c r="N5" s="11">
        <v>2436000000000</v>
      </c>
      <c r="O5" s="11">
        <v>0</v>
      </c>
      <c r="P5" s="11">
        <v>0</v>
      </c>
    </row>
    <row r="9" spans="1:16" ht="32" x14ac:dyDescent="0.2">
      <c r="A9" s="16" t="s">
        <v>39</v>
      </c>
      <c r="B9" s="17" t="s">
        <v>40</v>
      </c>
    </row>
    <row r="10" spans="1:16" x14ac:dyDescent="0.2">
      <c r="A10" s="18" t="s">
        <v>6</v>
      </c>
      <c r="B10" s="19">
        <v>1</v>
      </c>
      <c r="E10" s="2" t="s">
        <v>50</v>
      </c>
      <c r="F10" s="24">
        <f>SUM(C5:E5)</f>
        <v>273643410290000</v>
      </c>
    </row>
    <row r="11" spans="1:16" x14ac:dyDescent="0.2">
      <c r="A11" s="18" t="s">
        <v>41</v>
      </c>
      <c r="B11" s="19">
        <v>0</v>
      </c>
      <c r="E11" s="2" t="s">
        <v>6</v>
      </c>
      <c r="F11" s="36">
        <f>C5/F10</f>
        <v>0.58629736458836612</v>
      </c>
    </row>
    <row r="12" spans="1:16" x14ac:dyDescent="0.2">
      <c r="A12" s="18" t="s">
        <v>10</v>
      </c>
      <c r="B12" s="19">
        <v>0</v>
      </c>
      <c r="E12" s="2" t="s">
        <v>7</v>
      </c>
      <c r="F12" s="36">
        <f>D5/F10</f>
        <v>0.25411903734975921</v>
      </c>
    </row>
    <row r="13" spans="1:16" x14ac:dyDescent="0.2">
      <c r="A13" s="18" t="s">
        <v>11</v>
      </c>
      <c r="B13" s="19">
        <v>0</v>
      </c>
      <c r="E13" s="2" t="s">
        <v>8</v>
      </c>
      <c r="F13" s="36">
        <f>E5/F10</f>
        <v>0.15958359806187461</v>
      </c>
    </row>
    <row r="14" spans="1:16" x14ac:dyDescent="0.2">
      <c r="A14" s="18" t="s">
        <v>42</v>
      </c>
      <c r="B14" s="19">
        <v>0</v>
      </c>
    </row>
    <row r="15" spans="1:16" x14ac:dyDescent="0.2">
      <c r="A15" s="18" t="s">
        <v>43</v>
      </c>
      <c r="B15" s="19">
        <v>0</v>
      </c>
    </row>
    <row r="16" spans="1:16" x14ac:dyDescent="0.2">
      <c r="A16" s="18" t="s">
        <v>12</v>
      </c>
      <c r="B16" s="19">
        <v>0</v>
      </c>
    </row>
    <row r="17" spans="1:2" x14ac:dyDescent="0.2">
      <c r="A17" s="18" t="s">
        <v>44</v>
      </c>
      <c r="B17" s="19">
        <v>0</v>
      </c>
    </row>
    <row r="18" spans="1:2" x14ac:dyDescent="0.2">
      <c r="A18" s="18" t="s">
        <v>45</v>
      </c>
      <c r="B18" s="19">
        <v>0</v>
      </c>
    </row>
    <row r="19" spans="1:2" x14ac:dyDescent="0.2">
      <c r="A19" s="18" t="s">
        <v>7</v>
      </c>
      <c r="B19" s="19">
        <v>28</v>
      </c>
    </row>
    <row r="20" spans="1:2" x14ac:dyDescent="0.2">
      <c r="A20" s="18" t="s">
        <v>8</v>
      </c>
      <c r="B20" s="19">
        <v>265</v>
      </c>
    </row>
    <row r="21" spans="1:2" x14ac:dyDescent="0.2">
      <c r="A21" s="18" t="s">
        <v>46</v>
      </c>
      <c r="B21" s="19">
        <v>1</v>
      </c>
    </row>
  </sheetData>
  <mergeCells count="4">
    <mergeCell ref="A1:A2"/>
    <mergeCell ref="B1:B2"/>
    <mergeCell ref="C2:P2"/>
    <mergeCell ref="A3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Z1000"/>
  <sheetViews>
    <sheetView workbookViewId="0">
      <selection activeCell="B19" sqref="B19:B20"/>
    </sheetView>
  </sheetViews>
  <sheetFormatPr baseColWidth="10" defaultColWidth="14.5" defaultRowHeight="15" customHeight="1" x14ac:dyDescent="0.2"/>
  <cols>
    <col min="1" max="1" width="16.6640625" customWidth="1"/>
    <col min="2" max="17" width="11.33203125" customWidth="1"/>
    <col min="18" max="32" width="8.6640625" customWidth="1"/>
  </cols>
  <sheetData>
    <row r="1" spans="1:52" ht="14.25" customHeight="1" x14ac:dyDescent="0.2">
      <c r="A1" s="2" t="s">
        <v>5</v>
      </c>
      <c r="B1" s="2">
        <v>2019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52" ht="14.25" customHeight="1" x14ac:dyDescent="0.2">
      <c r="A2" s="5" t="s">
        <v>13</v>
      </c>
      <c r="B2" s="6">
        <f>UNFCCC!C5</f>
        <v>160436410290000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</row>
    <row r="3" spans="1:52" ht="14.25" customHeight="1" x14ac:dyDescent="0.2">
      <c r="A3" s="5" t="s">
        <v>14</v>
      </c>
      <c r="B3" s="6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</row>
    <row r="4" spans="1:52" ht="14.25" customHeight="1" x14ac:dyDescent="0.2">
      <c r="A4" s="5" t="s">
        <v>15</v>
      </c>
      <c r="B4" s="6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</row>
    <row r="5" spans="1:52" ht="14.25" customHeight="1" x14ac:dyDescent="0.2">
      <c r="A5" s="5" t="s">
        <v>16</v>
      </c>
      <c r="B5" s="6">
        <v>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ht="14.25" customHeight="1" x14ac:dyDescent="0.2">
      <c r="A6" s="5" t="s">
        <v>17</v>
      </c>
      <c r="B6" s="6">
        <v>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spans="1:52" ht="14.25" customHeight="1" x14ac:dyDescent="0.2">
      <c r="A7" s="5" t="s">
        <v>18</v>
      </c>
      <c r="B7" s="6"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</row>
    <row r="8" spans="1:52" ht="14.25" customHeight="1" x14ac:dyDescent="0.2">
      <c r="A8" s="5" t="s">
        <v>19</v>
      </c>
      <c r="B8" s="6"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</row>
    <row r="9" spans="1:52" ht="14.25" customHeight="1" x14ac:dyDescent="0.2">
      <c r="A9" s="5" t="s">
        <v>20</v>
      </c>
      <c r="B9" s="6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spans="1:52" ht="14.25" customHeight="1" x14ac:dyDescent="0.2">
      <c r="A10" s="5" t="s">
        <v>21</v>
      </c>
      <c r="B10" s="6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52" ht="14.25" customHeight="1" x14ac:dyDescent="0.2">
      <c r="A11" s="5" t="s">
        <v>22</v>
      </c>
      <c r="B11" s="6">
        <f>UNFCCC!D5</f>
        <v>69538000000000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2" ht="14.25" customHeight="1" x14ac:dyDescent="0.2">
      <c r="A12" s="5" t="s">
        <v>23</v>
      </c>
      <c r="B12" s="6">
        <f>UNFCCC!E5</f>
        <v>43669000000000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52" ht="14.25" customHeight="1" x14ac:dyDescent="0.2">
      <c r="A13" s="5" t="s">
        <v>24</v>
      </c>
      <c r="B13" s="6"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spans="1:52" ht="14.25" customHeight="1" x14ac:dyDescent="0.2"/>
    <row r="15" spans="1:52" ht="14.25" customHeight="1" x14ac:dyDescent="0.2">
      <c r="A15" s="5"/>
    </row>
    <row r="16" spans="1:52" ht="14.25" customHeight="1" x14ac:dyDescent="0.2"/>
    <row r="17" spans="1:52" ht="14.25" customHeight="1" x14ac:dyDescent="0.2">
      <c r="A17" s="2" t="s">
        <v>5</v>
      </c>
      <c r="B17" s="2">
        <v>2019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52" ht="14.25" customHeight="1" x14ac:dyDescent="0.2">
      <c r="A18" s="2" t="s">
        <v>50</v>
      </c>
      <c r="B18" s="24">
        <f>SUM(B2:B13)</f>
        <v>273643410290000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spans="1:52" ht="14.25" customHeight="1" x14ac:dyDescent="0.2">
      <c r="A19" s="5" t="s">
        <v>51</v>
      </c>
      <c r="B19">
        <f>B2/B18</f>
        <v>0.58629736458836612</v>
      </c>
    </row>
    <row r="20" spans="1:52" ht="14.25" customHeight="1" x14ac:dyDescent="0.2">
      <c r="A20" s="5" t="s">
        <v>52</v>
      </c>
      <c r="B20">
        <f>B11/B18</f>
        <v>0.25411903734975921</v>
      </c>
    </row>
    <row r="21" spans="1:52" ht="14.25" customHeight="1" x14ac:dyDescent="0.2">
      <c r="A21" s="5" t="s">
        <v>53</v>
      </c>
      <c r="B21">
        <f>B12/B18</f>
        <v>0.15958359806187461</v>
      </c>
    </row>
    <row r="22" spans="1:52" ht="14.25" customHeight="1" x14ac:dyDescent="0.2"/>
    <row r="23" spans="1:52" ht="14.25" customHeight="1" x14ac:dyDescent="0.2"/>
    <row r="24" spans="1:52" ht="14.25" customHeight="1" x14ac:dyDescent="0.2"/>
    <row r="25" spans="1:52" ht="14.25" customHeight="1" x14ac:dyDescent="0.2"/>
    <row r="26" spans="1:52" ht="14.25" customHeight="1" x14ac:dyDescent="0.2"/>
    <row r="27" spans="1:52" ht="14.25" customHeight="1" x14ac:dyDescent="0.2"/>
    <row r="28" spans="1:52" ht="14.25" customHeight="1" x14ac:dyDescent="0.2"/>
    <row r="29" spans="1:52" ht="14.25" customHeight="1" x14ac:dyDescent="0.2"/>
    <row r="30" spans="1:52" ht="14.25" customHeight="1" x14ac:dyDescent="0.2"/>
    <row r="31" spans="1:52" ht="14.25" customHeight="1" x14ac:dyDescent="0.2"/>
    <row r="32" spans="1:5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8561-B7DA-5C4D-8B0E-0E975AC052C2}">
  <dimension ref="A1:BS52"/>
  <sheetViews>
    <sheetView workbookViewId="0">
      <selection activeCell="H12" sqref="H12"/>
    </sheetView>
  </sheetViews>
  <sheetFormatPr baseColWidth="10" defaultRowHeight="15" x14ac:dyDescent="0.2"/>
  <sheetData>
    <row r="1" spans="1:71" x14ac:dyDescent="0.2">
      <c r="A1" s="38" t="s">
        <v>5</v>
      </c>
      <c r="B1" s="47">
        <v>2001</v>
      </c>
      <c r="C1" s="47">
        <v>2002</v>
      </c>
      <c r="D1" s="47">
        <v>2003</v>
      </c>
      <c r="E1" s="47">
        <v>2004</v>
      </c>
      <c r="F1" s="47">
        <v>2005</v>
      </c>
      <c r="G1" s="47">
        <v>2006</v>
      </c>
      <c r="H1" s="47">
        <v>2007</v>
      </c>
      <c r="I1" s="47">
        <v>2008</v>
      </c>
      <c r="J1" s="47">
        <v>2009</v>
      </c>
      <c r="K1" s="47">
        <v>2010</v>
      </c>
      <c r="L1" s="47">
        <v>2011</v>
      </c>
      <c r="M1" s="47">
        <v>2012</v>
      </c>
      <c r="N1" s="47">
        <v>2013</v>
      </c>
      <c r="O1" s="47">
        <v>2014</v>
      </c>
      <c r="P1" s="47">
        <v>2015</v>
      </c>
      <c r="Q1" s="47">
        <v>2016</v>
      </c>
      <c r="R1" s="47">
        <v>2017</v>
      </c>
      <c r="S1" s="47">
        <v>2018</v>
      </c>
      <c r="T1" s="47">
        <v>2019</v>
      </c>
      <c r="U1" s="47">
        <v>2020</v>
      </c>
      <c r="V1" s="47">
        <v>2021</v>
      </c>
      <c r="W1" s="47">
        <v>2022</v>
      </c>
      <c r="X1" s="47">
        <v>2023</v>
      </c>
      <c r="Y1" s="32">
        <v>2024</v>
      </c>
      <c r="Z1" s="32">
        <v>2025</v>
      </c>
      <c r="AA1" s="32">
        <v>2026</v>
      </c>
      <c r="AB1" s="32">
        <v>2027</v>
      </c>
      <c r="AC1" s="32">
        <v>2028</v>
      </c>
      <c r="AD1" s="32">
        <v>2029</v>
      </c>
      <c r="AE1" s="32">
        <v>2030</v>
      </c>
      <c r="AF1" s="32">
        <v>2031</v>
      </c>
      <c r="AG1" s="32">
        <v>2032</v>
      </c>
      <c r="AH1" s="32">
        <v>2033</v>
      </c>
      <c r="AI1" s="32">
        <v>2034</v>
      </c>
      <c r="AJ1" s="32">
        <v>2035</v>
      </c>
      <c r="AK1" s="32">
        <v>2036</v>
      </c>
      <c r="AL1" s="32">
        <v>2037</v>
      </c>
      <c r="AM1" s="32">
        <v>2038</v>
      </c>
      <c r="AN1" s="32">
        <v>2039</v>
      </c>
      <c r="AO1" s="32">
        <v>2040</v>
      </c>
      <c r="AP1" s="32">
        <v>2041</v>
      </c>
      <c r="AQ1" s="32">
        <v>2042</v>
      </c>
      <c r="AR1" s="32">
        <v>2043</v>
      </c>
      <c r="AS1" s="32">
        <v>2044</v>
      </c>
      <c r="AT1" s="32">
        <v>2045</v>
      </c>
      <c r="AU1" s="32">
        <v>2046</v>
      </c>
      <c r="AV1" s="32">
        <v>2047</v>
      </c>
      <c r="AW1" s="32">
        <v>2048</v>
      </c>
      <c r="AX1" s="32">
        <v>2049</v>
      </c>
      <c r="AY1" s="32">
        <v>2050</v>
      </c>
      <c r="AZ1" s="32">
        <v>2051</v>
      </c>
      <c r="BA1" s="32">
        <v>2052</v>
      </c>
      <c r="BB1" s="32">
        <v>2053</v>
      </c>
      <c r="BC1" s="32">
        <v>2054</v>
      </c>
      <c r="BD1" s="32">
        <v>2055</v>
      </c>
      <c r="BE1" s="32">
        <v>2056</v>
      </c>
      <c r="BF1" s="32">
        <v>2057</v>
      </c>
      <c r="BG1" s="32">
        <v>2058</v>
      </c>
      <c r="BH1" s="32">
        <v>2059</v>
      </c>
      <c r="BI1" s="32">
        <v>2060</v>
      </c>
      <c r="BJ1" s="32">
        <v>2061</v>
      </c>
      <c r="BK1" s="32">
        <v>2062</v>
      </c>
      <c r="BL1" s="32">
        <v>2063</v>
      </c>
      <c r="BM1" s="32">
        <v>2064</v>
      </c>
      <c r="BN1" s="32">
        <v>2065</v>
      </c>
      <c r="BO1" s="32">
        <v>2066</v>
      </c>
      <c r="BP1" s="32">
        <v>2067</v>
      </c>
      <c r="BQ1" s="32">
        <v>2068</v>
      </c>
      <c r="BR1" s="32">
        <v>2069</v>
      </c>
      <c r="BS1" s="32">
        <v>2070</v>
      </c>
    </row>
    <row r="2" spans="1:71" x14ac:dyDescent="0.2">
      <c r="A2" s="38" t="s">
        <v>62</v>
      </c>
      <c r="B2" s="50">
        <v>487112043.833933</v>
      </c>
      <c r="C2" s="50">
        <v>622211848.97139394</v>
      </c>
      <c r="D2" s="50">
        <v>425249021.43136698</v>
      </c>
      <c r="E2" s="50">
        <v>968726366.71286404</v>
      </c>
      <c r="F2" s="50">
        <v>936152482.18395102</v>
      </c>
      <c r="G2" s="50">
        <v>1011574573.61526</v>
      </c>
      <c r="H2" s="50">
        <v>1145561681.9501901</v>
      </c>
      <c r="I2" s="50">
        <v>1017426049.27597</v>
      </c>
      <c r="J2" s="50">
        <v>1390891486.2902701</v>
      </c>
      <c r="K2" s="50">
        <v>1018245685.5022</v>
      </c>
      <c r="L2" s="50">
        <v>1211492988.0069599</v>
      </c>
      <c r="M2" s="50">
        <v>1746946112.55408</v>
      </c>
      <c r="N2" s="50">
        <v>854040060.67016602</v>
      </c>
      <c r="O2" s="50">
        <v>1384924175.98224</v>
      </c>
      <c r="P2" s="50">
        <v>1243010935.67065</v>
      </c>
      <c r="Q2" s="50">
        <v>1770724294.7464199</v>
      </c>
      <c r="R2" s="50">
        <v>823226714.26742995</v>
      </c>
      <c r="S2" s="50">
        <v>759612569.31596601</v>
      </c>
      <c r="T2" s="50">
        <v>737282810.694085</v>
      </c>
      <c r="U2" s="50">
        <v>591141108.38426197</v>
      </c>
      <c r="V2" s="50">
        <v>509468798.90482098</v>
      </c>
      <c r="W2" s="50">
        <v>542697155.05498004</v>
      </c>
      <c r="X2" s="50">
        <v>843375900.38146496</v>
      </c>
      <c r="Y2" s="48">
        <f>AVERAGE(B2:X2)</f>
        <v>958308472.36525762</v>
      </c>
      <c r="Z2" s="48">
        <f>AVERAGE(C2:Y2)</f>
        <v>978795273.60575008</v>
      </c>
      <c r="AA2" s="48">
        <f>AVERAGE(D2:Z2)</f>
        <v>994298900.76376557</v>
      </c>
      <c r="AB2" s="48">
        <f>AVERAGE(E2:AA2)</f>
        <v>1019040199.8651743</v>
      </c>
      <c r="AC2" s="48">
        <f>AVERAGE(F2:AB2)</f>
        <v>1021227757.828318</v>
      </c>
      <c r="AD2" s="48">
        <f>AVERAGE(G2:AC2)</f>
        <v>1024926682.8563342</v>
      </c>
      <c r="AE2" s="48">
        <f>AVERAGE(H2:AD2)</f>
        <v>1025507209.3450763</v>
      </c>
      <c r="AF2" s="48">
        <f>AVERAGE(I2:AE2)</f>
        <v>1020287449.6665933</v>
      </c>
      <c r="AG2" s="48">
        <f>AVERAGE(J2:AF2)</f>
        <v>1020411858.3792288</v>
      </c>
      <c r="AH2" s="48">
        <f>AVERAGE(K2:AG2)</f>
        <v>1004304048.4700533</v>
      </c>
      <c r="AI2" s="48">
        <f>AVERAGE(L2:AH2)</f>
        <v>1003697890.3382208</v>
      </c>
      <c r="AJ2" s="48">
        <f>AVERAGE(M2:AI2)</f>
        <v>994663320.87436259</v>
      </c>
      <c r="AK2" s="48">
        <f>AVERAGE(N2:AJ2)</f>
        <v>961955373.41002703</v>
      </c>
      <c r="AL2" s="48">
        <f>AVERAGE(O2:AK2)</f>
        <v>966647343.52915156</v>
      </c>
      <c r="AM2" s="48">
        <f>AVERAGE(P2:AL2)</f>
        <v>948461394.29206073</v>
      </c>
      <c r="AN2" s="48">
        <f>AVERAGE(Q2:AM2)</f>
        <v>935654892.49299145</v>
      </c>
      <c r="AO2" s="48">
        <f>AVERAGE(R2:AN2)</f>
        <v>899347527.17762494</v>
      </c>
      <c r="AP2" s="48">
        <f>AVERAGE(S2:AO2)</f>
        <v>902657127.73893774</v>
      </c>
      <c r="AQ2" s="48">
        <f>AVERAGE(T2:AP2)</f>
        <v>908876456.3660233</v>
      </c>
      <c r="AR2" s="48">
        <f>AVERAGE(U2:AQ2)</f>
        <v>916337049.65610766</v>
      </c>
      <c r="AS2" s="48">
        <f>AVERAGE(V2:AR2)</f>
        <v>930476003.6244489</v>
      </c>
      <c r="AT2" s="48">
        <f>AVERAGE(W2:AS2)</f>
        <v>948780664.69921541</v>
      </c>
      <c r="AU2" s="48">
        <f>AVERAGE(X2:AT2)</f>
        <v>966436469.46635604</v>
      </c>
      <c r="AV2" s="48">
        <f>AVERAGE(Y2:AU2)</f>
        <v>971786928.99178624</v>
      </c>
      <c r="AW2" s="48">
        <f>AVERAGE(Z2:AV2)</f>
        <v>972372948.84511352</v>
      </c>
      <c r="AX2" s="48">
        <f>AVERAGE(AA2:AW2)</f>
        <v>972093717.33378136</v>
      </c>
      <c r="AY2" s="48">
        <f>AVERAGE(AB2:AX2)</f>
        <v>971128274.57595599</v>
      </c>
      <c r="AZ2" s="48">
        <f>AVERAGE(AC2:AY2)</f>
        <v>969045147.38946819</v>
      </c>
      <c r="BA2" s="48">
        <f>AVERAGE(AD2:AZ2)</f>
        <v>966776338.23995304</v>
      </c>
      <c r="BB2" s="48">
        <f>AVERAGE(AE2:BA2)</f>
        <v>964248062.38706684</v>
      </c>
      <c r="BC2" s="48">
        <f>AVERAGE(AF2:BB2)</f>
        <v>961584621.21497941</v>
      </c>
      <c r="BD2" s="48">
        <f>AVERAGE(AG2:BC2)</f>
        <v>959032324.32577896</v>
      </c>
      <c r="BE2" s="48">
        <f>AVERAGE(AH2:BD2)</f>
        <v>956363648.93215084</v>
      </c>
      <c r="BF2" s="48">
        <f>AVERAGE(AI2:BE2)</f>
        <v>954279283.73485065</v>
      </c>
      <c r="BG2" s="48">
        <f>AVERAGE(AJ2:BF2)</f>
        <v>952130648.66513896</v>
      </c>
      <c r="BH2" s="48">
        <f>AVERAGE(AK2:BG2)</f>
        <v>950281402.04734647</v>
      </c>
      <c r="BI2" s="48">
        <f>AVERAGE(AL2:BH2)</f>
        <v>949773838.0750562</v>
      </c>
      <c r="BJ2" s="48">
        <f>AVERAGE(AM2:BI2)</f>
        <v>949040207.403139</v>
      </c>
      <c r="BK2" s="48">
        <f>AVERAGE(AN2:BJ2)</f>
        <v>949065373.19057691</v>
      </c>
      <c r="BL2" s="48">
        <f>AVERAGE(AO2:BK2)</f>
        <v>949648437.56873286</v>
      </c>
      <c r="BM2" s="48">
        <f>AVERAGE(AP2:BL2)</f>
        <v>951835433.67269397</v>
      </c>
      <c r="BN2" s="48">
        <f>AVERAGE(AQ2:BM2)</f>
        <v>953973620.88720524</v>
      </c>
      <c r="BO2" s="48">
        <f>AVERAGE(AR2:BN2)</f>
        <v>955934367.17073488</v>
      </c>
      <c r="BP2" s="48">
        <f>AVERAGE(AS2:BO2)</f>
        <v>957655989.67137098</v>
      </c>
      <c r="BQ2" s="48">
        <f>AVERAGE(AT2:BP2)</f>
        <v>958837728.19515014</v>
      </c>
      <c r="BR2" s="48">
        <f>AVERAGE(AU2:BQ2)</f>
        <v>959274991.8254081</v>
      </c>
      <c r="BS2" s="48">
        <f>AVERAGE(AV2:BR2)</f>
        <v>958963623.23232341</v>
      </c>
    </row>
    <row r="3" spans="1:71" x14ac:dyDescent="0.2">
      <c r="A3" s="20" t="s">
        <v>76</v>
      </c>
      <c r="B3" s="49">
        <v>556000000</v>
      </c>
      <c r="C3" s="49">
        <v>514000000</v>
      </c>
      <c r="D3" s="49">
        <v>685000000</v>
      </c>
      <c r="E3" s="49">
        <v>833000000</v>
      </c>
      <c r="F3" s="49">
        <v>973000000</v>
      </c>
      <c r="G3" s="49">
        <v>1050000000</v>
      </c>
      <c r="H3" s="49">
        <v>1060000000</v>
      </c>
      <c r="I3" s="49">
        <v>1190000000</v>
      </c>
      <c r="J3" s="49">
        <v>1160000000</v>
      </c>
      <c r="K3" s="49">
        <v>1180000000</v>
      </c>
      <c r="L3" s="49">
        <v>1380000000</v>
      </c>
      <c r="M3" s="49">
        <v>1270000000</v>
      </c>
      <c r="N3" s="49">
        <v>1270000000</v>
      </c>
      <c r="O3" s="49">
        <v>1210000000</v>
      </c>
      <c r="P3" s="49">
        <v>1480000000</v>
      </c>
      <c r="Q3" s="49">
        <v>1280000000</v>
      </c>
      <c r="R3" s="49">
        <v>1010000000</v>
      </c>
      <c r="S3" s="49">
        <v>765000000</v>
      </c>
      <c r="T3" s="49">
        <v>684000000</v>
      </c>
      <c r="U3" s="49">
        <v>592000000</v>
      </c>
      <c r="V3" s="49">
        <v>541000000</v>
      </c>
      <c r="W3" s="49">
        <v>654000000</v>
      </c>
      <c r="X3" s="49">
        <v>821000000</v>
      </c>
      <c r="Y3" s="49">
        <v>940000000</v>
      </c>
      <c r="Z3" s="49">
        <v>980000000</v>
      </c>
      <c r="AA3" s="49">
        <v>1000000000</v>
      </c>
      <c r="AB3" s="49">
        <v>1010000000</v>
      </c>
      <c r="AC3" s="49">
        <v>1020000000</v>
      </c>
      <c r="AD3" s="49">
        <v>1020000000</v>
      </c>
      <c r="AE3" s="49">
        <v>1020000000</v>
      </c>
      <c r="AF3" s="49">
        <v>1020000000</v>
      </c>
      <c r="AG3" s="49">
        <v>1010000000</v>
      </c>
      <c r="AH3" s="49">
        <v>1010000000</v>
      </c>
      <c r="AI3" s="49">
        <v>1000000000</v>
      </c>
      <c r="AJ3" s="49">
        <v>984000000</v>
      </c>
      <c r="AK3" s="49">
        <v>971000000</v>
      </c>
      <c r="AL3" s="49">
        <v>958000000</v>
      </c>
      <c r="AM3" s="49">
        <v>948000000</v>
      </c>
      <c r="AN3" s="49">
        <v>924000000</v>
      </c>
      <c r="AO3" s="49">
        <v>909000000</v>
      </c>
      <c r="AP3" s="49">
        <v>904000000</v>
      </c>
      <c r="AQ3" s="49">
        <v>910000000</v>
      </c>
      <c r="AR3" s="49">
        <v>920000000</v>
      </c>
      <c r="AS3" s="49">
        <v>935000000</v>
      </c>
      <c r="AT3" s="49">
        <v>952000000</v>
      </c>
      <c r="AU3" s="49">
        <v>965000000</v>
      </c>
      <c r="AV3" s="49">
        <v>971000000</v>
      </c>
      <c r="AW3" s="49">
        <v>972000000</v>
      </c>
      <c r="AX3" s="49">
        <v>972000000</v>
      </c>
      <c r="AY3" s="49">
        <v>971000000</v>
      </c>
      <c r="AZ3" s="49">
        <v>969000000</v>
      </c>
      <c r="BA3" s="49">
        <v>966000000</v>
      </c>
      <c r="BB3" s="49">
        <v>964000000</v>
      </c>
      <c r="BC3" s="49">
        <v>961000000</v>
      </c>
      <c r="BD3" s="49">
        <v>959000000</v>
      </c>
      <c r="BE3" s="49">
        <v>956000000</v>
      </c>
      <c r="BF3" s="49">
        <v>954000000</v>
      </c>
      <c r="BG3" s="49">
        <v>952000000</v>
      </c>
      <c r="BH3" s="49">
        <v>950000000</v>
      </c>
      <c r="BI3" s="49">
        <v>950000000</v>
      </c>
      <c r="BJ3" s="49">
        <v>949000000</v>
      </c>
      <c r="BK3" s="49">
        <v>949000000</v>
      </c>
      <c r="BL3" s="49">
        <v>950000000</v>
      </c>
      <c r="BM3" s="49">
        <v>952000000</v>
      </c>
      <c r="BN3" s="49">
        <v>954000000</v>
      </c>
      <c r="BO3" s="49">
        <v>956000000</v>
      </c>
      <c r="BP3" s="49">
        <v>958000000</v>
      </c>
      <c r="BQ3" s="49">
        <v>959000000</v>
      </c>
      <c r="BR3" s="49">
        <v>959000000</v>
      </c>
      <c r="BS3" s="49">
        <v>959000000</v>
      </c>
    </row>
    <row r="4" spans="1:71" x14ac:dyDescent="0.2">
      <c r="A4" s="35"/>
    </row>
    <row r="5" spans="1:71" x14ac:dyDescent="0.2">
      <c r="A5" s="35"/>
    </row>
    <row r="6" spans="1:71" x14ac:dyDescent="0.2">
      <c r="A6" s="35"/>
    </row>
    <row r="7" spans="1:71" x14ac:dyDescent="0.2">
      <c r="A7" s="35"/>
    </row>
    <row r="8" spans="1:71" x14ac:dyDescent="0.2">
      <c r="A8" s="35"/>
    </row>
    <row r="9" spans="1:71" x14ac:dyDescent="0.2">
      <c r="A9" s="35"/>
    </row>
    <row r="10" spans="1:71" x14ac:dyDescent="0.2">
      <c r="A10" s="35"/>
    </row>
    <row r="11" spans="1:71" x14ac:dyDescent="0.2">
      <c r="A11" s="35"/>
    </row>
    <row r="12" spans="1:71" x14ac:dyDescent="0.2">
      <c r="A12" s="35"/>
    </row>
    <row r="13" spans="1:71" x14ac:dyDescent="0.2">
      <c r="A13" s="35"/>
    </row>
    <row r="14" spans="1:71" x14ac:dyDescent="0.2">
      <c r="A14" s="35"/>
    </row>
    <row r="15" spans="1:71" x14ac:dyDescent="0.2">
      <c r="A15" s="35"/>
    </row>
    <row r="16" spans="1:71" x14ac:dyDescent="0.2">
      <c r="A16" s="35"/>
    </row>
    <row r="17" spans="1:1" x14ac:dyDescent="0.2">
      <c r="A17" s="35"/>
    </row>
    <row r="18" spans="1:1" x14ac:dyDescent="0.2">
      <c r="A18" s="35"/>
    </row>
    <row r="19" spans="1:1" x14ac:dyDescent="0.2">
      <c r="A19" s="35"/>
    </row>
    <row r="20" spans="1:1" x14ac:dyDescent="0.2">
      <c r="A20" s="35"/>
    </row>
    <row r="21" spans="1:1" x14ac:dyDescent="0.2">
      <c r="A21" s="35"/>
    </row>
    <row r="22" spans="1:1" x14ac:dyDescent="0.2">
      <c r="A22" s="35"/>
    </row>
    <row r="23" spans="1:1" x14ac:dyDescent="0.2">
      <c r="A23" s="35"/>
    </row>
    <row r="24" spans="1:1" x14ac:dyDescent="0.2">
      <c r="A24" s="35"/>
    </row>
    <row r="25" spans="1:1" x14ac:dyDescent="0.2">
      <c r="A25" s="35"/>
    </row>
    <row r="26" spans="1:1" x14ac:dyDescent="0.2">
      <c r="A26" s="35"/>
    </row>
    <row r="27" spans="1:1" x14ac:dyDescent="0.2">
      <c r="A27" s="35"/>
    </row>
    <row r="28" spans="1:1" x14ac:dyDescent="0.2">
      <c r="A28" s="35"/>
    </row>
    <row r="29" spans="1:1" x14ac:dyDescent="0.2">
      <c r="A29" s="35"/>
    </row>
    <row r="30" spans="1:1" x14ac:dyDescent="0.2">
      <c r="A30" s="35"/>
    </row>
    <row r="31" spans="1:1" x14ac:dyDescent="0.2">
      <c r="A31" s="35"/>
    </row>
    <row r="32" spans="1:1" x14ac:dyDescent="0.2">
      <c r="A32" s="35"/>
    </row>
    <row r="33" spans="1:1" x14ac:dyDescent="0.2">
      <c r="A33" s="35"/>
    </row>
    <row r="34" spans="1:1" x14ac:dyDescent="0.2">
      <c r="A34" s="35"/>
    </row>
    <row r="35" spans="1:1" x14ac:dyDescent="0.2">
      <c r="A35" s="35"/>
    </row>
    <row r="36" spans="1:1" x14ac:dyDescent="0.2">
      <c r="A36" s="35"/>
    </row>
    <row r="37" spans="1:1" x14ac:dyDescent="0.2">
      <c r="A37" s="35"/>
    </row>
    <row r="38" spans="1:1" x14ac:dyDescent="0.2">
      <c r="A38" s="35"/>
    </row>
    <row r="39" spans="1:1" x14ac:dyDescent="0.2">
      <c r="A39" s="35"/>
    </row>
    <row r="40" spans="1:1" x14ac:dyDescent="0.2">
      <c r="A40" s="35"/>
    </row>
    <row r="41" spans="1:1" x14ac:dyDescent="0.2">
      <c r="A41" s="35"/>
    </row>
    <row r="42" spans="1:1" x14ac:dyDescent="0.2">
      <c r="A42" s="35"/>
    </row>
    <row r="43" spans="1:1" x14ac:dyDescent="0.2">
      <c r="A43" s="35"/>
    </row>
    <row r="44" spans="1:1" x14ac:dyDescent="0.2">
      <c r="A44" s="35"/>
    </row>
    <row r="45" spans="1:1" x14ac:dyDescent="0.2">
      <c r="A45" s="35"/>
    </row>
    <row r="46" spans="1:1" x14ac:dyDescent="0.2">
      <c r="A46" s="35"/>
    </row>
    <row r="47" spans="1:1" x14ac:dyDescent="0.2">
      <c r="A47" s="35"/>
    </row>
    <row r="48" spans="1:1" x14ac:dyDescent="0.2">
      <c r="A48" s="35"/>
    </row>
    <row r="49" spans="1:1" x14ac:dyDescent="0.2">
      <c r="A49" s="35"/>
    </row>
    <row r="50" spans="1:1" x14ac:dyDescent="0.2">
      <c r="A50" s="35"/>
    </row>
    <row r="51" spans="1:1" x14ac:dyDescent="0.2">
      <c r="A51" s="35"/>
    </row>
    <row r="52" spans="1:1" x14ac:dyDescent="0.2">
      <c r="A52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EC34-7E3E-C64E-8A49-B83C16A04B23}">
  <dimension ref="A1:BW52"/>
  <sheetViews>
    <sheetView workbookViewId="0">
      <selection activeCell="B3" sqref="B3:BS3"/>
    </sheetView>
  </sheetViews>
  <sheetFormatPr baseColWidth="10" defaultRowHeight="15" x14ac:dyDescent="0.2"/>
  <cols>
    <col min="1" max="1" width="40.6640625" customWidth="1"/>
    <col min="2" max="10" width="11.83203125" bestFit="1" customWidth="1"/>
    <col min="11" max="11" width="11" bestFit="1" customWidth="1"/>
    <col min="12" max="24" width="11.83203125" bestFit="1" customWidth="1"/>
    <col min="25" max="25" width="12.33203125" bestFit="1" customWidth="1"/>
    <col min="26" max="33" width="11.83203125" bestFit="1" customWidth="1"/>
    <col min="34" max="35" width="11" bestFit="1" customWidth="1"/>
    <col min="36" max="49" width="11.83203125" bestFit="1" customWidth="1"/>
    <col min="50" max="50" width="11" bestFit="1" customWidth="1"/>
    <col min="51" max="51" width="11.83203125" bestFit="1" customWidth="1"/>
    <col min="52" max="71" width="11" bestFit="1" customWidth="1"/>
  </cols>
  <sheetData>
    <row r="1" spans="1:7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5" x14ac:dyDescent="0.2">
      <c r="A2" s="31" t="s">
        <v>5</v>
      </c>
      <c r="B2" s="31">
        <v>2001</v>
      </c>
      <c r="C2" s="31">
        <v>2002</v>
      </c>
      <c r="D2" s="31">
        <v>2003</v>
      </c>
      <c r="E2" s="31">
        <v>2004</v>
      </c>
      <c r="F2" s="31">
        <v>2005</v>
      </c>
      <c r="G2" s="31">
        <v>2006</v>
      </c>
      <c r="H2" s="31">
        <v>2007</v>
      </c>
      <c r="I2" s="31">
        <v>2008</v>
      </c>
      <c r="J2" s="31">
        <v>2009</v>
      </c>
      <c r="K2" s="31">
        <v>2010</v>
      </c>
      <c r="L2" s="31">
        <v>2011</v>
      </c>
      <c r="M2" s="31">
        <v>2012</v>
      </c>
      <c r="N2" s="31">
        <v>2013</v>
      </c>
      <c r="O2" s="31">
        <v>2014</v>
      </c>
      <c r="P2" s="31">
        <v>2015</v>
      </c>
      <c r="Q2" s="31">
        <v>2016</v>
      </c>
      <c r="R2" s="31">
        <v>2017</v>
      </c>
      <c r="S2" s="31">
        <v>2018</v>
      </c>
      <c r="T2" s="31">
        <v>2019</v>
      </c>
      <c r="U2" s="31">
        <v>2020</v>
      </c>
      <c r="V2" s="31">
        <v>2021</v>
      </c>
      <c r="W2" s="31">
        <v>2022</v>
      </c>
      <c r="X2" s="31">
        <v>2023</v>
      </c>
      <c r="Y2" s="20">
        <v>2024</v>
      </c>
      <c r="Z2" s="20">
        <v>2025</v>
      </c>
      <c r="AA2" s="20">
        <v>2026</v>
      </c>
      <c r="AB2" s="20">
        <v>2027</v>
      </c>
      <c r="AC2" s="20">
        <v>2028</v>
      </c>
      <c r="AD2" s="20">
        <v>2029</v>
      </c>
      <c r="AE2" s="20">
        <v>2030</v>
      </c>
      <c r="AF2" s="20">
        <v>2031</v>
      </c>
      <c r="AG2" s="20">
        <v>2032</v>
      </c>
      <c r="AH2" s="20">
        <v>2033</v>
      </c>
      <c r="AI2" s="20">
        <v>2034</v>
      </c>
      <c r="AJ2" s="20">
        <v>2035</v>
      </c>
      <c r="AK2" s="20">
        <v>2036</v>
      </c>
      <c r="AL2" s="20">
        <v>2037</v>
      </c>
      <c r="AM2" s="20">
        <v>2038</v>
      </c>
      <c r="AN2" s="20">
        <v>2039</v>
      </c>
      <c r="AO2" s="20">
        <v>2040</v>
      </c>
      <c r="AP2" s="20">
        <v>2041</v>
      </c>
      <c r="AQ2" s="20">
        <v>2042</v>
      </c>
      <c r="AR2" s="20">
        <v>2043</v>
      </c>
      <c r="AS2" s="20">
        <v>2044</v>
      </c>
      <c r="AT2" s="20">
        <v>2045</v>
      </c>
      <c r="AU2" s="20">
        <v>2046</v>
      </c>
      <c r="AV2" s="20">
        <v>2047</v>
      </c>
      <c r="AW2" s="20">
        <v>2048</v>
      </c>
      <c r="AX2" s="20">
        <v>2049</v>
      </c>
      <c r="AY2" s="20">
        <v>2050</v>
      </c>
      <c r="AZ2" s="20">
        <v>2051</v>
      </c>
      <c r="BA2" s="20">
        <v>2052</v>
      </c>
      <c r="BB2" s="20">
        <v>2053</v>
      </c>
      <c r="BC2" s="20">
        <v>2054</v>
      </c>
      <c r="BD2" s="20">
        <v>2055</v>
      </c>
      <c r="BE2" s="20">
        <v>2056</v>
      </c>
      <c r="BF2" s="20">
        <v>2057</v>
      </c>
      <c r="BG2" s="20">
        <v>2058</v>
      </c>
      <c r="BH2" s="20">
        <v>2059</v>
      </c>
      <c r="BI2" s="20">
        <v>2060</v>
      </c>
      <c r="BJ2" s="20">
        <v>2061</v>
      </c>
      <c r="BK2" s="20">
        <v>2062</v>
      </c>
      <c r="BL2" s="20">
        <v>2063</v>
      </c>
      <c r="BM2" s="20">
        <v>2064</v>
      </c>
      <c r="BN2" s="20">
        <v>2065</v>
      </c>
      <c r="BO2" s="20">
        <v>2066</v>
      </c>
      <c r="BP2" s="20">
        <v>2067</v>
      </c>
      <c r="BQ2" s="20">
        <v>2068</v>
      </c>
      <c r="BR2" s="20">
        <v>2069</v>
      </c>
      <c r="BS2" s="20">
        <v>2070</v>
      </c>
      <c r="BT2" s="2"/>
      <c r="BU2" s="2"/>
      <c r="BV2" s="2"/>
      <c r="BW2" s="2"/>
    </row>
    <row r="3" spans="1:75" x14ac:dyDescent="0.2">
      <c r="A3" s="31" t="s">
        <v>62</v>
      </c>
      <c r="B3" s="37">
        <f>'GWF-Smoothing '!B3</f>
        <v>556000000</v>
      </c>
      <c r="C3" s="37">
        <f>'GWF-Smoothing '!C3</f>
        <v>514000000</v>
      </c>
      <c r="D3" s="37">
        <f>'GWF-Smoothing '!D3</f>
        <v>685000000</v>
      </c>
      <c r="E3" s="37">
        <f>'GWF-Smoothing '!E3</f>
        <v>833000000</v>
      </c>
      <c r="F3" s="37">
        <f>'GWF-Smoothing '!F3</f>
        <v>973000000</v>
      </c>
      <c r="G3" s="37">
        <f>'GWF-Smoothing '!G3</f>
        <v>1050000000</v>
      </c>
      <c r="H3" s="37">
        <f>'GWF-Smoothing '!H3</f>
        <v>1060000000</v>
      </c>
      <c r="I3" s="37">
        <f>'GWF-Smoothing '!I3</f>
        <v>1190000000</v>
      </c>
      <c r="J3" s="37">
        <f>'GWF-Smoothing '!J3</f>
        <v>1160000000</v>
      </c>
      <c r="K3" s="37">
        <f>'GWF-Smoothing '!K3</f>
        <v>1180000000</v>
      </c>
      <c r="L3" s="37">
        <f>'GWF-Smoothing '!L3</f>
        <v>1380000000</v>
      </c>
      <c r="M3" s="37">
        <f>'GWF-Smoothing '!M3</f>
        <v>1270000000</v>
      </c>
      <c r="N3" s="37">
        <f>'GWF-Smoothing '!N3</f>
        <v>1270000000</v>
      </c>
      <c r="O3" s="37">
        <f>'GWF-Smoothing '!O3</f>
        <v>1210000000</v>
      </c>
      <c r="P3" s="37">
        <f>'GWF-Smoothing '!P3</f>
        <v>1480000000</v>
      </c>
      <c r="Q3" s="37">
        <f>'GWF-Smoothing '!Q3</f>
        <v>1280000000</v>
      </c>
      <c r="R3" s="37">
        <f>'GWF-Smoothing '!R3</f>
        <v>1010000000</v>
      </c>
      <c r="S3" s="37">
        <f>'GWF-Smoothing '!S3</f>
        <v>765000000</v>
      </c>
      <c r="T3" s="37">
        <f>'GWF-Smoothing '!T3</f>
        <v>684000000</v>
      </c>
      <c r="U3" s="37">
        <f>'GWF-Smoothing '!U3</f>
        <v>592000000</v>
      </c>
      <c r="V3" s="37">
        <f>'GWF-Smoothing '!V3</f>
        <v>541000000</v>
      </c>
      <c r="W3" s="37">
        <f>'GWF-Smoothing '!W3</f>
        <v>654000000</v>
      </c>
      <c r="X3" s="37">
        <f>'GWF-Smoothing '!X3</f>
        <v>821000000</v>
      </c>
      <c r="Y3" s="37">
        <f>'GWF-Smoothing '!Y3</f>
        <v>940000000</v>
      </c>
      <c r="Z3" s="37">
        <f>'GWF-Smoothing '!Z3</f>
        <v>980000000</v>
      </c>
      <c r="AA3" s="37">
        <f>'GWF-Smoothing '!AA3</f>
        <v>1000000000</v>
      </c>
      <c r="AB3" s="37">
        <f>'GWF-Smoothing '!AB3</f>
        <v>1010000000</v>
      </c>
      <c r="AC3" s="37">
        <f>'GWF-Smoothing '!AC3</f>
        <v>1020000000</v>
      </c>
      <c r="AD3" s="37">
        <f>'GWF-Smoothing '!AD3</f>
        <v>1020000000</v>
      </c>
      <c r="AE3" s="37">
        <f>'GWF-Smoothing '!AE3</f>
        <v>1020000000</v>
      </c>
      <c r="AF3" s="37">
        <f>'GWF-Smoothing '!AF3</f>
        <v>1020000000</v>
      </c>
      <c r="AG3" s="37">
        <f>'GWF-Smoothing '!AG3</f>
        <v>1010000000</v>
      </c>
      <c r="AH3" s="37">
        <f>'GWF-Smoothing '!AH3</f>
        <v>1010000000</v>
      </c>
      <c r="AI3" s="37">
        <f>'GWF-Smoothing '!AI3</f>
        <v>1000000000</v>
      </c>
      <c r="AJ3" s="37">
        <f>'GWF-Smoothing '!AJ3</f>
        <v>984000000</v>
      </c>
      <c r="AK3" s="37">
        <f>'GWF-Smoothing '!AK3</f>
        <v>971000000</v>
      </c>
      <c r="AL3" s="37">
        <f>'GWF-Smoothing '!AL3</f>
        <v>958000000</v>
      </c>
      <c r="AM3" s="37">
        <f>'GWF-Smoothing '!AM3</f>
        <v>948000000</v>
      </c>
      <c r="AN3" s="37">
        <f>'GWF-Smoothing '!AN3</f>
        <v>924000000</v>
      </c>
      <c r="AO3" s="37">
        <f>'GWF-Smoothing '!AO3</f>
        <v>909000000</v>
      </c>
      <c r="AP3" s="37">
        <f>'GWF-Smoothing '!AP3</f>
        <v>904000000</v>
      </c>
      <c r="AQ3" s="37">
        <f>'GWF-Smoothing '!AQ3</f>
        <v>910000000</v>
      </c>
      <c r="AR3" s="37">
        <f>'GWF-Smoothing '!AR3</f>
        <v>920000000</v>
      </c>
      <c r="AS3" s="37">
        <f>'GWF-Smoothing '!AS3</f>
        <v>935000000</v>
      </c>
      <c r="AT3" s="37">
        <f>'GWF-Smoothing '!AT3</f>
        <v>952000000</v>
      </c>
      <c r="AU3" s="37">
        <f>'GWF-Smoothing '!AU3</f>
        <v>965000000</v>
      </c>
      <c r="AV3" s="37">
        <f>'GWF-Smoothing '!AV3</f>
        <v>971000000</v>
      </c>
      <c r="AW3" s="37">
        <f>'GWF-Smoothing '!AW3</f>
        <v>972000000</v>
      </c>
      <c r="AX3" s="37">
        <f>'GWF-Smoothing '!AX3</f>
        <v>972000000</v>
      </c>
      <c r="AY3" s="37">
        <f>'GWF-Smoothing '!AY3</f>
        <v>971000000</v>
      </c>
      <c r="AZ3" s="37">
        <f>'GWF-Smoothing '!AZ3</f>
        <v>969000000</v>
      </c>
      <c r="BA3" s="37">
        <f>'GWF-Smoothing '!BA3</f>
        <v>966000000</v>
      </c>
      <c r="BB3" s="37">
        <f>'GWF-Smoothing '!BB3</f>
        <v>964000000</v>
      </c>
      <c r="BC3" s="37">
        <f>'GWF-Smoothing '!BC3</f>
        <v>961000000</v>
      </c>
      <c r="BD3" s="37">
        <f>'GWF-Smoothing '!BD3</f>
        <v>959000000</v>
      </c>
      <c r="BE3" s="37">
        <f>'GWF-Smoothing '!BE3</f>
        <v>956000000</v>
      </c>
      <c r="BF3" s="37">
        <f>'GWF-Smoothing '!BF3</f>
        <v>954000000</v>
      </c>
      <c r="BG3" s="37">
        <f>'GWF-Smoothing '!BG3</f>
        <v>952000000</v>
      </c>
      <c r="BH3" s="37">
        <f>'GWF-Smoothing '!BH3</f>
        <v>950000000</v>
      </c>
      <c r="BI3" s="37">
        <f>'GWF-Smoothing '!BI3</f>
        <v>950000000</v>
      </c>
      <c r="BJ3" s="37">
        <f>'GWF-Smoothing '!BJ3</f>
        <v>949000000</v>
      </c>
      <c r="BK3" s="37">
        <f>'GWF-Smoothing '!BK3</f>
        <v>949000000</v>
      </c>
      <c r="BL3" s="37">
        <f>'GWF-Smoothing '!BL3</f>
        <v>950000000</v>
      </c>
      <c r="BM3" s="37">
        <f>'GWF-Smoothing '!BM3</f>
        <v>952000000</v>
      </c>
      <c r="BN3" s="37">
        <f>'GWF-Smoothing '!BN3</f>
        <v>954000000</v>
      </c>
      <c r="BO3" s="37">
        <f>'GWF-Smoothing '!BO3</f>
        <v>956000000</v>
      </c>
      <c r="BP3" s="37">
        <f>'GWF-Smoothing '!BP3</f>
        <v>958000000</v>
      </c>
      <c r="BQ3" s="37">
        <f>'GWF-Smoothing '!BQ3</f>
        <v>959000000</v>
      </c>
      <c r="BR3" s="37">
        <f>'GWF-Smoothing '!BR3</f>
        <v>959000000</v>
      </c>
      <c r="BS3" s="37">
        <f>'GWF-Smoothing '!BS3</f>
        <v>959000000</v>
      </c>
    </row>
    <row r="4" spans="1:75" x14ac:dyDescent="0.2">
      <c r="A4" s="31" t="s">
        <v>73</v>
      </c>
      <c r="B4" s="28">
        <v>617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</row>
    <row r="5" spans="1:75" x14ac:dyDescent="0.2">
      <c r="A5" s="31" t="s">
        <v>74</v>
      </c>
      <c r="B5" s="37">
        <f>1000000*B4</f>
        <v>617000000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</row>
    <row r="6" spans="1:75" x14ac:dyDescent="0.2">
      <c r="A6" s="31" t="s">
        <v>75</v>
      </c>
      <c r="B6" s="37">
        <f>B3-$B$5</f>
        <v>-61000000</v>
      </c>
      <c r="C6" s="37">
        <f t="shared" ref="C6:BN6" si="0">C3-$B$5</f>
        <v>-103000000</v>
      </c>
      <c r="D6" s="37">
        <f t="shared" si="0"/>
        <v>68000000</v>
      </c>
      <c r="E6" s="37">
        <f t="shared" si="0"/>
        <v>216000000</v>
      </c>
      <c r="F6" s="37">
        <f t="shared" si="0"/>
        <v>356000000</v>
      </c>
      <c r="G6" s="37">
        <f t="shared" si="0"/>
        <v>433000000</v>
      </c>
      <c r="H6" s="37">
        <f t="shared" si="0"/>
        <v>443000000</v>
      </c>
      <c r="I6" s="37">
        <f t="shared" si="0"/>
        <v>573000000</v>
      </c>
      <c r="J6" s="37">
        <f t="shared" si="0"/>
        <v>543000000</v>
      </c>
      <c r="K6" s="37">
        <f t="shared" si="0"/>
        <v>563000000</v>
      </c>
      <c r="L6" s="37">
        <f t="shared" si="0"/>
        <v>763000000</v>
      </c>
      <c r="M6" s="37">
        <f t="shared" si="0"/>
        <v>653000000</v>
      </c>
      <c r="N6" s="37">
        <f t="shared" si="0"/>
        <v>653000000</v>
      </c>
      <c r="O6" s="37">
        <f t="shared" si="0"/>
        <v>593000000</v>
      </c>
      <c r="P6" s="37">
        <f t="shared" si="0"/>
        <v>863000000</v>
      </c>
      <c r="Q6" s="37">
        <f t="shared" si="0"/>
        <v>663000000</v>
      </c>
      <c r="R6" s="37">
        <f t="shared" si="0"/>
        <v>393000000</v>
      </c>
      <c r="S6" s="37">
        <f t="shared" si="0"/>
        <v>148000000</v>
      </c>
      <c r="T6" s="37">
        <f t="shared" si="0"/>
        <v>67000000</v>
      </c>
      <c r="U6" s="37">
        <f t="shared" si="0"/>
        <v>-25000000</v>
      </c>
      <c r="V6" s="37">
        <f t="shared" si="0"/>
        <v>-76000000</v>
      </c>
      <c r="W6" s="37">
        <f t="shared" si="0"/>
        <v>37000000</v>
      </c>
      <c r="X6" s="37">
        <f t="shared" si="0"/>
        <v>204000000</v>
      </c>
      <c r="Y6" s="37">
        <f t="shared" si="0"/>
        <v>323000000</v>
      </c>
      <c r="Z6" s="37">
        <f t="shared" si="0"/>
        <v>363000000</v>
      </c>
      <c r="AA6" s="37">
        <f t="shared" si="0"/>
        <v>383000000</v>
      </c>
      <c r="AB6" s="37">
        <f t="shared" si="0"/>
        <v>393000000</v>
      </c>
      <c r="AC6" s="37">
        <f t="shared" si="0"/>
        <v>403000000</v>
      </c>
      <c r="AD6" s="37">
        <f t="shared" si="0"/>
        <v>403000000</v>
      </c>
      <c r="AE6" s="37">
        <f t="shared" si="0"/>
        <v>403000000</v>
      </c>
      <c r="AF6" s="37">
        <f t="shared" si="0"/>
        <v>403000000</v>
      </c>
      <c r="AG6" s="37">
        <f t="shared" si="0"/>
        <v>393000000</v>
      </c>
      <c r="AH6" s="37">
        <f t="shared" si="0"/>
        <v>393000000</v>
      </c>
      <c r="AI6" s="37">
        <f t="shared" si="0"/>
        <v>383000000</v>
      </c>
      <c r="AJ6" s="37">
        <f t="shared" si="0"/>
        <v>367000000</v>
      </c>
      <c r="AK6" s="37">
        <f t="shared" si="0"/>
        <v>354000000</v>
      </c>
      <c r="AL6" s="37">
        <f t="shared" si="0"/>
        <v>341000000</v>
      </c>
      <c r="AM6" s="37">
        <f t="shared" si="0"/>
        <v>331000000</v>
      </c>
      <c r="AN6" s="37">
        <f t="shared" si="0"/>
        <v>307000000</v>
      </c>
      <c r="AO6" s="37">
        <f t="shared" si="0"/>
        <v>292000000</v>
      </c>
      <c r="AP6" s="37">
        <f t="shared" si="0"/>
        <v>287000000</v>
      </c>
      <c r="AQ6" s="37">
        <f t="shared" si="0"/>
        <v>293000000</v>
      </c>
      <c r="AR6" s="37">
        <f t="shared" si="0"/>
        <v>303000000</v>
      </c>
      <c r="AS6" s="37">
        <f t="shared" si="0"/>
        <v>318000000</v>
      </c>
      <c r="AT6" s="37">
        <f t="shared" si="0"/>
        <v>335000000</v>
      </c>
      <c r="AU6" s="37">
        <f t="shared" si="0"/>
        <v>348000000</v>
      </c>
      <c r="AV6" s="37">
        <f t="shared" si="0"/>
        <v>354000000</v>
      </c>
      <c r="AW6" s="37">
        <f t="shared" si="0"/>
        <v>355000000</v>
      </c>
      <c r="AX6" s="37">
        <f t="shared" si="0"/>
        <v>355000000</v>
      </c>
      <c r="AY6" s="37">
        <f t="shared" si="0"/>
        <v>354000000</v>
      </c>
      <c r="AZ6" s="37">
        <f t="shared" si="0"/>
        <v>352000000</v>
      </c>
      <c r="BA6" s="37">
        <f t="shared" si="0"/>
        <v>349000000</v>
      </c>
      <c r="BB6" s="37">
        <f t="shared" si="0"/>
        <v>347000000</v>
      </c>
      <c r="BC6" s="37">
        <f t="shared" si="0"/>
        <v>344000000</v>
      </c>
      <c r="BD6" s="37">
        <f t="shared" si="0"/>
        <v>342000000</v>
      </c>
      <c r="BE6" s="37">
        <f t="shared" si="0"/>
        <v>339000000</v>
      </c>
      <c r="BF6" s="37">
        <f t="shared" si="0"/>
        <v>337000000</v>
      </c>
      <c r="BG6" s="37">
        <f t="shared" si="0"/>
        <v>335000000</v>
      </c>
      <c r="BH6" s="37">
        <f t="shared" si="0"/>
        <v>333000000</v>
      </c>
      <c r="BI6" s="37">
        <f t="shared" si="0"/>
        <v>333000000</v>
      </c>
      <c r="BJ6" s="37">
        <f t="shared" si="0"/>
        <v>332000000</v>
      </c>
      <c r="BK6" s="37">
        <f t="shared" si="0"/>
        <v>332000000</v>
      </c>
      <c r="BL6" s="37">
        <f t="shared" si="0"/>
        <v>333000000</v>
      </c>
      <c r="BM6" s="37">
        <f t="shared" si="0"/>
        <v>335000000</v>
      </c>
      <c r="BN6" s="37">
        <f t="shared" si="0"/>
        <v>337000000</v>
      </c>
      <c r="BO6" s="37">
        <f t="shared" ref="BO6:BS6" si="1">BO3-$B$5</f>
        <v>339000000</v>
      </c>
      <c r="BP6" s="37">
        <f t="shared" si="1"/>
        <v>341000000</v>
      </c>
      <c r="BQ6" s="37">
        <f t="shared" si="1"/>
        <v>342000000</v>
      </c>
      <c r="BR6" s="37">
        <f t="shared" si="1"/>
        <v>342000000</v>
      </c>
      <c r="BS6" s="37">
        <f t="shared" si="1"/>
        <v>342000000</v>
      </c>
    </row>
    <row r="7" spans="1:75" x14ac:dyDescent="0.2">
      <c r="A7" s="30" t="s">
        <v>64</v>
      </c>
      <c r="B7" s="29">
        <f>B6*'Share of Pollutants'!$B$19</f>
        <v>-35764139.239890337</v>
      </c>
      <c r="C7" s="29">
        <f>C6*'Share of Pollutants'!$B$19</f>
        <v>-60388628.55260171</v>
      </c>
      <c r="D7" s="29">
        <f>D6*'Share of Pollutants'!$B$19</f>
        <v>39868220.792008899</v>
      </c>
      <c r="E7" s="29">
        <f>E6*'Share of Pollutants'!$B$19</f>
        <v>126640230.75108708</v>
      </c>
      <c r="F7" s="29">
        <f>F6*'Share of Pollutants'!$B$19</f>
        <v>208721861.79345834</v>
      </c>
      <c r="G7" s="29">
        <f>G6*'Share of Pollutants'!$B$19</f>
        <v>253866758.86676252</v>
      </c>
      <c r="H7" s="29">
        <f>H6*'Share of Pollutants'!$B$19</f>
        <v>259729732.5126462</v>
      </c>
      <c r="I7" s="29">
        <f>I6*'Share of Pollutants'!$B$19</f>
        <v>335948389.90913379</v>
      </c>
      <c r="J7" s="29">
        <f>J6*'Share of Pollutants'!$B$19</f>
        <v>318359468.97148281</v>
      </c>
      <c r="K7" s="29">
        <f>K6*'Share of Pollutants'!$B$19</f>
        <v>330085416.26325011</v>
      </c>
      <c r="L7" s="29">
        <f>L6*'Share of Pollutants'!$B$19</f>
        <v>447344889.18092334</v>
      </c>
      <c r="M7" s="29">
        <f>M6*'Share of Pollutants'!$B$19</f>
        <v>382852179.07620305</v>
      </c>
      <c r="N7" s="29">
        <f>N6*'Share of Pollutants'!$B$19</f>
        <v>382852179.07620305</v>
      </c>
      <c r="O7" s="29">
        <f>O6*'Share of Pollutants'!$B$19</f>
        <v>347674337.20090109</v>
      </c>
      <c r="P7" s="29">
        <f>P6*'Share of Pollutants'!$B$19</f>
        <v>505974625.63975996</v>
      </c>
      <c r="Q7" s="29">
        <f>Q6*'Share of Pollutants'!$B$19</f>
        <v>388715152.72208673</v>
      </c>
      <c r="R7" s="29">
        <f>R6*'Share of Pollutants'!$B$19</f>
        <v>230414864.28322789</v>
      </c>
      <c r="S7" s="29">
        <f>S6*'Share of Pollutants'!$B$19</f>
        <v>86772009.959078193</v>
      </c>
      <c r="T7" s="29">
        <f>T6*'Share of Pollutants'!$B$19</f>
        <v>39281923.427420527</v>
      </c>
      <c r="U7" s="29">
        <f>U6*'Share of Pollutants'!$B$19</f>
        <v>-14657434.114709154</v>
      </c>
      <c r="V7" s="29">
        <f>V6*'Share of Pollutants'!$B$19</f>
        <v>-44558599.708715826</v>
      </c>
      <c r="W7" s="29">
        <f>W6*'Share of Pollutants'!$B$19</f>
        <v>21693002.489769548</v>
      </c>
      <c r="X7" s="29">
        <f>X6*'Share of Pollutants'!$B$19</f>
        <v>119604662.37602669</v>
      </c>
      <c r="Y7" s="29">
        <f>Y6*'Share of Pollutants'!$B$19</f>
        <v>189374048.76204225</v>
      </c>
      <c r="Z7" s="29">
        <f>Z6*'Share of Pollutants'!$B$19</f>
        <v>212825943.34557691</v>
      </c>
      <c r="AA7" s="29">
        <f>AA6*'Share of Pollutants'!$B$19</f>
        <v>224551890.63734421</v>
      </c>
      <c r="AB7" s="29">
        <f>AB6*'Share of Pollutants'!$B$19</f>
        <v>230414864.28322789</v>
      </c>
      <c r="AC7" s="29">
        <f>AC6*'Share of Pollutants'!$B$19</f>
        <v>236277837.92911154</v>
      </c>
      <c r="AD7" s="29">
        <f>AD6*'Share of Pollutants'!$B$19</f>
        <v>236277837.92911154</v>
      </c>
      <c r="AE7" s="29">
        <f>AE6*'Share of Pollutants'!$B$19</f>
        <v>236277837.92911154</v>
      </c>
      <c r="AF7" s="29">
        <f>AF6*'Share of Pollutants'!$B$19</f>
        <v>236277837.92911154</v>
      </c>
      <c r="AG7" s="29">
        <f>AG6*'Share of Pollutants'!$B$19</f>
        <v>230414864.28322789</v>
      </c>
      <c r="AH7" s="29">
        <f>AH6*'Share of Pollutants'!$B$19</f>
        <v>230414864.28322789</v>
      </c>
      <c r="AI7" s="29">
        <f>AI6*'Share of Pollutants'!$B$19</f>
        <v>224551890.63734421</v>
      </c>
      <c r="AJ7" s="29">
        <f>AJ6*'Share of Pollutants'!$B$19</f>
        <v>215171132.80393037</v>
      </c>
      <c r="AK7" s="29">
        <f>AK6*'Share of Pollutants'!$B$19</f>
        <v>207549267.06428161</v>
      </c>
      <c r="AL7" s="29">
        <f>AL6*'Share of Pollutants'!$B$19</f>
        <v>199927401.32463285</v>
      </c>
      <c r="AM7" s="29">
        <f>AM6*'Share of Pollutants'!$B$19</f>
        <v>194064427.67874917</v>
      </c>
      <c r="AN7" s="29">
        <f>AN6*'Share of Pollutants'!$B$19</f>
        <v>179993290.92862839</v>
      </c>
      <c r="AO7" s="29">
        <f>AO6*'Share of Pollutants'!$B$19</f>
        <v>171198830.4598029</v>
      </c>
      <c r="AP7" s="29">
        <f>AP6*'Share of Pollutants'!$B$19</f>
        <v>168267343.63686109</v>
      </c>
      <c r="AQ7" s="29">
        <f>AQ6*'Share of Pollutants'!$B$19</f>
        <v>171785127.82439128</v>
      </c>
      <c r="AR7" s="29">
        <f>AR6*'Share of Pollutants'!$B$19</f>
        <v>177648101.47027493</v>
      </c>
      <c r="AS7" s="29">
        <f>AS6*'Share of Pollutants'!$B$19</f>
        <v>186442561.93910041</v>
      </c>
      <c r="AT7" s="29">
        <f>AT6*'Share of Pollutants'!$B$19</f>
        <v>196409617.13710266</v>
      </c>
      <c r="AU7" s="29">
        <f>AU6*'Share of Pollutants'!$B$19</f>
        <v>204031482.87675142</v>
      </c>
      <c r="AV7" s="29">
        <f>AV6*'Share of Pollutants'!$B$19</f>
        <v>207549267.06428161</v>
      </c>
      <c r="AW7" s="29">
        <f>AW6*'Share of Pollutants'!$B$19</f>
        <v>208135564.42886996</v>
      </c>
      <c r="AX7" s="29">
        <f>AX6*'Share of Pollutants'!$B$19</f>
        <v>208135564.42886996</v>
      </c>
      <c r="AY7" s="29">
        <f>AY6*'Share of Pollutants'!$B$19</f>
        <v>207549267.06428161</v>
      </c>
      <c r="AZ7" s="29">
        <f>AZ6*'Share of Pollutants'!$B$19</f>
        <v>206376672.33510488</v>
      </c>
      <c r="BA7" s="29">
        <f>BA6*'Share of Pollutants'!$B$19</f>
        <v>204617780.24133977</v>
      </c>
      <c r="BB7" s="29">
        <f>BB6*'Share of Pollutants'!$B$19</f>
        <v>203445185.51216304</v>
      </c>
      <c r="BC7" s="29">
        <f>BC6*'Share of Pollutants'!$B$19</f>
        <v>201686293.41839793</v>
      </c>
      <c r="BD7" s="29">
        <f>BD6*'Share of Pollutants'!$B$19</f>
        <v>200513698.6892212</v>
      </c>
      <c r="BE7" s="29">
        <f>BE6*'Share of Pollutants'!$B$19</f>
        <v>198754806.59545612</v>
      </c>
      <c r="BF7" s="29">
        <f>BF6*'Share of Pollutants'!$B$19</f>
        <v>197582211.86627939</v>
      </c>
      <c r="BG7" s="29">
        <f>BG6*'Share of Pollutants'!$B$19</f>
        <v>196409617.13710266</v>
      </c>
      <c r="BH7" s="29">
        <f>BH6*'Share of Pollutants'!$B$19</f>
        <v>195237022.4079259</v>
      </c>
      <c r="BI7" s="29">
        <f>BI6*'Share of Pollutants'!$B$19</f>
        <v>195237022.4079259</v>
      </c>
      <c r="BJ7" s="29">
        <f>BJ6*'Share of Pollutants'!$B$19</f>
        <v>194650725.04333755</v>
      </c>
      <c r="BK7" s="29">
        <f>BK6*'Share of Pollutants'!$B$19</f>
        <v>194650725.04333755</v>
      </c>
      <c r="BL7" s="29">
        <f>BL6*'Share of Pollutants'!$B$19</f>
        <v>195237022.4079259</v>
      </c>
      <c r="BM7" s="29">
        <f>BM6*'Share of Pollutants'!$B$19</f>
        <v>196409617.13710266</v>
      </c>
      <c r="BN7" s="29">
        <f>BN6*'Share of Pollutants'!$B$19</f>
        <v>197582211.86627939</v>
      </c>
      <c r="BO7" s="29">
        <f>BO6*'Share of Pollutants'!$B$19</f>
        <v>198754806.59545612</v>
      </c>
      <c r="BP7" s="29">
        <f>BP6*'Share of Pollutants'!$B$19</f>
        <v>199927401.32463285</v>
      </c>
      <c r="BQ7" s="29">
        <f>BQ6*'Share of Pollutants'!$B$19</f>
        <v>200513698.6892212</v>
      </c>
      <c r="BR7" s="29">
        <f>BR6*'Share of Pollutants'!$B$19</f>
        <v>200513698.6892212</v>
      </c>
      <c r="BS7" s="29">
        <f>BS6*'Share of Pollutants'!$B$19</f>
        <v>200513698.6892212</v>
      </c>
    </row>
    <row r="8" spans="1:75" x14ac:dyDescent="0.2">
      <c r="A8" s="30" t="s">
        <v>65</v>
      </c>
      <c r="B8" s="29">
        <f>B6*'Share of Pollutants'!$B$20</f>
        <v>-15501261.278335312</v>
      </c>
      <c r="C8" s="29">
        <f>C6*'Share of Pollutants'!$B$20</f>
        <v>-26174260.847025201</v>
      </c>
      <c r="D8" s="29">
        <f>D6*'Share of Pollutants'!$B$20</f>
        <v>17280094.539783627</v>
      </c>
      <c r="E8" s="29">
        <f>E6*'Share of Pollutants'!$B$20</f>
        <v>54889712.067547992</v>
      </c>
      <c r="F8" s="29">
        <f>F6*'Share of Pollutants'!$B$20</f>
        <v>90466377.296514273</v>
      </c>
      <c r="G8" s="29">
        <f>G6*'Share of Pollutants'!$B$20</f>
        <v>110033543.17244574</v>
      </c>
      <c r="H8" s="29">
        <f>H6*'Share of Pollutants'!$B$20</f>
        <v>112574733.54594333</v>
      </c>
      <c r="I8" s="29">
        <f>I6*'Share of Pollutants'!$B$20</f>
        <v>145610208.40141204</v>
      </c>
      <c r="J8" s="29">
        <f>J6*'Share of Pollutants'!$B$20</f>
        <v>137986637.28091925</v>
      </c>
      <c r="K8" s="29">
        <f>K6*'Share of Pollutants'!$B$20</f>
        <v>143069018.02791443</v>
      </c>
      <c r="L8" s="29">
        <f>L6*'Share of Pollutants'!$B$20</f>
        <v>193892825.49786627</v>
      </c>
      <c r="M8" s="29">
        <f>M6*'Share of Pollutants'!$B$20</f>
        <v>165939731.38939276</v>
      </c>
      <c r="N8" s="29">
        <f>N6*'Share of Pollutants'!$B$20</f>
        <v>165939731.38939276</v>
      </c>
      <c r="O8" s="29">
        <f>O6*'Share of Pollutants'!$B$20</f>
        <v>150692589.14840722</v>
      </c>
      <c r="P8" s="29">
        <f>P6*'Share of Pollutants'!$B$20</f>
        <v>219304729.23284221</v>
      </c>
      <c r="Q8" s="29">
        <f>Q6*'Share of Pollutants'!$B$20</f>
        <v>168480921.76289037</v>
      </c>
      <c r="R8" s="29">
        <f>R6*'Share of Pollutants'!$B$20</f>
        <v>99868781.678455368</v>
      </c>
      <c r="S8" s="29">
        <f>S6*'Share of Pollutants'!$B$20</f>
        <v>37609617.527764365</v>
      </c>
      <c r="T8" s="29">
        <f>T6*'Share of Pollutants'!$B$20</f>
        <v>17025975.502433866</v>
      </c>
      <c r="U8" s="29">
        <f>U6*'Share of Pollutants'!$B$20</f>
        <v>-6352975.9337439807</v>
      </c>
      <c r="V8" s="29">
        <f>V6*'Share of Pollutants'!$B$20</f>
        <v>-19313046.8385817</v>
      </c>
      <c r="W8" s="29">
        <f>W6*'Share of Pollutants'!$B$20</f>
        <v>9402404.3819410913</v>
      </c>
      <c r="X8" s="29">
        <f>X6*'Share of Pollutants'!$B$20</f>
        <v>51840283.61935088</v>
      </c>
      <c r="Y8" s="29">
        <f>Y6*'Share of Pollutants'!$B$20</f>
        <v>82080449.06397222</v>
      </c>
      <c r="Z8" s="29">
        <f>Z6*'Share of Pollutants'!$B$20</f>
        <v>92245210.557962596</v>
      </c>
      <c r="AA8" s="29">
        <f>AA6*'Share of Pollutants'!$B$20</f>
        <v>97327591.304957777</v>
      </c>
      <c r="AB8" s="29">
        <f>AB6*'Share of Pollutants'!$B$20</f>
        <v>99868781.678455368</v>
      </c>
      <c r="AC8" s="29">
        <f>AC6*'Share of Pollutants'!$B$20</f>
        <v>102409972.05195296</v>
      </c>
      <c r="AD8" s="29">
        <f>AD6*'Share of Pollutants'!$B$20</f>
        <v>102409972.05195296</v>
      </c>
      <c r="AE8" s="29">
        <f>AE6*'Share of Pollutants'!$B$20</f>
        <v>102409972.05195296</v>
      </c>
      <c r="AF8" s="29">
        <f>AF6*'Share of Pollutants'!$B$20</f>
        <v>102409972.05195296</v>
      </c>
      <c r="AG8" s="29">
        <f>AG6*'Share of Pollutants'!$B$20</f>
        <v>99868781.678455368</v>
      </c>
      <c r="AH8" s="29">
        <f>AH6*'Share of Pollutants'!$B$20</f>
        <v>99868781.678455368</v>
      </c>
      <c r="AI8" s="29">
        <f>AI6*'Share of Pollutants'!$B$20</f>
        <v>97327591.304957777</v>
      </c>
      <c r="AJ8" s="29">
        <f>AJ6*'Share of Pollutants'!$B$20</f>
        <v>93261686.707361639</v>
      </c>
      <c r="AK8" s="29">
        <f>AK6*'Share of Pollutants'!$B$20</f>
        <v>89958139.221814767</v>
      </c>
      <c r="AL8" s="29">
        <f>AL6*'Share of Pollutants'!$B$20</f>
        <v>86654591.736267895</v>
      </c>
      <c r="AM8" s="29">
        <f>AM6*'Share of Pollutants'!$B$20</f>
        <v>84113401.362770304</v>
      </c>
      <c r="AN8" s="29">
        <f>AN6*'Share of Pollutants'!$B$20</f>
        <v>78014544.466376081</v>
      </c>
      <c r="AO8" s="29">
        <f>AO6*'Share of Pollutants'!$B$20</f>
        <v>74202758.906129688</v>
      </c>
      <c r="AP8" s="29">
        <f>AP6*'Share of Pollutants'!$B$20</f>
        <v>72932163.7193809</v>
      </c>
      <c r="AQ8" s="29">
        <f>AQ6*'Share of Pollutants'!$B$20</f>
        <v>74456877.943479449</v>
      </c>
      <c r="AR8" s="29">
        <f>AR6*'Share of Pollutants'!$B$20</f>
        <v>76998068.316977039</v>
      </c>
      <c r="AS8" s="29">
        <f>AS6*'Share of Pollutants'!$B$20</f>
        <v>80809853.877223432</v>
      </c>
      <c r="AT8" s="29">
        <f>AT6*'Share of Pollutants'!$B$20</f>
        <v>85129877.512169331</v>
      </c>
      <c r="AU8" s="29">
        <f>AU6*'Share of Pollutants'!$B$20</f>
        <v>88433424.997716203</v>
      </c>
      <c r="AV8" s="29">
        <f>AV6*'Share of Pollutants'!$B$20</f>
        <v>89958139.221814767</v>
      </c>
      <c r="AW8" s="29">
        <f>AW6*'Share of Pollutants'!$B$20</f>
        <v>90212258.259164527</v>
      </c>
      <c r="AX8" s="29">
        <f>AX6*'Share of Pollutants'!$B$20</f>
        <v>90212258.259164527</v>
      </c>
      <c r="AY8" s="29">
        <f>AY6*'Share of Pollutants'!$B$20</f>
        <v>89958139.221814767</v>
      </c>
      <c r="AZ8" s="29">
        <f>AZ6*'Share of Pollutants'!$B$20</f>
        <v>89449901.147115245</v>
      </c>
      <c r="BA8" s="29">
        <f>BA6*'Share of Pollutants'!$B$20</f>
        <v>88687544.035065964</v>
      </c>
      <c r="BB8" s="29">
        <f>BB6*'Share of Pollutants'!$B$20</f>
        <v>88179305.960366443</v>
      </c>
      <c r="BC8" s="29">
        <f>BC6*'Share of Pollutants'!$B$20</f>
        <v>87416948.848317176</v>
      </c>
      <c r="BD8" s="29">
        <f>BD6*'Share of Pollutants'!$B$20</f>
        <v>86908710.773617655</v>
      </c>
      <c r="BE8" s="29">
        <f>BE6*'Share of Pollutants'!$B$20</f>
        <v>86146353.661568373</v>
      </c>
      <c r="BF8" s="29">
        <f>BF6*'Share of Pollutants'!$B$20</f>
        <v>85638115.586868852</v>
      </c>
      <c r="BG8" s="29">
        <f>BG6*'Share of Pollutants'!$B$20</f>
        <v>85129877.512169331</v>
      </c>
      <c r="BH8" s="29">
        <f>BH6*'Share of Pollutants'!$B$20</f>
        <v>84621639.437469825</v>
      </c>
      <c r="BI8" s="29">
        <f>BI6*'Share of Pollutants'!$B$20</f>
        <v>84621639.437469825</v>
      </c>
      <c r="BJ8" s="29">
        <f>BJ6*'Share of Pollutants'!$B$20</f>
        <v>84367520.400120065</v>
      </c>
      <c r="BK8" s="29">
        <f>BK6*'Share of Pollutants'!$B$20</f>
        <v>84367520.400120065</v>
      </c>
      <c r="BL8" s="29">
        <f>BL6*'Share of Pollutants'!$B$20</f>
        <v>84621639.437469825</v>
      </c>
      <c r="BM8" s="29">
        <f>BM6*'Share of Pollutants'!$B$20</f>
        <v>85129877.512169331</v>
      </c>
      <c r="BN8" s="29">
        <f>BN6*'Share of Pollutants'!$B$20</f>
        <v>85638115.586868852</v>
      </c>
      <c r="BO8" s="29">
        <f>BO6*'Share of Pollutants'!$B$20</f>
        <v>86146353.661568373</v>
      </c>
      <c r="BP8" s="29">
        <f>BP6*'Share of Pollutants'!$B$20</f>
        <v>86654591.736267895</v>
      </c>
      <c r="BQ8" s="29">
        <f>BQ6*'Share of Pollutants'!$B$20</f>
        <v>86908710.773617655</v>
      </c>
      <c r="BR8" s="29">
        <f>BR6*'Share of Pollutants'!$B$20</f>
        <v>86908710.773617655</v>
      </c>
      <c r="BS8" s="29">
        <f>BS6*'Share of Pollutants'!$B$20</f>
        <v>86908710.773617655</v>
      </c>
    </row>
    <row r="9" spans="1:75" x14ac:dyDescent="0.2">
      <c r="A9" s="30" t="s">
        <v>66</v>
      </c>
      <c r="B9" s="29">
        <f>B6*'Share of Pollutants'!$B$21</f>
        <v>-9734599.4817743506</v>
      </c>
      <c r="C9" s="29">
        <f>C6*'Share of Pollutants'!$B$21</f>
        <v>-16437110.600373086</v>
      </c>
      <c r="D9" s="29">
        <f>D6*'Share of Pollutants'!$B$21</f>
        <v>10851684.668207474</v>
      </c>
      <c r="E9" s="29">
        <f>E6*'Share of Pollutants'!$B$21</f>
        <v>34470057.181364916</v>
      </c>
      <c r="F9" s="29">
        <f>F6*'Share of Pollutants'!$B$21</f>
        <v>56811760.910027362</v>
      </c>
      <c r="G9" s="29">
        <f>G6*'Share of Pollutants'!$B$21</f>
        <v>69099697.960791707</v>
      </c>
      <c r="H9" s="29">
        <f>H6*'Share of Pollutants'!$B$21</f>
        <v>70695533.941410452</v>
      </c>
      <c r="I9" s="29">
        <f>I6*'Share of Pollutants'!$B$21</f>
        <v>91441401.689454153</v>
      </c>
      <c r="J9" s="29">
        <f>J6*'Share of Pollutants'!$B$21</f>
        <v>86653893.747597918</v>
      </c>
      <c r="K9" s="29">
        <f>K6*'Share of Pollutants'!$B$21</f>
        <v>89845565.708835408</v>
      </c>
      <c r="L9" s="29">
        <f>L6*'Share of Pollutants'!$B$21</f>
        <v>121762285.32121032</v>
      </c>
      <c r="M9" s="29">
        <f>M6*'Share of Pollutants'!$B$21</f>
        <v>104208089.53440411</v>
      </c>
      <c r="N9" s="29">
        <f>N6*'Share of Pollutants'!$B$21</f>
        <v>104208089.53440411</v>
      </c>
      <c r="O9" s="29">
        <f>O6*'Share of Pollutants'!$B$21</f>
        <v>94633073.650691643</v>
      </c>
      <c r="P9" s="29">
        <f>P6*'Share of Pollutants'!$B$21</f>
        <v>137720645.12739778</v>
      </c>
      <c r="Q9" s="29">
        <f>Q6*'Share of Pollutants'!$B$21</f>
        <v>105803925.51502286</v>
      </c>
      <c r="R9" s="29">
        <f>R6*'Share of Pollutants'!$B$21</f>
        <v>62716354.038316719</v>
      </c>
      <c r="S9" s="29">
        <f>S6*'Share of Pollutants'!$B$21</f>
        <v>23618372.513157442</v>
      </c>
      <c r="T9" s="29">
        <f>T6*'Share of Pollutants'!$B$21</f>
        <v>10692101.0701456</v>
      </c>
      <c r="U9" s="29">
        <f>U6*'Share of Pollutants'!$B$21</f>
        <v>-3989589.951546865</v>
      </c>
      <c r="V9" s="29">
        <f>V6*'Share of Pollutants'!$B$21</f>
        <v>-12128353.45270247</v>
      </c>
      <c r="W9" s="29">
        <f>W6*'Share of Pollutants'!$B$21</f>
        <v>5904593.1282893606</v>
      </c>
      <c r="X9" s="29">
        <f>X6*'Share of Pollutants'!$B$21</f>
        <v>32555054.004622422</v>
      </c>
      <c r="Y9" s="29">
        <f>Y6*'Share of Pollutants'!$B$21</f>
        <v>51545502.173985496</v>
      </c>
      <c r="Z9" s="29">
        <f>Z6*'Share of Pollutants'!$B$21</f>
        <v>57928846.096460484</v>
      </c>
      <c r="AA9" s="29">
        <f>AA6*'Share of Pollutants'!$B$21</f>
        <v>61120518.057697974</v>
      </c>
      <c r="AB9" s="29">
        <f>AB6*'Share of Pollutants'!$B$21</f>
        <v>62716354.038316719</v>
      </c>
      <c r="AC9" s="29">
        <f>AC6*'Share of Pollutants'!$B$21</f>
        <v>64312190.018935464</v>
      </c>
      <c r="AD9" s="29">
        <f>AD6*'Share of Pollutants'!$B$21</f>
        <v>64312190.018935464</v>
      </c>
      <c r="AE9" s="29">
        <f>AE6*'Share of Pollutants'!$B$21</f>
        <v>64312190.018935464</v>
      </c>
      <c r="AF9" s="29">
        <f>AF6*'Share of Pollutants'!$B$21</f>
        <v>64312190.018935464</v>
      </c>
      <c r="AG9" s="29">
        <f>AG6*'Share of Pollutants'!$B$21</f>
        <v>62716354.038316719</v>
      </c>
      <c r="AH9" s="29">
        <f>AH6*'Share of Pollutants'!$B$21</f>
        <v>62716354.038316719</v>
      </c>
      <c r="AI9" s="29">
        <f>AI6*'Share of Pollutants'!$B$21</f>
        <v>61120518.057697974</v>
      </c>
      <c r="AJ9" s="29">
        <f>AJ6*'Share of Pollutants'!$B$21</f>
        <v>58567180.488707982</v>
      </c>
      <c r="AK9" s="29">
        <f>AK6*'Share of Pollutants'!$B$21</f>
        <v>56492593.713903613</v>
      </c>
      <c r="AL9" s="29">
        <f>AL6*'Share of Pollutants'!$B$21</f>
        <v>54418006.939099245</v>
      </c>
      <c r="AM9" s="29">
        <f>AM6*'Share of Pollutants'!$B$21</f>
        <v>52822170.958480492</v>
      </c>
      <c r="AN9" s="29">
        <f>AN6*'Share of Pollutants'!$B$21</f>
        <v>48992164.604995504</v>
      </c>
      <c r="AO9" s="29">
        <f>AO6*'Share of Pollutants'!$B$21</f>
        <v>46598410.634067386</v>
      </c>
      <c r="AP9" s="29">
        <f>AP6*'Share of Pollutants'!$B$21</f>
        <v>45800492.643758014</v>
      </c>
      <c r="AQ9" s="29">
        <f>AQ6*'Share of Pollutants'!$B$21</f>
        <v>46757994.232129261</v>
      </c>
      <c r="AR9" s="29">
        <f>AR6*'Share of Pollutants'!$B$21</f>
        <v>48353830.212748006</v>
      </c>
      <c r="AS9" s="29">
        <f>AS6*'Share of Pollutants'!$B$21</f>
        <v>50747584.183676124</v>
      </c>
      <c r="AT9" s="29">
        <f>AT6*'Share of Pollutants'!$B$21</f>
        <v>53460505.350727998</v>
      </c>
      <c r="AU9" s="29">
        <f>AU6*'Share of Pollutants'!$B$21</f>
        <v>55535092.125532366</v>
      </c>
      <c r="AV9" s="29">
        <f>AV6*'Share of Pollutants'!$B$21</f>
        <v>56492593.713903613</v>
      </c>
      <c r="AW9" s="29">
        <f>AW6*'Share of Pollutants'!$B$21</f>
        <v>56652177.311965488</v>
      </c>
      <c r="AX9" s="29">
        <f>AX6*'Share of Pollutants'!$B$21</f>
        <v>56652177.311965488</v>
      </c>
      <c r="AY9" s="29">
        <f>AY6*'Share of Pollutants'!$B$21</f>
        <v>56492593.713903613</v>
      </c>
      <c r="AZ9" s="29">
        <f>AZ6*'Share of Pollutants'!$B$21</f>
        <v>56173426.517779864</v>
      </c>
      <c r="BA9" s="29">
        <f>BA6*'Share of Pollutants'!$B$21</f>
        <v>55694675.723594241</v>
      </c>
      <c r="BB9" s="29">
        <f>BB6*'Share of Pollutants'!$B$21</f>
        <v>55375508.527470492</v>
      </c>
      <c r="BC9" s="29">
        <f>BC6*'Share of Pollutants'!$B$21</f>
        <v>54896757.733284868</v>
      </c>
      <c r="BD9" s="29">
        <f>BD6*'Share of Pollutants'!$B$21</f>
        <v>54577590.537161119</v>
      </c>
      <c r="BE9" s="29">
        <f>BE6*'Share of Pollutants'!$B$21</f>
        <v>54098839.742975496</v>
      </c>
      <c r="BF9" s="29">
        <f>BF6*'Share of Pollutants'!$B$21</f>
        <v>53779672.546851747</v>
      </c>
      <c r="BG9" s="29">
        <f>BG6*'Share of Pollutants'!$B$21</f>
        <v>53460505.350727998</v>
      </c>
      <c r="BH9" s="29">
        <f>BH6*'Share of Pollutants'!$B$21</f>
        <v>53141338.154604249</v>
      </c>
      <c r="BI9" s="29">
        <f>BI6*'Share of Pollutants'!$B$21</f>
        <v>53141338.154604249</v>
      </c>
      <c r="BJ9" s="29">
        <f>BJ6*'Share of Pollutants'!$B$21</f>
        <v>52981754.556542367</v>
      </c>
      <c r="BK9" s="29">
        <f>BK6*'Share of Pollutants'!$B$21</f>
        <v>52981754.556542367</v>
      </c>
      <c r="BL9" s="29">
        <f>BL6*'Share of Pollutants'!$B$21</f>
        <v>53141338.154604249</v>
      </c>
      <c r="BM9" s="29">
        <f>BM6*'Share of Pollutants'!$B$21</f>
        <v>53460505.350727998</v>
      </c>
      <c r="BN9" s="29">
        <f>BN6*'Share of Pollutants'!$B$21</f>
        <v>53779672.546851747</v>
      </c>
      <c r="BO9" s="29">
        <f>BO6*'Share of Pollutants'!$B$21</f>
        <v>54098839.742975496</v>
      </c>
      <c r="BP9" s="29">
        <f>BP6*'Share of Pollutants'!$B$21</f>
        <v>54418006.939099245</v>
      </c>
      <c r="BQ9" s="29">
        <f>BQ6*'Share of Pollutants'!$B$21</f>
        <v>54577590.537161119</v>
      </c>
      <c r="BR9" s="29">
        <f>BR6*'Share of Pollutants'!$B$21</f>
        <v>54577590.537161119</v>
      </c>
      <c r="BS9" s="29">
        <f>BS6*'Share of Pollutants'!$B$21</f>
        <v>54577590.537161119</v>
      </c>
    </row>
    <row r="10" spans="1:75" x14ac:dyDescent="0.2">
      <c r="A10" s="30" t="s">
        <v>63</v>
      </c>
      <c r="B10" s="29">
        <v>1000000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 spans="1:75" x14ac:dyDescent="0.2">
      <c r="A11" s="30"/>
      <c r="B11" s="2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 spans="1:75" x14ac:dyDescent="0.2">
      <c r="A12" s="30"/>
      <c r="B12" s="2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 spans="1:75" x14ac:dyDescent="0.2">
      <c r="A13" s="30" t="s">
        <v>67</v>
      </c>
      <c r="B13" s="29">
        <f>B7*$B$10</f>
        <v>-35764139239890.336</v>
      </c>
      <c r="C13" s="29">
        <f t="shared" ref="C13:BN14" si="2">C7*$B$10</f>
        <v>-60388628552601.711</v>
      </c>
      <c r="D13" s="29">
        <f t="shared" si="2"/>
        <v>39868220792008.898</v>
      </c>
      <c r="E13" s="29">
        <f t="shared" si="2"/>
        <v>126640230751087.08</v>
      </c>
      <c r="F13" s="29">
        <f t="shared" si="2"/>
        <v>208721861793458.34</v>
      </c>
      <c r="G13" s="29">
        <f t="shared" si="2"/>
        <v>253866758866762.53</v>
      </c>
      <c r="H13" s="29">
        <f t="shared" si="2"/>
        <v>259729732512646.19</v>
      </c>
      <c r="I13" s="29">
        <f t="shared" si="2"/>
        <v>335948389909133.81</v>
      </c>
      <c r="J13" s="29">
        <f t="shared" si="2"/>
        <v>318359468971482.81</v>
      </c>
      <c r="K13" s="29">
        <f t="shared" si="2"/>
        <v>330085416263250.12</v>
      </c>
      <c r="L13" s="29">
        <f t="shared" si="2"/>
        <v>447344889180923.31</v>
      </c>
      <c r="M13" s="29">
        <f t="shared" si="2"/>
        <v>382852179076203.06</v>
      </c>
      <c r="N13" s="29">
        <f t="shared" si="2"/>
        <v>382852179076203.06</v>
      </c>
      <c r="O13" s="29">
        <f t="shared" si="2"/>
        <v>347674337200901.06</v>
      </c>
      <c r="P13" s="29">
        <f t="shared" si="2"/>
        <v>505974625639759.94</v>
      </c>
      <c r="Q13" s="29">
        <f t="shared" si="2"/>
        <v>388715152722086.75</v>
      </c>
      <c r="R13" s="29">
        <f t="shared" si="2"/>
        <v>230414864283227.91</v>
      </c>
      <c r="S13" s="29">
        <f t="shared" si="2"/>
        <v>86772009959078.188</v>
      </c>
      <c r="T13" s="29">
        <f t="shared" si="2"/>
        <v>39281923427420.523</v>
      </c>
      <c r="U13" s="29">
        <f t="shared" si="2"/>
        <v>-14657434114709.154</v>
      </c>
      <c r="V13" s="29">
        <f t="shared" si="2"/>
        <v>-44558599708715.828</v>
      </c>
      <c r="W13" s="29">
        <f t="shared" si="2"/>
        <v>21693002489769.547</v>
      </c>
      <c r="X13" s="29">
        <f t="shared" si="2"/>
        <v>119604662376026.69</v>
      </c>
      <c r="Y13" s="29">
        <f t="shared" si="2"/>
        <v>189374048762042.25</v>
      </c>
      <c r="Z13" s="29">
        <f t="shared" si="2"/>
        <v>212825943345576.91</v>
      </c>
      <c r="AA13" s="29">
        <f t="shared" si="2"/>
        <v>224551890637344.22</v>
      </c>
      <c r="AB13" s="29">
        <f t="shared" si="2"/>
        <v>230414864283227.91</v>
      </c>
      <c r="AC13" s="29">
        <f t="shared" si="2"/>
        <v>236277837929111.53</v>
      </c>
      <c r="AD13" s="29">
        <f t="shared" si="2"/>
        <v>236277837929111.53</v>
      </c>
      <c r="AE13" s="29">
        <f t="shared" si="2"/>
        <v>236277837929111.53</v>
      </c>
      <c r="AF13" s="29">
        <f t="shared" si="2"/>
        <v>236277837929111.53</v>
      </c>
      <c r="AG13" s="29">
        <f t="shared" si="2"/>
        <v>230414864283227.91</v>
      </c>
      <c r="AH13" s="29">
        <f t="shared" si="2"/>
        <v>230414864283227.91</v>
      </c>
      <c r="AI13" s="29">
        <f t="shared" si="2"/>
        <v>224551890637344.22</v>
      </c>
      <c r="AJ13" s="29">
        <f t="shared" si="2"/>
        <v>215171132803930.38</v>
      </c>
      <c r="AK13" s="29">
        <f t="shared" si="2"/>
        <v>207549267064281.62</v>
      </c>
      <c r="AL13" s="29">
        <f t="shared" si="2"/>
        <v>199927401324632.84</v>
      </c>
      <c r="AM13" s="29">
        <f t="shared" si="2"/>
        <v>194064427678749.19</v>
      </c>
      <c r="AN13" s="29">
        <f t="shared" si="2"/>
        <v>179993290928628.38</v>
      </c>
      <c r="AO13" s="29">
        <f t="shared" si="2"/>
        <v>171198830459802.91</v>
      </c>
      <c r="AP13" s="29">
        <f t="shared" si="2"/>
        <v>168267343636861.09</v>
      </c>
      <c r="AQ13" s="29">
        <f t="shared" si="2"/>
        <v>171785127824391.28</v>
      </c>
      <c r="AR13" s="29">
        <f t="shared" si="2"/>
        <v>177648101470274.94</v>
      </c>
      <c r="AS13" s="29">
        <f t="shared" si="2"/>
        <v>186442561939100.41</v>
      </c>
      <c r="AT13" s="29">
        <f t="shared" si="2"/>
        <v>196409617137102.66</v>
      </c>
      <c r="AU13" s="29">
        <f t="shared" si="2"/>
        <v>204031482876751.44</v>
      </c>
      <c r="AV13" s="29">
        <f t="shared" si="2"/>
        <v>207549267064281.62</v>
      </c>
      <c r="AW13" s="29">
        <f t="shared" si="2"/>
        <v>208135564428869.97</v>
      </c>
      <c r="AX13" s="29">
        <f t="shared" si="2"/>
        <v>208135564428869.97</v>
      </c>
      <c r="AY13" s="29">
        <f t="shared" si="2"/>
        <v>207549267064281.62</v>
      </c>
      <c r="AZ13" s="29">
        <f t="shared" si="2"/>
        <v>206376672335104.88</v>
      </c>
      <c r="BA13" s="29">
        <f t="shared" si="2"/>
        <v>204617780241339.78</v>
      </c>
      <c r="BB13" s="29">
        <f t="shared" si="2"/>
        <v>203445185512163.03</v>
      </c>
      <c r="BC13" s="29">
        <f t="shared" si="2"/>
        <v>201686293418397.94</v>
      </c>
      <c r="BD13" s="29">
        <f t="shared" si="2"/>
        <v>200513698689221.22</v>
      </c>
      <c r="BE13" s="29">
        <f t="shared" si="2"/>
        <v>198754806595456.12</v>
      </c>
      <c r="BF13" s="29">
        <f t="shared" si="2"/>
        <v>197582211866279.41</v>
      </c>
      <c r="BG13" s="29">
        <f t="shared" si="2"/>
        <v>196409617137102.66</v>
      </c>
      <c r="BH13" s="29">
        <f t="shared" si="2"/>
        <v>195237022407925.91</v>
      </c>
      <c r="BI13" s="29">
        <f t="shared" si="2"/>
        <v>195237022407925.91</v>
      </c>
      <c r="BJ13" s="29">
        <f t="shared" si="2"/>
        <v>194650725043337.56</v>
      </c>
      <c r="BK13" s="29">
        <f t="shared" si="2"/>
        <v>194650725043337.56</v>
      </c>
      <c r="BL13" s="29">
        <f t="shared" si="2"/>
        <v>195237022407925.91</v>
      </c>
      <c r="BM13" s="29">
        <f t="shared" si="2"/>
        <v>196409617137102.66</v>
      </c>
      <c r="BN13" s="29">
        <f t="shared" si="2"/>
        <v>197582211866279.41</v>
      </c>
      <c r="BO13" s="29">
        <f t="shared" ref="BO13:BS15" si="3">BO7*$B$10</f>
        <v>198754806595456.12</v>
      </c>
      <c r="BP13" s="29">
        <f t="shared" si="3"/>
        <v>199927401324632.84</v>
      </c>
      <c r="BQ13" s="29">
        <f t="shared" si="3"/>
        <v>200513698689221.22</v>
      </c>
      <c r="BR13" s="29">
        <f t="shared" si="3"/>
        <v>200513698689221.22</v>
      </c>
      <c r="BS13" s="29">
        <f t="shared" si="3"/>
        <v>200513698689221.22</v>
      </c>
    </row>
    <row r="14" spans="1:75" x14ac:dyDescent="0.2">
      <c r="A14" s="30" t="s">
        <v>68</v>
      </c>
      <c r="B14" s="29">
        <f t="shared" ref="B14:Q15" si="4">B8*$B$10</f>
        <v>-15501261278335.312</v>
      </c>
      <c r="C14" s="29">
        <f t="shared" si="4"/>
        <v>-26174260847025.199</v>
      </c>
      <c r="D14" s="29">
        <f t="shared" si="4"/>
        <v>17280094539783.627</v>
      </c>
      <c r="E14" s="29">
        <f t="shared" si="4"/>
        <v>54889712067547.992</v>
      </c>
      <c r="F14" s="29">
        <f t="shared" si="4"/>
        <v>90466377296514.266</v>
      </c>
      <c r="G14" s="29">
        <f t="shared" si="4"/>
        <v>110033543172445.75</v>
      </c>
      <c r="H14" s="29">
        <f t="shared" si="4"/>
        <v>112574733545943.33</v>
      </c>
      <c r="I14" s="29">
        <f t="shared" si="4"/>
        <v>145610208401412.03</v>
      </c>
      <c r="J14" s="29">
        <f t="shared" si="4"/>
        <v>137986637280919.25</v>
      </c>
      <c r="K14" s="29">
        <f t="shared" si="4"/>
        <v>143069018027914.44</v>
      </c>
      <c r="L14" s="29">
        <f t="shared" si="4"/>
        <v>193892825497866.28</v>
      </c>
      <c r="M14" s="29">
        <f t="shared" si="4"/>
        <v>165939731389392.75</v>
      </c>
      <c r="N14" s="29">
        <f t="shared" si="4"/>
        <v>165939731389392.75</v>
      </c>
      <c r="O14" s="29">
        <f t="shared" si="4"/>
        <v>150692589148407.22</v>
      </c>
      <c r="P14" s="29">
        <f t="shared" si="4"/>
        <v>219304729232842.22</v>
      </c>
      <c r="Q14" s="29">
        <f t="shared" si="4"/>
        <v>168480921762890.38</v>
      </c>
      <c r="R14" s="29">
        <f t="shared" si="2"/>
        <v>99868781678455.375</v>
      </c>
      <c r="S14" s="29">
        <f t="shared" si="2"/>
        <v>37609617527764.367</v>
      </c>
      <c r="T14" s="29">
        <f t="shared" si="2"/>
        <v>17025975502433.867</v>
      </c>
      <c r="U14" s="29">
        <f t="shared" si="2"/>
        <v>-6352975933743.9805</v>
      </c>
      <c r="V14" s="29">
        <f t="shared" si="2"/>
        <v>-19313046838581.699</v>
      </c>
      <c r="W14" s="29">
        <f t="shared" si="2"/>
        <v>9402404381941.0918</v>
      </c>
      <c r="X14" s="29">
        <f t="shared" si="2"/>
        <v>51840283619350.883</v>
      </c>
      <c r="Y14" s="29">
        <f t="shared" si="2"/>
        <v>82080449063972.219</v>
      </c>
      <c r="Z14" s="29">
        <f t="shared" si="2"/>
        <v>92245210557962.594</v>
      </c>
      <c r="AA14" s="29">
        <f t="shared" si="2"/>
        <v>97327591304957.781</v>
      </c>
      <c r="AB14" s="29">
        <f t="shared" si="2"/>
        <v>99868781678455.375</v>
      </c>
      <c r="AC14" s="29">
        <f t="shared" si="2"/>
        <v>102409972051952.95</v>
      </c>
      <c r="AD14" s="29">
        <f t="shared" si="2"/>
        <v>102409972051952.95</v>
      </c>
      <c r="AE14" s="29">
        <f t="shared" si="2"/>
        <v>102409972051952.95</v>
      </c>
      <c r="AF14" s="29">
        <f t="shared" si="2"/>
        <v>102409972051952.95</v>
      </c>
      <c r="AG14" s="29">
        <f t="shared" si="2"/>
        <v>99868781678455.375</v>
      </c>
      <c r="AH14" s="29">
        <f t="shared" si="2"/>
        <v>99868781678455.375</v>
      </c>
      <c r="AI14" s="29">
        <f t="shared" si="2"/>
        <v>97327591304957.781</v>
      </c>
      <c r="AJ14" s="29">
        <f t="shared" si="2"/>
        <v>93261686707361.641</v>
      </c>
      <c r="AK14" s="29">
        <f t="shared" si="2"/>
        <v>89958139221814.766</v>
      </c>
      <c r="AL14" s="29">
        <f t="shared" si="2"/>
        <v>86654591736267.891</v>
      </c>
      <c r="AM14" s="29">
        <f t="shared" si="2"/>
        <v>84113401362770.297</v>
      </c>
      <c r="AN14" s="29">
        <f t="shared" si="2"/>
        <v>78014544466376.078</v>
      </c>
      <c r="AO14" s="29">
        <f t="shared" si="2"/>
        <v>74202758906129.688</v>
      </c>
      <c r="AP14" s="29">
        <f t="shared" si="2"/>
        <v>72932163719380.906</v>
      </c>
      <c r="AQ14" s="29">
        <f t="shared" si="2"/>
        <v>74456877943479.453</v>
      </c>
      <c r="AR14" s="29">
        <f t="shared" si="2"/>
        <v>76998068316977.031</v>
      </c>
      <c r="AS14" s="29">
        <f t="shared" si="2"/>
        <v>80809853877223.438</v>
      </c>
      <c r="AT14" s="29">
        <f t="shared" si="2"/>
        <v>85129877512169.328</v>
      </c>
      <c r="AU14" s="29">
        <f t="shared" si="2"/>
        <v>88433424997716.203</v>
      </c>
      <c r="AV14" s="29">
        <f t="shared" si="2"/>
        <v>89958139221814.766</v>
      </c>
      <c r="AW14" s="29">
        <f t="shared" si="2"/>
        <v>90212258259164.531</v>
      </c>
      <c r="AX14" s="29">
        <f t="shared" si="2"/>
        <v>90212258259164.531</v>
      </c>
      <c r="AY14" s="29">
        <f t="shared" si="2"/>
        <v>89958139221814.766</v>
      </c>
      <c r="AZ14" s="29">
        <f t="shared" si="2"/>
        <v>89449901147115.25</v>
      </c>
      <c r="BA14" s="29">
        <f t="shared" si="2"/>
        <v>88687544035065.969</v>
      </c>
      <c r="BB14" s="29">
        <f t="shared" si="2"/>
        <v>88179305960366.438</v>
      </c>
      <c r="BC14" s="29">
        <f t="shared" si="2"/>
        <v>87416948848317.172</v>
      </c>
      <c r="BD14" s="29">
        <f t="shared" si="2"/>
        <v>86908710773617.656</v>
      </c>
      <c r="BE14" s="29">
        <f t="shared" si="2"/>
        <v>86146353661568.375</v>
      </c>
      <c r="BF14" s="29">
        <f t="shared" si="2"/>
        <v>85638115586868.859</v>
      </c>
      <c r="BG14" s="29">
        <f t="shared" si="2"/>
        <v>85129877512169.328</v>
      </c>
      <c r="BH14" s="29">
        <f t="shared" si="2"/>
        <v>84621639437469.828</v>
      </c>
      <c r="BI14" s="29">
        <f t="shared" si="2"/>
        <v>84621639437469.828</v>
      </c>
      <c r="BJ14" s="29">
        <f t="shared" si="2"/>
        <v>84367520400120.062</v>
      </c>
      <c r="BK14" s="29">
        <f t="shared" si="2"/>
        <v>84367520400120.062</v>
      </c>
      <c r="BL14" s="29">
        <f t="shared" si="2"/>
        <v>84621639437469.828</v>
      </c>
      <c r="BM14" s="29">
        <f t="shared" si="2"/>
        <v>85129877512169.328</v>
      </c>
      <c r="BN14" s="29">
        <f t="shared" si="2"/>
        <v>85638115586868.859</v>
      </c>
      <c r="BO14" s="29">
        <f t="shared" si="3"/>
        <v>86146353661568.375</v>
      </c>
      <c r="BP14" s="29">
        <f t="shared" si="3"/>
        <v>86654591736267.891</v>
      </c>
      <c r="BQ14" s="29">
        <f t="shared" si="3"/>
        <v>86908710773617.656</v>
      </c>
      <c r="BR14" s="29">
        <f t="shared" si="3"/>
        <v>86908710773617.656</v>
      </c>
      <c r="BS14" s="29">
        <f t="shared" si="3"/>
        <v>86908710773617.656</v>
      </c>
    </row>
    <row r="15" spans="1:75" x14ac:dyDescent="0.2">
      <c r="A15" s="30" t="s">
        <v>69</v>
      </c>
      <c r="B15" s="29">
        <f t="shared" si="4"/>
        <v>-9734599481774.3516</v>
      </c>
      <c r="C15" s="29">
        <f t="shared" ref="C15:BN15" si="5">C9*$B$10</f>
        <v>-16437110600373.086</v>
      </c>
      <c r="D15" s="29">
        <f t="shared" si="5"/>
        <v>10851684668207.475</v>
      </c>
      <c r="E15" s="29">
        <f t="shared" si="5"/>
        <v>34470057181364.918</v>
      </c>
      <c r="F15" s="29">
        <f t="shared" si="5"/>
        <v>56811760910027.359</v>
      </c>
      <c r="G15" s="29">
        <f t="shared" si="5"/>
        <v>69099697960791.711</v>
      </c>
      <c r="H15" s="29">
        <f t="shared" si="5"/>
        <v>70695533941410.453</v>
      </c>
      <c r="I15" s="29">
        <f t="shared" si="5"/>
        <v>91441401689454.156</v>
      </c>
      <c r="J15" s="29">
        <f t="shared" si="5"/>
        <v>86653893747597.922</v>
      </c>
      <c r="K15" s="29">
        <f t="shared" si="5"/>
        <v>89845565708835.406</v>
      </c>
      <c r="L15" s="29">
        <f t="shared" si="5"/>
        <v>121762285321210.33</v>
      </c>
      <c r="M15" s="29">
        <f t="shared" si="5"/>
        <v>104208089534404.11</v>
      </c>
      <c r="N15" s="29">
        <f t="shared" si="5"/>
        <v>104208089534404.11</v>
      </c>
      <c r="O15" s="29">
        <f t="shared" si="5"/>
        <v>94633073650691.641</v>
      </c>
      <c r="P15" s="29">
        <f t="shared" si="5"/>
        <v>137720645127397.78</v>
      </c>
      <c r="Q15" s="29">
        <f t="shared" si="5"/>
        <v>105803925515022.86</v>
      </c>
      <c r="R15" s="29">
        <f t="shared" si="5"/>
        <v>62716354038316.719</v>
      </c>
      <c r="S15" s="29">
        <f t="shared" si="5"/>
        <v>23618372513157.441</v>
      </c>
      <c r="T15" s="29">
        <f t="shared" si="5"/>
        <v>10692101070145.6</v>
      </c>
      <c r="U15" s="29">
        <f t="shared" si="5"/>
        <v>-3989589951546.8652</v>
      </c>
      <c r="V15" s="29">
        <f t="shared" si="5"/>
        <v>-12128353452702.471</v>
      </c>
      <c r="W15" s="29">
        <f t="shared" si="5"/>
        <v>5904593128289.3604</v>
      </c>
      <c r="X15" s="29">
        <f t="shared" si="5"/>
        <v>32555054004622.422</v>
      </c>
      <c r="Y15" s="29">
        <f t="shared" si="5"/>
        <v>51545502173985.5</v>
      </c>
      <c r="Z15" s="29">
        <f t="shared" si="5"/>
        <v>57928846096460.484</v>
      </c>
      <c r="AA15" s="29">
        <f t="shared" si="5"/>
        <v>61120518057697.977</v>
      </c>
      <c r="AB15" s="29">
        <f t="shared" si="5"/>
        <v>62716354038316.719</v>
      </c>
      <c r="AC15" s="29">
        <f t="shared" si="5"/>
        <v>64312190018935.461</v>
      </c>
      <c r="AD15" s="29">
        <f t="shared" si="5"/>
        <v>64312190018935.461</v>
      </c>
      <c r="AE15" s="29">
        <f t="shared" si="5"/>
        <v>64312190018935.461</v>
      </c>
      <c r="AF15" s="29">
        <f t="shared" si="5"/>
        <v>64312190018935.461</v>
      </c>
      <c r="AG15" s="29">
        <f t="shared" si="5"/>
        <v>62716354038316.719</v>
      </c>
      <c r="AH15" s="29">
        <f t="shared" si="5"/>
        <v>62716354038316.719</v>
      </c>
      <c r="AI15" s="29">
        <f t="shared" si="5"/>
        <v>61120518057697.977</v>
      </c>
      <c r="AJ15" s="29">
        <f t="shared" si="5"/>
        <v>58567180488707.984</v>
      </c>
      <c r="AK15" s="29">
        <f t="shared" si="5"/>
        <v>56492593713903.617</v>
      </c>
      <c r="AL15" s="29">
        <f t="shared" si="5"/>
        <v>54418006939099.242</v>
      </c>
      <c r="AM15" s="29">
        <f t="shared" si="5"/>
        <v>52822170958480.492</v>
      </c>
      <c r="AN15" s="29">
        <f t="shared" si="5"/>
        <v>48992164604995.508</v>
      </c>
      <c r="AO15" s="29">
        <f t="shared" si="5"/>
        <v>46598410634067.383</v>
      </c>
      <c r="AP15" s="29">
        <f t="shared" si="5"/>
        <v>45800492643758.016</v>
      </c>
      <c r="AQ15" s="29">
        <f t="shared" si="5"/>
        <v>46757994232129.258</v>
      </c>
      <c r="AR15" s="29">
        <f t="shared" si="5"/>
        <v>48353830212748.008</v>
      </c>
      <c r="AS15" s="29">
        <f t="shared" si="5"/>
        <v>50747584183676.125</v>
      </c>
      <c r="AT15" s="29">
        <f t="shared" si="5"/>
        <v>53460505350728</v>
      </c>
      <c r="AU15" s="29">
        <f t="shared" si="5"/>
        <v>55535092125532.367</v>
      </c>
      <c r="AV15" s="29">
        <f t="shared" si="5"/>
        <v>56492593713903.617</v>
      </c>
      <c r="AW15" s="29">
        <f t="shared" si="5"/>
        <v>56652177311965.484</v>
      </c>
      <c r="AX15" s="29">
        <f t="shared" si="5"/>
        <v>56652177311965.484</v>
      </c>
      <c r="AY15" s="29">
        <f t="shared" si="5"/>
        <v>56492593713903.617</v>
      </c>
      <c r="AZ15" s="29">
        <f t="shared" si="5"/>
        <v>56173426517779.867</v>
      </c>
      <c r="BA15" s="29">
        <f t="shared" si="5"/>
        <v>55694675723594.242</v>
      </c>
      <c r="BB15" s="29">
        <f t="shared" si="5"/>
        <v>55375508527470.492</v>
      </c>
      <c r="BC15" s="29">
        <f t="shared" si="5"/>
        <v>54896757733284.867</v>
      </c>
      <c r="BD15" s="29">
        <f t="shared" si="5"/>
        <v>54577590537161.117</v>
      </c>
      <c r="BE15" s="29">
        <f t="shared" si="5"/>
        <v>54098839742975.492</v>
      </c>
      <c r="BF15" s="29">
        <f t="shared" si="5"/>
        <v>53779672546851.75</v>
      </c>
      <c r="BG15" s="29">
        <f t="shared" si="5"/>
        <v>53460505350728</v>
      </c>
      <c r="BH15" s="29">
        <f t="shared" si="5"/>
        <v>53141338154604.25</v>
      </c>
      <c r="BI15" s="29">
        <f t="shared" si="5"/>
        <v>53141338154604.25</v>
      </c>
      <c r="BJ15" s="29">
        <f t="shared" si="5"/>
        <v>52981754556542.367</v>
      </c>
      <c r="BK15" s="29">
        <f t="shared" si="5"/>
        <v>52981754556542.367</v>
      </c>
      <c r="BL15" s="29">
        <f t="shared" si="5"/>
        <v>53141338154604.25</v>
      </c>
      <c r="BM15" s="29">
        <f t="shared" si="5"/>
        <v>53460505350728</v>
      </c>
      <c r="BN15" s="29">
        <f t="shared" si="5"/>
        <v>53779672546851.75</v>
      </c>
      <c r="BO15" s="29">
        <f t="shared" si="3"/>
        <v>54098839742975.492</v>
      </c>
      <c r="BP15" s="29">
        <f t="shared" si="3"/>
        <v>54418006939099.242</v>
      </c>
      <c r="BQ15" s="29">
        <f t="shared" si="3"/>
        <v>54577590537161.117</v>
      </c>
      <c r="BR15" s="29">
        <f t="shared" si="3"/>
        <v>54577590537161.117</v>
      </c>
      <c r="BS15" s="29">
        <f t="shared" si="3"/>
        <v>54577590537161.117</v>
      </c>
    </row>
    <row r="16" spans="1:75" x14ac:dyDescent="0.2">
      <c r="A16" s="3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</row>
    <row r="17" spans="1:71" x14ac:dyDescent="0.2">
      <c r="A17" s="30" t="s">
        <v>70</v>
      </c>
      <c r="B17" s="29">
        <f>B13/$B$24</f>
        <v>-35764139239890.336</v>
      </c>
      <c r="C17" s="29">
        <f t="shared" ref="C17:BN17" si="6">C13/$B$24</f>
        <v>-60388628552601.711</v>
      </c>
      <c r="D17" s="29">
        <f t="shared" si="6"/>
        <v>39868220792008.898</v>
      </c>
      <c r="E17" s="29">
        <f t="shared" si="6"/>
        <v>126640230751087.08</v>
      </c>
      <c r="F17" s="29">
        <f t="shared" si="6"/>
        <v>208721861793458.34</v>
      </c>
      <c r="G17" s="29">
        <f t="shared" si="6"/>
        <v>253866758866762.53</v>
      </c>
      <c r="H17" s="29">
        <f t="shared" si="6"/>
        <v>259729732512646.19</v>
      </c>
      <c r="I17" s="29">
        <f t="shared" si="6"/>
        <v>335948389909133.81</v>
      </c>
      <c r="J17" s="29">
        <f t="shared" si="6"/>
        <v>318359468971482.81</v>
      </c>
      <c r="K17" s="29">
        <f t="shared" si="6"/>
        <v>330085416263250.12</v>
      </c>
      <c r="L17" s="29">
        <f t="shared" si="6"/>
        <v>447344889180923.31</v>
      </c>
      <c r="M17" s="29">
        <f t="shared" si="6"/>
        <v>382852179076203.06</v>
      </c>
      <c r="N17" s="29">
        <f t="shared" si="6"/>
        <v>382852179076203.06</v>
      </c>
      <c r="O17" s="29">
        <f t="shared" si="6"/>
        <v>347674337200901.06</v>
      </c>
      <c r="P17" s="29">
        <f t="shared" si="6"/>
        <v>505974625639759.94</v>
      </c>
      <c r="Q17" s="29">
        <f t="shared" si="6"/>
        <v>388715152722086.75</v>
      </c>
      <c r="R17" s="29">
        <f t="shared" si="6"/>
        <v>230414864283227.91</v>
      </c>
      <c r="S17" s="29">
        <f t="shared" si="6"/>
        <v>86772009959078.188</v>
      </c>
      <c r="T17" s="29">
        <f t="shared" si="6"/>
        <v>39281923427420.523</v>
      </c>
      <c r="U17" s="29">
        <f t="shared" si="6"/>
        <v>-14657434114709.154</v>
      </c>
      <c r="V17" s="29">
        <f t="shared" si="6"/>
        <v>-44558599708715.828</v>
      </c>
      <c r="W17" s="29">
        <f t="shared" si="6"/>
        <v>21693002489769.547</v>
      </c>
      <c r="X17" s="29">
        <f t="shared" si="6"/>
        <v>119604662376026.69</v>
      </c>
      <c r="Y17" s="29">
        <f t="shared" si="6"/>
        <v>189374048762042.25</v>
      </c>
      <c r="Z17" s="29">
        <f t="shared" si="6"/>
        <v>212825943345576.91</v>
      </c>
      <c r="AA17" s="29">
        <f t="shared" si="6"/>
        <v>224551890637344.22</v>
      </c>
      <c r="AB17" s="29">
        <f t="shared" si="6"/>
        <v>230414864283227.91</v>
      </c>
      <c r="AC17" s="29">
        <f t="shared" si="6"/>
        <v>236277837929111.53</v>
      </c>
      <c r="AD17" s="29">
        <f t="shared" si="6"/>
        <v>236277837929111.53</v>
      </c>
      <c r="AE17" s="29">
        <f t="shared" si="6"/>
        <v>236277837929111.53</v>
      </c>
      <c r="AF17" s="29">
        <f t="shared" si="6"/>
        <v>236277837929111.53</v>
      </c>
      <c r="AG17" s="29">
        <f t="shared" si="6"/>
        <v>230414864283227.91</v>
      </c>
      <c r="AH17" s="29">
        <f t="shared" si="6"/>
        <v>230414864283227.91</v>
      </c>
      <c r="AI17" s="29">
        <f t="shared" si="6"/>
        <v>224551890637344.22</v>
      </c>
      <c r="AJ17" s="29">
        <f t="shared" si="6"/>
        <v>215171132803930.38</v>
      </c>
      <c r="AK17" s="29">
        <f t="shared" si="6"/>
        <v>207549267064281.62</v>
      </c>
      <c r="AL17" s="29">
        <f t="shared" si="6"/>
        <v>199927401324632.84</v>
      </c>
      <c r="AM17" s="29">
        <f t="shared" si="6"/>
        <v>194064427678749.19</v>
      </c>
      <c r="AN17" s="29">
        <f t="shared" si="6"/>
        <v>179993290928628.38</v>
      </c>
      <c r="AO17" s="29">
        <f t="shared" si="6"/>
        <v>171198830459802.91</v>
      </c>
      <c r="AP17" s="29">
        <f t="shared" si="6"/>
        <v>168267343636861.09</v>
      </c>
      <c r="AQ17" s="29">
        <f t="shared" si="6"/>
        <v>171785127824391.28</v>
      </c>
      <c r="AR17" s="29">
        <f t="shared" si="6"/>
        <v>177648101470274.94</v>
      </c>
      <c r="AS17" s="29">
        <f t="shared" si="6"/>
        <v>186442561939100.41</v>
      </c>
      <c r="AT17" s="29">
        <f t="shared" si="6"/>
        <v>196409617137102.66</v>
      </c>
      <c r="AU17" s="29">
        <f t="shared" si="6"/>
        <v>204031482876751.44</v>
      </c>
      <c r="AV17" s="29">
        <f t="shared" si="6"/>
        <v>207549267064281.62</v>
      </c>
      <c r="AW17" s="29">
        <f t="shared" si="6"/>
        <v>208135564428869.97</v>
      </c>
      <c r="AX17" s="29">
        <f t="shared" si="6"/>
        <v>208135564428869.97</v>
      </c>
      <c r="AY17" s="29">
        <f t="shared" si="6"/>
        <v>207549267064281.62</v>
      </c>
      <c r="AZ17" s="29">
        <f t="shared" si="6"/>
        <v>206376672335104.88</v>
      </c>
      <c r="BA17" s="29">
        <f t="shared" si="6"/>
        <v>204617780241339.78</v>
      </c>
      <c r="BB17" s="29">
        <f t="shared" si="6"/>
        <v>203445185512163.03</v>
      </c>
      <c r="BC17" s="29">
        <f t="shared" si="6"/>
        <v>201686293418397.94</v>
      </c>
      <c r="BD17" s="29">
        <f t="shared" si="6"/>
        <v>200513698689221.22</v>
      </c>
      <c r="BE17" s="29">
        <f t="shared" si="6"/>
        <v>198754806595456.12</v>
      </c>
      <c r="BF17" s="29">
        <f t="shared" si="6"/>
        <v>197582211866279.41</v>
      </c>
      <c r="BG17" s="29">
        <f t="shared" si="6"/>
        <v>196409617137102.66</v>
      </c>
      <c r="BH17" s="29">
        <f t="shared" si="6"/>
        <v>195237022407925.91</v>
      </c>
      <c r="BI17" s="29">
        <f t="shared" si="6"/>
        <v>195237022407925.91</v>
      </c>
      <c r="BJ17" s="29">
        <f t="shared" si="6"/>
        <v>194650725043337.56</v>
      </c>
      <c r="BK17" s="29">
        <f t="shared" si="6"/>
        <v>194650725043337.56</v>
      </c>
      <c r="BL17" s="29">
        <f t="shared" si="6"/>
        <v>195237022407925.91</v>
      </c>
      <c r="BM17" s="29">
        <f t="shared" si="6"/>
        <v>196409617137102.66</v>
      </c>
      <c r="BN17" s="29">
        <f t="shared" si="6"/>
        <v>197582211866279.41</v>
      </c>
      <c r="BO17" s="29">
        <f t="shared" ref="BO17:BS17" si="7">BO13/$B$24</f>
        <v>198754806595456.12</v>
      </c>
      <c r="BP17" s="29">
        <f t="shared" si="7"/>
        <v>199927401324632.84</v>
      </c>
      <c r="BQ17" s="29">
        <f t="shared" si="7"/>
        <v>200513698689221.22</v>
      </c>
      <c r="BR17" s="29">
        <f t="shared" si="7"/>
        <v>200513698689221.22</v>
      </c>
      <c r="BS17" s="29">
        <f t="shared" si="7"/>
        <v>200513698689221.22</v>
      </c>
    </row>
    <row r="18" spans="1:71" x14ac:dyDescent="0.2">
      <c r="A18" s="30" t="s">
        <v>71</v>
      </c>
      <c r="B18" s="29">
        <f>B14/$B$25</f>
        <v>-553616474226.26111</v>
      </c>
      <c r="C18" s="29">
        <f t="shared" ref="C18:BN18" si="8">C14/$B$25</f>
        <v>-934795030250.90002</v>
      </c>
      <c r="D18" s="29">
        <f t="shared" si="8"/>
        <v>617146233563.70093</v>
      </c>
      <c r="E18" s="29">
        <f t="shared" si="8"/>
        <v>1960346859555.2854</v>
      </c>
      <c r="F18" s="29">
        <f t="shared" si="8"/>
        <v>3230942046304.0811</v>
      </c>
      <c r="G18" s="29">
        <f t="shared" si="8"/>
        <v>3929769399015.9194</v>
      </c>
      <c r="H18" s="29">
        <f t="shared" si="8"/>
        <v>4020526198069.4048</v>
      </c>
      <c r="I18" s="29">
        <f t="shared" si="8"/>
        <v>5200364585764.7158</v>
      </c>
      <c r="J18" s="29">
        <f t="shared" si="8"/>
        <v>4928094188604.2588</v>
      </c>
      <c r="K18" s="29">
        <f t="shared" si="8"/>
        <v>5109607786711.2295</v>
      </c>
      <c r="L18" s="29">
        <f t="shared" si="8"/>
        <v>6924743767780.9385</v>
      </c>
      <c r="M18" s="29">
        <f t="shared" si="8"/>
        <v>5926418978192.5986</v>
      </c>
      <c r="N18" s="29">
        <f t="shared" si="8"/>
        <v>5926418978192.5986</v>
      </c>
      <c r="O18" s="29">
        <f t="shared" si="8"/>
        <v>5381878183871.6865</v>
      </c>
      <c r="P18" s="29">
        <f t="shared" si="8"/>
        <v>7832311758315.7939</v>
      </c>
      <c r="Q18" s="29">
        <f t="shared" si="8"/>
        <v>6017175777246.085</v>
      </c>
      <c r="R18" s="29">
        <f t="shared" si="8"/>
        <v>3566742202801.9775</v>
      </c>
      <c r="S18" s="29">
        <f t="shared" si="8"/>
        <v>1343200625991.5845</v>
      </c>
      <c r="T18" s="29">
        <f t="shared" si="8"/>
        <v>608070553658.35242</v>
      </c>
      <c r="U18" s="29">
        <f t="shared" si="8"/>
        <v>-226891997633.71359</v>
      </c>
      <c r="V18" s="29">
        <f t="shared" si="8"/>
        <v>-689751672806.48926</v>
      </c>
      <c r="W18" s="29">
        <f t="shared" si="8"/>
        <v>335800156497.89612</v>
      </c>
      <c r="X18" s="29">
        <f t="shared" si="8"/>
        <v>1851438700691.103</v>
      </c>
      <c r="Y18" s="29">
        <f t="shared" si="8"/>
        <v>2931444609427.5791</v>
      </c>
      <c r="Z18" s="29">
        <f t="shared" si="8"/>
        <v>3294471805641.521</v>
      </c>
      <c r="AA18" s="29">
        <f t="shared" si="8"/>
        <v>3475985403748.4922</v>
      </c>
      <c r="AB18" s="29">
        <f t="shared" si="8"/>
        <v>3566742202801.9775</v>
      </c>
      <c r="AC18" s="29">
        <f t="shared" si="8"/>
        <v>3657499001855.4624</v>
      </c>
      <c r="AD18" s="29">
        <f t="shared" si="8"/>
        <v>3657499001855.4624</v>
      </c>
      <c r="AE18" s="29">
        <f t="shared" si="8"/>
        <v>3657499001855.4624</v>
      </c>
      <c r="AF18" s="29">
        <f t="shared" si="8"/>
        <v>3657499001855.4624</v>
      </c>
      <c r="AG18" s="29">
        <f t="shared" si="8"/>
        <v>3566742202801.9775</v>
      </c>
      <c r="AH18" s="29">
        <f t="shared" si="8"/>
        <v>3566742202801.9775</v>
      </c>
      <c r="AI18" s="29">
        <f t="shared" si="8"/>
        <v>3475985403748.4922</v>
      </c>
      <c r="AJ18" s="29">
        <f t="shared" si="8"/>
        <v>3330774525262.9155</v>
      </c>
      <c r="AK18" s="29">
        <f t="shared" si="8"/>
        <v>3212790686493.3843</v>
      </c>
      <c r="AL18" s="29">
        <f t="shared" si="8"/>
        <v>3094806847723.853</v>
      </c>
      <c r="AM18" s="29">
        <f t="shared" si="8"/>
        <v>3004050048670.3677</v>
      </c>
      <c r="AN18" s="29">
        <f t="shared" si="8"/>
        <v>2786233730942.0029</v>
      </c>
      <c r="AO18" s="29">
        <f t="shared" si="8"/>
        <v>2650098532361.7744</v>
      </c>
      <c r="AP18" s="29">
        <f t="shared" si="8"/>
        <v>2604720132835.0322</v>
      </c>
      <c r="AQ18" s="29">
        <f t="shared" si="8"/>
        <v>2659174212267.1235</v>
      </c>
      <c r="AR18" s="29">
        <f t="shared" si="8"/>
        <v>2749931011320.6084</v>
      </c>
      <c r="AS18" s="29">
        <f t="shared" si="8"/>
        <v>2886066209900.8369</v>
      </c>
      <c r="AT18" s="29">
        <f t="shared" si="8"/>
        <v>3040352768291.7617</v>
      </c>
      <c r="AU18" s="29">
        <f t="shared" si="8"/>
        <v>3158336607061.293</v>
      </c>
      <c r="AV18" s="29">
        <f t="shared" si="8"/>
        <v>3212790686493.3843</v>
      </c>
      <c r="AW18" s="29">
        <f t="shared" si="8"/>
        <v>3221866366398.7334</v>
      </c>
      <c r="AX18" s="29">
        <f t="shared" si="8"/>
        <v>3221866366398.7334</v>
      </c>
      <c r="AY18" s="29">
        <f t="shared" si="8"/>
        <v>3212790686493.3843</v>
      </c>
      <c r="AZ18" s="29">
        <f t="shared" si="8"/>
        <v>3194639326682.6875</v>
      </c>
      <c r="BA18" s="29">
        <f t="shared" si="8"/>
        <v>3167412286966.6416</v>
      </c>
      <c r="BB18" s="29">
        <f t="shared" si="8"/>
        <v>3149260927155.9443</v>
      </c>
      <c r="BC18" s="29">
        <f t="shared" si="8"/>
        <v>3122033887439.8989</v>
      </c>
      <c r="BD18" s="29">
        <f t="shared" si="8"/>
        <v>3103882527629.2021</v>
      </c>
      <c r="BE18" s="29">
        <f t="shared" si="8"/>
        <v>3076655487913.1562</v>
      </c>
      <c r="BF18" s="29">
        <f t="shared" si="8"/>
        <v>3058504128102.4595</v>
      </c>
      <c r="BG18" s="29">
        <f t="shared" si="8"/>
        <v>3040352768291.7617</v>
      </c>
      <c r="BH18" s="29">
        <f t="shared" si="8"/>
        <v>3022201408481.0654</v>
      </c>
      <c r="BI18" s="29">
        <f t="shared" si="8"/>
        <v>3022201408481.0654</v>
      </c>
      <c r="BJ18" s="29">
        <f t="shared" si="8"/>
        <v>3013125728575.7163</v>
      </c>
      <c r="BK18" s="29">
        <f t="shared" si="8"/>
        <v>3013125728575.7163</v>
      </c>
      <c r="BL18" s="29">
        <f t="shared" si="8"/>
        <v>3022201408481.0654</v>
      </c>
      <c r="BM18" s="29">
        <f t="shared" si="8"/>
        <v>3040352768291.7617</v>
      </c>
      <c r="BN18" s="29">
        <f t="shared" si="8"/>
        <v>3058504128102.4595</v>
      </c>
      <c r="BO18" s="29">
        <f t="shared" ref="BO18:BS18" si="9">BO14/$B$25</f>
        <v>3076655487913.1562</v>
      </c>
      <c r="BP18" s="29">
        <f t="shared" si="9"/>
        <v>3094806847723.853</v>
      </c>
      <c r="BQ18" s="29">
        <f t="shared" si="9"/>
        <v>3103882527629.2021</v>
      </c>
      <c r="BR18" s="29">
        <f t="shared" si="9"/>
        <v>3103882527629.2021</v>
      </c>
      <c r="BS18" s="29">
        <f t="shared" si="9"/>
        <v>3103882527629.2021</v>
      </c>
    </row>
    <row r="19" spans="1:71" x14ac:dyDescent="0.2">
      <c r="A19" s="30" t="s">
        <v>72</v>
      </c>
      <c r="B19" s="29">
        <f>B15/$B$26</f>
        <v>-36734337667.073029</v>
      </c>
      <c r="C19" s="29">
        <f t="shared" ref="C19:BN19" si="10">C15/$B$26</f>
        <v>-62026832454.23806</v>
      </c>
      <c r="D19" s="29">
        <f t="shared" si="10"/>
        <v>40949753464.933868</v>
      </c>
      <c r="E19" s="29">
        <f t="shared" si="10"/>
        <v>130075687476.84874</v>
      </c>
      <c r="F19" s="29">
        <f t="shared" si="10"/>
        <v>214384003434.06552</v>
      </c>
      <c r="G19" s="29">
        <f t="shared" si="10"/>
        <v>260753577210.53476</v>
      </c>
      <c r="H19" s="29">
        <f t="shared" si="10"/>
        <v>266775599778.90738</v>
      </c>
      <c r="I19" s="29">
        <f t="shared" si="10"/>
        <v>345061893167.75153</v>
      </c>
      <c r="J19" s="29">
        <f t="shared" si="10"/>
        <v>326995825462.63367</v>
      </c>
      <c r="K19" s="29">
        <f t="shared" si="10"/>
        <v>339039870599.37891</v>
      </c>
      <c r="L19" s="29">
        <f t="shared" si="10"/>
        <v>459480321966.83142</v>
      </c>
      <c r="M19" s="29">
        <f t="shared" si="10"/>
        <v>393238073714.73248</v>
      </c>
      <c r="N19" s="29">
        <f t="shared" si="10"/>
        <v>393238073714.73248</v>
      </c>
      <c r="O19" s="29">
        <f t="shared" si="10"/>
        <v>357105938304.49677</v>
      </c>
      <c r="P19" s="29">
        <f t="shared" si="10"/>
        <v>519700547650.55768</v>
      </c>
      <c r="Q19" s="29">
        <f t="shared" si="10"/>
        <v>399260096283.1051</v>
      </c>
      <c r="R19" s="29">
        <f t="shared" si="10"/>
        <v>236665486937.04422</v>
      </c>
      <c r="S19" s="29">
        <f t="shared" si="10"/>
        <v>89125934011.914871</v>
      </c>
      <c r="T19" s="29">
        <f t="shared" si="10"/>
        <v>40347551208.096603</v>
      </c>
      <c r="U19" s="29">
        <f t="shared" si="10"/>
        <v>-15055056420.931566</v>
      </c>
      <c r="V19" s="29">
        <f t="shared" si="10"/>
        <v>-45767371519.631966</v>
      </c>
      <c r="W19" s="29">
        <f t="shared" si="10"/>
        <v>22281483502.978718</v>
      </c>
      <c r="X19" s="29">
        <f t="shared" si="10"/>
        <v>122849260394.80159</v>
      </c>
      <c r="Y19" s="29">
        <f t="shared" si="10"/>
        <v>194511328958.43585</v>
      </c>
      <c r="Z19" s="29">
        <f t="shared" si="10"/>
        <v>218599419231.92636</v>
      </c>
      <c r="AA19" s="29">
        <f t="shared" si="10"/>
        <v>230643464368.6716</v>
      </c>
      <c r="AB19" s="29">
        <f t="shared" si="10"/>
        <v>236665486937.04422</v>
      </c>
      <c r="AC19" s="29">
        <f t="shared" si="10"/>
        <v>242687509505.41684</v>
      </c>
      <c r="AD19" s="29">
        <f t="shared" si="10"/>
        <v>242687509505.41684</v>
      </c>
      <c r="AE19" s="29">
        <f t="shared" si="10"/>
        <v>242687509505.41684</v>
      </c>
      <c r="AF19" s="29">
        <f t="shared" si="10"/>
        <v>242687509505.41684</v>
      </c>
      <c r="AG19" s="29">
        <f t="shared" si="10"/>
        <v>236665486937.04422</v>
      </c>
      <c r="AH19" s="29">
        <f t="shared" si="10"/>
        <v>236665486937.04422</v>
      </c>
      <c r="AI19" s="29">
        <f t="shared" si="10"/>
        <v>230643464368.6716</v>
      </c>
      <c r="AJ19" s="29">
        <f t="shared" si="10"/>
        <v>221008228259.27542</v>
      </c>
      <c r="AK19" s="29">
        <f t="shared" si="10"/>
        <v>213179598920.39102</v>
      </c>
      <c r="AL19" s="29">
        <f t="shared" si="10"/>
        <v>205350969581.50656</v>
      </c>
      <c r="AM19" s="29">
        <f t="shared" si="10"/>
        <v>199328947013.13394</v>
      </c>
      <c r="AN19" s="29">
        <f t="shared" si="10"/>
        <v>184876092849.03964</v>
      </c>
      <c r="AO19" s="29">
        <f t="shared" si="10"/>
        <v>175843058996.48068</v>
      </c>
      <c r="AP19" s="29">
        <f t="shared" si="10"/>
        <v>172832047712.2944</v>
      </c>
      <c r="AQ19" s="29">
        <f t="shared" si="10"/>
        <v>176445261253.31796</v>
      </c>
      <c r="AR19" s="29">
        <f t="shared" si="10"/>
        <v>182467283821.69058</v>
      </c>
      <c r="AS19" s="29">
        <f t="shared" si="10"/>
        <v>191500317674.24954</v>
      </c>
      <c r="AT19" s="29">
        <f t="shared" si="10"/>
        <v>201737756040.48303</v>
      </c>
      <c r="AU19" s="29">
        <f t="shared" si="10"/>
        <v>209566385379.36743</v>
      </c>
      <c r="AV19" s="29">
        <f t="shared" si="10"/>
        <v>213179598920.39102</v>
      </c>
      <c r="AW19" s="29">
        <f t="shared" si="10"/>
        <v>213781801177.22824</v>
      </c>
      <c r="AX19" s="29">
        <f t="shared" si="10"/>
        <v>213781801177.22824</v>
      </c>
      <c r="AY19" s="29">
        <f t="shared" si="10"/>
        <v>213179598920.39102</v>
      </c>
      <c r="AZ19" s="29">
        <f t="shared" si="10"/>
        <v>211975194406.71649</v>
      </c>
      <c r="BA19" s="29">
        <f t="shared" si="10"/>
        <v>210168587636.20468</v>
      </c>
      <c r="BB19" s="29">
        <f t="shared" si="10"/>
        <v>208964183122.53015</v>
      </c>
      <c r="BC19" s="29">
        <f t="shared" si="10"/>
        <v>207157576352.01837</v>
      </c>
      <c r="BD19" s="29">
        <f t="shared" si="10"/>
        <v>205953171838.34384</v>
      </c>
      <c r="BE19" s="29">
        <f t="shared" si="10"/>
        <v>204146565067.83203</v>
      </c>
      <c r="BF19" s="29">
        <f t="shared" si="10"/>
        <v>202942160554.15756</v>
      </c>
      <c r="BG19" s="29">
        <f t="shared" si="10"/>
        <v>201737756040.48303</v>
      </c>
      <c r="BH19" s="29">
        <f t="shared" si="10"/>
        <v>200533351526.8085</v>
      </c>
      <c r="BI19" s="29">
        <f t="shared" si="10"/>
        <v>200533351526.8085</v>
      </c>
      <c r="BJ19" s="29">
        <f t="shared" si="10"/>
        <v>199931149269.97119</v>
      </c>
      <c r="BK19" s="29">
        <f t="shared" si="10"/>
        <v>199931149269.97119</v>
      </c>
      <c r="BL19" s="29">
        <f t="shared" si="10"/>
        <v>200533351526.8085</v>
      </c>
      <c r="BM19" s="29">
        <f t="shared" si="10"/>
        <v>201737756040.48303</v>
      </c>
      <c r="BN19" s="29">
        <f t="shared" si="10"/>
        <v>202942160554.15756</v>
      </c>
      <c r="BO19" s="29">
        <f t="shared" ref="BO19:BS19" si="11">BO15/$B$26</f>
        <v>204146565067.83203</v>
      </c>
      <c r="BP19" s="29">
        <f t="shared" si="11"/>
        <v>205350969581.50656</v>
      </c>
      <c r="BQ19" s="29">
        <f t="shared" si="11"/>
        <v>205953171838.34384</v>
      </c>
      <c r="BR19" s="29">
        <f t="shared" si="11"/>
        <v>205953171838.34384</v>
      </c>
      <c r="BS19" s="29">
        <f t="shared" si="11"/>
        <v>205953171838.34384</v>
      </c>
    </row>
    <row r="20" spans="1:71" x14ac:dyDescent="0.2">
      <c r="A20" s="31"/>
      <c r="B20" s="2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</row>
    <row r="21" spans="1:71" x14ac:dyDescent="0.2">
      <c r="A21" s="3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</row>
    <row r="22" spans="1:71" x14ac:dyDescent="0.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</row>
    <row r="23" spans="1:71" x14ac:dyDescent="0.2">
      <c r="A23" s="31" t="s">
        <v>54</v>
      </c>
      <c r="B23" s="32" t="s">
        <v>55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</row>
    <row r="24" spans="1:71" x14ac:dyDescent="0.2">
      <c r="A24" s="31" t="s">
        <v>6</v>
      </c>
      <c r="B24" s="33">
        <v>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</row>
    <row r="25" spans="1:71" x14ac:dyDescent="0.2">
      <c r="A25" s="31" t="s">
        <v>7</v>
      </c>
      <c r="B25" s="33">
        <v>28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</row>
    <row r="26" spans="1:71" x14ac:dyDescent="0.2">
      <c r="A26" s="31" t="s">
        <v>8</v>
      </c>
      <c r="B26" s="33">
        <v>265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</row>
    <row r="27" spans="1:71" x14ac:dyDescent="0.2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</row>
    <row r="28" spans="1:71" x14ac:dyDescent="0.2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</row>
    <row r="29" spans="1:71" x14ac:dyDescent="0.2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</row>
    <row r="30" spans="1:71" x14ac:dyDescent="0.2">
      <c r="A30" s="2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</row>
    <row r="31" spans="1:71" x14ac:dyDescent="0.2">
      <c r="A31" s="28"/>
    </row>
    <row r="32" spans="1:71" x14ac:dyDescent="0.2">
      <c r="A32" s="28"/>
    </row>
    <row r="33" spans="1:1" x14ac:dyDescent="0.2">
      <c r="A33" s="28"/>
    </row>
    <row r="34" spans="1:1" x14ac:dyDescent="0.2">
      <c r="A34" s="28"/>
    </row>
    <row r="35" spans="1:1" x14ac:dyDescent="0.2">
      <c r="A35" s="28"/>
    </row>
    <row r="36" spans="1:1" x14ac:dyDescent="0.2">
      <c r="A36" s="28"/>
    </row>
    <row r="37" spans="1:1" x14ac:dyDescent="0.2">
      <c r="A37" s="28"/>
    </row>
    <row r="38" spans="1:1" x14ac:dyDescent="0.2">
      <c r="A38" s="28"/>
    </row>
    <row r="39" spans="1:1" x14ac:dyDescent="0.2">
      <c r="A39" s="28"/>
    </row>
    <row r="40" spans="1:1" x14ac:dyDescent="0.2">
      <c r="A40" s="28"/>
    </row>
    <row r="41" spans="1:1" x14ac:dyDescent="0.2">
      <c r="A41" s="28"/>
    </row>
    <row r="42" spans="1:1" x14ac:dyDescent="0.2">
      <c r="A42" s="28"/>
    </row>
    <row r="43" spans="1:1" x14ac:dyDescent="0.2">
      <c r="A43" s="28"/>
    </row>
    <row r="44" spans="1:1" x14ac:dyDescent="0.2">
      <c r="A44" s="28"/>
    </row>
    <row r="45" spans="1:1" x14ac:dyDescent="0.2">
      <c r="A45" s="28"/>
    </row>
    <row r="46" spans="1:1" x14ac:dyDescent="0.2">
      <c r="A46" s="28"/>
    </row>
    <row r="47" spans="1:1" x14ac:dyDescent="0.2">
      <c r="A47" s="28"/>
    </row>
    <row r="48" spans="1:1" x14ac:dyDescent="0.2">
      <c r="A48" s="28"/>
    </row>
    <row r="49" spans="1:1" x14ac:dyDescent="0.2">
      <c r="A49" s="28"/>
    </row>
    <row r="50" spans="1:1" x14ac:dyDescent="0.2">
      <c r="A50" s="28"/>
    </row>
    <row r="51" spans="1:1" x14ac:dyDescent="0.2">
      <c r="A51" s="28"/>
    </row>
    <row r="52" spans="1:1" x14ac:dyDescent="0.2">
      <c r="A52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DFC0-D0C3-F44E-A71C-CAD2C075BB35}">
  <dimension ref="A1:E71"/>
  <sheetViews>
    <sheetView workbookViewId="0">
      <selection activeCell="B25" sqref="B25"/>
    </sheetView>
  </sheetViews>
  <sheetFormatPr baseColWidth="10" defaultRowHeight="15" x14ac:dyDescent="0.2"/>
  <sheetData>
    <row r="1" spans="1:5" x14ac:dyDescent="0.2">
      <c r="A1" s="35" t="s">
        <v>5</v>
      </c>
      <c r="B1" s="35" t="s">
        <v>49</v>
      </c>
    </row>
    <row r="2" spans="1:5" x14ac:dyDescent="0.2">
      <c r="A2" s="34">
        <v>2001</v>
      </c>
      <c r="B2">
        <v>492</v>
      </c>
      <c r="E2" s="24"/>
    </row>
    <row r="3" spans="1:5" x14ac:dyDescent="0.2">
      <c r="A3" s="34">
        <v>2002</v>
      </c>
      <c r="B3">
        <v>629</v>
      </c>
    </row>
    <row r="4" spans="1:5" x14ac:dyDescent="0.2">
      <c r="A4" s="34">
        <v>2003</v>
      </c>
      <c r="B4">
        <v>428</v>
      </c>
    </row>
    <row r="5" spans="1:5" x14ac:dyDescent="0.2">
      <c r="A5" s="34">
        <v>2004</v>
      </c>
      <c r="B5">
        <v>977</v>
      </c>
    </row>
    <row r="6" spans="1:5" x14ac:dyDescent="0.2">
      <c r="A6" s="34">
        <v>2005</v>
      </c>
      <c r="B6">
        <v>940</v>
      </c>
    </row>
    <row r="7" spans="1:5" x14ac:dyDescent="0.2">
      <c r="A7" s="34">
        <v>2006</v>
      </c>
      <c r="B7">
        <v>1020</v>
      </c>
    </row>
    <row r="8" spans="1:5" x14ac:dyDescent="0.2">
      <c r="A8" s="34">
        <v>2007</v>
      </c>
      <c r="B8">
        <v>1147</v>
      </c>
    </row>
    <row r="9" spans="1:5" x14ac:dyDescent="0.2">
      <c r="A9" s="34">
        <v>2008</v>
      </c>
      <c r="B9">
        <v>1026</v>
      </c>
    </row>
    <row r="10" spans="1:5" x14ac:dyDescent="0.2">
      <c r="A10" s="34">
        <v>2009</v>
      </c>
      <c r="B10">
        <v>1395</v>
      </c>
    </row>
    <row r="11" spans="1:5" x14ac:dyDescent="0.2">
      <c r="A11" s="34">
        <v>2010</v>
      </c>
      <c r="B11">
        <v>1026</v>
      </c>
    </row>
    <row r="12" spans="1:5" x14ac:dyDescent="0.2">
      <c r="A12" s="34">
        <v>2011</v>
      </c>
      <c r="B12">
        <v>1219</v>
      </c>
    </row>
    <row r="13" spans="1:5" x14ac:dyDescent="0.2">
      <c r="A13" s="34">
        <v>2012</v>
      </c>
      <c r="B13">
        <v>1754</v>
      </c>
    </row>
    <row r="14" spans="1:5" x14ac:dyDescent="0.2">
      <c r="A14" s="34">
        <v>2013</v>
      </c>
      <c r="B14">
        <v>858</v>
      </c>
    </row>
    <row r="15" spans="1:5" x14ac:dyDescent="0.2">
      <c r="A15" s="34">
        <v>2014</v>
      </c>
      <c r="B15">
        <v>1391</v>
      </c>
    </row>
    <row r="16" spans="1:5" x14ac:dyDescent="0.2">
      <c r="A16" s="34">
        <v>2015</v>
      </c>
      <c r="B16">
        <v>1261</v>
      </c>
    </row>
    <row r="17" spans="1:2" x14ac:dyDescent="0.2">
      <c r="A17" s="34">
        <v>2016</v>
      </c>
      <c r="B17">
        <v>1790</v>
      </c>
    </row>
    <row r="18" spans="1:2" x14ac:dyDescent="0.2">
      <c r="A18" s="34">
        <v>2017</v>
      </c>
      <c r="B18">
        <v>829</v>
      </c>
    </row>
    <row r="19" spans="1:2" x14ac:dyDescent="0.2">
      <c r="A19" s="34">
        <v>2018</v>
      </c>
      <c r="B19">
        <v>761</v>
      </c>
    </row>
    <row r="20" spans="1:2" x14ac:dyDescent="0.2">
      <c r="A20" s="34">
        <v>2019</v>
      </c>
      <c r="B20">
        <v>737</v>
      </c>
    </row>
    <row r="21" spans="1:2" x14ac:dyDescent="0.2">
      <c r="A21" s="34">
        <v>2020</v>
      </c>
      <c r="B21">
        <v>593</v>
      </c>
    </row>
    <row r="22" spans="1:2" x14ac:dyDescent="0.2">
      <c r="A22" s="34">
        <v>2021</v>
      </c>
      <c r="B22">
        <v>512</v>
      </c>
    </row>
    <row r="23" spans="1:2" x14ac:dyDescent="0.2">
      <c r="A23" s="34">
        <v>2022</v>
      </c>
      <c r="B23">
        <v>544</v>
      </c>
    </row>
    <row r="24" spans="1:2" x14ac:dyDescent="0.2">
      <c r="A24" s="34">
        <v>2023</v>
      </c>
      <c r="B24">
        <v>842</v>
      </c>
    </row>
    <row r="25" spans="1:2" x14ac:dyDescent="0.2">
      <c r="A25" s="34">
        <v>2024</v>
      </c>
      <c r="B25">
        <v>964</v>
      </c>
    </row>
    <row r="26" spans="1:2" x14ac:dyDescent="0.2">
      <c r="A26" s="34">
        <v>2025</v>
      </c>
      <c r="B26">
        <v>984</v>
      </c>
    </row>
    <row r="27" spans="1:2" x14ac:dyDescent="0.2">
      <c r="A27" s="34">
        <v>2026</v>
      </c>
      <c r="B27">
        <v>1000</v>
      </c>
    </row>
    <row r="28" spans="1:2" x14ac:dyDescent="0.2">
      <c r="A28" s="34">
        <v>2027</v>
      </c>
      <c r="B28">
        <v>1025</v>
      </c>
    </row>
    <row r="29" spans="1:2" x14ac:dyDescent="0.2">
      <c r="A29" s="34">
        <v>2028</v>
      </c>
      <c r="B29">
        <v>1027</v>
      </c>
    </row>
    <row r="30" spans="1:2" x14ac:dyDescent="0.2">
      <c r="A30" s="34">
        <v>2029</v>
      </c>
      <c r="B30">
        <v>1031</v>
      </c>
    </row>
    <row r="31" spans="1:2" x14ac:dyDescent="0.2">
      <c r="A31" s="34">
        <v>2030</v>
      </c>
      <c r="B31">
        <v>1031</v>
      </c>
    </row>
    <row r="32" spans="1:2" x14ac:dyDescent="0.2">
      <c r="A32" s="34">
        <v>2031</v>
      </c>
      <c r="B32">
        <v>1026</v>
      </c>
    </row>
    <row r="33" spans="1:2" x14ac:dyDescent="0.2">
      <c r="A33" s="34">
        <v>2032</v>
      </c>
      <c r="B33">
        <v>1026</v>
      </c>
    </row>
    <row r="34" spans="1:2" x14ac:dyDescent="0.2">
      <c r="A34" s="34">
        <v>2033</v>
      </c>
      <c r="B34">
        <v>1010</v>
      </c>
    </row>
    <row r="35" spans="1:2" x14ac:dyDescent="0.2">
      <c r="A35" s="34">
        <v>2034</v>
      </c>
      <c r="B35">
        <v>1009</v>
      </c>
    </row>
    <row r="36" spans="1:2" x14ac:dyDescent="0.2">
      <c r="A36" s="34">
        <v>2035</v>
      </c>
      <c r="B36">
        <v>1000</v>
      </c>
    </row>
    <row r="37" spans="1:2" x14ac:dyDescent="0.2">
      <c r="A37" s="34">
        <v>2036</v>
      </c>
      <c r="B37">
        <v>967</v>
      </c>
    </row>
    <row r="38" spans="1:2" x14ac:dyDescent="0.2">
      <c r="A38" s="34">
        <v>2037</v>
      </c>
      <c r="B38">
        <v>972</v>
      </c>
    </row>
    <row r="39" spans="1:2" x14ac:dyDescent="0.2">
      <c r="A39" s="34">
        <v>2038</v>
      </c>
      <c r="B39">
        <v>954</v>
      </c>
    </row>
    <row r="40" spans="1:2" x14ac:dyDescent="0.2">
      <c r="A40" s="34">
        <v>2039</v>
      </c>
      <c r="B40">
        <v>941</v>
      </c>
    </row>
    <row r="41" spans="1:2" x14ac:dyDescent="0.2">
      <c r="A41" s="34">
        <v>2040</v>
      </c>
      <c r="B41">
        <v>904</v>
      </c>
    </row>
    <row r="42" spans="1:2" x14ac:dyDescent="0.2">
      <c r="A42" s="34">
        <v>2041</v>
      </c>
      <c r="B42">
        <v>907</v>
      </c>
    </row>
    <row r="43" spans="1:2" x14ac:dyDescent="0.2">
      <c r="A43" s="34">
        <v>2042</v>
      </c>
      <c r="B43">
        <v>913</v>
      </c>
    </row>
    <row r="44" spans="1:2" x14ac:dyDescent="0.2">
      <c r="A44" s="34">
        <v>2043</v>
      </c>
      <c r="B44">
        <v>921</v>
      </c>
    </row>
    <row r="45" spans="1:2" x14ac:dyDescent="0.2">
      <c r="A45" s="34">
        <v>2044</v>
      </c>
      <c r="B45">
        <v>935</v>
      </c>
    </row>
    <row r="46" spans="1:2" x14ac:dyDescent="0.2">
      <c r="A46" s="34">
        <v>2045</v>
      </c>
      <c r="B46">
        <v>954</v>
      </c>
    </row>
    <row r="47" spans="1:2" x14ac:dyDescent="0.2">
      <c r="A47" s="34">
        <v>2046</v>
      </c>
      <c r="B47">
        <v>972</v>
      </c>
    </row>
    <row r="48" spans="1:2" x14ac:dyDescent="0.2">
      <c r="A48" s="34">
        <v>2047</v>
      </c>
      <c r="B48">
        <v>977</v>
      </c>
    </row>
    <row r="49" spans="1:2" x14ac:dyDescent="0.2">
      <c r="A49" s="34">
        <v>2048</v>
      </c>
      <c r="B49">
        <v>978</v>
      </c>
    </row>
    <row r="50" spans="1:2" x14ac:dyDescent="0.2">
      <c r="A50" s="34">
        <v>2049</v>
      </c>
      <c r="B50">
        <v>977</v>
      </c>
    </row>
    <row r="51" spans="1:2" x14ac:dyDescent="0.2">
      <c r="A51" s="34">
        <v>2050</v>
      </c>
      <c r="B51">
        <v>976</v>
      </c>
    </row>
    <row r="52" spans="1:2" x14ac:dyDescent="0.2">
      <c r="A52" s="34">
        <v>2051</v>
      </c>
      <c r="B52">
        <v>974</v>
      </c>
    </row>
    <row r="53" spans="1:2" x14ac:dyDescent="0.2">
      <c r="A53" s="34">
        <v>2052</v>
      </c>
      <c r="B53">
        <v>972</v>
      </c>
    </row>
    <row r="54" spans="1:2" x14ac:dyDescent="0.2">
      <c r="A54" s="34">
        <v>2053</v>
      </c>
      <c r="B54">
        <v>969</v>
      </c>
    </row>
    <row r="55" spans="1:2" x14ac:dyDescent="0.2">
      <c r="A55" s="34">
        <v>2054</v>
      </c>
      <c r="B55">
        <v>967</v>
      </c>
    </row>
    <row r="56" spans="1:2" x14ac:dyDescent="0.2">
      <c r="A56" s="34">
        <v>2055</v>
      </c>
      <c r="B56">
        <v>964</v>
      </c>
    </row>
    <row r="57" spans="1:2" x14ac:dyDescent="0.2">
      <c r="A57" s="34">
        <v>2056</v>
      </c>
      <c r="B57">
        <v>962</v>
      </c>
    </row>
    <row r="58" spans="1:2" x14ac:dyDescent="0.2">
      <c r="A58" s="34">
        <v>2057</v>
      </c>
      <c r="B58">
        <v>959</v>
      </c>
    </row>
    <row r="59" spans="1:2" x14ac:dyDescent="0.2">
      <c r="A59" s="34">
        <v>2058</v>
      </c>
      <c r="B59">
        <v>957</v>
      </c>
    </row>
    <row r="60" spans="1:2" x14ac:dyDescent="0.2">
      <c r="A60" s="34">
        <v>2059</v>
      </c>
      <c r="B60">
        <v>955</v>
      </c>
    </row>
    <row r="61" spans="1:2" x14ac:dyDescent="0.2">
      <c r="A61" s="34">
        <v>2060</v>
      </c>
      <c r="B61">
        <v>955</v>
      </c>
    </row>
    <row r="62" spans="1:2" x14ac:dyDescent="0.2">
      <c r="A62" s="34">
        <v>2061</v>
      </c>
      <c r="B62">
        <v>954</v>
      </c>
    </row>
    <row r="63" spans="1:2" x14ac:dyDescent="0.2">
      <c r="A63" s="34">
        <v>2062</v>
      </c>
      <c r="B63">
        <v>954</v>
      </c>
    </row>
    <row r="64" spans="1:2" x14ac:dyDescent="0.2">
      <c r="A64" s="34">
        <v>2063</v>
      </c>
      <c r="B64">
        <v>955</v>
      </c>
    </row>
    <row r="65" spans="1:2" x14ac:dyDescent="0.2">
      <c r="A65" s="34">
        <v>2064</v>
      </c>
      <c r="B65">
        <v>957</v>
      </c>
    </row>
    <row r="66" spans="1:2" x14ac:dyDescent="0.2">
      <c r="A66" s="34">
        <v>2065</v>
      </c>
      <c r="B66">
        <v>959</v>
      </c>
    </row>
    <row r="67" spans="1:2" x14ac:dyDescent="0.2">
      <c r="A67" s="34">
        <v>2066</v>
      </c>
      <c r="B67">
        <v>961</v>
      </c>
    </row>
    <row r="68" spans="1:2" x14ac:dyDescent="0.2">
      <c r="A68" s="34">
        <v>2067</v>
      </c>
      <c r="B68">
        <v>963</v>
      </c>
    </row>
    <row r="69" spans="1:2" x14ac:dyDescent="0.2">
      <c r="A69" s="34">
        <v>2068</v>
      </c>
      <c r="B69">
        <v>964</v>
      </c>
    </row>
    <row r="70" spans="1:2" x14ac:dyDescent="0.2">
      <c r="A70" s="34">
        <v>2069</v>
      </c>
      <c r="B70">
        <v>964</v>
      </c>
    </row>
    <row r="71" spans="1:2" x14ac:dyDescent="0.2">
      <c r="A71" s="34">
        <v>2070</v>
      </c>
      <c r="B71">
        <v>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FCF5-0EE5-E84B-A49F-5F2EF30FC79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0411-ADAC-D94F-9CA3-BD5BA5358F0E}">
  <sheetPr>
    <tabColor rgb="FF002060"/>
  </sheetPr>
  <dimension ref="A1:AZ24"/>
  <sheetViews>
    <sheetView tabSelected="1" topLeftCell="AB1" workbookViewId="0">
      <selection activeCell="AU26" sqref="AU26"/>
    </sheetView>
  </sheetViews>
  <sheetFormatPr baseColWidth="10" defaultRowHeight="15" x14ac:dyDescent="0.2"/>
  <cols>
    <col min="33" max="33" width="12.33203125" bestFit="1" customWidth="1"/>
  </cols>
  <sheetData>
    <row r="1" spans="1:52" x14ac:dyDescent="0.2">
      <c r="A1" s="25" t="s">
        <v>5</v>
      </c>
      <c r="B1" s="25">
        <v>2020</v>
      </c>
      <c r="C1" s="25">
        <v>2021</v>
      </c>
      <c r="D1" s="25">
        <v>2022</v>
      </c>
      <c r="E1" s="25">
        <v>2023</v>
      </c>
      <c r="F1" s="25">
        <v>2024</v>
      </c>
      <c r="G1" s="25">
        <v>2025</v>
      </c>
      <c r="H1" s="25">
        <v>2026</v>
      </c>
      <c r="I1" s="25">
        <v>2027</v>
      </c>
      <c r="J1" s="25">
        <v>2028</v>
      </c>
      <c r="K1" s="25">
        <v>2029</v>
      </c>
      <c r="L1" s="25">
        <v>2030</v>
      </c>
      <c r="M1" s="25">
        <v>2031</v>
      </c>
      <c r="N1" s="25">
        <v>2032</v>
      </c>
      <c r="O1" s="25">
        <v>2033</v>
      </c>
      <c r="P1" s="25">
        <v>2034</v>
      </c>
      <c r="Q1" s="25">
        <v>2035</v>
      </c>
      <c r="R1" s="25">
        <v>2036</v>
      </c>
      <c r="S1" s="25">
        <v>2037</v>
      </c>
      <c r="T1" s="25">
        <v>2038</v>
      </c>
      <c r="U1" s="25">
        <v>2039</v>
      </c>
      <c r="V1" s="25">
        <v>2040</v>
      </c>
      <c r="W1" s="25">
        <v>2041</v>
      </c>
      <c r="X1" s="25">
        <v>2042</v>
      </c>
      <c r="Y1" s="25">
        <v>2043</v>
      </c>
      <c r="Z1" s="25">
        <v>2044</v>
      </c>
      <c r="AA1" s="25">
        <v>2045</v>
      </c>
      <c r="AB1" s="25">
        <v>2046</v>
      </c>
      <c r="AC1" s="25">
        <v>2047</v>
      </c>
      <c r="AD1" s="25">
        <v>2048</v>
      </c>
      <c r="AE1" s="25">
        <v>2049</v>
      </c>
      <c r="AF1" s="25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s="26" t="s">
        <v>13</v>
      </c>
      <c r="B2" s="24">
        <f>'Global Watch Data'!U17</f>
        <v>-14657434114709.154</v>
      </c>
      <c r="C2" s="24">
        <f>'Global Watch Data'!V17</f>
        <v>-44558599708715.828</v>
      </c>
      <c r="D2" s="24">
        <f>'Global Watch Data'!W17</f>
        <v>21693002489769.547</v>
      </c>
      <c r="E2" s="24">
        <f>'Global Watch Data'!X17</f>
        <v>119604662376026.69</v>
      </c>
      <c r="F2" s="24">
        <f>'Global Watch Data'!Y17</f>
        <v>189374048762042.25</v>
      </c>
      <c r="G2" s="24">
        <f>'Global Watch Data'!Z17</f>
        <v>212825943345576.91</v>
      </c>
      <c r="H2" s="24">
        <f>'Global Watch Data'!AA17</f>
        <v>224551890637344.22</v>
      </c>
      <c r="I2" s="24">
        <f>'Global Watch Data'!AB17</f>
        <v>230414864283227.91</v>
      </c>
      <c r="J2" s="24">
        <f>'Global Watch Data'!AC17</f>
        <v>236277837929111.53</v>
      </c>
      <c r="K2" s="24">
        <f>'Global Watch Data'!AD17</f>
        <v>236277837929111.53</v>
      </c>
      <c r="L2" s="24">
        <f>'Global Watch Data'!AE17</f>
        <v>236277837929111.53</v>
      </c>
      <c r="M2" s="24">
        <f>'Global Watch Data'!AF17</f>
        <v>236277837929111.53</v>
      </c>
      <c r="N2" s="24">
        <f>'Global Watch Data'!AG17</f>
        <v>230414864283227.91</v>
      </c>
      <c r="O2" s="24">
        <f>'Global Watch Data'!AH17</f>
        <v>230414864283227.91</v>
      </c>
      <c r="P2" s="24">
        <f>'Global Watch Data'!AI17</f>
        <v>224551890637344.22</v>
      </c>
      <c r="Q2" s="24">
        <f>'Global Watch Data'!AJ17</f>
        <v>215171132803930.38</v>
      </c>
      <c r="R2" s="24">
        <f>'Global Watch Data'!AK17</f>
        <v>207549267064281.62</v>
      </c>
      <c r="S2" s="24">
        <f>'Global Watch Data'!AL17</f>
        <v>199927401324632.84</v>
      </c>
      <c r="T2" s="24">
        <f>'Global Watch Data'!AM17</f>
        <v>194064427678749.19</v>
      </c>
      <c r="U2" s="24">
        <f>'Global Watch Data'!AN17</f>
        <v>179993290928628.38</v>
      </c>
      <c r="V2" s="24">
        <f>'Global Watch Data'!AO17</f>
        <v>171198830459802.91</v>
      </c>
      <c r="W2" s="24">
        <f>'Global Watch Data'!AP17</f>
        <v>168267343636861.09</v>
      </c>
      <c r="X2" s="24">
        <f>'Global Watch Data'!AQ17</f>
        <v>171785127824391.28</v>
      </c>
      <c r="Y2" s="24">
        <f>'Global Watch Data'!AR17</f>
        <v>177648101470274.94</v>
      </c>
      <c r="Z2" s="24">
        <f>'Global Watch Data'!AS17</f>
        <v>186442561939100.41</v>
      </c>
      <c r="AA2" s="24">
        <f>'Global Watch Data'!AT17</f>
        <v>196409617137102.66</v>
      </c>
      <c r="AB2" s="24">
        <f>'Global Watch Data'!AU17</f>
        <v>204031482876751.44</v>
      </c>
      <c r="AC2" s="24">
        <f>'Global Watch Data'!AV17</f>
        <v>207549267064281.62</v>
      </c>
      <c r="AD2" s="24">
        <f>'Global Watch Data'!AW17</f>
        <v>208135564428869.97</v>
      </c>
      <c r="AE2" s="24">
        <f>'Global Watch Data'!AX17</f>
        <v>208135564428869.97</v>
      </c>
      <c r="AF2" s="24">
        <f>'Global Watch Data'!AY17</f>
        <v>207549267064281.62</v>
      </c>
      <c r="AG2" s="24">
        <f>'Global Watch Data'!AZ17</f>
        <v>206376672335104.88</v>
      </c>
      <c r="AH2" s="24">
        <f>'Global Watch Data'!BA17</f>
        <v>204617780241339.78</v>
      </c>
      <c r="AI2" s="24">
        <f>'Global Watch Data'!BB17</f>
        <v>203445185512163.03</v>
      </c>
      <c r="AJ2" s="24">
        <f>'Global Watch Data'!BC17</f>
        <v>201686293418397.94</v>
      </c>
      <c r="AK2" s="24">
        <f>'Global Watch Data'!BD17</f>
        <v>200513698689221.22</v>
      </c>
      <c r="AL2" s="24">
        <f>'Global Watch Data'!BE17</f>
        <v>198754806595456.12</v>
      </c>
      <c r="AM2" s="24">
        <f>'Global Watch Data'!BF17</f>
        <v>197582211866279.41</v>
      </c>
      <c r="AN2" s="24">
        <f>'Global Watch Data'!BG17</f>
        <v>196409617137102.66</v>
      </c>
      <c r="AO2" s="24">
        <f>'Global Watch Data'!BH17</f>
        <v>195237022407925.91</v>
      </c>
      <c r="AP2" s="24">
        <f>'Global Watch Data'!BI17</f>
        <v>195237022407925.91</v>
      </c>
      <c r="AQ2" s="24">
        <f>'Global Watch Data'!BJ17</f>
        <v>194650725043337.56</v>
      </c>
      <c r="AR2" s="24">
        <f>'Global Watch Data'!BK17</f>
        <v>194650725043337.56</v>
      </c>
      <c r="AS2" s="24">
        <f>'Global Watch Data'!BL17</f>
        <v>195237022407925.91</v>
      </c>
      <c r="AT2" s="24">
        <f>'Global Watch Data'!BM17</f>
        <v>196409617137102.66</v>
      </c>
      <c r="AU2" s="24">
        <f>'Global Watch Data'!BN17</f>
        <v>197582211866279.41</v>
      </c>
      <c r="AV2" s="24">
        <f>'Global Watch Data'!BO17</f>
        <v>198754806595456.12</v>
      </c>
      <c r="AW2" s="24">
        <f>'Global Watch Data'!BP17</f>
        <v>199927401324632.84</v>
      </c>
      <c r="AX2" s="24">
        <f>'Global Watch Data'!BQ17</f>
        <v>200513698689221.22</v>
      </c>
      <c r="AY2" s="24">
        <f>'Global Watch Data'!BR17</f>
        <v>200513698689221.22</v>
      </c>
      <c r="AZ2" s="24">
        <f>'Global Watch Data'!BS17</f>
        <v>200513698689221.22</v>
      </c>
    </row>
    <row r="3" spans="1:52" x14ac:dyDescent="0.2">
      <c r="A3" s="26" t="s">
        <v>14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</row>
    <row r="4" spans="1:52" x14ac:dyDescent="0.2">
      <c r="A4" s="26" t="s">
        <v>15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</row>
    <row r="5" spans="1:52" x14ac:dyDescent="0.2">
      <c r="A5" s="26" t="s">
        <v>16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</row>
    <row r="6" spans="1:52" x14ac:dyDescent="0.2">
      <c r="A6" s="26" t="s">
        <v>17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>
        <v>0</v>
      </c>
    </row>
    <row r="7" spans="1:52" x14ac:dyDescent="0.2">
      <c r="A7" s="26" t="s">
        <v>18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0</v>
      </c>
      <c r="AX7" s="27">
        <v>0</v>
      </c>
      <c r="AY7" s="27">
        <v>0</v>
      </c>
      <c r="AZ7" s="27">
        <v>0</v>
      </c>
    </row>
    <row r="8" spans="1:52" x14ac:dyDescent="0.2">
      <c r="A8" s="26" t="s">
        <v>19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</row>
    <row r="9" spans="1:52" x14ac:dyDescent="0.2">
      <c r="A9" s="26" t="s">
        <v>20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</row>
    <row r="10" spans="1:52" x14ac:dyDescent="0.2">
      <c r="A10" s="26" t="s">
        <v>21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</row>
    <row r="11" spans="1:52" x14ac:dyDescent="0.2">
      <c r="A11" s="26" t="s">
        <v>22</v>
      </c>
      <c r="B11" s="27">
        <f>'Global Watch Data'!U18</f>
        <v>-226891997633.71359</v>
      </c>
      <c r="C11" s="27">
        <f>'Global Watch Data'!V18</f>
        <v>-689751672806.48926</v>
      </c>
      <c r="D11" s="27">
        <f>'Global Watch Data'!W18</f>
        <v>335800156497.89612</v>
      </c>
      <c r="E11" s="27">
        <f>'Global Watch Data'!X18</f>
        <v>1851438700691.103</v>
      </c>
      <c r="F11" s="27">
        <f>'Global Watch Data'!Y18</f>
        <v>2931444609427.5791</v>
      </c>
      <c r="G11" s="27">
        <f>'Global Watch Data'!Z18</f>
        <v>3294471805641.521</v>
      </c>
      <c r="H11" s="27">
        <f>'Global Watch Data'!AA18</f>
        <v>3475985403748.4922</v>
      </c>
      <c r="I11" s="27">
        <f>'Global Watch Data'!AB18</f>
        <v>3566742202801.9775</v>
      </c>
      <c r="J11" s="27">
        <f>'Global Watch Data'!AC18</f>
        <v>3657499001855.4624</v>
      </c>
      <c r="K11" s="27">
        <f>'Global Watch Data'!AD18</f>
        <v>3657499001855.4624</v>
      </c>
      <c r="L11" s="27">
        <f>'Global Watch Data'!AE18</f>
        <v>3657499001855.4624</v>
      </c>
      <c r="M11" s="27">
        <f>'Global Watch Data'!AF18</f>
        <v>3657499001855.4624</v>
      </c>
      <c r="N11" s="27">
        <f>'Global Watch Data'!AG18</f>
        <v>3566742202801.9775</v>
      </c>
      <c r="O11" s="27">
        <f>'Global Watch Data'!AH18</f>
        <v>3566742202801.9775</v>
      </c>
      <c r="P11" s="27">
        <f>'Global Watch Data'!AI18</f>
        <v>3475985403748.4922</v>
      </c>
      <c r="Q11" s="27">
        <f>'Global Watch Data'!AJ18</f>
        <v>3330774525262.9155</v>
      </c>
      <c r="R11" s="27">
        <f>'Global Watch Data'!AK18</f>
        <v>3212790686493.3843</v>
      </c>
      <c r="S11" s="27">
        <f>'Global Watch Data'!AL18</f>
        <v>3094806847723.853</v>
      </c>
      <c r="T11" s="27">
        <f>'Global Watch Data'!AM18</f>
        <v>3004050048670.3677</v>
      </c>
      <c r="U11" s="27">
        <f>'Global Watch Data'!AN18</f>
        <v>2786233730942.0029</v>
      </c>
      <c r="V11" s="27">
        <f>'Global Watch Data'!AO18</f>
        <v>2650098532361.7744</v>
      </c>
      <c r="W11" s="27">
        <f>'Global Watch Data'!AP18</f>
        <v>2604720132835.0322</v>
      </c>
      <c r="X11" s="27">
        <f>'Global Watch Data'!AQ18</f>
        <v>2659174212267.1235</v>
      </c>
      <c r="Y11" s="27">
        <f>'Global Watch Data'!AR18</f>
        <v>2749931011320.6084</v>
      </c>
      <c r="Z11" s="27">
        <f>'Global Watch Data'!AS18</f>
        <v>2886066209900.8369</v>
      </c>
      <c r="AA11" s="27">
        <f>'Global Watch Data'!AT18</f>
        <v>3040352768291.7617</v>
      </c>
      <c r="AB11" s="27">
        <f>'Global Watch Data'!AU18</f>
        <v>3158336607061.293</v>
      </c>
      <c r="AC11" s="27">
        <f>'Global Watch Data'!AV18</f>
        <v>3212790686493.3843</v>
      </c>
      <c r="AD11" s="27">
        <f>'Global Watch Data'!AW18</f>
        <v>3221866366398.7334</v>
      </c>
      <c r="AE11" s="27">
        <f>'Global Watch Data'!AX18</f>
        <v>3221866366398.7334</v>
      </c>
      <c r="AF11" s="27">
        <f>'Global Watch Data'!AY18</f>
        <v>3212790686493.3843</v>
      </c>
      <c r="AG11" s="27">
        <f>'Global Watch Data'!AZ18</f>
        <v>3194639326682.6875</v>
      </c>
      <c r="AH11" s="27">
        <f>'Global Watch Data'!BA18</f>
        <v>3167412286966.6416</v>
      </c>
      <c r="AI11" s="27">
        <f>'Global Watch Data'!BB18</f>
        <v>3149260927155.9443</v>
      </c>
      <c r="AJ11" s="27">
        <f>'Global Watch Data'!BC18</f>
        <v>3122033887439.8989</v>
      </c>
      <c r="AK11" s="27">
        <f>'Global Watch Data'!BD18</f>
        <v>3103882527629.2021</v>
      </c>
      <c r="AL11" s="27">
        <f>'Global Watch Data'!BE18</f>
        <v>3076655487913.1562</v>
      </c>
      <c r="AM11" s="27">
        <f>'Global Watch Data'!BF18</f>
        <v>3058504128102.4595</v>
      </c>
      <c r="AN11" s="27">
        <f>'Global Watch Data'!BG18</f>
        <v>3040352768291.7617</v>
      </c>
      <c r="AO11" s="27">
        <f>'Global Watch Data'!BH18</f>
        <v>3022201408481.0654</v>
      </c>
      <c r="AP11" s="27">
        <f>'Global Watch Data'!BI18</f>
        <v>3022201408481.0654</v>
      </c>
      <c r="AQ11" s="27">
        <f>'Global Watch Data'!BJ18</f>
        <v>3013125728575.7163</v>
      </c>
      <c r="AR11" s="27">
        <f>'Global Watch Data'!BK18</f>
        <v>3013125728575.7163</v>
      </c>
      <c r="AS11" s="27">
        <f>'Global Watch Data'!BL18</f>
        <v>3022201408481.0654</v>
      </c>
      <c r="AT11" s="27">
        <f>'Global Watch Data'!BM18</f>
        <v>3040352768291.7617</v>
      </c>
      <c r="AU11" s="27">
        <f>'Global Watch Data'!BN18</f>
        <v>3058504128102.4595</v>
      </c>
      <c r="AV11" s="27">
        <f>'Global Watch Data'!BO18</f>
        <v>3076655487913.1562</v>
      </c>
      <c r="AW11" s="27">
        <f>'Global Watch Data'!BP18</f>
        <v>3094806847723.853</v>
      </c>
      <c r="AX11" s="27">
        <f>'Global Watch Data'!BQ18</f>
        <v>3103882527629.2021</v>
      </c>
      <c r="AY11" s="27">
        <f>'Global Watch Data'!BR18</f>
        <v>3103882527629.2021</v>
      </c>
      <c r="AZ11" s="27">
        <f>'Global Watch Data'!BS18</f>
        <v>3103882527629.2021</v>
      </c>
    </row>
    <row r="12" spans="1:52" x14ac:dyDescent="0.2">
      <c r="A12" s="26" t="s">
        <v>23</v>
      </c>
      <c r="B12" s="27">
        <f>'Global Watch Data'!U19</f>
        <v>-15055056420.931566</v>
      </c>
      <c r="C12" s="27">
        <f>'Global Watch Data'!V19</f>
        <v>-45767371519.631966</v>
      </c>
      <c r="D12" s="27">
        <f>'Global Watch Data'!W19</f>
        <v>22281483502.978718</v>
      </c>
      <c r="E12" s="27">
        <f>'Global Watch Data'!X19</f>
        <v>122849260394.80159</v>
      </c>
      <c r="F12" s="27">
        <f>'Global Watch Data'!Y19</f>
        <v>194511328958.43585</v>
      </c>
      <c r="G12" s="27">
        <f>'Global Watch Data'!Z19</f>
        <v>218599419231.92636</v>
      </c>
      <c r="H12" s="27">
        <f>'Global Watch Data'!AA19</f>
        <v>230643464368.6716</v>
      </c>
      <c r="I12" s="27">
        <f>'Global Watch Data'!AB19</f>
        <v>236665486937.04422</v>
      </c>
      <c r="J12" s="27">
        <f>'Global Watch Data'!AC19</f>
        <v>242687509505.41684</v>
      </c>
      <c r="K12" s="27">
        <f>'Global Watch Data'!AD19</f>
        <v>242687509505.41684</v>
      </c>
      <c r="L12" s="27">
        <f>'Global Watch Data'!AE19</f>
        <v>242687509505.41684</v>
      </c>
      <c r="M12" s="27">
        <f>'Global Watch Data'!AF19</f>
        <v>242687509505.41684</v>
      </c>
      <c r="N12" s="27">
        <f>'Global Watch Data'!AG19</f>
        <v>236665486937.04422</v>
      </c>
      <c r="O12" s="27">
        <f>'Global Watch Data'!AH19</f>
        <v>236665486937.04422</v>
      </c>
      <c r="P12" s="27">
        <f>'Global Watch Data'!AI19</f>
        <v>230643464368.6716</v>
      </c>
      <c r="Q12" s="27">
        <f>'Global Watch Data'!AJ19</f>
        <v>221008228259.27542</v>
      </c>
      <c r="R12" s="27">
        <f>'Global Watch Data'!AK19</f>
        <v>213179598920.39102</v>
      </c>
      <c r="S12" s="27">
        <f>'Global Watch Data'!AL19</f>
        <v>205350969581.50656</v>
      </c>
      <c r="T12" s="27">
        <f>'Global Watch Data'!AM19</f>
        <v>199328947013.13394</v>
      </c>
      <c r="U12" s="27">
        <f>'Global Watch Data'!AN19</f>
        <v>184876092849.03964</v>
      </c>
      <c r="V12" s="27">
        <f>'Global Watch Data'!AO19</f>
        <v>175843058996.48068</v>
      </c>
      <c r="W12" s="27">
        <f>'Global Watch Data'!AP19</f>
        <v>172832047712.2944</v>
      </c>
      <c r="X12" s="27">
        <f>'Global Watch Data'!AQ19</f>
        <v>176445261253.31796</v>
      </c>
      <c r="Y12" s="27">
        <f>'Global Watch Data'!AR19</f>
        <v>182467283821.69058</v>
      </c>
      <c r="Z12" s="27">
        <f>'Global Watch Data'!AS19</f>
        <v>191500317674.24954</v>
      </c>
      <c r="AA12" s="27">
        <f>'Global Watch Data'!AT19</f>
        <v>201737756040.48303</v>
      </c>
      <c r="AB12" s="27">
        <f>'Global Watch Data'!AU19</f>
        <v>209566385379.36743</v>
      </c>
      <c r="AC12" s="27">
        <f>'Global Watch Data'!AV19</f>
        <v>213179598920.39102</v>
      </c>
      <c r="AD12" s="27">
        <f>'Global Watch Data'!AW19</f>
        <v>213781801177.22824</v>
      </c>
      <c r="AE12" s="27">
        <f>'Global Watch Data'!AX19</f>
        <v>213781801177.22824</v>
      </c>
      <c r="AF12" s="27">
        <f>'Global Watch Data'!AY19</f>
        <v>213179598920.39102</v>
      </c>
      <c r="AG12" s="27">
        <f>'Global Watch Data'!AZ19</f>
        <v>211975194406.71649</v>
      </c>
      <c r="AH12" s="27">
        <f>'Global Watch Data'!BA19</f>
        <v>210168587636.20468</v>
      </c>
      <c r="AI12" s="27">
        <f>'Global Watch Data'!BB19</f>
        <v>208964183122.53015</v>
      </c>
      <c r="AJ12" s="27">
        <f>'Global Watch Data'!BC19</f>
        <v>207157576352.01837</v>
      </c>
      <c r="AK12" s="27">
        <f>'Global Watch Data'!BD19</f>
        <v>205953171838.34384</v>
      </c>
      <c r="AL12" s="27">
        <f>'Global Watch Data'!BE19</f>
        <v>204146565067.83203</v>
      </c>
      <c r="AM12" s="27">
        <f>'Global Watch Data'!BF19</f>
        <v>202942160554.15756</v>
      </c>
      <c r="AN12" s="27">
        <f>'Global Watch Data'!BG19</f>
        <v>201737756040.48303</v>
      </c>
      <c r="AO12" s="27">
        <f>'Global Watch Data'!BH19</f>
        <v>200533351526.8085</v>
      </c>
      <c r="AP12" s="27">
        <f>'Global Watch Data'!BI19</f>
        <v>200533351526.8085</v>
      </c>
      <c r="AQ12" s="27">
        <f>'Global Watch Data'!BJ19</f>
        <v>199931149269.97119</v>
      </c>
      <c r="AR12" s="27">
        <f>'Global Watch Data'!BK19</f>
        <v>199931149269.97119</v>
      </c>
      <c r="AS12" s="27">
        <f>'Global Watch Data'!BL19</f>
        <v>200533351526.8085</v>
      </c>
      <c r="AT12" s="27">
        <f>'Global Watch Data'!BM19</f>
        <v>201737756040.48303</v>
      </c>
      <c r="AU12" s="27">
        <f>'Global Watch Data'!BN19</f>
        <v>202942160554.15756</v>
      </c>
      <c r="AV12" s="27">
        <f>'Global Watch Data'!BO19</f>
        <v>204146565067.83203</v>
      </c>
      <c r="AW12" s="27">
        <f>'Global Watch Data'!BP19</f>
        <v>205350969581.50656</v>
      </c>
      <c r="AX12" s="27">
        <f>'Global Watch Data'!BQ19</f>
        <v>205953171838.34384</v>
      </c>
      <c r="AY12" s="27">
        <f>'Global Watch Data'!BR19</f>
        <v>205953171838.34384</v>
      </c>
      <c r="AZ12" s="27">
        <f>'Global Watch Data'!BS19</f>
        <v>205953171838.34384</v>
      </c>
    </row>
    <row r="13" spans="1:52" x14ac:dyDescent="0.2">
      <c r="A13" s="26" t="s">
        <v>24</v>
      </c>
      <c r="B13" s="27">
        <v>0</v>
      </c>
      <c r="C13" s="27">
        <f>B13</f>
        <v>0</v>
      </c>
      <c r="D13" s="27">
        <f t="shared" ref="D13:AZ13" si="0">C13</f>
        <v>0</v>
      </c>
      <c r="E13" s="27">
        <f t="shared" si="0"/>
        <v>0</v>
      </c>
      <c r="F13" s="27">
        <f t="shared" si="0"/>
        <v>0</v>
      </c>
      <c r="G13" s="27">
        <f t="shared" si="0"/>
        <v>0</v>
      </c>
      <c r="H13" s="27">
        <f t="shared" si="0"/>
        <v>0</v>
      </c>
      <c r="I13" s="27">
        <f t="shared" si="0"/>
        <v>0</v>
      </c>
      <c r="J13" s="27">
        <f t="shared" si="0"/>
        <v>0</v>
      </c>
      <c r="K13" s="27">
        <f t="shared" si="0"/>
        <v>0</v>
      </c>
      <c r="L13" s="27">
        <f t="shared" si="0"/>
        <v>0</v>
      </c>
      <c r="M13" s="27">
        <f t="shared" si="0"/>
        <v>0</v>
      </c>
      <c r="N13" s="27">
        <f t="shared" si="0"/>
        <v>0</v>
      </c>
      <c r="O13" s="27">
        <f t="shared" si="0"/>
        <v>0</v>
      </c>
      <c r="P13" s="27">
        <f t="shared" si="0"/>
        <v>0</v>
      </c>
      <c r="Q13" s="27">
        <f t="shared" si="0"/>
        <v>0</v>
      </c>
      <c r="R13" s="27">
        <f t="shared" si="0"/>
        <v>0</v>
      </c>
      <c r="S13" s="27">
        <f t="shared" si="0"/>
        <v>0</v>
      </c>
      <c r="T13" s="27">
        <f t="shared" si="0"/>
        <v>0</v>
      </c>
      <c r="U13" s="27">
        <f t="shared" si="0"/>
        <v>0</v>
      </c>
      <c r="V13" s="27">
        <f t="shared" si="0"/>
        <v>0</v>
      </c>
      <c r="W13" s="27">
        <f t="shared" si="0"/>
        <v>0</v>
      </c>
      <c r="X13" s="27">
        <f t="shared" si="0"/>
        <v>0</v>
      </c>
      <c r="Y13" s="27">
        <f t="shared" si="0"/>
        <v>0</v>
      </c>
      <c r="Z13" s="27">
        <f t="shared" si="0"/>
        <v>0</v>
      </c>
      <c r="AA13" s="27">
        <f t="shared" si="0"/>
        <v>0</v>
      </c>
      <c r="AB13" s="27">
        <f t="shared" si="0"/>
        <v>0</v>
      </c>
      <c r="AC13" s="27">
        <f t="shared" si="0"/>
        <v>0</v>
      </c>
      <c r="AD13" s="27">
        <f t="shared" si="0"/>
        <v>0</v>
      </c>
      <c r="AE13" s="27">
        <f t="shared" si="0"/>
        <v>0</v>
      </c>
      <c r="AF13" s="27">
        <f t="shared" si="0"/>
        <v>0</v>
      </c>
      <c r="AG13" s="27">
        <f t="shared" si="0"/>
        <v>0</v>
      </c>
      <c r="AH13" s="27">
        <f t="shared" si="0"/>
        <v>0</v>
      </c>
      <c r="AI13" s="27">
        <f t="shared" si="0"/>
        <v>0</v>
      </c>
      <c r="AJ13" s="27">
        <f t="shared" si="0"/>
        <v>0</v>
      </c>
      <c r="AK13" s="27">
        <f t="shared" si="0"/>
        <v>0</v>
      </c>
      <c r="AL13" s="27">
        <f t="shared" si="0"/>
        <v>0</v>
      </c>
      <c r="AM13" s="27">
        <f t="shared" si="0"/>
        <v>0</v>
      </c>
      <c r="AN13" s="27">
        <f t="shared" si="0"/>
        <v>0</v>
      </c>
      <c r="AO13" s="27">
        <f t="shared" si="0"/>
        <v>0</v>
      </c>
      <c r="AP13" s="27">
        <f t="shared" si="0"/>
        <v>0</v>
      </c>
      <c r="AQ13" s="27">
        <f t="shared" si="0"/>
        <v>0</v>
      </c>
      <c r="AR13" s="27">
        <f t="shared" si="0"/>
        <v>0</v>
      </c>
      <c r="AS13" s="27">
        <f t="shared" si="0"/>
        <v>0</v>
      </c>
      <c r="AT13" s="27">
        <f t="shared" si="0"/>
        <v>0</v>
      </c>
      <c r="AU13" s="27">
        <f t="shared" si="0"/>
        <v>0</v>
      </c>
      <c r="AV13" s="27">
        <f t="shared" si="0"/>
        <v>0</v>
      </c>
      <c r="AW13" s="27">
        <f t="shared" si="0"/>
        <v>0</v>
      </c>
      <c r="AX13" s="27">
        <f t="shared" si="0"/>
        <v>0</v>
      </c>
      <c r="AY13" s="27">
        <f t="shared" si="0"/>
        <v>0</v>
      </c>
      <c r="AZ13" s="27">
        <f t="shared" si="0"/>
        <v>0</v>
      </c>
    </row>
    <row r="14" spans="1:52" x14ac:dyDescent="0.2">
      <c r="B14" s="24"/>
      <c r="C14" s="24"/>
      <c r="D14" s="24"/>
      <c r="E14" s="24"/>
    </row>
    <row r="16" spans="1:52" x14ac:dyDescent="0.2">
      <c r="A16" s="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22" spans="2:7" x14ac:dyDescent="0.2">
      <c r="B22" s="2"/>
      <c r="C22" s="2"/>
      <c r="D22" s="20"/>
      <c r="E22" s="20"/>
      <c r="F22" s="20"/>
      <c r="G22" s="20"/>
    </row>
    <row r="23" spans="2:7" x14ac:dyDescent="0.2">
      <c r="B23" s="20"/>
      <c r="C23" s="2"/>
      <c r="D23" s="2"/>
      <c r="E23" s="2"/>
      <c r="F23" s="2"/>
      <c r="G23" s="2"/>
    </row>
    <row r="24" spans="2:7" x14ac:dyDescent="0.2">
      <c r="B24" s="20"/>
      <c r="C24" s="2"/>
      <c r="D24" s="2"/>
      <c r="E24" s="2"/>
      <c r="F24" s="2"/>
      <c r="G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UNFCCC</vt:lpstr>
      <vt:lpstr>Share of Pollutants</vt:lpstr>
      <vt:lpstr>GWF-Smoothing </vt:lpstr>
      <vt:lpstr>Global Watch Data</vt:lpstr>
      <vt:lpstr>Stata-1</vt:lpstr>
      <vt:lpstr>Stata-2</vt:lpstr>
      <vt:lpstr>BLAPE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2015-08-06T00:31:42Z</dcterms:created>
  <dcterms:modified xsi:type="dcterms:W3CDTF">2025-07-10T04:02:08Z</dcterms:modified>
</cp:coreProperties>
</file>