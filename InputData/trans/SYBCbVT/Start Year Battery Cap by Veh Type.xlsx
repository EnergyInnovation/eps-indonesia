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MeganMahajan\Documents\eps-us\InputData\trans\SYBCbVT\"/>
    </mc:Choice>
  </mc:AlternateContent>
  <xr:revisionPtr revIDLastSave="0" documentId="13_ncr:1_{4FA0F55E-A73F-4892-A957-D4FA5443E08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Data" sheetId="3" r:id="rId2"/>
    <sheet name="Pass LDVs" sheetId="6" r:id="rId3"/>
    <sheet name="AEO by Class" sheetId="8" r:id="rId4"/>
    <sheet name="Freight LDVs + HDVs" sheetId="7" r:id="rId5"/>
    <sheet name="SYBCbVT-passenger" sheetId="2" r:id="rId6"/>
    <sheet name="SYBCbVT-freight" sheetId="4" r:id="rId7"/>
  </sheets>
  <externalReferences>
    <externalReference r:id="rId8"/>
    <externalReference r:id="rId9"/>
    <externalReference r:id="rId10"/>
  </externalReferences>
  <definedNames>
    <definedName name="_xlnm._FilterDatabase" localSheetId="3" hidden="1">'AEO by Class'!$A$21:$AD$372</definedName>
    <definedName name="asdf">[1]About!$A$113</definedName>
    <definedName name="cpi_2010to2012">[2]About!#REF!</definedName>
    <definedName name="cpi_2014to2012">[2]About!#REF!</definedName>
    <definedName name="cpi_2017to2012">[2]About!$A$120</definedName>
    <definedName name="cpi_2018to2012">[2]About!$A$121</definedName>
    <definedName name="cpi_2019to2012">[2]About!$A$122</definedName>
    <definedName name="cpi_2020to2012">[2]About!$A$123</definedName>
    <definedName name="cpi_2021to2012">[2]About!$A$124</definedName>
    <definedName name="cpi_2022to2012">[2]About!$A$125</definedName>
    <definedName name="H2_kg_to_MMBtu">[3]Constants!$D$7</definedName>
    <definedName name="kWh_to_Btu">[3]Constants!$D$4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2" i="4"/>
  <c r="C118" i="7"/>
  <c r="C119" i="7"/>
  <c r="C113" i="7"/>
  <c r="C112" i="7"/>
  <c r="D118" i="7"/>
  <c r="C131" i="7" l="1"/>
  <c r="D131" i="7"/>
  <c r="E118" i="7" l="1"/>
  <c r="F118" i="7"/>
  <c r="G118" i="7"/>
  <c r="H118" i="7"/>
  <c r="I118" i="7"/>
  <c r="J118" i="7"/>
  <c r="K118" i="7"/>
  <c r="L118" i="7"/>
  <c r="M118" i="7"/>
  <c r="N118" i="7"/>
  <c r="O118" i="7"/>
  <c r="P118" i="7"/>
  <c r="Q118" i="7"/>
  <c r="R118" i="7"/>
  <c r="S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E119" i="7"/>
  <c r="F119" i="7"/>
  <c r="G119" i="7"/>
  <c r="H119" i="7"/>
  <c r="I119" i="7"/>
  <c r="J119" i="7"/>
  <c r="K119" i="7"/>
  <c r="L119" i="7"/>
  <c r="M119" i="7"/>
  <c r="N119" i="7"/>
  <c r="O119" i="7"/>
  <c r="P119" i="7"/>
  <c r="Q119" i="7"/>
  <c r="R119" i="7"/>
  <c r="S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D119" i="7"/>
  <c r="E112" i="7"/>
  <c r="F112" i="7"/>
  <c r="F113" i="7" s="1"/>
  <c r="G112" i="7"/>
  <c r="G113" i="7" s="1"/>
  <c r="H112" i="7"/>
  <c r="I112" i="7"/>
  <c r="J112" i="7"/>
  <c r="K112" i="7"/>
  <c r="L112" i="7"/>
  <c r="M112" i="7"/>
  <c r="N112" i="7"/>
  <c r="O112" i="7"/>
  <c r="P112" i="7"/>
  <c r="P113" i="7" s="1"/>
  <c r="Q112" i="7"/>
  <c r="Q113" i="7" s="1"/>
  <c r="R112" i="7"/>
  <c r="R113" i="7" s="1"/>
  <c r="S112" i="7"/>
  <c r="S113" i="7" s="1"/>
  <c r="T112" i="7"/>
  <c r="T113" i="7" s="1"/>
  <c r="U112" i="7"/>
  <c r="U113" i="7" s="1"/>
  <c r="V112" i="7"/>
  <c r="V113" i="7" s="1"/>
  <c r="W112" i="7"/>
  <c r="W113" i="7" s="1"/>
  <c r="X112" i="7"/>
  <c r="X113" i="7" s="1"/>
  <c r="Y112" i="7"/>
  <c r="Z112" i="7"/>
  <c r="AA112" i="7"/>
  <c r="AA113" i="7" s="1"/>
  <c r="AB112" i="7"/>
  <c r="AB113" i="7" s="1"/>
  <c r="AC112" i="7"/>
  <c r="AC113" i="7" s="1"/>
  <c r="AD112" i="7"/>
  <c r="AD113" i="7" s="1"/>
  <c r="AE112" i="7"/>
  <c r="AE113" i="7" s="1"/>
  <c r="AF112" i="7"/>
  <c r="AG112" i="7"/>
  <c r="AG113" i="7" s="1"/>
  <c r="E113" i="7"/>
  <c r="H113" i="7"/>
  <c r="I113" i="7"/>
  <c r="J113" i="7"/>
  <c r="K113" i="7"/>
  <c r="L113" i="7"/>
  <c r="M113" i="7"/>
  <c r="N113" i="7"/>
  <c r="O113" i="7"/>
  <c r="Y113" i="7"/>
  <c r="Z113" i="7"/>
  <c r="AF113" i="7"/>
  <c r="D112" i="7"/>
  <c r="D113" i="7" s="1"/>
  <c r="C80" i="8"/>
  <c r="C89" i="8" s="1"/>
  <c r="C98" i="8" s="1"/>
  <c r="C107" i="8" s="1"/>
  <c r="C116" i="8" s="1"/>
  <c r="C125" i="8" s="1"/>
  <c r="C134" i="8" s="1"/>
  <c r="C143" i="8" s="1"/>
  <c r="C152" i="8" s="1"/>
  <c r="C161" i="8" s="1"/>
  <c r="C170" i="8" s="1"/>
  <c r="C179" i="8" s="1"/>
  <c r="C188" i="8" s="1"/>
  <c r="C197" i="8" s="1"/>
  <c r="C206" i="8" s="1"/>
  <c r="C215" i="8" s="1"/>
  <c r="C224" i="8" s="1"/>
  <c r="C233" i="8" s="1"/>
  <c r="C242" i="8" s="1"/>
  <c r="C251" i="8" s="1"/>
  <c r="C260" i="8" s="1"/>
  <c r="C269" i="8" s="1"/>
  <c r="C278" i="8" s="1"/>
  <c r="C287" i="8" s="1"/>
  <c r="C296" i="8" s="1"/>
  <c r="C305" i="8" s="1"/>
  <c r="C314" i="8" s="1"/>
  <c r="C323" i="8" s="1"/>
  <c r="C332" i="8" s="1"/>
  <c r="C341" i="8" s="1"/>
  <c r="C350" i="8" s="1"/>
  <c r="C359" i="8" s="1"/>
  <c r="C368" i="8" s="1"/>
  <c r="C78" i="8"/>
  <c r="C87" i="8" s="1"/>
  <c r="C96" i="8" s="1"/>
  <c r="C105" i="8" s="1"/>
  <c r="C114" i="8" s="1"/>
  <c r="C123" i="8" s="1"/>
  <c r="C132" i="8" s="1"/>
  <c r="C141" i="8" s="1"/>
  <c r="C150" i="8" s="1"/>
  <c r="C159" i="8" s="1"/>
  <c r="C168" i="8" s="1"/>
  <c r="C177" i="8" s="1"/>
  <c r="C186" i="8" s="1"/>
  <c r="C195" i="8" s="1"/>
  <c r="C204" i="8" s="1"/>
  <c r="C213" i="8" s="1"/>
  <c r="C222" i="8" s="1"/>
  <c r="C231" i="8" s="1"/>
  <c r="C240" i="8" s="1"/>
  <c r="C249" i="8" s="1"/>
  <c r="C258" i="8" s="1"/>
  <c r="C267" i="8" s="1"/>
  <c r="C276" i="8" s="1"/>
  <c r="C285" i="8" s="1"/>
  <c r="C294" i="8" s="1"/>
  <c r="C303" i="8" s="1"/>
  <c r="C312" i="8" s="1"/>
  <c r="C321" i="8" s="1"/>
  <c r="C330" i="8" s="1"/>
  <c r="C339" i="8" s="1"/>
  <c r="C348" i="8" s="1"/>
  <c r="C357" i="8" s="1"/>
  <c r="C366" i="8" s="1"/>
  <c r="C77" i="8"/>
  <c r="C86" i="8" s="1"/>
  <c r="C95" i="8" s="1"/>
  <c r="C104" i="8" s="1"/>
  <c r="C113" i="8" s="1"/>
  <c r="C122" i="8" s="1"/>
  <c r="C131" i="8" s="1"/>
  <c r="C140" i="8" s="1"/>
  <c r="C149" i="8" s="1"/>
  <c r="C158" i="8" s="1"/>
  <c r="C167" i="8" s="1"/>
  <c r="C176" i="8" s="1"/>
  <c r="C185" i="8" s="1"/>
  <c r="C194" i="8" s="1"/>
  <c r="C203" i="8" s="1"/>
  <c r="C212" i="8" s="1"/>
  <c r="C221" i="8" s="1"/>
  <c r="C230" i="8" s="1"/>
  <c r="C239" i="8" s="1"/>
  <c r="C248" i="8" s="1"/>
  <c r="C257" i="8" s="1"/>
  <c r="C266" i="8" s="1"/>
  <c r="C275" i="8" s="1"/>
  <c r="C284" i="8" s="1"/>
  <c r="C293" i="8" s="1"/>
  <c r="C302" i="8" s="1"/>
  <c r="C311" i="8" s="1"/>
  <c r="C320" i="8" s="1"/>
  <c r="C329" i="8" s="1"/>
  <c r="C338" i="8" s="1"/>
  <c r="C347" i="8" s="1"/>
  <c r="C356" i="8" s="1"/>
  <c r="C365" i="8" s="1"/>
  <c r="C76" i="8"/>
  <c r="C85" i="8" s="1"/>
  <c r="C94" i="8" s="1"/>
  <c r="C103" i="8" s="1"/>
  <c r="C112" i="8" s="1"/>
  <c r="C121" i="8" s="1"/>
  <c r="C130" i="8" s="1"/>
  <c r="C139" i="8" s="1"/>
  <c r="C148" i="8" s="1"/>
  <c r="C157" i="8" s="1"/>
  <c r="C166" i="8" s="1"/>
  <c r="C175" i="8" s="1"/>
  <c r="C184" i="8" s="1"/>
  <c r="C193" i="8" s="1"/>
  <c r="C202" i="8" s="1"/>
  <c r="C211" i="8" s="1"/>
  <c r="C220" i="8" s="1"/>
  <c r="C229" i="8" s="1"/>
  <c r="C238" i="8" s="1"/>
  <c r="C247" i="8" s="1"/>
  <c r="C256" i="8" s="1"/>
  <c r="C265" i="8" s="1"/>
  <c r="C274" i="8" s="1"/>
  <c r="C283" i="8" s="1"/>
  <c r="C292" i="8" s="1"/>
  <c r="C301" i="8" s="1"/>
  <c r="C310" i="8" s="1"/>
  <c r="C319" i="8" s="1"/>
  <c r="C328" i="8" s="1"/>
  <c r="C337" i="8" s="1"/>
  <c r="C346" i="8" s="1"/>
  <c r="C355" i="8" s="1"/>
  <c r="C364" i="8" s="1"/>
  <c r="C75" i="8"/>
  <c r="C84" i="8" s="1"/>
  <c r="C93" i="8" s="1"/>
  <c r="C102" i="8" s="1"/>
  <c r="C111" i="8" s="1"/>
  <c r="C120" i="8" s="1"/>
  <c r="C129" i="8" s="1"/>
  <c r="C138" i="8" s="1"/>
  <c r="C147" i="8" s="1"/>
  <c r="C156" i="8" s="1"/>
  <c r="C165" i="8" s="1"/>
  <c r="C174" i="8" s="1"/>
  <c r="C183" i="8" s="1"/>
  <c r="C192" i="8" s="1"/>
  <c r="C201" i="8" s="1"/>
  <c r="C210" i="8" s="1"/>
  <c r="C219" i="8" s="1"/>
  <c r="C228" i="8" s="1"/>
  <c r="C237" i="8" s="1"/>
  <c r="C246" i="8" s="1"/>
  <c r="C255" i="8" s="1"/>
  <c r="C264" i="8" s="1"/>
  <c r="C273" i="8" s="1"/>
  <c r="C282" i="8" s="1"/>
  <c r="C291" i="8" s="1"/>
  <c r="C300" i="8" s="1"/>
  <c r="C309" i="8" s="1"/>
  <c r="C318" i="8" s="1"/>
  <c r="C327" i="8" s="1"/>
  <c r="C336" i="8" s="1"/>
  <c r="C345" i="8" s="1"/>
  <c r="C354" i="8" s="1"/>
  <c r="C363" i="8" s="1"/>
  <c r="C372" i="8" s="1"/>
  <c r="C74" i="8"/>
  <c r="C83" i="8" s="1"/>
  <c r="C92" i="8" s="1"/>
  <c r="C101" i="8" s="1"/>
  <c r="C110" i="8" s="1"/>
  <c r="C119" i="8" s="1"/>
  <c r="C128" i="8" s="1"/>
  <c r="C137" i="8" s="1"/>
  <c r="C146" i="8" s="1"/>
  <c r="C155" i="8" s="1"/>
  <c r="C164" i="8" s="1"/>
  <c r="C173" i="8" s="1"/>
  <c r="C182" i="8" s="1"/>
  <c r="C191" i="8" s="1"/>
  <c r="C200" i="8" s="1"/>
  <c r="C209" i="8" s="1"/>
  <c r="C218" i="8" s="1"/>
  <c r="C227" i="8" s="1"/>
  <c r="C236" i="8" s="1"/>
  <c r="C245" i="8" s="1"/>
  <c r="C254" i="8" s="1"/>
  <c r="C263" i="8" s="1"/>
  <c r="C272" i="8" s="1"/>
  <c r="C281" i="8" s="1"/>
  <c r="C290" i="8" s="1"/>
  <c r="C299" i="8" s="1"/>
  <c r="C308" i="8" s="1"/>
  <c r="C317" i="8" s="1"/>
  <c r="C326" i="8" s="1"/>
  <c r="C335" i="8" s="1"/>
  <c r="C344" i="8" s="1"/>
  <c r="C353" i="8" s="1"/>
  <c r="C362" i="8" s="1"/>
  <c r="C371" i="8" s="1"/>
  <c r="C73" i="8"/>
  <c r="C82" i="8" s="1"/>
  <c r="C91" i="8" s="1"/>
  <c r="C100" i="8" s="1"/>
  <c r="C109" i="8" s="1"/>
  <c r="C118" i="8" s="1"/>
  <c r="C127" i="8" s="1"/>
  <c r="C136" i="8" s="1"/>
  <c r="C145" i="8" s="1"/>
  <c r="C154" i="8" s="1"/>
  <c r="C163" i="8" s="1"/>
  <c r="C172" i="8" s="1"/>
  <c r="C181" i="8" s="1"/>
  <c r="C190" i="8" s="1"/>
  <c r="C199" i="8" s="1"/>
  <c r="C208" i="8" s="1"/>
  <c r="C217" i="8" s="1"/>
  <c r="C226" i="8" s="1"/>
  <c r="C235" i="8" s="1"/>
  <c r="C244" i="8" s="1"/>
  <c r="C253" i="8" s="1"/>
  <c r="C262" i="8" s="1"/>
  <c r="C271" i="8" s="1"/>
  <c r="C280" i="8" s="1"/>
  <c r="C289" i="8" s="1"/>
  <c r="C298" i="8" s="1"/>
  <c r="C307" i="8" s="1"/>
  <c r="C316" i="8" s="1"/>
  <c r="C325" i="8" s="1"/>
  <c r="C334" i="8" s="1"/>
  <c r="C343" i="8" s="1"/>
  <c r="C352" i="8" s="1"/>
  <c r="C361" i="8" s="1"/>
  <c r="C370" i="8" s="1"/>
  <c r="AC60" i="8" a="1"/>
  <c r="AC60" i="8" s="1"/>
  <c r="AB60" i="8" a="1"/>
  <c r="AB60" i="8" s="1"/>
  <c r="AA60" i="8"/>
  <c r="AD60" i="8" s="1"/>
  <c r="AA60" i="8" a="1"/>
  <c r="C60" i="8"/>
  <c r="C69" i="8" s="1"/>
  <c r="AC59" i="8" a="1"/>
  <c r="AC59" i="8" s="1"/>
  <c r="AB59" i="8" a="1"/>
  <c r="AB59" i="8" s="1"/>
  <c r="AA59" i="8" a="1"/>
  <c r="AA59" i="8" s="1"/>
  <c r="AC58" i="8" a="1"/>
  <c r="AC58" i="8" s="1"/>
  <c r="AB58" i="8" a="1"/>
  <c r="AB58" i="8" s="1"/>
  <c r="AA58" i="8" a="1"/>
  <c r="AA58" i="8" s="1"/>
  <c r="AD58" i="8" s="1"/>
  <c r="C58" i="8"/>
  <c r="C67" i="8" s="1"/>
  <c r="AC57" i="8" a="1"/>
  <c r="AC57" i="8" s="1"/>
  <c r="AB57" i="8"/>
  <c r="AB57" i="8" a="1"/>
  <c r="AA57" i="8" a="1"/>
  <c r="AA57" i="8" s="1"/>
  <c r="AC56" i="8" a="1"/>
  <c r="AC56" i="8" s="1"/>
  <c r="AB56" i="8"/>
  <c r="AB56" i="8" a="1"/>
  <c r="AA56" i="8" a="1"/>
  <c r="AA56" i="8" s="1"/>
  <c r="AD56" i="8" s="1"/>
  <c r="AC55" i="8" a="1"/>
  <c r="AC55" i="8" s="1"/>
  <c r="AB55" i="8" a="1"/>
  <c r="AB55" i="8" s="1"/>
  <c r="AA55" i="8" a="1"/>
  <c r="AA55" i="8" s="1"/>
  <c r="AD55" i="8" s="1"/>
  <c r="C55" i="8"/>
  <c r="C64" i="8" s="1"/>
  <c r="AC54" i="8" a="1"/>
  <c r="AC54" i="8" s="1"/>
  <c r="AB54" i="8" a="1"/>
  <c r="AB54" i="8" s="1"/>
  <c r="AA54" i="8" a="1"/>
  <c r="AA54" i="8" s="1"/>
  <c r="AD54" i="8" s="1"/>
  <c r="AC53" i="8" a="1"/>
  <c r="AC53" i="8" s="1"/>
  <c r="AB53" i="8" a="1"/>
  <c r="AB53" i="8" s="1"/>
  <c r="AA53" i="8" a="1"/>
  <c r="AA53" i="8" s="1"/>
  <c r="AD53" i="8" s="1"/>
  <c r="C53" i="8"/>
  <c r="C62" i="8" s="1"/>
  <c r="C71" i="8" s="1"/>
  <c r="AC52" i="8" a="1"/>
  <c r="AC52" i="8" s="1"/>
  <c r="AB52" i="8"/>
  <c r="AB52" i="8" a="1"/>
  <c r="AA52" i="8" a="1"/>
  <c r="AA52" i="8" s="1"/>
  <c r="AC51" i="8" a="1"/>
  <c r="AC51" i="8" s="1"/>
  <c r="AB51" i="8"/>
  <c r="AB51" i="8" a="1"/>
  <c r="AA51" i="8" a="1"/>
  <c r="AA51" i="8" s="1"/>
  <c r="AD51" i="8" s="1"/>
  <c r="AC50" i="8" a="1"/>
  <c r="AC50" i="8" s="1"/>
  <c r="AB50" i="8" a="1"/>
  <c r="AB50" i="8" s="1"/>
  <c r="AA50" i="8" a="1"/>
  <c r="AA50" i="8" s="1"/>
  <c r="C50" i="8"/>
  <c r="C59" i="8" s="1"/>
  <c r="C68" i="8" s="1"/>
  <c r="AC49" i="8" a="1"/>
  <c r="AC49" i="8" s="1"/>
  <c r="AB49" i="8" a="1"/>
  <c r="AB49" i="8" s="1"/>
  <c r="AA49" i="8" a="1"/>
  <c r="AA49" i="8" s="1"/>
  <c r="AC48" i="8" a="1"/>
  <c r="AC48" i="8" s="1"/>
  <c r="AB48" i="8" a="1"/>
  <c r="AB48" i="8" s="1"/>
  <c r="AA48" i="8" a="1"/>
  <c r="AA48" i="8" s="1"/>
  <c r="AD48" i="8" s="1"/>
  <c r="C48" i="8"/>
  <c r="C57" i="8" s="1"/>
  <c r="C66" i="8" s="1"/>
  <c r="AC47" i="8" a="1"/>
  <c r="AC47" i="8" s="1"/>
  <c r="AB47" i="8"/>
  <c r="AB47" i="8" a="1"/>
  <c r="AA47" i="8" a="1"/>
  <c r="AA47" i="8" s="1"/>
  <c r="AC46" i="8" a="1"/>
  <c r="AC46" i="8" s="1"/>
  <c r="AB46" i="8"/>
  <c r="AB46" i="8" a="1"/>
  <c r="AA46" i="8" a="1"/>
  <c r="AA46" i="8" s="1"/>
  <c r="AD46" i="8" s="1"/>
  <c r="C46" i="8"/>
  <c r="AC45" i="8" a="1"/>
  <c r="AC45" i="8" s="1"/>
  <c r="AB45" i="8" a="1"/>
  <c r="AB45" i="8" s="1"/>
  <c r="AA45" i="8"/>
  <c r="AA45" i="8" a="1"/>
  <c r="C45" i="8"/>
  <c r="C54" i="8" s="1"/>
  <c r="C63" i="8" s="1"/>
  <c r="C72" i="8" s="1"/>
  <c r="C81" i="8" s="1"/>
  <c r="C90" i="8" s="1"/>
  <c r="C99" i="8" s="1"/>
  <c r="C108" i="8" s="1"/>
  <c r="C117" i="8" s="1"/>
  <c r="C126" i="8" s="1"/>
  <c r="C135" i="8" s="1"/>
  <c r="C144" i="8" s="1"/>
  <c r="C153" i="8" s="1"/>
  <c r="C162" i="8" s="1"/>
  <c r="C171" i="8" s="1"/>
  <c r="C180" i="8" s="1"/>
  <c r="C189" i="8" s="1"/>
  <c r="C198" i="8" s="1"/>
  <c r="C207" i="8" s="1"/>
  <c r="C216" i="8" s="1"/>
  <c r="C225" i="8" s="1"/>
  <c r="C234" i="8" s="1"/>
  <c r="C243" i="8" s="1"/>
  <c r="C252" i="8" s="1"/>
  <c r="C261" i="8" s="1"/>
  <c r="C270" i="8" s="1"/>
  <c r="C279" i="8" s="1"/>
  <c r="C288" i="8" s="1"/>
  <c r="C297" i="8" s="1"/>
  <c r="C306" i="8" s="1"/>
  <c r="C315" i="8" s="1"/>
  <c r="C324" i="8" s="1"/>
  <c r="C333" i="8" s="1"/>
  <c r="C342" i="8" s="1"/>
  <c r="C351" i="8" s="1"/>
  <c r="C360" i="8" s="1"/>
  <c r="C369" i="8" s="1"/>
  <c r="AC44" i="8" a="1"/>
  <c r="AC44" i="8" s="1"/>
  <c r="AB44" i="8" a="1"/>
  <c r="AB44" i="8" s="1"/>
  <c r="AA44" i="8" a="1"/>
  <c r="AA44" i="8" s="1"/>
  <c r="AC43" i="8" a="1"/>
  <c r="AC43" i="8" s="1"/>
  <c r="AB43" i="8" a="1"/>
  <c r="AB43" i="8" s="1"/>
  <c r="AA43" i="8" a="1"/>
  <c r="AA43" i="8" s="1"/>
  <c r="AD43" i="8" s="1"/>
  <c r="C43" i="8"/>
  <c r="C52" i="8" s="1"/>
  <c r="C61" i="8" s="1"/>
  <c r="C70" i="8" s="1"/>
  <c r="C79" i="8" s="1"/>
  <c r="C88" i="8" s="1"/>
  <c r="C97" i="8" s="1"/>
  <c r="C106" i="8" s="1"/>
  <c r="C115" i="8" s="1"/>
  <c r="C124" i="8" s="1"/>
  <c r="C133" i="8" s="1"/>
  <c r="C142" i="8" s="1"/>
  <c r="C151" i="8" s="1"/>
  <c r="C160" i="8" s="1"/>
  <c r="C169" i="8" s="1"/>
  <c r="C178" i="8" s="1"/>
  <c r="C187" i="8" s="1"/>
  <c r="C196" i="8" s="1"/>
  <c r="C205" i="8" s="1"/>
  <c r="C214" i="8" s="1"/>
  <c r="C223" i="8" s="1"/>
  <c r="C232" i="8" s="1"/>
  <c r="C241" i="8" s="1"/>
  <c r="C250" i="8" s="1"/>
  <c r="C259" i="8" s="1"/>
  <c r="C268" i="8" s="1"/>
  <c r="C277" i="8" s="1"/>
  <c r="C286" i="8" s="1"/>
  <c r="C295" i="8" s="1"/>
  <c r="C304" i="8" s="1"/>
  <c r="C313" i="8" s="1"/>
  <c r="C322" i="8" s="1"/>
  <c r="C331" i="8" s="1"/>
  <c r="C340" i="8" s="1"/>
  <c r="C349" i="8" s="1"/>
  <c r="C358" i="8" s="1"/>
  <c r="C367" i="8" s="1"/>
  <c r="AC42" i="8" a="1"/>
  <c r="AC42" i="8" s="1"/>
  <c r="AB42" i="8"/>
  <c r="AD42" i="8" s="1"/>
  <c r="AB42" i="8" a="1"/>
  <c r="AA42" i="8" a="1"/>
  <c r="AA42" i="8" s="1"/>
  <c r="AC41" i="8" a="1"/>
  <c r="AC41" i="8" s="1"/>
  <c r="AB41" i="8" a="1"/>
  <c r="AB41" i="8" s="1"/>
  <c r="AA41" i="8" a="1"/>
  <c r="AA41" i="8" s="1"/>
  <c r="AD41" i="8" s="1"/>
  <c r="C41" i="8"/>
  <c r="AC40" i="8" a="1"/>
  <c r="AC40" i="8" s="1"/>
  <c r="AB40" i="8" a="1"/>
  <c r="AB40" i="8" s="1"/>
  <c r="AA40" i="8" a="1"/>
  <c r="AA40" i="8" s="1"/>
  <c r="C40" i="8"/>
  <c r="C49" i="8" s="1"/>
  <c r="AC39" i="8" a="1"/>
  <c r="AC39" i="8" s="1"/>
  <c r="AB39" i="8" a="1"/>
  <c r="AB39" i="8" s="1"/>
  <c r="AA39" i="8" a="1"/>
  <c r="AA39" i="8" s="1"/>
  <c r="AD39" i="8" s="1"/>
  <c r="C39" i="8"/>
  <c r="AC38" i="8" a="1"/>
  <c r="AC38" i="8" s="1"/>
  <c r="AB38" i="8" a="1"/>
  <c r="AB38" i="8" s="1"/>
  <c r="AA38" i="8" a="1"/>
  <c r="AA38" i="8" s="1"/>
  <c r="AD38" i="8" s="1"/>
  <c r="C38" i="8"/>
  <c r="C47" i="8" s="1"/>
  <c r="C56" i="8" s="1"/>
  <c r="C65" i="8" s="1"/>
  <c r="AC37" i="8" a="1"/>
  <c r="AC37" i="8" s="1"/>
  <c r="AB37" i="8"/>
  <c r="AB37" i="8" a="1"/>
  <c r="AA37" i="8" a="1"/>
  <c r="AA37" i="8" s="1"/>
  <c r="C37" i="8"/>
  <c r="AC36" i="8" a="1"/>
  <c r="AC36" i="8" s="1"/>
  <c r="AB36" i="8" a="1"/>
  <c r="AB36" i="8" s="1"/>
  <c r="AA36" i="8" a="1"/>
  <c r="AA36" i="8" s="1"/>
  <c r="AD36" i="8" s="1"/>
  <c r="C36" i="8"/>
  <c r="AC35" i="8" a="1"/>
  <c r="AC35" i="8" s="1"/>
  <c r="AB35" i="8" a="1"/>
  <c r="AB35" i="8" s="1"/>
  <c r="AA35" i="8"/>
  <c r="AD35" i="8" s="1"/>
  <c r="AA35" i="8" a="1"/>
  <c r="C35" i="8"/>
  <c r="C44" i="8" s="1"/>
  <c r="AC34" i="8" a="1"/>
  <c r="AC34" i="8" s="1"/>
  <c r="AB34" i="8" a="1"/>
  <c r="AB34" i="8" s="1"/>
  <c r="AA34" i="8" a="1"/>
  <c r="AA34" i="8" s="1"/>
  <c r="AD34" i="8" s="1"/>
  <c r="C34" i="8"/>
  <c r="AC33" i="8" a="1"/>
  <c r="AC33" i="8" s="1"/>
  <c r="AB33" i="8" a="1"/>
  <c r="AB33" i="8" s="1"/>
  <c r="AA33" i="8"/>
  <c r="AD33" i="8" s="1"/>
  <c r="AA33" i="8" a="1"/>
  <c r="C33" i="8"/>
  <c r="C42" i="8" s="1"/>
  <c r="C51" i="8" s="1"/>
  <c r="AC32" i="8" a="1"/>
  <c r="AC32" i="8" s="1"/>
  <c r="AB32" i="8"/>
  <c r="AB32" i="8" a="1"/>
  <c r="AA32" i="8" a="1"/>
  <c r="AA32" i="8" s="1"/>
  <c r="AD32" i="8" s="1"/>
  <c r="C32" i="8"/>
  <c r="AC31" i="8" a="1"/>
  <c r="AC31" i="8" s="1"/>
  <c r="AB31" i="8" a="1"/>
  <c r="AB31" i="8" s="1"/>
  <c r="AA31" i="8" a="1"/>
  <c r="AA31" i="8" s="1"/>
  <c r="C31" i="8"/>
  <c r="AC30" i="8" a="1"/>
  <c r="AC30" i="8" s="1"/>
  <c r="AB30" i="8"/>
  <c r="AB30" i="8" a="1"/>
  <c r="AA30" i="8" a="1"/>
  <c r="AA30" i="8" s="1"/>
  <c r="AD30" i="8" s="1"/>
  <c r="AD29" i="8"/>
  <c r="AC29" i="8"/>
  <c r="AC29" i="8" a="1"/>
  <c r="AB29" i="8"/>
  <c r="AB29" i="8" a="1"/>
  <c r="AA29" i="8"/>
  <c r="AA29" i="8" a="1"/>
  <c r="AC28" i="8" a="1"/>
  <c r="AC28" i="8" s="1"/>
  <c r="AB28" i="8" a="1"/>
  <c r="AB28" i="8" s="1"/>
  <c r="AA28" i="8" a="1"/>
  <c r="AA28" i="8" s="1"/>
  <c r="AD28" i="8" s="1"/>
  <c r="AC27" i="8" a="1"/>
  <c r="AC27" i="8" s="1"/>
  <c r="AB27" i="8"/>
  <c r="AB27" i="8" a="1"/>
  <c r="AA27" i="8" a="1"/>
  <c r="AA27" i="8" s="1"/>
  <c r="AC26" i="8" a="1"/>
  <c r="AC26" i="8" s="1"/>
  <c r="AB26" i="8" a="1"/>
  <c r="AB26" i="8" s="1"/>
  <c r="AA26" i="8" a="1"/>
  <c r="AA26" i="8" s="1"/>
  <c r="AD26" i="8" s="1"/>
  <c r="AC25" i="8" a="1"/>
  <c r="AC25" i="8" s="1"/>
  <c r="AB25" i="8" a="1"/>
  <c r="AB25" i="8" s="1"/>
  <c r="AA25" i="8" a="1"/>
  <c r="AA25" i="8" s="1"/>
  <c r="AD25" i="8" s="1"/>
  <c r="AC24" i="8" a="1"/>
  <c r="AC24" i="8" s="1"/>
  <c r="AB24" i="8" a="1"/>
  <c r="AB24" i="8" s="1"/>
  <c r="AA24" i="8"/>
  <c r="AD24" i="8" s="1"/>
  <c r="AA24" i="8" a="1"/>
  <c r="AC23" i="8"/>
  <c r="AC23" i="8" a="1"/>
  <c r="AB23" i="8"/>
  <c r="AB23" i="8" a="1"/>
  <c r="AA23" i="8"/>
  <c r="AD23" i="8" s="1"/>
  <c r="AA23" i="8" a="1"/>
  <c r="AC22" i="8" a="1"/>
  <c r="AC22" i="8" s="1"/>
  <c r="AB22" i="8" a="1"/>
  <c r="AB22" i="8" s="1"/>
  <c r="AA22" i="8" a="1"/>
  <c r="AA22" i="8" s="1"/>
  <c r="AE15" i="8"/>
  <c r="AD15" i="8"/>
  <c r="AC15" i="8"/>
  <c r="AB15" i="8"/>
  <c r="AA15" i="8"/>
  <c r="M15" i="8"/>
  <c r="L15" i="8"/>
  <c r="W14" i="8"/>
  <c r="V14" i="8"/>
  <c r="Q14" i="8"/>
  <c r="C14" i="8"/>
  <c r="B14" i="8"/>
  <c r="AE13" i="8"/>
  <c r="AD13" i="8"/>
  <c r="M13" i="8"/>
  <c r="K13" i="8"/>
  <c r="J13" i="8"/>
  <c r="AE9" i="8"/>
  <c r="AD9" i="8"/>
  <c r="AC9" i="8"/>
  <c r="AB9" i="8"/>
  <c r="AA9" i="8"/>
  <c r="Z9" i="8"/>
  <c r="Z15" i="8" s="1"/>
  <c r="Y9" i="8"/>
  <c r="Y15" i="8" s="1"/>
  <c r="X9" i="8"/>
  <c r="X15" i="8" s="1"/>
  <c r="W9" i="8"/>
  <c r="W15" i="8" s="1"/>
  <c r="V9" i="8"/>
  <c r="V15" i="8" s="1"/>
  <c r="U9" i="8"/>
  <c r="U15" i="8" s="1"/>
  <c r="T9" i="8"/>
  <c r="T15" i="8" s="1"/>
  <c r="S9" i="8"/>
  <c r="S15" i="8" s="1"/>
  <c r="R9" i="8"/>
  <c r="R15" i="8" s="1"/>
  <c r="Q9" i="8"/>
  <c r="Q15" i="8" s="1"/>
  <c r="P9" i="8"/>
  <c r="O9" i="8"/>
  <c r="N9" i="8"/>
  <c r="M9" i="8"/>
  <c r="L9" i="8"/>
  <c r="K9" i="8"/>
  <c r="J9" i="8"/>
  <c r="I9" i="8"/>
  <c r="H9" i="8"/>
  <c r="G9" i="8"/>
  <c r="F9" i="8"/>
  <c r="F15" i="8" s="1"/>
  <c r="E9" i="8"/>
  <c r="E15" i="8" s="1"/>
  <c r="D9" i="8"/>
  <c r="D15" i="8" s="1"/>
  <c r="C9" i="8"/>
  <c r="C15" i="8" s="1"/>
  <c r="B9" i="8"/>
  <c r="B15" i="8" s="1"/>
  <c r="AE8" i="8"/>
  <c r="AE14" i="8" s="1"/>
  <c r="AD8" i="8"/>
  <c r="AD14" i="8" s="1"/>
  <c r="AC8" i="8"/>
  <c r="AC14" i="8" s="1"/>
  <c r="AB8" i="8"/>
  <c r="AB14" i="8" s="1"/>
  <c r="AA8" i="8"/>
  <c r="AA14" i="8" s="1"/>
  <c r="Z8" i="8"/>
  <c r="Y8" i="8"/>
  <c r="X8" i="8"/>
  <c r="W8" i="8"/>
  <c r="V8" i="8"/>
  <c r="U8" i="8"/>
  <c r="T8" i="8"/>
  <c r="S8" i="8"/>
  <c r="R8" i="8"/>
  <c r="Q8" i="8"/>
  <c r="P8" i="8"/>
  <c r="P14" i="8" s="1"/>
  <c r="O8" i="8"/>
  <c r="O14" i="8" s="1"/>
  <c r="N8" i="8"/>
  <c r="N14" i="8" s="1"/>
  <c r="M8" i="8"/>
  <c r="M14" i="8" s="1"/>
  <c r="L8" i="8"/>
  <c r="L14" i="8" s="1"/>
  <c r="K8" i="8"/>
  <c r="K14" i="8" s="1"/>
  <c r="J8" i="8"/>
  <c r="J14" i="8" s="1"/>
  <c r="I8" i="8"/>
  <c r="I14" i="8" s="1"/>
  <c r="H8" i="8"/>
  <c r="H14" i="8" s="1"/>
  <c r="G8" i="8"/>
  <c r="G14" i="8" s="1"/>
  <c r="F8" i="8"/>
  <c r="E8" i="8"/>
  <c r="D8" i="8"/>
  <c r="C8" i="8"/>
  <c r="B8" i="8"/>
  <c r="AE7" i="8"/>
  <c r="AD7" i="8"/>
  <c r="AC7" i="8"/>
  <c r="AB7" i="8"/>
  <c r="AA7" i="8"/>
  <c r="Z7" i="8"/>
  <c r="Z13" i="8" s="1"/>
  <c r="Y7" i="8"/>
  <c r="Y13" i="8" s="1"/>
  <c r="X7" i="8"/>
  <c r="X13" i="8" s="1"/>
  <c r="W7" i="8"/>
  <c r="W13" i="8" s="1"/>
  <c r="V7" i="8"/>
  <c r="V13" i="8" s="1"/>
  <c r="U7" i="8"/>
  <c r="U13" i="8" s="1"/>
  <c r="T7" i="8"/>
  <c r="T13" i="8" s="1"/>
  <c r="S7" i="8"/>
  <c r="S13" i="8" s="1"/>
  <c r="R7" i="8"/>
  <c r="R13" i="8" s="1"/>
  <c r="Q7" i="8"/>
  <c r="Q13" i="8" s="1"/>
  <c r="P7" i="8"/>
  <c r="O7" i="8"/>
  <c r="N7" i="8"/>
  <c r="M7" i="8"/>
  <c r="L7" i="8"/>
  <c r="K7" i="8"/>
  <c r="J7" i="8"/>
  <c r="I7" i="8"/>
  <c r="H7" i="8"/>
  <c r="G7" i="8"/>
  <c r="F7" i="8"/>
  <c r="F13" i="8" s="1"/>
  <c r="E7" i="8"/>
  <c r="E13" i="8" s="1"/>
  <c r="D7" i="8"/>
  <c r="D13" i="8" s="1"/>
  <c r="C7" i="8"/>
  <c r="C13" i="8" s="1"/>
  <c r="B7" i="8"/>
  <c r="B13" i="8" s="1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B6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B4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F2" i="2"/>
  <c r="B2" i="2"/>
  <c r="B127" i="7"/>
  <c r="B126" i="7"/>
  <c r="B125" i="7"/>
  <c r="B124" i="7"/>
  <c r="B123" i="7"/>
  <c r="B122" i="7"/>
  <c r="B121" i="7"/>
  <c r="B120" i="7"/>
  <c r="B117" i="7"/>
  <c r="B110" i="7"/>
  <c r="B109" i="7"/>
  <c r="B108" i="7"/>
  <c r="B107" i="7"/>
  <c r="B106" i="7"/>
  <c r="B105" i="7"/>
  <c r="B104" i="7"/>
  <c r="B103" i="7"/>
  <c r="B102" i="7"/>
  <c r="B101" i="7"/>
  <c r="B98" i="7"/>
  <c r="B97" i="7"/>
  <c r="B96" i="7"/>
  <c r="B95" i="7"/>
  <c r="B94" i="7"/>
  <c r="B93" i="7"/>
  <c r="B92" i="7"/>
  <c r="B91" i="7"/>
  <c r="B90" i="7"/>
  <c r="B89" i="7"/>
  <c r="AG86" i="7" a="1"/>
  <c r="AG86" i="7" s="1"/>
  <c r="AF86" i="7" a="1"/>
  <c r="AF86" i="7" s="1"/>
  <c r="AE86" i="7" a="1"/>
  <c r="AE86" i="7" s="1"/>
  <c r="AD86" i="7" a="1"/>
  <c r="AD86" i="7" s="1"/>
  <c r="AC86" i="7" a="1"/>
  <c r="AC86" i="7" s="1"/>
  <c r="AB86" i="7" a="1"/>
  <c r="AB86" i="7" s="1"/>
  <c r="AA86" i="7" a="1"/>
  <c r="AA86" i="7" s="1"/>
  <c r="Z86" i="7" a="1"/>
  <c r="Z86" i="7" s="1"/>
  <c r="Y86" i="7" a="1"/>
  <c r="Y86" i="7" s="1"/>
  <c r="X86" i="7" a="1"/>
  <c r="X86" i="7" s="1"/>
  <c r="W86" i="7" a="1"/>
  <c r="W86" i="7" s="1"/>
  <c r="W98" i="7" s="1"/>
  <c r="V86" i="7" a="1"/>
  <c r="V86" i="7" s="1"/>
  <c r="U86" i="7" a="1"/>
  <c r="U86" i="7" s="1"/>
  <c r="T86" i="7" a="1"/>
  <c r="T86" i="7" s="1"/>
  <c r="S86" i="7" a="1"/>
  <c r="S86" i="7" s="1"/>
  <c r="R86" i="7" a="1"/>
  <c r="R86" i="7" s="1"/>
  <c r="R98" i="7" s="1"/>
  <c r="Q86" i="7" a="1"/>
  <c r="Q86" i="7" s="1"/>
  <c r="P86" i="7" a="1"/>
  <c r="P86" i="7" s="1"/>
  <c r="O86" i="7" a="1"/>
  <c r="O86" i="7" s="1"/>
  <c r="N86" i="7" a="1"/>
  <c r="N86" i="7" s="1"/>
  <c r="M86" i="7" a="1"/>
  <c r="M86" i="7" s="1"/>
  <c r="M98" i="7" s="1"/>
  <c r="L86" i="7" a="1"/>
  <c r="L86" i="7" s="1"/>
  <c r="K86" i="7" a="1"/>
  <c r="K86" i="7" s="1"/>
  <c r="J86" i="7" a="1"/>
  <c r="J86" i="7" s="1"/>
  <c r="I86" i="7" a="1"/>
  <c r="I86" i="7" s="1"/>
  <c r="H86" i="7" a="1"/>
  <c r="H86" i="7" s="1"/>
  <c r="H98" i="7" s="1"/>
  <c r="G86" i="7" a="1"/>
  <c r="G86" i="7" s="1"/>
  <c r="F86" i="7" a="1"/>
  <c r="F86" i="7" s="1"/>
  <c r="E86" i="7" a="1"/>
  <c r="E86" i="7" s="1"/>
  <c r="D86" i="7" a="1"/>
  <c r="D86" i="7" s="1"/>
  <c r="C86" i="7" a="1"/>
  <c r="C86" i="7" s="1"/>
  <c r="C98" i="7" s="1"/>
  <c r="B86" i="7"/>
  <c r="AG85" i="7" a="1"/>
  <c r="AG85" i="7" s="1"/>
  <c r="AF85" i="7" a="1"/>
  <c r="AF85" i="7" s="1"/>
  <c r="AE85" i="7" a="1"/>
  <c r="AE85" i="7" s="1"/>
  <c r="AD85" i="7" a="1"/>
  <c r="AD85" i="7" s="1"/>
  <c r="AC85" i="7" a="1"/>
  <c r="AC85" i="7" s="1"/>
  <c r="AB85" i="7" a="1"/>
  <c r="AB85" i="7" s="1"/>
  <c r="AA85" i="7" a="1"/>
  <c r="AA85" i="7" s="1"/>
  <c r="Z85" i="7" a="1"/>
  <c r="Z85" i="7" s="1"/>
  <c r="Y85" i="7" a="1"/>
  <c r="Y85" i="7" s="1"/>
  <c r="X85" i="7" a="1"/>
  <c r="X85" i="7" s="1"/>
  <c r="W85" i="7" a="1"/>
  <c r="W85" i="7" s="1"/>
  <c r="W97" i="7" s="1"/>
  <c r="V85" i="7" a="1"/>
  <c r="V85" i="7" s="1"/>
  <c r="U85" i="7" a="1"/>
  <c r="U85" i="7" s="1"/>
  <c r="T85" i="7" a="1"/>
  <c r="T85" i="7" s="1"/>
  <c r="S85" i="7" a="1"/>
  <c r="S85" i="7" s="1"/>
  <c r="R85" i="7" a="1"/>
  <c r="R85" i="7" s="1"/>
  <c r="R97" i="7" s="1"/>
  <c r="Q85" i="7" a="1"/>
  <c r="Q85" i="7" s="1"/>
  <c r="P85" i="7" a="1"/>
  <c r="P85" i="7" s="1"/>
  <c r="O85" i="7" a="1"/>
  <c r="O85" i="7" s="1"/>
  <c r="N85" i="7" a="1"/>
  <c r="N85" i="7" s="1"/>
  <c r="M85" i="7" a="1"/>
  <c r="M85" i="7" s="1"/>
  <c r="M97" i="7" s="1"/>
  <c r="L85" i="7" a="1"/>
  <c r="L85" i="7" s="1"/>
  <c r="K85" i="7" a="1"/>
  <c r="K85" i="7" s="1"/>
  <c r="J85" i="7" a="1"/>
  <c r="J85" i="7" s="1"/>
  <c r="I85" i="7" a="1"/>
  <c r="I85" i="7" s="1"/>
  <c r="H85" i="7" a="1"/>
  <c r="H85" i="7" s="1"/>
  <c r="H97" i="7" s="1"/>
  <c r="G85" i="7" a="1"/>
  <c r="G85" i="7" s="1"/>
  <c r="F85" i="7" a="1"/>
  <c r="F85" i="7" s="1"/>
  <c r="E85" i="7" a="1"/>
  <c r="E85" i="7" s="1"/>
  <c r="D85" i="7" a="1"/>
  <c r="D85" i="7" s="1"/>
  <c r="C85" i="7" a="1"/>
  <c r="C85" i="7" s="1"/>
  <c r="C97" i="7" s="1"/>
  <c r="B85" i="7"/>
  <c r="AG84" i="7" a="1"/>
  <c r="AG84" i="7" s="1"/>
  <c r="AF84" i="7" a="1"/>
  <c r="AF84" i="7" s="1"/>
  <c r="AE84" i="7" a="1"/>
  <c r="AE84" i="7" s="1"/>
  <c r="AD84" i="7" a="1"/>
  <c r="AD84" i="7" s="1"/>
  <c r="AC84" i="7" a="1"/>
  <c r="AC84" i="7" s="1"/>
  <c r="AB84" i="7" a="1"/>
  <c r="AB84" i="7" s="1"/>
  <c r="AA84" i="7" a="1"/>
  <c r="AA84" i="7" s="1"/>
  <c r="Z84" i="7" a="1"/>
  <c r="Z84" i="7" s="1"/>
  <c r="Y84" i="7" a="1"/>
  <c r="Y84" i="7" s="1"/>
  <c r="X84" i="7" a="1"/>
  <c r="X84" i="7" s="1"/>
  <c r="W84" i="7" a="1"/>
  <c r="W84" i="7" s="1"/>
  <c r="W96" i="7" s="1"/>
  <c r="V84" i="7" a="1"/>
  <c r="V84" i="7" s="1"/>
  <c r="U84" i="7" a="1"/>
  <c r="U84" i="7" s="1"/>
  <c r="T84" i="7" a="1"/>
  <c r="T84" i="7" s="1"/>
  <c r="S84" i="7" a="1"/>
  <c r="S84" i="7" s="1"/>
  <c r="R84" i="7" a="1"/>
  <c r="R84" i="7" s="1"/>
  <c r="R96" i="7" s="1"/>
  <c r="Q84" i="7" a="1"/>
  <c r="Q84" i="7" s="1"/>
  <c r="P84" i="7" a="1"/>
  <c r="P84" i="7" s="1"/>
  <c r="O84" i="7" a="1"/>
  <c r="O84" i="7" s="1"/>
  <c r="N84" i="7" a="1"/>
  <c r="N84" i="7" s="1"/>
  <c r="M84" i="7" a="1"/>
  <c r="M84" i="7" s="1"/>
  <c r="M96" i="7" s="1"/>
  <c r="L84" i="7" a="1"/>
  <c r="L84" i="7" s="1"/>
  <c r="K84" i="7" a="1"/>
  <c r="K84" i="7" s="1"/>
  <c r="J84" i="7" a="1"/>
  <c r="J84" i="7" s="1"/>
  <c r="I84" i="7" a="1"/>
  <c r="I84" i="7" s="1"/>
  <c r="H84" i="7" a="1"/>
  <c r="H84" i="7" s="1"/>
  <c r="H96" i="7" s="1"/>
  <c r="G84" i="7" a="1"/>
  <c r="G84" i="7" s="1"/>
  <c r="F84" i="7" a="1"/>
  <c r="F84" i="7" s="1"/>
  <c r="E84" i="7" a="1"/>
  <c r="E84" i="7" s="1"/>
  <c r="D84" i="7" a="1"/>
  <c r="D84" i="7" s="1"/>
  <c r="C84" i="7" a="1"/>
  <c r="C84" i="7" s="1"/>
  <c r="C96" i="7" s="1"/>
  <c r="B84" i="7"/>
  <c r="AG83" i="7" a="1"/>
  <c r="AG83" i="7" s="1"/>
  <c r="AF83" i="7" a="1"/>
  <c r="AF83" i="7" s="1"/>
  <c r="AE83" i="7" a="1"/>
  <c r="AE83" i="7" s="1"/>
  <c r="AD83" i="7" a="1"/>
  <c r="AD83" i="7" s="1"/>
  <c r="AC83" i="7" a="1"/>
  <c r="AC83" i="7" s="1"/>
  <c r="AB83" i="7" a="1"/>
  <c r="AB83" i="7" s="1"/>
  <c r="AA83" i="7" a="1"/>
  <c r="AA83" i="7" s="1"/>
  <c r="Z83" i="7" a="1"/>
  <c r="Z83" i="7" s="1"/>
  <c r="Y83" i="7" a="1"/>
  <c r="Y83" i="7" s="1"/>
  <c r="X83" i="7" a="1"/>
  <c r="X83" i="7" s="1"/>
  <c r="W83" i="7" a="1"/>
  <c r="W83" i="7" s="1"/>
  <c r="W95" i="7" s="1"/>
  <c r="V83" i="7" a="1"/>
  <c r="V83" i="7" s="1"/>
  <c r="U83" i="7" a="1"/>
  <c r="U83" i="7" s="1"/>
  <c r="T83" i="7" a="1"/>
  <c r="T83" i="7" s="1"/>
  <c r="S83" i="7" a="1"/>
  <c r="S83" i="7" s="1"/>
  <c r="R83" i="7" a="1"/>
  <c r="R83" i="7" s="1"/>
  <c r="R95" i="7" s="1"/>
  <c r="Q83" i="7" a="1"/>
  <c r="Q83" i="7" s="1"/>
  <c r="P83" i="7" a="1"/>
  <c r="P83" i="7" s="1"/>
  <c r="O83" i="7" a="1"/>
  <c r="O83" i="7" s="1"/>
  <c r="N83" i="7" a="1"/>
  <c r="N83" i="7" s="1"/>
  <c r="M83" i="7" a="1"/>
  <c r="M83" i="7" s="1"/>
  <c r="M95" i="7" s="1"/>
  <c r="L83" i="7" a="1"/>
  <c r="L83" i="7" s="1"/>
  <c r="K83" i="7" a="1"/>
  <c r="K83" i="7" s="1"/>
  <c r="J83" i="7" a="1"/>
  <c r="J83" i="7" s="1"/>
  <c r="I83" i="7" a="1"/>
  <c r="I83" i="7" s="1"/>
  <c r="H83" i="7" a="1"/>
  <c r="H83" i="7" s="1"/>
  <c r="H95" i="7" s="1"/>
  <c r="G83" i="7" a="1"/>
  <c r="G83" i="7" s="1"/>
  <c r="F83" i="7" a="1"/>
  <c r="F83" i="7" s="1"/>
  <c r="E83" i="7" a="1"/>
  <c r="E83" i="7" s="1"/>
  <c r="D83" i="7" a="1"/>
  <c r="D83" i="7" s="1"/>
  <c r="C83" i="7" a="1"/>
  <c r="C83" i="7" s="1"/>
  <c r="C95" i="7" s="1"/>
  <c r="B83" i="7"/>
  <c r="AG82" i="7" a="1"/>
  <c r="AG82" i="7" s="1"/>
  <c r="AF82" i="7" a="1"/>
  <c r="AF82" i="7" s="1"/>
  <c r="AE82" i="7" a="1"/>
  <c r="AE82" i="7" s="1"/>
  <c r="AD82" i="7" a="1"/>
  <c r="AD82" i="7" s="1"/>
  <c r="AC82" i="7" a="1"/>
  <c r="AC82" i="7" s="1"/>
  <c r="AB82" i="7" a="1"/>
  <c r="AB82" i="7" s="1"/>
  <c r="AA82" i="7" a="1"/>
  <c r="AA82" i="7" s="1"/>
  <c r="Z82" i="7" a="1"/>
  <c r="Z82" i="7" s="1"/>
  <c r="Y82" i="7" a="1"/>
  <c r="Y82" i="7" s="1"/>
  <c r="X82" i="7" a="1"/>
  <c r="X82" i="7" s="1"/>
  <c r="W82" i="7" a="1"/>
  <c r="W82" i="7" s="1"/>
  <c r="W94" i="7" s="1"/>
  <c r="V82" i="7" a="1"/>
  <c r="V82" i="7" s="1"/>
  <c r="U82" i="7" a="1"/>
  <c r="U82" i="7" s="1"/>
  <c r="T82" i="7" a="1"/>
  <c r="T82" i="7" s="1"/>
  <c r="S82" i="7" a="1"/>
  <c r="S82" i="7" s="1"/>
  <c r="R82" i="7" a="1"/>
  <c r="R82" i="7" s="1"/>
  <c r="R94" i="7" s="1"/>
  <c r="Q82" i="7" a="1"/>
  <c r="Q82" i="7" s="1"/>
  <c r="P82" i="7" a="1"/>
  <c r="P82" i="7" s="1"/>
  <c r="O82" i="7" a="1"/>
  <c r="O82" i="7" s="1"/>
  <c r="N82" i="7" a="1"/>
  <c r="N82" i="7" s="1"/>
  <c r="M82" i="7" a="1"/>
  <c r="M82" i="7" s="1"/>
  <c r="M94" i="7" s="1"/>
  <c r="L82" i="7" a="1"/>
  <c r="L82" i="7" s="1"/>
  <c r="K82" i="7" a="1"/>
  <c r="K82" i="7" s="1"/>
  <c r="J82" i="7" a="1"/>
  <c r="J82" i="7" s="1"/>
  <c r="I82" i="7" a="1"/>
  <c r="I82" i="7" s="1"/>
  <c r="H82" i="7" a="1"/>
  <c r="H82" i="7" s="1"/>
  <c r="H94" i="7" s="1"/>
  <c r="G82" i="7" a="1"/>
  <c r="G82" i="7" s="1"/>
  <c r="F82" i="7" a="1"/>
  <c r="F82" i="7" s="1"/>
  <c r="E82" i="7" a="1"/>
  <c r="E82" i="7" s="1"/>
  <c r="D82" i="7" a="1"/>
  <c r="D82" i="7" s="1"/>
  <c r="C82" i="7" a="1"/>
  <c r="C82" i="7" s="1"/>
  <c r="C94" i="7" s="1"/>
  <c r="B82" i="7"/>
  <c r="AG81" i="7" a="1"/>
  <c r="AG81" i="7" s="1"/>
  <c r="AF81" i="7" a="1"/>
  <c r="AF81" i="7" s="1"/>
  <c r="AE81" i="7" a="1"/>
  <c r="AE81" i="7" s="1"/>
  <c r="AD81" i="7" a="1"/>
  <c r="AD81" i="7" s="1"/>
  <c r="AC81" i="7" a="1"/>
  <c r="AC81" i="7" s="1"/>
  <c r="AB81" i="7" a="1"/>
  <c r="AB81" i="7" s="1"/>
  <c r="AA81" i="7" a="1"/>
  <c r="AA81" i="7" s="1"/>
  <c r="Z81" i="7" a="1"/>
  <c r="Z81" i="7" s="1"/>
  <c r="Y81" i="7" a="1"/>
  <c r="Y81" i="7" s="1"/>
  <c r="X81" i="7" a="1"/>
  <c r="X81" i="7" s="1"/>
  <c r="W81" i="7" a="1"/>
  <c r="W81" i="7" s="1"/>
  <c r="W93" i="7" s="1"/>
  <c r="V81" i="7" a="1"/>
  <c r="V81" i="7" s="1"/>
  <c r="U81" i="7" a="1"/>
  <c r="U81" i="7" s="1"/>
  <c r="T81" i="7" a="1"/>
  <c r="T81" i="7" s="1"/>
  <c r="S81" i="7" a="1"/>
  <c r="S81" i="7" s="1"/>
  <c r="R81" i="7" a="1"/>
  <c r="R81" i="7" s="1"/>
  <c r="R93" i="7" s="1"/>
  <c r="Q81" i="7" a="1"/>
  <c r="Q81" i="7" s="1"/>
  <c r="P81" i="7" a="1"/>
  <c r="P81" i="7" s="1"/>
  <c r="O81" i="7" a="1"/>
  <c r="O81" i="7" s="1"/>
  <c r="N81" i="7" a="1"/>
  <c r="N81" i="7" s="1"/>
  <c r="M81" i="7" a="1"/>
  <c r="M81" i="7" s="1"/>
  <c r="M93" i="7" s="1"/>
  <c r="L81" i="7" a="1"/>
  <c r="L81" i="7" s="1"/>
  <c r="K81" i="7" a="1"/>
  <c r="K81" i="7" s="1"/>
  <c r="J81" i="7" a="1"/>
  <c r="J81" i="7" s="1"/>
  <c r="I81" i="7" a="1"/>
  <c r="I81" i="7" s="1"/>
  <c r="H81" i="7" a="1"/>
  <c r="H81" i="7" s="1"/>
  <c r="H93" i="7" s="1"/>
  <c r="G81" i="7" a="1"/>
  <c r="G81" i="7" s="1"/>
  <c r="F81" i="7" a="1"/>
  <c r="F81" i="7" s="1"/>
  <c r="E81" i="7" a="1"/>
  <c r="E81" i="7" s="1"/>
  <c r="D81" i="7" a="1"/>
  <c r="D81" i="7" s="1"/>
  <c r="C81" i="7" a="1"/>
  <c r="C81" i="7" s="1"/>
  <c r="C93" i="7" s="1"/>
  <c r="B81" i="7"/>
  <c r="AG80" i="7" a="1"/>
  <c r="AG80" i="7" s="1"/>
  <c r="AF80" i="7" a="1"/>
  <c r="AF80" i="7" s="1"/>
  <c r="AE80" i="7" a="1"/>
  <c r="AE80" i="7" s="1"/>
  <c r="AD80" i="7" a="1"/>
  <c r="AD80" i="7" s="1"/>
  <c r="AC80" i="7" a="1"/>
  <c r="AC80" i="7" s="1"/>
  <c r="AB80" i="7" a="1"/>
  <c r="AB80" i="7" s="1"/>
  <c r="AA80" i="7" a="1"/>
  <c r="AA80" i="7" s="1"/>
  <c r="Z80" i="7" a="1"/>
  <c r="Z80" i="7" s="1"/>
  <c r="Y80" i="7" a="1"/>
  <c r="Y80" i="7" s="1"/>
  <c r="X80" i="7" a="1"/>
  <c r="X80" i="7" s="1"/>
  <c r="W80" i="7" a="1"/>
  <c r="W80" i="7" s="1"/>
  <c r="W92" i="7" s="1"/>
  <c r="V80" i="7" a="1"/>
  <c r="V80" i="7" s="1"/>
  <c r="U80" i="7" a="1"/>
  <c r="U80" i="7" s="1"/>
  <c r="T80" i="7" a="1"/>
  <c r="T80" i="7" s="1"/>
  <c r="S80" i="7" a="1"/>
  <c r="S80" i="7" s="1"/>
  <c r="R80" i="7" a="1"/>
  <c r="R80" i="7" s="1"/>
  <c r="R92" i="7" s="1"/>
  <c r="Q80" i="7" a="1"/>
  <c r="Q80" i="7" s="1"/>
  <c r="P80" i="7" a="1"/>
  <c r="P80" i="7" s="1"/>
  <c r="O80" i="7" a="1"/>
  <c r="O80" i="7" s="1"/>
  <c r="N80" i="7" a="1"/>
  <c r="N80" i="7" s="1"/>
  <c r="M80" i="7" a="1"/>
  <c r="M80" i="7" s="1"/>
  <c r="M92" i="7" s="1"/>
  <c r="L80" i="7" a="1"/>
  <c r="L80" i="7" s="1"/>
  <c r="K80" i="7" a="1"/>
  <c r="K80" i="7" s="1"/>
  <c r="J80" i="7" a="1"/>
  <c r="J80" i="7" s="1"/>
  <c r="I80" i="7" a="1"/>
  <c r="I80" i="7" s="1"/>
  <c r="H80" i="7" a="1"/>
  <c r="H80" i="7" s="1"/>
  <c r="H92" i="7" s="1"/>
  <c r="G80" i="7" a="1"/>
  <c r="G80" i="7" s="1"/>
  <c r="F80" i="7" a="1"/>
  <c r="F80" i="7" s="1"/>
  <c r="E80" i="7" a="1"/>
  <c r="E80" i="7" s="1"/>
  <c r="D80" i="7" a="1"/>
  <c r="D80" i="7" s="1"/>
  <c r="C80" i="7" a="1"/>
  <c r="C80" i="7" s="1"/>
  <c r="C92" i="7" s="1"/>
  <c r="B80" i="7"/>
  <c r="AG79" i="7" a="1"/>
  <c r="AG79" i="7" s="1"/>
  <c r="AF79" i="7" a="1"/>
  <c r="AF79" i="7" s="1"/>
  <c r="AE79" i="7" a="1"/>
  <c r="AE79" i="7" s="1"/>
  <c r="AD79" i="7" a="1"/>
  <c r="AD79" i="7" s="1"/>
  <c r="AC79" i="7" a="1"/>
  <c r="AC79" i="7" s="1"/>
  <c r="AB79" i="7" a="1"/>
  <c r="AB79" i="7" s="1"/>
  <c r="AA79" i="7" a="1"/>
  <c r="AA79" i="7" s="1"/>
  <c r="Z79" i="7" a="1"/>
  <c r="Z79" i="7" s="1"/>
  <c r="Y79" i="7" a="1"/>
  <c r="Y79" i="7" s="1"/>
  <c r="X79" i="7" a="1"/>
  <c r="X79" i="7" s="1"/>
  <c r="W79" i="7" a="1"/>
  <c r="W79" i="7" s="1"/>
  <c r="W91" i="7" s="1"/>
  <c r="V79" i="7" a="1"/>
  <c r="V79" i="7" s="1"/>
  <c r="U79" i="7" a="1"/>
  <c r="U79" i="7" s="1"/>
  <c r="T79" i="7" a="1"/>
  <c r="T79" i="7" s="1"/>
  <c r="S79" i="7" a="1"/>
  <c r="S79" i="7" s="1"/>
  <c r="R79" i="7" a="1"/>
  <c r="R79" i="7" s="1"/>
  <c r="R91" i="7" s="1"/>
  <c r="Q79" i="7" a="1"/>
  <c r="Q79" i="7" s="1"/>
  <c r="P79" i="7" a="1"/>
  <c r="P79" i="7" s="1"/>
  <c r="O79" i="7" a="1"/>
  <c r="O79" i="7" s="1"/>
  <c r="N79" i="7" a="1"/>
  <c r="N79" i="7" s="1"/>
  <c r="M79" i="7" a="1"/>
  <c r="M79" i="7" s="1"/>
  <c r="M91" i="7" s="1"/>
  <c r="L79" i="7" a="1"/>
  <c r="L79" i="7" s="1"/>
  <c r="K79" i="7" a="1"/>
  <c r="K79" i="7" s="1"/>
  <c r="J79" i="7" a="1"/>
  <c r="J79" i="7" s="1"/>
  <c r="I79" i="7" a="1"/>
  <c r="I79" i="7" s="1"/>
  <c r="H79" i="7" a="1"/>
  <c r="H79" i="7" s="1"/>
  <c r="H91" i="7" s="1"/>
  <c r="G79" i="7" a="1"/>
  <c r="G79" i="7" s="1"/>
  <c r="F79" i="7" a="1"/>
  <c r="F79" i="7" s="1"/>
  <c r="E79" i="7" a="1"/>
  <c r="E79" i="7" s="1"/>
  <c r="D79" i="7" a="1"/>
  <c r="D79" i="7" s="1"/>
  <c r="C79" i="7" a="1"/>
  <c r="C79" i="7" s="1"/>
  <c r="C91" i="7" s="1"/>
  <c r="B79" i="7"/>
  <c r="AG78" i="7" a="1"/>
  <c r="AG78" i="7" s="1"/>
  <c r="AF78" i="7" a="1"/>
  <c r="AF78" i="7" s="1"/>
  <c r="AE78" i="7" a="1"/>
  <c r="AE78" i="7" s="1"/>
  <c r="AD78" i="7" a="1"/>
  <c r="AD78" i="7" s="1"/>
  <c r="AC78" i="7" a="1"/>
  <c r="AC78" i="7" s="1"/>
  <c r="AB78" i="7" a="1"/>
  <c r="AB78" i="7" s="1"/>
  <c r="AA78" i="7" a="1"/>
  <c r="AA78" i="7" s="1"/>
  <c r="Z78" i="7" a="1"/>
  <c r="Z78" i="7" s="1"/>
  <c r="Y78" i="7" a="1"/>
  <c r="Y78" i="7" s="1"/>
  <c r="X78" i="7" a="1"/>
  <c r="X78" i="7" s="1"/>
  <c r="W78" i="7" a="1"/>
  <c r="W78" i="7" s="1"/>
  <c r="W90" i="7" s="1"/>
  <c r="V78" i="7" a="1"/>
  <c r="V78" i="7" s="1"/>
  <c r="U78" i="7" a="1"/>
  <c r="U78" i="7" s="1"/>
  <c r="T78" i="7" a="1"/>
  <c r="T78" i="7" s="1"/>
  <c r="S78" i="7" a="1"/>
  <c r="S78" i="7" s="1"/>
  <c r="R78" i="7" a="1"/>
  <c r="R78" i="7" s="1"/>
  <c r="R90" i="7" s="1"/>
  <c r="Q78" i="7" a="1"/>
  <c r="Q78" i="7" s="1"/>
  <c r="P78" i="7" a="1"/>
  <c r="P78" i="7" s="1"/>
  <c r="O78" i="7" a="1"/>
  <c r="O78" i="7" s="1"/>
  <c r="N78" i="7" a="1"/>
  <c r="N78" i="7" s="1"/>
  <c r="M78" i="7" a="1"/>
  <c r="M78" i="7" s="1"/>
  <c r="M90" i="7" s="1"/>
  <c r="L78" i="7" a="1"/>
  <c r="L78" i="7" s="1"/>
  <c r="K78" i="7" a="1"/>
  <c r="K78" i="7" s="1"/>
  <c r="J78" i="7" a="1"/>
  <c r="J78" i="7" s="1"/>
  <c r="I78" i="7" a="1"/>
  <c r="I78" i="7" s="1"/>
  <c r="I90" i="7" s="1"/>
  <c r="H78" i="7" a="1"/>
  <c r="H78" i="7" s="1"/>
  <c r="H90" i="7" s="1"/>
  <c r="G78" i="7" a="1"/>
  <c r="G78" i="7" s="1"/>
  <c r="F78" i="7" a="1"/>
  <c r="F78" i="7" s="1"/>
  <c r="E78" i="7" a="1"/>
  <c r="E78" i="7" s="1"/>
  <c r="D78" i="7" a="1"/>
  <c r="D78" i="7" s="1"/>
  <c r="C78" i="7" a="1"/>
  <c r="C78" i="7" s="1"/>
  <c r="C90" i="7" s="1"/>
  <c r="B78" i="7"/>
  <c r="AG77" i="7" a="1"/>
  <c r="AG77" i="7" s="1"/>
  <c r="AF77" i="7" a="1"/>
  <c r="AF77" i="7" s="1"/>
  <c r="AE77" i="7" a="1"/>
  <c r="AE77" i="7" s="1"/>
  <c r="AD77" i="7" a="1"/>
  <c r="AD77" i="7" s="1"/>
  <c r="AC77" i="7" a="1"/>
  <c r="AC77" i="7" s="1"/>
  <c r="AB77" i="7" a="1"/>
  <c r="AB77" i="7" s="1"/>
  <c r="AA77" i="7" a="1"/>
  <c r="AA77" i="7" s="1"/>
  <c r="Z77" i="7" a="1"/>
  <c r="Z77" i="7" s="1"/>
  <c r="Y77" i="7" a="1"/>
  <c r="Y77" i="7" s="1"/>
  <c r="X77" i="7" a="1"/>
  <c r="X77" i="7" s="1"/>
  <c r="W77" i="7" a="1"/>
  <c r="W77" i="7" s="1"/>
  <c r="W89" i="7" s="1"/>
  <c r="V77" i="7" a="1"/>
  <c r="V77" i="7" s="1"/>
  <c r="U77" i="7" a="1"/>
  <c r="U77" i="7" s="1"/>
  <c r="T77" i="7" a="1"/>
  <c r="T77" i="7" s="1"/>
  <c r="S77" i="7" a="1"/>
  <c r="S77" i="7" s="1"/>
  <c r="R77" i="7" a="1"/>
  <c r="R77" i="7" s="1"/>
  <c r="R89" i="7" s="1"/>
  <c r="Q77" i="7" a="1"/>
  <c r="Q77" i="7" s="1"/>
  <c r="P77" i="7" a="1"/>
  <c r="P77" i="7" s="1"/>
  <c r="O77" i="7" a="1"/>
  <c r="O77" i="7" s="1"/>
  <c r="N77" i="7" a="1"/>
  <c r="N77" i="7" s="1"/>
  <c r="M77" i="7" a="1"/>
  <c r="M77" i="7" s="1"/>
  <c r="M89" i="7" s="1"/>
  <c r="L77" i="7" a="1"/>
  <c r="L77" i="7" s="1"/>
  <c r="K77" i="7" a="1"/>
  <c r="K77" i="7" s="1"/>
  <c r="J77" i="7" a="1"/>
  <c r="J77" i="7" s="1"/>
  <c r="I77" i="7" a="1"/>
  <c r="I77" i="7" s="1"/>
  <c r="H77" i="7" a="1"/>
  <c r="H77" i="7" s="1"/>
  <c r="H89" i="7" s="1"/>
  <c r="G77" i="7" a="1"/>
  <c r="G77" i="7" s="1"/>
  <c r="F77" i="7" a="1"/>
  <c r="F77" i="7" s="1"/>
  <c r="E77" i="7" a="1"/>
  <c r="E77" i="7" s="1"/>
  <c r="D77" i="7" a="1"/>
  <c r="D77" i="7" s="1"/>
  <c r="C77" i="7" a="1"/>
  <c r="C77" i="7" s="1"/>
  <c r="C89" i="7" s="1"/>
  <c r="B77" i="7"/>
  <c r="V28" i="7"/>
  <c r="Q28" i="7"/>
  <c r="L28" i="7"/>
  <c r="G28" i="7"/>
  <c r="B28" i="7"/>
  <c r="R27" i="7"/>
  <c r="S27" i="7" s="1"/>
  <c r="T27" i="7" s="1"/>
  <c r="U27" i="7" s="1"/>
  <c r="M27" i="7"/>
  <c r="N27" i="7" s="1"/>
  <c r="O27" i="7" s="1"/>
  <c r="H27" i="7"/>
  <c r="I27" i="7" s="1"/>
  <c r="J27" i="7" s="1"/>
  <c r="K27" i="7" s="1"/>
  <c r="C27" i="7"/>
  <c r="D27" i="7" s="1"/>
  <c r="E27" i="7" s="1"/>
  <c r="F27" i="7" s="1"/>
  <c r="R26" i="7"/>
  <c r="S26" i="7" s="1"/>
  <c r="T26" i="7" s="1"/>
  <c r="U26" i="7" s="1"/>
  <c r="M26" i="7"/>
  <c r="H26" i="7"/>
  <c r="I26" i="7" s="1"/>
  <c r="J26" i="7" s="1"/>
  <c r="K26" i="7" s="1"/>
  <c r="C26" i="7"/>
  <c r="D26" i="7" s="1"/>
  <c r="E26" i="7" s="1"/>
  <c r="F26" i="7" s="1"/>
  <c r="R25" i="7"/>
  <c r="S25" i="7" s="1"/>
  <c r="T25" i="7" s="1"/>
  <c r="U25" i="7" s="1"/>
  <c r="M25" i="7"/>
  <c r="N25" i="7" s="1"/>
  <c r="H25" i="7"/>
  <c r="I25" i="7" s="1"/>
  <c r="J25" i="7" s="1"/>
  <c r="K25" i="7" s="1"/>
  <c r="C25" i="7"/>
  <c r="D25" i="7" s="1"/>
  <c r="E25" i="7" s="1"/>
  <c r="F25" i="7" s="1"/>
  <c r="R24" i="7"/>
  <c r="S24" i="7" s="1"/>
  <c r="T24" i="7" s="1"/>
  <c r="U24" i="7" s="1"/>
  <c r="M24" i="7"/>
  <c r="N24" i="7" s="1"/>
  <c r="H24" i="7"/>
  <c r="I24" i="7" s="1"/>
  <c r="J24" i="7" s="1"/>
  <c r="K24" i="7" s="1"/>
  <c r="C24" i="7"/>
  <c r="D24" i="7" s="1"/>
  <c r="E24" i="7" s="1"/>
  <c r="F24" i="7" s="1"/>
  <c r="V23" i="7"/>
  <c r="Q23" i="7"/>
  <c r="L23" i="7"/>
  <c r="G23" i="7"/>
  <c r="B23" i="7"/>
  <c r="R22" i="7"/>
  <c r="S22" i="7" s="1"/>
  <c r="T22" i="7" s="1"/>
  <c r="U22" i="7" s="1"/>
  <c r="M22" i="7"/>
  <c r="N22" i="7" s="1"/>
  <c r="O22" i="7" s="1"/>
  <c r="P22" i="7" s="1"/>
  <c r="H22" i="7"/>
  <c r="I22" i="7" s="1"/>
  <c r="J22" i="7" s="1"/>
  <c r="K22" i="7" s="1"/>
  <c r="C22" i="7"/>
  <c r="D22" i="7" s="1"/>
  <c r="E22" i="7" s="1"/>
  <c r="F22" i="7" s="1"/>
  <c r="R21" i="7"/>
  <c r="S21" i="7" s="1"/>
  <c r="T21" i="7" s="1"/>
  <c r="U21" i="7" s="1"/>
  <c r="M21" i="7"/>
  <c r="H21" i="7"/>
  <c r="I21" i="7" s="1"/>
  <c r="J21" i="7" s="1"/>
  <c r="K21" i="7" s="1"/>
  <c r="C21" i="7"/>
  <c r="D21" i="7" s="1"/>
  <c r="E21" i="7" s="1"/>
  <c r="F21" i="7" s="1"/>
  <c r="R20" i="7"/>
  <c r="S20" i="7" s="1"/>
  <c r="T20" i="7" s="1"/>
  <c r="U20" i="7" s="1"/>
  <c r="M20" i="7"/>
  <c r="N20" i="7" s="1"/>
  <c r="O20" i="7" s="1"/>
  <c r="H20" i="7"/>
  <c r="I20" i="7" s="1"/>
  <c r="J20" i="7" s="1"/>
  <c r="K20" i="7" s="1"/>
  <c r="C20" i="7"/>
  <c r="D20" i="7" s="1"/>
  <c r="E20" i="7" s="1"/>
  <c r="F20" i="7" s="1"/>
  <c r="R19" i="7"/>
  <c r="S19" i="7" s="1"/>
  <c r="T19" i="7" s="1"/>
  <c r="U19" i="7" s="1"/>
  <c r="M19" i="7"/>
  <c r="H19" i="7"/>
  <c r="I19" i="7" s="1"/>
  <c r="J19" i="7" s="1"/>
  <c r="K19" i="7" s="1"/>
  <c r="C19" i="7"/>
  <c r="D19" i="7" s="1"/>
  <c r="E19" i="7" s="1"/>
  <c r="F19" i="7" s="1"/>
  <c r="R18" i="7"/>
  <c r="S18" i="7" s="1"/>
  <c r="T18" i="7" s="1"/>
  <c r="U18" i="7" s="1"/>
  <c r="M18" i="7"/>
  <c r="N18" i="7" s="1"/>
  <c r="O18" i="7" s="1"/>
  <c r="P18" i="7" s="1"/>
  <c r="H18" i="7"/>
  <c r="I18" i="7" s="1"/>
  <c r="J18" i="7" s="1"/>
  <c r="K18" i="7" s="1"/>
  <c r="C18" i="7"/>
  <c r="D18" i="7" s="1"/>
  <c r="E18" i="7" s="1"/>
  <c r="F18" i="7" s="1"/>
  <c r="R17" i="7"/>
  <c r="S17" i="7" s="1"/>
  <c r="T17" i="7" s="1"/>
  <c r="U17" i="7" s="1"/>
  <c r="M17" i="7"/>
  <c r="H17" i="7"/>
  <c r="I17" i="7" s="1"/>
  <c r="J17" i="7" s="1"/>
  <c r="K17" i="7" s="1"/>
  <c r="C17" i="7"/>
  <c r="D17" i="7" s="1"/>
  <c r="E17" i="7" s="1"/>
  <c r="F17" i="7" s="1"/>
  <c r="C11" i="7" a="1"/>
  <c r="C11" i="7" s="1"/>
  <c r="B11" i="7" a="1"/>
  <c r="B11" i="7" s="1"/>
  <c r="C10" i="7" a="1"/>
  <c r="C10" i="7" s="1"/>
  <c r="B10" i="7" a="1"/>
  <c r="B10" i="7" s="1"/>
  <c r="C9" i="7" a="1"/>
  <c r="C9" i="7" s="1"/>
  <c r="B9" i="7" a="1"/>
  <c r="B9" i="7" s="1"/>
  <c r="C8" i="7" a="1"/>
  <c r="C8" i="7" s="1"/>
  <c r="B8" i="7" a="1"/>
  <c r="B8" i="7" s="1"/>
  <c r="C7" i="7" a="1"/>
  <c r="C7" i="7" s="1"/>
  <c r="B7" i="7" a="1"/>
  <c r="B7" i="7" s="1"/>
  <c r="C6" i="7" a="1"/>
  <c r="C6" i="7" s="1"/>
  <c r="B6" i="7" a="1"/>
  <c r="B6" i="7" s="1"/>
  <c r="C5" i="7" a="1"/>
  <c r="C5" i="7" s="1"/>
  <c r="B5" i="7" a="1"/>
  <c r="B5" i="7" s="1"/>
  <c r="C4" i="7" a="1"/>
  <c r="C4" i="7" s="1"/>
  <c r="B4" i="7" a="1"/>
  <c r="B4" i="7" s="1"/>
  <c r="C3" i="7" a="1"/>
  <c r="C3" i="7" s="1"/>
  <c r="B3" i="7" a="1"/>
  <c r="B3" i="7" s="1"/>
  <c r="C2" i="7" a="1"/>
  <c r="C2" i="7" s="1"/>
  <c r="B2" i="7" a="1"/>
  <c r="B2" i="7" s="1"/>
  <c r="J176" i="6"/>
  <c r="J175" i="6"/>
  <c r="J174" i="6"/>
  <c r="J173" i="6"/>
  <c r="J172" i="6"/>
  <c r="I172" i="6"/>
  <c r="H172" i="6"/>
  <c r="F172" i="6"/>
  <c r="E172" i="6"/>
  <c r="D172" i="6"/>
  <c r="J171" i="6"/>
  <c r="I171" i="6"/>
  <c r="H171" i="6"/>
  <c r="F171" i="6"/>
  <c r="E171" i="6"/>
  <c r="D171" i="6"/>
  <c r="J170" i="6"/>
  <c r="I170" i="6"/>
  <c r="H170" i="6"/>
  <c r="F170" i="6"/>
  <c r="E170" i="6"/>
  <c r="D170" i="6"/>
  <c r="J169" i="6"/>
  <c r="I169" i="6"/>
  <c r="H169" i="6"/>
  <c r="F169" i="6"/>
  <c r="E169" i="6"/>
  <c r="D169" i="6"/>
  <c r="J168" i="6"/>
  <c r="I168" i="6"/>
  <c r="H168" i="6"/>
  <c r="F168" i="6"/>
  <c r="E168" i="6"/>
  <c r="D168" i="6"/>
  <c r="J167" i="6"/>
  <c r="I167" i="6"/>
  <c r="H167" i="6"/>
  <c r="F167" i="6"/>
  <c r="E167" i="6"/>
  <c r="D167" i="6"/>
  <c r="J166" i="6"/>
  <c r="I166" i="6"/>
  <c r="H166" i="6"/>
  <c r="F166" i="6"/>
  <c r="E166" i="6"/>
  <c r="D166" i="6"/>
  <c r="J165" i="6"/>
  <c r="I165" i="6"/>
  <c r="H165" i="6"/>
  <c r="F165" i="6"/>
  <c r="E165" i="6"/>
  <c r="D165" i="6"/>
  <c r="J164" i="6"/>
  <c r="I164" i="6"/>
  <c r="H164" i="6"/>
  <c r="F164" i="6"/>
  <c r="E164" i="6"/>
  <c r="D164" i="6"/>
  <c r="J163" i="6"/>
  <c r="I163" i="6"/>
  <c r="H163" i="6"/>
  <c r="F163" i="6"/>
  <c r="E163" i="6"/>
  <c r="D163" i="6"/>
  <c r="J162" i="6"/>
  <c r="I162" i="6"/>
  <c r="H162" i="6"/>
  <c r="F162" i="6"/>
  <c r="E162" i="6"/>
  <c r="D162" i="6"/>
  <c r="J161" i="6"/>
  <c r="I161" i="6"/>
  <c r="H161" i="6"/>
  <c r="F161" i="6"/>
  <c r="E161" i="6"/>
  <c r="D161" i="6"/>
  <c r="J160" i="6"/>
  <c r="I160" i="6"/>
  <c r="H160" i="6"/>
  <c r="F160" i="6"/>
  <c r="E160" i="6"/>
  <c r="D160" i="6"/>
  <c r="J159" i="6"/>
  <c r="I159" i="6"/>
  <c r="H159" i="6"/>
  <c r="F159" i="6"/>
  <c r="E159" i="6"/>
  <c r="D159" i="6"/>
  <c r="J158" i="6"/>
  <c r="I158" i="6"/>
  <c r="H158" i="6"/>
  <c r="F158" i="6"/>
  <c r="E158" i="6"/>
  <c r="D158" i="6"/>
  <c r="J157" i="6"/>
  <c r="I157" i="6"/>
  <c r="H157" i="6"/>
  <c r="F157" i="6"/>
  <c r="E157" i="6"/>
  <c r="D157" i="6"/>
  <c r="J156" i="6"/>
  <c r="I156" i="6"/>
  <c r="H156" i="6"/>
  <c r="F156" i="6"/>
  <c r="E156" i="6"/>
  <c r="D156" i="6"/>
  <c r="J155" i="6"/>
  <c r="I155" i="6"/>
  <c r="H155" i="6"/>
  <c r="F155" i="6"/>
  <c r="E155" i="6"/>
  <c r="D155" i="6"/>
  <c r="J154" i="6"/>
  <c r="I154" i="6"/>
  <c r="H154" i="6"/>
  <c r="F154" i="6"/>
  <c r="E154" i="6"/>
  <c r="D154" i="6"/>
  <c r="J153" i="6"/>
  <c r="I153" i="6"/>
  <c r="H153" i="6"/>
  <c r="F153" i="6"/>
  <c r="E153" i="6"/>
  <c r="D153" i="6"/>
  <c r="J152" i="6"/>
  <c r="I152" i="6"/>
  <c r="H152" i="6"/>
  <c r="F152" i="6"/>
  <c r="E152" i="6"/>
  <c r="D152" i="6"/>
  <c r="J151" i="6"/>
  <c r="I151" i="6"/>
  <c r="H151" i="6"/>
  <c r="F151" i="6"/>
  <c r="E151" i="6"/>
  <c r="D151" i="6"/>
  <c r="J150" i="6"/>
  <c r="I150" i="6"/>
  <c r="H150" i="6"/>
  <c r="F150" i="6"/>
  <c r="E150" i="6"/>
  <c r="D150" i="6"/>
  <c r="J149" i="6"/>
  <c r="I149" i="6"/>
  <c r="H149" i="6"/>
  <c r="F149" i="6"/>
  <c r="E149" i="6"/>
  <c r="D149" i="6"/>
  <c r="J148" i="6"/>
  <c r="I148" i="6"/>
  <c r="H148" i="6"/>
  <c r="F148" i="6"/>
  <c r="E148" i="6"/>
  <c r="D148" i="6"/>
  <c r="J147" i="6"/>
  <c r="I147" i="6"/>
  <c r="H147" i="6"/>
  <c r="F147" i="6"/>
  <c r="E147" i="6"/>
  <c r="D147" i="6"/>
  <c r="J146" i="6"/>
  <c r="I146" i="6"/>
  <c r="H146" i="6"/>
  <c r="F146" i="6"/>
  <c r="E146" i="6"/>
  <c r="D146" i="6"/>
  <c r="J145" i="6"/>
  <c r="I145" i="6"/>
  <c r="H145" i="6"/>
  <c r="F145" i="6"/>
  <c r="E145" i="6"/>
  <c r="D145" i="6"/>
  <c r="J144" i="6"/>
  <c r="I144" i="6"/>
  <c r="H144" i="6"/>
  <c r="F144" i="6"/>
  <c r="E144" i="6"/>
  <c r="D144" i="6"/>
  <c r="J143" i="6"/>
  <c r="I143" i="6"/>
  <c r="H143" i="6"/>
  <c r="F143" i="6"/>
  <c r="E143" i="6"/>
  <c r="D143" i="6"/>
  <c r="J142" i="6"/>
  <c r="I142" i="6"/>
  <c r="H142" i="6"/>
  <c r="F142" i="6"/>
  <c r="E142" i="6"/>
  <c r="D142" i="6"/>
  <c r="J141" i="6"/>
  <c r="I141" i="6"/>
  <c r="H141" i="6"/>
  <c r="F141" i="6"/>
  <c r="E141" i="6"/>
  <c r="D141" i="6"/>
  <c r="J140" i="6"/>
  <c r="I140" i="6"/>
  <c r="H140" i="6"/>
  <c r="F140" i="6"/>
  <c r="E140" i="6"/>
  <c r="D140" i="6"/>
  <c r="J139" i="6"/>
  <c r="I139" i="6"/>
  <c r="H139" i="6"/>
  <c r="F139" i="6"/>
  <c r="E139" i="6"/>
  <c r="D139" i="6"/>
  <c r="J138" i="6"/>
  <c r="I138" i="6"/>
  <c r="H138" i="6"/>
  <c r="F138" i="6"/>
  <c r="E138" i="6"/>
  <c r="D138" i="6"/>
  <c r="J137" i="6"/>
  <c r="I137" i="6"/>
  <c r="H137" i="6"/>
  <c r="F137" i="6"/>
  <c r="E137" i="6"/>
  <c r="D137" i="6"/>
  <c r="J136" i="6"/>
  <c r="I136" i="6"/>
  <c r="H136" i="6"/>
  <c r="F136" i="6"/>
  <c r="E136" i="6"/>
  <c r="D136" i="6"/>
  <c r="J135" i="6"/>
  <c r="I135" i="6"/>
  <c r="H135" i="6"/>
  <c r="F135" i="6"/>
  <c r="E135" i="6"/>
  <c r="D135" i="6"/>
  <c r="J134" i="6"/>
  <c r="I134" i="6"/>
  <c r="H134" i="6"/>
  <c r="F134" i="6"/>
  <c r="E134" i="6"/>
  <c r="D134" i="6"/>
  <c r="J133" i="6"/>
  <c r="I133" i="6"/>
  <c r="H133" i="6"/>
  <c r="F133" i="6"/>
  <c r="E133" i="6"/>
  <c r="D133" i="6"/>
  <c r="J132" i="6"/>
  <c r="I132" i="6"/>
  <c r="H132" i="6"/>
  <c r="F132" i="6"/>
  <c r="E132" i="6"/>
  <c r="D132" i="6"/>
  <c r="J131" i="6"/>
  <c r="I131" i="6"/>
  <c r="H131" i="6"/>
  <c r="F131" i="6"/>
  <c r="E131" i="6"/>
  <c r="D131" i="6"/>
  <c r="J130" i="6"/>
  <c r="I130" i="6"/>
  <c r="H130" i="6"/>
  <c r="F130" i="6"/>
  <c r="E130" i="6"/>
  <c r="D130" i="6"/>
  <c r="J129" i="6"/>
  <c r="I129" i="6"/>
  <c r="H129" i="6"/>
  <c r="F129" i="6"/>
  <c r="E129" i="6"/>
  <c r="D129" i="6"/>
  <c r="J128" i="6"/>
  <c r="I128" i="6"/>
  <c r="H128" i="6"/>
  <c r="F128" i="6"/>
  <c r="E128" i="6"/>
  <c r="D128" i="6"/>
  <c r="J127" i="6"/>
  <c r="I127" i="6"/>
  <c r="H127" i="6"/>
  <c r="F127" i="6"/>
  <c r="E127" i="6"/>
  <c r="D127" i="6"/>
  <c r="J126" i="6"/>
  <c r="I126" i="6"/>
  <c r="H126" i="6"/>
  <c r="F126" i="6"/>
  <c r="E126" i="6"/>
  <c r="D126" i="6"/>
  <c r="J125" i="6"/>
  <c r="I125" i="6"/>
  <c r="H125" i="6"/>
  <c r="F125" i="6"/>
  <c r="E125" i="6"/>
  <c r="D125" i="6"/>
  <c r="E115" i="6"/>
  <c r="F115" i="6" s="1"/>
  <c r="G115" i="6" s="1"/>
  <c r="H115" i="6" s="1"/>
  <c r="I115" i="6" s="1"/>
  <c r="J115" i="6" s="1"/>
  <c r="K115" i="6" s="1"/>
  <c r="L115" i="6" s="1"/>
  <c r="E114" i="6"/>
  <c r="F114" i="6" s="1"/>
  <c r="G114" i="6" s="1"/>
  <c r="H114" i="6" s="1"/>
  <c r="I114" i="6" s="1"/>
  <c r="J114" i="6" s="1"/>
  <c r="K114" i="6" s="1"/>
  <c r="L114" i="6" s="1"/>
  <c r="E113" i="6"/>
  <c r="F113" i="6" s="1"/>
  <c r="G113" i="6" s="1"/>
  <c r="H113" i="6" s="1"/>
  <c r="I113" i="6" s="1"/>
  <c r="J113" i="6" s="1"/>
  <c r="K113" i="6" s="1"/>
  <c r="L113" i="6" s="1"/>
  <c r="M113" i="6" s="1"/>
  <c r="N113" i="6" s="1"/>
  <c r="O113" i="6" s="1"/>
  <c r="P113" i="6" s="1"/>
  <c r="Q113" i="6" s="1"/>
  <c r="R113" i="6" s="1"/>
  <c r="C113" i="6"/>
  <c r="D113" i="6" s="1"/>
  <c r="E112" i="6"/>
  <c r="F112" i="6" s="1"/>
  <c r="G112" i="6" s="1"/>
  <c r="H112" i="6" s="1"/>
  <c r="I112" i="6" s="1"/>
  <c r="J112" i="6" s="1"/>
  <c r="K112" i="6" s="1"/>
  <c r="L112" i="6" s="1"/>
  <c r="E111" i="6"/>
  <c r="F111" i="6" s="1"/>
  <c r="G111" i="6" s="1"/>
  <c r="H111" i="6" s="1"/>
  <c r="I111" i="6" s="1"/>
  <c r="J111" i="6" s="1"/>
  <c r="K111" i="6" s="1"/>
  <c r="L111" i="6" s="1"/>
  <c r="E110" i="6"/>
  <c r="F110" i="6" s="1"/>
  <c r="G110" i="6" s="1"/>
  <c r="H110" i="6" s="1"/>
  <c r="I110" i="6" s="1"/>
  <c r="J110" i="6" s="1"/>
  <c r="K110" i="6" s="1"/>
  <c r="L110" i="6" s="1"/>
  <c r="D109" i="6"/>
  <c r="C109" i="6"/>
  <c r="D108" i="6"/>
  <c r="C108" i="6"/>
  <c r="D107" i="6"/>
  <c r="C107" i="6"/>
  <c r="D106" i="6"/>
  <c r="C106" i="6"/>
  <c r="D105" i="6"/>
  <c r="C105" i="6"/>
  <c r="D104" i="6"/>
  <c r="C104" i="6"/>
  <c r="D103" i="6"/>
  <c r="C103" i="6"/>
  <c r="D102" i="6"/>
  <c r="C102" i="6"/>
  <c r="N101" i="6"/>
  <c r="O101" i="6" s="1"/>
  <c r="P101" i="6" s="1"/>
  <c r="Q101" i="6" s="1"/>
  <c r="R101" i="6" s="1"/>
  <c r="D101" i="6"/>
  <c r="C101" i="6"/>
  <c r="D100" i="6"/>
  <c r="C100" i="6"/>
  <c r="D99" i="6"/>
  <c r="C99" i="6"/>
  <c r="D98" i="6"/>
  <c r="C98" i="6"/>
  <c r="D97" i="6"/>
  <c r="C97" i="6"/>
  <c r="D96" i="6"/>
  <c r="C96" i="6"/>
  <c r="D95" i="6"/>
  <c r="C95" i="6"/>
  <c r="D94" i="6"/>
  <c r="C94" i="6"/>
  <c r="D93" i="6"/>
  <c r="C93" i="6"/>
  <c r="D92" i="6"/>
  <c r="C92" i="6"/>
  <c r="M87" i="6"/>
  <c r="D87" i="6"/>
  <c r="C87" i="6"/>
  <c r="M86" i="6"/>
  <c r="E86" i="6" s="1"/>
  <c r="F86" i="6" s="1"/>
  <c r="D86" i="6"/>
  <c r="C86" i="6"/>
  <c r="M85" i="6"/>
  <c r="E85" i="6"/>
  <c r="F85" i="6" s="1"/>
  <c r="G85" i="6" s="1"/>
  <c r="D85" i="6"/>
  <c r="C85" i="6"/>
  <c r="M84" i="6"/>
  <c r="E84" i="6" s="1"/>
  <c r="D84" i="6"/>
  <c r="C84" i="6"/>
  <c r="D83" i="6"/>
  <c r="C83" i="6" s="1"/>
  <c r="D82" i="6"/>
  <c r="C82" i="6" s="1"/>
  <c r="D81" i="6"/>
  <c r="C81" i="6"/>
  <c r="D80" i="6"/>
  <c r="C80" i="6"/>
  <c r="M79" i="6"/>
  <c r="D79" i="6"/>
  <c r="C79" i="6"/>
  <c r="D78" i="6"/>
  <c r="C78" i="6"/>
  <c r="D77" i="6"/>
  <c r="C77" i="6"/>
  <c r="D76" i="6"/>
  <c r="C76" i="6"/>
  <c r="D75" i="6"/>
  <c r="C75" i="6"/>
  <c r="D74" i="6"/>
  <c r="C74" i="6"/>
  <c r="D73" i="6"/>
  <c r="C73" i="6"/>
  <c r="D72" i="6"/>
  <c r="C72" i="6"/>
  <c r="D71" i="6"/>
  <c r="C71" i="6"/>
  <c r="D70" i="6"/>
  <c r="C70" i="6"/>
  <c r="D69" i="6"/>
  <c r="C69" i="6"/>
  <c r="D68" i="6"/>
  <c r="C68" i="6"/>
  <c r="D67" i="6"/>
  <c r="C67" i="6"/>
  <c r="D66" i="6"/>
  <c r="C66" i="6"/>
  <c r="D65" i="6"/>
  <c r="C65" i="6"/>
  <c r="D64" i="6"/>
  <c r="C64" i="6"/>
  <c r="F57" i="6"/>
  <c r="F51" i="6"/>
  <c r="M108" i="6" s="1"/>
  <c r="F45" i="6"/>
  <c r="M101" i="6" s="1"/>
  <c r="F39" i="6"/>
  <c r="M93" i="6" s="1"/>
  <c r="F30" i="6"/>
  <c r="M82" i="6" s="1"/>
  <c r="F24" i="6"/>
  <c r="M78" i="6" s="1"/>
  <c r="F18" i="6"/>
  <c r="M74" i="6" s="1"/>
  <c r="N74" i="6" s="1"/>
  <c r="O74" i="6" s="1"/>
  <c r="P74" i="6" s="1"/>
  <c r="Q74" i="6" s="1"/>
  <c r="R74" i="6" s="1"/>
  <c r="F12" i="6"/>
  <c r="M69" i="6" s="1"/>
  <c r="E69" i="6" s="1"/>
  <c r="D94" i="7" l="1"/>
  <c r="F92" i="7"/>
  <c r="L95" i="7"/>
  <c r="N92" i="7"/>
  <c r="I91" i="7"/>
  <c r="V91" i="7"/>
  <c r="D90" i="7"/>
  <c r="N91" i="7"/>
  <c r="D98" i="7"/>
  <c r="S92" i="7"/>
  <c r="J89" i="7"/>
  <c r="S91" i="7"/>
  <c r="N94" i="7"/>
  <c r="S96" i="7"/>
  <c r="E98" i="7"/>
  <c r="W110" i="7"/>
  <c r="W127" i="7" s="1"/>
  <c r="T96" i="7"/>
  <c r="G97" i="7"/>
  <c r="Q94" i="7"/>
  <c r="D93" i="7"/>
  <c r="T98" i="7"/>
  <c r="AF22" i="7" a="1"/>
  <c r="AF22" i="7" s="1"/>
  <c r="I89" i="7"/>
  <c r="I101" i="7" s="1"/>
  <c r="I117" i="7" s="1"/>
  <c r="I92" i="7"/>
  <c r="I98" i="7"/>
  <c r="D89" i="7"/>
  <c r="S94" i="7"/>
  <c r="G96" i="7"/>
  <c r="F93" i="7"/>
  <c r="N90" i="7"/>
  <c r="G95" i="7"/>
  <c r="G93" i="7"/>
  <c r="U90" i="7"/>
  <c r="P20" i="7"/>
  <c r="AD20" i="7" s="1" a="1"/>
  <c r="AD20" i="7" s="1"/>
  <c r="AE92" i="7" s="1"/>
  <c r="AH20" i="7" a="1"/>
  <c r="AH20" i="7" s="1"/>
  <c r="U89" i="7"/>
  <c r="U101" i="7" s="1"/>
  <c r="U117" i="7" s="1"/>
  <c r="K94" i="7"/>
  <c r="Q90" i="7"/>
  <c r="L94" i="7"/>
  <c r="S90" i="7"/>
  <c r="S102" i="7" s="1"/>
  <c r="J98" i="7"/>
  <c r="T90" i="7"/>
  <c r="U96" i="7"/>
  <c r="D97" i="7"/>
  <c r="G98" i="7"/>
  <c r="M101" i="7"/>
  <c r="M117" i="7" s="1"/>
  <c r="K93" i="7"/>
  <c r="G90" i="7"/>
  <c r="X18" i="7" a="1"/>
  <c r="X18" i="7" s="1"/>
  <c r="Y90" i="7" s="1"/>
  <c r="E97" i="7"/>
  <c r="R103" i="7"/>
  <c r="R120" i="7" s="1"/>
  <c r="I96" i="7"/>
  <c r="E92" i="7"/>
  <c r="G92" i="7"/>
  <c r="J93" i="7"/>
  <c r="N89" i="7"/>
  <c r="N102" i="7" s="1"/>
  <c r="J96" i="7"/>
  <c r="N98" i="7"/>
  <c r="O98" i="7"/>
  <c r="O92" i="7"/>
  <c r="T94" i="7"/>
  <c r="C107" i="7"/>
  <c r="C124" i="7" s="1"/>
  <c r="J90" i="7"/>
  <c r="P92" i="7"/>
  <c r="U94" i="7"/>
  <c r="D95" i="7"/>
  <c r="I97" i="7"/>
  <c r="W101" i="7"/>
  <c r="W117" i="7" s="1"/>
  <c r="U97" i="7"/>
  <c r="R101" i="7"/>
  <c r="R117" i="7" s="1"/>
  <c r="R130" i="7" s="1"/>
  <c r="I94" i="7"/>
  <c r="K90" i="7"/>
  <c r="K102" i="7" s="1"/>
  <c r="J91" i="7"/>
  <c r="W103" i="7"/>
  <c r="W120" i="7" s="1"/>
  <c r="D92" i="7"/>
  <c r="J94" i="7"/>
  <c r="R110" i="7"/>
  <c r="R127" i="7" s="1"/>
  <c r="AD40" i="8"/>
  <c r="AD45" i="8"/>
  <c r="AD50" i="8"/>
  <c r="AD27" i="8"/>
  <c r="AD22" i="8"/>
  <c r="AD37" i="8"/>
  <c r="AD52" i="8"/>
  <c r="AD47" i="8"/>
  <c r="AD57" i="8"/>
  <c r="R14" i="8"/>
  <c r="G13" i="8"/>
  <c r="S14" i="8"/>
  <c r="H13" i="8"/>
  <c r="T14" i="8"/>
  <c r="AD44" i="8"/>
  <c r="AD59" i="8"/>
  <c r="I13" i="8"/>
  <c r="U14" i="8"/>
  <c r="L13" i="8"/>
  <c r="X14" i="8"/>
  <c r="D14" i="8"/>
  <c r="O15" i="8"/>
  <c r="Y14" i="8"/>
  <c r="O13" i="8"/>
  <c r="H15" i="8"/>
  <c r="AD49" i="8"/>
  <c r="E14" i="8"/>
  <c r="AA13" i="8"/>
  <c r="I15" i="8"/>
  <c r="N13" i="8"/>
  <c r="G15" i="8"/>
  <c r="AB13" i="8"/>
  <c r="J15" i="8"/>
  <c r="N15" i="8"/>
  <c r="AC13" i="8"/>
  <c r="K15" i="8"/>
  <c r="AD31" i="8"/>
  <c r="P13" i="8"/>
  <c r="F14" i="8"/>
  <c r="Z14" i="8"/>
  <c r="P15" i="8"/>
  <c r="M80" i="6"/>
  <c r="M99" i="6"/>
  <c r="M102" i="6"/>
  <c r="N102" i="6" s="1"/>
  <c r="O102" i="6" s="1"/>
  <c r="P102" i="6" s="1"/>
  <c r="Q102" i="6" s="1"/>
  <c r="R102" i="6" s="1"/>
  <c r="M71" i="6"/>
  <c r="M77" i="6"/>
  <c r="E77" i="6" s="1"/>
  <c r="F77" i="6" s="1"/>
  <c r="G77" i="6" s="1"/>
  <c r="M96" i="6"/>
  <c r="M65" i="6"/>
  <c r="N65" i="6" s="1"/>
  <c r="O65" i="6" s="1"/>
  <c r="P65" i="6" s="1"/>
  <c r="Q65" i="6" s="1"/>
  <c r="R65" i="6" s="1"/>
  <c r="M81" i="6"/>
  <c r="N81" i="6" s="1"/>
  <c r="O81" i="6" s="1"/>
  <c r="P81" i="6" s="1"/>
  <c r="Q81" i="6" s="1"/>
  <c r="R81" i="6" s="1"/>
  <c r="M76" i="6"/>
  <c r="M94" i="6"/>
  <c r="N94" i="6" s="1"/>
  <c r="O94" i="6" s="1"/>
  <c r="P94" i="6" s="1"/>
  <c r="Q94" i="6" s="1"/>
  <c r="R94" i="6" s="1"/>
  <c r="M103" i="6"/>
  <c r="E103" i="6" s="1"/>
  <c r="F103" i="6" s="1"/>
  <c r="G103" i="6" s="1"/>
  <c r="R104" i="7"/>
  <c r="R121" i="7" s="1"/>
  <c r="R108" i="7"/>
  <c r="R125" i="7" s="1"/>
  <c r="E101" i="6"/>
  <c r="F101" i="6"/>
  <c r="G101" i="6" s="1"/>
  <c r="H101" i="6" s="1"/>
  <c r="I101" i="6" s="1"/>
  <c r="J101" i="6" s="1"/>
  <c r="K101" i="6" s="1"/>
  <c r="L101" i="6" s="1"/>
  <c r="E93" i="6"/>
  <c r="F93" i="6"/>
  <c r="G93" i="6" s="1"/>
  <c r="H93" i="6" s="1"/>
  <c r="I93" i="6" s="1"/>
  <c r="J93" i="6" s="1"/>
  <c r="K93" i="6" s="1"/>
  <c r="L93" i="6" s="1"/>
  <c r="W105" i="7"/>
  <c r="W122" i="7" s="1"/>
  <c r="R106" i="7"/>
  <c r="R123" i="7" s="1"/>
  <c r="W106" i="7"/>
  <c r="W123" i="7" s="1"/>
  <c r="E71" i="6"/>
  <c r="F71" i="6" s="1"/>
  <c r="G71" i="6" s="1"/>
  <c r="H71" i="6" s="1"/>
  <c r="I71" i="6" s="1"/>
  <c r="J71" i="6" s="1"/>
  <c r="K71" i="6" s="1"/>
  <c r="L71" i="6" s="1"/>
  <c r="N71" i="6"/>
  <c r="O71" i="6" s="1"/>
  <c r="P71" i="6" s="1"/>
  <c r="Q71" i="6" s="1"/>
  <c r="R71" i="6" s="1"/>
  <c r="N108" i="6"/>
  <c r="O108" i="6" s="1"/>
  <c r="P108" i="6" s="1"/>
  <c r="Q108" i="6" s="1"/>
  <c r="R108" i="6" s="1"/>
  <c r="E108" i="6"/>
  <c r="F108" i="6" s="1"/>
  <c r="G108" i="6" s="1"/>
  <c r="H108" i="6" s="1"/>
  <c r="I108" i="6" s="1"/>
  <c r="J108" i="6" s="1"/>
  <c r="K108" i="6" s="1"/>
  <c r="L108" i="6" s="1"/>
  <c r="N93" i="6"/>
  <c r="O93" i="6" s="1"/>
  <c r="P93" i="6" s="1"/>
  <c r="Q93" i="6" s="1"/>
  <c r="R93" i="6" s="1"/>
  <c r="G89" i="7"/>
  <c r="N79" i="6"/>
  <c r="O79" i="6" s="1"/>
  <c r="P79" i="6" s="1"/>
  <c r="Q79" i="6" s="1"/>
  <c r="R79" i="6" s="1"/>
  <c r="E79" i="6"/>
  <c r="F79" i="6" s="1"/>
  <c r="G79" i="6" s="1"/>
  <c r="H79" i="6" s="1"/>
  <c r="I79" i="6" s="1"/>
  <c r="J79" i="6" s="1"/>
  <c r="K79" i="6" s="1"/>
  <c r="L79" i="6" s="1"/>
  <c r="O25" i="7"/>
  <c r="P25" i="7" s="1"/>
  <c r="Q96" i="7" s="1"/>
  <c r="E87" i="6"/>
  <c r="N87" i="6"/>
  <c r="O87" i="6" s="1"/>
  <c r="P87" i="6" s="1"/>
  <c r="Q87" i="6" s="1"/>
  <c r="R87" i="6" s="1"/>
  <c r="F87" i="6"/>
  <c r="G87" i="6" s="1"/>
  <c r="H87" i="6" s="1"/>
  <c r="I87" i="6" s="1"/>
  <c r="J87" i="6" s="1"/>
  <c r="K87" i="6" s="1"/>
  <c r="L87" i="6" s="1"/>
  <c r="W104" i="7"/>
  <c r="W121" i="7" s="1"/>
  <c r="E78" i="6"/>
  <c r="F78" i="6" s="1"/>
  <c r="G78" i="6" s="1"/>
  <c r="H78" i="6" s="1"/>
  <c r="I78" i="6" s="1"/>
  <c r="J78" i="6" s="1"/>
  <c r="K78" i="6" s="1"/>
  <c r="L78" i="6" s="1"/>
  <c r="N78" i="6"/>
  <c r="O78" i="6" s="1"/>
  <c r="P78" i="6" s="1"/>
  <c r="Q78" i="6" s="1"/>
  <c r="R78" i="6" s="1"/>
  <c r="E82" i="6"/>
  <c r="F82" i="6" s="1"/>
  <c r="G82" i="6" s="1"/>
  <c r="H82" i="6" s="1"/>
  <c r="I82" i="6" s="1"/>
  <c r="J82" i="6" s="1"/>
  <c r="K82" i="6" s="1"/>
  <c r="L82" i="6" s="1"/>
  <c r="N82" i="6"/>
  <c r="O82" i="6" s="1"/>
  <c r="P82" i="6" s="1"/>
  <c r="Q82" i="6" s="1"/>
  <c r="R82" i="6" s="1"/>
  <c r="N69" i="6"/>
  <c r="O69" i="6" s="1"/>
  <c r="P69" i="6" s="1"/>
  <c r="Q69" i="6" s="1"/>
  <c r="R69" i="6" s="1"/>
  <c r="F69" i="6"/>
  <c r="G69" i="6"/>
  <c r="H69" i="6" s="1"/>
  <c r="I69" i="6" s="1"/>
  <c r="J69" i="6" s="1"/>
  <c r="K69" i="6" s="1"/>
  <c r="L69" i="6" s="1"/>
  <c r="E74" i="6"/>
  <c r="F74" i="6" s="1"/>
  <c r="G74" i="6" s="1"/>
  <c r="H74" i="6" s="1"/>
  <c r="I74" i="6" s="1"/>
  <c r="J74" i="6" s="1"/>
  <c r="K74" i="6" s="1"/>
  <c r="L74" i="6" s="1"/>
  <c r="N96" i="6"/>
  <c r="O96" i="6" s="1"/>
  <c r="P96" i="6" s="1"/>
  <c r="Q96" i="6" s="1"/>
  <c r="R96" i="6" s="1"/>
  <c r="E96" i="6"/>
  <c r="F96" i="6" s="1"/>
  <c r="G96" i="6" s="1"/>
  <c r="H96" i="6" s="1"/>
  <c r="I96" i="6" s="1"/>
  <c r="J96" i="6" s="1"/>
  <c r="K96" i="6" s="1"/>
  <c r="L96" i="6" s="1"/>
  <c r="M68" i="6"/>
  <c r="H101" i="7"/>
  <c r="H117" i="7" s="1"/>
  <c r="M70" i="6"/>
  <c r="H85" i="6"/>
  <c r="I85" i="6" s="1"/>
  <c r="J85" i="6" s="1"/>
  <c r="K85" i="6" s="1"/>
  <c r="L85" i="6" s="1"/>
  <c r="M97" i="6"/>
  <c r="H103" i="6"/>
  <c r="I103" i="6" s="1"/>
  <c r="J103" i="6" s="1"/>
  <c r="K103" i="6" s="1"/>
  <c r="L103" i="6" s="1"/>
  <c r="C108" i="7"/>
  <c r="C125" i="7" s="1"/>
  <c r="N96" i="7"/>
  <c r="N76" i="6"/>
  <c r="O76" i="6" s="1"/>
  <c r="P76" i="6" s="1"/>
  <c r="Q76" i="6" s="1"/>
  <c r="R76" i="6" s="1"/>
  <c r="N84" i="6"/>
  <c r="O84" i="6" s="1"/>
  <c r="P84" i="6" s="1"/>
  <c r="Q84" i="6" s="1"/>
  <c r="R84" i="6" s="1"/>
  <c r="N99" i="6"/>
  <c r="O99" i="6" s="1"/>
  <c r="P99" i="6" s="1"/>
  <c r="Q99" i="6" s="1"/>
  <c r="R99" i="6" s="1"/>
  <c r="AD25" i="7" a="1"/>
  <c r="AD25" i="7" s="1"/>
  <c r="AE96" i="7" s="1"/>
  <c r="Z25" i="7" a="1"/>
  <c r="Z25" i="7" s="1"/>
  <c r="AA96" i="7" s="1"/>
  <c r="AG25" i="7" a="1"/>
  <c r="AG25" i="7" s="1"/>
  <c r="W25" i="7" a="1"/>
  <c r="W25" i="7" s="1"/>
  <c r="X96" i="7" s="1"/>
  <c r="T93" i="7"/>
  <c r="H108" i="7"/>
  <c r="H125" i="7" s="1"/>
  <c r="E76" i="6"/>
  <c r="F76" i="6" s="1"/>
  <c r="G76" i="6" s="1"/>
  <c r="H76" i="6" s="1"/>
  <c r="I76" i="6" s="1"/>
  <c r="J76" i="6" s="1"/>
  <c r="K76" i="6" s="1"/>
  <c r="L76" i="6" s="1"/>
  <c r="H77" i="6"/>
  <c r="I77" i="6" s="1"/>
  <c r="J77" i="6" s="1"/>
  <c r="K77" i="6" s="1"/>
  <c r="L77" i="6" s="1"/>
  <c r="M67" i="6"/>
  <c r="M75" i="6"/>
  <c r="M83" i="6"/>
  <c r="F84" i="6"/>
  <c r="N86" i="6"/>
  <c r="O86" i="6" s="1"/>
  <c r="P86" i="6" s="1"/>
  <c r="Q86" i="6" s="1"/>
  <c r="R86" i="6" s="1"/>
  <c r="M92" i="6"/>
  <c r="E99" i="6"/>
  <c r="F99" i="6" s="1"/>
  <c r="G99" i="6" s="1"/>
  <c r="H99" i="6" s="1"/>
  <c r="I99" i="6" s="1"/>
  <c r="J99" i="6" s="1"/>
  <c r="K99" i="6" s="1"/>
  <c r="L99" i="6" s="1"/>
  <c r="M100" i="6"/>
  <c r="M106" i="6"/>
  <c r="P27" i="7"/>
  <c r="W27" i="7" s="1" a="1"/>
  <c r="W27" i="7" s="1"/>
  <c r="X98" i="7" s="1"/>
  <c r="AC27" i="7" a="1"/>
  <c r="AC27" i="7" s="1"/>
  <c r="AD98" i="7" s="1"/>
  <c r="C102" i="7"/>
  <c r="AE90" i="7"/>
  <c r="E91" i="7"/>
  <c r="C104" i="7"/>
  <c r="C121" i="7" s="1"/>
  <c r="U92" i="7"/>
  <c r="T95" i="7"/>
  <c r="O96" i="7"/>
  <c r="U98" i="7"/>
  <c r="G94" i="7"/>
  <c r="M73" i="6"/>
  <c r="AH18" i="7" a="1"/>
  <c r="AH18" i="7" s="1"/>
  <c r="AD18" i="7" a="1"/>
  <c r="AD18" i="7" s="1"/>
  <c r="Z18" i="7" a="1"/>
  <c r="Z18" i="7" s="1"/>
  <c r="AA90" i="7" s="1"/>
  <c r="AG18" i="7" a="1"/>
  <c r="AG18" i="7" s="1"/>
  <c r="AC18" i="7" a="1"/>
  <c r="AC18" i="7" s="1"/>
  <c r="AD90" i="7" s="1"/>
  <c r="Y18" i="7" a="1"/>
  <c r="Y18" i="7" s="1"/>
  <c r="Z90" i="7" s="1"/>
  <c r="AF18" i="7" a="1"/>
  <c r="AF18" i="7" s="1"/>
  <c r="AG90" i="7" s="1"/>
  <c r="AB18" i="7" a="1"/>
  <c r="AB18" i="7" s="1"/>
  <c r="AC90" i="7" s="1"/>
  <c r="H106" i="7"/>
  <c r="H123" i="7" s="1"/>
  <c r="M72" i="6"/>
  <c r="E89" i="7"/>
  <c r="I102" i="7"/>
  <c r="O90" i="7"/>
  <c r="F91" i="7"/>
  <c r="J92" i="7"/>
  <c r="U95" i="7"/>
  <c r="D96" i="7"/>
  <c r="P98" i="7"/>
  <c r="V98" i="7"/>
  <c r="R107" i="7"/>
  <c r="R124" i="7" s="1"/>
  <c r="S93" i="7"/>
  <c r="M64" i="6"/>
  <c r="G84" i="6"/>
  <c r="H84" i="6" s="1"/>
  <c r="I84" i="6" s="1"/>
  <c r="J84" i="6" s="1"/>
  <c r="K84" i="6" s="1"/>
  <c r="L84" i="6" s="1"/>
  <c r="M66" i="6"/>
  <c r="X22" i="7" a="1"/>
  <c r="X22" i="7" s="1"/>
  <c r="Y94" i="7" s="1"/>
  <c r="F89" i="7"/>
  <c r="G91" i="7"/>
  <c r="V92" i="7"/>
  <c r="AG94" i="7"/>
  <c r="E96" i="7"/>
  <c r="W108" i="7"/>
  <c r="W125" i="7" s="1"/>
  <c r="V97" i="7"/>
  <c r="R102" i="7"/>
  <c r="W107" i="7"/>
  <c r="W124" i="7" s="1"/>
  <c r="AI18" i="7" a="1"/>
  <c r="AI18" i="7" s="1"/>
  <c r="M106" i="7"/>
  <c r="M123" i="7" s="1"/>
  <c r="M108" i="7"/>
  <c r="M125" i="7" s="1"/>
  <c r="E94" i="6"/>
  <c r="F94" i="6" s="1"/>
  <c r="G94" i="6" s="1"/>
  <c r="H94" i="6" s="1"/>
  <c r="I94" i="6" s="1"/>
  <c r="J94" i="6" s="1"/>
  <c r="K94" i="6" s="1"/>
  <c r="L94" i="6" s="1"/>
  <c r="M95" i="6"/>
  <c r="E102" i="6"/>
  <c r="F102" i="6" s="1"/>
  <c r="G102" i="6" s="1"/>
  <c r="H102" i="6" s="1"/>
  <c r="I102" i="6" s="1"/>
  <c r="J102" i="6" s="1"/>
  <c r="K102" i="6" s="1"/>
  <c r="L102" i="6" s="1"/>
  <c r="N80" i="6"/>
  <c r="O80" i="6" s="1"/>
  <c r="P80" i="6" s="1"/>
  <c r="Q80" i="6" s="1"/>
  <c r="R80" i="6" s="1"/>
  <c r="M98" i="6"/>
  <c r="N103" i="6"/>
  <c r="O103" i="6" s="1"/>
  <c r="P103" i="6" s="1"/>
  <c r="Q103" i="6" s="1"/>
  <c r="R103" i="6" s="1"/>
  <c r="M107" i="6"/>
  <c r="M104" i="6"/>
  <c r="M109" i="6"/>
  <c r="M105" i="6"/>
  <c r="N77" i="6"/>
  <c r="O77" i="6" s="1"/>
  <c r="P77" i="6" s="1"/>
  <c r="Q77" i="6" s="1"/>
  <c r="R77" i="6" s="1"/>
  <c r="E80" i="6"/>
  <c r="F80" i="6" s="1"/>
  <c r="G80" i="6" s="1"/>
  <c r="H80" i="6" s="1"/>
  <c r="I80" i="6" s="1"/>
  <c r="J80" i="6" s="1"/>
  <c r="K80" i="6" s="1"/>
  <c r="L80" i="6" s="1"/>
  <c r="N85" i="6"/>
  <c r="O85" i="6" s="1"/>
  <c r="P85" i="6" s="1"/>
  <c r="Q85" i="6" s="1"/>
  <c r="R85" i="6" s="1"/>
  <c r="G86" i="6"/>
  <c r="H86" i="6" s="1"/>
  <c r="I86" i="6" s="1"/>
  <c r="J86" i="6" s="1"/>
  <c r="K86" i="6" s="1"/>
  <c r="L86" i="6" s="1"/>
  <c r="AA25" i="7" a="1"/>
  <c r="AA25" i="7" s="1"/>
  <c r="AB96" i="7" s="1"/>
  <c r="V89" i="7"/>
  <c r="K92" i="7"/>
  <c r="C105" i="7"/>
  <c r="C122" i="7" s="1"/>
  <c r="H107" i="7"/>
  <c r="H124" i="7" s="1"/>
  <c r="H109" i="7"/>
  <c r="H126" i="7" s="1"/>
  <c r="M109" i="7"/>
  <c r="M126" i="7" s="1"/>
  <c r="R109" i="7"/>
  <c r="R126" i="7" s="1"/>
  <c r="F98" i="7"/>
  <c r="W102" i="7"/>
  <c r="R105" i="7"/>
  <c r="R122" i="7" s="1"/>
  <c r="AI22" i="7" a="1"/>
  <c r="AI22" i="7" s="1"/>
  <c r="N26" i="7"/>
  <c r="E90" i="7"/>
  <c r="P90" i="7"/>
  <c r="L92" i="7"/>
  <c r="L93" i="7"/>
  <c r="C106" i="7"/>
  <c r="C123" i="7" s="1"/>
  <c r="M107" i="7"/>
  <c r="M124" i="7" s="1"/>
  <c r="N97" i="7"/>
  <c r="K98" i="7"/>
  <c r="AH22" i="7" a="1"/>
  <c r="AH22" i="7" s="1"/>
  <c r="AD22" i="7" a="1"/>
  <c r="AD22" i="7" s="1"/>
  <c r="AE94" i="7" s="1"/>
  <c r="Z22" i="7" a="1"/>
  <c r="Z22" i="7" s="1"/>
  <c r="AA94" i="7" s="1"/>
  <c r="AG22" i="7" a="1"/>
  <c r="AG22" i="7" s="1"/>
  <c r="AC22" i="7" a="1"/>
  <c r="AC22" i="7" s="1"/>
  <c r="AD94" i="7" s="1"/>
  <c r="Y22" i="7" a="1"/>
  <c r="Y22" i="7" s="1"/>
  <c r="Z94" i="7" s="1"/>
  <c r="K91" i="7"/>
  <c r="M104" i="7"/>
  <c r="M121" i="7" s="1"/>
  <c r="H105" i="7"/>
  <c r="H122" i="7" s="1"/>
  <c r="I95" i="7"/>
  <c r="K96" i="7"/>
  <c r="J97" i="7"/>
  <c r="L98" i="7"/>
  <c r="W109" i="7"/>
  <c r="W126" i="7" s="1"/>
  <c r="F90" i="7"/>
  <c r="L90" i="7"/>
  <c r="V90" i="7"/>
  <c r="V102" i="7" s="1"/>
  <c r="H104" i="7"/>
  <c r="H121" i="7" s="1"/>
  <c r="O94" i="7"/>
  <c r="E95" i="7"/>
  <c r="F96" i="7"/>
  <c r="V96" i="7"/>
  <c r="F97" i="7"/>
  <c r="N19" i="7"/>
  <c r="AB22" i="7" a="1"/>
  <c r="AB22" i="7" s="1"/>
  <c r="AC94" i="7" s="1"/>
  <c r="O24" i="7"/>
  <c r="P95" i="7" s="1"/>
  <c r="I93" i="7"/>
  <c r="I105" i="7" s="1"/>
  <c r="I122" i="7" s="1"/>
  <c r="E94" i="7"/>
  <c r="J95" i="7"/>
  <c r="L96" i="7"/>
  <c r="H110" i="7"/>
  <c r="H127" i="7" s="1"/>
  <c r="M110" i="7"/>
  <c r="M127" i="7" s="1"/>
  <c r="C101" i="7"/>
  <c r="C117" i="7" s="1"/>
  <c r="H102" i="7"/>
  <c r="M102" i="7"/>
  <c r="C103" i="7"/>
  <c r="C120" i="7" s="1"/>
  <c r="H103" i="7"/>
  <c r="H120" i="7" s="1"/>
  <c r="H131" i="7" s="1"/>
  <c r="T92" i="7"/>
  <c r="F94" i="7"/>
  <c r="P94" i="7"/>
  <c r="V94" i="7"/>
  <c r="O95" i="7"/>
  <c r="C110" i="7"/>
  <c r="C127" i="7" s="1"/>
  <c r="S98" i="7"/>
  <c r="K89" i="7"/>
  <c r="S89" i="7"/>
  <c r="D91" i="7"/>
  <c r="L91" i="7"/>
  <c r="T91" i="7"/>
  <c r="E93" i="7"/>
  <c r="M105" i="7"/>
  <c r="M122" i="7" s="1"/>
  <c r="U93" i="7"/>
  <c r="F95" i="7"/>
  <c r="N95" i="7"/>
  <c r="V95" i="7"/>
  <c r="C109" i="7"/>
  <c r="C126" i="7" s="1"/>
  <c r="K97" i="7"/>
  <c r="S97" i="7"/>
  <c r="N17" i="7"/>
  <c r="N21" i="7"/>
  <c r="O93" i="7" s="1"/>
  <c r="W18" i="7" a="1"/>
  <c r="W18" i="7" s="1"/>
  <c r="X90" i="7" s="1"/>
  <c r="AA18" i="7" a="1"/>
  <c r="AA18" i="7" s="1"/>
  <c r="AB90" i="7" s="1"/>
  <c r="AE18" i="7" a="1"/>
  <c r="AE18" i="7" s="1"/>
  <c r="AF90" i="7" s="1"/>
  <c r="AC20" i="7" a="1"/>
  <c r="AC20" i="7" s="1"/>
  <c r="AD92" i="7" s="1"/>
  <c r="W22" i="7" a="1"/>
  <c r="W22" i="7" s="1"/>
  <c r="X94" i="7" s="1"/>
  <c r="AA22" i="7" a="1"/>
  <c r="AA22" i="7" s="1"/>
  <c r="AB94" i="7" s="1"/>
  <c r="AE22" i="7" a="1"/>
  <c r="AE22" i="7" s="1"/>
  <c r="AF94" i="7" s="1"/>
  <c r="L89" i="7"/>
  <c r="T89" i="7"/>
  <c r="M103" i="7"/>
  <c r="M120" i="7" s="1"/>
  <c r="U91" i="7"/>
  <c r="N93" i="7"/>
  <c r="V93" i="7"/>
  <c r="K95" i="7"/>
  <c r="S95" i="7"/>
  <c r="L97" i="7"/>
  <c r="T97" i="7"/>
  <c r="A25" i="3"/>
  <c r="A26" i="3" s="1"/>
  <c r="A19" i="3"/>
  <c r="A20" i="3" s="1"/>
  <c r="A13" i="3"/>
  <c r="A8" i="3"/>
  <c r="A9" i="3" s="1"/>
  <c r="A3" i="3"/>
  <c r="Z20" i="7" l="1" a="1"/>
  <c r="Z20" i="7" s="1"/>
  <c r="AA92" i="7" s="1"/>
  <c r="AI20" i="7" a="1"/>
  <c r="AI20" i="7" s="1"/>
  <c r="K105" i="7"/>
  <c r="K122" i="7" s="1"/>
  <c r="S103" i="7"/>
  <c r="S120" i="7" s="1"/>
  <c r="X20" i="7" a="1"/>
  <c r="X20" i="7" s="1"/>
  <c r="Y92" i="7" s="1"/>
  <c r="W130" i="7"/>
  <c r="D102" i="7"/>
  <c r="W132" i="7"/>
  <c r="AE20" i="7" a="1"/>
  <c r="AE20" i="7" s="1"/>
  <c r="AF92" i="7" s="1"/>
  <c r="G108" i="7"/>
  <c r="G125" i="7" s="1"/>
  <c r="G101" i="7"/>
  <c r="G117" i="7" s="1"/>
  <c r="AF20" i="7" a="1"/>
  <c r="AF20" i="7" s="1"/>
  <c r="AG92" i="7" s="1"/>
  <c r="AB20" i="7" a="1"/>
  <c r="AB20" i="7" s="1"/>
  <c r="AC92" i="7" s="1"/>
  <c r="AG20" i="7" a="1"/>
  <c r="AG20" i="7" s="1"/>
  <c r="W20" i="7" a="1"/>
  <c r="W20" i="7" s="1"/>
  <c r="X92" i="7" s="1"/>
  <c r="J101" i="7"/>
  <c r="J117" i="7" s="1"/>
  <c r="J106" i="7"/>
  <c r="J123" i="7" s="1"/>
  <c r="E110" i="7"/>
  <c r="E127" i="7" s="1"/>
  <c r="E102" i="7"/>
  <c r="AA20" i="7" a="1"/>
  <c r="AA20" i="7" s="1"/>
  <c r="AB92" i="7" s="1"/>
  <c r="AE25" i="7" a="1"/>
  <c r="AE25" i="7" s="1"/>
  <c r="AF96" i="7" s="1"/>
  <c r="J105" i="7"/>
  <c r="J122" i="7" s="1"/>
  <c r="W131" i="7"/>
  <c r="Y20" i="7" a="1"/>
  <c r="Y20" i="7" s="1"/>
  <c r="Z92" i="7" s="1"/>
  <c r="J107" i="7"/>
  <c r="J124" i="7" s="1"/>
  <c r="N101" i="7"/>
  <c r="N117" i="7" s="1"/>
  <c r="N130" i="7" s="1"/>
  <c r="N105" i="7"/>
  <c r="N122" i="7" s="1"/>
  <c r="G109" i="7"/>
  <c r="G126" i="7" s="1"/>
  <c r="I130" i="7"/>
  <c r="V104" i="7"/>
  <c r="V121" i="7" s="1"/>
  <c r="E103" i="7"/>
  <c r="E120" i="7" s="1"/>
  <c r="G107" i="7"/>
  <c r="G124" i="7" s="1"/>
  <c r="J110" i="7"/>
  <c r="J127" i="7" s="1"/>
  <c r="F106" i="7"/>
  <c r="F123" i="7" s="1"/>
  <c r="R131" i="7"/>
  <c r="D103" i="7"/>
  <c r="D120" i="7" s="1"/>
  <c r="S104" i="7"/>
  <c r="S121" i="7" s="1"/>
  <c r="M130" i="7"/>
  <c r="S105" i="7"/>
  <c r="S122" i="7" s="1"/>
  <c r="J130" i="7"/>
  <c r="J135" i="7" s="1"/>
  <c r="D101" i="7"/>
  <c r="D117" i="7" s="1"/>
  <c r="D130" i="7" s="1"/>
  <c r="D106" i="7"/>
  <c r="D123" i="7" s="1"/>
  <c r="Q92" i="7"/>
  <c r="G110" i="7"/>
  <c r="G127" i="7" s="1"/>
  <c r="L103" i="7"/>
  <c r="L120" i="7" s="1"/>
  <c r="C130" i="7"/>
  <c r="F2" i="4" s="1"/>
  <c r="AI27" i="7" a="1"/>
  <c r="AI27" i="7" s="1"/>
  <c r="V107" i="7"/>
  <c r="V124" i="7" s="1"/>
  <c r="J102" i="7"/>
  <c r="L102" i="7"/>
  <c r="L108" i="7"/>
  <c r="L125" i="7" s="1"/>
  <c r="K107" i="7"/>
  <c r="K124" i="7" s="1"/>
  <c r="H132" i="7"/>
  <c r="N108" i="7"/>
  <c r="N125" i="7" s="1"/>
  <c r="M132" i="7"/>
  <c r="M131" i="7"/>
  <c r="C132" i="7"/>
  <c r="B3" i="2" s="1"/>
  <c r="T101" i="7"/>
  <c r="T117" i="7" s="1"/>
  <c r="I107" i="7"/>
  <c r="I124" i="7" s="1"/>
  <c r="S106" i="7"/>
  <c r="S123" i="7" s="1"/>
  <c r="R132" i="7"/>
  <c r="K106" i="7"/>
  <c r="K123" i="7" s="1"/>
  <c r="H130" i="7"/>
  <c r="F102" i="7"/>
  <c r="U107" i="7"/>
  <c r="U124" i="7" s="1"/>
  <c r="G106" i="7"/>
  <c r="G123" i="7" s="1"/>
  <c r="S110" i="7"/>
  <c r="S127" i="7" s="1"/>
  <c r="U103" i="7"/>
  <c r="U120" i="7" s="1"/>
  <c r="T103" i="7"/>
  <c r="T120" i="7" s="1"/>
  <c r="I106" i="7"/>
  <c r="I123" i="7" s="1"/>
  <c r="D104" i="7"/>
  <c r="D121" i="7" s="1"/>
  <c r="K101" i="7"/>
  <c r="K117" i="7" s="1"/>
  <c r="K130" i="7" s="1"/>
  <c r="F108" i="7"/>
  <c r="F125" i="7" s="1"/>
  <c r="K103" i="7"/>
  <c r="K120" i="7" s="1"/>
  <c r="U102" i="7"/>
  <c r="U130" i="7" s="1"/>
  <c r="J104" i="7"/>
  <c r="J121" i="7" s="1"/>
  <c r="T109" i="7"/>
  <c r="T126" i="7" s="1"/>
  <c r="J108" i="7"/>
  <c r="J125" i="7" s="1"/>
  <c r="D108" i="7"/>
  <c r="D125" i="7" s="1"/>
  <c r="S101" i="7"/>
  <c r="S117" i="7" s="1"/>
  <c r="S130" i="7" s="1"/>
  <c r="S135" i="7" s="1"/>
  <c r="E107" i="7"/>
  <c r="E124" i="7" s="1"/>
  <c r="F105" i="7"/>
  <c r="F122" i="7" s="1"/>
  <c r="E81" i="6"/>
  <c r="F81" i="6" s="1"/>
  <c r="G81" i="6" s="1"/>
  <c r="H81" i="6" s="1"/>
  <c r="I81" i="6" s="1"/>
  <c r="J81" i="6" s="1"/>
  <c r="K81" i="6" s="1"/>
  <c r="L81" i="6" s="1"/>
  <c r="E65" i="6"/>
  <c r="F65" i="6" s="1"/>
  <c r="G65" i="6" s="1"/>
  <c r="H65" i="6" s="1"/>
  <c r="I65" i="6" s="1"/>
  <c r="J65" i="6" s="1"/>
  <c r="K65" i="6" s="1"/>
  <c r="L65" i="6" s="1"/>
  <c r="T104" i="7"/>
  <c r="T121" i="7" s="1"/>
  <c r="L110" i="7"/>
  <c r="L127" i="7" s="1"/>
  <c r="L104" i="7"/>
  <c r="L121" i="7" s="1"/>
  <c r="O26" i="7"/>
  <c r="N98" i="6"/>
  <c r="O98" i="6" s="1"/>
  <c r="P98" i="6" s="1"/>
  <c r="Q98" i="6" s="1"/>
  <c r="R98" i="6" s="1"/>
  <c r="E98" i="6"/>
  <c r="F98" i="6" s="1"/>
  <c r="G98" i="6" s="1"/>
  <c r="H98" i="6" s="1"/>
  <c r="I98" i="6" s="1"/>
  <c r="J98" i="6" s="1"/>
  <c r="K98" i="6" s="1"/>
  <c r="L98" i="6" s="1"/>
  <c r="AB27" i="7" a="1"/>
  <c r="AB27" i="7" s="1"/>
  <c r="AC98" i="7" s="1"/>
  <c r="AA27" i="7" a="1"/>
  <c r="AA27" i="7" s="1"/>
  <c r="AB98" i="7" s="1"/>
  <c r="V106" i="7"/>
  <c r="V123" i="7" s="1"/>
  <c r="U106" i="7"/>
  <c r="U123" i="7" s="1"/>
  <c r="I104" i="7"/>
  <c r="I121" i="7" s="1"/>
  <c r="O19" i="7"/>
  <c r="O91" i="7"/>
  <c r="E108" i="7"/>
  <c r="E125" i="7" s="1"/>
  <c r="E104" i="7"/>
  <c r="E121" i="7" s="1"/>
  <c r="L181" i="6"/>
  <c r="E64" i="6"/>
  <c r="F64" i="6" s="1"/>
  <c r="G64" i="6" s="1"/>
  <c r="H64" i="6" s="1"/>
  <c r="I64" i="6" s="1"/>
  <c r="J64" i="6" s="1"/>
  <c r="K64" i="6" s="1"/>
  <c r="L64" i="6" s="1"/>
  <c r="N64" i="6"/>
  <c r="O64" i="6" s="1"/>
  <c r="P64" i="6" s="1"/>
  <c r="Q64" i="6" s="1"/>
  <c r="R64" i="6" s="1"/>
  <c r="T102" i="7"/>
  <c r="N106" i="6"/>
  <c r="O106" i="6" s="1"/>
  <c r="P106" i="6" s="1"/>
  <c r="Q106" i="6" s="1"/>
  <c r="R106" i="6" s="1"/>
  <c r="E106" i="6"/>
  <c r="F106" i="6" s="1"/>
  <c r="G106" i="6" s="1"/>
  <c r="H106" i="6" s="1"/>
  <c r="I106" i="6" s="1"/>
  <c r="J106" i="6" s="1"/>
  <c r="K106" i="6" s="1"/>
  <c r="L106" i="6" s="1"/>
  <c r="T110" i="7"/>
  <c r="T127" i="7" s="1"/>
  <c r="AF25" i="7" a="1"/>
  <c r="AF25" i="7" s="1"/>
  <c r="AG96" i="7" s="1"/>
  <c r="AH25" i="7" a="1"/>
  <c r="AH25" i="7" s="1"/>
  <c r="F104" i="7"/>
  <c r="F121" i="7" s="1"/>
  <c r="AB25" i="7" a="1"/>
  <c r="AB25" i="7" s="1"/>
  <c r="AC96" i="7" s="1"/>
  <c r="D110" i="7"/>
  <c r="D127" i="7" s="1"/>
  <c r="E83" i="6"/>
  <c r="F83" i="6" s="1"/>
  <c r="G83" i="6" s="1"/>
  <c r="H83" i="6" s="1"/>
  <c r="I83" i="6" s="1"/>
  <c r="J83" i="6" s="1"/>
  <c r="K83" i="6" s="1"/>
  <c r="L83" i="6" s="1"/>
  <c r="N83" i="6"/>
  <c r="O83" i="6" s="1"/>
  <c r="P83" i="6" s="1"/>
  <c r="Q83" i="6" s="1"/>
  <c r="R83" i="6" s="1"/>
  <c r="O17" i="7"/>
  <c r="AE27" i="7" a="1"/>
  <c r="AE27" i="7" s="1"/>
  <c r="AF98" i="7" s="1"/>
  <c r="V110" i="7"/>
  <c r="V127" i="7" s="1"/>
  <c r="S107" i="7"/>
  <c r="S124" i="7" s="1"/>
  <c r="X27" i="7" a="1"/>
  <c r="X27" i="7" s="1"/>
  <c r="Y98" i="7" s="1"/>
  <c r="S109" i="7"/>
  <c r="S126" i="7" s="1"/>
  <c r="U105" i="7"/>
  <c r="U122" i="7" s="1"/>
  <c r="E106" i="7"/>
  <c r="E123" i="7" s="1"/>
  <c r="K110" i="7"/>
  <c r="K127" i="7" s="1"/>
  <c r="F110" i="7"/>
  <c r="F127" i="7" s="1"/>
  <c r="K104" i="7"/>
  <c r="K121" i="7" s="1"/>
  <c r="N105" i="6"/>
  <c r="O105" i="6" s="1"/>
  <c r="P105" i="6" s="1"/>
  <c r="Q105" i="6" s="1"/>
  <c r="R105" i="6" s="1"/>
  <c r="E105" i="6"/>
  <c r="F105" i="6" s="1"/>
  <c r="G105" i="6" s="1"/>
  <c r="H105" i="6" s="1"/>
  <c r="I105" i="6" s="1"/>
  <c r="J105" i="6" s="1"/>
  <c r="K105" i="6" s="1"/>
  <c r="L105" i="6" s="1"/>
  <c r="G103" i="7"/>
  <c r="G120" i="7" s="1"/>
  <c r="I103" i="7"/>
  <c r="I120" i="7" s="1"/>
  <c r="D107" i="7"/>
  <c r="D124" i="7" s="1"/>
  <c r="E72" i="6"/>
  <c r="F72" i="6" s="1"/>
  <c r="G72" i="6" s="1"/>
  <c r="H72" i="6" s="1"/>
  <c r="I72" i="6" s="1"/>
  <c r="J72" i="6" s="1"/>
  <c r="K72" i="6" s="1"/>
  <c r="L72" i="6" s="1"/>
  <c r="N72" i="6"/>
  <c r="O72" i="6" s="1"/>
  <c r="P72" i="6" s="1"/>
  <c r="Q72" i="6" s="1"/>
  <c r="R72" i="6" s="1"/>
  <c r="T107" i="7"/>
  <c r="T124" i="7" s="1"/>
  <c r="E100" i="6"/>
  <c r="F100" i="6" s="1"/>
  <c r="G100" i="6" s="1"/>
  <c r="H100" i="6" s="1"/>
  <c r="I100" i="6" s="1"/>
  <c r="J100" i="6" s="1"/>
  <c r="K100" i="6" s="1"/>
  <c r="L100" i="6" s="1"/>
  <c r="N100" i="6"/>
  <c r="O100" i="6" s="1"/>
  <c r="P100" i="6" s="1"/>
  <c r="Q100" i="6" s="1"/>
  <c r="R100" i="6" s="1"/>
  <c r="E75" i="6"/>
  <c r="F75" i="6" s="1"/>
  <c r="G75" i="6" s="1"/>
  <c r="H75" i="6" s="1"/>
  <c r="I75" i="6" s="1"/>
  <c r="J75" i="6" s="1"/>
  <c r="K75" i="6" s="1"/>
  <c r="L75" i="6" s="1"/>
  <c r="N75" i="6"/>
  <c r="O75" i="6" s="1"/>
  <c r="P75" i="6" s="1"/>
  <c r="Q75" i="6" s="1"/>
  <c r="R75" i="6" s="1"/>
  <c r="AI25" i="7" a="1"/>
  <c r="AI25" i="7" s="1"/>
  <c r="L106" i="7"/>
  <c r="L123" i="7" s="1"/>
  <c r="N107" i="7"/>
  <c r="N124" i="7" s="1"/>
  <c r="P24" i="7"/>
  <c r="U108" i="7"/>
  <c r="U125" i="7" s="1"/>
  <c r="AD27" i="7" a="1"/>
  <c r="AD27" i="7" s="1"/>
  <c r="AE98" i="7" s="1"/>
  <c r="Q98" i="7"/>
  <c r="AG27" i="7" a="1"/>
  <c r="AG27" i="7" s="1"/>
  <c r="G102" i="7"/>
  <c r="G130" i="7" s="1"/>
  <c r="N104" i="7"/>
  <c r="N121" i="7" s="1"/>
  <c r="E97" i="6"/>
  <c r="F97" i="6" s="1"/>
  <c r="G97" i="6" s="1"/>
  <c r="H97" i="6" s="1"/>
  <c r="I97" i="6" s="1"/>
  <c r="J97" i="6" s="1"/>
  <c r="K97" i="6" s="1"/>
  <c r="L97" i="6" s="1"/>
  <c r="N97" i="6"/>
  <c r="O97" i="6" s="1"/>
  <c r="P97" i="6" s="1"/>
  <c r="Q97" i="6" s="1"/>
  <c r="R97" i="6" s="1"/>
  <c r="K109" i="7"/>
  <c r="K126" i="7" s="1"/>
  <c r="O89" i="7"/>
  <c r="O101" i="7" s="1"/>
  <c r="O117" i="7" s="1"/>
  <c r="O97" i="7"/>
  <c r="O109" i="7" s="1"/>
  <c r="O126" i="7" s="1"/>
  <c r="T106" i="7"/>
  <c r="T123" i="7" s="1"/>
  <c r="P96" i="7"/>
  <c r="N106" i="7"/>
  <c r="N123" i="7" s="1"/>
  <c r="N109" i="6"/>
  <c r="O109" i="6" s="1"/>
  <c r="P109" i="6" s="1"/>
  <c r="Q109" i="6" s="1"/>
  <c r="R109" i="6" s="1"/>
  <c r="E109" i="6"/>
  <c r="F109" i="6" s="1"/>
  <c r="G109" i="6" s="1"/>
  <c r="H109" i="6" s="1"/>
  <c r="I109" i="6" s="1"/>
  <c r="J109" i="6" s="1"/>
  <c r="K109" i="6" s="1"/>
  <c r="L109" i="6" s="1"/>
  <c r="Y27" i="7" a="1"/>
  <c r="Y27" i="7" s="1"/>
  <c r="Z98" i="7" s="1"/>
  <c r="E67" i="6"/>
  <c r="F67" i="6" s="1"/>
  <c r="G67" i="6" s="1"/>
  <c r="H67" i="6" s="1"/>
  <c r="I67" i="6" s="1"/>
  <c r="J67" i="6" s="1"/>
  <c r="K67" i="6" s="1"/>
  <c r="L67" i="6" s="1"/>
  <c r="N67" i="6"/>
  <c r="O67" i="6" s="1"/>
  <c r="P67" i="6" s="1"/>
  <c r="Q67" i="6" s="1"/>
  <c r="R67" i="6" s="1"/>
  <c r="E109" i="7"/>
  <c r="E126" i="7" s="1"/>
  <c r="X25" i="7" a="1"/>
  <c r="X25" i="7" s="1"/>
  <c r="Y96" i="7" s="1"/>
  <c r="N110" i="7"/>
  <c r="N127" i="7" s="1"/>
  <c r="I108" i="7"/>
  <c r="I125" i="7" s="1"/>
  <c r="G105" i="7"/>
  <c r="G122" i="7" s="1"/>
  <c r="N95" i="6"/>
  <c r="O95" i="6" s="1"/>
  <c r="P95" i="6" s="1"/>
  <c r="Q95" i="6" s="1"/>
  <c r="R95" i="6" s="1"/>
  <c r="E95" i="6"/>
  <c r="F95" i="6" s="1"/>
  <c r="G95" i="6" s="1"/>
  <c r="H95" i="6" s="1"/>
  <c r="I95" i="6" s="1"/>
  <c r="J95" i="6" s="1"/>
  <c r="K95" i="6" s="1"/>
  <c r="L95" i="6" s="1"/>
  <c r="T105" i="7"/>
  <c r="T122" i="7" s="1"/>
  <c r="N68" i="6"/>
  <c r="O68" i="6" s="1"/>
  <c r="P68" i="6" s="1"/>
  <c r="Q68" i="6" s="1"/>
  <c r="R68" i="6" s="1"/>
  <c r="E68" i="6"/>
  <c r="F68" i="6" s="1"/>
  <c r="G68" i="6" s="1"/>
  <c r="H68" i="6" s="1"/>
  <c r="I68" i="6" s="1"/>
  <c r="J68" i="6" s="1"/>
  <c r="K68" i="6" s="1"/>
  <c r="L68" i="6" s="1"/>
  <c r="D109" i="7"/>
  <c r="D126" i="7" s="1"/>
  <c r="L109" i="7"/>
  <c r="L126" i="7" s="1"/>
  <c r="F107" i="7"/>
  <c r="F124" i="7" s="1"/>
  <c r="L101" i="7"/>
  <c r="L117" i="7" s="1"/>
  <c r="L130" i="7" s="1"/>
  <c r="E105" i="7"/>
  <c r="E122" i="7" s="1"/>
  <c r="AF27" i="7" a="1"/>
  <c r="AF27" i="7" s="1"/>
  <c r="AG98" i="7" s="1"/>
  <c r="F109" i="7"/>
  <c r="F126" i="7" s="1"/>
  <c r="O106" i="7"/>
  <c r="O123" i="7" s="1"/>
  <c r="K108" i="7"/>
  <c r="K125" i="7" s="1"/>
  <c r="N109" i="7"/>
  <c r="N126" i="7" s="1"/>
  <c r="N104" i="6"/>
  <c r="O104" i="6" s="1"/>
  <c r="P104" i="6" s="1"/>
  <c r="Q104" i="6" s="1"/>
  <c r="R104" i="6" s="1"/>
  <c r="E104" i="6"/>
  <c r="F104" i="6" s="1"/>
  <c r="G104" i="6" s="1"/>
  <c r="H104" i="6" s="1"/>
  <c r="I104" i="6" s="1"/>
  <c r="J104" i="6" s="1"/>
  <c r="K104" i="6" s="1"/>
  <c r="L104" i="6" s="1"/>
  <c r="L107" i="7"/>
  <c r="L124" i="7" s="1"/>
  <c r="U109" i="7"/>
  <c r="U126" i="7" s="1"/>
  <c r="F103" i="7"/>
  <c r="F120" i="7" s="1"/>
  <c r="E101" i="7"/>
  <c r="E117" i="7" s="1"/>
  <c r="E130" i="7" s="1"/>
  <c r="U110" i="7"/>
  <c r="U127" i="7" s="1"/>
  <c r="U104" i="7"/>
  <c r="U121" i="7" s="1"/>
  <c r="AH27" i="7" a="1"/>
  <c r="AH27" i="7" s="1"/>
  <c r="L182" i="6"/>
  <c r="E92" i="6"/>
  <c r="F92" i="6" s="1"/>
  <c r="G92" i="6" s="1"/>
  <c r="H92" i="6" s="1"/>
  <c r="I92" i="6" s="1"/>
  <c r="J92" i="6" s="1"/>
  <c r="K92" i="6" s="1"/>
  <c r="L92" i="6" s="1"/>
  <c r="N92" i="6"/>
  <c r="O92" i="6" s="1"/>
  <c r="P92" i="6" s="1"/>
  <c r="Q92" i="6" s="1"/>
  <c r="R92" i="6" s="1"/>
  <c r="Y25" i="7" a="1"/>
  <c r="Y25" i="7" s="1"/>
  <c r="Z96" i="7" s="1"/>
  <c r="I110" i="7"/>
  <c r="I127" i="7" s="1"/>
  <c r="E70" i="6"/>
  <c r="F70" i="6" s="1"/>
  <c r="G70" i="6" s="1"/>
  <c r="H70" i="6" s="1"/>
  <c r="I70" i="6" s="1"/>
  <c r="J70" i="6" s="1"/>
  <c r="K70" i="6" s="1"/>
  <c r="L70" i="6" s="1"/>
  <c r="N70" i="6"/>
  <c r="O70" i="6" s="1"/>
  <c r="P70" i="6" s="1"/>
  <c r="Q70" i="6" s="1"/>
  <c r="R70" i="6" s="1"/>
  <c r="V103" i="7"/>
  <c r="V120" i="7" s="1"/>
  <c r="I109" i="7"/>
  <c r="I126" i="7" s="1"/>
  <c r="O21" i="7"/>
  <c r="V109" i="7"/>
  <c r="V126" i="7" s="1"/>
  <c r="J109" i="7"/>
  <c r="J126" i="7" s="1"/>
  <c r="V105" i="7"/>
  <c r="V122" i="7" s="1"/>
  <c r="D105" i="7"/>
  <c r="D122" i="7" s="1"/>
  <c r="V108" i="7"/>
  <c r="V125" i="7" s="1"/>
  <c r="L105" i="7"/>
  <c r="L122" i="7" s="1"/>
  <c r="V101" i="7"/>
  <c r="V117" i="7" s="1"/>
  <c r="V130" i="7" s="1"/>
  <c r="N107" i="6"/>
  <c r="O107" i="6" s="1"/>
  <c r="P107" i="6" s="1"/>
  <c r="Q107" i="6" s="1"/>
  <c r="R107" i="6" s="1"/>
  <c r="F107" i="6"/>
  <c r="G107" i="6" s="1"/>
  <c r="H107" i="6" s="1"/>
  <c r="I107" i="6" s="1"/>
  <c r="J107" i="6" s="1"/>
  <c r="K107" i="6" s="1"/>
  <c r="L107" i="6" s="1"/>
  <c r="E107" i="6"/>
  <c r="S108" i="7"/>
  <c r="S125" i="7" s="1"/>
  <c r="F101" i="7"/>
  <c r="F117" i="7" s="1"/>
  <c r="N66" i="6"/>
  <c r="O66" i="6" s="1"/>
  <c r="P66" i="6" s="1"/>
  <c r="Q66" i="6" s="1"/>
  <c r="R66" i="6" s="1"/>
  <c r="E66" i="6"/>
  <c r="F66" i="6"/>
  <c r="G66" i="6" s="1"/>
  <c r="H66" i="6" s="1"/>
  <c r="I66" i="6" s="1"/>
  <c r="J66" i="6" s="1"/>
  <c r="K66" i="6" s="1"/>
  <c r="L66" i="6" s="1"/>
  <c r="G104" i="7"/>
  <c r="G121" i="7" s="1"/>
  <c r="E73" i="6"/>
  <c r="F73" i="6" s="1"/>
  <c r="G73" i="6" s="1"/>
  <c r="H73" i="6" s="1"/>
  <c r="I73" i="6" s="1"/>
  <c r="J73" i="6" s="1"/>
  <c r="K73" i="6" s="1"/>
  <c r="L73" i="6" s="1"/>
  <c r="N73" i="6"/>
  <c r="O73" i="6" s="1"/>
  <c r="P73" i="6" s="1"/>
  <c r="Q73" i="6" s="1"/>
  <c r="R73" i="6" s="1"/>
  <c r="O110" i="7"/>
  <c r="O127" i="7" s="1"/>
  <c r="Z27" i="7" a="1"/>
  <c r="Z27" i="7" s="1"/>
  <c r="AA98" i="7" s="1"/>
  <c r="AC25" i="7" a="1"/>
  <c r="AC25" i="7" s="1"/>
  <c r="AD96" i="7" s="1"/>
  <c r="T108" i="7"/>
  <c r="T125" i="7" s="1"/>
  <c r="J103" i="7"/>
  <c r="J120" i="7" s="1"/>
  <c r="N103" i="7"/>
  <c r="N120" i="7" s="1"/>
  <c r="B7" i="2"/>
  <c r="B7" i="4"/>
  <c r="K135" i="7" l="1"/>
  <c r="N135" i="7"/>
  <c r="J131" i="7"/>
  <c r="G132" i="7"/>
  <c r="J132" i="7"/>
  <c r="I135" i="7"/>
  <c r="S131" i="7"/>
  <c r="S136" i="7" s="1"/>
  <c r="D135" i="7"/>
  <c r="H137" i="7"/>
  <c r="E135" i="7"/>
  <c r="E132" i="7"/>
  <c r="L135" i="7"/>
  <c r="F130" i="7"/>
  <c r="F135" i="7" s="1"/>
  <c r="L131" i="7"/>
  <c r="M136" i="7" s="1"/>
  <c r="F131" i="7"/>
  <c r="T131" i="7"/>
  <c r="T136" i="7" s="1"/>
  <c r="V132" i="7"/>
  <c r="W137" i="7" s="1"/>
  <c r="K131" i="7"/>
  <c r="K136" i="7" s="1"/>
  <c r="E131" i="7"/>
  <c r="V135" i="7"/>
  <c r="N131" i="7"/>
  <c r="N136" i="7" s="1"/>
  <c r="D136" i="7"/>
  <c r="L132" i="7"/>
  <c r="M137" i="7" s="1"/>
  <c r="T130" i="7"/>
  <c r="T135" i="7" s="1"/>
  <c r="H135" i="7"/>
  <c r="AC24" i="7" a="1"/>
  <c r="AC24" i="7" s="1"/>
  <c r="AD95" i="7" s="1"/>
  <c r="Q95" i="7"/>
  <c r="W24" i="7" a="1"/>
  <c r="W24" i="7" s="1"/>
  <c r="X95" i="7" s="1"/>
  <c r="AE24" i="7" a="1"/>
  <c r="AE24" i="7" s="1"/>
  <c r="AF95" i="7" s="1"/>
  <c r="X24" i="7" a="1"/>
  <c r="X24" i="7" s="1"/>
  <c r="Y95" i="7" s="1"/>
  <c r="AB24" i="7" a="1"/>
  <c r="AB24" i="7" s="1"/>
  <c r="AC95" i="7" s="1"/>
  <c r="M135" i="7"/>
  <c r="AI24" i="7" a="1"/>
  <c r="AI24" i="7" s="1"/>
  <c r="Y24" i="7" a="1"/>
  <c r="Y24" i="7" s="1"/>
  <c r="Z95" i="7" s="1"/>
  <c r="T132" i="7"/>
  <c r="O102" i="7"/>
  <c r="O130" i="7" s="1"/>
  <c r="O135" i="7" s="1"/>
  <c r="O103" i="7"/>
  <c r="O120" i="7" s="1"/>
  <c r="O104" i="7"/>
  <c r="O121" i="7" s="1"/>
  <c r="AF24" i="7" a="1"/>
  <c r="AF24" i="7" s="1"/>
  <c r="AG95" i="7" s="1"/>
  <c r="P21" i="7"/>
  <c r="AA21" i="7" s="1" a="1"/>
  <c r="AA21" i="7" s="1"/>
  <c r="AB93" i="7" s="1"/>
  <c r="Z21" i="7" a="1"/>
  <c r="Z21" i="7" s="1"/>
  <c r="AA93" i="7" s="1"/>
  <c r="P93" i="7"/>
  <c r="P19" i="7"/>
  <c r="AD19" i="7" s="1" a="1"/>
  <c r="AD19" i="7" s="1"/>
  <c r="AE91" i="7" s="1"/>
  <c r="P91" i="7"/>
  <c r="AG24" i="7" a="1"/>
  <c r="AG24" i="7" s="1"/>
  <c r="U131" i="7"/>
  <c r="F132" i="7"/>
  <c r="AH24" i="7" a="1"/>
  <c r="AH24" i="7" s="1"/>
  <c r="O107" i="7"/>
  <c r="O124" i="7" s="1"/>
  <c r="AG19" i="7" a="1"/>
  <c r="AG19" i="7" s="1"/>
  <c r="G131" i="7"/>
  <c r="P26" i="7"/>
  <c r="Q97" i="7" s="1"/>
  <c r="AD26" i="7" a="1"/>
  <c r="AD26" i="7" s="1"/>
  <c r="AE97" i="7" s="1"/>
  <c r="P97" i="7"/>
  <c r="P109" i="7" s="1"/>
  <c r="P126" i="7" s="1"/>
  <c r="D181" i="6"/>
  <c r="AA24" i="7" a="1"/>
  <c r="AA24" i="7" s="1"/>
  <c r="AB95" i="7" s="1"/>
  <c r="V131" i="7"/>
  <c r="Q182" i="6"/>
  <c r="N132" i="7"/>
  <c r="N137" i="7" s="1"/>
  <c r="D132" i="7"/>
  <c r="D137" i="7" s="1"/>
  <c r="S132" i="7"/>
  <c r="S137" i="7" s="1"/>
  <c r="P17" i="7"/>
  <c r="AB17" i="7" s="1" a="1"/>
  <c r="AB17" i="7" s="1"/>
  <c r="AC89" i="7" s="1"/>
  <c r="W17" i="7" a="1"/>
  <c r="W17" i="7" s="1"/>
  <c r="X89" i="7" s="1"/>
  <c r="P89" i="7"/>
  <c r="W135" i="7"/>
  <c r="Z24" i="7" a="1"/>
  <c r="Z24" i="7" s="1"/>
  <c r="AA95" i="7" s="1"/>
  <c r="O105" i="7"/>
  <c r="O122" i="7" s="1"/>
  <c r="Q181" i="6"/>
  <c r="I132" i="7"/>
  <c r="I137" i="7" s="1"/>
  <c r="D182" i="6"/>
  <c r="K132" i="7"/>
  <c r="AI21" i="7" a="1"/>
  <c r="AI21" i="7" s="1"/>
  <c r="U132" i="7"/>
  <c r="I131" i="7"/>
  <c r="I136" i="7" s="1"/>
  <c r="AD24" i="7" a="1"/>
  <c r="AD24" i="7" s="1"/>
  <c r="AE95" i="7" s="1"/>
  <c r="O108" i="7"/>
  <c r="O125" i="7" s="1"/>
  <c r="AI19" i="7" a="1"/>
  <c r="AI19" i="7" s="1"/>
  <c r="K137" i="7" l="1"/>
  <c r="E136" i="7"/>
  <c r="AG26" i="7" a="1"/>
  <c r="AG26" i="7" s="1"/>
  <c r="F136" i="7"/>
  <c r="G135" i="7"/>
  <c r="L136" i="7"/>
  <c r="P110" i="7"/>
  <c r="P127" i="7" s="1"/>
  <c r="AD21" i="7" a="1"/>
  <c r="AD21" i="7" s="1"/>
  <c r="AE93" i="7" s="1"/>
  <c r="AE104" i="7" s="1"/>
  <c r="AE121" i="7" s="1"/>
  <c r="AB21" i="7" a="1"/>
  <c r="AB21" i="7" s="1"/>
  <c r="AC93" i="7" s="1"/>
  <c r="AH26" i="7" a="1"/>
  <c r="AH26" i="7" s="1"/>
  <c r="AC21" i="7" a="1"/>
  <c r="AC21" i="7" s="1"/>
  <c r="AD93" i="7" s="1"/>
  <c r="Y26" i="7" a="1"/>
  <c r="Y26" i="7" s="1"/>
  <c r="Z97" i="7" s="1"/>
  <c r="Z109" i="7" s="1"/>
  <c r="Z126" i="7" s="1"/>
  <c r="AH21" i="7" a="1"/>
  <c r="AH21" i="7" s="1"/>
  <c r="W21" i="7" a="1"/>
  <c r="W21" i="7" s="1"/>
  <c r="X93" i="7" s="1"/>
  <c r="U136" i="7"/>
  <c r="AE26" i="7" a="1"/>
  <c r="AE26" i="7" s="1"/>
  <c r="AF97" i="7" s="1"/>
  <c r="AF110" i="7" s="1"/>
  <c r="AF127" i="7" s="1"/>
  <c r="Z19" i="7" a="1"/>
  <c r="Z19" i="7" s="1"/>
  <c r="AA91" i="7" s="1"/>
  <c r="AA103" i="7" s="1"/>
  <c r="AA120" i="7" s="1"/>
  <c r="AF19" i="7" a="1"/>
  <c r="AF19" i="7" s="1"/>
  <c r="AG91" i="7" s="1"/>
  <c r="U137" i="7"/>
  <c r="Y19" i="7" a="1"/>
  <c r="Y19" i="7" s="1"/>
  <c r="Z91" i="7" s="1"/>
  <c r="AF109" i="7"/>
  <c r="AF126" i="7" s="1"/>
  <c r="AC19" i="7" a="1"/>
  <c r="AC19" i="7" s="1"/>
  <c r="AD91" i="7" s="1"/>
  <c r="X19" i="7" a="1"/>
  <c r="X19" i="7" s="1"/>
  <c r="Y91" i="7" s="1"/>
  <c r="P108" i="7"/>
  <c r="P125" i="7" s="1"/>
  <c r="AH19" i="7" a="1"/>
  <c r="AH19" i="7" s="1"/>
  <c r="AE109" i="7"/>
  <c r="AE126" i="7" s="1"/>
  <c r="Q109" i="7"/>
  <c r="Q126" i="7" s="1"/>
  <c r="U135" i="7"/>
  <c r="AC101" i="7"/>
  <c r="AC117" i="7" s="1"/>
  <c r="AC102" i="7"/>
  <c r="X17" i="7" a="1"/>
  <c r="X17" i="7" s="1"/>
  <c r="Y89" i="7" s="1"/>
  <c r="Q110" i="7"/>
  <c r="Q127" i="7" s="1"/>
  <c r="P105" i="7"/>
  <c r="P122" i="7" s="1"/>
  <c r="O131" i="7"/>
  <c r="O136" i="7" s="1"/>
  <c r="AC26" i="7" a="1"/>
  <c r="AC26" i="7" s="1"/>
  <c r="AD97" i="7" s="1"/>
  <c r="AD109" i="7" s="1"/>
  <c r="AD126" i="7" s="1"/>
  <c r="Q107" i="7"/>
  <c r="Q124" i="7" s="1"/>
  <c r="Q108" i="7"/>
  <c r="Q125" i="7" s="1"/>
  <c r="F137" i="7"/>
  <c r="G137" i="7"/>
  <c r="AG17" i="7" a="1"/>
  <c r="AG17" i="7" s="1"/>
  <c r="W26" i="7" a="1"/>
  <c r="W26" i="7" s="1"/>
  <c r="X97" i="7" s="1"/>
  <c r="X109" i="7" s="1"/>
  <c r="X126" i="7" s="1"/>
  <c r="P101" i="7"/>
  <c r="P117" i="7" s="1"/>
  <c r="P102" i="7"/>
  <c r="P103" i="7"/>
  <c r="P120" i="7" s="1"/>
  <c r="P104" i="7"/>
  <c r="P121" i="7" s="1"/>
  <c r="P106" i="7"/>
  <c r="P123" i="7" s="1"/>
  <c r="X101" i="7"/>
  <c r="X117" i="7" s="1"/>
  <c r="X102" i="7"/>
  <c r="AA26" i="7" a="1"/>
  <c r="AA26" i="7" s="1"/>
  <c r="AB97" i="7" s="1"/>
  <c r="AB107" i="7" s="1"/>
  <c r="AB124" i="7" s="1"/>
  <c r="M182" i="6"/>
  <c r="G136" i="7"/>
  <c r="H136" i="7"/>
  <c r="Q93" i="7"/>
  <c r="AE21" i="7" a="1"/>
  <c r="AE21" i="7" s="1"/>
  <c r="AF93" i="7" s="1"/>
  <c r="X21" i="7" a="1"/>
  <c r="X21" i="7" s="1"/>
  <c r="Y93" i="7" s="1"/>
  <c r="Y21" i="7" a="1"/>
  <c r="Y21" i="7" s="1"/>
  <c r="Z93" i="7" s="1"/>
  <c r="Z105" i="7" s="1"/>
  <c r="Z122" i="7" s="1"/>
  <c r="AG21" i="7" a="1"/>
  <c r="AG21" i="7" s="1"/>
  <c r="AF21" i="7" a="1"/>
  <c r="AF21" i="7" s="1"/>
  <c r="AG93" i="7" s="1"/>
  <c r="AF26" i="7" a="1"/>
  <c r="AF26" i="7" s="1"/>
  <c r="AG97" i="7" s="1"/>
  <c r="AG107" i="7" s="1"/>
  <c r="AG124" i="7" s="1"/>
  <c r="E182" i="6"/>
  <c r="L137" i="7"/>
  <c r="E137" i="7"/>
  <c r="Q89" i="7"/>
  <c r="AI17" i="7" a="1"/>
  <c r="AI17" i="7" s="1"/>
  <c r="AE17" i="7" a="1"/>
  <c r="AE17" i="7" s="1"/>
  <c r="AF89" i="7" s="1"/>
  <c r="Z17" i="7" a="1"/>
  <c r="Z17" i="7" s="1"/>
  <c r="AA89" i="7" s="1"/>
  <c r="AH17" i="7" a="1"/>
  <c r="AH17" i="7" s="1"/>
  <c r="AA17" i="7" a="1"/>
  <c r="AA17" i="7" s="1"/>
  <c r="AB89" i="7" s="1"/>
  <c r="AD17" i="7" a="1"/>
  <c r="AD17" i="7" s="1"/>
  <c r="AE89" i="7" s="1"/>
  <c r="AF17" i="7" a="1"/>
  <c r="AF17" i="7" s="1"/>
  <c r="AG89" i="7" s="1"/>
  <c r="Y17" i="7" a="1"/>
  <c r="Y17" i="7" s="1"/>
  <c r="Z89" i="7" s="1"/>
  <c r="T137" i="7"/>
  <c r="J136" i="7"/>
  <c r="AC17" i="7" a="1"/>
  <c r="AC17" i="7" s="1"/>
  <c r="AD89" i="7" s="1"/>
  <c r="Z110" i="7"/>
  <c r="Z127" i="7" s="1"/>
  <c r="M181" i="6"/>
  <c r="AE110" i="7"/>
  <c r="AE127" i="7" s="1"/>
  <c r="AE107" i="7"/>
  <c r="AE124" i="7" s="1"/>
  <c r="AE108" i="7"/>
  <c r="AE125" i="7" s="1"/>
  <c r="O132" i="7"/>
  <c r="O137" i="7" s="1"/>
  <c r="P107" i="7"/>
  <c r="P124" i="7" s="1"/>
  <c r="V136" i="7"/>
  <c r="W136" i="7"/>
  <c r="AI26" i="7" a="1"/>
  <c r="AI26" i="7" s="1"/>
  <c r="X26" i="7" a="1"/>
  <c r="X26" i="7" s="1"/>
  <c r="Y97" i="7" s="1"/>
  <c r="E181" i="6"/>
  <c r="AB26" i="7" a="1"/>
  <c r="AB26" i="7" s="1"/>
  <c r="AC97" i="7" s="1"/>
  <c r="AC107" i="7" s="1"/>
  <c r="AC124" i="7" s="1"/>
  <c r="Q91" i="7"/>
  <c r="AB19" i="7" a="1"/>
  <c r="AB19" i="7" s="1"/>
  <c r="AC91" i="7" s="1"/>
  <c r="AA19" i="7" a="1"/>
  <c r="AA19" i="7" s="1"/>
  <c r="AB91" i="7" s="1"/>
  <c r="W19" i="7" a="1"/>
  <c r="W19" i="7" s="1"/>
  <c r="X91" i="7" s="1"/>
  <c r="AE19" i="7" a="1"/>
  <c r="AE19" i="7" s="1"/>
  <c r="AF91" i="7" s="1"/>
  <c r="Z26" i="7" a="1"/>
  <c r="Z26" i="7" s="1"/>
  <c r="AA97" i="7" s="1"/>
  <c r="AA109" i="7" s="1"/>
  <c r="AA126" i="7" s="1"/>
  <c r="V137" i="7"/>
  <c r="J137" i="7"/>
  <c r="AB108" i="7" l="1"/>
  <c r="AB125" i="7" s="1"/>
  <c r="AE106" i="7"/>
  <c r="AE123" i="7" s="1"/>
  <c r="AE103" i="7"/>
  <c r="AE120" i="7" s="1"/>
  <c r="AE131" i="7" s="1"/>
  <c r="Z107" i="7"/>
  <c r="Z124" i="7" s="1"/>
  <c r="Z132" i="7" s="1"/>
  <c r="AE105" i="7"/>
  <c r="AE122" i="7" s="1"/>
  <c r="AD108" i="7"/>
  <c r="AD125" i="7" s="1"/>
  <c r="Z108" i="7"/>
  <c r="Z125" i="7" s="1"/>
  <c r="AG105" i="7"/>
  <c r="AG122" i="7" s="1"/>
  <c r="AD105" i="7"/>
  <c r="AD122" i="7" s="1"/>
  <c r="AD104" i="7"/>
  <c r="AD121" i="7" s="1"/>
  <c r="AF108" i="7"/>
  <c r="AF125" i="7" s="1"/>
  <c r="AD106" i="7"/>
  <c r="AD123" i="7" s="1"/>
  <c r="AF107" i="7"/>
  <c r="AF124" i="7" s="1"/>
  <c r="Y104" i="7"/>
  <c r="Y121" i="7" s="1"/>
  <c r="Y103" i="7"/>
  <c r="Y120" i="7" s="1"/>
  <c r="AD103" i="7"/>
  <c r="AD120" i="7" s="1"/>
  <c r="AG104" i="7"/>
  <c r="AG121" i="7" s="1"/>
  <c r="X105" i="7"/>
  <c r="X122" i="7" s="1"/>
  <c r="AC130" i="7"/>
  <c r="AA106" i="7"/>
  <c r="AA123" i="7" s="1"/>
  <c r="AA104" i="7"/>
  <c r="AA121" i="7" s="1"/>
  <c r="Y106" i="7"/>
  <c r="Y123" i="7" s="1"/>
  <c r="Y105" i="7"/>
  <c r="Y122" i="7" s="1"/>
  <c r="AA105" i="7"/>
  <c r="AA122" i="7" s="1"/>
  <c r="Q132" i="7"/>
  <c r="AG110" i="7"/>
  <c r="AG127" i="7" s="1"/>
  <c r="P132" i="7"/>
  <c r="P137" i="7" s="1"/>
  <c r="AB103" i="7"/>
  <c r="AB120" i="7" s="1"/>
  <c r="AB106" i="7"/>
  <c r="AB123" i="7" s="1"/>
  <c r="AB104" i="7"/>
  <c r="AB121" i="7" s="1"/>
  <c r="AB105" i="7"/>
  <c r="AB122" i="7" s="1"/>
  <c r="AE101" i="7"/>
  <c r="AE117" i="7" s="1"/>
  <c r="AE102" i="7"/>
  <c r="X130" i="7"/>
  <c r="X135" i="7" s="1"/>
  <c r="P130" i="7"/>
  <c r="P135" i="7" s="1"/>
  <c r="Z103" i="7"/>
  <c r="Z120" i="7" s="1"/>
  <c r="AG103" i="7"/>
  <c r="AG120" i="7" s="1"/>
  <c r="AC103" i="7"/>
  <c r="AC120" i="7" s="1"/>
  <c r="AC106" i="7"/>
  <c r="AC123" i="7" s="1"/>
  <c r="AC104" i="7"/>
  <c r="AC121" i="7" s="1"/>
  <c r="Q103" i="7"/>
  <c r="Q120" i="7" s="1"/>
  <c r="Q104" i="7"/>
  <c r="Q121" i="7" s="1"/>
  <c r="Q106" i="7"/>
  <c r="Q123" i="7" s="1"/>
  <c r="AA108" i="7"/>
  <c r="AA125" i="7" s="1"/>
  <c r="N181" i="6"/>
  <c r="AB101" i="7"/>
  <c r="AB117" i="7" s="1"/>
  <c r="AB102" i="7"/>
  <c r="AF105" i="7"/>
  <c r="AF122" i="7" s="1"/>
  <c r="F182" i="6"/>
  <c r="Z106" i="7"/>
  <c r="Z123" i="7" s="1"/>
  <c r="Y109" i="7"/>
  <c r="Y126" i="7" s="1"/>
  <c r="Y110" i="7"/>
  <c r="Y127" i="7" s="1"/>
  <c r="Y108" i="7"/>
  <c r="Y125" i="7" s="1"/>
  <c r="AC109" i="7"/>
  <c r="AC126" i="7" s="1"/>
  <c r="AC110" i="7"/>
  <c r="AC127" i="7" s="1"/>
  <c r="AC108" i="7"/>
  <c r="AC125" i="7" s="1"/>
  <c r="AF132" i="7"/>
  <c r="AA107" i="7"/>
  <c r="AA124" i="7" s="1"/>
  <c r="Q105" i="7"/>
  <c r="Q122" i="7" s="1"/>
  <c r="Y107" i="7"/>
  <c r="Y124" i="7" s="1"/>
  <c r="F181" i="6"/>
  <c r="Y101" i="7"/>
  <c r="Y117" i="7" s="1"/>
  <c r="Y102" i="7"/>
  <c r="AG101" i="7"/>
  <c r="AG117" i="7" s="1"/>
  <c r="AG102" i="7"/>
  <c r="AE132" i="7"/>
  <c r="AF101" i="7"/>
  <c r="AF117" i="7" s="1"/>
  <c r="AF102" i="7"/>
  <c r="AG109" i="7"/>
  <c r="AG126" i="7" s="1"/>
  <c r="AG108" i="7"/>
  <c r="AG125" i="7" s="1"/>
  <c r="AD110" i="7"/>
  <c r="AD127" i="7" s="1"/>
  <c r="X110" i="7"/>
  <c r="X127" i="7" s="1"/>
  <c r="AA101" i="7"/>
  <c r="AA117" i="7" s="1"/>
  <c r="AA102" i="7"/>
  <c r="AD101" i="7"/>
  <c r="AD117" i="7" s="1"/>
  <c r="AD102" i="7"/>
  <c r="AD131" i="7"/>
  <c r="N182" i="6"/>
  <c r="AD107" i="7"/>
  <c r="AD124" i="7" s="1"/>
  <c r="X108" i="7"/>
  <c r="X125" i="7" s="1"/>
  <c r="AF103" i="7"/>
  <c r="AF120" i="7" s="1"/>
  <c r="AF104" i="7"/>
  <c r="AF121" i="7" s="1"/>
  <c r="AF106" i="7"/>
  <c r="AF123" i="7" s="1"/>
  <c r="AC105" i="7"/>
  <c r="AC122" i="7" s="1"/>
  <c r="X103" i="7"/>
  <c r="X120" i="7" s="1"/>
  <c r="X106" i="7"/>
  <c r="X123" i="7" s="1"/>
  <c r="X104" i="7"/>
  <c r="X121" i="7" s="1"/>
  <c r="AA110" i="7"/>
  <c r="AA127" i="7" s="1"/>
  <c r="Z101" i="7"/>
  <c r="Z117" i="7" s="1"/>
  <c r="Z102" i="7"/>
  <c r="Q101" i="7"/>
  <c r="Q117" i="7" s="1"/>
  <c r="Q102" i="7"/>
  <c r="AB109" i="7"/>
  <c r="AB126" i="7" s="1"/>
  <c r="AB110" i="7"/>
  <c r="AB127" i="7" s="1"/>
  <c r="AB132" i="7" s="1"/>
  <c r="P131" i="7"/>
  <c r="P136" i="7" s="1"/>
  <c r="Z104" i="7"/>
  <c r="Z121" i="7" s="1"/>
  <c r="AG106" i="7"/>
  <c r="AG123" i="7" s="1"/>
  <c r="X107" i="7"/>
  <c r="X124" i="7" s="1"/>
  <c r="AE136" i="7" l="1"/>
  <c r="Y131" i="7"/>
  <c r="AA131" i="7"/>
  <c r="Q137" i="7"/>
  <c r="Z130" i="7"/>
  <c r="AG132" i="7"/>
  <c r="AG137" i="7" s="1"/>
  <c r="AF130" i="7"/>
  <c r="R137" i="7"/>
  <c r="AA130" i="7"/>
  <c r="AA135" i="7" s="1"/>
  <c r="AE130" i="7"/>
  <c r="AB131" i="7"/>
  <c r="AB136" i="7" s="1"/>
  <c r="AB130" i="7"/>
  <c r="AB135" i="7" s="1"/>
  <c r="X132" i="7"/>
  <c r="X137" i="7" s="1"/>
  <c r="AD132" i="7"/>
  <c r="Q131" i="7"/>
  <c r="R136" i="7" s="1"/>
  <c r="AC132" i="7"/>
  <c r="AC137" i="7" s="1"/>
  <c r="AE137" i="7"/>
  <c r="Y132" i="7"/>
  <c r="X131" i="7"/>
  <c r="X136" i="7" s="1"/>
  <c r="O182" i="6"/>
  <c r="AA132" i="7"/>
  <c r="AA137" i="7" s="1"/>
  <c r="G181" i="6"/>
  <c r="AG130" i="7"/>
  <c r="AF137" i="7"/>
  <c r="O181" i="6"/>
  <c r="AC131" i="7"/>
  <c r="G182" i="6"/>
  <c r="AG131" i="7"/>
  <c r="Y130" i="7"/>
  <c r="Y135" i="7" s="1"/>
  <c r="Z131" i="7"/>
  <c r="Z136" i="7" s="1"/>
  <c r="Q130" i="7"/>
  <c r="AF131" i="7"/>
  <c r="AF136" i="7" s="1"/>
  <c r="AD130" i="7"/>
  <c r="AD135" i="7" s="1"/>
  <c r="AC135" i="7"/>
  <c r="AD137" i="7" l="1"/>
  <c r="AG135" i="7"/>
  <c r="Y136" i="7"/>
  <c r="Q136" i="7"/>
  <c r="AG136" i="7"/>
  <c r="Y137" i="7"/>
  <c r="AC136" i="7"/>
  <c r="AF135" i="7"/>
  <c r="Z135" i="7"/>
  <c r="AD136" i="7"/>
  <c r="H181" i="6"/>
  <c r="AE135" i="7"/>
  <c r="Z137" i="7"/>
  <c r="P181" i="6"/>
  <c r="AA136" i="7"/>
  <c r="H182" i="6"/>
  <c r="B182" i="6" a="1"/>
  <c r="B182" i="6" s="1"/>
  <c r="AB137" i="7"/>
  <c r="Q135" i="7"/>
  <c r="R135" i="7"/>
  <c r="P182" i="6"/>
  <c r="B181" i="6" a="1"/>
  <c r="B181" i="6" s="1"/>
  <c r="I181" i="6" l="1"/>
  <c r="C181" i="6" a="1"/>
  <c r="C181" i="6" s="1"/>
  <c r="I182" i="6"/>
  <c r="C182" i="6" a="1"/>
  <c r="C182" i="6" s="1"/>
  <c r="J181" i="6" l="1"/>
  <c r="J182" i="6"/>
  <c r="K182" i="6" l="1"/>
  <c r="K181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<sst xmlns="http://schemas.openxmlformats.org/spreadsheetml/2006/main" count="597" uniqueCount="258">
  <si>
    <t>Sources:</t>
  </si>
  <si>
    <t>2- and 3-wheelers</t>
  </si>
  <si>
    <t>IRENA</t>
  </si>
  <si>
    <t>Page 104</t>
  </si>
  <si>
    <t>http://www.irena.org/publications/2017/Oct/Electricity-storage-and-renewables-costs-and-markets</t>
  </si>
  <si>
    <t>kWh/vehicle</t>
  </si>
  <si>
    <t>MWh/vehicle</t>
  </si>
  <si>
    <t>buses</t>
  </si>
  <si>
    <t>Electricity Storage and Renewables: Costs and Markets to 2030</t>
  </si>
  <si>
    <t>Electric Bus Batteries Could Soon Overtake Consumer Electronic Batteries</t>
  </si>
  <si>
    <t>https://cleantechnica.com/2016/03/12/electric-bus-batteries-could-soon-overtake-consumer-electronic-batteries/</t>
  </si>
  <si>
    <t>Paragraph 2</t>
  </si>
  <si>
    <t>Lindon, Henry (CleanTechnica)</t>
  </si>
  <si>
    <t>kWh/veh (low end of range)</t>
  </si>
  <si>
    <t>kWh/veh (high end of range)</t>
  </si>
  <si>
    <t>kWh/veh (avg)</t>
  </si>
  <si>
    <t>MWh/veh</t>
  </si>
  <si>
    <t>freight trucks</t>
  </si>
  <si>
    <t>motorbikes (2- and 3-wheelers)</t>
  </si>
  <si>
    <t>battery electric passenger LDVs</t>
  </si>
  <si>
    <t>kWh/veh (Tesla Model S, low end)</t>
  </si>
  <si>
    <t>kWh/veh (Tesla Model S, high end)</t>
  </si>
  <si>
    <t>kWh/veh (Chevy Bolt)</t>
  </si>
  <si>
    <t>plug-in hybrid passenger LDVs</t>
  </si>
  <si>
    <t>kWh/veh (Chevy Volt)</t>
  </si>
  <si>
    <t>kWh/veh (Toyota Prius Prime)</t>
  </si>
  <si>
    <t>LDVs</t>
  </si>
  <si>
    <t>HDVs</t>
  </si>
  <si>
    <t>aircraft</t>
  </si>
  <si>
    <t>rail</t>
  </si>
  <si>
    <t>ships</t>
  </si>
  <si>
    <t>motorbikes</t>
  </si>
  <si>
    <t>battery electric vehicle</t>
  </si>
  <si>
    <t>natural gas vehicle</t>
  </si>
  <si>
    <t>gasoline vehicle</t>
  </si>
  <si>
    <t>diesel vehicle</t>
  </si>
  <si>
    <t>plugin hybrid vehicle</t>
  </si>
  <si>
    <t>nonroad vehicle</t>
  </si>
  <si>
    <t>LPG vehicle</t>
  </si>
  <si>
    <t>hydrogen vehicle</t>
  </si>
  <si>
    <t>Battery Capacity (MW*hr/vehicle</t>
  </si>
  <si>
    <t>ICE Sales Shares (from the report above, page 14, paragraph 2)</t>
  </si>
  <si>
    <t>Data here and below from an earlier ICCT 2017 report</t>
  </si>
  <si>
    <t>car</t>
  </si>
  <si>
    <t>Source: Figure 4, Lutsey &amp; Nicholas (2018) "Electric Vehicle Costs and Consumer Benefits in Colorado in the 2020-2030 Time Frame," International Council on Clean Transportation, https://theicct.org/wp-content/uploads/2021/06/ev_Colorado_cost_2020_20190613.pdf</t>
  </si>
  <si>
    <t>crossover</t>
  </si>
  <si>
    <t>SUV</t>
  </si>
  <si>
    <t>pickup</t>
  </si>
  <si>
    <t>Annual US BEV sales by vehicle class and range</t>
  </si>
  <si>
    <t>Vehicle Type</t>
  </si>
  <si>
    <t>Electric car (150 mile)</t>
  </si>
  <si>
    <t>Electric car (200 mile)</t>
  </si>
  <si>
    <t>Electric car (250 mile)</t>
  </si>
  <si>
    <t>Electric car (300 mile)</t>
  </si>
  <si>
    <t>Electric car (350 mile)</t>
  </si>
  <si>
    <t>Electric car (400 mile)</t>
  </si>
  <si>
    <t>Crossover (150 mile)</t>
  </si>
  <si>
    <t>Crossover (200 mile)</t>
  </si>
  <si>
    <t>Crossover (250 mile)</t>
  </si>
  <si>
    <t>Crossover (300 mile)</t>
  </si>
  <si>
    <t>Crossover (350 mile)</t>
  </si>
  <si>
    <t>Crossover (400 mile)</t>
  </si>
  <si>
    <t>Sport utilty vehicle (150 mile)</t>
  </si>
  <si>
    <t>Sport utility vehicle (200 mile)</t>
  </si>
  <si>
    <t>Sport utility vehicle (250 mile)</t>
  </si>
  <si>
    <t>Sport utility vehicle (300 mile)</t>
  </si>
  <si>
    <t>Sport utility vehicle (350 mile)</t>
  </si>
  <si>
    <t>Sport utility vehicle (400 mile)</t>
  </si>
  <si>
    <t>Pickup (150 mile)</t>
  </si>
  <si>
    <t>Pickup (200 mile)</t>
  </si>
  <si>
    <t>Pickup (250 mile)</t>
  </si>
  <si>
    <t>Pickup (300 mile)</t>
  </si>
  <si>
    <t>Pickup (350 mile)</t>
  </si>
  <si>
    <t>Pickup (400 mile)</t>
  </si>
  <si>
    <t>Annual US PHEV sales by vehicle class and range</t>
  </si>
  <si>
    <t>PHEV car (20 mile)</t>
  </si>
  <si>
    <t>PHEV car (30 mile)</t>
  </si>
  <si>
    <t>PHEV car (40 mile)</t>
  </si>
  <si>
    <t>PHEV car (50 mile)</t>
  </si>
  <si>
    <t>PHEV car (60 mile)</t>
  </si>
  <si>
    <t>PHEV car (70 mile)</t>
  </si>
  <si>
    <t>PHEV crossover (20 mile)</t>
  </si>
  <si>
    <t>PHEV crossover (30 mile)</t>
  </si>
  <si>
    <t>PHEV crossover (40 mile)</t>
  </si>
  <si>
    <t>PHEV crossover (50 mile)</t>
  </si>
  <si>
    <t>PHEV crossover (60 mile)</t>
  </si>
  <si>
    <t>PHEV crossover (70 mile)</t>
  </si>
  <si>
    <t>PHEV SUV (20 mile)</t>
  </si>
  <si>
    <t>PHEV SUV (30 mile)</t>
  </si>
  <si>
    <t>PHEV SUV (40 mile)</t>
  </si>
  <si>
    <t>PHEV SUV (50 mile)</t>
  </si>
  <si>
    <t>PHEV SUV (60 mile)</t>
  </si>
  <si>
    <t>PHEV SUV (70 mile)</t>
  </si>
  <si>
    <t>PHEV pickup (20 mile)</t>
  </si>
  <si>
    <t>PHEV pickup (30 mile)</t>
  </si>
  <si>
    <t>PHEV pickup (40 mile)</t>
  </si>
  <si>
    <t>PHEV pickup (50 mile)</t>
  </si>
  <si>
    <t>PHEV pickup (60 mile)</t>
  </si>
  <si>
    <t>PHEV pickup (70 mile)</t>
  </si>
  <si>
    <t>We map onto historical ICE shares and weight within each group by the mileage share. We maintain the ICE mapping but assume a shift to all 300 mile vehicles by 2030.</t>
  </si>
  <si>
    <t>BEV Market Shares</t>
  </si>
  <si>
    <t>We use historical data from 2021 for 2023 and assume that by 2030 100% of PHEVs are 50-mile range matching the historical sales distribution of ICE</t>
  </si>
  <si>
    <t>PHEV Market Shares</t>
  </si>
  <si>
    <t>Had to make some adjustments to this row to make sense</t>
  </si>
  <si>
    <t>ICCT Data on Vehicle Efficiency (MPG of kWh/mile)</t>
  </si>
  <si>
    <t>Engine Type</t>
  </si>
  <si>
    <t>Label fuel economy (mpg)</t>
  </si>
  <si>
    <t>Battery Pack (kWh)</t>
  </si>
  <si>
    <r>
      <t xml:space="preserve">Range </t>
    </r>
    <r>
      <rPr>
        <b/>
        <vertAlign val="superscript"/>
        <sz val="8"/>
        <color rgb="FFFFFFFF"/>
        <rFont val="Arial"/>
        <family val="2"/>
      </rPr>
      <t>a</t>
    </r>
  </si>
  <si>
    <t>Car</t>
  </si>
  <si>
    <t>Crossover</t>
  </si>
  <si>
    <t>Pickup</t>
  </si>
  <si>
    <t>ICE</t>
  </si>
  <si>
    <t>Rated power (kW)</t>
  </si>
  <si>
    <t xml:space="preserve">Fuel economy </t>
  </si>
  <si>
    <t>--</t>
  </si>
  <si>
    <t>(mpg)</t>
  </si>
  <si>
    <t xml:space="preserve">Efficiency </t>
  </si>
  <si>
    <t>BEV-150</t>
  </si>
  <si>
    <r>
      <t xml:space="preserve">(kWh/mile) </t>
    </r>
    <r>
      <rPr>
        <vertAlign val="superscript"/>
        <sz val="8"/>
        <color rgb="FF000000"/>
        <rFont val="Arial"/>
        <family val="2"/>
      </rPr>
      <t>b</t>
    </r>
  </si>
  <si>
    <t>BEV-200</t>
  </si>
  <si>
    <t>BEV-250</t>
  </si>
  <si>
    <t>BEV-300</t>
  </si>
  <si>
    <t>BEV-350</t>
  </si>
  <si>
    <t>BEV-400</t>
  </si>
  <si>
    <r>
      <t xml:space="preserve">Battery pack </t>
    </r>
    <r>
      <rPr>
        <vertAlign val="superscript"/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 xml:space="preserve"> </t>
    </r>
  </si>
  <si>
    <t>(kWh)</t>
  </si>
  <si>
    <r>
      <t xml:space="preserve">Pack cost </t>
    </r>
    <r>
      <rPr>
        <vertAlign val="superscript"/>
        <sz val="8"/>
        <color rgb="FF000000"/>
        <rFont val="Arial"/>
        <family val="2"/>
      </rPr>
      <t>d</t>
    </r>
  </si>
  <si>
    <t>($/kWh)</t>
  </si>
  <si>
    <t>PHEV-20</t>
  </si>
  <si>
    <t>PHEV-30</t>
  </si>
  <si>
    <t>PHEV-40</t>
  </si>
  <si>
    <t>PHEV-50</t>
  </si>
  <si>
    <t>PHEV-60</t>
  </si>
  <si>
    <t>PHEV-70</t>
  </si>
  <si>
    <t>PHEV</t>
  </si>
  <si>
    <t>&lt;MPG for gas consumption</t>
  </si>
  <si>
    <t>Average Battery Pack Size for BEV and PHEV</t>
  </si>
  <si>
    <t>Vehicle</t>
  </si>
  <si>
    <t>BEV</t>
  </si>
  <si>
    <t>Average Battery Pack Size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</si>
  <si>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</si>
  <si>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</si>
  <si>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</si>
  <si>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</si>
  <si>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</si>
  <si>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</si>
  <si>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Small bus, 4-5</t>
  </si>
  <si>
    <t>Transit bus, 6-8</t>
  </si>
  <si>
    <t>School bus, 6-8</t>
  </si>
  <si>
    <t>Other bus, 6-8</t>
  </si>
  <si>
    <t>Total vehicle sales - historical data and projections</t>
  </si>
  <si>
    <t>EPS Category</t>
  </si>
  <si>
    <t>Annual sales</t>
  </si>
  <si>
    <t>Freight LDV</t>
  </si>
  <si>
    <t>Freight HDV</t>
  </si>
  <si>
    <t>Overall HDT</t>
  </si>
  <si>
    <t>Passenger HDV</t>
  </si>
  <si>
    <t>Overall Bus</t>
  </si>
  <si>
    <t>VKT per vehicle</t>
  </si>
  <si>
    <t>Average of VKTpVeh</t>
  </si>
  <si>
    <t>Row Labels</t>
  </si>
  <si>
    <t>(blank)</t>
  </si>
  <si>
    <t>Grand Total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</si>
  <si>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</si>
  <si>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</si>
  <si>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</si>
  <si>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</si>
  <si>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</si>
  <si>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</si>
  <si>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</si>
  <si>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</si>
  <si>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</si>
  <si>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</si>
  <si>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</si>
  <si>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</si>
  <si>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</si>
  <si>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</si>
  <si>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</si>
  <si>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</si>
  <si>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</si>
  <si>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</si>
  <si>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</si>
  <si>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</si>
  <si>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</si>
  <si>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</si>
  <si>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</si>
  <si>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</si>
  <si>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</si>
  <si>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</si>
  <si>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</si>
  <si>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</si>
  <si>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</si>
  <si>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</si>
  <si>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</si>
  <si>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</si>
  <si>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</si>
  <si>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</si>
  <si>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</si>
  <si>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</si>
  <si>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</si>
  <si>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</si>
  <si>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</si>
  <si>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</si>
  <si>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</si>
  <si>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</si>
  <si>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</si>
  <si>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</si>
  <si>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</si>
  <si>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</si>
  <si>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</si>
  <si>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SYBCbVT Start Year Battery Capacity by Vehicle Type</t>
  </si>
  <si>
    <t>All others</t>
  </si>
  <si>
    <t>ICCT</t>
  </si>
  <si>
    <t>(Data on Request)</t>
  </si>
  <si>
    <t>Estimated vehicle costs, battery sizes, and fleet distance traveled</t>
  </si>
  <si>
    <t>Total VMT by Class</t>
  </si>
  <si>
    <t>2b</t>
  </si>
  <si>
    <t>Percentage of class 6/7 VMT from class 6</t>
  </si>
  <si>
    <t>Percentage of AEO HDV from class 7</t>
  </si>
  <si>
    <t>Percentage of AEO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</si>
  <si>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</si>
  <si>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</si>
  <si>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</si>
  <si>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</si>
  <si>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</si>
  <si>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Year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</si>
  <si>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</si>
  <si>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</si>
  <si>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</si>
  <si>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</si>
  <si>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</si>
  <si>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</si>
  <si>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</si>
  <si>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</si>
  <si>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</si>
  <si>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</si>
  <si>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</si>
  <si>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</si>
  <si>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</si>
  <si>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</si>
  <si>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</si>
  <si>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</si>
  <si>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</si>
  <si>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</si>
  <si>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</si>
  <si>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</si>
  <si>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</si>
  <si>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PHEV diesel</t>
  </si>
  <si>
    <t>PHEV gasoline</t>
  </si>
  <si>
    <t>Fuel cell</t>
  </si>
  <si>
    <t>Percentage of Rigid truck, 6-7 in freight LDV</t>
  </si>
  <si>
    <t>Percentage of Rigid truck, 6-7 in freight HDV</t>
  </si>
  <si>
    <t>Weighted Rigid truck, 6</t>
  </si>
  <si>
    <t>Weighted Rigid truck, 7</t>
  </si>
  <si>
    <t>Breakdown by class 6/7</t>
  </si>
  <si>
    <t>Energy Information Administration (Data on Request)</t>
  </si>
  <si>
    <t>Estimated freight vehicle miles traveled by vehicle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</si>
</sst>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164" formatCode="0.0000"/>
    <numFmt numFmtId="165" formatCode="0.0"/>
    <numFmt numFmtId="166" formatCode="0.0%"/>
    <numFmt numFmtId="167" formatCode="0.000"/>
  </numFmts>
  <fonts count="2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000000"/>
      <name val="Calibri"/>
      <family val="2"/>
    </font>
    <font>
      <i/>
      <sz val="11"/>
      <color theme="1"/>
      <name val="Calibri"/>
      <family val="2"/>
      <scheme val="minor"/>
    </font>
    <font>
      <sz val="9"/>
      <color theme="1"/>
      <name val="Helvetica"/>
      <family val="2"/>
    </font>
    <font>
      <sz val="11"/>
      <name val="Arial"/>
      <family val="2"/>
    </font>
    <font>
      <b/>
      <sz val="8"/>
      <color rgb="FFFFFFFF"/>
      <name val="Arial"/>
      <family val="2"/>
    </font>
    <font>
      <b/>
      <vertAlign val="superscript"/>
      <sz val="8"/>
      <color rgb="FFFFFFFF"/>
      <name val="Arial"/>
      <family val="2"/>
    </font>
    <font>
      <sz val="8"/>
      <color rgb="FF000000"/>
      <name val="Arial"/>
      <family val="2"/>
    </font>
    <font>
      <sz val="7.5"/>
      <color theme="1"/>
      <name val="Helvetica"/>
      <family val="2"/>
    </font>
    <font>
      <sz val="7"/>
      <color rgb="FF000000"/>
      <name val="Arial"/>
      <family val="2"/>
    </font>
    <font>
      <vertAlign val="superscript"/>
      <sz val="8"/>
      <color rgb="FF00000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2F2F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A9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6DD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1EEE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 style="medium">
        <color rgb="FFFFFFFF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4" fillId="3" borderId="1" applyNumberFormat="0" applyAlignment="0" applyProtection="0"/>
    <xf numFmtId="0" fontId="3" fillId="0" borderId="0"/>
    <xf numFmtId="9" fontId="3" fillId="0" borderId="0" applyFont="0" applyFill="0" applyBorder="0" applyAlignment="0" applyProtection="0"/>
    <xf numFmtId="0" fontId="21" fillId="0" borderId="0"/>
  </cellStyleXfs>
  <cellXfs count="11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0" fillId="2" borderId="0" xfId="0" applyFill="1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right"/>
    </xf>
    <xf numFmtId="0" fontId="0" fillId="0" borderId="0" xfId="0" applyAlignment="1">
      <alignment horizontal="right" wrapText="1"/>
    </xf>
    <xf numFmtId="0" fontId="1" fillId="4" borderId="0" xfId="4" applyFont="1" applyFill="1"/>
    <xf numFmtId="0" fontId="3" fillId="4" borderId="0" xfId="4" applyFill="1"/>
    <xf numFmtId="0" fontId="3" fillId="0" borderId="0" xfId="4"/>
    <xf numFmtId="9" fontId="3" fillId="0" borderId="0" xfId="4" applyNumberFormat="1"/>
    <xf numFmtId="0" fontId="5" fillId="0" borderId="0" xfId="0" applyFont="1"/>
    <xf numFmtId="0" fontId="3" fillId="2" borderId="0" xfId="4" applyFill="1"/>
    <xf numFmtId="2" fontId="3" fillId="2" borderId="0" xfId="4" applyNumberFormat="1" applyFill="1"/>
    <xf numFmtId="0" fontId="6" fillId="0" borderId="0" xfId="4" applyFont="1"/>
    <xf numFmtId="0" fontId="1" fillId="5" borderId="0" xfId="4" applyFont="1" applyFill="1"/>
    <xf numFmtId="0" fontId="3" fillId="5" borderId="0" xfId="4" applyFill="1"/>
    <xf numFmtId="0" fontId="1" fillId="0" borderId="0" xfId="4" applyFont="1"/>
    <xf numFmtId="0" fontId="7" fillId="6" borderId="2" xfId="0" applyFont="1" applyFill="1" applyBorder="1"/>
    <xf numFmtId="9" fontId="0" fillId="0" borderId="0" xfId="2" applyFont="1"/>
    <xf numFmtId="9" fontId="0" fillId="0" borderId="0" xfId="5" applyFont="1"/>
    <xf numFmtId="9" fontId="3" fillId="0" borderId="0" xfId="2" applyFont="1"/>
    <xf numFmtId="9" fontId="0" fillId="7" borderId="0" xfId="2" applyFont="1" applyFill="1"/>
    <xf numFmtId="9" fontId="0" fillId="7" borderId="0" xfId="0" applyNumberFormat="1" applyFill="1"/>
    <xf numFmtId="0" fontId="8" fillId="0" borderId="0" xfId="0" applyFont="1" applyAlignment="1">
      <alignment vertical="center" wrapText="1"/>
    </xf>
    <xf numFmtId="0" fontId="9" fillId="8" borderId="4" xfId="0" applyFont="1" applyFill="1" applyBorder="1" applyAlignment="1">
      <alignment vertical="center" wrapText="1"/>
    </xf>
    <xf numFmtId="0" fontId="9" fillId="8" borderId="5" xfId="0" applyFont="1" applyFill="1" applyBorder="1" applyAlignment="1">
      <alignment vertical="center" wrapText="1"/>
    </xf>
    <xf numFmtId="0" fontId="9" fillId="8" borderId="10" xfId="0" applyFont="1" applyFill="1" applyBorder="1" applyAlignment="1">
      <alignment vertical="center" wrapText="1"/>
    </xf>
    <xf numFmtId="0" fontId="11" fillId="9" borderId="6" xfId="0" applyFont="1" applyFill="1" applyBorder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0" fontId="11" fillId="10" borderId="12" xfId="0" applyFont="1" applyFill="1" applyBorder="1" applyAlignment="1">
      <alignment horizontal="center" vertical="center" wrapText="1"/>
    </xf>
    <xf numFmtId="0" fontId="12" fillId="11" borderId="12" xfId="0" applyFont="1" applyFill="1" applyBorder="1" applyAlignment="1">
      <alignment vertical="center" wrapText="1"/>
    </xf>
    <xf numFmtId="0" fontId="11" fillId="12" borderId="13" xfId="0" applyFont="1" applyFill="1" applyBorder="1" applyAlignment="1">
      <alignment vertical="center"/>
    </xf>
    <xf numFmtId="0" fontId="13" fillId="13" borderId="12" xfId="0" applyFont="1" applyFill="1" applyBorder="1" applyAlignment="1">
      <alignment vertical="center"/>
    </xf>
    <xf numFmtId="0" fontId="11" fillId="12" borderId="10" xfId="0" applyFont="1" applyFill="1" applyBorder="1" applyAlignment="1">
      <alignment horizontal="center" vertical="center" wrapText="1"/>
    </xf>
    <xf numFmtId="0" fontId="11" fillId="9" borderId="11" xfId="0" applyFont="1" applyFill="1" applyBorder="1" applyAlignment="1">
      <alignment vertical="center" wrapText="1"/>
    </xf>
    <xf numFmtId="0" fontId="11" fillId="13" borderId="12" xfId="0" applyFont="1" applyFill="1" applyBorder="1" applyAlignment="1">
      <alignment horizontal="center" vertical="center"/>
    </xf>
    <xf numFmtId="0" fontId="13" fillId="12" borderId="12" xfId="0" applyFont="1" applyFill="1" applyBorder="1" applyAlignment="1">
      <alignment horizontal="center" vertical="center"/>
    </xf>
    <xf numFmtId="0" fontId="11" fillId="14" borderId="11" xfId="0" applyFont="1" applyFill="1" applyBorder="1" applyAlignment="1">
      <alignment vertical="center"/>
    </xf>
    <xf numFmtId="0" fontId="11" fillId="14" borderId="12" xfId="0" applyFont="1" applyFill="1" applyBorder="1" applyAlignment="1">
      <alignment horizontal="center" vertical="center" wrapText="1"/>
    </xf>
    <xf numFmtId="0" fontId="11" fillId="9" borderId="9" xfId="0" applyFont="1" applyFill="1" applyBorder="1" applyAlignment="1">
      <alignment vertical="center" wrapText="1"/>
    </xf>
    <xf numFmtId="0" fontId="11" fillId="12" borderId="12" xfId="0" applyFont="1" applyFill="1" applyBorder="1" applyAlignment="1">
      <alignment horizontal="center" vertical="center" wrapText="1"/>
    </xf>
    <xf numFmtId="2" fontId="13" fillId="12" borderId="12" xfId="0" applyNumberFormat="1" applyFont="1" applyFill="1" applyBorder="1" applyAlignment="1">
      <alignment horizontal="center" vertical="center"/>
    </xf>
    <xf numFmtId="2" fontId="11" fillId="12" borderId="12" xfId="0" applyNumberFormat="1" applyFont="1" applyFill="1" applyBorder="1" applyAlignment="1">
      <alignment horizontal="center" vertical="center" wrapText="1"/>
    </xf>
    <xf numFmtId="0" fontId="13" fillId="14" borderId="12" xfId="0" applyFont="1" applyFill="1" applyBorder="1" applyAlignment="1">
      <alignment horizontal="center" vertical="center"/>
    </xf>
    <xf numFmtId="2" fontId="13" fillId="14" borderId="12" xfId="0" applyNumberFormat="1" applyFont="1" applyFill="1" applyBorder="1" applyAlignment="1">
      <alignment horizontal="center" vertical="center"/>
    </xf>
    <xf numFmtId="2" fontId="11" fillId="14" borderId="12" xfId="0" applyNumberFormat="1" applyFont="1" applyFill="1" applyBorder="1" applyAlignment="1">
      <alignment horizontal="center" vertical="center" wrapText="1"/>
    </xf>
    <xf numFmtId="0" fontId="0" fillId="9" borderId="9" xfId="0" applyFill="1" applyBorder="1" applyAlignment="1">
      <alignment vertical="center" wrapText="1"/>
    </xf>
    <xf numFmtId="0" fontId="0" fillId="9" borderId="11" xfId="0" applyFill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11" fillId="9" borderId="14" xfId="0" applyFont="1" applyFill="1" applyBorder="1" applyAlignment="1">
      <alignment vertical="center" wrapText="1"/>
    </xf>
    <xf numFmtId="6" fontId="13" fillId="12" borderId="12" xfId="0" applyNumberFormat="1" applyFont="1" applyFill="1" applyBorder="1" applyAlignment="1">
      <alignment horizontal="center" vertical="center"/>
    </xf>
    <xf numFmtId="0" fontId="11" fillId="9" borderId="15" xfId="0" applyFont="1" applyFill="1" applyBorder="1" applyAlignment="1">
      <alignment vertical="center" wrapText="1"/>
    </xf>
    <xf numFmtId="6" fontId="13" fillId="14" borderId="12" xfId="0" applyNumberFormat="1" applyFont="1" applyFill="1" applyBorder="1" applyAlignment="1">
      <alignment horizontal="center" vertical="center"/>
    </xf>
    <xf numFmtId="0" fontId="0" fillId="9" borderId="15" xfId="0" applyFill="1" applyBorder="1" applyAlignment="1">
      <alignment vertical="center" wrapText="1"/>
    </xf>
    <xf numFmtId="0" fontId="0" fillId="9" borderId="7" xfId="0" applyFill="1" applyBorder="1" applyAlignment="1">
      <alignment vertical="center" wrapText="1"/>
    </xf>
    <xf numFmtId="0" fontId="13" fillId="13" borderId="12" xfId="0" applyFont="1" applyFill="1" applyBorder="1" applyAlignment="1">
      <alignment horizontal="center" vertical="center" wrapText="1"/>
    </xf>
    <xf numFmtId="0" fontId="13" fillId="12" borderId="12" xfId="0" applyFont="1" applyFill="1" applyBorder="1" applyAlignment="1">
      <alignment horizontal="center" vertical="center" wrapText="1"/>
    </xf>
    <xf numFmtId="2" fontId="13" fillId="12" borderId="12" xfId="0" applyNumberFormat="1" applyFont="1" applyFill="1" applyBorder="1" applyAlignment="1">
      <alignment horizontal="center" vertical="center" wrapText="1"/>
    </xf>
    <xf numFmtId="0" fontId="13" fillId="14" borderId="12" xfId="0" applyFont="1" applyFill="1" applyBorder="1" applyAlignment="1">
      <alignment horizontal="center" vertical="center" wrapText="1"/>
    </xf>
    <xf numFmtId="2" fontId="13" fillId="14" borderId="12" xfId="0" applyNumberFormat="1" applyFont="1" applyFill="1" applyBorder="1" applyAlignment="1">
      <alignment horizontal="center" vertical="center" wrapText="1"/>
    </xf>
    <xf numFmtId="6" fontId="13" fillId="12" borderId="12" xfId="0" applyNumberFormat="1" applyFont="1" applyFill="1" applyBorder="1" applyAlignment="1">
      <alignment horizontal="center" vertical="center" wrapText="1"/>
    </xf>
    <xf numFmtId="6" fontId="13" fillId="12" borderId="4" xfId="0" applyNumberFormat="1" applyFont="1" applyFill="1" applyBorder="1" applyAlignment="1">
      <alignment vertical="center" wrapText="1"/>
    </xf>
    <xf numFmtId="6" fontId="13" fillId="14" borderId="12" xfId="0" applyNumberFormat="1" applyFont="1" applyFill="1" applyBorder="1" applyAlignment="1">
      <alignment horizontal="center" vertical="center" wrapText="1"/>
    </xf>
    <xf numFmtId="6" fontId="13" fillId="14" borderId="4" xfId="0" applyNumberFormat="1" applyFont="1" applyFill="1" applyBorder="1" applyAlignment="1">
      <alignment vertical="center" wrapText="1"/>
    </xf>
    <xf numFmtId="0" fontId="11" fillId="14" borderId="0" xfId="0" applyFont="1" applyFill="1" applyAlignment="1">
      <alignment vertical="center"/>
    </xf>
    <xf numFmtId="0" fontId="13" fillId="13" borderId="0" xfId="0" applyFont="1" applyFill="1" applyAlignment="1">
      <alignment vertical="center"/>
    </xf>
    <xf numFmtId="0" fontId="11" fillId="14" borderId="0" xfId="0" applyFont="1" applyFill="1" applyAlignment="1">
      <alignment horizontal="center" vertical="center" wrapText="1"/>
    </xf>
    <xf numFmtId="0" fontId="6" fillId="0" borderId="0" xfId="0" applyFont="1"/>
    <xf numFmtId="0" fontId="1" fillId="0" borderId="0" xfId="4" applyFont="1" applyAlignment="1">
      <alignment horizontal="center"/>
    </xf>
    <xf numFmtId="0" fontId="15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16" fillId="0" borderId="0" xfId="0" applyFont="1"/>
    <xf numFmtId="0" fontId="15" fillId="0" borderId="0" xfId="0" applyFont="1"/>
    <xf numFmtId="0" fontId="17" fillId="0" borderId="0" xfId="0" applyFont="1"/>
    <xf numFmtId="0" fontId="17" fillId="0" borderId="16" xfId="0" applyFont="1" applyBorder="1"/>
    <xf numFmtId="0" fontId="16" fillId="0" borderId="16" xfId="0" applyFont="1" applyBorder="1"/>
    <xf numFmtId="3" fontId="15" fillId="0" borderId="0" xfId="0" applyNumberFormat="1" applyFont="1"/>
    <xf numFmtId="3" fontId="18" fillId="0" borderId="0" xfId="0" applyNumberFormat="1" applyFont="1"/>
    <xf numFmtId="0" fontId="19" fillId="15" borderId="1" xfId="3" applyFont="1" applyFill="1"/>
    <xf numFmtId="3" fontId="20" fillId="15" borderId="1" xfId="3" applyNumberFormat="1" applyFont="1" applyFill="1"/>
    <xf numFmtId="0" fontId="15" fillId="15" borderId="0" xfId="0" applyFont="1" applyFill="1"/>
    <xf numFmtId="0" fontId="21" fillId="0" borderId="0" xfId="6"/>
    <xf numFmtId="0" fontId="22" fillId="0" borderId="0" xfId="6" applyFont="1" applyAlignment="1">
      <alignment horizontal="left"/>
    </xf>
    <xf numFmtId="0" fontId="23" fillId="0" borderId="0" xfId="6" applyFont="1"/>
    <xf numFmtId="1" fontId="21" fillId="0" borderId="0" xfId="6" applyNumberFormat="1"/>
    <xf numFmtId="11" fontId="21" fillId="0" borderId="0" xfId="6" applyNumberFormat="1"/>
    <xf numFmtId="166" fontId="21" fillId="0" borderId="0" xfId="2" applyNumberFormat="1" applyFont="1"/>
    <xf numFmtId="1" fontId="0" fillId="0" borderId="0" xfId="0" applyNumberFormat="1"/>
    <xf numFmtId="167" fontId="0" fillId="0" borderId="0" xfId="0" applyNumberFormat="1"/>
    <xf numFmtId="0" fontId="0" fillId="7" borderId="0" xfId="0" applyFill="1"/>
    <xf numFmtId="0" fontId="23" fillId="0" borderId="16" xfId="0" applyFont="1" applyBorder="1"/>
    <xf numFmtId="0" fontId="21" fillId="0" borderId="16" xfId="0" applyFont="1" applyBorder="1"/>
    <xf numFmtId="0" fontId="0" fillId="0" borderId="17" xfId="0" applyBorder="1"/>
    <xf numFmtId="0" fontId="0" fillId="0" borderId="17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8" xfId="0" applyBorder="1" applyAlignment="1">
      <alignment horizontal="centerContinuous"/>
    </xf>
    <xf numFmtId="0" fontId="0" fillId="0" borderId="18" xfId="0" applyBorder="1"/>
    <xf numFmtId="0" fontId="3" fillId="16" borderId="0" xfId="4" applyFill="1"/>
    <xf numFmtId="0" fontId="21" fillId="16" borderId="0" xfId="6" applyFill="1"/>
    <xf numFmtId="0" fontId="0" fillId="16" borderId="0" xfId="0" applyFill="1"/>
    <xf numFmtId="0" fontId="13" fillId="14" borderId="3" xfId="0" applyFont="1" applyFill="1" applyBorder="1" applyAlignment="1">
      <alignment horizontal="center" vertical="center"/>
    </xf>
    <xf numFmtId="0" fontId="13" fillId="14" borderId="11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11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9" fillId="8" borderId="11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11" xfId="0" applyFont="1" applyFill="1" applyBorder="1" applyAlignment="1">
      <alignment horizontal="center" vertical="center"/>
    </xf>
  </cellXfs>
  <cellStyles count="7">
    <cellStyle name="Hyperlink" xfId="1" builtinId="8"/>
    <cellStyle name="Normal" xfId="0" builtinId="0"/>
    <cellStyle name="Normal 6" xfId="4" xr:uid="{43E560A7-198A-4070-A2DF-72ACBACC5FD0}"/>
    <cellStyle name="Normal 7" xfId="6" xr:uid="{94817AC6-7EAC-46B4-A178-0B02A3D9EF7D}"/>
    <cellStyle name="Output" xfId="3" builtinId="21"/>
    <cellStyle name="Percent" xfId="2" builtinId="5"/>
    <cellStyle name="Percent 3" xfId="5" xr:uid="{E7E0C471-096A-4080-A0E2-A9DABED9B1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deng/Dropbox%20(Energy%20Innovation)/Documents/Energy%20Policy%20Simulator/California/3.0%20Update/Data%20Sources/trans/BNVP/BAU%20New%20Vehicle%20Price_US%20for%20referenc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eganMahajan\Documents\eps-us\InputData\trans\NBPoNVP\Non-Battery%20Portion%20of%20New%20Vehicle%20Price.xlsx" TargetMode="External"/><Relationship Id="rId1" Type="http://schemas.openxmlformats.org/officeDocument/2006/relationships/externalLinkPath" Target="/Users/MeganMahajan/Documents/eps-us/InputData/trans/NBPoNVP/Non-Battery%20Portion%20of%20New%20Vehicle%20Pric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deng/Dropbox%20(Energy%20Innovation)/Documents/Energy%20Policy%20Simulator/California/3.0%20Update/Data%20Sources/trans/BNVP/e3_cn_final_cost_data_supplement_oct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39"/>
      <sheetName val="AEO 42"/>
      <sheetName val="AEO 53"/>
      <sheetName val="BEV and PHEV Price Calcs"/>
      <sheetName val="LDV Shares"/>
      <sheetName val="Hydrogen Vehicle Calcs"/>
      <sheetName val="Conventional Daycab Trucks"/>
      <sheetName val="Conventional Sleeper Trucks"/>
      <sheetName val="Passenger Aircraft"/>
      <sheetName val="Ships"/>
      <sheetName val="Motorbikes"/>
      <sheetName val="BNVP-LDVs-psgr"/>
      <sheetName val="BNVP-LDVs-frgt"/>
      <sheetName val="BNVP-HDVs-psgr"/>
      <sheetName val="BNVP-HDVs-frgt"/>
      <sheetName val="BNVP-aircraft-psgr"/>
      <sheetName val="BNVP-aircraft-frgt"/>
      <sheetName val="BNVP-rail-psgr"/>
      <sheetName val="BNVP-rail-frgt"/>
      <sheetName val="BNVP-ships-psgr"/>
      <sheetName val="BNVP-ships-frgt"/>
      <sheetName val="BNVP-motorbikes-psgr"/>
      <sheetName val="BNVP-motorbikes-frgt"/>
    </sheetNames>
    <sheetDataSet>
      <sheetData sheetId="0">
        <row r="113">
          <cell r="A113">
            <v>0.91400000000000003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AEO 2023 Table 38 Raw"/>
      <sheetName val="AEO 2023 Table 38"/>
      <sheetName val="AEO 2022 Table 38"/>
      <sheetName val="AEO 2023 Table 39 Raw"/>
      <sheetName val="AEO 2023 Table 39"/>
      <sheetName val="AEO 2022 Table 39"/>
      <sheetName val="AEO 2023 Table 42 Raw"/>
      <sheetName val="AEO 2023 Table 42"/>
      <sheetName val="AEO 2022 Table 42"/>
      <sheetName val="AEO 2023 Table 44 Raw"/>
      <sheetName val="AEO 2023 Table 44"/>
      <sheetName val="AEO 2022 Table 44"/>
      <sheetName val="AEO 2023 Table 49 Raw"/>
      <sheetName val="AEO 2023 Table 49"/>
      <sheetName val="AEO 2022 Table 49"/>
      <sheetName val="AEO 2023 Table 52 Raw"/>
      <sheetName val="AEO 2023 Table 52"/>
      <sheetName val="AEO 2022 Table 52"/>
      <sheetName val="AEO 2021 Table 52"/>
      <sheetName val="AEO by Class"/>
      <sheetName val="ICE Freight HDVs"/>
      <sheetName val="ICCT LDV Data"/>
      <sheetName val="ICCT MDV HDV Data"/>
      <sheetName val="ICCT LDV Calculations"/>
      <sheetName val="ICCT MDV HDV Calcs"/>
      <sheetName val="ICCT Diesel and FCV Prices"/>
      <sheetName val="NREL_ATB_2020"/>
      <sheetName val="NREL Calcs"/>
      <sheetName val="LDV Cost Calcs"/>
      <sheetName val="CARB ACT ISOR"/>
      <sheetName val="LDV Shares"/>
      <sheetName val="Hydrogen Vehicle Calcs"/>
      <sheetName val="Passenger Aircraft"/>
      <sheetName val="Ships"/>
      <sheetName val="Motorbikes"/>
      <sheetName val="NBPoNVP-LDVs-psgr"/>
      <sheetName val="NBPoNVP-LDVs-frgt"/>
      <sheetName val="NBPoNVP-HDVs-psgr"/>
      <sheetName val="NBPoNVP-HDVs-frgt"/>
      <sheetName val="NBPoNVP-aircraft-psgr"/>
      <sheetName val="NBPoNVP-aircraft-frgt"/>
      <sheetName val="NBPoNVP-rail-psgr"/>
      <sheetName val="NBPoNVP-rail-frgt"/>
      <sheetName val="NBPoNVP-ships-psgr"/>
      <sheetName val="NBPoNVP-ships-frgt"/>
      <sheetName val="NBPoNVP-motorbikes-psgr"/>
      <sheetName val="NBPoNVP-motorbikes-frgt"/>
    </sheetNames>
    <sheetDataSet>
      <sheetData sheetId="0">
        <row r="120">
          <cell r="A120">
            <v>0.93665959530026111</v>
          </cell>
        </row>
        <row r="121">
          <cell r="A121">
            <v>0.91400000000000003</v>
          </cell>
        </row>
        <row r="122">
          <cell r="A122">
            <v>0.89805481563188172</v>
          </cell>
        </row>
        <row r="123">
          <cell r="A123">
            <v>0.88711067149387013</v>
          </cell>
        </row>
        <row r="124">
          <cell r="A124">
            <v>0.84730412960844359</v>
          </cell>
        </row>
        <row r="125">
          <cell r="A125">
            <v>0.78500000000000003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mary"/>
      <sheetName val="Electricity Decarbonization"/>
      <sheetName val="Industry Elec. - Boilers"/>
      <sheetName val="Industry Elec. - Process Heat"/>
      <sheetName val="Industry CCS - Process Heat"/>
      <sheetName val="Industry Hydrogen &amp; SNG"/>
      <sheetName val="MDV &amp; HDV Decarbonization"/>
      <sheetName val="DAC &amp; BECCS"/>
      <sheetName val="Fuel Costs - PATHWAYS"/>
      <sheetName val="Emission Factors - PATHWAYS"/>
      <sheetName val="Constants"/>
    </sheetNames>
    <sheetDataSet>
      <sheetData sheetId="0"/>
      <sheetData sheetId="1"/>
      <sheetData sheetId="2"/>
      <sheetData sheetId="3"/>
      <sheetData sheetId="4"/>
      <sheetData sheetId="5"/>
      <sheetData sheetId="6">
        <row r="13">
          <cell r="D13">
            <v>10.5</v>
          </cell>
        </row>
      </sheetData>
      <sheetData sheetId="7"/>
      <sheetData sheetId="8"/>
      <sheetData sheetId="9">
        <row r="7">
          <cell r="D7">
            <v>42.766231219576298</v>
          </cell>
        </row>
      </sheetData>
      <sheetData sheetId="10">
        <row r="7">
          <cell r="D7">
            <v>1.7765038912431299</v>
          </cell>
        </row>
      </sheetData>
      <sheetData sheetId="11">
        <row r="4">
          <cell r="D4">
            <v>3412.14</v>
          </cell>
        </row>
        <row r="7">
          <cell r="D7">
            <v>0.13450999999999999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leantechnica.com/2016/03/12/electric-bus-batteries-could-soon-overtake-consumer-electronic-batteries/" TargetMode="External"/><Relationship Id="rId1" Type="http://schemas.openxmlformats.org/officeDocument/2006/relationships/hyperlink" Target="http://www.irena.org/publications/2017/Oct/Electricity-storage-and-renewables-costs-and-marke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B22" sqref="B22:B25"/>
    </sheetView>
  </sheetViews>
  <sheetFormatPr defaultRowHeight="15"/>
  <cols>
    <col min="1" max="1" width="11" customWidth="1"/>
    <col min="2" max="2" width="104.42578125" customWidth="1"/>
  </cols>
  <sheetData>
    <row r="1" spans="1:2">
      <c r="A1" s="1" t="s">
        <v>211</v>
      </c>
    </row>
    <row r="3" spans="1:2">
      <c r="A3" s="1" t="s">
        <v>0</v>
      </c>
      <c r="B3" s="2" t="s">
        <v>18</v>
      </c>
    </row>
    <row r="4" spans="1:2">
      <c r="B4" t="s">
        <v>2</v>
      </c>
    </row>
    <row r="5" spans="1:2">
      <c r="B5" s="3">
        <v>2017</v>
      </c>
    </row>
    <row r="6" spans="1:2">
      <c r="B6" t="s">
        <v>8</v>
      </c>
    </row>
    <row r="7" spans="1:2">
      <c r="B7" s="4" t="s">
        <v>4</v>
      </c>
    </row>
    <row r="8" spans="1:2">
      <c r="B8" t="s">
        <v>3</v>
      </c>
    </row>
    <row r="10" spans="1:2">
      <c r="B10" s="2" t="s">
        <v>212</v>
      </c>
    </row>
    <row r="11" spans="1:2">
      <c r="B11" t="s">
        <v>12</v>
      </c>
    </row>
    <row r="12" spans="1:2">
      <c r="B12" s="3">
        <v>2016</v>
      </c>
    </row>
    <row r="13" spans="1:2">
      <c r="B13" t="s">
        <v>9</v>
      </c>
    </row>
    <row r="14" spans="1:2">
      <c r="B14" s="4" t="s">
        <v>10</v>
      </c>
    </row>
    <row r="15" spans="1:2">
      <c r="B15" t="s">
        <v>11</v>
      </c>
    </row>
    <row r="17" spans="2:2">
      <c r="B17" s="2" t="s">
        <v>213</v>
      </c>
    </row>
    <row r="18" spans="2:2">
      <c r="B18" t="s">
        <v>214</v>
      </c>
    </row>
    <row r="19" spans="2:2">
      <c r="B19" s="3">
        <v>2022</v>
      </c>
    </row>
    <row r="20" spans="2:2">
      <c r="B20" t="s">
        <v>215</v>
      </c>
    </row>
    <row r="22" spans="2:2">
      <c r="B22" s="2" t="s">
        <v>255</v>
      </c>
    </row>
    <row r="23" spans="2:2">
      <c r="B23" t="s">
        <v>256</v>
      </c>
    </row>
    <row r="24" spans="2:2">
      <c r="B24" s="3">
        <v>2024</v>
      </c>
    </row>
    <row r="25" spans="2:2">
      <c r="B25" t="s">
        <v>257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>
      <selection activeCell="C34" sqref="C34"/>
    </sheetView>
  </sheetViews>
  <sheetFormatPr defaultRowHeight="15"/>
  <cols>
    <col min="1" max="1" width="11.5703125" customWidth="1"/>
    <col min="2" max="2" width="28.28515625" customWidth="1"/>
  </cols>
  <sheetData>
    <row r="1" spans="1:2">
      <c r="A1" s="2" t="s">
        <v>1</v>
      </c>
      <c r="B1" s="5"/>
    </row>
    <row r="2" spans="1:2">
      <c r="A2">
        <v>0.7</v>
      </c>
      <c r="B2" t="s">
        <v>5</v>
      </c>
    </row>
    <row r="3" spans="1:2">
      <c r="A3">
        <f>A2/10^3</f>
        <v>6.9999999999999999E-4</v>
      </c>
      <c r="B3" t="s">
        <v>6</v>
      </c>
    </row>
    <row r="5" spans="1:2">
      <c r="A5" s="2" t="s">
        <v>7</v>
      </c>
      <c r="B5" s="5"/>
    </row>
    <row r="6" spans="1:2">
      <c r="A6">
        <v>75</v>
      </c>
      <c r="B6" t="s">
        <v>13</v>
      </c>
    </row>
    <row r="7" spans="1:2">
      <c r="A7">
        <v>300</v>
      </c>
      <c r="B7" t="s">
        <v>14</v>
      </c>
    </row>
    <row r="8" spans="1:2">
      <c r="A8">
        <f>AVERAGE(A6:A7)</f>
        <v>187.5</v>
      </c>
      <c r="B8" t="s">
        <v>15</v>
      </c>
    </row>
    <row r="9" spans="1:2">
      <c r="A9">
        <f>A8/10^3</f>
        <v>0.1875</v>
      </c>
      <c r="B9" t="s">
        <v>16</v>
      </c>
    </row>
    <row r="11" spans="1:2">
      <c r="A11" s="2" t="s">
        <v>17</v>
      </c>
      <c r="B11" s="5"/>
    </row>
    <row r="12" spans="1:2">
      <c r="A12">
        <v>212</v>
      </c>
      <c r="B12" t="s">
        <v>5</v>
      </c>
    </row>
    <row r="13" spans="1:2">
      <c r="A13">
        <f>A12/10^3</f>
        <v>0.21199999999999999</v>
      </c>
      <c r="B13" t="s">
        <v>6</v>
      </c>
    </row>
    <row r="15" spans="1:2">
      <c r="A15" s="2" t="s">
        <v>19</v>
      </c>
      <c r="B15" s="5"/>
    </row>
    <row r="16" spans="1:2">
      <c r="A16">
        <v>70</v>
      </c>
      <c r="B16" t="s">
        <v>20</v>
      </c>
    </row>
    <row r="17" spans="1:2">
      <c r="A17">
        <v>90</v>
      </c>
      <c r="B17" t="s">
        <v>21</v>
      </c>
    </row>
    <row r="18" spans="1:2">
      <c r="A18">
        <v>60</v>
      </c>
      <c r="B18" t="s">
        <v>22</v>
      </c>
    </row>
    <row r="19" spans="1:2">
      <c r="A19" s="7">
        <f>AVERAGE(A16:A18)</f>
        <v>73.333333333333329</v>
      </c>
      <c r="B19" t="s">
        <v>15</v>
      </c>
    </row>
    <row r="20" spans="1:2">
      <c r="A20" s="6">
        <f>A19/10^3</f>
        <v>7.3333333333333334E-2</v>
      </c>
      <c r="B20" t="s">
        <v>6</v>
      </c>
    </row>
    <row r="22" spans="1:2">
      <c r="A22" s="2" t="s">
        <v>23</v>
      </c>
      <c r="B22" s="5"/>
    </row>
    <row r="23" spans="1:2">
      <c r="A23">
        <v>18.399999999999999</v>
      </c>
      <c r="B23" t="s">
        <v>24</v>
      </c>
    </row>
    <row r="24" spans="1:2">
      <c r="A24">
        <v>8.8000000000000007</v>
      </c>
      <c r="B24" t="s">
        <v>25</v>
      </c>
    </row>
    <row r="25" spans="1:2">
      <c r="A25">
        <f>AVERAGE(A23:A24)</f>
        <v>13.6</v>
      </c>
      <c r="B25" t="s">
        <v>15</v>
      </c>
    </row>
    <row r="26" spans="1:2">
      <c r="A26">
        <f>A25/10^3</f>
        <v>1.3599999999999999E-2</v>
      </c>
      <c r="B26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B0092-744A-46A2-B730-2E30FDBD917B}">
  <dimension ref="A1:AG183"/>
  <sheetViews>
    <sheetView topLeftCell="A155" workbookViewId="0">
      <selection activeCell="J189" sqref="J189"/>
    </sheetView>
  </sheetViews>
  <sheetFormatPr defaultRowHeight="15"/>
  <sheetData>
    <row r="1" spans="1:33">
      <c r="A1" s="10" t="s">
        <v>41</v>
      </c>
      <c r="B1" s="11"/>
      <c r="C1" s="12"/>
      <c r="D1" s="12" t="s">
        <v>42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 spans="1:33">
      <c r="A2" s="12" t="s">
        <v>43</v>
      </c>
      <c r="B2" s="13">
        <v>0.26967960760811566</v>
      </c>
      <c r="C2" s="12"/>
      <c r="D2" t="s">
        <v>44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spans="1:33">
      <c r="A3" s="12" t="s">
        <v>45</v>
      </c>
      <c r="B3" s="13">
        <v>0.35313092081261371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 spans="1:33">
      <c r="A4" s="12" t="s">
        <v>46</v>
      </c>
      <c r="B4" s="13">
        <v>0.23075099694560849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3">
      <c r="A5" s="12" t="s">
        <v>47</v>
      </c>
      <c r="B5" s="13">
        <v>0.14643847463366214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6" spans="1:33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</row>
    <row r="7" spans="1:33">
      <c r="A7" s="14" t="s">
        <v>48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 spans="1:33">
      <c r="A8" s="12" t="s">
        <v>49</v>
      </c>
      <c r="B8" s="12">
        <v>2018</v>
      </c>
      <c r="C8" s="12">
        <v>2019</v>
      </c>
      <c r="D8" s="12">
        <v>2020</v>
      </c>
      <c r="E8" s="12">
        <v>2021</v>
      </c>
      <c r="F8" s="12">
        <v>2030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 spans="1:33">
      <c r="A9" s="12" t="s">
        <v>50</v>
      </c>
      <c r="B9" s="12">
        <v>14775</v>
      </c>
      <c r="C9" s="12">
        <v>12365</v>
      </c>
      <c r="D9" s="12">
        <v>9564</v>
      </c>
      <c r="E9" s="12">
        <v>14239</v>
      </c>
      <c r="F9" s="15">
        <v>0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X9" s="12"/>
      <c r="Y9" s="12"/>
      <c r="Z9" s="12"/>
      <c r="AA9" s="12"/>
      <c r="AB9" s="12"/>
      <c r="AC9" s="12"/>
      <c r="AD9" s="12"/>
      <c r="AE9" s="12"/>
      <c r="AF9" s="12"/>
      <c r="AG9" s="12"/>
    </row>
    <row r="10" spans="1:33">
      <c r="A10" s="12" t="s">
        <v>51</v>
      </c>
      <c r="B10" s="12">
        <v>18019</v>
      </c>
      <c r="C10" s="12">
        <v>16550</v>
      </c>
      <c r="D10" s="12">
        <v>25173</v>
      </c>
      <c r="E10" s="12">
        <v>37438</v>
      </c>
      <c r="F10" s="15">
        <v>0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 spans="1:33">
      <c r="A11" s="12" t="s">
        <v>52</v>
      </c>
      <c r="B11" s="12">
        <v>0</v>
      </c>
      <c r="C11" s="12">
        <v>0</v>
      </c>
      <c r="D11" s="12">
        <v>3</v>
      </c>
      <c r="E11" s="12">
        <v>27140</v>
      </c>
      <c r="F11" s="15">
        <v>0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 spans="1:33">
      <c r="A12" s="12" t="s">
        <v>53</v>
      </c>
      <c r="B12" s="12">
        <v>164220</v>
      </c>
      <c r="C12" s="12">
        <v>158253</v>
      </c>
      <c r="D12" s="12">
        <v>109589</v>
      </c>
      <c r="E12" s="12">
        <v>164966</v>
      </c>
      <c r="F12" s="15">
        <f>B2*100</f>
        <v>26.967960760811565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 spans="1:33">
      <c r="A13" s="12" t="s">
        <v>54</v>
      </c>
      <c r="B13" s="12">
        <v>0</v>
      </c>
      <c r="C13" s="12">
        <v>0</v>
      </c>
      <c r="D13" s="12">
        <v>0</v>
      </c>
      <c r="E13" s="12">
        <v>0</v>
      </c>
      <c r="F13" s="15">
        <v>0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</row>
    <row r="14" spans="1:33">
      <c r="A14" s="12" t="s">
        <v>55</v>
      </c>
      <c r="B14" s="12">
        <v>0</v>
      </c>
      <c r="C14" s="12">
        <v>0</v>
      </c>
      <c r="D14" s="12">
        <v>0</v>
      </c>
      <c r="E14" s="12">
        <v>125</v>
      </c>
      <c r="F14" s="15">
        <v>0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</row>
    <row r="15" spans="1:33">
      <c r="A15" s="12" t="s">
        <v>56</v>
      </c>
      <c r="B15" s="12">
        <v>0</v>
      </c>
      <c r="C15" s="12">
        <v>2508</v>
      </c>
      <c r="D15" s="12">
        <v>2848</v>
      </c>
      <c r="E15" s="12">
        <v>8717</v>
      </c>
      <c r="F15" s="15">
        <v>0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</row>
    <row r="16" spans="1:33">
      <c r="A16" s="12" t="s">
        <v>57</v>
      </c>
      <c r="B16" s="12">
        <v>0</v>
      </c>
      <c r="C16" s="12">
        <v>3603</v>
      </c>
      <c r="D16" s="12">
        <v>3116</v>
      </c>
      <c r="E16" s="12">
        <v>15328</v>
      </c>
      <c r="F16" s="15">
        <v>0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</row>
    <row r="17" spans="1:33">
      <c r="A17" s="12" t="s">
        <v>58</v>
      </c>
      <c r="B17" s="12">
        <v>0</v>
      </c>
      <c r="C17" s="12">
        <v>0</v>
      </c>
      <c r="D17" s="12">
        <v>75400</v>
      </c>
      <c r="E17" s="12">
        <v>188400</v>
      </c>
      <c r="F17" s="15">
        <v>0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</row>
    <row r="18" spans="1:33">
      <c r="A18" s="12" t="s">
        <v>59</v>
      </c>
      <c r="B18" s="12">
        <v>0</v>
      </c>
      <c r="C18" s="12">
        <v>0</v>
      </c>
      <c r="D18" s="12">
        <v>0</v>
      </c>
      <c r="E18" s="12">
        <v>0</v>
      </c>
      <c r="F18" s="15">
        <f>B3*100</f>
        <v>35.313092081261374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 spans="1:33">
      <c r="A19" s="12" t="s">
        <v>60</v>
      </c>
      <c r="B19" s="12">
        <v>0</v>
      </c>
      <c r="C19" s="12">
        <v>0</v>
      </c>
      <c r="D19" s="12">
        <v>0</v>
      </c>
      <c r="E19" s="12">
        <v>0</v>
      </c>
      <c r="F19" s="15">
        <v>0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</row>
    <row r="20" spans="1:33">
      <c r="A20" s="12" t="s">
        <v>61</v>
      </c>
      <c r="B20" s="12">
        <v>0</v>
      </c>
      <c r="C20" s="12">
        <v>0</v>
      </c>
      <c r="D20" s="12">
        <v>0</v>
      </c>
      <c r="E20" s="12">
        <v>0</v>
      </c>
      <c r="F20" s="15">
        <v>0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 spans="1:33">
      <c r="A21" s="12" t="s">
        <v>62</v>
      </c>
      <c r="B21" s="12">
        <v>0</v>
      </c>
      <c r="C21" s="12">
        <v>0</v>
      </c>
      <c r="D21" s="12">
        <v>0</v>
      </c>
      <c r="E21" s="12">
        <v>0</v>
      </c>
      <c r="F21" s="15">
        <v>0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 spans="1:33">
      <c r="A22" s="12" t="s">
        <v>63</v>
      </c>
      <c r="B22" s="12">
        <v>393</v>
      </c>
      <c r="C22" s="12">
        <v>7966</v>
      </c>
      <c r="D22" s="12">
        <v>8860</v>
      </c>
      <c r="E22" s="12">
        <v>27388</v>
      </c>
      <c r="F22" s="15">
        <v>0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</row>
    <row r="23" spans="1:33">
      <c r="A23" s="12" t="s">
        <v>64</v>
      </c>
      <c r="B23" s="12">
        <v>0</v>
      </c>
      <c r="C23" s="12">
        <v>0</v>
      </c>
      <c r="D23" s="12">
        <v>0</v>
      </c>
      <c r="E23" s="12">
        <v>0</v>
      </c>
      <c r="F23" s="15">
        <v>0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 spans="1:33">
      <c r="A24" s="12" t="s">
        <v>65</v>
      </c>
      <c r="B24" s="12">
        <v>24650</v>
      </c>
      <c r="C24" s="12">
        <v>18442</v>
      </c>
      <c r="D24" s="12">
        <v>16650</v>
      </c>
      <c r="E24" s="12">
        <v>1015</v>
      </c>
      <c r="F24" s="15">
        <f>B4*100</f>
        <v>23.075099694560848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</row>
    <row r="25" spans="1:33">
      <c r="A25" s="12" t="s">
        <v>66</v>
      </c>
      <c r="B25" s="12">
        <v>0</v>
      </c>
      <c r="C25" s="12">
        <v>0</v>
      </c>
      <c r="D25" s="12">
        <v>0</v>
      </c>
      <c r="E25" s="12">
        <v>0</v>
      </c>
      <c r="F25" s="15">
        <v>0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</row>
    <row r="26" spans="1:33">
      <c r="A26" s="12" t="s">
        <v>67</v>
      </c>
      <c r="B26" s="12">
        <v>0</v>
      </c>
      <c r="C26" s="12">
        <v>0</v>
      </c>
      <c r="D26" s="12">
        <v>0</v>
      </c>
      <c r="E26" s="12">
        <v>0</v>
      </c>
      <c r="F26" s="15">
        <v>0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3">
      <c r="A27" s="12" t="s">
        <v>68</v>
      </c>
      <c r="B27" s="12">
        <v>0</v>
      </c>
      <c r="C27" s="12">
        <v>0</v>
      </c>
      <c r="D27" s="12">
        <v>0</v>
      </c>
      <c r="E27" s="12">
        <v>0</v>
      </c>
      <c r="F27" s="15">
        <v>0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3">
      <c r="A28" s="12" t="s">
        <v>69</v>
      </c>
      <c r="B28" s="12">
        <v>0</v>
      </c>
      <c r="C28" s="12">
        <v>0</v>
      </c>
      <c r="D28" s="12">
        <v>0</v>
      </c>
      <c r="E28" s="12">
        <v>76</v>
      </c>
      <c r="F28" s="15">
        <v>0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 spans="1:33">
      <c r="A29" s="12" t="s">
        <v>70</v>
      </c>
      <c r="B29" s="12">
        <v>0</v>
      </c>
      <c r="C29" s="12">
        <v>0</v>
      </c>
      <c r="D29" s="12">
        <v>0</v>
      </c>
      <c r="E29" s="12">
        <v>0</v>
      </c>
      <c r="F29" s="15">
        <v>0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 spans="1:33">
      <c r="A30" s="12" t="s">
        <v>71</v>
      </c>
      <c r="B30" s="12">
        <v>0</v>
      </c>
      <c r="C30" s="12">
        <v>0</v>
      </c>
      <c r="D30" s="12">
        <v>0</v>
      </c>
      <c r="E30" s="12">
        <v>913</v>
      </c>
      <c r="F30" s="16">
        <f>B5*100</f>
        <v>14.643847463366214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 spans="1:33">
      <c r="A31" s="12" t="s">
        <v>72</v>
      </c>
      <c r="B31" s="12">
        <v>0</v>
      </c>
      <c r="C31" s="12">
        <v>0</v>
      </c>
      <c r="D31" s="12">
        <v>0</v>
      </c>
      <c r="E31" s="12">
        <v>0</v>
      </c>
      <c r="F31" s="15">
        <v>0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 spans="1:33">
      <c r="A32" s="12" t="s">
        <v>73</v>
      </c>
      <c r="B32" s="12">
        <v>0</v>
      </c>
      <c r="C32" s="12">
        <v>0</v>
      </c>
      <c r="D32" s="12">
        <v>0</v>
      </c>
      <c r="E32" s="12">
        <v>0</v>
      </c>
      <c r="F32" s="15">
        <v>0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spans="1: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</row>
    <row r="34" spans="1:3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</row>
    <row r="35" spans="1:33">
      <c r="A35" s="14" t="s">
        <v>74</v>
      </c>
      <c r="B35">
        <v>2018</v>
      </c>
      <c r="C35">
        <v>2019</v>
      </c>
      <c r="D35">
        <v>2020</v>
      </c>
      <c r="E35">
        <v>2021</v>
      </c>
      <c r="F35" s="12">
        <v>2030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</row>
    <row r="36" spans="1:33">
      <c r="A36" s="12" t="s">
        <v>75</v>
      </c>
      <c r="B36" s="12">
        <v>51806</v>
      </c>
      <c r="C36" s="12">
        <v>39780</v>
      </c>
      <c r="D36" s="12">
        <v>25570</v>
      </c>
      <c r="E36" s="12">
        <v>39782</v>
      </c>
      <c r="F36" s="15">
        <v>0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</row>
    <row r="37" spans="1:33">
      <c r="A37" s="12" t="s">
        <v>76</v>
      </c>
      <c r="B37" s="12">
        <v>261</v>
      </c>
      <c r="C37" s="12">
        <v>42</v>
      </c>
      <c r="D37" s="12">
        <v>10</v>
      </c>
      <c r="E37" s="12">
        <v>18</v>
      </c>
      <c r="F37" s="15">
        <v>0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</row>
    <row r="38" spans="1:33">
      <c r="A38" s="12" t="s">
        <v>77</v>
      </c>
      <c r="B38" s="12">
        <v>18602</v>
      </c>
      <c r="C38" s="12">
        <v>10758</v>
      </c>
      <c r="D38" s="12">
        <v>7140</v>
      </c>
      <c r="E38" s="12">
        <v>30021</v>
      </c>
      <c r="F38" s="15">
        <v>0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 spans="1:33">
      <c r="A39" s="12" t="s">
        <v>78</v>
      </c>
      <c r="B39" s="12">
        <v>18306</v>
      </c>
      <c r="C39" s="12">
        <v>4493</v>
      </c>
      <c r="D39" s="12">
        <v>43</v>
      </c>
      <c r="E39" s="12">
        <v>16</v>
      </c>
      <c r="F39" s="15">
        <f>B2*100</f>
        <v>26.967960760811565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 spans="1:33">
      <c r="A40" s="12" t="s">
        <v>79</v>
      </c>
      <c r="B40" s="12">
        <v>0</v>
      </c>
      <c r="C40" s="12">
        <v>0</v>
      </c>
      <c r="D40" s="12">
        <v>0</v>
      </c>
      <c r="E40" s="12">
        <v>99</v>
      </c>
      <c r="F40" s="15">
        <v>0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 spans="1:33">
      <c r="A41" s="12" t="s">
        <v>80</v>
      </c>
      <c r="B41" s="12">
        <v>0</v>
      </c>
      <c r="C41" s="12">
        <v>0</v>
      </c>
      <c r="D41" s="12">
        <v>0</v>
      </c>
      <c r="E41" s="12">
        <v>0</v>
      </c>
      <c r="F41" s="15">
        <v>0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 spans="1:33">
      <c r="A42" s="12" t="s">
        <v>81</v>
      </c>
      <c r="B42" s="12">
        <v>7892</v>
      </c>
      <c r="C42" s="12">
        <v>6846</v>
      </c>
      <c r="D42" s="12">
        <v>8713</v>
      </c>
      <c r="E42" s="12">
        <v>45098</v>
      </c>
      <c r="F42" s="15">
        <v>0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 spans="1:33">
      <c r="A43" s="12" t="s">
        <v>82</v>
      </c>
      <c r="B43" s="12">
        <v>0</v>
      </c>
      <c r="C43" s="12">
        <v>0</v>
      </c>
      <c r="D43" s="12">
        <v>27</v>
      </c>
      <c r="E43" s="12">
        <v>7201</v>
      </c>
      <c r="F43" s="15">
        <v>0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</row>
    <row r="44" spans="1:33">
      <c r="A44" s="12" t="s">
        <v>83</v>
      </c>
      <c r="B44" s="12">
        <v>0</v>
      </c>
      <c r="C44" s="12">
        <v>0</v>
      </c>
      <c r="D44" s="12">
        <v>0</v>
      </c>
      <c r="E44" s="12">
        <v>0</v>
      </c>
      <c r="F44" s="15">
        <v>0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</row>
    <row r="45" spans="1:33">
      <c r="A45" s="12" t="s">
        <v>84</v>
      </c>
      <c r="B45" s="12">
        <v>0</v>
      </c>
      <c r="C45" s="12">
        <v>0</v>
      </c>
      <c r="D45" s="12">
        <v>0</v>
      </c>
      <c r="E45" s="12">
        <v>0</v>
      </c>
      <c r="F45" s="15">
        <f>B3*100</f>
        <v>35.313092081261374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</row>
    <row r="46" spans="1:33">
      <c r="A46" s="12" t="s">
        <v>85</v>
      </c>
      <c r="B46" s="12">
        <v>0</v>
      </c>
      <c r="C46" s="12">
        <v>0</v>
      </c>
      <c r="D46" s="12">
        <v>0</v>
      </c>
      <c r="E46" s="12">
        <v>0</v>
      </c>
      <c r="F46" s="15">
        <v>0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 spans="1:33">
      <c r="A47" s="12" t="s">
        <v>86</v>
      </c>
      <c r="B47" s="12">
        <v>0</v>
      </c>
      <c r="C47" s="12">
        <v>0</v>
      </c>
      <c r="D47" s="12">
        <v>0</v>
      </c>
      <c r="E47" s="12">
        <v>0</v>
      </c>
      <c r="F47" s="15">
        <v>0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 spans="1:33">
      <c r="A48" s="12" t="s">
        <v>87</v>
      </c>
      <c r="B48" s="12">
        <v>0</v>
      </c>
      <c r="C48" s="12">
        <v>78</v>
      </c>
      <c r="D48" s="12">
        <v>1843</v>
      </c>
      <c r="E48" s="12">
        <v>2901</v>
      </c>
      <c r="F48" s="15">
        <v>0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</row>
    <row r="49" spans="1:33">
      <c r="A49" s="12" t="s">
        <v>88</v>
      </c>
      <c r="B49" s="12">
        <v>7062</v>
      </c>
      <c r="C49" s="12">
        <v>5228</v>
      </c>
      <c r="D49" s="12">
        <v>5765</v>
      </c>
      <c r="E49" s="12">
        <v>15321</v>
      </c>
      <c r="F49" s="15">
        <v>0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</row>
    <row r="50" spans="1:33">
      <c r="A50" s="12" t="s">
        <v>89</v>
      </c>
      <c r="B50" s="12">
        <v>0</v>
      </c>
      <c r="C50" s="12">
        <v>0</v>
      </c>
      <c r="D50" s="12">
        <v>0</v>
      </c>
      <c r="E50" s="12">
        <v>0</v>
      </c>
      <c r="F50" s="15">
        <v>0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</row>
    <row r="51" spans="1:33">
      <c r="A51" s="12" t="s">
        <v>90</v>
      </c>
      <c r="B51" s="12">
        <v>0</v>
      </c>
      <c r="C51" s="12">
        <v>0</v>
      </c>
      <c r="D51" s="12">
        <v>0</v>
      </c>
      <c r="E51" s="12">
        <v>0</v>
      </c>
      <c r="F51" s="15">
        <f>B4*100</f>
        <v>23.075099694560848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</row>
    <row r="52" spans="1:33">
      <c r="A52" s="12" t="s">
        <v>91</v>
      </c>
      <c r="B52" s="12">
        <v>596</v>
      </c>
      <c r="C52" s="12">
        <v>2906</v>
      </c>
      <c r="D52" s="12">
        <v>160</v>
      </c>
      <c r="E52" s="12">
        <v>0</v>
      </c>
      <c r="F52" s="15">
        <v>0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</row>
    <row r="53" spans="1:33">
      <c r="A53" s="12" t="s">
        <v>92</v>
      </c>
      <c r="B53" s="12">
        <v>0</v>
      </c>
      <c r="C53" s="12">
        <v>0</v>
      </c>
      <c r="D53" s="12">
        <v>0</v>
      </c>
      <c r="E53" s="12">
        <v>0</v>
      </c>
      <c r="F53" s="15">
        <v>0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 spans="1:33">
      <c r="A54" s="12" t="s">
        <v>93</v>
      </c>
      <c r="B54" s="12">
        <v>0</v>
      </c>
      <c r="C54" s="12">
        <v>0</v>
      </c>
      <c r="D54" s="12">
        <v>0</v>
      </c>
      <c r="E54" s="12">
        <v>0</v>
      </c>
      <c r="F54" s="15">
        <v>0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 spans="1:33">
      <c r="A55" s="12" t="s">
        <v>94</v>
      </c>
      <c r="B55" s="12">
        <v>0</v>
      </c>
      <c r="C55" s="12">
        <v>0</v>
      </c>
      <c r="D55" s="12">
        <v>0</v>
      </c>
      <c r="E55" s="12">
        <v>0</v>
      </c>
      <c r="F55" s="15">
        <v>0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 spans="1:33">
      <c r="A56" s="12" t="s">
        <v>95</v>
      </c>
      <c r="B56" s="12">
        <v>0</v>
      </c>
      <c r="C56" s="12">
        <v>0</v>
      </c>
      <c r="D56" s="12">
        <v>0</v>
      </c>
      <c r="E56" s="12">
        <v>0</v>
      </c>
      <c r="F56" s="15">
        <v>0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 spans="1:33">
      <c r="A57" s="12" t="s">
        <v>96</v>
      </c>
      <c r="B57" s="12">
        <v>0</v>
      </c>
      <c r="C57" s="12">
        <v>0</v>
      </c>
      <c r="D57" s="12">
        <v>0</v>
      </c>
      <c r="E57" s="12">
        <v>0</v>
      </c>
      <c r="F57" s="16">
        <f>B5*100</f>
        <v>14.643847463366214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 spans="1:33">
      <c r="A58" s="12" t="s">
        <v>97</v>
      </c>
      <c r="B58" s="12">
        <v>0</v>
      </c>
      <c r="C58" s="12">
        <v>0</v>
      </c>
      <c r="D58" s="12">
        <v>0</v>
      </c>
      <c r="E58" s="12">
        <v>0</v>
      </c>
      <c r="F58" s="15">
        <v>0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 spans="1:33">
      <c r="A59" s="12" t="s">
        <v>98</v>
      </c>
      <c r="B59" s="12">
        <v>0</v>
      </c>
      <c r="C59" s="12">
        <v>0</v>
      </c>
      <c r="D59" s="12">
        <v>0</v>
      </c>
      <c r="E59" s="12">
        <v>0</v>
      </c>
      <c r="F59" s="15">
        <v>0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 spans="1:3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 spans="1:33">
      <c r="A61" s="17" t="s">
        <v>99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 spans="1:33">
      <c r="A62" s="18" t="s">
        <v>100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2"/>
      <c r="T62" s="12"/>
      <c r="U62" s="12"/>
      <c r="V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 spans="1:33">
      <c r="A63" s="12"/>
      <c r="C63" s="20">
        <v>2020</v>
      </c>
      <c r="D63" s="20">
        <v>2021</v>
      </c>
      <c r="E63" s="20">
        <v>2022</v>
      </c>
      <c r="F63" s="20">
        <v>2023</v>
      </c>
      <c r="G63" s="20">
        <v>2024</v>
      </c>
      <c r="H63" s="20">
        <v>2025</v>
      </c>
      <c r="I63" s="20">
        <v>2026</v>
      </c>
      <c r="J63" s="20">
        <v>2027</v>
      </c>
      <c r="K63" s="20">
        <v>2028</v>
      </c>
      <c r="L63" s="20">
        <v>2029</v>
      </c>
      <c r="M63" s="20">
        <v>2030</v>
      </c>
      <c r="N63" s="20">
        <v>2031</v>
      </c>
      <c r="O63" s="20">
        <v>2032</v>
      </c>
      <c r="P63" s="20">
        <v>2033</v>
      </c>
      <c r="Q63" s="20">
        <v>2034</v>
      </c>
      <c r="R63" s="20">
        <v>2035</v>
      </c>
      <c r="S63" s="12"/>
      <c r="T63" s="12"/>
      <c r="U63" s="12"/>
      <c r="V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 spans="1:33">
      <c r="A64" s="21" t="s">
        <v>50</v>
      </c>
      <c r="C64" s="22">
        <f>D9/SUM(D$9:D$14)*$B$2</f>
        <v>1.7870391724213553E-2</v>
      </c>
      <c r="D64" s="22">
        <f>E9/SUM(E$9:E$14)*$B$2</f>
        <v>1.5743509572182787E-2</v>
      </c>
      <c r="E64" s="23">
        <f>($M64-$D64)/($M$63-$D$63)+D64</f>
        <v>1.3994230730829144E-2</v>
      </c>
      <c r="F64" s="23">
        <f t="shared" ref="F64:L64" si="0">($M64-$D64)/($M$63-$D$63)+E64</f>
        <v>1.2244951889475501E-2</v>
      </c>
      <c r="G64" s="23">
        <f t="shared" si="0"/>
        <v>1.0495673048121858E-2</v>
      </c>
      <c r="H64" s="23">
        <f t="shared" si="0"/>
        <v>8.7463942067682147E-3</v>
      </c>
      <c r="I64" s="23">
        <f t="shared" si="0"/>
        <v>6.9971153654145718E-3</v>
      </c>
      <c r="J64" s="23">
        <f t="shared" si="0"/>
        <v>5.2478365240609288E-3</v>
      </c>
      <c r="K64" s="23">
        <f t="shared" si="0"/>
        <v>3.4985576827072859E-3</v>
      </c>
      <c r="L64" s="23">
        <f t="shared" si="0"/>
        <v>1.7492788413536429E-3</v>
      </c>
      <c r="M64" s="24">
        <f t="shared" ref="M64:M69" si="1">F9/SUM($F$9:$F$14)*$B$2</f>
        <v>0</v>
      </c>
      <c r="N64" s="13">
        <f>M64</f>
        <v>0</v>
      </c>
      <c r="O64" s="13">
        <f t="shared" ref="O64:R79" si="2">N64</f>
        <v>0</v>
      </c>
      <c r="P64" s="13">
        <f t="shared" si="2"/>
        <v>0</v>
      </c>
      <c r="Q64" s="13">
        <f t="shared" si="2"/>
        <v>0</v>
      </c>
      <c r="R64" s="13">
        <f t="shared" si="2"/>
        <v>0</v>
      </c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 spans="1:33">
      <c r="A65" s="21" t="s">
        <v>51</v>
      </c>
      <c r="C65" s="22">
        <f t="shared" ref="C65:D69" si="3">D10/SUM(D$9:D$14)*$B$2</f>
        <v>4.7035902433461708E-2</v>
      </c>
      <c r="D65" s="22">
        <f t="shared" si="3"/>
        <v>4.139374333614574E-2</v>
      </c>
      <c r="E65" s="23">
        <f t="shared" ref="E65:L80" si="4">($M65-$D65)/($M$63-$D$63)+D65</f>
        <v>3.6794438521018435E-2</v>
      </c>
      <c r="F65" s="23">
        <f t="shared" si="4"/>
        <v>3.2195133705891131E-2</v>
      </c>
      <c r="G65" s="23">
        <f t="shared" si="4"/>
        <v>2.7595828890763827E-2</v>
      </c>
      <c r="H65" s="23">
        <f t="shared" si="4"/>
        <v>2.2996524075636522E-2</v>
      </c>
      <c r="I65" s="23">
        <f t="shared" si="4"/>
        <v>1.8397219260509218E-2</v>
      </c>
      <c r="J65" s="23">
        <f t="shared" si="4"/>
        <v>1.3797914445381913E-2</v>
      </c>
      <c r="K65" s="23">
        <f t="shared" si="4"/>
        <v>9.1986096302546089E-3</v>
      </c>
      <c r="L65" s="23">
        <f t="shared" si="4"/>
        <v>4.5993048151273044E-3</v>
      </c>
      <c r="M65" s="24">
        <f t="shared" si="1"/>
        <v>0</v>
      </c>
      <c r="N65" s="13">
        <f>M65</f>
        <v>0</v>
      </c>
      <c r="O65" s="13">
        <f t="shared" si="2"/>
        <v>0</v>
      </c>
      <c r="P65" s="13">
        <f t="shared" si="2"/>
        <v>0</v>
      </c>
      <c r="Q65" s="13">
        <f t="shared" si="2"/>
        <v>0</v>
      </c>
      <c r="R65" s="13">
        <f t="shared" si="2"/>
        <v>0</v>
      </c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 spans="1:33">
      <c r="A66" s="21" t="s">
        <v>52</v>
      </c>
      <c r="C66" s="22">
        <f t="shared" si="3"/>
        <v>5.6055181067169246E-6</v>
      </c>
      <c r="D66" s="22">
        <f t="shared" si="3"/>
        <v>3.0007644482691258E-2</v>
      </c>
      <c r="E66" s="23">
        <f t="shared" si="4"/>
        <v>2.6673461762392228E-2</v>
      </c>
      <c r="F66" s="23">
        <f t="shared" si="4"/>
        <v>2.3339279042093201E-2</v>
      </c>
      <c r="G66" s="23">
        <f t="shared" si="4"/>
        <v>2.0005096321794175E-2</v>
      </c>
      <c r="H66" s="23">
        <f t="shared" si="4"/>
        <v>1.6670913601495148E-2</v>
      </c>
      <c r="I66" s="23">
        <f t="shared" si="4"/>
        <v>1.3336730881196119E-2</v>
      </c>
      <c r="J66" s="23">
        <f t="shared" si="4"/>
        <v>1.0002548160897091E-2</v>
      </c>
      <c r="K66" s="23">
        <f t="shared" si="4"/>
        <v>6.6683654405980623E-3</v>
      </c>
      <c r="L66" s="23">
        <f t="shared" si="4"/>
        <v>3.3341827202990337E-3</v>
      </c>
      <c r="M66" s="24">
        <f t="shared" si="1"/>
        <v>0</v>
      </c>
      <c r="N66" s="13">
        <f t="shared" ref="N66:R81" si="5">M66</f>
        <v>0</v>
      </c>
      <c r="O66" s="13">
        <f t="shared" si="5"/>
        <v>0</v>
      </c>
      <c r="P66" s="13">
        <f t="shared" si="5"/>
        <v>0</v>
      </c>
      <c r="Q66" s="13">
        <f t="shared" si="5"/>
        <v>0</v>
      </c>
      <c r="R66" s="13">
        <f t="shared" si="2"/>
        <v>0</v>
      </c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 spans="1:33">
      <c r="A67" s="21" t="s">
        <v>53</v>
      </c>
      <c r="C67" s="22">
        <f t="shared" si="3"/>
        <v>0.20476770793233368</v>
      </c>
      <c r="D67" s="22">
        <f t="shared" si="3"/>
        <v>0.18239650256933107</v>
      </c>
      <c r="E67" s="23">
        <f t="shared" si="4"/>
        <v>0.19209462535141825</v>
      </c>
      <c r="F67" s="23">
        <f t="shared" si="4"/>
        <v>0.20179274813350542</v>
      </c>
      <c r="G67" s="23">
        <f t="shared" si="4"/>
        <v>0.2114908709155926</v>
      </c>
      <c r="H67" s="23">
        <f t="shared" si="4"/>
        <v>0.22118899369767978</v>
      </c>
      <c r="I67" s="23">
        <f t="shared" si="4"/>
        <v>0.23088711647976695</v>
      </c>
      <c r="J67" s="23">
        <f t="shared" si="4"/>
        <v>0.24058523926185413</v>
      </c>
      <c r="K67" s="23">
        <f t="shared" si="4"/>
        <v>0.2502833620439413</v>
      </c>
      <c r="L67" s="23">
        <f t="shared" si="4"/>
        <v>0.25998148482602845</v>
      </c>
      <c r="M67" s="24">
        <f t="shared" si="1"/>
        <v>0.26967960760811566</v>
      </c>
      <c r="N67" s="13">
        <f t="shared" si="5"/>
        <v>0.26967960760811566</v>
      </c>
      <c r="O67" s="13">
        <f t="shared" si="5"/>
        <v>0.26967960760811566</v>
      </c>
      <c r="P67" s="13">
        <f t="shared" si="5"/>
        <v>0.26967960760811566</v>
      </c>
      <c r="Q67" s="13">
        <f t="shared" si="5"/>
        <v>0.26967960760811566</v>
      </c>
      <c r="R67" s="13">
        <f t="shared" si="2"/>
        <v>0.26967960760811566</v>
      </c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 spans="1:33">
      <c r="A68" s="21" t="s">
        <v>54</v>
      </c>
      <c r="C68" s="22">
        <f t="shared" si="3"/>
        <v>0</v>
      </c>
      <c r="D68" s="22">
        <f t="shared" si="3"/>
        <v>0</v>
      </c>
      <c r="E68" s="23">
        <f t="shared" si="4"/>
        <v>0</v>
      </c>
      <c r="F68" s="23">
        <f t="shared" si="4"/>
        <v>0</v>
      </c>
      <c r="G68" s="23">
        <f t="shared" si="4"/>
        <v>0</v>
      </c>
      <c r="H68" s="23">
        <f t="shared" si="4"/>
        <v>0</v>
      </c>
      <c r="I68" s="23">
        <f t="shared" si="4"/>
        <v>0</v>
      </c>
      <c r="J68" s="23">
        <f t="shared" si="4"/>
        <v>0</v>
      </c>
      <c r="K68" s="23">
        <f t="shared" si="4"/>
        <v>0</v>
      </c>
      <c r="L68" s="23">
        <f t="shared" si="4"/>
        <v>0</v>
      </c>
      <c r="M68" s="24">
        <f t="shared" si="1"/>
        <v>0</v>
      </c>
      <c r="N68" s="13">
        <f t="shared" si="5"/>
        <v>0</v>
      </c>
      <c r="O68" s="13">
        <f t="shared" si="5"/>
        <v>0</v>
      </c>
      <c r="P68" s="13">
        <f t="shared" si="5"/>
        <v>0</v>
      </c>
      <c r="Q68" s="13">
        <f t="shared" si="5"/>
        <v>0</v>
      </c>
      <c r="R68" s="13">
        <f t="shared" si="2"/>
        <v>0</v>
      </c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 spans="1:33">
      <c r="A69" s="21" t="s">
        <v>55</v>
      </c>
      <c r="C69" s="22">
        <f t="shared" si="3"/>
        <v>0</v>
      </c>
      <c r="D69" s="22">
        <f t="shared" si="3"/>
        <v>1.3820764776479024E-4</v>
      </c>
      <c r="E69" s="23">
        <f t="shared" si="4"/>
        <v>1.2285124245759132E-4</v>
      </c>
      <c r="F69" s="23">
        <f t="shared" si="4"/>
        <v>1.0749483715039241E-4</v>
      </c>
      <c r="G69" s="23">
        <f t="shared" si="4"/>
        <v>9.2138431843193493E-5</v>
      </c>
      <c r="H69" s="23">
        <f t="shared" si="4"/>
        <v>7.6782026535994577E-5</v>
      </c>
      <c r="I69" s="23">
        <f t="shared" si="4"/>
        <v>6.1425621228795662E-5</v>
      </c>
      <c r="J69" s="23">
        <f t="shared" si="4"/>
        <v>4.6069215921596746E-5</v>
      </c>
      <c r="K69" s="23">
        <f t="shared" si="4"/>
        <v>3.0712810614397831E-5</v>
      </c>
      <c r="L69" s="23">
        <f t="shared" si="4"/>
        <v>1.5356405307198915E-5</v>
      </c>
      <c r="M69" s="24">
        <f t="shared" si="1"/>
        <v>0</v>
      </c>
      <c r="N69" s="13">
        <f t="shared" si="5"/>
        <v>0</v>
      </c>
      <c r="O69" s="13">
        <f t="shared" si="5"/>
        <v>0</v>
      </c>
      <c r="P69" s="13">
        <f t="shared" si="5"/>
        <v>0</v>
      </c>
      <c r="Q69" s="13">
        <f t="shared" si="5"/>
        <v>0</v>
      </c>
      <c r="R69" s="13">
        <f t="shared" si="2"/>
        <v>0</v>
      </c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</row>
    <row r="70" spans="1:33">
      <c r="A70" s="21" t="s">
        <v>56</v>
      </c>
      <c r="C70" s="22">
        <f>D15/SUM(D$15:D$20)*$B$3</f>
        <v>1.236071066410604E-2</v>
      </c>
      <c r="D70" s="22">
        <f>E15/SUM(E$15:E$20)*$B$3</f>
        <v>1.4489596068269685E-2</v>
      </c>
      <c r="E70" s="23">
        <f t="shared" si="4"/>
        <v>1.2879640949573053E-2</v>
      </c>
      <c r="F70" s="23">
        <f t="shared" si="4"/>
        <v>1.1269685830876421E-2</v>
      </c>
      <c r="G70" s="23">
        <f t="shared" si="4"/>
        <v>9.6597307121797892E-3</v>
      </c>
      <c r="H70" s="23">
        <f t="shared" si="4"/>
        <v>8.049775593483157E-3</v>
      </c>
      <c r="I70" s="23">
        <f t="shared" si="4"/>
        <v>6.4398204747865249E-3</v>
      </c>
      <c r="J70" s="23">
        <f t="shared" si="4"/>
        <v>4.8298653560898928E-3</v>
      </c>
      <c r="K70" s="23">
        <f t="shared" si="4"/>
        <v>3.2199102373932612E-3</v>
      </c>
      <c r="L70" s="23">
        <f t="shared" si="4"/>
        <v>1.6099551186966295E-3</v>
      </c>
      <c r="M70" s="24">
        <f t="shared" ref="M70:M75" si="6">F15/SUM($F$15:$F$20)*$B$3</f>
        <v>0</v>
      </c>
      <c r="N70" s="13">
        <f t="shared" si="5"/>
        <v>0</v>
      </c>
      <c r="O70" s="13">
        <f t="shared" si="5"/>
        <v>0</v>
      </c>
      <c r="P70" s="13">
        <f t="shared" si="5"/>
        <v>0</v>
      </c>
      <c r="Q70" s="13">
        <f t="shared" si="5"/>
        <v>0</v>
      </c>
      <c r="R70" s="13">
        <f t="shared" si="2"/>
        <v>0</v>
      </c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</row>
    <row r="71" spans="1:33">
      <c r="A71" s="21" t="s">
        <v>57</v>
      </c>
      <c r="C71" s="22">
        <f t="shared" ref="C71:D75" si="7">D16/SUM(D$15:D$20)*$B$3</f>
        <v>1.3523867426037365E-2</v>
      </c>
      <c r="D71" s="22">
        <f t="shared" si="7"/>
        <v>2.5478550938905331E-2</v>
      </c>
      <c r="E71" s="23">
        <f t="shared" si="4"/>
        <v>2.2647600834582518E-2</v>
      </c>
      <c r="F71" s="23">
        <f t="shared" si="4"/>
        <v>1.9816650730259705E-2</v>
      </c>
      <c r="G71" s="23">
        <f t="shared" si="4"/>
        <v>1.6985700625936892E-2</v>
      </c>
      <c r="H71" s="23">
        <f t="shared" si="4"/>
        <v>1.4154750521614077E-2</v>
      </c>
      <c r="I71" s="23">
        <f t="shared" si="4"/>
        <v>1.1323800417291262E-2</v>
      </c>
      <c r="J71" s="23">
        <f t="shared" si="4"/>
        <v>8.4928503129684477E-3</v>
      </c>
      <c r="K71" s="23">
        <f t="shared" si="4"/>
        <v>5.661900208645633E-3</v>
      </c>
      <c r="L71" s="23">
        <f t="shared" si="4"/>
        <v>2.8309501043228182E-3</v>
      </c>
      <c r="M71" s="24">
        <f t="shared" si="6"/>
        <v>0</v>
      </c>
      <c r="N71" s="13">
        <f t="shared" si="5"/>
        <v>0</v>
      </c>
      <c r="O71" s="13">
        <f t="shared" si="5"/>
        <v>0</v>
      </c>
      <c r="P71" s="13">
        <f t="shared" si="5"/>
        <v>0</v>
      </c>
      <c r="Q71" s="13">
        <f t="shared" si="5"/>
        <v>0</v>
      </c>
      <c r="R71" s="13">
        <f t="shared" si="2"/>
        <v>0</v>
      </c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</row>
    <row r="72" spans="1:33">
      <c r="A72" s="21" t="s">
        <v>58</v>
      </c>
      <c r="C72" s="22">
        <f t="shared" si="7"/>
        <v>0.32724634272247033</v>
      </c>
      <c r="D72" s="22">
        <f t="shared" si="7"/>
        <v>0.31316277380543872</v>
      </c>
      <c r="E72" s="23">
        <f t="shared" si="4"/>
        <v>0.27836691004927888</v>
      </c>
      <c r="F72" s="23">
        <f t="shared" si="4"/>
        <v>0.24357104629311901</v>
      </c>
      <c r="G72" s="23">
        <f t="shared" si="4"/>
        <v>0.20877518253695915</v>
      </c>
      <c r="H72" s="23">
        <f t="shared" si="4"/>
        <v>0.17397931878079928</v>
      </c>
      <c r="I72" s="23">
        <f t="shared" si="4"/>
        <v>0.13918345502463941</v>
      </c>
      <c r="J72" s="23">
        <f t="shared" si="4"/>
        <v>0.10438759126847955</v>
      </c>
      <c r="K72" s="23">
        <f t="shared" si="4"/>
        <v>6.9591727512319679E-2</v>
      </c>
      <c r="L72" s="23">
        <f t="shared" si="4"/>
        <v>3.4795863756159819E-2</v>
      </c>
      <c r="M72" s="24">
        <f t="shared" si="6"/>
        <v>0</v>
      </c>
      <c r="N72" s="13">
        <f t="shared" si="5"/>
        <v>0</v>
      </c>
      <c r="O72" s="13">
        <f t="shared" si="5"/>
        <v>0</v>
      </c>
      <c r="P72" s="13">
        <f t="shared" si="5"/>
        <v>0</v>
      </c>
      <c r="Q72" s="13">
        <f t="shared" si="5"/>
        <v>0</v>
      </c>
      <c r="R72" s="13">
        <f t="shared" si="2"/>
        <v>0</v>
      </c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</row>
    <row r="73" spans="1:33">
      <c r="A73" s="21" t="s">
        <v>59</v>
      </c>
      <c r="C73" s="22">
        <f t="shared" si="7"/>
        <v>0</v>
      </c>
      <c r="D73" s="22">
        <f t="shared" si="7"/>
        <v>0</v>
      </c>
      <c r="E73" s="23">
        <f t="shared" si="4"/>
        <v>3.9236768979179298E-2</v>
      </c>
      <c r="F73" s="23">
        <f t="shared" si="4"/>
        <v>7.8473537958358597E-2</v>
      </c>
      <c r="G73" s="23">
        <f t="shared" si="4"/>
        <v>0.1177103069375379</v>
      </c>
      <c r="H73" s="23">
        <f t="shared" si="4"/>
        <v>0.15694707591671719</v>
      </c>
      <c r="I73" s="23">
        <f t="shared" si="4"/>
        <v>0.19618384489589649</v>
      </c>
      <c r="J73" s="23">
        <f t="shared" si="4"/>
        <v>0.23542061387507579</v>
      </c>
      <c r="K73" s="23">
        <f t="shared" si="4"/>
        <v>0.27465738285425512</v>
      </c>
      <c r="L73" s="23">
        <f t="shared" si="4"/>
        <v>0.31389415183343439</v>
      </c>
      <c r="M73" s="24">
        <f t="shared" si="6"/>
        <v>0.35313092081261371</v>
      </c>
      <c r="N73" s="13">
        <f t="shared" si="5"/>
        <v>0.35313092081261371</v>
      </c>
      <c r="O73" s="13">
        <f t="shared" si="5"/>
        <v>0.35313092081261371</v>
      </c>
      <c r="P73" s="13">
        <f t="shared" si="5"/>
        <v>0.35313092081261371</v>
      </c>
      <c r="Q73" s="13">
        <f t="shared" si="5"/>
        <v>0.35313092081261371</v>
      </c>
      <c r="R73" s="13">
        <f t="shared" si="2"/>
        <v>0.35313092081261371</v>
      </c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</row>
    <row r="74" spans="1:33">
      <c r="A74" s="21" t="s">
        <v>60</v>
      </c>
      <c r="C74" s="22">
        <f t="shared" si="7"/>
        <v>0</v>
      </c>
      <c r="D74" s="22">
        <f t="shared" si="7"/>
        <v>0</v>
      </c>
      <c r="E74" s="23">
        <f t="shared" si="4"/>
        <v>0</v>
      </c>
      <c r="F74" s="23">
        <f t="shared" si="4"/>
        <v>0</v>
      </c>
      <c r="G74" s="23">
        <f t="shared" si="4"/>
        <v>0</v>
      </c>
      <c r="H74" s="23">
        <f t="shared" si="4"/>
        <v>0</v>
      </c>
      <c r="I74" s="23">
        <f t="shared" si="4"/>
        <v>0</v>
      </c>
      <c r="J74" s="23">
        <f t="shared" si="4"/>
        <v>0</v>
      </c>
      <c r="K74" s="23">
        <f t="shared" si="4"/>
        <v>0</v>
      </c>
      <c r="L74" s="23">
        <f t="shared" si="4"/>
        <v>0</v>
      </c>
      <c r="M74" s="24">
        <f t="shared" si="6"/>
        <v>0</v>
      </c>
      <c r="N74" s="13">
        <f t="shared" si="5"/>
        <v>0</v>
      </c>
      <c r="O74" s="13">
        <f t="shared" si="5"/>
        <v>0</v>
      </c>
      <c r="P74" s="13">
        <f t="shared" si="5"/>
        <v>0</v>
      </c>
      <c r="Q74" s="13">
        <f t="shared" si="5"/>
        <v>0</v>
      </c>
      <c r="R74" s="13">
        <f t="shared" si="2"/>
        <v>0</v>
      </c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</row>
    <row r="75" spans="1:33">
      <c r="A75" s="21" t="s">
        <v>61</v>
      </c>
      <c r="C75" s="22">
        <f t="shared" si="7"/>
        <v>0</v>
      </c>
      <c r="D75" s="22">
        <f t="shared" si="7"/>
        <v>0</v>
      </c>
      <c r="E75" s="23">
        <f t="shared" si="4"/>
        <v>0</v>
      </c>
      <c r="F75" s="23">
        <f t="shared" si="4"/>
        <v>0</v>
      </c>
      <c r="G75" s="23">
        <f t="shared" si="4"/>
        <v>0</v>
      </c>
      <c r="H75" s="23">
        <f t="shared" si="4"/>
        <v>0</v>
      </c>
      <c r="I75" s="23">
        <f t="shared" si="4"/>
        <v>0</v>
      </c>
      <c r="J75" s="23">
        <f t="shared" si="4"/>
        <v>0</v>
      </c>
      <c r="K75" s="23">
        <f t="shared" si="4"/>
        <v>0</v>
      </c>
      <c r="L75" s="23">
        <f t="shared" si="4"/>
        <v>0</v>
      </c>
      <c r="M75" s="24">
        <f t="shared" si="6"/>
        <v>0</v>
      </c>
      <c r="N75" s="13">
        <f t="shared" si="5"/>
        <v>0</v>
      </c>
      <c r="O75" s="13">
        <f t="shared" si="5"/>
        <v>0</v>
      </c>
      <c r="P75" s="13">
        <f t="shared" si="5"/>
        <v>0</v>
      </c>
      <c r="Q75" s="13">
        <f t="shared" si="5"/>
        <v>0</v>
      </c>
      <c r="R75" s="13">
        <f t="shared" si="2"/>
        <v>0</v>
      </c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</row>
    <row r="76" spans="1:33">
      <c r="A76" s="21" t="s">
        <v>62</v>
      </c>
      <c r="C76" s="22">
        <f>D21/SUM(D$21:D$26)*$B$4</f>
        <v>0</v>
      </c>
      <c r="D76" s="22">
        <f>E21/SUM(E$21:E$26)*$B$4</f>
        <v>0</v>
      </c>
      <c r="E76" s="23">
        <f t="shared" si="4"/>
        <v>0</v>
      </c>
      <c r="F76" s="23">
        <f t="shared" si="4"/>
        <v>0</v>
      </c>
      <c r="G76" s="23">
        <f t="shared" si="4"/>
        <v>0</v>
      </c>
      <c r="H76" s="23">
        <f t="shared" si="4"/>
        <v>0</v>
      </c>
      <c r="I76" s="23">
        <f t="shared" si="4"/>
        <v>0</v>
      </c>
      <c r="J76" s="23">
        <f t="shared" si="4"/>
        <v>0</v>
      </c>
      <c r="K76" s="23">
        <f t="shared" si="4"/>
        <v>0</v>
      </c>
      <c r="L76" s="23">
        <f t="shared" si="4"/>
        <v>0</v>
      </c>
      <c r="M76" s="24">
        <f t="shared" ref="M76:M81" si="8">F21/SUM($F$21:$F$26)*$B$4</f>
        <v>0</v>
      </c>
      <c r="N76" s="13">
        <f t="shared" si="5"/>
        <v>0</v>
      </c>
      <c r="O76" s="13">
        <f t="shared" si="5"/>
        <v>0</v>
      </c>
      <c r="P76" s="13">
        <f t="shared" si="5"/>
        <v>0</v>
      </c>
      <c r="Q76" s="13">
        <f t="shared" si="5"/>
        <v>0</v>
      </c>
      <c r="R76" s="13">
        <f t="shared" si="2"/>
        <v>0</v>
      </c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</row>
    <row r="77" spans="1:33">
      <c r="A77" s="21" t="s">
        <v>63</v>
      </c>
      <c r="C77" s="22">
        <f t="shared" ref="C77:D81" si="9">D22/SUM(D$21:D$26)*$B$4</f>
        <v>8.0143231397024353E-2</v>
      </c>
      <c r="D77" s="22">
        <f t="shared" si="9"/>
        <v>0.22250495737585202</v>
      </c>
      <c r="E77" s="23">
        <f t="shared" si="4"/>
        <v>0.19778218433409067</v>
      </c>
      <c r="F77" s="23">
        <f t="shared" si="4"/>
        <v>0.17305941129232932</v>
      </c>
      <c r="G77" s="23">
        <f t="shared" si="4"/>
        <v>0.14833663825056798</v>
      </c>
      <c r="H77" s="23">
        <f t="shared" si="4"/>
        <v>0.12361386520880664</v>
      </c>
      <c r="I77" s="23">
        <f t="shared" si="4"/>
        <v>9.8891092167045308E-2</v>
      </c>
      <c r="J77" s="23">
        <f t="shared" si="4"/>
        <v>7.4168319125283974E-2</v>
      </c>
      <c r="K77" s="23">
        <f t="shared" si="4"/>
        <v>4.944554608352264E-2</v>
      </c>
      <c r="L77" s="23">
        <f t="shared" si="4"/>
        <v>2.4722773041761306E-2</v>
      </c>
      <c r="M77" s="24">
        <f t="shared" si="8"/>
        <v>0</v>
      </c>
      <c r="N77" s="13">
        <f t="shared" si="5"/>
        <v>0</v>
      </c>
      <c r="O77" s="13">
        <f t="shared" si="5"/>
        <v>0</v>
      </c>
      <c r="P77" s="13">
        <f t="shared" si="5"/>
        <v>0</v>
      </c>
      <c r="Q77" s="13">
        <f t="shared" si="5"/>
        <v>0</v>
      </c>
      <c r="R77" s="13">
        <f t="shared" si="2"/>
        <v>0</v>
      </c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</row>
    <row r="78" spans="1:33">
      <c r="A78" s="21" t="s">
        <v>64</v>
      </c>
      <c r="C78" s="22">
        <f t="shared" si="9"/>
        <v>0</v>
      </c>
      <c r="D78" s="22">
        <f t="shared" si="9"/>
        <v>0</v>
      </c>
      <c r="E78" s="23">
        <f t="shared" si="4"/>
        <v>0</v>
      </c>
      <c r="F78" s="23">
        <f t="shared" si="4"/>
        <v>0</v>
      </c>
      <c r="G78" s="23">
        <f t="shared" si="4"/>
        <v>0</v>
      </c>
      <c r="H78" s="23">
        <f t="shared" si="4"/>
        <v>0</v>
      </c>
      <c r="I78" s="23">
        <f t="shared" si="4"/>
        <v>0</v>
      </c>
      <c r="J78" s="23">
        <f t="shared" si="4"/>
        <v>0</v>
      </c>
      <c r="K78" s="23">
        <f t="shared" si="4"/>
        <v>0</v>
      </c>
      <c r="L78" s="23">
        <f t="shared" si="4"/>
        <v>0</v>
      </c>
      <c r="M78" s="24">
        <f t="shared" si="8"/>
        <v>0</v>
      </c>
      <c r="N78" s="13">
        <f t="shared" si="5"/>
        <v>0</v>
      </c>
      <c r="O78" s="13">
        <f t="shared" si="5"/>
        <v>0</v>
      </c>
      <c r="P78" s="13">
        <f t="shared" si="5"/>
        <v>0</v>
      </c>
      <c r="Q78" s="13">
        <f t="shared" si="5"/>
        <v>0</v>
      </c>
      <c r="R78" s="13">
        <f t="shared" si="2"/>
        <v>0</v>
      </c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</row>
    <row r="79" spans="1:33">
      <c r="A79" s="21" t="s">
        <v>65</v>
      </c>
      <c r="C79" s="22">
        <f t="shared" si="9"/>
        <v>0.15060776554858415</v>
      </c>
      <c r="D79" s="22">
        <f t="shared" si="9"/>
        <v>8.2460395697564557E-3</v>
      </c>
      <c r="E79" s="23">
        <f t="shared" si="4"/>
        <v>3.2968812611517795E-2</v>
      </c>
      <c r="F79" s="23">
        <f t="shared" si="4"/>
        <v>5.7691585653279129E-2</v>
      </c>
      <c r="G79" s="23">
        <f t="shared" si="4"/>
        <v>8.2414358695040463E-2</v>
      </c>
      <c r="H79" s="23">
        <f t="shared" si="4"/>
        <v>0.1071371317368018</v>
      </c>
      <c r="I79" s="23">
        <f t="shared" si="4"/>
        <v>0.13185990477856313</v>
      </c>
      <c r="J79" s="23">
        <f t="shared" si="4"/>
        <v>0.15658267782032448</v>
      </c>
      <c r="K79" s="23">
        <f t="shared" si="4"/>
        <v>0.18130545086208583</v>
      </c>
      <c r="L79" s="23">
        <f t="shared" si="4"/>
        <v>0.20602822390384717</v>
      </c>
      <c r="M79" s="24">
        <f t="shared" si="8"/>
        <v>0.23075099694560849</v>
      </c>
      <c r="N79" s="13">
        <f t="shared" si="5"/>
        <v>0.23075099694560849</v>
      </c>
      <c r="O79" s="13">
        <f t="shared" si="5"/>
        <v>0.23075099694560849</v>
      </c>
      <c r="P79" s="13">
        <f t="shared" si="5"/>
        <v>0.23075099694560849</v>
      </c>
      <c r="Q79" s="13">
        <f t="shared" si="5"/>
        <v>0.23075099694560849</v>
      </c>
      <c r="R79" s="13">
        <f t="shared" si="2"/>
        <v>0.23075099694560849</v>
      </c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</row>
    <row r="80" spans="1:33">
      <c r="A80" s="21" t="s">
        <v>66</v>
      </c>
      <c r="C80" s="22">
        <f t="shared" si="9"/>
        <v>0</v>
      </c>
      <c r="D80" s="22">
        <f t="shared" si="9"/>
        <v>0</v>
      </c>
      <c r="E80" s="23">
        <f t="shared" si="4"/>
        <v>0</v>
      </c>
      <c r="F80" s="23">
        <f t="shared" si="4"/>
        <v>0</v>
      </c>
      <c r="G80" s="23">
        <f t="shared" si="4"/>
        <v>0</v>
      </c>
      <c r="H80" s="23">
        <f t="shared" si="4"/>
        <v>0</v>
      </c>
      <c r="I80" s="23">
        <f t="shared" si="4"/>
        <v>0</v>
      </c>
      <c r="J80" s="23">
        <f t="shared" si="4"/>
        <v>0</v>
      </c>
      <c r="K80" s="23">
        <f t="shared" si="4"/>
        <v>0</v>
      </c>
      <c r="L80" s="23">
        <f t="shared" si="4"/>
        <v>0</v>
      </c>
      <c r="M80" s="24">
        <f t="shared" si="8"/>
        <v>0</v>
      </c>
      <c r="N80" s="13">
        <f t="shared" si="5"/>
        <v>0</v>
      </c>
      <c r="O80" s="13">
        <f t="shared" si="5"/>
        <v>0</v>
      </c>
      <c r="P80" s="13">
        <f t="shared" si="5"/>
        <v>0</v>
      </c>
      <c r="Q80" s="13">
        <f t="shared" si="5"/>
        <v>0</v>
      </c>
      <c r="R80" s="13">
        <f t="shared" si="5"/>
        <v>0</v>
      </c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</row>
    <row r="81" spans="1:33">
      <c r="A81" s="21" t="s">
        <v>67</v>
      </c>
      <c r="C81" s="22">
        <f t="shared" si="9"/>
        <v>0</v>
      </c>
      <c r="D81" s="22">
        <f t="shared" si="9"/>
        <v>0</v>
      </c>
      <c r="E81" s="23">
        <f t="shared" ref="E81:L87" si="10">($M81-$D81)/($M$63-$D$63)+D81</f>
        <v>0</v>
      </c>
      <c r="F81" s="23">
        <f t="shared" si="10"/>
        <v>0</v>
      </c>
      <c r="G81" s="23">
        <f t="shared" si="10"/>
        <v>0</v>
      </c>
      <c r="H81" s="23">
        <f t="shared" si="10"/>
        <v>0</v>
      </c>
      <c r="I81" s="23">
        <f t="shared" si="10"/>
        <v>0</v>
      </c>
      <c r="J81" s="23">
        <f t="shared" si="10"/>
        <v>0</v>
      </c>
      <c r="K81" s="23">
        <f t="shared" si="10"/>
        <v>0</v>
      </c>
      <c r="L81" s="23">
        <f t="shared" si="10"/>
        <v>0</v>
      </c>
      <c r="M81" s="24">
        <f t="shared" si="8"/>
        <v>0</v>
      </c>
      <c r="N81" s="13">
        <f t="shared" si="5"/>
        <v>0</v>
      </c>
      <c r="O81" s="13">
        <f t="shared" si="5"/>
        <v>0</v>
      </c>
      <c r="P81" s="13">
        <f t="shared" si="5"/>
        <v>0</v>
      </c>
      <c r="Q81" s="13">
        <f t="shared" si="5"/>
        <v>0</v>
      </c>
      <c r="R81" s="13">
        <f t="shared" si="5"/>
        <v>0</v>
      </c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</row>
    <row r="82" spans="1:33">
      <c r="A82" s="21" t="s">
        <v>68</v>
      </c>
      <c r="C82" s="25">
        <f>D82</f>
        <v>0</v>
      </c>
      <c r="D82" s="22">
        <f>E27/SUM(E$27:E$32)*$B$5</f>
        <v>0</v>
      </c>
      <c r="E82" s="23">
        <f t="shared" si="10"/>
        <v>0</v>
      </c>
      <c r="F82" s="23">
        <f t="shared" si="10"/>
        <v>0</v>
      </c>
      <c r="G82" s="23">
        <f t="shared" si="10"/>
        <v>0</v>
      </c>
      <c r="H82" s="23">
        <f t="shared" si="10"/>
        <v>0</v>
      </c>
      <c r="I82" s="23">
        <f t="shared" si="10"/>
        <v>0</v>
      </c>
      <c r="J82" s="23">
        <f t="shared" si="10"/>
        <v>0</v>
      </c>
      <c r="K82" s="23">
        <f t="shared" si="10"/>
        <v>0</v>
      </c>
      <c r="L82" s="23">
        <f t="shared" si="10"/>
        <v>0</v>
      </c>
      <c r="M82" s="24">
        <f t="shared" ref="M82:M87" si="11">F27/SUM($F$27:$F$32)*$B$5</f>
        <v>0</v>
      </c>
      <c r="N82" s="13">
        <f t="shared" ref="N82:R87" si="12">M82</f>
        <v>0</v>
      </c>
      <c r="O82" s="13">
        <f t="shared" si="12"/>
        <v>0</v>
      </c>
      <c r="P82" s="13">
        <f t="shared" si="12"/>
        <v>0</v>
      </c>
      <c r="Q82" s="13">
        <f t="shared" si="12"/>
        <v>0</v>
      </c>
      <c r="R82" s="13">
        <f t="shared" si="12"/>
        <v>0</v>
      </c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</row>
    <row r="83" spans="1:33">
      <c r="A83" s="21" t="s">
        <v>69</v>
      </c>
      <c r="C83" s="25">
        <f t="shared" ref="C83:C87" si="13">D83</f>
        <v>1.1253108263051894E-2</v>
      </c>
      <c r="D83" s="22">
        <f t="shared" ref="D83:D87" si="14">E28/SUM(E$27:E$32)*$B$5</f>
        <v>1.1253108263051894E-2</v>
      </c>
      <c r="E83" s="23">
        <f t="shared" si="10"/>
        <v>1.0002762900490573E-2</v>
      </c>
      <c r="F83" s="23">
        <f t="shared" si="10"/>
        <v>8.7524175379292517E-3</v>
      </c>
      <c r="G83" s="23">
        <f t="shared" si="10"/>
        <v>7.5020721753679305E-3</v>
      </c>
      <c r="H83" s="23">
        <f t="shared" si="10"/>
        <v>6.2517268128066093E-3</v>
      </c>
      <c r="I83" s="23">
        <f t="shared" si="10"/>
        <v>5.0013814502452882E-3</v>
      </c>
      <c r="J83" s="23">
        <f t="shared" si="10"/>
        <v>3.7510360876839666E-3</v>
      </c>
      <c r="K83" s="23">
        <f t="shared" si="10"/>
        <v>2.5006907251226449E-3</v>
      </c>
      <c r="L83" s="23">
        <f t="shared" si="10"/>
        <v>1.2503453625613233E-3</v>
      </c>
      <c r="M83" s="24">
        <f t="shared" si="11"/>
        <v>0</v>
      </c>
      <c r="N83" s="13">
        <f t="shared" si="12"/>
        <v>0</v>
      </c>
      <c r="O83" s="13">
        <f t="shared" si="12"/>
        <v>0</v>
      </c>
      <c r="P83" s="13">
        <f t="shared" si="12"/>
        <v>0</v>
      </c>
      <c r="Q83" s="13">
        <f t="shared" si="12"/>
        <v>0</v>
      </c>
      <c r="R83" s="13">
        <f t="shared" si="12"/>
        <v>0</v>
      </c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</row>
    <row r="84" spans="1:33">
      <c r="A84" s="21" t="s">
        <v>70</v>
      </c>
      <c r="C84" s="25">
        <f t="shared" si="13"/>
        <v>0</v>
      </c>
      <c r="D84" s="22">
        <f t="shared" si="14"/>
        <v>0</v>
      </c>
      <c r="E84" s="23">
        <f t="shared" si="10"/>
        <v>0</v>
      </c>
      <c r="F84" s="23">
        <f t="shared" si="10"/>
        <v>0</v>
      </c>
      <c r="G84" s="23">
        <f t="shared" si="10"/>
        <v>0</v>
      </c>
      <c r="H84" s="23">
        <f t="shared" si="10"/>
        <v>0</v>
      </c>
      <c r="I84" s="23">
        <f t="shared" si="10"/>
        <v>0</v>
      </c>
      <c r="J84" s="23">
        <f t="shared" si="10"/>
        <v>0</v>
      </c>
      <c r="K84" s="23">
        <f t="shared" si="10"/>
        <v>0</v>
      </c>
      <c r="L84" s="23">
        <f t="shared" si="10"/>
        <v>0</v>
      </c>
      <c r="M84" s="24">
        <f t="shared" si="11"/>
        <v>0</v>
      </c>
      <c r="N84" s="13">
        <f t="shared" si="12"/>
        <v>0</v>
      </c>
      <c r="O84" s="13">
        <f t="shared" si="12"/>
        <v>0</v>
      </c>
      <c r="P84" s="13">
        <f t="shared" si="12"/>
        <v>0</v>
      </c>
      <c r="Q84" s="13">
        <f t="shared" si="12"/>
        <v>0</v>
      </c>
      <c r="R84" s="13">
        <f t="shared" si="12"/>
        <v>0</v>
      </c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 spans="1:33">
      <c r="A85" s="21" t="s">
        <v>71</v>
      </c>
      <c r="C85" s="25">
        <f t="shared" si="13"/>
        <v>0.13518536637061024</v>
      </c>
      <c r="D85" s="22">
        <f t="shared" si="14"/>
        <v>0.13518536637061024</v>
      </c>
      <c r="E85" s="23">
        <f t="shared" si="10"/>
        <v>0.13643571173317157</v>
      </c>
      <c r="F85" s="23">
        <f t="shared" si="10"/>
        <v>0.13768605709573289</v>
      </c>
      <c r="G85" s="23">
        <f t="shared" si="10"/>
        <v>0.13893640245829422</v>
      </c>
      <c r="H85" s="23">
        <f t="shared" si="10"/>
        <v>0.14018674782085555</v>
      </c>
      <c r="I85" s="23">
        <f t="shared" si="10"/>
        <v>0.14143709318341688</v>
      </c>
      <c r="J85" s="23">
        <f t="shared" si="10"/>
        <v>0.14268743854597821</v>
      </c>
      <c r="K85" s="23">
        <f t="shared" si="10"/>
        <v>0.14393778390853953</v>
      </c>
      <c r="L85" s="23">
        <f t="shared" si="10"/>
        <v>0.14518812927110086</v>
      </c>
      <c r="M85" s="24">
        <f t="shared" si="11"/>
        <v>0.14643847463366214</v>
      </c>
      <c r="N85" s="13">
        <f t="shared" si="12"/>
        <v>0.14643847463366214</v>
      </c>
      <c r="O85" s="13">
        <f t="shared" si="12"/>
        <v>0.14643847463366214</v>
      </c>
      <c r="P85" s="13">
        <f t="shared" si="12"/>
        <v>0.14643847463366214</v>
      </c>
      <c r="Q85" s="13">
        <f t="shared" si="12"/>
        <v>0.14643847463366214</v>
      </c>
      <c r="R85" s="13">
        <f t="shared" si="12"/>
        <v>0.14643847463366214</v>
      </c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</row>
    <row r="86" spans="1:33">
      <c r="A86" s="21" t="s">
        <v>72</v>
      </c>
      <c r="C86" s="25">
        <f t="shared" si="13"/>
        <v>0</v>
      </c>
      <c r="D86" s="22">
        <f t="shared" si="14"/>
        <v>0</v>
      </c>
      <c r="E86" s="23">
        <f t="shared" si="10"/>
        <v>0</v>
      </c>
      <c r="F86" s="23">
        <f t="shared" si="10"/>
        <v>0</v>
      </c>
      <c r="G86" s="23">
        <f t="shared" si="10"/>
        <v>0</v>
      </c>
      <c r="H86" s="23">
        <f t="shared" si="10"/>
        <v>0</v>
      </c>
      <c r="I86" s="23">
        <f t="shared" si="10"/>
        <v>0</v>
      </c>
      <c r="J86" s="23">
        <f t="shared" si="10"/>
        <v>0</v>
      </c>
      <c r="K86" s="23">
        <f t="shared" si="10"/>
        <v>0</v>
      </c>
      <c r="L86" s="23">
        <f t="shared" si="10"/>
        <v>0</v>
      </c>
      <c r="M86" s="24">
        <f t="shared" si="11"/>
        <v>0</v>
      </c>
      <c r="N86" s="13">
        <f t="shared" si="12"/>
        <v>0</v>
      </c>
      <c r="O86" s="13">
        <f t="shared" si="12"/>
        <v>0</v>
      </c>
      <c r="P86" s="13">
        <f t="shared" si="12"/>
        <v>0</v>
      </c>
      <c r="Q86" s="13">
        <f t="shared" si="12"/>
        <v>0</v>
      </c>
      <c r="R86" s="13">
        <f t="shared" si="12"/>
        <v>0</v>
      </c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 spans="1:33">
      <c r="A87" s="21" t="s">
        <v>73</v>
      </c>
      <c r="C87" s="25">
        <f t="shared" si="13"/>
        <v>0</v>
      </c>
      <c r="D87" s="22">
        <f t="shared" si="14"/>
        <v>0</v>
      </c>
      <c r="E87" s="23">
        <f t="shared" si="10"/>
        <v>0</v>
      </c>
      <c r="F87" s="23">
        <f t="shared" si="10"/>
        <v>0</v>
      </c>
      <c r="G87" s="23">
        <f t="shared" si="10"/>
        <v>0</v>
      </c>
      <c r="H87" s="23">
        <f t="shared" si="10"/>
        <v>0</v>
      </c>
      <c r="I87" s="23">
        <f t="shared" si="10"/>
        <v>0</v>
      </c>
      <c r="J87" s="23">
        <f t="shared" si="10"/>
        <v>0</v>
      </c>
      <c r="K87" s="23">
        <f t="shared" si="10"/>
        <v>0</v>
      </c>
      <c r="L87" s="23">
        <f t="shared" si="10"/>
        <v>0</v>
      </c>
      <c r="M87" s="24">
        <f t="shared" si="11"/>
        <v>0</v>
      </c>
      <c r="N87" s="23">
        <f t="shared" si="12"/>
        <v>0</v>
      </c>
      <c r="O87" s="23">
        <f t="shared" si="12"/>
        <v>0</v>
      </c>
      <c r="P87" s="23">
        <f t="shared" si="12"/>
        <v>0</v>
      </c>
      <c r="Q87" s="23">
        <f t="shared" si="12"/>
        <v>0</v>
      </c>
      <c r="R87" s="13">
        <f t="shared" si="12"/>
        <v>0</v>
      </c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9" spans="1:33">
      <c r="A89" s="17" t="s">
        <v>101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 spans="1:33">
      <c r="A90" s="18" t="s">
        <v>102</v>
      </c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 spans="1:33">
      <c r="A91" s="12"/>
      <c r="C91" s="20">
        <v>2020</v>
      </c>
      <c r="D91" s="20">
        <v>2021</v>
      </c>
      <c r="E91" s="20">
        <v>2022</v>
      </c>
      <c r="F91" s="20">
        <v>2023</v>
      </c>
      <c r="G91" s="20">
        <v>2024</v>
      </c>
      <c r="H91" s="20">
        <v>2025</v>
      </c>
      <c r="I91" s="20">
        <v>2026</v>
      </c>
      <c r="J91" s="20">
        <v>2027</v>
      </c>
      <c r="K91" s="20">
        <v>2028</v>
      </c>
      <c r="L91" s="20">
        <v>2029</v>
      </c>
      <c r="M91" s="20">
        <v>2030</v>
      </c>
      <c r="N91" s="20">
        <v>2031</v>
      </c>
      <c r="O91" s="20">
        <v>2032</v>
      </c>
      <c r="P91" s="20">
        <v>2033</v>
      </c>
      <c r="Q91" s="20">
        <v>2034</v>
      </c>
      <c r="R91" s="20">
        <v>2035</v>
      </c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 spans="1:33">
      <c r="A92" s="21" t="s">
        <v>75</v>
      </c>
      <c r="C92" s="22">
        <f>D36/SUM(D$36:D$41)*$B$2</f>
        <v>0.21047240993008937</v>
      </c>
      <c r="D92" s="22">
        <f>E36/SUM(E$36:E$41)*$B$2</f>
        <v>0.15340302776633002</v>
      </c>
      <c r="E92" s="23">
        <f>($M92-$D92)/($M$91-$D$91)+D92</f>
        <v>0.13635824690340448</v>
      </c>
      <c r="F92" s="23">
        <f t="shared" ref="F92:L92" si="15">($M92-$D92)/($M$91-$D$91)+E92</f>
        <v>0.11931346604047892</v>
      </c>
      <c r="G92" s="23">
        <f t="shared" si="15"/>
        <v>0.10226868517755336</v>
      </c>
      <c r="H92" s="23">
        <f t="shared" si="15"/>
        <v>8.5223904314627799E-2</v>
      </c>
      <c r="I92" s="23">
        <f t="shared" si="15"/>
        <v>6.8179123451702239E-2</v>
      </c>
      <c r="J92" s="23">
        <f t="shared" si="15"/>
        <v>5.1134342588776679E-2</v>
      </c>
      <c r="K92" s="23">
        <f t="shared" si="15"/>
        <v>3.408956172585112E-2</v>
      </c>
      <c r="L92" s="23">
        <f t="shared" si="15"/>
        <v>1.704478086292556E-2</v>
      </c>
      <c r="M92" s="24">
        <f t="shared" ref="M92:M97" si="16">F36/SUM($F$36:$F$41)*$B$2</f>
        <v>0</v>
      </c>
      <c r="N92" s="13">
        <f>M92</f>
        <v>0</v>
      </c>
      <c r="O92" s="13">
        <f t="shared" ref="O92:R92" si="17">N92</f>
        <v>0</v>
      </c>
      <c r="P92" s="13">
        <f t="shared" si="17"/>
        <v>0</v>
      </c>
      <c r="Q92" s="13">
        <f t="shared" si="17"/>
        <v>0</v>
      </c>
      <c r="R92" s="13">
        <f t="shared" si="17"/>
        <v>0</v>
      </c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 spans="1:33">
      <c r="A93" s="21" t="s">
        <v>76</v>
      </c>
      <c r="C93" s="22">
        <f t="shared" ref="C93:D97" si="18">D37/SUM(D$36:D$41)*$B$2</f>
        <v>8.2312244790805377E-5</v>
      </c>
      <c r="D93" s="22">
        <f t="shared" si="18"/>
        <v>6.9409645060427856E-5</v>
      </c>
      <c r="E93" s="23">
        <f t="shared" ref="E93:L108" si="19">($M93-$D93)/($M$91-$D$91)+D93</f>
        <v>6.1697462275935876E-5</v>
      </c>
      <c r="F93" s="23">
        <f t="shared" si="19"/>
        <v>5.398527949144389E-5</v>
      </c>
      <c r="G93" s="23">
        <f t="shared" si="19"/>
        <v>4.6273096706951904E-5</v>
      </c>
      <c r="H93" s="23">
        <f t="shared" si="19"/>
        <v>3.8560913922459918E-5</v>
      </c>
      <c r="I93" s="23">
        <f t="shared" si="19"/>
        <v>3.0848731137967931E-5</v>
      </c>
      <c r="J93" s="23">
        <f t="shared" si="19"/>
        <v>2.3136548353475945E-5</v>
      </c>
      <c r="K93" s="23">
        <f t="shared" si="19"/>
        <v>1.5424365568983959E-5</v>
      </c>
      <c r="L93" s="23">
        <f t="shared" si="19"/>
        <v>7.7121827844919744E-6</v>
      </c>
      <c r="M93" s="24">
        <f t="shared" si="16"/>
        <v>0</v>
      </c>
      <c r="N93" s="24">
        <f t="shared" ref="N93:R108" si="20">M93</f>
        <v>0</v>
      </c>
      <c r="O93" s="24">
        <f t="shared" si="20"/>
        <v>0</v>
      </c>
      <c r="P93" s="24">
        <f t="shared" si="20"/>
        <v>0</v>
      </c>
      <c r="Q93" s="24">
        <f t="shared" si="20"/>
        <v>0</v>
      </c>
      <c r="R93" s="24">
        <f t="shared" si="20"/>
        <v>0</v>
      </c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 spans="1:33">
      <c r="A94" s="21" t="s">
        <v>77</v>
      </c>
      <c r="C94" s="22">
        <f t="shared" si="18"/>
        <v>5.8770942780635042E-2</v>
      </c>
      <c r="D94" s="22">
        <f t="shared" si="18"/>
        <v>0.11576371968661692</v>
      </c>
      <c r="E94" s="23">
        <f t="shared" si="19"/>
        <v>0.1029010841658817</v>
      </c>
      <c r="F94" s="23">
        <f t="shared" si="19"/>
        <v>9.0038448645146485E-2</v>
      </c>
      <c r="G94" s="23">
        <f t="shared" si="19"/>
        <v>7.7175813124411269E-2</v>
      </c>
      <c r="H94" s="23">
        <f t="shared" si="19"/>
        <v>6.4313177603676053E-2</v>
      </c>
      <c r="I94" s="23">
        <f t="shared" si="19"/>
        <v>5.1450542082940837E-2</v>
      </c>
      <c r="J94" s="23">
        <f t="shared" si="19"/>
        <v>3.8587906562205621E-2</v>
      </c>
      <c r="K94" s="23">
        <f t="shared" si="19"/>
        <v>2.5725271041470408E-2</v>
      </c>
      <c r="L94" s="23">
        <f t="shared" si="19"/>
        <v>1.2862635520735195E-2</v>
      </c>
      <c r="M94" s="24">
        <f t="shared" si="16"/>
        <v>0</v>
      </c>
      <c r="N94" s="24">
        <f t="shared" si="20"/>
        <v>0</v>
      </c>
      <c r="O94" s="24">
        <f t="shared" si="20"/>
        <v>0</v>
      </c>
      <c r="P94" s="24">
        <f t="shared" si="20"/>
        <v>0</v>
      </c>
      <c r="Q94" s="24">
        <f t="shared" si="20"/>
        <v>0</v>
      </c>
      <c r="R94" s="24">
        <f t="shared" si="20"/>
        <v>0</v>
      </c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 spans="1:33">
      <c r="A95" s="21" t="s">
        <v>78</v>
      </c>
      <c r="C95" s="22">
        <f t="shared" si="18"/>
        <v>3.5394265260046308E-4</v>
      </c>
      <c r="D95" s="22">
        <f t="shared" si="18"/>
        <v>6.1697462275935863E-5</v>
      </c>
      <c r="E95" s="23">
        <f t="shared" si="19"/>
        <v>3.0019243034035907E-2</v>
      </c>
      <c r="F95" s="23">
        <f t="shared" si="19"/>
        <v>5.9976788605795875E-2</v>
      </c>
      <c r="G95" s="23">
        <f t="shared" si="19"/>
        <v>8.993433417755585E-2</v>
      </c>
      <c r="H95" s="23">
        <f t="shared" si="19"/>
        <v>0.11989187974931582</v>
      </c>
      <c r="I95" s="23">
        <f t="shared" si="19"/>
        <v>0.14984942532107579</v>
      </c>
      <c r="J95" s="23">
        <f t="shared" si="19"/>
        <v>0.17980697089283576</v>
      </c>
      <c r="K95" s="23">
        <f t="shared" si="19"/>
        <v>0.20976451646459573</v>
      </c>
      <c r="L95" s="23">
        <f t="shared" si="19"/>
        <v>0.23972206203635571</v>
      </c>
      <c r="M95" s="24">
        <f t="shared" si="16"/>
        <v>0.26967960760811566</v>
      </c>
      <c r="N95" s="24">
        <f t="shared" si="20"/>
        <v>0.26967960760811566</v>
      </c>
      <c r="O95" s="24">
        <f t="shared" si="20"/>
        <v>0.26967960760811566</v>
      </c>
      <c r="P95" s="24">
        <f t="shared" si="20"/>
        <v>0.26967960760811566</v>
      </c>
      <c r="Q95" s="24">
        <f t="shared" si="20"/>
        <v>0.26967960760811566</v>
      </c>
      <c r="R95" s="24">
        <f t="shared" si="20"/>
        <v>0.26967960760811566</v>
      </c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 spans="1:33">
      <c r="A96" s="21" t="s">
        <v>79</v>
      </c>
      <c r="C96" s="22">
        <f t="shared" si="18"/>
        <v>0</v>
      </c>
      <c r="D96" s="22">
        <f t="shared" si="18"/>
        <v>3.8175304783235313E-4</v>
      </c>
      <c r="E96" s="23">
        <f t="shared" si="19"/>
        <v>3.393360425176472E-4</v>
      </c>
      <c r="F96" s="23">
        <f t="shared" si="19"/>
        <v>2.9691903720294128E-4</v>
      </c>
      <c r="G96" s="23">
        <f t="shared" si="19"/>
        <v>2.5450203188823536E-4</v>
      </c>
      <c r="H96" s="23">
        <f t="shared" si="19"/>
        <v>2.1208502657352947E-4</v>
      </c>
      <c r="I96" s="23">
        <f t="shared" si="19"/>
        <v>1.6966802125882358E-4</v>
      </c>
      <c r="J96" s="23">
        <f t="shared" si="19"/>
        <v>1.2725101594411768E-4</v>
      </c>
      <c r="K96" s="23">
        <f t="shared" si="19"/>
        <v>8.4834010629411788E-5</v>
      </c>
      <c r="L96" s="23">
        <f t="shared" si="19"/>
        <v>4.2417005314705887E-5</v>
      </c>
      <c r="M96" s="24">
        <f t="shared" si="16"/>
        <v>0</v>
      </c>
      <c r="N96" s="24">
        <f t="shared" si="20"/>
        <v>0</v>
      </c>
      <c r="O96" s="24">
        <f t="shared" si="20"/>
        <v>0</v>
      </c>
      <c r="P96" s="24">
        <f t="shared" si="20"/>
        <v>0</v>
      </c>
      <c r="Q96" s="24">
        <f t="shared" si="20"/>
        <v>0</v>
      </c>
      <c r="R96" s="24">
        <f t="shared" si="20"/>
        <v>0</v>
      </c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 spans="1:33">
      <c r="A97" s="21" t="s">
        <v>80</v>
      </c>
      <c r="C97" s="22">
        <f t="shared" si="18"/>
        <v>0</v>
      </c>
      <c r="D97" s="22">
        <f t="shared" si="18"/>
        <v>0</v>
      </c>
      <c r="E97" s="23">
        <f t="shared" si="19"/>
        <v>0</v>
      </c>
      <c r="F97" s="23">
        <f t="shared" si="19"/>
        <v>0</v>
      </c>
      <c r="G97" s="23">
        <f t="shared" si="19"/>
        <v>0</v>
      </c>
      <c r="H97" s="23">
        <f t="shared" si="19"/>
        <v>0</v>
      </c>
      <c r="I97" s="23">
        <f t="shared" si="19"/>
        <v>0</v>
      </c>
      <c r="J97" s="23">
        <f t="shared" si="19"/>
        <v>0</v>
      </c>
      <c r="K97" s="23">
        <f t="shared" si="19"/>
        <v>0</v>
      </c>
      <c r="L97" s="23">
        <f t="shared" si="19"/>
        <v>0</v>
      </c>
      <c r="M97" s="24">
        <f t="shared" si="16"/>
        <v>0</v>
      </c>
      <c r="N97" s="24">
        <f t="shared" si="20"/>
        <v>0</v>
      </c>
      <c r="O97" s="24">
        <f t="shared" si="20"/>
        <v>0</v>
      </c>
      <c r="P97" s="24">
        <f t="shared" si="20"/>
        <v>0</v>
      </c>
      <c r="Q97" s="24">
        <f t="shared" si="20"/>
        <v>0</v>
      </c>
      <c r="R97" s="24">
        <f t="shared" si="20"/>
        <v>0</v>
      </c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 spans="1:33">
      <c r="A98" s="21" t="s">
        <v>81</v>
      </c>
      <c r="C98" s="22">
        <f>D42/SUM(D$42:D$47)*$B$3</f>
        <v>0.35204001293367315</v>
      </c>
      <c r="D98" s="22">
        <f>E42/SUM(E$42:E$47)*$B$3</f>
        <v>0.30450865727465637</v>
      </c>
      <c r="E98" s="23">
        <f t="shared" si="19"/>
        <v>0.27067436202191675</v>
      </c>
      <c r="F98" s="23">
        <f t="shared" si="19"/>
        <v>0.23684006676917715</v>
      </c>
      <c r="G98" s="23">
        <f t="shared" si="19"/>
        <v>0.20300577151643756</v>
      </c>
      <c r="H98" s="23">
        <f t="shared" si="19"/>
        <v>0.16917147626369797</v>
      </c>
      <c r="I98" s="23">
        <f t="shared" si="19"/>
        <v>0.13533718101095837</v>
      </c>
      <c r="J98" s="23">
        <f t="shared" si="19"/>
        <v>0.10150288575821878</v>
      </c>
      <c r="K98" s="23">
        <f t="shared" si="19"/>
        <v>6.7668590505479187E-2</v>
      </c>
      <c r="L98" s="23">
        <f t="shared" si="19"/>
        <v>3.3834295252739593E-2</v>
      </c>
      <c r="M98" s="24">
        <f t="shared" ref="M98:M103" si="21">F42/SUM($F$42:$F$47)*$B$3</f>
        <v>0</v>
      </c>
      <c r="N98" s="24">
        <f t="shared" si="20"/>
        <v>0</v>
      </c>
      <c r="O98" s="24">
        <f t="shared" si="20"/>
        <v>0</v>
      </c>
      <c r="P98" s="24">
        <f t="shared" si="20"/>
        <v>0</v>
      </c>
      <c r="Q98" s="24">
        <f t="shared" si="20"/>
        <v>0</v>
      </c>
      <c r="R98" s="24">
        <f t="shared" si="20"/>
        <v>0</v>
      </c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 spans="1:33">
      <c r="A99" s="21" t="s">
        <v>82</v>
      </c>
      <c r="C99" s="22">
        <f t="shared" ref="C99:D103" si="22">D43/SUM(D$42:D$47)*$B$3</f>
        <v>1.0909078789405687E-3</v>
      </c>
      <c r="D99" s="22">
        <f t="shared" si="22"/>
        <v>4.8622263537957351E-2</v>
      </c>
      <c r="E99" s="23">
        <f t="shared" si="19"/>
        <v>4.3219789811517646E-2</v>
      </c>
      <c r="F99" s="23">
        <f t="shared" si="19"/>
        <v>3.7817316085077941E-2</v>
      </c>
      <c r="G99" s="23">
        <f t="shared" si="19"/>
        <v>3.2414842358638236E-2</v>
      </c>
      <c r="H99" s="23">
        <f t="shared" si="19"/>
        <v>2.7012368632198532E-2</v>
      </c>
      <c r="I99" s="23">
        <f t="shared" si="19"/>
        <v>2.1609894905758827E-2</v>
      </c>
      <c r="J99" s="23">
        <f t="shared" si="19"/>
        <v>1.6207421179319122E-2</v>
      </c>
      <c r="K99" s="23">
        <f t="shared" si="19"/>
        <v>1.0804947452879417E-2</v>
      </c>
      <c r="L99" s="23">
        <f t="shared" si="19"/>
        <v>5.402473726439711E-3</v>
      </c>
      <c r="M99" s="24">
        <f t="shared" si="21"/>
        <v>0</v>
      </c>
      <c r="N99" s="24">
        <f t="shared" si="20"/>
        <v>0</v>
      </c>
      <c r="O99" s="24">
        <f t="shared" si="20"/>
        <v>0</v>
      </c>
      <c r="P99" s="24">
        <f t="shared" si="20"/>
        <v>0</v>
      </c>
      <c r="Q99" s="24">
        <f t="shared" si="20"/>
        <v>0</v>
      </c>
      <c r="R99" s="24">
        <f t="shared" si="20"/>
        <v>0</v>
      </c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 spans="1:33">
      <c r="A100" s="21" t="s">
        <v>83</v>
      </c>
      <c r="C100" s="22">
        <f t="shared" si="22"/>
        <v>0</v>
      </c>
      <c r="D100" s="22">
        <f t="shared" si="22"/>
        <v>0</v>
      </c>
      <c r="E100" s="23">
        <f t="shared" si="19"/>
        <v>0</v>
      </c>
      <c r="F100" s="23">
        <f t="shared" si="19"/>
        <v>0</v>
      </c>
      <c r="G100" s="23">
        <f t="shared" si="19"/>
        <v>0</v>
      </c>
      <c r="H100" s="23">
        <f t="shared" si="19"/>
        <v>0</v>
      </c>
      <c r="I100" s="23">
        <f t="shared" si="19"/>
        <v>0</v>
      </c>
      <c r="J100" s="23">
        <f t="shared" si="19"/>
        <v>0</v>
      </c>
      <c r="K100" s="23">
        <f t="shared" si="19"/>
        <v>0</v>
      </c>
      <c r="L100" s="23">
        <f t="shared" si="19"/>
        <v>0</v>
      </c>
      <c r="M100" s="24">
        <f t="shared" si="21"/>
        <v>0</v>
      </c>
      <c r="N100" s="24">
        <f t="shared" si="20"/>
        <v>0</v>
      </c>
      <c r="O100" s="24">
        <f t="shared" si="20"/>
        <v>0</v>
      </c>
      <c r="P100" s="24">
        <f t="shared" si="20"/>
        <v>0</v>
      </c>
      <c r="Q100" s="24">
        <f t="shared" si="20"/>
        <v>0</v>
      </c>
      <c r="R100" s="24">
        <f t="shared" si="20"/>
        <v>0</v>
      </c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 spans="1:33">
      <c r="A101" s="21" t="s">
        <v>84</v>
      </c>
      <c r="C101" s="22">
        <f t="shared" si="22"/>
        <v>0</v>
      </c>
      <c r="D101" s="22">
        <f t="shared" si="22"/>
        <v>0</v>
      </c>
      <c r="E101" s="23">
        <f t="shared" si="19"/>
        <v>3.9236768979179298E-2</v>
      </c>
      <c r="F101" s="23">
        <f t="shared" si="19"/>
        <v>7.8473537958358597E-2</v>
      </c>
      <c r="G101" s="23">
        <f t="shared" si="19"/>
        <v>0.1177103069375379</v>
      </c>
      <c r="H101" s="23">
        <f t="shared" si="19"/>
        <v>0.15694707591671719</v>
      </c>
      <c r="I101" s="23">
        <f t="shared" si="19"/>
        <v>0.19618384489589649</v>
      </c>
      <c r="J101" s="23">
        <f t="shared" si="19"/>
        <v>0.23542061387507579</v>
      </c>
      <c r="K101" s="23">
        <f t="shared" si="19"/>
        <v>0.27465738285425512</v>
      </c>
      <c r="L101" s="23">
        <f t="shared" si="19"/>
        <v>0.31389415183343439</v>
      </c>
      <c r="M101" s="24">
        <f t="shared" si="21"/>
        <v>0.35313092081261371</v>
      </c>
      <c r="N101" s="24">
        <f t="shared" si="20"/>
        <v>0.35313092081261371</v>
      </c>
      <c r="O101" s="24">
        <f t="shared" si="20"/>
        <v>0.35313092081261371</v>
      </c>
      <c r="P101" s="24">
        <f t="shared" si="20"/>
        <v>0.35313092081261371</v>
      </c>
      <c r="Q101" s="24">
        <f t="shared" si="20"/>
        <v>0.35313092081261371</v>
      </c>
      <c r="R101" s="24">
        <f t="shared" si="20"/>
        <v>0.35313092081261371</v>
      </c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 spans="1:33">
      <c r="A102" s="21" t="s">
        <v>85</v>
      </c>
      <c r="C102" s="22">
        <f t="shared" si="22"/>
        <v>0</v>
      </c>
      <c r="D102" s="22">
        <f t="shared" si="22"/>
        <v>0</v>
      </c>
      <c r="E102" s="23">
        <f t="shared" si="19"/>
        <v>0</v>
      </c>
      <c r="F102" s="23">
        <f t="shared" si="19"/>
        <v>0</v>
      </c>
      <c r="G102" s="23">
        <f t="shared" si="19"/>
        <v>0</v>
      </c>
      <c r="H102" s="23">
        <f t="shared" si="19"/>
        <v>0</v>
      </c>
      <c r="I102" s="23">
        <f t="shared" si="19"/>
        <v>0</v>
      </c>
      <c r="J102" s="23">
        <f t="shared" si="19"/>
        <v>0</v>
      </c>
      <c r="K102" s="23">
        <f t="shared" si="19"/>
        <v>0</v>
      </c>
      <c r="L102" s="23">
        <f t="shared" si="19"/>
        <v>0</v>
      </c>
      <c r="M102" s="24">
        <f t="shared" si="21"/>
        <v>0</v>
      </c>
      <c r="N102" s="24">
        <f t="shared" si="20"/>
        <v>0</v>
      </c>
      <c r="O102" s="24">
        <f t="shared" si="20"/>
        <v>0</v>
      </c>
      <c r="P102" s="24">
        <f t="shared" si="20"/>
        <v>0</v>
      </c>
      <c r="Q102" s="24">
        <f t="shared" si="20"/>
        <v>0</v>
      </c>
      <c r="R102" s="24">
        <f t="shared" si="20"/>
        <v>0</v>
      </c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 spans="1:33">
      <c r="A103" s="21" t="s">
        <v>86</v>
      </c>
      <c r="C103" s="22">
        <f t="shared" si="22"/>
        <v>0</v>
      </c>
      <c r="D103" s="22">
        <f t="shared" si="22"/>
        <v>0</v>
      </c>
      <c r="E103" s="23">
        <f t="shared" si="19"/>
        <v>0</v>
      </c>
      <c r="F103" s="23">
        <f t="shared" si="19"/>
        <v>0</v>
      </c>
      <c r="G103" s="23">
        <f t="shared" si="19"/>
        <v>0</v>
      </c>
      <c r="H103" s="23">
        <f t="shared" si="19"/>
        <v>0</v>
      </c>
      <c r="I103" s="23">
        <f t="shared" si="19"/>
        <v>0</v>
      </c>
      <c r="J103" s="23">
        <f t="shared" si="19"/>
        <v>0</v>
      </c>
      <c r="K103" s="23">
        <f t="shared" si="19"/>
        <v>0</v>
      </c>
      <c r="L103" s="23">
        <f t="shared" si="19"/>
        <v>0</v>
      </c>
      <c r="M103" s="24">
        <f t="shared" si="21"/>
        <v>0</v>
      </c>
      <c r="N103" s="24">
        <f t="shared" si="20"/>
        <v>0</v>
      </c>
      <c r="O103" s="24">
        <f t="shared" si="20"/>
        <v>0</v>
      </c>
      <c r="P103" s="24">
        <f t="shared" si="20"/>
        <v>0</v>
      </c>
      <c r="Q103" s="24">
        <f t="shared" si="20"/>
        <v>0</v>
      </c>
      <c r="R103" s="24">
        <f t="shared" si="20"/>
        <v>0</v>
      </c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 spans="1:33">
      <c r="A104" s="21" t="s">
        <v>87</v>
      </c>
      <c r="C104" s="22">
        <f>D48/SUM(D$48:D$53)*$B$4</f>
        <v>5.4746921649170499E-2</v>
      </c>
      <c r="D104" s="22">
        <f>E48/SUM(E$48:E$53)*$B$4</f>
        <v>3.6736288120909351E-2</v>
      </c>
      <c r="E104" s="23">
        <f t="shared" si="19"/>
        <v>3.2654478329697201E-2</v>
      </c>
      <c r="F104" s="23">
        <f t="shared" si="19"/>
        <v>2.8572668538485051E-2</v>
      </c>
      <c r="G104" s="23">
        <f t="shared" si="19"/>
        <v>2.4490858747272901E-2</v>
      </c>
      <c r="H104" s="23">
        <f t="shared" si="19"/>
        <v>2.040904895606075E-2</v>
      </c>
      <c r="I104" s="23">
        <f t="shared" si="19"/>
        <v>1.63272391648486E-2</v>
      </c>
      <c r="J104" s="23">
        <f t="shared" si="19"/>
        <v>1.224542937363645E-2</v>
      </c>
      <c r="K104" s="23">
        <f t="shared" si="19"/>
        <v>8.1636195824243002E-3</v>
      </c>
      <c r="L104" s="23">
        <f t="shared" si="19"/>
        <v>4.0818097912121501E-3</v>
      </c>
      <c r="M104" s="24">
        <f t="shared" ref="M104:M109" si="23">F48/SUM($F$48:$F$53)*$B$4</f>
        <v>0</v>
      </c>
      <c r="N104" s="24">
        <f t="shared" si="20"/>
        <v>0</v>
      </c>
      <c r="O104" s="24">
        <f t="shared" si="20"/>
        <v>0</v>
      </c>
      <c r="P104" s="24">
        <f t="shared" si="20"/>
        <v>0</v>
      </c>
      <c r="Q104" s="24">
        <f t="shared" si="20"/>
        <v>0</v>
      </c>
      <c r="R104" s="24">
        <f t="shared" si="20"/>
        <v>0</v>
      </c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 spans="1:33">
      <c r="A105" s="21" t="s">
        <v>88</v>
      </c>
      <c r="C105" s="22">
        <f t="shared" ref="C105:D109" si="24">D49/SUM(D$48:D$53)*$B$4</f>
        <v>0.17125122263020509</v>
      </c>
      <c r="D105" s="22">
        <f t="shared" si="24"/>
        <v>0.19401470882469915</v>
      </c>
      <c r="E105" s="23">
        <f t="shared" si="19"/>
        <v>0.17245751895528813</v>
      </c>
      <c r="F105" s="23">
        <f t="shared" si="19"/>
        <v>0.15090032908587711</v>
      </c>
      <c r="G105" s="23">
        <f t="shared" si="19"/>
        <v>0.12934313921646609</v>
      </c>
      <c r="H105" s="23">
        <f t="shared" si="19"/>
        <v>0.10778594934705507</v>
      </c>
      <c r="I105" s="23">
        <f t="shared" si="19"/>
        <v>8.6228759477644051E-2</v>
      </c>
      <c r="J105" s="23">
        <f t="shared" si="19"/>
        <v>6.4671569608233032E-2</v>
      </c>
      <c r="K105" s="23">
        <f t="shared" si="19"/>
        <v>4.3114379738822012E-2</v>
      </c>
      <c r="L105" s="23">
        <f t="shared" si="19"/>
        <v>2.1557189869410995E-2</v>
      </c>
      <c r="M105" s="24">
        <f t="shared" si="23"/>
        <v>0</v>
      </c>
      <c r="N105" s="24">
        <f t="shared" si="20"/>
        <v>0</v>
      </c>
      <c r="O105" s="24">
        <f t="shared" si="20"/>
        <v>0</v>
      </c>
      <c r="P105" s="24">
        <f t="shared" si="20"/>
        <v>0</v>
      </c>
      <c r="Q105" s="24">
        <f t="shared" si="20"/>
        <v>0</v>
      </c>
      <c r="R105" s="24">
        <f t="shared" si="20"/>
        <v>0</v>
      </c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 spans="1:33">
      <c r="A106" s="21" t="s">
        <v>89</v>
      </c>
      <c r="C106" s="22">
        <f t="shared" si="24"/>
        <v>0</v>
      </c>
      <c r="D106" s="22">
        <f t="shared" si="24"/>
        <v>0</v>
      </c>
      <c r="E106" s="23">
        <f t="shared" si="19"/>
        <v>0</v>
      </c>
      <c r="F106" s="23">
        <f t="shared" si="19"/>
        <v>0</v>
      </c>
      <c r="G106" s="23">
        <f t="shared" si="19"/>
        <v>0</v>
      </c>
      <c r="H106" s="23">
        <f t="shared" si="19"/>
        <v>0</v>
      </c>
      <c r="I106" s="23">
        <f t="shared" si="19"/>
        <v>0</v>
      </c>
      <c r="J106" s="23">
        <f t="shared" si="19"/>
        <v>0</v>
      </c>
      <c r="K106" s="23">
        <f t="shared" si="19"/>
        <v>0</v>
      </c>
      <c r="L106" s="23">
        <f t="shared" si="19"/>
        <v>0</v>
      </c>
      <c r="M106" s="24">
        <f t="shared" si="23"/>
        <v>0</v>
      </c>
      <c r="N106" s="24">
        <f t="shared" si="20"/>
        <v>0</v>
      </c>
      <c r="O106" s="24">
        <f t="shared" si="20"/>
        <v>0</v>
      </c>
      <c r="P106" s="24">
        <f t="shared" si="20"/>
        <v>0</v>
      </c>
      <c r="Q106" s="24">
        <f t="shared" si="20"/>
        <v>0</v>
      </c>
      <c r="R106" s="24">
        <f t="shared" si="20"/>
        <v>0</v>
      </c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 spans="1:33">
      <c r="A107" s="21" t="s">
        <v>90</v>
      </c>
      <c r="C107" s="22">
        <f t="shared" si="24"/>
        <v>0</v>
      </c>
      <c r="D107" s="22">
        <f t="shared" si="24"/>
        <v>0</v>
      </c>
      <c r="E107" s="23">
        <f t="shared" si="19"/>
        <v>2.5638999660623166E-2</v>
      </c>
      <c r="F107" s="23">
        <f t="shared" si="19"/>
        <v>5.1277999321246333E-2</v>
      </c>
      <c r="G107" s="23">
        <f t="shared" si="19"/>
        <v>7.6916998981869503E-2</v>
      </c>
      <c r="H107" s="23">
        <f t="shared" si="19"/>
        <v>0.10255599864249267</v>
      </c>
      <c r="I107" s="23">
        <f t="shared" si="19"/>
        <v>0.12819499830311584</v>
      </c>
      <c r="J107" s="23">
        <f t="shared" si="19"/>
        <v>0.15383399796373901</v>
      </c>
      <c r="K107" s="23">
        <f t="shared" si="19"/>
        <v>0.17947299762436217</v>
      </c>
      <c r="L107" s="23">
        <f t="shared" si="19"/>
        <v>0.20511199728498533</v>
      </c>
      <c r="M107" s="24">
        <f t="shared" si="23"/>
        <v>0.23075099694560849</v>
      </c>
      <c r="N107" s="24">
        <f t="shared" si="20"/>
        <v>0.23075099694560849</v>
      </c>
      <c r="O107" s="24">
        <f t="shared" si="20"/>
        <v>0.23075099694560849</v>
      </c>
      <c r="P107" s="24">
        <f t="shared" si="20"/>
        <v>0.23075099694560849</v>
      </c>
      <c r="Q107" s="24">
        <f t="shared" si="20"/>
        <v>0.23075099694560849</v>
      </c>
      <c r="R107" s="24">
        <f t="shared" si="20"/>
        <v>0.23075099694560849</v>
      </c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 spans="1:33">
      <c r="A108" s="21" t="s">
        <v>91</v>
      </c>
      <c r="C108" s="22">
        <f t="shared" si="24"/>
        <v>4.7528526662329248E-3</v>
      </c>
      <c r="D108" s="22">
        <f t="shared" si="24"/>
        <v>0</v>
      </c>
      <c r="E108" s="23">
        <f t="shared" si="19"/>
        <v>0</v>
      </c>
      <c r="F108" s="23">
        <f t="shared" si="19"/>
        <v>0</v>
      </c>
      <c r="G108" s="23">
        <f t="shared" si="19"/>
        <v>0</v>
      </c>
      <c r="H108" s="23">
        <f t="shared" si="19"/>
        <v>0</v>
      </c>
      <c r="I108" s="23">
        <f t="shared" si="19"/>
        <v>0</v>
      </c>
      <c r="J108" s="23">
        <f t="shared" si="19"/>
        <v>0</v>
      </c>
      <c r="K108" s="23">
        <f t="shared" si="19"/>
        <v>0</v>
      </c>
      <c r="L108" s="23">
        <f t="shared" si="19"/>
        <v>0</v>
      </c>
      <c r="M108" s="24">
        <f t="shared" si="23"/>
        <v>0</v>
      </c>
      <c r="N108" s="24">
        <f t="shared" si="20"/>
        <v>0</v>
      </c>
      <c r="O108" s="24">
        <f t="shared" si="20"/>
        <v>0</v>
      </c>
      <c r="P108" s="24">
        <f t="shared" si="20"/>
        <v>0</v>
      </c>
      <c r="Q108" s="24">
        <f t="shared" si="20"/>
        <v>0</v>
      </c>
      <c r="R108" s="24">
        <f t="shared" si="20"/>
        <v>0</v>
      </c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 spans="1:33">
      <c r="A109" s="21" t="s">
        <v>92</v>
      </c>
      <c r="C109" s="22">
        <f t="shared" si="24"/>
        <v>0</v>
      </c>
      <c r="D109" s="22">
        <f t="shared" si="24"/>
        <v>0</v>
      </c>
      <c r="E109" s="23">
        <f t="shared" ref="E109:L112" si="25">($M109-$D109)/($M$91-$D$91)+D109</f>
        <v>0</v>
      </c>
      <c r="F109" s="23">
        <f t="shared" si="25"/>
        <v>0</v>
      </c>
      <c r="G109" s="23">
        <f t="shared" si="25"/>
        <v>0</v>
      </c>
      <c r="H109" s="23">
        <f t="shared" si="25"/>
        <v>0</v>
      </c>
      <c r="I109" s="23">
        <f t="shared" si="25"/>
        <v>0</v>
      </c>
      <c r="J109" s="23">
        <f t="shared" si="25"/>
        <v>0</v>
      </c>
      <c r="K109" s="23">
        <f t="shared" si="25"/>
        <v>0</v>
      </c>
      <c r="L109" s="23">
        <f t="shared" si="25"/>
        <v>0</v>
      </c>
      <c r="M109" s="24">
        <f t="shared" si="23"/>
        <v>0</v>
      </c>
      <c r="N109" s="24">
        <f t="shared" ref="N109:R109" si="26">M109</f>
        <v>0</v>
      </c>
      <c r="O109" s="24">
        <f t="shared" si="26"/>
        <v>0</v>
      </c>
      <c r="P109" s="24">
        <f t="shared" si="26"/>
        <v>0</v>
      </c>
      <c r="Q109" s="24">
        <f t="shared" si="26"/>
        <v>0</v>
      </c>
      <c r="R109" s="24">
        <f t="shared" si="26"/>
        <v>0</v>
      </c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 spans="1:33">
      <c r="A110" s="21" t="s">
        <v>93</v>
      </c>
      <c r="C110" s="22">
        <v>0</v>
      </c>
      <c r="D110" s="22">
        <v>0</v>
      </c>
      <c r="E110" s="23">
        <f t="shared" si="25"/>
        <v>0</v>
      </c>
      <c r="F110" s="23">
        <f t="shared" si="25"/>
        <v>0</v>
      </c>
      <c r="G110" s="23">
        <f t="shared" si="25"/>
        <v>0</v>
      </c>
      <c r="H110" s="23">
        <f t="shared" si="25"/>
        <v>0</v>
      </c>
      <c r="I110" s="23">
        <f t="shared" si="25"/>
        <v>0</v>
      </c>
      <c r="J110" s="23">
        <f t="shared" si="25"/>
        <v>0</v>
      </c>
      <c r="K110" s="23">
        <f t="shared" si="25"/>
        <v>0</v>
      </c>
      <c r="L110" s="23">
        <f t="shared" si="25"/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 spans="1:33">
      <c r="A111" s="21" t="s">
        <v>94</v>
      </c>
      <c r="C111" s="22">
        <v>0</v>
      </c>
      <c r="D111" s="22">
        <v>0</v>
      </c>
      <c r="E111" s="23">
        <f t="shared" si="25"/>
        <v>0</v>
      </c>
      <c r="F111" s="23">
        <f t="shared" si="25"/>
        <v>0</v>
      </c>
      <c r="G111" s="23">
        <f t="shared" si="25"/>
        <v>0</v>
      </c>
      <c r="H111" s="23">
        <f t="shared" si="25"/>
        <v>0</v>
      </c>
      <c r="I111" s="23">
        <f t="shared" si="25"/>
        <v>0</v>
      </c>
      <c r="J111" s="23">
        <f t="shared" si="25"/>
        <v>0</v>
      </c>
      <c r="K111" s="23">
        <f t="shared" si="25"/>
        <v>0</v>
      </c>
      <c r="L111" s="23">
        <f t="shared" si="25"/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 spans="1:33">
      <c r="A112" s="21" t="s">
        <v>95</v>
      </c>
      <c r="C112" s="22">
        <v>0</v>
      </c>
      <c r="D112" s="22">
        <v>0</v>
      </c>
      <c r="E112" s="23">
        <f t="shared" si="25"/>
        <v>0</v>
      </c>
      <c r="F112" s="23">
        <f t="shared" si="25"/>
        <v>0</v>
      </c>
      <c r="G112" s="23">
        <f t="shared" si="25"/>
        <v>0</v>
      </c>
      <c r="H112" s="23">
        <f t="shared" si="25"/>
        <v>0</v>
      </c>
      <c r="I112" s="23">
        <f t="shared" si="25"/>
        <v>0</v>
      </c>
      <c r="J112" s="23">
        <f t="shared" si="25"/>
        <v>0</v>
      </c>
      <c r="K112" s="23">
        <f t="shared" si="25"/>
        <v>0</v>
      </c>
      <c r="L112" s="23">
        <f t="shared" si="25"/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 spans="1:33">
      <c r="A113" s="21" t="s">
        <v>96</v>
      </c>
      <c r="C113" s="25">
        <f>B5</f>
        <v>0.14643847463366214</v>
      </c>
      <c r="D113" s="25">
        <f>C113</f>
        <v>0.14643847463366214</v>
      </c>
      <c r="E113" s="26">
        <f t="shared" ref="E113:R113" si="27">D113</f>
        <v>0.14643847463366214</v>
      </c>
      <c r="F113" s="26">
        <f t="shared" si="27"/>
        <v>0.14643847463366214</v>
      </c>
      <c r="G113" s="26">
        <f t="shared" si="27"/>
        <v>0.14643847463366214</v>
      </c>
      <c r="H113" s="26">
        <f t="shared" si="27"/>
        <v>0.14643847463366214</v>
      </c>
      <c r="I113" s="26">
        <f t="shared" si="27"/>
        <v>0.14643847463366214</v>
      </c>
      <c r="J113" s="26">
        <f t="shared" si="27"/>
        <v>0.14643847463366214</v>
      </c>
      <c r="K113" s="26">
        <f t="shared" si="27"/>
        <v>0.14643847463366214</v>
      </c>
      <c r="L113" s="26">
        <f t="shared" si="27"/>
        <v>0.14643847463366214</v>
      </c>
      <c r="M113" s="26">
        <f t="shared" si="27"/>
        <v>0.14643847463366214</v>
      </c>
      <c r="N113" s="26">
        <f t="shared" si="27"/>
        <v>0.14643847463366214</v>
      </c>
      <c r="O113" s="26">
        <f t="shared" si="27"/>
        <v>0.14643847463366214</v>
      </c>
      <c r="P113" s="26">
        <f t="shared" si="27"/>
        <v>0.14643847463366214</v>
      </c>
      <c r="Q113" s="26">
        <f t="shared" si="27"/>
        <v>0.14643847463366214</v>
      </c>
      <c r="R113" s="26">
        <f t="shared" si="27"/>
        <v>0.14643847463366214</v>
      </c>
      <c r="S113" s="12" t="s">
        <v>103</v>
      </c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 spans="1:33">
      <c r="A114" s="21" t="s">
        <v>97</v>
      </c>
      <c r="C114" s="22">
        <v>0</v>
      </c>
      <c r="D114" s="22">
        <v>0</v>
      </c>
      <c r="E114" s="23">
        <f t="shared" ref="E114:L115" si="28">($M114-$D114)/($M$91-$D$91)+D114</f>
        <v>0</v>
      </c>
      <c r="F114" s="23">
        <f t="shared" si="28"/>
        <v>0</v>
      </c>
      <c r="G114" s="23">
        <f t="shared" si="28"/>
        <v>0</v>
      </c>
      <c r="H114" s="23">
        <f t="shared" si="28"/>
        <v>0</v>
      </c>
      <c r="I114" s="23">
        <f t="shared" si="28"/>
        <v>0</v>
      </c>
      <c r="J114" s="23">
        <f t="shared" si="28"/>
        <v>0</v>
      </c>
      <c r="K114" s="23">
        <f t="shared" si="28"/>
        <v>0</v>
      </c>
      <c r="L114" s="23">
        <f t="shared" si="28"/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 spans="1:33">
      <c r="A115" s="21" t="s">
        <v>98</v>
      </c>
      <c r="C115" s="22">
        <v>0</v>
      </c>
      <c r="D115" s="22">
        <v>0</v>
      </c>
      <c r="E115" s="23">
        <f t="shared" si="28"/>
        <v>0</v>
      </c>
      <c r="F115" s="23">
        <f t="shared" si="28"/>
        <v>0</v>
      </c>
      <c r="G115" s="23">
        <f t="shared" si="28"/>
        <v>0</v>
      </c>
      <c r="H115" s="23">
        <f t="shared" si="28"/>
        <v>0</v>
      </c>
      <c r="I115" s="23">
        <f t="shared" si="28"/>
        <v>0</v>
      </c>
      <c r="J115" s="23">
        <f t="shared" si="28"/>
        <v>0</v>
      </c>
      <c r="K115" s="23">
        <f t="shared" si="28"/>
        <v>0</v>
      </c>
      <c r="L115" s="23">
        <f t="shared" si="28"/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7" spans="1:33" ht="15.75" thickBot="1"/>
    <row r="118" spans="1:33" ht="15.75" thickBot="1">
      <c r="A118" s="20" t="s">
        <v>104</v>
      </c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27"/>
      <c r="R118" s="106"/>
      <c r="S118" s="28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</row>
    <row r="119" spans="1:33" ht="23.25" thickBot="1">
      <c r="A119" s="109" t="s">
        <v>49</v>
      </c>
      <c r="B119" s="111" t="s">
        <v>105</v>
      </c>
      <c r="C119" s="112" t="s">
        <v>106</v>
      </c>
      <c r="D119" s="113"/>
      <c r="E119" s="113"/>
      <c r="F119" s="113"/>
      <c r="G119" s="112" t="s">
        <v>107</v>
      </c>
      <c r="H119" s="113"/>
      <c r="I119" s="113"/>
      <c r="J119" s="113"/>
      <c r="K119" s="12"/>
      <c r="L119" s="12"/>
      <c r="M119" s="12"/>
      <c r="N119" s="12"/>
      <c r="O119" s="12"/>
      <c r="P119" s="12"/>
      <c r="Q119" s="27"/>
      <c r="R119" s="107"/>
      <c r="S119" s="114" t="s">
        <v>108</v>
      </c>
      <c r="T119" s="28" t="s">
        <v>109</v>
      </c>
      <c r="U119" s="28" t="s">
        <v>110</v>
      </c>
      <c r="V119" s="28" t="s">
        <v>46</v>
      </c>
      <c r="W119" s="28" t="s">
        <v>111</v>
      </c>
      <c r="X119" s="30" t="s">
        <v>109</v>
      </c>
      <c r="Y119" s="28" t="s">
        <v>110</v>
      </c>
      <c r="Z119" s="28" t="s">
        <v>46</v>
      </c>
      <c r="AA119" s="28" t="s">
        <v>111</v>
      </c>
      <c r="AB119" s="30" t="s">
        <v>109</v>
      </c>
      <c r="AC119" s="28" t="s">
        <v>110</v>
      </c>
      <c r="AD119" s="28" t="s">
        <v>46</v>
      </c>
      <c r="AE119" s="28" t="s">
        <v>111</v>
      </c>
    </row>
    <row r="120" spans="1:33" ht="15.75" thickBot="1">
      <c r="A120" s="110"/>
      <c r="B120" s="111"/>
      <c r="C120" s="31">
        <v>2020</v>
      </c>
      <c r="D120" s="31">
        <v>2022</v>
      </c>
      <c r="E120" s="31">
        <v>2030</v>
      </c>
      <c r="F120" s="32">
        <v>2035</v>
      </c>
      <c r="G120" s="31">
        <v>2020</v>
      </c>
      <c r="H120" s="31">
        <v>2022</v>
      </c>
      <c r="I120" s="31">
        <v>2030</v>
      </c>
      <c r="J120" s="32">
        <v>2035</v>
      </c>
      <c r="K120" s="12"/>
      <c r="L120" s="12"/>
      <c r="M120" s="12"/>
      <c r="N120" s="12"/>
      <c r="O120" s="12"/>
      <c r="P120" s="12"/>
      <c r="Q120" s="27"/>
      <c r="R120" s="108"/>
      <c r="S120" s="115"/>
      <c r="T120" s="33">
        <v>2022</v>
      </c>
      <c r="U120" s="33">
        <v>2022</v>
      </c>
      <c r="V120" s="33">
        <v>2022</v>
      </c>
      <c r="W120" s="33">
        <v>2022</v>
      </c>
      <c r="X120" s="33">
        <v>2030</v>
      </c>
      <c r="Y120" s="33">
        <v>2030</v>
      </c>
      <c r="Z120" s="33">
        <v>2030</v>
      </c>
      <c r="AA120" s="33">
        <v>2030</v>
      </c>
      <c r="AB120" s="34">
        <v>2035</v>
      </c>
      <c r="AC120" s="34">
        <v>2035</v>
      </c>
      <c r="AD120" s="34">
        <v>2035</v>
      </c>
      <c r="AE120" s="34">
        <v>2035</v>
      </c>
    </row>
    <row r="121" spans="1:33" ht="34.5" thickBot="1">
      <c r="A121" s="35" t="s">
        <v>109</v>
      </c>
      <c r="B121" s="36" t="s">
        <v>112</v>
      </c>
      <c r="C121" s="37">
        <v>31.3</v>
      </c>
      <c r="D121" s="37">
        <v>33.6</v>
      </c>
      <c r="E121" s="37">
        <v>44.6</v>
      </c>
      <c r="F121" s="37">
        <v>53.3</v>
      </c>
      <c r="G121" s="15"/>
      <c r="H121" s="15"/>
      <c r="I121" s="15"/>
      <c r="J121" s="15"/>
      <c r="K121" s="12"/>
      <c r="L121" s="12"/>
      <c r="M121" s="12"/>
      <c r="N121" s="12"/>
      <c r="O121" s="12"/>
      <c r="P121" s="12"/>
      <c r="Q121" s="27"/>
      <c r="R121" s="38" t="s">
        <v>113</v>
      </c>
      <c r="S121" s="39"/>
      <c r="T121" s="40">
        <v>153</v>
      </c>
      <c r="U121" s="40">
        <v>146</v>
      </c>
      <c r="V121" s="40">
        <v>227</v>
      </c>
      <c r="W121" s="40">
        <v>253</v>
      </c>
      <c r="X121" s="40">
        <v>153</v>
      </c>
      <c r="Y121" s="40">
        <v>146</v>
      </c>
      <c r="Z121" s="40">
        <v>227</v>
      </c>
      <c r="AA121" s="40">
        <v>253</v>
      </c>
      <c r="AB121" s="40">
        <v>152.60842752091946</v>
      </c>
      <c r="AC121" s="40">
        <v>145.98083087539877</v>
      </c>
      <c r="AD121" s="40">
        <v>227.02874406681264</v>
      </c>
      <c r="AE121" s="40">
        <v>252.86951483455164</v>
      </c>
    </row>
    <row r="122" spans="1:33" ht="23.25" thickBot="1">
      <c r="A122" s="41" t="s">
        <v>110</v>
      </c>
      <c r="B122" s="36" t="s">
        <v>112</v>
      </c>
      <c r="C122" s="42">
        <v>28</v>
      </c>
      <c r="D122" s="42">
        <v>30.1</v>
      </c>
      <c r="E122" s="42">
        <v>40</v>
      </c>
      <c r="F122" s="42">
        <v>47.8</v>
      </c>
      <c r="G122" s="15"/>
      <c r="H122" s="15"/>
      <c r="I122" s="15"/>
      <c r="J122" s="15"/>
      <c r="K122" s="12"/>
      <c r="L122" s="12"/>
      <c r="M122" s="12"/>
      <c r="N122" s="12"/>
      <c r="O122" s="12"/>
      <c r="P122" s="12"/>
      <c r="Q122" s="116"/>
      <c r="R122" s="43" t="s">
        <v>114</v>
      </c>
      <c r="S122" s="117"/>
      <c r="T122" s="104" t="s">
        <v>115</v>
      </c>
      <c r="U122" s="104" t="s">
        <v>115</v>
      </c>
      <c r="V122" s="104" t="s">
        <v>115</v>
      </c>
      <c r="W122" s="104" t="s">
        <v>115</v>
      </c>
      <c r="X122" s="104" t="s">
        <v>115</v>
      </c>
      <c r="Y122" s="104" t="s">
        <v>115</v>
      </c>
      <c r="Z122" s="104" t="s">
        <v>115</v>
      </c>
      <c r="AA122" s="104" t="s">
        <v>115</v>
      </c>
      <c r="AB122" s="104"/>
      <c r="AC122" s="104"/>
      <c r="AD122" s="104"/>
      <c r="AE122" s="104"/>
    </row>
    <row r="123" spans="1:33" ht="15.75" thickBot="1">
      <c r="A123" s="35" t="s">
        <v>46</v>
      </c>
      <c r="B123" s="36" t="s">
        <v>112</v>
      </c>
      <c r="C123" s="44">
        <v>21.5</v>
      </c>
      <c r="D123" s="44">
        <v>23</v>
      </c>
      <c r="E123" s="44">
        <v>30.6</v>
      </c>
      <c r="F123" s="44">
        <v>36.6</v>
      </c>
      <c r="G123" s="15"/>
      <c r="H123" s="15"/>
      <c r="I123" s="15"/>
      <c r="J123" s="15"/>
      <c r="K123" s="12"/>
      <c r="L123" s="12"/>
      <c r="M123" s="12"/>
      <c r="N123" s="12"/>
      <c r="O123" s="12"/>
      <c r="P123" s="12"/>
      <c r="Q123" s="116"/>
      <c r="R123" s="38" t="s">
        <v>116</v>
      </c>
      <c r="S123" s="118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5"/>
      <c r="AD123" s="105"/>
      <c r="AE123" s="105"/>
    </row>
    <row r="124" spans="1:33" ht="15.75" thickBot="1">
      <c r="A124" s="41" t="s">
        <v>111</v>
      </c>
      <c r="B124" s="36" t="s">
        <v>112</v>
      </c>
      <c r="C124" s="42">
        <v>19</v>
      </c>
      <c r="D124" s="42">
        <v>20.399999999999999</v>
      </c>
      <c r="E124" s="42">
        <v>27.2</v>
      </c>
      <c r="F124" s="42">
        <v>32.5</v>
      </c>
      <c r="G124" s="15"/>
      <c r="H124" s="15"/>
      <c r="I124" s="15"/>
      <c r="J124" s="15"/>
      <c r="K124" s="12"/>
      <c r="L124" s="12"/>
      <c r="M124" s="12"/>
      <c r="N124" s="12"/>
      <c r="O124" s="12"/>
      <c r="P124" s="12"/>
      <c r="Q124" s="27"/>
      <c r="R124" s="43" t="s">
        <v>117</v>
      </c>
      <c r="S124" s="36" t="s">
        <v>118</v>
      </c>
      <c r="T124" s="40">
        <v>0.27</v>
      </c>
      <c r="U124" s="40">
        <v>0.32</v>
      </c>
      <c r="V124" s="40">
        <v>0.37</v>
      </c>
      <c r="W124" s="40">
        <v>0.45</v>
      </c>
      <c r="X124" s="40">
        <v>0.19</v>
      </c>
      <c r="Y124" s="40">
        <v>0.2</v>
      </c>
      <c r="Z124" s="40">
        <v>0.24</v>
      </c>
      <c r="AA124" s="40">
        <v>0.31</v>
      </c>
      <c r="AB124" s="45">
        <v>0.18426701437307363</v>
      </c>
      <c r="AC124" s="45">
        <v>0.19574832681316678</v>
      </c>
      <c r="AD124" s="45">
        <v>0.23764303932196376</v>
      </c>
      <c r="AE124" s="45">
        <v>0.30309995733807726</v>
      </c>
    </row>
    <row r="125" spans="1:33" ht="15.75" thickBot="1">
      <c r="A125" s="35" t="s">
        <v>109</v>
      </c>
      <c r="B125" s="36" t="s">
        <v>118</v>
      </c>
      <c r="C125" s="15"/>
      <c r="D125" s="44">
        <f t="shared" ref="D125:D148" si="29">INDEX($T$124:$W$129,MATCH($B125,$S$124:$S$129,0),MATCH($A125,$T$119:$W$119,0))</f>
        <v>0.27</v>
      </c>
      <c r="E125" s="44">
        <f t="shared" ref="E125:E148" si="30">INDEX($X$124:$AA$129,MATCH($B125,$S$124:$S$129,0),MATCH($A125,$X$119:$AA$119,0))</f>
        <v>0.19</v>
      </c>
      <c r="F125" s="46">
        <f t="shared" ref="F125:F148" si="31">INDEX($AB$124:$AE$129,MATCH($B125,$S$124:$S$129,0),MATCH($A125,$AB$119:$AE$119,0))</f>
        <v>0.18426701437307363</v>
      </c>
      <c r="G125" s="15"/>
      <c r="H125" s="44">
        <f t="shared" ref="H125:H148" si="32">INDEX($T$130:$W$135,MATCH($B125,$S$130:$S$135,0),MATCH($A125,$T$119:$W$119,0))</f>
        <v>41</v>
      </c>
      <c r="I125" s="44">
        <f t="shared" ref="I125:I148" si="33">INDEX($X$130:$AA$135,MATCH($B125,$S$130:$S$135,0),MATCH($A125,$X$119:$AA$119,0))</f>
        <v>27</v>
      </c>
      <c r="J125" s="44">
        <f t="shared" ref="J125:J148" si="34">INDEX($AB$130:$AE$135,MATCH($B125,$S$130:$S$135,0),MATCH($A125,$X$119:$AA$119,0))</f>
        <v>26.364357441070538</v>
      </c>
      <c r="K125" s="12"/>
      <c r="L125" s="12"/>
      <c r="M125" s="12"/>
      <c r="N125" s="12"/>
      <c r="O125" s="12"/>
      <c r="P125" s="12"/>
      <c r="Q125" s="27"/>
      <c r="R125" s="43" t="s">
        <v>119</v>
      </c>
      <c r="S125" s="36" t="s">
        <v>120</v>
      </c>
      <c r="T125" s="47">
        <v>0.28000000000000003</v>
      </c>
      <c r="U125" s="47">
        <v>0.33</v>
      </c>
      <c r="V125" s="47">
        <v>0.38</v>
      </c>
      <c r="W125" s="47">
        <v>0.46</v>
      </c>
      <c r="X125" s="47">
        <v>0.2</v>
      </c>
      <c r="Y125" s="47">
        <v>0.21</v>
      </c>
      <c r="Z125" s="47">
        <v>0.26</v>
      </c>
      <c r="AA125" s="47">
        <v>0.33</v>
      </c>
      <c r="AB125" s="48">
        <v>0.19456292552209251</v>
      </c>
      <c r="AC125" s="48">
        <v>0.20646960386579979</v>
      </c>
      <c r="AD125" s="48">
        <v>0.25035718310927135</v>
      </c>
      <c r="AE125" s="48">
        <v>0.31939450393345609</v>
      </c>
    </row>
    <row r="126" spans="1:33" ht="15.75" thickBot="1">
      <c r="A126" s="41" t="s">
        <v>109</v>
      </c>
      <c r="B126" s="36" t="s">
        <v>120</v>
      </c>
      <c r="C126" s="15"/>
      <c r="D126" s="42">
        <f t="shared" si="29"/>
        <v>0.28000000000000003</v>
      </c>
      <c r="E126" s="42">
        <f t="shared" si="30"/>
        <v>0.2</v>
      </c>
      <c r="F126" s="49">
        <f t="shared" si="31"/>
        <v>0.19456292552209251</v>
      </c>
      <c r="G126" s="15"/>
      <c r="H126" s="44">
        <f t="shared" si="32"/>
        <v>56</v>
      </c>
      <c r="I126" s="44">
        <f t="shared" si="33"/>
        <v>38</v>
      </c>
      <c r="J126" s="44">
        <f t="shared" si="34"/>
        <v>37.116619638060733</v>
      </c>
      <c r="K126" s="12"/>
      <c r="L126" s="12"/>
      <c r="M126" s="12"/>
      <c r="N126" s="12"/>
      <c r="O126" s="12"/>
      <c r="P126" s="12"/>
      <c r="Q126" s="27"/>
      <c r="R126" s="50"/>
      <c r="S126" s="36" t="s">
        <v>121</v>
      </c>
      <c r="T126" s="40">
        <v>0.28000000000000003</v>
      </c>
      <c r="U126" s="40">
        <v>0.34</v>
      </c>
      <c r="V126" s="40">
        <v>0.39</v>
      </c>
      <c r="W126" s="40">
        <v>0.47</v>
      </c>
      <c r="X126" s="40">
        <v>0.21</v>
      </c>
      <c r="Y126" s="40">
        <v>0.22</v>
      </c>
      <c r="Z126" s="40">
        <v>0.27</v>
      </c>
      <c r="AA126" s="40">
        <v>0.35</v>
      </c>
      <c r="AB126" s="45">
        <v>0.20543412024396976</v>
      </c>
      <c r="AC126" s="45">
        <v>0.21777809299585213</v>
      </c>
      <c r="AD126" s="45">
        <v>0.26375154649276639</v>
      </c>
      <c r="AE126" s="45">
        <v>0.33656503959554668</v>
      </c>
    </row>
    <row r="127" spans="1:33" ht="15.75" thickBot="1">
      <c r="A127" s="35" t="s">
        <v>109</v>
      </c>
      <c r="B127" s="36" t="s">
        <v>121</v>
      </c>
      <c r="C127" s="15"/>
      <c r="D127" s="44">
        <f t="shared" si="29"/>
        <v>0.28000000000000003</v>
      </c>
      <c r="E127" s="44">
        <f t="shared" si="30"/>
        <v>0.21</v>
      </c>
      <c r="F127" s="46">
        <f t="shared" si="31"/>
        <v>0.20543412024396976</v>
      </c>
      <c r="G127" s="15"/>
      <c r="H127" s="44">
        <f t="shared" si="32"/>
        <v>72</v>
      </c>
      <c r="I127" s="44">
        <f t="shared" si="33"/>
        <v>50</v>
      </c>
      <c r="J127" s="44">
        <f t="shared" si="34"/>
        <v>48.988136365869714</v>
      </c>
      <c r="K127" s="12"/>
      <c r="L127" s="12"/>
      <c r="M127" s="12"/>
      <c r="N127" s="12"/>
      <c r="O127" s="12"/>
      <c r="P127" s="12"/>
      <c r="Q127" s="27"/>
      <c r="R127" s="50"/>
      <c r="S127" s="36" t="s">
        <v>122</v>
      </c>
      <c r="T127" s="47">
        <v>0.28999999999999998</v>
      </c>
      <c r="U127" s="47">
        <v>0.35</v>
      </c>
      <c r="V127" s="47">
        <v>0.4</v>
      </c>
      <c r="W127" s="47">
        <v>0.48</v>
      </c>
      <c r="X127" s="47">
        <v>0.22</v>
      </c>
      <c r="Y127" s="47">
        <v>0.24</v>
      </c>
      <c r="Z127" s="47">
        <v>0.28000000000000003</v>
      </c>
      <c r="AA127" s="47">
        <v>0.36</v>
      </c>
      <c r="AB127" s="48">
        <v>0.21691274248249151</v>
      </c>
      <c r="AC127" s="48">
        <v>0.22970595623235948</v>
      </c>
      <c r="AD127" s="48">
        <v>0.27786252191119876</v>
      </c>
      <c r="AE127" s="48">
        <v>0.35465865718701378</v>
      </c>
    </row>
    <row r="128" spans="1:33" ht="15.75" thickBot="1">
      <c r="A128" s="41" t="s">
        <v>109</v>
      </c>
      <c r="B128" s="36" t="s">
        <v>122</v>
      </c>
      <c r="C128" s="15"/>
      <c r="D128" s="42">
        <f t="shared" si="29"/>
        <v>0.28999999999999998</v>
      </c>
      <c r="E128" s="42">
        <f t="shared" si="30"/>
        <v>0.22</v>
      </c>
      <c r="F128" s="49">
        <f t="shared" si="31"/>
        <v>0.21691274248249151</v>
      </c>
      <c r="G128" s="15"/>
      <c r="H128" s="44">
        <f t="shared" si="32"/>
        <v>88</v>
      </c>
      <c r="I128" s="44">
        <f t="shared" si="33"/>
        <v>64</v>
      </c>
      <c r="J128" s="44">
        <f t="shared" si="34"/>
        <v>62.070415541143731</v>
      </c>
      <c r="K128" s="12"/>
      <c r="L128" s="12"/>
      <c r="M128" s="12"/>
      <c r="N128" s="12"/>
      <c r="O128" s="12"/>
      <c r="P128" s="12"/>
      <c r="Q128" s="27"/>
      <c r="R128" s="50"/>
      <c r="S128" s="36" t="s">
        <v>123</v>
      </c>
      <c r="T128" s="40">
        <v>0.3</v>
      </c>
      <c r="U128" s="40">
        <v>0.36</v>
      </c>
      <c r="V128" s="40">
        <v>0.4</v>
      </c>
      <c r="W128" s="40">
        <v>0.49</v>
      </c>
      <c r="X128" s="40">
        <v>0.23</v>
      </c>
      <c r="Y128" s="40">
        <v>0.25</v>
      </c>
      <c r="Z128" s="40">
        <v>0.3</v>
      </c>
      <c r="AA128" s="40">
        <v>0.38</v>
      </c>
      <c r="AB128" s="45">
        <v>0.22903273222285869</v>
      </c>
      <c r="AC128" s="45">
        <v>0.24228711714188639</v>
      </c>
      <c r="AD128" s="45">
        <v>0.29272844883572613</v>
      </c>
      <c r="AE128" s="45">
        <v>0.37372498126617681</v>
      </c>
    </row>
    <row r="129" spans="1:31" ht="15.75" thickBot="1">
      <c r="A129" s="35" t="s">
        <v>109</v>
      </c>
      <c r="B129" s="36" t="s">
        <v>123</v>
      </c>
      <c r="C129" s="15"/>
      <c r="D129" s="44">
        <f t="shared" si="29"/>
        <v>0.3</v>
      </c>
      <c r="E129" s="44">
        <f t="shared" si="30"/>
        <v>0.23</v>
      </c>
      <c r="F129" s="46">
        <f t="shared" si="31"/>
        <v>0.22903273222285869</v>
      </c>
      <c r="G129" s="15"/>
      <c r="H129" s="44">
        <f t="shared" si="32"/>
        <v>105</v>
      </c>
      <c r="I129" s="44">
        <f t="shared" si="33"/>
        <v>78</v>
      </c>
      <c r="J129" s="44">
        <f t="shared" si="34"/>
        <v>76.461696757477441</v>
      </c>
      <c r="K129" s="12"/>
      <c r="L129" s="12"/>
      <c r="M129" s="12"/>
      <c r="N129" s="12"/>
      <c r="O129" s="12"/>
      <c r="P129" s="12"/>
      <c r="Q129" s="27"/>
      <c r="R129" s="51"/>
      <c r="S129" s="36" t="s">
        <v>124</v>
      </c>
      <c r="T129" s="47">
        <v>0.31</v>
      </c>
      <c r="U129" s="47">
        <v>0.36</v>
      </c>
      <c r="V129" s="47">
        <v>0.41</v>
      </c>
      <c r="W129" s="47">
        <v>0.5</v>
      </c>
      <c r="X129" s="47">
        <v>0.25</v>
      </c>
      <c r="Y129" s="47">
        <v>0.26</v>
      </c>
      <c r="Z129" s="47">
        <v>0.32</v>
      </c>
      <c r="AA129" s="47">
        <v>0.4</v>
      </c>
      <c r="AB129" s="48">
        <v>0.24115272196322587</v>
      </c>
      <c r="AC129" s="48">
        <v>0.25486827805141332</v>
      </c>
      <c r="AD129" s="48">
        <v>0.30759437576025339</v>
      </c>
      <c r="AE129" s="48">
        <v>0.3927913053453399</v>
      </c>
    </row>
    <row r="130" spans="1:31" ht="23.25" thickBot="1">
      <c r="A130" s="41" t="s">
        <v>109</v>
      </c>
      <c r="B130" s="36" t="s">
        <v>124</v>
      </c>
      <c r="C130" s="15"/>
      <c r="D130" s="42">
        <f t="shared" si="29"/>
        <v>0.31</v>
      </c>
      <c r="E130" s="42">
        <f t="shared" si="30"/>
        <v>0.25</v>
      </c>
      <c r="F130" s="49">
        <f t="shared" si="31"/>
        <v>0.24115272196322587</v>
      </c>
      <c r="G130" s="15"/>
      <c r="H130" s="44">
        <f t="shared" si="32"/>
        <v>123</v>
      </c>
      <c r="I130" s="44">
        <f t="shared" si="33"/>
        <v>94</v>
      </c>
      <c r="J130" s="44">
        <f t="shared" si="34"/>
        <v>92.009038533661567</v>
      </c>
      <c r="K130" s="12"/>
      <c r="L130" s="12"/>
      <c r="M130" s="12"/>
      <c r="N130" s="12"/>
      <c r="O130" s="12"/>
      <c r="P130" s="12"/>
      <c r="Q130" s="27"/>
      <c r="R130" s="43" t="s">
        <v>125</v>
      </c>
      <c r="S130" s="36" t="s">
        <v>118</v>
      </c>
      <c r="T130" s="40">
        <v>41</v>
      </c>
      <c r="U130" s="40">
        <v>50</v>
      </c>
      <c r="V130" s="40">
        <v>57</v>
      </c>
      <c r="W130" s="40">
        <v>70</v>
      </c>
      <c r="X130" s="40">
        <v>27</v>
      </c>
      <c r="Y130" s="40">
        <v>29</v>
      </c>
      <c r="Z130" s="40">
        <v>35</v>
      </c>
      <c r="AA130" s="40">
        <v>45</v>
      </c>
      <c r="AB130" s="45">
        <v>26.364357441070538</v>
      </c>
      <c r="AC130" s="45">
        <v>28.007068297883862</v>
      </c>
      <c r="AD130" s="45">
        <v>34.001234856834813</v>
      </c>
      <c r="AE130" s="45">
        <v>43.366609280678752</v>
      </c>
    </row>
    <row r="131" spans="1:31" ht="15.75" thickBot="1">
      <c r="A131" s="35" t="s">
        <v>110</v>
      </c>
      <c r="B131" s="36" t="s">
        <v>118</v>
      </c>
      <c r="C131" s="15"/>
      <c r="D131" s="44">
        <f t="shared" si="29"/>
        <v>0.32</v>
      </c>
      <c r="E131" s="44">
        <f t="shared" si="30"/>
        <v>0.2</v>
      </c>
      <c r="F131" s="46">
        <f t="shared" si="31"/>
        <v>0.19574832681316678</v>
      </c>
      <c r="G131" s="15"/>
      <c r="H131" s="44">
        <f t="shared" si="32"/>
        <v>50</v>
      </c>
      <c r="I131" s="44">
        <f t="shared" si="33"/>
        <v>29</v>
      </c>
      <c r="J131" s="44">
        <f t="shared" si="34"/>
        <v>28.007068297883862</v>
      </c>
      <c r="K131" s="12"/>
      <c r="L131" s="12"/>
      <c r="M131" s="12"/>
      <c r="N131" s="12"/>
      <c r="O131" s="12"/>
      <c r="P131" s="12"/>
      <c r="Q131" s="27"/>
      <c r="R131" s="43" t="s">
        <v>126</v>
      </c>
      <c r="S131" s="36" t="s">
        <v>120</v>
      </c>
      <c r="T131" s="47">
        <v>56</v>
      </c>
      <c r="U131" s="47">
        <v>67</v>
      </c>
      <c r="V131" s="47">
        <v>77</v>
      </c>
      <c r="W131" s="47">
        <v>94</v>
      </c>
      <c r="X131" s="47">
        <v>38</v>
      </c>
      <c r="Y131" s="47">
        <v>41</v>
      </c>
      <c r="Z131" s="47">
        <v>49</v>
      </c>
      <c r="AA131" s="47">
        <v>63</v>
      </c>
      <c r="AB131" s="48">
        <v>37.116619638060733</v>
      </c>
      <c r="AC131" s="48">
        <v>39.388047506706428</v>
      </c>
      <c r="AD131" s="48">
        <v>47.760447239307148</v>
      </c>
      <c r="AE131" s="48">
        <v>60.930643827305474</v>
      </c>
    </row>
    <row r="132" spans="1:31" ht="15.75" thickBot="1">
      <c r="A132" s="41" t="s">
        <v>110</v>
      </c>
      <c r="B132" s="36" t="s">
        <v>120</v>
      </c>
      <c r="C132" s="15"/>
      <c r="D132" s="42">
        <f t="shared" si="29"/>
        <v>0.33</v>
      </c>
      <c r="E132" s="42">
        <f t="shared" si="30"/>
        <v>0.21</v>
      </c>
      <c r="F132" s="49">
        <f t="shared" si="31"/>
        <v>0.20646960386579979</v>
      </c>
      <c r="G132" s="15"/>
      <c r="H132" s="44">
        <f t="shared" si="32"/>
        <v>67</v>
      </c>
      <c r="I132" s="44">
        <f t="shared" si="33"/>
        <v>41</v>
      </c>
      <c r="J132" s="44">
        <f t="shared" si="34"/>
        <v>39.388047506706428</v>
      </c>
      <c r="K132" s="12"/>
      <c r="L132" s="12"/>
      <c r="M132" s="12"/>
      <c r="N132" s="12"/>
      <c r="O132" s="12"/>
      <c r="P132" s="12"/>
      <c r="Q132" s="27"/>
      <c r="R132" s="50"/>
      <c r="S132" s="36" t="s">
        <v>121</v>
      </c>
      <c r="T132" s="40">
        <v>72</v>
      </c>
      <c r="U132" s="40">
        <v>86</v>
      </c>
      <c r="V132" s="40">
        <v>98</v>
      </c>
      <c r="W132" s="40">
        <v>119</v>
      </c>
      <c r="X132" s="40">
        <v>50</v>
      </c>
      <c r="Y132" s="40">
        <v>53</v>
      </c>
      <c r="Z132" s="40">
        <v>64</v>
      </c>
      <c r="AA132" s="40">
        <v>82</v>
      </c>
      <c r="AB132" s="45">
        <v>48.988136365869714</v>
      </c>
      <c r="AC132" s="45">
        <v>51.931699099010892</v>
      </c>
      <c r="AD132" s="45">
        <v>62.894599548275075</v>
      </c>
      <c r="AE132" s="45">
        <v>80.257817134322678</v>
      </c>
    </row>
    <row r="133" spans="1:31" ht="15.75" thickBot="1">
      <c r="A133" s="35" t="s">
        <v>110</v>
      </c>
      <c r="B133" s="36" t="s">
        <v>121</v>
      </c>
      <c r="C133" s="15"/>
      <c r="D133" s="44">
        <f t="shared" si="29"/>
        <v>0.34</v>
      </c>
      <c r="E133" s="44">
        <f t="shared" si="30"/>
        <v>0.22</v>
      </c>
      <c r="F133" s="46">
        <f t="shared" si="31"/>
        <v>0.21777809299585213</v>
      </c>
      <c r="G133" s="15"/>
      <c r="H133" s="44">
        <f t="shared" si="32"/>
        <v>86</v>
      </c>
      <c r="I133" s="44">
        <f t="shared" si="33"/>
        <v>53</v>
      </c>
      <c r="J133" s="44">
        <f t="shared" si="34"/>
        <v>51.931699099010892</v>
      </c>
      <c r="K133" s="12"/>
      <c r="L133" s="12"/>
      <c r="M133" s="12"/>
      <c r="N133" s="12"/>
      <c r="O133" s="12"/>
      <c r="P133" s="12"/>
      <c r="Q133" s="27"/>
      <c r="R133" s="50"/>
      <c r="S133" s="36" t="s">
        <v>122</v>
      </c>
      <c r="T133" s="47">
        <v>88</v>
      </c>
      <c r="U133" s="47">
        <v>105</v>
      </c>
      <c r="V133" s="47">
        <v>119</v>
      </c>
      <c r="W133" s="47">
        <v>144</v>
      </c>
      <c r="X133" s="47">
        <v>64</v>
      </c>
      <c r="Y133" s="47">
        <v>67</v>
      </c>
      <c r="Z133" s="47">
        <v>82</v>
      </c>
      <c r="AA133" s="47">
        <v>104</v>
      </c>
      <c r="AB133" s="48">
        <v>62.070415541143731</v>
      </c>
      <c r="AC133" s="48">
        <v>65.731242860336721</v>
      </c>
      <c r="AD133" s="48">
        <v>79.51142934689689</v>
      </c>
      <c r="AE133" s="48">
        <v>101.48693882582241</v>
      </c>
    </row>
    <row r="134" spans="1:31" ht="15.75" thickBot="1">
      <c r="A134" s="41" t="s">
        <v>110</v>
      </c>
      <c r="B134" s="36" t="s">
        <v>122</v>
      </c>
      <c r="C134" s="15"/>
      <c r="D134" s="42">
        <f t="shared" si="29"/>
        <v>0.35</v>
      </c>
      <c r="E134" s="42">
        <f t="shared" si="30"/>
        <v>0.24</v>
      </c>
      <c r="F134" s="49">
        <f t="shared" si="31"/>
        <v>0.22970595623235948</v>
      </c>
      <c r="G134" s="15"/>
      <c r="H134" s="44">
        <f t="shared" si="32"/>
        <v>105</v>
      </c>
      <c r="I134" s="44">
        <f t="shared" si="33"/>
        <v>67</v>
      </c>
      <c r="J134" s="44">
        <f t="shared" si="34"/>
        <v>65.731242860336721</v>
      </c>
      <c r="K134" s="12"/>
      <c r="L134" s="12"/>
      <c r="M134" s="12"/>
      <c r="N134" s="12"/>
      <c r="O134" s="12"/>
      <c r="P134" s="12"/>
      <c r="Q134" s="27"/>
      <c r="R134" s="50"/>
      <c r="S134" s="36" t="s">
        <v>123</v>
      </c>
      <c r="T134" s="40">
        <v>105</v>
      </c>
      <c r="U134" s="40">
        <v>125</v>
      </c>
      <c r="V134" s="40">
        <v>141</v>
      </c>
      <c r="W134" s="40">
        <v>170</v>
      </c>
      <c r="X134" s="40">
        <v>78</v>
      </c>
      <c r="Y134" s="40">
        <v>83</v>
      </c>
      <c r="Z134" s="40">
        <v>100</v>
      </c>
      <c r="AA134" s="40">
        <v>128</v>
      </c>
      <c r="AB134" s="45">
        <v>76.461696757477441</v>
      </c>
      <c r="AC134" s="45">
        <v>80.886622184291312</v>
      </c>
      <c r="AD134" s="45">
        <v>97.726266765157817</v>
      </c>
      <c r="AE134" s="45">
        <v>124.76664759193905</v>
      </c>
    </row>
    <row r="135" spans="1:31" ht="15.75" thickBot="1">
      <c r="A135" s="35" t="s">
        <v>110</v>
      </c>
      <c r="B135" s="36" t="s">
        <v>123</v>
      </c>
      <c r="C135" s="15"/>
      <c r="D135" s="44">
        <f t="shared" si="29"/>
        <v>0.36</v>
      </c>
      <c r="E135" s="44">
        <f t="shared" si="30"/>
        <v>0.25</v>
      </c>
      <c r="F135" s="46">
        <f t="shared" si="31"/>
        <v>0.24228711714188639</v>
      </c>
      <c r="G135" s="15"/>
      <c r="H135" s="44">
        <f t="shared" si="32"/>
        <v>125</v>
      </c>
      <c r="I135" s="44">
        <f t="shared" si="33"/>
        <v>83</v>
      </c>
      <c r="J135" s="44">
        <f t="shared" si="34"/>
        <v>80.886622184291312</v>
      </c>
      <c r="K135" s="12"/>
      <c r="L135" s="12"/>
      <c r="M135" s="12"/>
      <c r="N135" s="12"/>
      <c r="O135" s="12"/>
      <c r="P135" s="12"/>
      <c r="Q135" s="52"/>
      <c r="R135" s="51"/>
      <c r="S135" s="36" t="s">
        <v>124</v>
      </c>
      <c r="T135" s="47">
        <v>123</v>
      </c>
      <c r="U135" s="47">
        <v>145</v>
      </c>
      <c r="V135" s="47">
        <v>164</v>
      </c>
      <c r="W135" s="47">
        <v>197</v>
      </c>
      <c r="X135" s="47">
        <v>94</v>
      </c>
      <c r="Y135" s="47">
        <v>100</v>
      </c>
      <c r="Z135" s="47">
        <v>120</v>
      </c>
      <c r="AA135" s="47">
        <v>154</v>
      </c>
      <c r="AB135" s="48">
        <v>92.009038533661567</v>
      </c>
      <c r="AC135" s="48">
        <v>97.242050702693078</v>
      </c>
      <c r="AD135" s="48">
        <v>117.35908490545053</v>
      </c>
      <c r="AE135" s="48">
        <v>149.86499034714507</v>
      </c>
    </row>
    <row r="136" spans="1:31" ht="15.75" thickBot="1">
      <c r="A136" s="41" t="s">
        <v>110</v>
      </c>
      <c r="B136" s="36" t="s">
        <v>124</v>
      </c>
      <c r="C136" s="15"/>
      <c r="D136" s="42">
        <f t="shared" si="29"/>
        <v>0.36</v>
      </c>
      <c r="E136" s="42">
        <f t="shared" si="30"/>
        <v>0.26</v>
      </c>
      <c r="F136" s="49">
        <f t="shared" si="31"/>
        <v>0.25486827805141332</v>
      </c>
      <c r="G136" s="15"/>
      <c r="H136" s="44">
        <f t="shared" si="32"/>
        <v>145</v>
      </c>
      <c r="I136" s="44">
        <f t="shared" si="33"/>
        <v>100</v>
      </c>
      <c r="J136" s="44">
        <f t="shared" si="34"/>
        <v>97.242050702693078</v>
      </c>
      <c r="K136" s="12"/>
      <c r="L136" s="12"/>
      <c r="M136" s="12"/>
      <c r="N136" s="12"/>
      <c r="O136" s="12"/>
      <c r="P136" s="12"/>
      <c r="Q136" s="12"/>
      <c r="R136" s="53" t="s">
        <v>127</v>
      </c>
      <c r="S136" s="36" t="s">
        <v>118</v>
      </c>
      <c r="T136" s="54">
        <v>134</v>
      </c>
      <c r="U136" s="54">
        <v>131</v>
      </c>
      <c r="V136" s="54">
        <v>129</v>
      </c>
      <c r="W136" s="54">
        <v>126</v>
      </c>
      <c r="X136" s="54">
        <v>79</v>
      </c>
      <c r="Y136" s="54">
        <v>78</v>
      </c>
      <c r="Z136" s="54">
        <v>77</v>
      </c>
      <c r="AA136" s="54">
        <v>75</v>
      </c>
      <c r="AB136" s="54">
        <v>67.981962411456095</v>
      </c>
      <c r="AC136" s="54">
        <v>67.521080243364935</v>
      </c>
      <c r="AD136" s="54">
        <v>66.042296957575672</v>
      </c>
      <c r="AE136" s="54">
        <v>64.187199212787178</v>
      </c>
    </row>
    <row r="137" spans="1:31" ht="15.75" thickBot="1">
      <c r="A137" s="35" t="s">
        <v>46</v>
      </c>
      <c r="B137" s="36" t="s">
        <v>118</v>
      </c>
      <c r="C137" s="15"/>
      <c r="D137" s="44">
        <f t="shared" si="29"/>
        <v>0.37</v>
      </c>
      <c r="E137" s="44">
        <f t="shared" si="30"/>
        <v>0.24</v>
      </c>
      <c r="F137" s="46">
        <f t="shared" si="31"/>
        <v>0.23764303932196376</v>
      </c>
      <c r="G137" s="15"/>
      <c r="H137" s="44">
        <f t="shared" si="32"/>
        <v>57</v>
      </c>
      <c r="I137" s="44">
        <f t="shared" si="33"/>
        <v>35</v>
      </c>
      <c r="J137" s="44">
        <f t="shared" si="34"/>
        <v>34.001234856834813</v>
      </c>
      <c r="K137" s="12"/>
      <c r="L137" s="12"/>
      <c r="M137" s="12"/>
      <c r="N137" s="12"/>
      <c r="O137" s="12"/>
      <c r="P137" s="12"/>
      <c r="Q137" s="12"/>
      <c r="R137" s="55" t="s">
        <v>128</v>
      </c>
      <c r="S137" s="36" t="s">
        <v>120</v>
      </c>
      <c r="T137" s="56">
        <v>129</v>
      </c>
      <c r="U137" s="56">
        <v>126</v>
      </c>
      <c r="V137" s="56">
        <v>124</v>
      </c>
      <c r="W137" s="56">
        <v>121</v>
      </c>
      <c r="X137" s="56">
        <v>76</v>
      </c>
      <c r="Y137" s="56">
        <v>75</v>
      </c>
      <c r="Z137" s="56">
        <v>74</v>
      </c>
      <c r="AA137" s="56">
        <v>72</v>
      </c>
      <c r="AB137" s="56">
        <v>65.373832407134955</v>
      </c>
      <c r="AC137" s="56">
        <v>64.92092858816099</v>
      </c>
      <c r="AD137" s="56">
        <v>63.451329560444108</v>
      </c>
      <c r="AE137" s="56">
        <v>61.594360138983198</v>
      </c>
    </row>
    <row r="138" spans="1:31" ht="15.75" thickBot="1">
      <c r="A138" s="41" t="s">
        <v>46</v>
      </c>
      <c r="B138" s="36" t="s">
        <v>120</v>
      </c>
      <c r="C138" s="15"/>
      <c r="D138" s="42">
        <f t="shared" si="29"/>
        <v>0.38</v>
      </c>
      <c r="E138" s="42">
        <f t="shared" si="30"/>
        <v>0.26</v>
      </c>
      <c r="F138" s="49">
        <f t="shared" si="31"/>
        <v>0.25035718310927135</v>
      </c>
      <c r="G138" s="15"/>
      <c r="H138" s="44">
        <f t="shared" si="32"/>
        <v>77</v>
      </c>
      <c r="I138" s="44">
        <f t="shared" si="33"/>
        <v>49</v>
      </c>
      <c r="J138" s="44">
        <f t="shared" si="34"/>
        <v>47.760447239307148</v>
      </c>
      <c r="K138" s="12"/>
      <c r="L138" s="12"/>
      <c r="M138" s="12"/>
      <c r="N138" s="12"/>
      <c r="O138" s="12"/>
      <c r="P138" s="12"/>
      <c r="Q138" s="12"/>
      <c r="R138" s="57"/>
      <c r="S138" s="36" t="s">
        <v>121</v>
      </c>
      <c r="T138" s="54">
        <v>125</v>
      </c>
      <c r="U138" s="54">
        <v>122</v>
      </c>
      <c r="V138" s="54">
        <v>120</v>
      </c>
      <c r="W138" s="54">
        <v>117</v>
      </c>
      <c r="X138" s="54">
        <v>74</v>
      </c>
      <c r="Y138" s="54">
        <v>73</v>
      </c>
      <c r="Z138" s="54">
        <v>71</v>
      </c>
      <c r="AA138" s="54">
        <v>69</v>
      </c>
      <c r="AB138" s="54">
        <v>63.257805748630886</v>
      </c>
      <c r="AC138" s="54">
        <v>62.812880278774088</v>
      </c>
      <c r="AD138" s="54">
        <v>61.352465509129622</v>
      </c>
      <c r="AE138" s="54">
        <v>59.493624410996297</v>
      </c>
    </row>
    <row r="139" spans="1:31" ht="15.75" thickBot="1">
      <c r="A139" s="35" t="s">
        <v>46</v>
      </c>
      <c r="B139" s="36" t="s">
        <v>121</v>
      </c>
      <c r="C139" s="15"/>
      <c r="D139" s="44">
        <f t="shared" si="29"/>
        <v>0.39</v>
      </c>
      <c r="E139" s="44">
        <f t="shared" si="30"/>
        <v>0.27</v>
      </c>
      <c r="F139" s="46">
        <f t="shared" si="31"/>
        <v>0.26375154649276639</v>
      </c>
      <c r="G139" s="15"/>
      <c r="H139" s="44">
        <f t="shared" si="32"/>
        <v>98</v>
      </c>
      <c r="I139" s="44">
        <f t="shared" si="33"/>
        <v>64</v>
      </c>
      <c r="J139" s="44">
        <f t="shared" si="34"/>
        <v>62.894599548275075</v>
      </c>
      <c r="K139" s="12"/>
      <c r="L139" s="12"/>
      <c r="M139" s="12"/>
      <c r="N139" s="12"/>
      <c r="O139" s="12"/>
      <c r="P139" s="12"/>
      <c r="Q139" s="12"/>
      <c r="R139" s="57"/>
      <c r="S139" s="36" t="s">
        <v>122</v>
      </c>
      <c r="T139" s="56">
        <v>122</v>
      </c>
      <c r="U139" s="56">
        <v>119</v>
      </c>
      <c r="V139" s="56">
        <v>117</v>
      </c>
      <c r="W139" s="56">
        <v>117</v>
      </c>
      <c r="X139" s="56">
        <v>71</v>
      </c>
      <c r="Y139" s="56">
        <v>71</v>
      </c>
      <c r="Z139" s="56">
        <v>69</v>
      </c>
      <c r="AA139" s="56">
        <v>67</v>
      </c>
      <c r="AB139" s="56">
        <v>61.453044978037738</v>
      </c>
      <c r="AC139" s="56">
        <v>61.016097857298128</v>
      </c>
      <c r="AD139" s="56">
        <v>59.564867345726057</v>
      </c>
      <c r="AE139" s="56">
        <v>57.704154570920309</v>
      </c>
    </row>
    <row r="140" spans="1:31" ht="15.75" thickBot="1">
      <c r="A140" s="41" t="s">
        <v>46</v>
      </c>
      <c r="B140" s="36" t="s">
        <v>122</v>
      </c>
      <c r="C140" s="15"/>
      <c r="D140" s="42">
        <f t="shared" si="29"/>
        <v>0.4</v>
      </c>
      <c r="E140" s="42">
        <f t="shared" si="30"/>
        <v>0.28000000000000003</v>
      </c>
      <c r="F140" s="49">
        <f t="shared" si="31"/>
        <v>0.27786252191119876</v>
      </c>
      <c r="G140" s="15"/>
      <c r="H140" s="44">
        <f t="shared" si="32"/>
        <v>119</v>
      </c>
      <c r="I140" s="44">
        <f t="shared" si="33"/>
        <v>82</v>
      </c>
      <c r="J140" s="44">
        <f t="shared" si="34"/>
        <v>79.51142934689689</v>
      </c>
      <c r="K140" s="12"/>
      <c r="L140" s="12"/>
      <c r="M140" s="12"/>
      <c r="N140" s="12"/>
      <c r="O140" s="12"/>
      <c r="P140" s="12"/>
      <c r="Q140" s="12"/>
      <c r="R140" s="57"/>
      <c r="S140" s="36" t="s">
        <v>123</v>
      </c>
      <c r="T140" s="54">
        <v>119</v>
      </c>
      <c r="U140" s="54">
        <v>117</v>
      </c>
      <c r="V140" s="54">
        <v>117</v>
      </c>
      <c r="W140" s="54">
        <v>117</v>
      </c>
      <c r="X140" s="54">
        <v>70</v>
      </c>
      <c r="Y140" s="54">
        <v>69</v>
      </c>
      <c r="Z140" s="54">
        <v>67</v>
      </c>
      <c r="AA140" s="54">
        <v>66</v>
      </c>
      <c r="AB140" s="54">
        <v>59.863085888139459</v>
      </c>
      <c r="AC140" s="54">
        <v>59.434117116517037</v>
      </c>
      <c r="AD140" s="54">
        <v>57.992070863017368</v>
      </c>
      <c r="AE140" s="54">
        <v>56.691118280256852</v>
      </c>
    </row>
    <row r="141" spans="1:31" ht="15.75" thickBot="1">
      <c r="A141" s="35" t="s">
        <v>46</v>
      </c>
      <c r="B141" s="36" t="s">
        <v>123</v>
      </c>
      <c r="C141" s="15"/>
      <c r="D141" s="44">
        <f t="shared" si="29"/>
        <v>0.4</v>
      </c>
      <c r="E141" s="44">
        <f t="shared" si="30"/>
        <v>0.3</v>
      </c>
      <c r="F141" s="46">
        <f t="shared" si="31"/>
        <v>0.29272844883572613</v>
      </c>
      <c r="G141" s="15"/>
      <c r="H141" s="44">
        <f t="shared" si="32"/>
        <v>141</v>
      </c>
      <c r="I141" s="44">
        <f t="shared" si="33"/>
        <v>100</v>
      </c>
      <c r="J141" s="44">
        <f t="shared" si="34"/>
        <v>97.726266765157817</v>
      </c>
      <c r="K141" s="12"/>
      <c r="L141" s="12"/>
      <c r="M141" s="12"/>
      <c r="N141" s="12"/>
      <c r="O141" s="12"/>
      <c r="P141" s="12"/>
      <c r="Q141" s="12"/>
      <c r="R141" s="58"/>
      <c r="S141" s="36" t="s">
        <v>124</v>
      </c>
      <c r="T141" s="56">
        <v>117</v>
      </c>
      <c r="U141" s="56">
        <v>117</v>
      </c>
      <c r="V141" s="56">
        <v>117</v>
      </c>
      <c r="W141" s="56">
        <v>117</v>
      </c>
      <c r="X141" s="56">
        <v>68</v>
      </c>
      <c r="Y141" s="56">
        <v>67</v>
      </c>
      <c r="Z141" s="56">
        <v>66</v>
      </c>
      <c r="AA141" s="56">
        <v>66</v>
      </c>
      <c r="AB141" s="56">
        <v>58.451730296944831</v>
      </c>
      <c r="AC141" s="56">
        <v>58.029945052255513</v>
      </c>
      <c r="AD141" s="56">
        <v>56.691118280256852</v>
      </c>
      <c r="AE141" s="56">
        <v>56.691118280256852</v>
      </c>
    </row>
    <row r="142" spans="1:31" ht="15.75" thickBot="1">
      <c r="A142" s="41" t="s">
        <v>46</v>
      </c>
      <c r="B142" s="36" t="s">
        <v>124</v>
      </c>
      <c r="C142" s="15"/>
      <c r="D142" s="42">
        <f t="shared" si="29"/>
        <v>0.41</v>
      </c>
      <c r="E142" s="42">
        <f t="shared" si="30"/>
        <v>0.32</v>
      </c>
      <c r="F142" s="49">
        <f t="shared" si="31"/>
        <v>0.30759437576025339</v>
      </c>
      <c r="G142" s="15"/>
      <c r="H142" s="44">
        <f t="shared" si="32"/>
        <v>164</v>
      </c>
      <c r="I142" s="44">
        <f t="shared" si="33"/>
        <v>120</v>
      </c>
      <c r="J142" s="44">
        <f t="shared" si="34"/>
        <v>117.35908490545053</v>
      </c>
      <c r="K142" s="12"/>
      <c r="L142" s="12"/>
      <c r="M142" s="12"/>
      <c r="N142" s="12"/>
      <c r="O142" s="12"/>
      <c r="P142" s="12"/>
      <c r="Q142" s="12"/>
      <c r="R142" s="43" t="s">
        <v>117</v>
      </c>
      <c r="S142" s="59" t="s">
        <v>129</v>
      </c>
      <c r="T142" s="40">
        <v>0.37</v>
      </c>
      <c r="U142" s="40">
        <v>0.42</v>
      </c>
      <c r="V142" s="60">
        <v>0.54</v>
      </c>
      <c r="W142" s="60">
        <v>0.65</v>
      </c>
      <c r="X142" s="40">
        <v>0.27</v>
      </c>
      <c r="Y142" s="40">
        <v>0.34</v>
      </c>
      <c r="Z142" s="60">
        <v>0.36</v>
      </c>
      <c r="AA142" s="60">
        <v>0.45</v>
      </c>
      <c r="AB142" s="61">
        <v>0.25965854711485653</v>
      </c>
      <c r="AC142" s="61">
        <v>0.32723298206196499</v>
      </c>
      <c r="AD142" s="61">
        <v>0.35528161177705786</v>
      </c>
      <c r="AE142" s="61">
        <v>0.44039766865078672</v>
      </c>
    </row>
    <row r="143" spans="1:31" ht="15.75" thickBot="1">
      <c r="A143" s="35" t="s">
        <v>111</v>
      </c>
      <c r="B143" s="36" t="s">
        <v>118</v>
      </c>
      <c r="C143" s="15"/>
      <c r="D143" s="44">
        <f t="shared" si="29"/>
        <v>0.45</v>
      </c>
      <c r="E143" s="44">
        <f t="shared" si="30"/>
        <v>0.31</v>
      </c>
      <c r="F143" s="46">
        <f t="shared" si="31"/>
        <v>0.30309995733807726</v>
      </c>
      <c r="G143" s="15"/>
      <c r="H143" s="44">
        <f t="shared" si="32"/>
        <v>70</v>
      </c>
      <c r="I143" s="44">
        <f t="shared" si="33"/>
        <v>45</v>
      </c>
      <c r="J143" s="44">
        <f t="shared" si="34"/>
        <v>43.366609280678752</v>
      </c>
      <c r="K143" s="12"/>
      <c r="L143" s="12"/>
      <c r="M143" s="12"/>
      <c r="N143" s="12"/>
      <c r="O143" s="12"/>
      <c r="P143" s="12"/>
      <c r="Q143" s="12"/>
      <c r="R143" s="43" t="s">
        <v>119</v>
      </c>
      <c r="S143" s="59" t="s">
        <v>130</v>
      </c>
      <c r="T143" s="47">
        <v>0.38</v>
      </c>
      <c r="U143" s="47">
        <v>0.42</v>
      </c>
      <c r="V143" s="62">
        <v>0.54</v>
      </c>
      <c r="W143" s="62">
        <v>0.66</v>
      </c>
      <c r="X143" s="47">
        <v>0.27</v>
      </c>
      <c r="Y143" s="47">
        <v>0.34</v>
      </c>
      <c r="Z143" s="62">
        <v>0.37</v>
      </c>
      <c r="AA143" s="62">
        <v>0.45</v>
      </c>
      <c r="AB143" s="63">
        <v>0.26080466170751743</v>
      </c>
      <c r="AC143" s="63">
        <v>0.32867736546512433</v>
      </c>
      <c r="AD143" s="63">
        <v>0.35684979986208809</v>
      </c>
      <c r="AE143" s="63">
        <v>0.4423415530336538</v>
      </c>
    </row>
    <row r="144" spans="1:31" ht="15.75" thickBot="1">
      <c r="A144" s="41" t="s">
        <v>111</v>
      </c>
      <c r="B144" s="36" t="s">
        <v>120</v>
      </c>
      <c r="C144" s="15"/>
      <c r="D144" s="42">
        <f t="shared" si="29"/>
        <v>0.46</v>
      </c>
      <c r="E144" s="42">
        <f t="shared" si="30"/>
        <v>0.33</v>
      </c>
      <c r="F144" s="49">
        <f t="shared" si="31"/>
        <v>0.31939450393345609</v>
      </c>
      <c r="G144" s="15"/>
      <c r="H144" s="44">
        <f t="shared" si="32"/>
        <v>94</v>
      </c>
      <c r="I144" s="44">
        <f t="shared" si="33"/>
        <v>63</v>
      </c>
      <c r="J144" s="44">
        <f t="shared" si="34"/>
        <v>60.930643827305474</v>
      </c>
      <c r="K144" s="12"/>
      <c r="L144" s="12"/>
      <c r="M144" s="12"/>
      <c r="N144" s="12"/>
      <c r="O144" s="12"/>
      <c r="P144" s="12"/>
      <c r="Q144" s="12"/>
      <c r="R144" s="50"/>
      <c r="S144" s="59" t="s">
        <v>131</v>
      </c>
      <c r="T144" s="40">
        <v>0.38</v>
      </c>
      <c r="U144" s="40">
        <v>0.42</v>
      </c>
      <c r="V144" s="60">
        <v>0.54</v>
      </c>
      <c r="W144" s="60">
        <v>0.66</v>
      </c>
      <c r="X144" s="40">
        <v>0.27</v>
      </c>
      <c r="Y144" s="40">
        <v>0.34</v>
      </c>
      <c r="Z144" s="60">
        <v>0.37</v>
      </c>
      <c r="AA144" s="60">
        <v>0.46</v>
      </c>
      <c r="AB144" s="61">
        <v>0.26195583516950538</v>
      </c>
      <c r="AC144" s="61">
        <v>0.33012812427519461</v>
      </c>
      <c r="AD144" s="61">
        <v>0.358424909819201</v>
      </c>
      <c r="AE144" s="61">
        <v>0.44429401758567916</v>
      </c>
    </row>
    <row r="145" spans="1:31" ht="15.75" thickBot="1">
      <c r="A145" s="35" t="s">
        <v>111</v>
      </c>
      <c r="B145" s="36" t="s">
        <v>121</v>
      </c>
      <c r="C145" s="15"/>
      <c r="D145" s="44">
        <f t="shared" si="29"/>
        <v>0.47</v>
      </c>
      <c r="E145" s="44">
        <f t="shared" si="30"/>
        <v>0.35</v>
      </c>
      <c r="F145" s="46">
        <f t="shared" si="31"/>
        <v>0.33656503959554668</v>
      </c>
      <c r="G145" s="15"/>
      <c r="H145" s="44">
        <f t="shared" si="32"/>
        <v>119</v>
      </c>
      <c r="I145" s="44">
        <f t="shared" si="33"/>
        <v>82</v>
      </c>
      <c r="J145" s="44">
        <f t="shared" si="34"/>
        <v>80.257817134322678</v>
      </c>
      <c r="K145" s="12"/>
      <c r="L145" s="12"/>
      <c r="M145" s="12"/>
      <c r="N145" s="12"/>
      <c r="O145" s="12"/>
      <c r="P145" s="12"/>
      <c r="Q145" s="12"/>
      <c r="R145" s="50"/>
      <c r="S145" s="59" t="s">
        <v>132</v>
      </c>
      <c r="T145" s="47">
        <v>0.38</v>
      </c>
      <c r="U145" s="47">
        <v>0.42</v>
      </c>
      <c r="V145" s="62">
        <v>0.55000000000000004</v>
      </c>
      <c r="W145" s="62">
        <v>0.66</v>
      </c>
      <c r="X145" s="47">
        <v>0.27</v>
      </c>
      <c r="Y145" s="47">
        <v>0.34</v>
      </c>
      <c r="Z145" s="62">
        <v>0.37</v>
      </c>
      <c r="AA145" s="62">
        <v>0.46</v>
      </c>
      <c r="AB145" s="63">
        <v>0.26311208983031448</v>
      </c>
      <c r="AC145" s="63">
        <v>0.33158528663277431</v>
      </c>
      <c r="AD145" s="63">
        <v>0.36000697220105377</v>
      </c>
      <c r="AE145" s="63">
        <v>0.44625510017912701</v>
      </c>
    </row>
    <row r="146" spans="1:31" ht="15.75" thickBot="1">
      <c r="A146" s="41" t="s">
        <v>111</v>
      </c>
      <c r="B146" s="36" t="s">
        <v>122</v>
      </c>
      <c r="C146" s="15"/>
      <c r="D146" s="42">
        <f t="shared" si="29"/>
        <v>0.48</v>
      </c>
      <c r="E146" s="42">
        <f t="shared" si="30"/>
        <v>0.36</v>
      </c>
      <c r="F146" s="49">
        <f t="shared" si="31"/>
        <v>0.35465865718701378</v>
      </c>
      <c r="G146" s="15"/>
      <c r="H146" s="44">
        <f t="shared" si="32"/>
        <v>144</v>
      </c>
      <c r="I146" s="44">
        <f t="shared" si="33"/>
        <v>104</v>
      </c>
      <c r="J146" s="44">
        <f t="shared" si="34"/>
        <v>101.48693882582241</v>
      </c>
      <c r="K146" s="12"/>
      <c r="L146" s="12"/>
      <c r="M146" s="12"/>
      <c r="N146" s="12"/>
      <c r="O146" s="12"/>
      <c r="P146" s="12"/>
      <c r="Q146" s="12"/>
      <c r="R146" s="50"/>
      <c r="S146" s="59" t="s">
        <v>133</v>
      </c>
      <c r="T146" s="40">
        <v>0.38</v>
      </c>
      <c r="U146" s="40">
        <v>0.42</v>
      </c>
      <c r="V146" s="60">
        <v>0.55000000000000004</v>
      </c>
      <c r="W146" s="60">
        <v>0.66</v>
      </c>
      <c r="X146" s="40">
        <v>0.27</v>
      </c>
      <c r="Y146" s="40">
        <v>0.34</v>
      </c>
      <c r="Z146" s="60">
        <v>0.37</v>
      </c>
      <c r="AA146" s="60">
        <v>0.46</v>
      </c>
      <c r="AB146" s="61">
        <v>0.2642734481179993</v>
      </c>
      <c r="AC146" s="61">
        <v>0.33304888080267225</v>
      </c>
      <c r="AD146" s="61">
        <v>0.36159601769516109</v>
      </c>
      <c r="AE146" s="61">
        <v>0.44822483885342695</v>
      </c>
    </row>
    <row r="147" spans="1:31" ht="15.75" thickBot="1">
      <c r="A147" s="35" t="s">
        <v>111</v>
      </c>
      <c r="B147" s="36" t="s">
        <v>123</v>
      </c>
      <c r="C147" s="15"/>
      <c r="D147" s="44">
        <f t="shared" si="29"/>
        <v>0.49</v>
      </c>
      <c r="E147" s="44">
        <f t="shared" si="30"/>
        <v>0.38</v>
      </c>
      <c r="F147" s="46">
        <f t="shared" si="31"/>
        <v>0.37372498126617681</v>
      </c>
      <c r="G147" s="15"/>
      <c r="H147" s="44">
        <f t="shared" si="32"/>
        <v>170</v>
      </c>
      <c r="I147" s="44">
        <f t="shared" si="33"/>
        <v>128</v>
      </c>
      <c r="J147" s="44">
        <f t="shared" si="34"/>
        <v>124.76664759193905</v>
      </c>
      <c r="K147" s="12"/>
      <c r="L147" s="12"/>
      <c r="M147" s="12"/>
      <c r="N147" s="12"/>
      <c r="O147" s="12"/>
      <c r="P147" s="12"/>
      <c r="Q147" s="12"/>
      <c r="R147" s="51"/>
      <c r="S147" s="59" t="s">
        <v>134</v>
      </c>
      <c r="T147" s="47">
        <v>0.38</v>
      </c>
      <c r="U147" s="47">
        <v>0.42</v>
      </c>
      <c r="V147" s="62">
        <v>0.55000000000000004</v>
      </c>
      <c r="W147" s="62">
        <v>0.66</v>
      </c>
      <c r="X147" s="47">
        <v>0.27</v>
      </c>
      <c r="Y147" s="47">
        <v>0.34</v>
      </c>
      <c r="Z147" s="62">
        <v>0.37</v>
      </c>
      <c r="AA147" s="62">
        <v>0.46</v>
      </c>
      <c r="AB147" s="63">
        <v>0.26543993255961057</v>
      </c>
      <c r="AC147" s="63">
        <v>0.33451893517445652</v>
      </c>
      <c r="AD147" s="63">
        <v>0.36319207712449003</v>
      </c>
      <c r="AE147" s="63">
        <v>0.45020327181591202</v>
      </c>
    </row>
    <row r="148" spans="1:31" ht="23.25" thickBot="1">
      <c r="A148" s="41" t="s">
        <v>111</v>
      </c>
      <c r="B148" s="36" t="s">
        <v>124</v>
      </c>
      <c r="C148" s="15"/>
      <c r="D148" s="42">
        <f t="shared" si="29"/>
        <v>0.5</v>
      </c>
      <c r="E148" s="42">
        <f t="shared" si="30"/>
        <v>0.4</v>
      </c>
      <c r="F148" s="49">
        <f t="shared" si="31"/>
        <v>0.3927913053453399</v>
      </c>
      <c r="G148" s="15"/>
      <c r="H148" s="44">
        <f t="shared" si="32"/>
        <v>197</v>
      </c>
      <c r="I148" s="44">
        <f t="shared" si="33"/>
        <v>154</v>
      </c>
      <c r="J148" s="44">
        <f t="shared" si="34"/>
        <v>149.86499034714507</v>
      </c>
      <c r="K148" s="12"/>
      <c r="L148" s="12"/>
      <c r="M148" s="12"/>
      <c r="N148" s="12"/>
      <c r="O148" s="12"/>
      <c r="P148" s="12"/>
      <c r="Q148" s="12"/>
      <c r="R148" s="43" t="s">
        <v>125</v>
      </c>
      <c r="S148" s="59" t="s">
        <v>129</v>
      </c>
      <c r="T148" s="40">
        <v>8</v>
      </c>
      <c r="U148" s="40">
        <v>9</v>
      </c>
      <c r="V148" s="60">
        <v>12</v>
      </c>
      <c r="W148" s="60">
        <v>14</v>
      </c>
      <c r="X148" s="40">
        <v>6</v>
      </c>
      <c r="Y148" s="40">
        <v>7</v>
      </c>
      <c r="Z148" s="60">
        <v>8</v>
      </c>
      <c r="AA148" s="60">
        <v>10</v>
      </c>
      <c r="AB148" s="61">
        <v>5.4984135454276748</v>
      </c>
      <c r="AC148" s="61">
        <v>6.9293396311130095</v>
      </c>
      <c r="AD148" s="61">
        <v>7.5232848998891342</v>
      </c>
      <c r="AE148" s="61">
        <v>9.3256645451888076</v>
      </c>
    </row>
    <row r="149" spans="1:31" ht="15.75" thickBot="1">
      <c r="A149" s="35" t="s">
        <v>109</v>
      </c>
      <c r="B149" s="36" t="s">
        <v>129</v>
      </c>
      <c r="C149" s="15"/>
      <c r="D149" s="44">
        <f t="shared" ref="D149:D172" si="35">INDEX($T$142:$W$147,MATCH($B149,$S$142:$S$147,0),MATCH($A149,$T$119:$W$119,0))</f>
        <v>0.37</v>
      </c>
      <c r="E149" s="44">
        <f t="shared" ref="E149:E172" si="36">INDEX($X$142:$AA$147,MATCH($B149,$S$142:$S$147,0),MATCH($A149,$X$119:$AA$119,0))</f>
        <v>0.27</v>
      </c>
      <c r="F149" s="46">
        <f t="shared" ref="F149:F172" si="37">INDEX($AB$142:$AE$147,MATCH($B149,$S$142:$S$147,0),MATCH($A149,$X$119:$AA$119,0))</f>
        <v>0.25965854711485653</v>
      </c>
      <c r="G149" s="15"/>
      <c r="H149" s="44">
        <f t="shared" ref="H149:H172" si="38">INDEX($T$148:$W$153,MATCH($B149,$S$148:$S$153,0),MATCH($A149,$T$119:$W$119,0))</f>
        <v>8</v>
      </c>
      <c r="I149" s="44">
        <f t="shared" ref="I149:I172" si="39">INDEX($X$148:$AA$153,MATCH($B149,$S$148:$S$153,0),MATCH($A149,$X$119:$AA$119,0))</f>
        <v>6</v>
      </c>
      <c r="J149" s="44">
        <f t="shared" ref="J149:J176" si="40">INDEX($AB$148:$AE$153,MATCH($B149,$S$148:$S$153,0),MATCH($A149,$X$119:$AA$119,0))</f>
        <v>5.4984135454276748</v>
      </c>
      <c r="K149" s="12"/>
      <c r="L149" s="12"/>
      <c r="M149" s="12"/>
      <c r="N149" s="12"/>
      <c r="O149" s="12"/>
      <c r="P149" s="12"/>
      <c r="Q149" s="12"/>
      <c r="R149" s="43" t="s">
        <v>126</v>
      </c>
      <c r="S149" s="59" t="s">
        <v>130</v>
      </c>
      <c r="T149" s="47">
        <v>12</v>
      </c>
      <c r="U149" s="47">
        <v>14</v>
      </c>
      <c r="V149" s="62">
        <v>18</v>
      </c>
      <c r="W149" s="62">
        <v>22</v>
      </c>
      <c r="X149" s="47">
        <v>8</v>
      </c>
      <c r="Y149" s="47">
        <v>11</v>
      </c>
      <c r="Z149" s="62">
        <v>12</v>
      </c>
      <c r="AA149" s="62">
        <v>14</v>
      </c>
      <c r="AB149" s="63">
        <v>8.2840247350435572</v>
      </c>
      <c r="AC149" s="63">
        <v>10.439887874456501</v>
      </c>
      <c r="AD149" s="63">
        <v>11.334738226681294</v>
      </c>
      <c r="AE149" s="63">
        <v>14.05024106040643</v>
      </c>
    </row>
    <row r="150" spans="1:31" ht="15.75" thickBot="1">
      <c r="A150" s="41" t="s">
        <v>109</v>
      </c>
      <c r="B150" s="36" t="s">
        <v>130</v>
      </c>
      <c r="C150" s="15"/>
      <c r="D150" s="42">
        <f t="shared" si="35"/>
        <v>0.38</v>
      </c>
      <c r="E150" s="42">
        <f t="shared" si="36"/>
        <v>0.27</v>
      </c>
      <c r="F150" s="49">
        <f t="shared" si="37"/>
        <v>0.26080466170751743</v>
      </c>
      <c r="G150" s="15"/>
      <c r="H150" s="44">
        <f t="shared" si="38"/>
        <v>12</v>
      </c>
      <c r="I150" s="44">
        <f t="shared" si="39"/>
        <v>8</v>
      </c>
      <c r="J150" s="44">
        <f t="shared" si="40"/>
        <v>8.2840247350435572</v>
      </c>
      <c r="K150" s="12"/>
      <c r="L150" s="12"/>
      <c r="M150" s="12"/>
      <c r="N150" s="12"/>
      <c r="O150" s="12"/>
      <c r="P150" s="12"/>
      <c r="Q150" s="12"/>
      <c r="R150" s="50"/>
      <c r="S150" s="59" t="s">
        <v>131</v>
      </c>
      <c r="T150" s="40">
        <v>17</v>
      </c>
      <c r="U150" s="40">
        <v>18</v>
      </c>
      <c r="V150" s="60">
        <v>24</v>
      </c>
      <c r="W150" s="60">
        <v>29</v>
      </c>
      <c r="X150" s="40">
        <v>11</v>
      </c>
      <c r="Y150" s="40">
        <v>14</v>
      </c>
      <c r="Z150" s="60">
        <v>16</v>
      </c>
      <c r="AA150" s="60">
        <v>19</v>
      </c>
      <c r="AB150" s="61">
        <v>11.094119784647118</v>
      </c>
      <c r="AC150" s="61">
        <v>13.98129174186929</v>
      </c>
      <c r="AD150" s="61">
        <v>15.179691953655155</v>
      </c>
      <c r="AE150" s="61">
        <v>18.816343783707534</v>
      </c>
    </row>
    <row r="151" spans="1:31" ht="15.75" thickBot="1">
      <c r="A151" s="35" t="s">
        <v>109</v>
      </c>
      <c r="B151" s="36" t="s">
        <v>131</v>
      </c>
      <c r="C151" s="15"/>
      <c r="D151" s="44">
        <f t="shared" si="35"/>
        <v>0.38</v>
      </c>
      <c r="E151" s="44">
        <f t="shared" si="36"/>
        <v>0.27</v>
      </c>
      <c r="F151" s="46">
        <f t="shared" si="37"/>
        <v>0.26195583516950538</v>
      </c>
      <c r="G151" s="15"/>
      <c r="H151" s="44">
        <f t="shared" si="38"/>
        <v>17</v>
      </c>
      <c r="I151" s="44">
        <f t="shared" si="39"/>
        <v>11</v>
      </c>
      <c r="J151" s="44">
        <f t="shared" si="40"/>
        <v>11.094119784647118</v>
      </c>
      <c r="K151" s="12"/>
      <c r="L151" s="12"/>
      <c r="M151" s="12"/>
      <c r="N151" s="12"/>
      <c r="O151" s="12"/>
      <c r="P151" s="12"/>
      <c r="Q151" s="12"/>
      <c r="R151" s="50"/>
      <c r="S151" s="59" t="s">
        <v>132</v>
      </c>
      <c r="T151" s="47">
        <v>21</v>
      </c>
      <c r="U151" s="47">
        <v>23</v>
      </c>
      <c r="V151" s="62">
        <v>30</v>
      </c>
      <c r="W151" s="62">
        <v>36</v>
      </c>
      <c r="X151" s="47">
        <v>14</v>
      </c>
      <c r="Y151" s="47">
        <v>18</v>
      </c>
      <c r="Z151" s="62">
        <v>20</v>
      </c>
      <c r="AA151" s="62">
        <v>24</v>
      </c>
      <c r="AB151" s="63">
        <v>13.928860562876601</v>
      </c>
      <c r="AC151" s="63">
        <v>17.553755227241748</v>
      </c>
      <c r="AD151" s="63">
        <v>19.058367559946788</v>
      </c>
      <c r="AE151" s="63">
        <v>23.62424725475854</v>
      </c>
    </row>
    <row r="152" spans="1:31" ht="15.75" thickBot="1">
      <c r="A152" s="41" t="s">
        <v>109</v>
      </c>
      <c r="B152" s="36" t="s">
        <v>132</v>
      </c>
      <c r="C152" s="15"/>
      <c r="D152" s="42">
        <f t="shared" si="35"/>
        <v>0.38</v>
      </c>
      <c r="E152" s="42">
        <f t="shared" si="36"/>
        <v>0.27</v>
      </c>
      <c r="F152" s="49">
        <f t="shared" si="37"/>
        <v>0.26311208983031448</v>
      </c>
      <c r="G152" s="15"/>
      <c r="H152" s="44">
        <f t="shared" si="38"/>
        <v>21</v>
      </c>
      <c r="I152" s="44">
        <f t="shared" si="39"/>
        <v>14</v>
      </c>
      <c r="J152" s="44">
        <f t="shared" si="40"/>
        <v>13.928860562876601</v>
      </c>
      <c r="K152" s="12"/>
      <c r="L152" s="12"/>
      <c r="M152" s="12"/>
      <c r="N152" s="12"/>
      <c r="O152" s="12"/>
      <c r="P152" s="12"/>
      <c r="Q152" s="12"/>
      <c r="R152" s="50"/>
      <c r="S152" s="59" t="s">
        <v>133</v>
      </c>
      <c r="T152" s="40">
        <v>25</v>
      </c>
      <c r="U152" s="40">
        <v>28</v>
      </c>
      <c r="V152" s="60">
        <v>36</v>
      </c>
      <c r="W152" s="60">
        <v>44</v>
      </c>
      <c r="X152" s="40">
        <v>17</v>
      </c>
      <c r="Y152" s="40">
        <v>22</v>
      </c>
      <c r="Z152" s="60">
        <v>24</v>
      </c>
      <c r="AA152" s="60">
        <v>29</v>
      </c>
      <c r="AB152" s="61">
        <v>16.788409890310284</v>
      </c>
      <c r="AC152" s="61">
        <v>21.157483524140439</v>
      </c>
      <c r="AD152" s="61">
        <v>22.97098782719819</v>
      </c>
      <c r="AE152" s="61">
        <v>28.474227627777672</v>
      </c>
    </row>
    <row r="153" spans="1:31" ht="15.75" thickBot="1">
      <c r="A153" s="35" t="s">
        <v>109</v>
      </c>
      <c r="B153" s="36" t="s">
        <v>133</v>
      </c>
      <c r="C153" s="15"/>
      <c r="D153" s="44">
        <f t="shared" si="35"/>
        <v>0.38</v>
      </c>
      <c r="E153" s="44">
        <f t="shared" si="36"/>
        <v>0.27</v>
      </c>
      <c r="F153" s="46">
        <f t="shared" si="37"/>
        <v>0.2642734481179993</v>
      </c>
      <c r="G153" s="15"/>
      <c r="H153" s="44">
        <f t="shared" si="38"/>
        <v>25</v>
      </c>
      <c r="I153" s="44">
        <f t="shared" si="39"/>
        <v>17</v>
      </c>
      <c r="J153" s="44">
        <f t="shared" si="40"/>
        <v>16.788409890310284</v>
      </c>
      <c r="K153" s="12"/>
      <c r="L153" s="12"/>
      <c r="M153" s="12"/>
      <c r="N153" s="12"/>
      <c r="O153" s="12"/>
      <c r="P153" s="12"/>
      <c r="Q153" s="12"/>
      <c r="R153" s="51"/>
      <c r="S153" s="59" t="s">
        <v>134</v>
      </c>
      <c r="T153" s="47">
        <v>30</v>
      </c>
      <c r="U153" s="47">
        <v>33</v>
      </c>
      <c r="V153" s="62">
        <v>42</v>
      </c>
      <c r="W153" s="62">
        <v>51</v>
      </c>
      <c r="X153" s="47">
        <v>20</v>
      </c>
      <c r="Y153" s="47">
        <v>25</v>
      </c>
      <c r="Z153" s="62">
        <v>28</v>
      </c>
      <c r="AA153" s="62">
        <v>34</v>
      </c>
      <c r="AB153" s="63">
        <v>19.672931544716437</v>
      </c>
      <c r="AC153" s="63">
        <v>24.792683032424343</v>
      </c>
      <c r="AD153" s="63">
        <v>26.917776846740573</v>
      </c>
      <c r="AE153" s="63">
        <v>33.366562680439209</v>
      </c>
    </row>
    <row r="154" spans="1:31" ht="15.75" thickBot="1">
      <c r="A154" s="41" t="s">
        <v>109</v>
      </c>
      <c r="B154" s="36" t="s">
        <v>134</v>
      </c>
      <c r="C154" s="15"/>
      <c r="D154" s="42">
        <f t="shared" si="35"/>
        <v>0.38</v>
      </c>
      <c r="E154" s="42">
        <f t="shared" si="36"/>
        <v>0.27</v>
      </c>
      <c r="F154" s="49">
        <f t="shared" si="37"/>
        <v>0.26543993255961057</v>
      </c>
      <c r="G154" s="15"/>
      <c r="H154" s="44">
        <f t="shared" si="38"/>
        <v>30</v>
      </c>
      <c r="I154" s="44">
        <f t="shared" si="39"/>
        <v>20</v>
      </c>
      <c r="J154" s="44">
        <f t="shared" si="40"/>
        <v>19.672931544716437</v>
      </c>
      <c r="K154" s="12"/>
      <c r="L154" s="12"/>
      <c r="M154" s="12"/>
      <c r="N154" s="12"/>
      <c r="O154" s="12"/>
      <c r="P154" s="12"/>
      <c r="Q154" s="12"/>
      <c r="R154" s="53" t="s">
        <v>127</v>
      </c>
      <c r="S154" s="59" t="s">
        <v>129</v>
      </c>
      <c r="T154" s="54">
        <v>165</v>
      </c>
      <c r="U154" s="54">
        <v>165</v>
      </c>
      <c r="V154" s="64">
        <v>165</v>
      </c>
      <c r="W154" s="64">
        <v>165</v>
      </c>
      <c r="X154" s="54">
        <v>97</v>
      </c>
      <c r="Y154" s="54">
        <v>97</v>
      </c>
      <c r="Z154" s="64">
        <v>97</v>
      </c>
      <c r="AA154" s="65">
        <v>97</v>
      </c>
      <c r="AB154" s="65">
        <v>83.61781376609099</v>
      </c>
      <c r="AC154" s="65">
        <v>83.61781376609099</v>
      </c>
      <c r="AD154" s="65">
        <v>83.61781376609099</v>
      </c>
      <c r="AE154" s="65">
        <v>83.61781376609099</v>
      </c>
    </row>
    <row r="155" spans="1:31" ht="15.75" thickBot="1">
      <c r="A155" s="35" t="s">
        <v>110</v>
      </c>
      <c r="B155" s="36" t="s">
        <v>129</v>
      </c>
      <c r="C155" s="15"/>
      <c r="D155" s="44">
        <f t="shared" si="35"/>
        <v>0.42</v>
      </c>
      <c r="E155" s="44">
        <f t="shared" si="36"/>
        <v>0.34</v>
      </c>
      <c r="F155" s="46">
        <f t="shared" si="37"/>
        <v>0.32723298206196499</v>
      </c>
      <c r="G155" s="15"/>
      <c r="H155" s="44">
        <f t="shared" si="38"/>
        <v>9</v>
      </c>
      <c r="I155" s="44">
        <f t="shared" si="39"/>
        <v>7</v>
      </c>
      <c r="J155" s="44">
        <f t="shared" si="40"/>
        <v>6.9293396311130095</v>
      </c>
      <c r="K155" s="12"/>
      <c r="L155" s="12"/>
      <c r="M155" s="12"/>
      <c r="N155" s="12"/>
      <c r="O155" s="12"/>
      <c r="P155" s="12"/>
      <c r="Q155" s="12"/>
      <c r="R155" s="55" t="s">
        <v>128</v>
      </c>
      <c r="S155" s="59" t="s">
        <v>130</v>
      </c>
      <c r="T155" s="56">
        <v>165</v>
      </c>
      <c r="U155" s="56">
        <v>165</v>
      </c>
      <c r="V155" s="66">
        <v>165</v>
      </c>
      <c r="W155" s="66">
        <v>165</v>
      </c>
      <c r="X155" s="56">
        <v>97</v>
      </c>
      <c r="Y155" s="56">
        <v>97</v>
      </c>
      <c r="Z155" s="66">
        <v>97</v>
      </c>
      <c r="AA155" s="67">
        <v>97</v>
      </c>
      <c r="AB155" s="67">
        <v>83.61781376609099</v>
      </c>
      <c r="AC155" s="67">
        <v>83.61781376609099</v>
      </c>
      <c r="AD155" s="67">
        <v>83.61781376609099</v>
      </c>
      <c r="AE155" s="67">
        <v>83.61781376609099</v>
      </c>
    </row>
    <row r="156" spans="1:31" ht="15.75" thickBot="1">
      <c r="A156" s="41" t="s">
        <v>110</v>
      </c>
      <c r="B156" s="36" t="s">
        <v>130</v>
      </c>
      <c r="C156" s="15"/>
      <c r="D156" s="42">
        <f t="shared" si="35"/>
        <v>0.42</v>
      </c>
      <c r="E156" s="42">
        <f t="shared" si="36"/>
        <v>0.34</v>
      </c>
      <c r="F156" s="49">
        <f t="shared" si="37"/>
        <v>0.32867736546512433</v>
      </c>
      <c r="G156" s="15"/>
      <c r="H156" s="44">
        <f t="shared" si="38"/>
        <v>14</v>
      </c>
      <c r="I156" s="44">
        <f t="shared" si="39"/>
        <v>11</v>
      </c>
      <c r="J156" s="44">
        <f t="shared" si="40"/>
        <v>10.439887874456501</v>
      </c>
      <c r="K156" s="12"/>
      <c r="L156" s="12"/>
      <c r="M156" s="12"/>
      <c r="N156" s="12"/>
      <c r="O156" s="12"/>
      <c r="P156" s="12"/>
      <c r="Q156" s="12"/>
      <c r="R156" s="57"/>
      <c r="S156" s="59" t="s">
        <v>131</v>
      </c>
      <c r="T156" s="54">
        <v>165</v>
      </c>
      <c r="U156" s="54">
        <v>165</v>
      </c>
      <c r="V156" s="64">
        <v>165</v>
      </c>
      <c r="W156" s="64">
        <v>165</v>
      </c>
      <c r="X156" s="54">
        <v>97</v>
      </c>
      <c r="Y156" s="54">
        <v>97</v>
      </c>
      <c r="Z156" s="64">
        <v>97</v>
      </c>
      <c r="AA156" s="65">
        <v>97</v>
      </c>
      <c r="AB156" s="65">
        <v>83.61781376609099</v>
      </c>
      <c r="AC156" s="65">
        <v>83.61781376609099</v>
      </c>
      <c r="AD156" s="65">
        <v>83.61781376609099</v>
      </c>
      <c r="AE156" s="65">
        <v>83.61781376609099</v>
      </c>
    </row>
    <row r="157" spans="1:31" ht="15.75" thickBot="1">
      <c r="A157" s="35" t="s">
        <v>110</v>
      </c>
      <c r="B157" s="36" t="s">
        <v>131</v>
      </c>
      <c r="C157" s="15"/>
      <c r="D157" s="44">
        <f t="shared" si="35"/>
        <v>0.42</v>
      </c>
      <c r="E157" s="44">
        <f t="shared" si="36"/>
        <v>0.34</v>
      </c>
      <c r="F157" s="46">
        <f t="shared" si="37"/>
        <v>0.33012812427519461</v>
      </c>
      <c r="G157" s="15"/>
      <c r="H157" s="44">
        <f t="shared" si="38"/>
        <v>18</v>
      </c>
      <c r="I157" s="44">
        <f t="shared" si="39"/>
        <v>14</v>
      </c>
      <c r="J157" s="44">
        <f t="shared" si="40"/>
        <v>13.98129174186929</v>
      </c>
      <c r="K157" s="12"/>
      <c r="L157" s="12"/>
      <c r="M157" s="12"/>
      <c r="N157" s="12"/>
      <c r="O157" s="12"/>
      <c r="P157" s="12"/>
      <c r="Q157" s="12"/>
      <c r="R157" s="57"/>
      <c r="S157" s="59" t="s">
        <v>132</v>
      </c>
      <c r="T157" s="56">
        <v>165</v>
      </c>
      <c r="U157" s="56">
        <v>165</v>
      </c>
      <c r="V157" s="66">
        <v>165</v>
      </c>
      <c r="W157" s="66">
        <v>165</v>
      </c>
      <c r="X157" s="56">
        <v>97</v>
      </c>
      <c r="Y157" s="56">
        <v>97</v>
      </c>
      <c r="Z157" s="66">
        <v>97</v>
      </c>
      <c r="AA157" s="67">
        <v>97</v>
      </c>
      <c r="AB157" s="67">
        <v>83.61781376609099</v>
      </c>
      <c r="AC157" s="67">
        <v>83.61781376609099</v>
      </c>
      <c r="AD157" s="67">
        <v>83.61781376609099</v>
      </c>
      <c r="AE157" s="67">
        <v>83.61781376609099</v>
      </c>
    </row>
    <row r="158" spans="1:31" ht="15.75" thickBot="1">
      <c r="A158" s="41" t="s">
        <v>110</v>
      </c>
      <c r="B158" s="36" t="s">
        <v>132</v>
      </c>
      <c r="C158" s="15"/>
      <c r="D158" s="42">
        <f t="shared" si="35"/>
        <v>0.42</v>
      </c>
      <c r="E158" s="42">
        <f t="shared" si="36"/>
        <v>0.34</v>
      </c>
      <c r="F158" s="49">
        <f t="shared" si="37"/>
        <v>0.33158528663277431</v>
      </c>
      <c r="G158" s="15"/>
      <c r="H158" s="44">
        <f t="shared" si="38"/>
        <v>23</v>
      </c>
      <c r="I158" s="44">
        <f t="shared" si="39"/>
        <v>18</v>
      </c>
      <c r="J158" s="44">
        <f t="shared" si="40"/>
        <v>17.553755227241748</v>
      </c>
      <c r="K158" s="12"/>
      <c r="L158" s="12"/>
      <c r="M158" s="12"/>
      <c r="N158" s="12"/>
      <c r="O158" s="12"/>
      <c r="P158" s="12"/>
      <c r="Q158" s="12"/>
      <c r="R158" s="57"/>
      <c r="S158" s="59" t="s">
        <v>133</v>
      </c>
      <c r="T158" s="54">
        <v>165</v>
      </c>
      <c r="U158" s="54">
        <v>165</v>
      </c>
      <c r="V158" s="64">
        <v>165</v>
      </c>
      <c r="W158" s="64">
        <v>165</v>
      </c>
      <c r="X158" s="54">
        <v>97</v>
      </c>
      <c r="Y158" s="54">
        <v>97</v>
      </c>
      <c r="Z158" s="64">
        <v>97</v>
      </c>
      <c r="AA158" s="65">
        <v>97</v>
      </c>
      <c r="AB158" s="65">
        <v>83.61781376609099</v>
      </c>
      <c r="AC158" s="65">
        <v>83.61781376609099</v>
      </c>
      <c r="AD158" s="65">
        <v>83.61781376609099</v>
      </c>
      <c r="AE158" s="65">
        <v>83.61781376609099</v>
      </c>
    </row>
    <row r="159" spans="1:31" ht="15.75" thickBot="1">
      <c r="A159" s="35" t="s">
        <v>110</v>
      </c>
      <c r="B159" s="36" t="s">
        <v>133</v>
      </c>
      <c r="C159" s="15"/>
      <c r="D159" s="44">
        <f t="shared" si="35"/>
        <v>0.42</v>
      </c>
      <c r="E159" s="44">
        <f t="shared" si="36"/>
        <v>0.34</v>
      </c>
      <c r="F159" s="46">
        <f t="shared" si="37"/>
        <v>0.33304888080267225</v>
      </c>
      <c r="G159" s="15"/>
      <c r="H159" s="44">
        <f t="shared" si="38"/>
        <v>28</v>
      </c>
      <c r="I159" s="44">
        <f t="shared" si="39"/>
        <v>22</v>
      </c>
      <c r="J159" s="44">
        <f t="shared" si="40"/>
        <v>21.157483524140439</v>
      </c>
      <c r="K159" s="12"/>
      <c r="L159" s="12"/>
      <c r="M159" s="12"/>
      <c r="N159" s="12"/>
      <c r="O159" s="12"/>
      <c r="P159" s="12"/>
      <c r="Q159" s="12"/>
      <c r="R159" s="58"/>
      <c r="S159" s="59" t="s">
        <v>134</v>
      </c>
      <c r="T159" s="56">
        <v>165</v>
      </c>
      <c r="U159" s="56">
        <v>165</v>
      </c>
      <c r="V159" s="66">
        <v>165</v>
      </c>
      <c r="W159" s="66">
        <v>165</v>
      </c>
      <c r="X159" s="56">
        <v>97</v>
      </c>
      <c r="Y159" s="56">
        <v>97</v>
      </c>
      <c r="Z159" s="66">
        <v>97</v>
      </c>
      <c r="AA159" s="67">
        <v>97</v>
      </c>
      <c r="AB159" s="67">
        <v>83.61781376609099</v>
      </c>
      <c r="AC159" s="67">
        <v>83.61781376609099</v>
      </c>
      <c r="AD159" s="67">
        <v>83.61781376609099</v>
      </c>
      <c r="AE159" s="67">
        <v>83.61781376609099</v>
      </c>
    </row>
    <row r="160" spans="1:31" ht="15.75" thickBot="1">
      <c r="A160" s="41" t="s">
        <v>110</v>
      </c>
      <c r="B160" s="36" t="s">
        <v>134</v>
      </c>
      <c r="C160" s="15"/>
      <c r="D160" s="42">
        <f t="shared" si="35"/>
        <v>0.42</v>
      </c>
      <c r="E160" s="42">
        <f t="shared" si="36"/>
        <v>0.34</v>
      </c>
      <c r="F160" s="49">
        <f t="shared" si="37"/>
        <v>0.33451893517445652</v>
      </c>
      <c r="G160" s="15"/>
      <c r="H160" s="44">
        <f t="shared" si="38"/>
        <v>33</v>
      </c>
      <c r="I160" s="44">
        <f t="shared" si="39"/>
        <v>25</v>
      </c>
      <c r="J160" s="44">
        <f t="shared" si="40"/>
        <v>24.792683032424343</v>
      </c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spans="1:27" ht="15.75" thickBot="1">
      <c r="A161" s="35" t="s">
        <v>46</v>
      </c>
      <c r="B161" s="36" t="s">
        <v>129</v>
      </c>
      <c r="C161" s="15"/>
      <c r="D161" s="44">
        <f t="shared" si="35"/>
        <v>0.54</v>
      </c>
      <c r="E161" s="44">
        <f t="shared" si="36"/>
        <v>0.36</v>
      </c>
      <c r="F161" s="46">
        <f t="shared" si="37"/>
        <v>0.35528161177705786</v>
      </c>
      <c r="G161" s="15"/>
      <c r="H161" s="44">
        <f t="shared" si="38"/>
        <v>12</v>
      </c>
      <c r="I161" s="44">
        <f t="shared" si="39"/>
        <v>8</v>
      </c>
      <c r="J161" s="44">
        <f t="shared" si="40"/>
        <v>7.5232848998891342</v>
      </c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spans="1:27" ht="15.75" thickBot="1">
      <c r="A162" s="41" t="s">
        <v>46</v>
      </c>
      <c r="B162" s="36" t="s">
        <v>130</v>
      </c>
      <c r="C162" s="15"/>
      <c r="D162" s="42">
        <f t="shared" si="35"/>
        <v>0.54</v>
      </c>
      <c r="E162" s="42">
        <f t="shared" si="36"/>
        <v>0.37</v>
      </c>
      <c r="F162" s="49">
        <f t="shared" si="37"/>
        <v>0.35684979986208809</v>
      </c>
      <c r="G162" s="15"/>
      <c r="H162" s="44">
        <f t="shared" si="38"/>
        <v>18</v>
      </c>
      <c r="I162" s="44">
        <f t="shared" si="39"/>
        <v>12</v>
      </c>
      <c r="J162" s="44">
        <f t="shared" si="40"/>
        <v>11.334738226681294</v>
      </c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spans="1:27" ht="15.75" thickBot="1">
      <c r="A163" s="35" t="s">
        <v>46</v>
      </c>
      <c r="B163" s="36" t="s">
        <v>131</v>
      </c>
      <c r="C163" s="15"/>
      <c r="D163" s="44">
        <f t="shared" si="35"/>
        <v>0.54</v>
      </c>
      <c r="E163" s="44">
        <f t="shared" si="36"/>
        <v>0.37</v>
      </c>
      <c r="F163" s="46">
        <f t="shared" si="37"/>
        <v>0.358424909819201</v>
      </c>
      <c r="G163" s="15"/>
      <c r="H163" s="44">
        <f t="shared" si="38"/>
        <v>24</v>
      </c>
      <c r="I163" s="44">
        <f t="shared" si="39"/>
        <v>16</v>
      </c>
      <c r="J163" s="44">
        <f t="shared" si="40"/>
        <v>15.179691953655155</v>
      </c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spans="1:27" ht="15.75" thickBot="1">
      <c r="A164" s="41" t="s">
        <v>46</v>
      </c>
      <c r="B164" s="36" t="s">
        <v>132</v>
      </c>
      <c r="C164" s="15"/>
      <c r="D164" s="42">
        <f t="shared" si="35"/>
        <v>0.55000000000000004</v>
      </c>
      <c r="E164" s="42">
        <f t="shared" si="36"/>
        <v>0.37</v>
      </c>
      <c r="F164" s="49">
        <f t="shared" si="37"/>
        <v>0.36000697220105377</v>
      </c>
      <c r="G164" s="15"/>
      <c r="H164" s="44">
        <f t="shared" si="38"/>
        <v>30</v>
      </c>
      <c r="I164" s="44">
        <f t="shared" si="39"/>
        <v>20</v>
      </c>
      <c r="J164" s="44">
        <f t="shared" si="40"/>
        <v>19.058367559946788</v>
      </c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spans="1:27" ht="15.75" thickBot="1">
      <c r="A165" s="35" t="s">
        <v>46</v>
      </c>
      <c r="B165" s="36" t="s">
        <v>133</v>
      </c>
      <c r="C165" s="15"/>
      <c r="D165" s="44">
        <f t="shared" si="35"/>
        <v>0.55000000000000004</v>
      </c>
      <c r="E165" s="44">
        <f t="shared" si="36"/>
        <v>0.37</v>
      </c>
      <c r="F165" s="46">
        <f t="shared" si="37"/>
        <v>0.36159601769516109</v>
      </c>
      <c r="G165" s="15"/>
      <c r="H165" s="44">
        <f t="shared" si="38"/>
        <v>36</v>
      </c>
      <c r="I165" s="44">
        <f t="shared" si="39"/>
        <v>24</v>
      </c>
      <c r="J165" s="44">
        <f t="shared" si="40"/>
        <v>22.97098782719819</v>
      </c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spans="1:27" ht="15.75" thickBot="1">
      <c r="A166" s="41" t="s">
        <v>46</v>
      </c>
      <c r="B166" s="36" t="s">
        <v>134</v>
      </c>
      <c r="C166" s="15"/>
      <c r="D166" s="42">
        <f t="shared" si="35"/>
        <v>0.55000000000000004</v>
      </c>
      <c r="E166" s="42">
        <f t="shared" si="36"/>
        <v>0.37</v>
      </c>
      <c r="F166" s="49">
        <f t="shared" si="37"/>
        <v>0.36319207712449003</v>
      </c>
      <c r="G166" s="15"/>
      <c r="H166" s="44">
        <f t="shared" si="38"/>
        <v>42</v>
      </c>
      <c r="I166" s="44">
        <f t="shared" si="39"/>
        <v>28</v>
      </c>
      <c r="J166" s="44">
        <f t="shared" si="40"/>
        <v>26.917776846740573</v>
      </c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spans="1:27" ht="15.75" thickBot="1">
      <c r="A167" s="35" t="s">
        <v>111</v>
      </c>
      <c r="B167" s="36" t="s">
        <v>129</v>
      </c>
      <c r="C167" s="15"/>
      <c r="D167" s="44">
        <f t="shared" si="35"/>
        <v>0.65</v>
      </c>
      <c r="E167" s="44">
        <f t="shared" si="36"/>
        <v>0.45</v>
      </c>
      <c r="F167" s="46">
        <f t="shared" si="37"/>
        <v>0.44039766865078672</v>
      </c>
      <c r="G167" s="15"/>
      <c r="H167" s="44">
        <f t="shared" si="38"/>
        <v>14</v>
      </c>
      <c r="I167" s="44">
        <f t="shared" si="39"/>
        <v>10</v>
      </c>
      <c r="J167" s="44">
        <f t="shared" si="40"/>
        <v>9.3256645451888076</v>
      </c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spans="1:27" ht="15.75" thickBot="1">
      <c r="A168" s="41" t="s">
        <v>111</v>
      </c>
      <c r="B168" s="36" t="s">
        <v>130</v>
      </c>
      <c r="C168" s="15"/>
      <c r="D168" s="42">
        <f t="shared" si="35"/>
        <v>0.66</v>
      </c>
      <c r="E168" s="42">
        <f t="shared" si="36"/>
        <v>0.45</v>
      </c>
      <c r="F168" s="49">
        <f t="shared" si="37"/>
        <v>0.4423415530336538</v>
      </c>
      <c r="G168" s="15"/>
      <c r="H168" s="44">
        <f t="shared" si="38"/>
        <v>22</v>
      </c>
      <c r="I168" s="44">
        <f t="shared" si="39"/>
        <v>14</v>
      </c>
      <c r="J168" s="44">
        <f t="shared" si="40"/>
        <v>14.05024106040643</v>
      </c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spans="1:27" ht="15.75" thickBot="1">
      <c r="A169" s="35" t="s">
        <v>111</v>
      </c>
      <c r="B169" s="36" t="s">
        <v>131</v>
      </c>
      <c r="C169" s="15"/>
      <c r="D169" s="44">
        <f t="shared" si="35"/>
        <v>0.66</v>
      </c>
      <c r="E169" s="44">
        <f t="shared" si="36"/>
        <v>0.46</v>
      </c>
      <c r="F169" s="46">
        <f t="shared" si="37"/>
        <v>0.44429401758567916</v>
      </c>
      <c r="G169" s="15"/>
      <c r="H169" s="44">
        <f t="shared" si="38"/>
        <v>29</v>
      </c>
      <c r="I169" s="44">
        <f t="shared" si="39"/>
        <v>19</v>
      </c>
      <c r="J169" s="44">
        <f t="shared" si="40"/>
        <v>18.816343783707534</v>
      </c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spans="1:27" ht="15.75" thickBot="1">
      <c r="A170" s="41" t="s">
        <v>111</v>
      </c>
      <c r="B170" s="36" t="s">
        <v>132</v>
      </c>
      <c r="C170" s="15"/>
      <c r="D170" s="42">
        <f t="shared" si="35"/>
        <v>0.66</v>
      </c>
      <c r="E170" s="42">
        <f t="shared" si="36"/>
        <v>0.46</v>
      </c>
      <c r="F170" s="49">
        <f t="shared" si="37"/>
        <v>0.44625510017912701</v>
      </c>
      <c r="G170" s="15"/>
      <c r="H170" s="44">
        <f t="shared" si="38"/>
        <v>36</v>
      </c>
      <c r="I170" s="44">
        <f t="shared" si="39"/>
        <v>24</v>
      </c>
      <c r="J170" s="44">
        <f t="shared" si="40"/>
        <v>23.62424725475854</v>
      </c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spans="1:27" ht="15.75" thickBot="1">
      <c r="A171" s="35" t="s">
        <v>111</v>
      </c>
      <c r="B171" s="36" t="s">
        <v>133</v>
      </c>
      <c r="C171" s="15"/>
      <c r="D171" s="44">
        <f t="shared" si="35"/>
        <v>0.66</v>
      </c>
      <c r="E171" s="44">
        <f t="shared" si="36"/>
        <v>0.46</v>
      </c>
      <c r="F171" s="46">
        <f t="shared" si="37"/>
        <v>0.44822483885342695</v>
      </c>
      <c r="G171" s="15"/>
      <c r="H171" s="44">
        <f t="shared" si="38"/>
        <v>44</v>
      </c>
      <c r="I171" s="44">
        <f t="shared" si="39"/>
        <v>29</v>
      </c>
      <c r="J171" s="44">
        <f t="shared" si="40"/>
        <v>28.474227627777672</v>
      </c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spans="1:27" ht="15.75" thickBot="1">
      <c r="A172" s="41" t="s">
        <v>111</v>
      </c>
      <c r="B172" s="36" t="s">
        <v>134</v>
      </c>
      <c r="C172" s="15"/>
      <c r="D172" s="42">
        <f t="shared" si="35"/>
        <v>0.66</v>
      </c>
      <c r="E172" s="42">
        <f t="shared" si="36"/>
        <v>0.46</v>
      </c>
      <c r="F172" s="49">
        <f t="shared" si="37"/>
        <v>0.45020327181591202</v>
      </c>
      <c r="G172" s="15"/>
      <c r="H172" s="44">
        <f t="shared" si="38"/>
        <v>51</v>
      </c>
      <c r="I172" s="44">
        <f t="shared" si="39"/>
        <v>34</v>
      </c>
      <c r="J172" s="44">
        <f t="shared" si="40"/>
        <v>33.366562680439209</v>
      </c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spans="1:27" ht="15.75" thickBot="1">
      <c r="A173" s="68" t="s">
        <v>109</v>
      </c>
      <c r="B173" s="69" t="s">
        <v>135</v>
      </c>
      <c r="C173" s="15"/>
      <c r="D173" s="70">
        <v>37</v>
      </c>
      <c r="E173" s="70">
        <v>54</v>
      </c>
      <c r="F173" s="15"/>
      <c r="G173" s="12" t="s">
        <v>136</v>
      </c>
      <c r="H173" s="12"/>
      <c r="I173" s="12"/>
      <c r="J173" s="44" t="e">
        <f t="shared" si="40"/>
        <v>#N/A</v>
      </c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spans="1:27" ht="15.75" thickBot="1">
      <c r="A174" s="68" t="s">
        <v>110</v>
      </c>
      <c r="B174" s="69" t="s">
        <v>135</v>
      </c>
      <c r="C174" s="15"/>
      <c r="D174" s="70">
        <v>32</v>
      </c>
      <c r="E174" s="70">
        <v>45</v>
      </c>
      <c r="F174" s="15"/>
      <c r="G174" s="12" t="s">
        <v>136</v>
      </c>
      <c r="H174" s="12"/>
      <c r="I174" s="12"/>
      <c r="J174" s="44" t="e">
        <f t="shared" si="40"/>
        <v>#N/A</v>
      </c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spans="1:27" ht="15.75" thickBot="1">
      <c r="A175" s="68" t="s">
        <v>46</v>
      </c>
      <c r="B175" s="69" t="s">
        <v>135</v>
      </c>
      <c r="C175" s="15"/>
      <c r="D175" s="70">
        <v>26</v>
      </c>
      <c r="E175" s="70">
        <v>37</v>
      </c>
      <c r="F175" s="15"/>
      <c r="G175" s="12" t="s">
        <v>136</v>
      </c>
      <c r="H175" s="12"/>
      <c r="I175" s="12"/>
      <c r="J175" s="44" t="e">
        <f t="shared" si="40"/>
        <v>#N/A</v>
      </c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spans="1:27" ht="15.75" thickBot="1">
      <c r="A176" s="68" t="s">
        <v>111</v>
      </c>
      <c r="B176" s="69" t="s">
        <v>135</v>
      </c>
      <c r="C176" s="15"/>
      <c r="D176" s="70">
        <v>23</v>
      </c>
      <c r="E176" s="70">
        <v>25</v>
      </c>
      <c r="F176" s="15"/>
      <c r="G176" s="12" t="s">
        <v>136</v>
      </c>
      <c r="H176" s="12"/>
      <c r="I176" s="12"/>
      <c r="J176" s="44" t="e">
        <f t="shared" si="40"/>
        <v>#N/A</v>
      </c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spans="1:2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spans="1:27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spans="1:27">
      <c r="A179" s="18" t="s">
        <v>137</v>
      </c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spans="1:27">
      <c r="A180" s="12" t="s">
        <v>138</v>
      </c>
      <c r="B180" s="1">
        <v>2020</v>
      </c>
      <c r="C180" s="20">
        <v>2021</v>
      </c>
      <c r="D180" s="1">
        <v>2022</v>
      </c>
      <c r="E180" s="20">
        <v>2023</v>
      </c>
      <c r="F180" s="20">
        <v>2024</v>
      </c>
      <c r="G180" s="20">
        <v>2025</v>
      </c>
      <c r="H180" s="20">
        <v>2026</v>
      </c>
      <c r="I180" s="20">
        <v>2027</v>
      </c>
      <c r="J180" s="20">
        <v>2028</v>
      </c>
      <c r="K180" s="20">
        <v>2029</v>
      </c>
      <c r="L180" s="20">
        <v>2030</v>
      </c>
      <c r="M180" s="20">
        <v>2031</v>
      </c>
      <c r="N180" s="20">
        <v>2032</v>
      </c>
      <c r="O180" s="20">
        <v>2033</v>
      </c>
      <c r="P180" s="20">
        <v>2034</v>
      </c>
      <c r="Q180" s="20">
        <v>2035</v>
      </c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spans="1:27">
      <c r="A181" s="12" t="s">
        <v>139</v>
      </c>
      <c r="B181" cm="1">
        <f t="array" ref="B181">TREND($D181:$H181,$D$180:$H$180,B$180)</f>
        <v>95.525493082981484</v>
      </c>
      <c r="C181" cm="1">
        <f t="array" ref="C181">TREND($D181:$H181,$D$180:$H$180,C$180)</f>
        <v>93.479988743963986</v>
      </c>
      <c r="D181" s="12">
        <f>SUMPRODUCT(E64:E87,H125:H148)</f>
        <v>91.434484404946261</v>
      </c>
      <c r="E181" s="17">
        <f t="shared" ref="E181:K182" si="41">($L181-$D181)/COUNT($E$180:$L$180)+D181</f>
        <v>89.388980065928635</v>
      </c>
      <c r="F181" s="17">
        <f t="shared" si="41"/>
        <v>87.343475726911009</v>
      </c>
      <c r="G181" s="17">
        <f t="shared" si="41"/>
        <v>85.297971387893384</v>
      </c>
      <c r="H181" s="17">
        <f t="shared" si="41"/>
        <v>83.252467048875758</v>
      </c>
      <c r="I181" s="17">
        <f t="shared" si="41"/>
        <v>81.206962709858132</v>
      </c>
      <c r="J181" s="17">
        <f t="shared" si="41"/>
        <v>79.161458370840506</v>
      </c>
      <c r="K181" s="17">
        <f t="shared" si="41"/>
        <v>77.115954031822881</v>
      </c>
      <c r="L181" s="12">
        <f>SUMPRODUCT(M64:M87,I125:I148)</f>
        <v>75.070449692805283</v>
      </c>
      <c r="M181" s="17">
        <f t="shared" ref="M181:P182" si="42">($Q181-$L181)/COUNT($M$180:$Q$180)+L181</f>
        <v>74.688318500623538</v>
      </c>
      <c r="N181" s="17">
        <f t="shared" si="42"/>
        <v>74.306187308441793</v>
      </c>
      <c r="O181" s="17">
        <f t="shared" si="42"/>
        <v>73.924056116260047</v>
      </c>
      <c r="P181" s="17">
        <f t="shared" si="42"/>
        <v>73.541924924078302</v>
      </c>
      <c r="Q181" s="12">
        <f>SUMPRODUCT(R64:R87,J125:J148)</f>
        <v>73.159793731896556</v>
      </c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spans="1:27">
      <c r="A182" s="12" t="s">
        <v>135</v>
      </c>
      <c r="B182" cm="1">
        <f t="array" ref="B182">TREND($D182:$H182,$D$180:$H$180,B$180)</f>
        <v>16.635206947477229</v>
      </c>
      <c r="C182" cm="1">
        <f t="array" ref="C182">TREND($D182:$H182,$D$180:$H$180,C$180)</f>
        <v>16.797827693855538</v>
      </c>
      <c r="D182" s="12">
        <f>SUMPRODUCT(E92:E115,H149:H172)</f>
        <v>16.960448440233939</v>
      </c>
      <c r="E182" s="17">
        <f t="shared" si="41"/>
        <v>17.123069186612287</v>
      </c>
      <c r="F182" s="17">
        <f t="shared" si="41"/>
        <v>17.285689932990635</v>
      </c>
      <c r="G182" s="17">
        <f t="shared" si="41"/>
        <v>17.448310679368984</v>
      </c>
      <c r="H182" s="17">
        <f t="shared" si="41"/>
        <v>17.610931425747332</v>
      </c>
      <c r="I182" s="17">
        <f t="shared" si="41"/>
        <v>17.77355217212568</v>
      </c>
      <c r="J182" s="17">
        <f t="shared" si="41"/>
        <v>17.936172918504028</v>
      </c>
      <c r="K182" s="17">
        <f t="shared" si="41"/>
        <v>18.098793664882376</v>
      </c>
      <c r="L182" s="12">
        <f>SUMPRODUCT(M92:M115,I149:I172)</f>
        <v>18.261414411260727</v>
      </c>
      <c r="M182" s="17">
        <f t="shared" si="42"/>
        <v>18.171599418030326</v>
      </c>
      <c r="N182" s="17">
        <f t="shared" si="42"/>
        <v>18.081784424799924</v>
      </c>
      <c r="O182" s="17">
        <f t="shared" si="42"/>
        <v>17.991969431569522</v>
      </c>
      <c r="P182" s="17">
        <f t="shared" si="42"/>
        <v>17.902154438339121</v>
      </c>
      <c r="Q182" s="12">
        <f>SUMPRODUCT(R92:R115,J149:J172)</f>
        <v>17.812339445108716</v>
      </c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spans="1:27">
      <c r="A183" s="12"/>
      <c r="B183" s="12"/>
      <c r="C183" s="17"/>
      <c r="D183" s="17"/>
      <c r="E183" s="17"/>
      <c r="F183" s="17"/>
      <c r="G183" s="17"/>
      <c r="H183" s="17"/>
      <c r="I183" s="12"/>
      <c r="J183" s="17"/>
      <c r="K183" s="17"/>
      <c r="L183" s="17"/>
      <c r="M183" s="17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</sheetData>
  <mergeCells count="20">
    <mergeCell ref="W122:W123"/>
    <mergeCell ref="R118:R120"/>
    <mergeCell ref="A119:A120"/>
    <mergeCell ref="B119:B120"/>
    <mergeCell ref="C119:F119"/>
    <mergeCell ref="G119:J119"/>
    <mergeCell ref="S119:S120"/>
    <mergeCell ref="Q122:Q123"/>
    <mergeCell ref="S122:S123"/>
    <mergeCell ref="T122:T123"/>
    <mergeCell ref="U122:U123"/>
    <mergeCell ref="V122:V123"/>
    <mergeCell ref="AD122:AD123"/>
    <mergeCell ref="AE122:AE123"/>
    <mergeCell ref="X122:X123"/>
    <mergeCell ref="Y122:Y123"/>
    <mergeCell ref="Z122:Z123"/>
    <mergeCell ref="AA122:AA123"/>
    <mergeCell ref="AB122:AB123"/>
    <mergeCell ref="AC122:AC1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E4120-3854-4EE1-9E42-CF63CA26AF1E}">
  <dimension ref="A1:AE372"/>
  <sheetViews>
    <sheetView workbookViewId="0">
      <selection activeCell="A13" sqref="A13:XFD14"/>
    </sheetView>
  </sheetViews>
  <sheetFormatPr defaultRowHeight="15"/>
  <cols>
    <col min="1" max="1" width="40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>
      <c r="A1" t="s">
        <v>216</v>
      </c>
    </row>
    <row r="2" spans="1:31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>
      <c r="A3" s="74" t="s">
        <v>217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>
      <c r="A8">
        <v>7</v>
      </c>
      <c r="B8">
        <f t="shared" ref="B8:AE8" si="5">SUMIFS($M$22:$M$372,$B$22:$B$372,B$2)+SUMIFS($N$22:$N$372,$B$22:$B$372,B$2)+SUMIFS($O$22:$O$372,$B$22:$B$372,B$2)+SUMIFS($L$22:$L$372,$B$22:$B$372,B$2)</f>
        <v>21507671116</v>
      </c>
      <c r="C8">
        <f t="shared" si="5"/>
        <v>21357975768</v>
      </c>
      <c r="D8">
        <f t="shared" si="5"/>
        <v>20783058567</v>
      </c>
      <c r="E8">
        <f t="shared" si="5"/>
        <v>20374639585</v>
      </c>
      <c r="F8">
        <f t="shared" si="5"/>
        <v>20181540051</v>
      </c>
      <c r="G8">
        <f t="shared" si="5"/>
        <v>20133620176</v>
      </c>
      <c r="H8">
        <f t="shared" si="5"/>
        <v>20087106886</v>
      </c>
      <c r="I8">
        <f t="shared" si="5"/>
        <v>20038635908</v>
      </c>
      <c r="J8">
        <f t="shared" si="5"/>
        <v>19949456457</v>
      </c>
      <c r="K8">
        <f t="shared" si="5"/>
        <v>19842312364</v>
      </c>
      <c r="L8">
        <f t="shared" si="5"/>
        <v>19765277882</v>
      </c>
      <c r="M8">
        <f t="shared" si="5"/>
        <v>19748092789</v>
      </c>
      <c r="N8">
        <f t="shared" si="5"/>
        <v>19695477846</v>
      </c>
      <c r="O8">
        <f t="shared" si="5"/>
        <v>19636025027</v>
      </c>
      <c r="P8">
        <f t="shared" si="5"/>
        <v>19598413915</v>
      </c>
      <c r="Q8">
        <f t="shared" si="5"/>
        <v>19541319468</v>
      </c>
      <c r="R8">
        <f t="shared" si="5"/>
        <v>19524879744</v>
      </c>
      <c r="S8">
        <f t="shared" si="5"/>
        <v>19513379573</v>
      </c>
      <c r="T8">
        <f t="shared" si="5"/>
        <v>19488336504</v>
      </c>
      <c r="U8">
        <f t="shared" si="5"/>
        <v>19480353440</v>
      </c>
      <c r="V8">
        <f t="shared" si="5"/>
        <v>19474857980</v>
      </c>
      <c r="W8">
        <f t="shared" si="5"/>
        <v>19488052971</v>
      </c>
      <c r="X8">
        <f t="shared" si="5"/>
        <v>19502409327</v>
      </c>
      <c r="Y8">
        <f t="shared" si="5"/>
        <v>19505241097</v>
      </c>
      <c r="Z8">
        <f t="shared" si="5"/>
        <v>19481593092</v>
      </c>
      <c r="AA8">
        <f t="shared" si="5"/>
        <v>19465982153</v>
      </c>
      <c r="AB8">
        <f t="shared" si="5"/>
        <v>19454149348</v>
      </c>
      <c r="AC8">
        <f t="shared" si="5"/>
        <v>19434724026</v>
      </c>
      <c r="AD8">
        <f t="shared" si="5"/>
        <v>19428116039</v>
      </c>
      <c r="AE8">
        <f t="shared" si="5"/>
        <v>19474802616</v>
      </c>
    </row>
    <row r="9" spans="1:31">
      <c r="A9">
        <v>8</v>
      </c>
      <c r="B9">
        <f t="shared" ref="B9:AE9" si="6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9">
        <f t="shared" si="6"/>
        <v>165833835900</v>
      </c>
      <c r="D9">
        <f t="shared" si="6"/>
        <v>165951663770</v>
      </c>
      <c r="E9">
        <f t="shared" si="6"/>
        <v>166563777972</v>
      </c>
      <c r="F9">
        <f t="shared" si="6"/>
        <v>168228600747</v>
      </c>
      <c r="G9">
        <f t="shared" si="6"/>
        <v>170541530605</v>
      </c>
      <c r="H9">
        <f t="shared" si="6"/>
        <v>172436733111</v>
      </c>
      <c r="I9">
        <f t="shared" si="6"/>
        <v>173990397454</v>
      </c>
      <c r="J9">
        <f t="shared" si="6"/>
        <v>174970123218</v>
      </c>
      <c r="K9">
        <f t="shared" si="6"/>
        <v>175504947152</v>
      </c>
      <c r="L9">
        <f t="shared" si="6"/>
        <v>176099617242</v>
      </c>
      <c r="M9">
        <f t="shared" si="6"/>
        <v>177122838114</v>
      </c>
      <c r="N9">
        <f t="shared" si="6"/>
        <v>177771998793</v>
      </c>
      <c r="O9">
        <f t="shared" si="6"/>
        <v>178326561102</v>
      </c>
      <c r="P9">
        <f t="shared" si="6"/>
        <v>178984032831</v>
      </c>
      <c r="Q9">
        <f t="shared" si="6"/>
        <v>179352976607</v>
      </c>
      <c r="R9">
        <f t="shared" si="6"/>
        <v>179997996228</v>
      </c>
      <c r="S9">
        <f t="shared" si="6"/>
        <v>180679173597</v>
      </c>
      <c r="T9">
        <f t="shared" si="6"/>
        <v>181251099851</v>
      </c>
      <c r="U9">
        <f t="shared" si="6"/>
        <v>181920428178</v>
      </c>
      <c r="V9">
        <f t="shared" si="6"/>
        <v>182564055297</v>
      </c>
      <c r="W9">
        <f t="shared" si="6"/>
        <v>183310418623</v>
      </c>
      <c r="X9">
        <f t="shared" si="6"/>
        <v>183965134659</v>
      </c>
      <c r="Y9">
        <f t="shared" si="6"/>
        <v>184426295534</v>
      </c>
      <c r="Z9">
        <f t="shared" si="6"/>
        <v>184571475281</v>
      </c>
      <c r="AA9">
        <f t="shared" si="6"/>
        <v>184729680953</v>
      </c>
      <c r="AB9">
        <f t="shared" si="6"/>
        <v>184895589065</v>
      </c>
      <c r="AC9">
        <f t="shared" si="6"/>
        <v>184945638188</v>
      </c>
      <c r="AD9">
        <f t="shared" si="6"/>
        <v>185089970625</v>
      </c>
      <c r="AE9">
        <f t="shared" si="6"/>
        <v>185700776885</v>
      </c>
    </row>
    <row r="11" spans="1:31">
      <c r="A11" t="s">
        <v>216</v>
      </c>
    </row>
    <row r="12" spans="1:31">
      <c r="B12">
        <v>2021</v>
      </c>
      <c r="C12">
        <v>2022</v>
      </c>
      <c r="D12">
        <v>2023</v>
      </c>
      <c r="E12">
        <v>2024</v>
      </c>
      <c r="F12">
        <v>2025</v>
      </c>
      <c r="G12">
        <v>2026</v>
      </c>
      <c r="H12">
        <v>2027</v>
      </c>
      <c r="I12">
        <v>2028</v>
      </c>
      <c r="J12">
        <v>2029</v>
      </c>
      <c r="K12">
        <v>2030</v>
      </c>
      <c r="L12">
        <v>2031</v>
      </c>
      <c r="M12">
        <v>2032</v>
      </c>
      <c r="N12">
        <v>2033</v>
      </c>
      <c r="O12">
        <v>2034</v>
      </c>
      <c r="P12">
        <v>2035</v>
      </c>
      <c r="Q12">
        <v>2036</v>
      </c>
      <c r="R12">
        <v>2037</v>
      </c>
      <c r="S12">
        <v>2038</v>
      </c>
      <c r="T12">
        <v>2039</v>
      </c>
      <c r="U12">
        <v>2040</v>
      </c>
      <c r="V12">
        <v>2041</v>
      </c>
      <c r="W12">
        <v>2042</v>
      </c>
      <c r="X12">
        <v>2043</v>
      </c>
      <c r="Y12">
        <v>2044</v>
      </c>
      <c r="Z12">
        <v>2045</v>
      </c>
      <c r="AA12">
        <v>2046</v>
      </c>
      <c r="AB12">
        <v>2047</v>
      </c>
      <c r="AC12">
        <v>2048</v>
      </c>
      <c r="AD12">
        <v>2049</v>
      </c>
      <c r="AE12">
        <v>2050</v>
      </c>
    </row>
    <row r="13" spans="1:31">
      <c r="A13" t="s">
        <v>218</v>
      </c>
      <c r="B13" s="22">
        <f>B7/SUM(B7:B8)</f>
        <v>0.49511860454998324</v>
      </c>
      <c r="C13" s="22">
        <f t="shared" ref="C13:AE13" si="7">C7/SUM(C7:C8)</f>
        <v>0.49771343153175152</v>
      </c>
      <c r="D13" s="22">
        <f t="shared" si="7"/>
        <v>0.499878716334275</v>
      </c>
      <c r="E13" s="22">
        <f t="shared" si="7"/>
        <v>0.50197204922413841</v>
      </c>
      <c r="F13" s="22">
        <f t="shared" si="7"/>
        <v>0.5038478943462229</v>
      </c>
      <c r="G13" s="22">
        <f t="shared" si="7"/>
        <v>0.50579407051504077</v>
      </c>
      <c r="H13" s="22">
        <f t="shared" si="7"/>
        <v>0.50808538943434445</v>
      </c>
      <c r="I13" s="22">
        <f t="shared" si="7"/>
        <v>0.51073825699200881</v>
      </c>
      <c r="J13" s="22">
        <f t="shared" si="7"/>
        <v>0.51371962287002515</v>
      </c>
      <c r="K13" s="22">
        <f t="shared" si="7"/>
        <v>0.51683551244793291</v>
      </c>
      <c r="L13" s="22">
        <f t="shared" si="7"/>
        <v>0.52017268153414231</v>
      </c>
      <c r="M13" s="22">
        <f t="shared" si="7"/>
        <v>0.52368432955446709</v>
      </c>
      <c r="N13" s="22">
        <f t="shared" si="7"/>
        <v>0.52710991720674694</v>
      </c>
      <c r="O13" s="22">
        <f t="shared" si="7"/>
        <v>0.53047237124410884</v>
      </c>
      <c r="P13" s="22">
        <f t="shared" si="7"/>
        <v>0.53384483484038725</v>
      </c>
      <c r="Q13" s="22">
        <f t="shared" si="7"/>
        <v>0.53722451139940575</v>
      </c>
      <c r="R13" s="22">
        <f t="shared" si="7"/>
        <v>0.54066490716749871</v>
      </c>
      <c r="S13" s="22">
        <f t="shared" si="7"/>
        <v>0.54390320761359956</v>
      </c>
      <c r="T13" s="22">
        <f t="shared" si="7"/>
        <v>0.54746499945437666</v>
      </c>
      <c r="U13" s="22">
        <f t="shared" si="7"/>
        <v>0.5510844840854906</v>
      </c>
      <c r="V13" s="22">
        <f t="shared" si="7"/>
        <v>0.55459096417739728</v>
      </c>
      <c r="W13" s="22">
        <f t="shared" si="7"/>
        <v>0.55807328309813242</v>
      </c>
      <c r="X13" s="22">
        <f t="shared" si="7"/>
        <v>0.56161824911198721</v>
      </c>
      <c r="Y13" s="22">
        <f t="shared" si="7"/>
        <v>0.56518529532563699</v>
      </c>
      <c r="Z13" s="22">
        <f t="shared" si="7"/>
        <v>0.56870590306974222</v>
      </c>
      <c r="AA13" s="22">
        <f t="shared" si="7"/>
        <v>0.57221938082651036</v>
      </c>
      <c r="AB13" s="22">
        <f t="shared" si="7"/>
        <v>0.57573767142219678</v>
      </c>
      <c r="AC13" s="22">
        <f t="shared" si="7"/>
        <v>0.57922887329421879</v>
      </c>
      <c r="AD13" s="22">
        <f t="shared" si="7"/>
        <v>0.58268086888786841</v>
      </c>
      <c r="AE13" s="22">
        <f t="shared" si="7"/>
        <v>0.58604270197066977</v>
      </c>
    </row>
    <row r="14" spans="1:31">
      <c r="A14" s="74" t="s">
        <v>219</v>
      </c>
      <c r="B14" s="22">
        <f t="shared" ref="B14:AE14" si="8">B8/SUM(B$8:B$9)</f>
        <v>0.11751487704141891</v>
      </c>
      <c r="C14" s="22">
        <f t="shared" si="8"/>
        <v>0.11409674161325026</v>
      </c>
      <c r="D14" s="22">
        <f t="shared" si="8"/>
        <v>0.11129723656585319</v>
      </c>
      <c r="E14" s="22">
        <f t="shared" si="8"/>
        <v>0.10899118464393497</v>
      </c>
      <c r="F14" s="22">
        <f t="shared" si="8"/>
        <v>0.10711493535073155</v>
      </c>
      <c r="G14" s="22">
        <f t="shared" si="8"/>
        <v>0.105591211510956</v>
      </c>
      <c r="H14" s="22">
        <f t="shared" si="8"/>
        <v>0.10433568583668915</v>
      </c>
      <c r="I14" s="22">
        <f t="shared" si="8"/>
        <v>0.10327648167279127</v>
      </c>
      <c r="J14" s="22">
        <f t="shared" si="8"/>
        <v>0.10234711407783052</v>
      </c>
      <c r="K14" s="22">
        <f t="shared" si="8"/>
        <v>0.10157456220866413</v>
      </c>
      <c r="L14" s="22">
        <f t="shared" si="8"/>
        <v>0.10091281477207445</v>
      </c>
      <c r="M14" s="22">
        <f t="shared" si="8"/>
        <v>0.10030984614346165</v>
      </c>
      <c r="N14" s="22">
        <f t="shared" si="8"/>
        <v>9.974036322956753E-2</v>
      </c>
      <c r="O14" s="22">
        <f t="shared" si="8"/>
        <v>9.9190586519234569E-2</v>
      </c>
      <c r="P14" s="22">
        <f t="shared" si="8"/>
        <v>9.8691572372797173E-2</v>
      </c>
      <c r="Q14" s="22">
        <f t="shared" si="8"/>
        <v>9.8249773138950489E-2</v>
      </c>
      <c r="R14" s="22">
        <f t="shared" si="8"/>
        <v>9.7857850378720579E-2</v>
      </c>
      <c r="S14" s="22">
        <f t="shared" si="8"/>
        <v>9.747305413718152E-2</v>
      </c>
      <c r="T14" s="22">
        <f t="shared" si="8"/>
        <v>9.7082749946231908E-2</v>
      </c>
      <c r="U14" s="22">
        <f t="shared" si="8"/>
        <v>9.6724318959936759E-2</v>
      </c>
      <c r="V14" s="22">
        <f t="shared" si="8"/>
        <v>9.6391619139722468E-2</v>
      </c>
      <c r="W14" s="22">
        <f t="shared" si="8"/>
        <v>9.6095659981179929E-2</v>
      </c>
      <c r="X14" s="22">
        <f t="shared" si="8"/>
        <v>9.5850222325099196E-2</v>
      </c>
      <c r="Y14" s="22">
        <f t="shared" si="8"/>
        <v>9.5646026206792051E-2</v>
      </c>
      <c r="Z14" s="22">
        <f t="shared" si="8"/>
        <v>9.5473169050261514E-2</v>
      </c>
      <c r="AA14" s="22">
        <f t="shared" si="8"/>
        <v>9.5330046960375531E-2</v>
      </c>
      <c r="AB14" s="22">
        <f t="shared" si="8"/>
        <v>9.5200265481535831E-2</v>
      </c>
      <c r="AC14" s="22">
        <f t="shared" si="8"/>
        <v>9.5090955977710501E-2</v>
      </c>
      <c r="AD14" s="22">
        <f t="shared" si="8"/>
        <v>9.499461077453844E-2</v>
      </c>
      <c r="AE14" s="22">
        <f t="shared" si="8"/>
        <v>9.4917741494206828E-2</v>
      </c>
    </row>
    <row r="15" spans="1:31">
      <c r="A15" s="74" t="s">
        <v>220</v>
      </c>
      <c r="B15" s="22">
        <f t="shared" ref="B15:AE15" si="9">B9/SUM(B$8:B$9)</f>
        <v>0.88248512295858106</v>
      </c>
      <c r="C15" s="22">
        <f t="shared" si="9"/>
        <v>0.88590325838674977</v>
      </c>
      <c r="D15" s="22">
        <f t="shared" si="9"/>
        <v>0.88870276343414678</v>
      </c>
      <c r="E15" s="22">
        <f t="shared" si="9"/>
        <v>0.89100881535606502</v>
      </c>
      <c r="F15" s="22">
        <f t="shared" si="9"/>
        <v>0.89288506464926842</v>
      </c>
      <c r="G15" s="22">
        <f t="shared" si="9"/>
        <v>0.89440878848904404</v>
      </c>
      <c r="H15" s="22">
        <f t="shared" si="9"/>
        <v>0.89566431416331083</v>
      </c>
      <c r="I15" s="22">
        <f t="shared" si="9"/>
        <v>0.89672351832720876</v>
      </c>
      <c r="J15" s="22">
        <f t="shared" si="9"/>
        <v>0.89765288592216952</v>
      </c>
      <c r="K15" s="22">
        <f t="shared" si="9"/>
        <v>0.89842543779133588</v>
      </c>
      <c r="L15" s="22">
        <f t="shared" si="9"/>
        <v>0.89908718522792552</v>
      </c>
      <c r="M15" s="22">
        <f t="shared" si="9"/>
        <v>0.89969015385653839</v>
      </c>
      <c r="N15" s="22">
        <f t="shared" si="9"/>
        <v>0.90025963677043253</v>
      </c>
      <c r="O15" s="22">
        <f t="shared" si="9"/>
        <v>0.90080941348076538</v>
      </c>
      <c r="P15" s="22">
        <f t="shared" si="9"/>
        <v>0.90130842762720287</v>
      </c>
      <c r="Q15" s="22">
        <f t="shared" si="9"/>
        <v>0.90175022686104955</v>
      </c>
      <c r="R15" s="22">
        <f t="shared" si="9"/>
        <v>0.90214214962127937</v>
      </c>
      <c r="S15" s="22">
        <f t="shared" si="9"/>
        <v>0.90252694586281845</v>
      </c>
      <c r="T15" s="22">
        <f t="shared" si="9"/>
        <v>0.90291725005376811</v>
      </c>
      <c r="U15" s="22">
        <f t="shared" si="9"/>
        <v>0.90327568104006328</v>
      </c>
      <c r="V15" s="22">
        <f t="shared" si="9"/>
        <v>0.9036083808602775</v>
      </c>
      <c r="W15" s="22">
        <f t="shared" si="9"/>
        <v>0.90390434001882003</v>
      </c>
      <c r="X15" s="22">
        <f t="shared" si="9"/>
        <v>0.90414977767490079</v>
      </c>
      <c r="Y15" s="22">
        <f t="shared" si="9"/>
        <v>0.90435397379320792</v>
      </c>
      <c r="Z15" s="22">
        <f t="shared" si="9"/>
        <v>0.90452683094973851</v>
      </c>
      <c r="AA15" s="22">
        <f t="shared" si="9"/>
        <v>0.9046699530396245</v>
      </c>
      <c r="AB15" s="22">
        <f t="shared" si="9"/>
        <v>0.90479973451846418</v>
      </c>
      <c r="AC15" s="22">
        <f t="shared" si="9"/>
        <v>0.90490904402228955</v>
      </c>
      <c r="AD15" s="22">
        <f t="shared" si="9"/>
        <v>0.90500538922546159</v>
      </c>
      <c r="AE15" s="22">
        <f t="shared" si="9"/>
        <v>0.90508225850579316</v>
      </c>
    </row>
    <row r="17" spans="1:30" s="95" customFormat="1" ht="15.75">
      <c r="A17" s="94" t="s">
        <v>221</v>
      </c>
    </row>
    <row r="18" spans="1:30">
      <c r="A18" t="s">
        <v>222</v>
      </c>
    </row>
    <row r="19" spans="1:30">
      <c r="H19" s="96"/>
      <c r="M19" s="96"/>
      <c r="P19" s="96"/>
      <c r="W19" s="96"/>
    </row>
    <row r="20" spans="1:30">
      <c r="H20" s="97" t="s">
        <v>223</v>
      </c>
      <c r="I20" s="98"/>
      <c r="J20" s="98"/>
      <c r="K20" s="98"/>
      <c r="L20" s="99"/>
      <c r="M20" s="97" t="s">
        <v>224</v>
      </c>
      <c r="N20" s="98"/>
      <c r="O20" s="99"/>
      <c r="P20" s="97" t="s">
        <v>225</v>
      </c>
      <c r="Q20" s="98"/>
      <c r="R20" s="98"/>
      <c r="S20" s="98"/>
      <c r="T20" s="98"/>
      <c r="U20" s="98"/>
      <c r="V20" s="99"/>
      <c r="W20" s="96"/>
    </row>
    <row r="21" spans="1:30">
      <c r="B21" t="s">
        <v>226</v>
      </c>
      <c r="D21" t="s">
        <v>227</v>
      </c>
      <c r="E21" t="s">
        <v>228</v>
      </c>
      <c r="F21" t="s">
        <v>229</v>
      </c>
      <c r="G21" t="s">
        <v>230</v>
      </c>
      <c r="H21" s="96">
        <v>3</v>
      </c>
      <c r="I21">
        <v>4</v>
      </c>
      <c r="J21">
        <v>5</v>
      </c>
      <c r="K21">
        <v>6</v>
      </c>
      <c r="L21" s="100">
        <v>7</v>
      </c>
      <c r="M21" s="96" t="s">
        <v>231</v>
      </c>
      <c r="N21" t="s">
        <v>232</v>
      </c>
      <c r="O21" s="100" t="s">
        <v>233</v>
      </c>
      <c r="P21" s="96" t="s">
        <v>234</v>
      </c>
      <c r="Q21" t="s">
        <v>235</v>
      </c>
      <c r="R21" t="s">
        <v>232</v>
      </c>
      <c r="S21" t="s">
        <v>233</v>
      </c>
      <c r="T21" t="s">
        <v>236</v>
      </c>
      <c r="U21" t="s">
        <v>237</v>
      </c>
      <c r="V21" s="100" t="s">
        <v>238</v>
      </c>
      <c r="W21" s="96" t="s">
        <v>239</v>
      </c>
      <c r="AA21" t="s">
        <v>240</v>
      </c>
      <c r="AB21" t="s">
        <v>241</v>
      </c>
      <c r="AC21" t="s">
        <v>242</v>
      </c>
    </row>
    <row r="22" spans="1:30">
      <c r="B22">
        <v>2012</v>
      </c>
      <c r="C22" t="s">
        <v>243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91" cm="1">
        <f t="array" ref="AA22">SUM(($G$22:$H$372)*($B$22:$B$372=$Z22))/1000000</f>
        <v>53357.496055000003</v>
      </c>
      <c r="AB22" s="91" cm="1">
        <f t="array" ref="AB22">SUM(($I$22:$K$372)*($B$22:$B$372=$Z22))/1000000</f>
        <v>54962.399487000002</v>
      </c>
      <c r="AC22" s="91" cm="1">
        <f t="array" ref="AC22">SUM(($L$22:$W$372)*($B$22:$B$372=$Z22))/1000000</f>
        <v>160885.03339299999</v>
      </c>
      <c r="AD22" s="91">
        <f>SUM(AA22:AC22)</f>
        <v>269204.92893499997</v>
      </c>
    </row>
    <row r="23" spans="1:30">
      <c r="B23">
        <v>2012</v>
      </c>
      <c r="C23" t="s">
        <v>244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91">
        <f t="array" ref="AA23">SUM(($G$22:$H$372)*($B$22:$B$372=$Z23))/1000000</f>
        <v>54849.001233000003</v>
      </c>
      <c r="AB23" s="91">
        <f t="array" ref="AB23">SUM(($I$22:$K$372)*($B$22:$B$372=$Z23))/1000000</f>
        <v>55016.167917999999</v>
      </c>
      <c r="AC23" s="91">
        <f t="array" ref="AC23">SUM(($L$22:$W$372)*($B$22:$B$372=$Z23))/1000000</f>
        <v>165149.100447</v>
      </c>
      <c r="AD23" s="91">
        <f t="shared" ref="AD23:AD60" si="10">SUM(AA23:AC23)</f>
        <v>275014.26959799998</v>
      </c>
    </row>
    <row r="24" spans="1:30">
      <c r="B24">
        <v>2012</v>
      </c>
      <c r="C24" t="s">
        <v>245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91">
        <f t="array" ref="AA24">SUM(($G$22:$H$372)*($B$22:$B$372=$Z24))/1000000</f>
        <v>56369.292610999997</v>
      </c>
      <c r="AB24" s="91">
        <f t="array" ref="AB24">SUM(($I$22:$K$372)*($B$22:$B$372=$Z24))/1000000</f>
        <v>54763.221610000001</v>
      </c>
      <c r="AC24" s="91">
        <f t="array" ref="AC24">SUM(($L$22:$W$372)*($B$22:$B$372=$Z24))/1000000</f>
        <v>167996.188452</v>
      </c>
      <c r="AD24" s="91">
        <f t="shared" si="10"/>
        <v>279128.70267299999</v>
      </c>
    </row>
    <row r="25" spans="1:30">
      <c r="B25">
        <v>2012</v>
      </c>
      <c r="C25" t="s">
        <v>246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91">
        <f t="array" ref="AA25">SUM(($G$22:$H$372)*($B$22:$B$372=$Z25))/1000000</f>
        <v>58042.053438000003</v>
      </c>
      <c r="AB25" s="91">
        <f t="array" ref="AB25">SUM(($I$22:$K$372)*($B$22:$B$372=$Z25))/1000000</f>
        <v>54072.603288999999</v>
      </c>
      <c r="AC25" s="91">
        <f t="array" ref="AC25">SUM(($L$22:$W$372)*($B$22:$B$372=$Z25))/1000000</f>
        <v>167723.897471</v>
      </c>
      <c r="AD25" s="91">
        <f t="shared" si="10"/>
        <v>279838.554198</v>
      </c>
    </row>
    <row r="26" spans="1:30">
      <c r="B26">
        <v>2012</v>
      </c>
      <c r="C26" t="s">
        <v>247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91">
        <f t="array" ref="AA26">SUM(($G$22:$H$372)*($B$22:$B$372=$Z26))/1000000</f>
        <v>59349.005367999998</v>
      </c>
      <c r="AB26" s="91">
        <f t="array" ref="AB26">SUM(($I$22:$K$372)*($B$22:$B$372=$Z26))/1000000</f>
        <v>54712.407867000002</v>
      </c>
      <c r="AC26" s="91">
        <f t="array" ref="AC26">SUM(($L$22:$W$372)*($B$22:$B$372=$Z26))/1000000</f>
        <v>173828.54704</v>
      </c>
      <c r="AD26" s="91">
        <f t="shared" si="10"/>
        <v>287889.96027500002</v>
      </c>
    </row>
    <row r="27" spans="1:30">
      <c r="B27">
        <v>2012</v>
      </c>
      <c r="C27" t="s">
        <v>139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91">
        <f t="array" ref="AA27">SUM(($G$22:$H$372)*($B$22:$B$372=$Z27))/1000000</f>
        <v>63513.358348000002</v>
      </c>
      <c r="AB27" s="91">
        <f t="array" ref="AB27">SUM(($I$22:$K$372)*($B$22:$B$372=$Z27))/1000000</f>
        <v>57567.423967000002</v>
      </c>
      <c r="AC27" s="91">
        <f t="array" ref="AC27">SUM(($L$22:$W$372)*($B$22:$B$372=$Z27))/1000000</f>
        <v>176504.521511</v>
      </c>
      <c r="AD27" s="91">
        <f t="shared" si="10"/>
        <v>297585.30382600002</v>
      </c>
    </row>
    <row r="28" spans="1:30">
      <c r="B28">
        <v>2012</v>
      </c>
      <c r="C28" t="s">
        <v>248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91">
        <f t="array" ref="AA28">SUM(($G$22:$H$372)*($B$22:$B$372=$Z28))/1000000</f>
        <v>65749.611323000005</v>
      </c>
      <c r="AB28" s="91">
        <f t="array" ref="AB28">SUM(($I$22:$K$372)*($B$22:$B$372=$Z28))/1000000</f>
        <v>58713.445049000002</v>
      </c>
      <c r="AC28" s="91">
        <f t="array" ref="AC28">SUM(($L$22:$W$372)*($B$22:$B$372=$Z28))/1000000</f>
        <v>180393.987968</v>
      </c>
      <c r="AD28" s="91">
        <f t="shared" si="10"/>
        <v>304857.04434000002</v>
      </c>
    </row>
    <row r="29" spans="1:30">
      <c r="B29">
        <v>2012</v>
      </c>
      <c r="C29" t="s">
        <v>249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91">
        <f t="array" ref="AA29">SUM(($G$22:$H$372)*($B$22:$B$372=$Z29))/1000000</f>
        <v>64032.875804000003</v>
      </c>
      <c r="AB29" s="91">
        <f t="array" ref="AB29">SUM(($I$22:$K$372)*($B$22:$B$372=$Z29))/1000000</f>
        <v>57753.081602999999</v>
      </c>
      <c r="AC29" s="91">
        <f t="array" ref="AC29">SUM(($L$22:$W$372)*($B$22:$B$372=$Z29))/1000000</f>
        <v>178258.78945899999</v>
      </c>
      <c r="AD29" s="91">
        <f t="shared" si="10"/>
        <v>300044.746866</v>
      </c>
    </row>
    <row r="30" spans="1:30">
      <c r="B30">
        <v>2012</v>
      </c>
      <c r="C30" t="s">
        <v>250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91">
        <f t="array" ref="AA30">SUM(($G$22:$H$372)*($B$22:$B$372=$Z30))/1000000</f>
        <v>66392.729428000006</v>
      </c>
      <c r="AB30" s="91">
        <f t="array" ref="AB30">SUM(($I$22:$K$372)*($B$22:$B$372=$Z30))/1000000</f>
        <v>56565.216330000003</v>
      </c>
      <c r="AC30" s="91">
        <f t="array" ref="AC30">SUM(($L$22:$W$372)*($B$22:$B$372=$Z30))/1000000</f>
        <v>179177.29365499999</v>
      </c>
      <c r="AD30" s="91">
        <f t="shared" si="10"/>
        <v>302135.239413</v>
      </c>
    </row>
    <row r="31" spans="1:30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91">
        <f t="array" ref="AA31">SUM(($G$22:$H$372)*($B$22:$B$372=$Z31))/1000000</f>
        <v>73491.209528000007</v>
      </c>
      <c r="AB31" s="91">
        <f t="array" ref="AB31">SUM(($I$22:$K$372)*($B$22:$B$372=$Z31))/1000000</f>
        <v>58774.466785999997</v>
      </c>
      <c r="AC31" s="91">
        <f t="array" ref="AC31">SUM(($L$22:$W$372)*($B$22:$B$372=$Z31))/1000000</f>
        <v>183020.83665899999</v>
      </c>
      <c r="AD31" s="91">
        <f t="shared" si="10"/>
        <v>315286.512973</v>
      </c>
    </row>
    <row r="32" spans="1:30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91">
        <f t="array" ref="AA32">SUM(($G$22:$H$372)*($B$22:$B$372=$Z32))/1000000</f>
        <v>75058.850216000006</v>
      </c>
      <c r="AB32" s="91">
        <f t="array" ref="AB32">SUM(($I$22:$K$372)*($B$22:$B$372=$Z32))/1000000</f>
        <v>59696.392709</v>
      </c>
      <c r="AC32" s="91">
        <f t="array" ref="AC32">SUM(($L$22:$W$372)*($B$22:$B$372=$Z32))/1000000</f>
        <v>187191.81166800001</v>
      </c>
      <c r="AD32" s="91">
        <f t="shared" si="10"/>
        <v>321947.05459299998</v>
      </c>
    </row>
    <row r="33" spans="2:30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91">
        <f t="array" ref="AA33">SUM(($G$22:$H$372)*($B$22:$B$372=$Z33))/1000000</f>
        <v>74732.068169999999</v>
      </c>
      <c r="AB33" s="91">
        <f t="array" ref="AB33">SUM(($I$22:$K$372)*($B$22:$B$372=$Z33))/1000000</f>
        <v>59233.001348999998</v>
      </c>
      <c r="AC33" s="91">
        <f t="array" ref="AC33">SUM(($L$22:$W$372)*($B$22:$B$372=$Z33))/1000000</f>
        <v>186734.72233700001</v>
      </c>
      <c r="AD33" s="91">
        <f t="shared" si="10"/>
        <v>320699.79185600003</v>
      </c>
    </row>
    <row r="34" spans="2:30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91">
        <f t="array" ref="AA34">SUM(($G$22:$H$372)*($B$22:$B$372=$Z34))/1000000</f>
        <v>75056.362034999998</v>
      </c>
      <c r="AB34" s="91">
        <f t="array" ref="AB34">SUM(($I$22:$K$372)*($B$22:$B$372=$Z34))/1000000</f>
        <v>59104.916788000002</v>
      </c>
      <c r="AC34" s="91">
        <f t="array" ref="AC34">SUM(($L$22:$W$372)*($B$22:$B$372=$Z34))/1000000</f>
        <v>186938.41755700001</v>
      </c>
      <c r="AD34" s="91">
        <f t="shared" si="10"/>
        <v>321099.69637999998</v>
      </c>
    </row>
    <row r="35" spans="2:30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91">
        <f t="array" ref="AA35">SUM(($G$22:$H$372)*($B$22:$B$372=$Z35))/1000000</f>
        <v>76161.660589000006</v>
      </c>
      <c r="AB35" s="91">
        <f t="array" ref="AB35">SUM(($I$22:$K$372)*($B$22:$B$372=$Z35))/1000000</f>
        <v>59444.983415000002</v>
      </c>
      <c r="AC35" s="91">
        <f t="array" ref="AC35">SUM(($L$22:$W$372)*($B$22:$B$372=$Z35))/1000000</f>
        <v>188410.14079800001</v>
      </c>
      <c r="AD35" s="91">
        <f t="shared" si="10"/>
        <v>324016.78480200004</v>
      </c>
    </row>
    <row r="36" spans="2:30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91">
        <f t="array" ref="AA36">SUM(($G$22:$H$372)*($B$22:$B$372=$Z36))/1000000</f>
        <v>77621.935152000005</v>
      </c>
      <c r="AB36" s="91">
        <f t="array" ref="AB36">SUM(($I$22:$K$372)*($B$22:$B$372=$Z36))/1000000</f>
        <v>60179.275582000002</v>
      </c>
      <c r="AC36" s="91">
        <f t="array" ref="AC36">SUM(($L$22:$W$372)*($B$22:$B$372=$Z36))/1000000</f>
        <v>190675.150781</v>
      </c>
      <c r="AD36" s="91">
        <f t="shared" si="10"/>
        <v>328476.361515</v>
      </c>
    </row>
    <row r="37" spans="2:30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91">
        <f t="array" ref="AA37">SUM(($G$22:$H$372)*($B$22:$B$372=$Z37))/1000000</f>
        <v>78824.143867000006</v>
      </c>
      <c r="AB37" s="91">
        <f t="array" ref="AB37">SUM(($I$22:$K$372)*($B$22:$B$372=$Z37))/1000000</f>
        <v>60943.302215000003</v>
      </c>
      <c r="AC37" s="91">
        <f t="array" ref="AC37">SUM(($L$22:$W$372)*($B$22:$B$372=$Z37))/1000000</f>
        <v>192523.839997</v>
      </c>
      <c r="AD37" s="91">
        <f t="shared" si="10"/>
        <v>332291.28607899998</v>
      </c>
    </row>
    <row r="38" spans="2:30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91">
        <f t="array" ref="AA38">SUM(($G$22:$H$372)*($B$22:$B$372=$Z38))/1000000</f>
        <v>79954.302377</v>
      </c>
      <c r="AB38" s="91">
        <f t="array" ref="AB38">SUM(($I$22:$K$372)*($B$22:$B$372=$Z38))/1000000</f>
        <v>61768.855621000002</v>
      </c>
      <c r="AC38" s="91">
        <f t="array" ref="AC38">SUM(($L$22:$W$372)*($B$22:$B$372=$Z38))/1000000</f>
        <v>194029.03336199999</v>
      </c>
      <c r="AD38" s="91">
        <f t="shared" si="10"/>
        <v>335752.19136</v>
      </c>
    </row>
    <row r="39" spans="2:30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91">
        <f t="array" ref="AA39">SUM(($G$22:$H$372)*($B$22:$B$372=$Z39))/1000000</f>
        <v>81126.438448999994</v>
      </c>
      <c r="AB39" s="91">
        <f t="array" ref="AB39">SUM(($I$22:$K$372)*($B$22:$B$372=$Z39))/1000000</f>
        <v>62522.914556999996</v>
      </c>
      <c r="AC39" s="91">
        <f t="array" ref="AC39">SUM(($L$22:$W$372)*($B$22:$B$372=$Z39))/1000000</f>
        <v>194919.57967499999</v>
      </c>
      <c r="AD39" s="91">
        <f t="shared" si="10"/>
        <v>338568.93268099998</v>
      </c>
    </row>
    <row r="40" spans="2:30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91">
        <f t="array" ref="AA40">SUM(($G$22:$H$372)*($B$22:$B$372=$Z40))/1000000</f>
        <v>82515.567903000003</v>
      </c>
      <c r="AB40" s="91">
        <f t="array" ref="AB40">SUM(($I$22:$K$372)*($B$22:$B$372=$Z40))/1000000</f>
        <v>63231.206787000003</v>
      </c>
      <c r="AC40" s="91">
        <f t="array" ref="AC40">SUM(($L$22:$W$372)*($B$22:$B$372=$Z40))/1000000</f>
        <v>195347.25951599999</v>
      </c>
      <c r="AD40" s="91">
        <f t="shared" si="10"/>
        <v>341094.03420599998</v>
      </c>
    </row>
    <row r="41" spans="2:30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91">
        <f t="array" ref="AA41">SUM(($G$22:$H$372)*($B$22:$B$372=$Z41))/1000000</f>
        <v>84225.810465999995</v>
      </c>
      <c r="AB41" s="91">
        <f t="array" ref="AB41">SUM(($I$22:$K$372)*($B$22:$B$372=$Z41))/1000000</f>
        <v>64039.527791</v>
      </c>
      <c r="AC41" s="91">
        <f t="array" ref="AC41">SUM(($L$22:$W$372)*($B$22:$B$372=$Z41))/1000000</f>
        <v>195864.895124</v>
      </c>
      <c r="AD41" s="91">
        <f t="shared" si="10"/>
        <v>344130.233381</v>
      </c>
    </row>
    <row r="42" spans="2:30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91">
        <f t="array" ref="AA42">SUM(($G$22:$H$372)*($B$22:$B$372=$Z42))/1000000</f>
        <v>86247.875383999999</v>
      </c>
      <c r="AB42" s="91">
        <f t="array" ref="AB42">SUM(($I$22:$K$372)*($B$22:$B$372=$Z42))/1000000</f>
        <v>65124.282284000001</v>
      </c>
      <c r="AC42" s="91">
        <f t="array" ref="AC42">SUM(($L$22:$W$372)*($B$22:$B$372=$Z42))/1000000</f>
        <v>196870.930903</v>
      </c>
      <c r="AD42" s="91">
        <f t="shared" si="10"/>
        <v>348243.08857100003</v>
      </c>
    </row>
    <row r="43" spans="2:30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91">
        <f t="array" ref="AA43">SUM(($G$22:$H$372)*($B$22:$B$372=$Z43))/1000000</f>
        <v>88082.187835999997</v>
      </c>
      <c r="AB43" s="91">
        <f t="array" ref="AB43">SUM(($I$22:$K$372)*($B$22:$B$372=$Z43))/1000000</f>
        <v>66076.330558000001</v>
      </c>
      <c r="AC43" s="91">
        <f t="array" ref="AC43">SUM(($L$22:$W$372)*($B$22:$B$372=$Z43))/1000000</f>
        <v>197467.476639</v>
      </c>
      <c r="AD43" s="91">
        <f t="shared" si="10"/>
        <v>351625.99503300001</v>
      </c>
    </row>
    <row r="44" spans="2:30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91">
        <f t="array" ref="AA44">SUM(($G$22:$H$372)*($B$22:$B$372=$Z44))/1000000</f>
        <v>89903.375495</v>
      </c>
      <c r="AB44" s="91">
        <f t="array" ref="AB44">SUM(($I$22:$K$372)*($B$22:$B$372=$Z44))/1000000</f>
        <v>67006.771336000005</v>
      </c>
      <c r="AC44" s="91">
        <f t="array" ref="AC44">SUM(($L$22:$W$372)*($B$22:$B$372=$Z44))/1000000</f>
        <v>197962.586129</v>
      </c>
      <c r="AD44" s="91">
        <f t="shared" si="10"/>
        <v>354872.73295999999</v>
      </c>
    </row>
    <row r="45" spans="2:30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91">
        <f t="array" ref="AA45">SUM(($G$22:$H$372)*($B$22:$B$372=$Z45))/1000000</f>
        <v>91787.951690000002</v>
      </c>
      <c r="AB45" s="91">
        <f t="array" ref="AB45">SUM(($I$22:$K$372)*($B$22:$B$372=$Z45))/1000000</f>
        <v>67997.275097000005</v>
      </c>
      <c r="AC45" s="91">
        <f t="array" ref="AC45">SUM(($L$22:$W$372)*($B$22:$B$372=$Z45))/1000000</f>
        <v>198582.446746</v>
      </c>
      <c r="AD45" s="91">
        <f t="shared" si="10"/>
        <v>358367.67353300005</v>
      </c>
    </row>
    <row r="46" spans="2:30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91">
        <f t="array" ref="AA46">SUM(($G$22:$H$372)*($B$22:$B$372=$Z46))/1000000</f>
        <v>93531.581019999998</v>
      </c>
      <c r="AB46" s="91">
        <f t="array" ref="AB46">SUM(($I$22:$K$372)*($B$22:$B$372=$Z46))/1000000</f>
        <v>68894.705545000004</v>
      </c>
      <c r="AC46" s="91">
        <f t="array" ref="AC46">SUM(($L$22:$W$372)*($B$22:$B$372=$Z46))/1000000</f>
        <v>198894.29607499999</v>
      </c>
      <c r="AD46" s="91">
        <f t="shared" si="10"/>
        <v>361320.58264000004</v>
      </c>
    </row>
    <row r="47" spans="2:30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91">
        <f t="array" ref="AA47">SUM(($G$22:$H$372)*($B$22:$B$372=$Z47))/1000000</f>
        <v>95407.949582000001</v>
      </c>
      <c r="AB47" s="91">
        <f t="array" ref="AB47">SUM(($I$22:$K$372)*($B$22:$B$372=$Z47))/1000000</f>
        <v>69940.541322000005</v>
      </c>
      <c r="AC47" s="91">
        <f t="array" ref="AC47">SUM(($L$22:$W$372)*($B$22:$B$372=$Z47))/1000000</f>
        <v>199522.87597200001</v>
      </c>
      <c r="AD47" s="91">
        <f t="shared" si="10"/>
        <v>364871.36687600001</v>
      </c>
    </row>
    <row r="48" spans="2:30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91">
        <f t="array" ref="AA48">SUM(($G$22:$H$372)*($B$22:$B$372=$Z48))/1000000</f>
        <v>97274.880076999994</v>
      </c>
      <c r="AB48" s="91">
        <f t="array" ref="AB48">SUM(($I$22:$K$372)*($B$22:$B$372=$Z48))/1000000</f>
        <v>70943.414059000002</v>
      </c>
      <c r="AC48" s="91">
        <f t="array" ref="AC48">SUM(($L$22:$W$372)*($B$22:$B$372=$Z48))/1000000</f>
        <v>200192.55317</v>
      </c>
      <c r="AD48" s="91">
        <f t="shared" si="10"/>
        <v>368410.84730599995</v>
      </c>
    </row>
    <row r="49" spans="2:30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91">
        <f t="array" ref="AA49">SUM(($G$22:$H$372)*($B$22:$B$372=$Z49))/1000000</f>
        <v>99140.713889000006</v>
      </c>
      <c r="AB49" s="91">
        <f t="array" ref="AB49">SUM(($I$22:$K$372)*($B$22:$B$372=$Z49))/1000000</f>
        <v>72006.495349000004</v>
      </c>
      <c r="AC49" s="91">
        <f t="array" ref="AC49">SUM(($L$22:$W$372)*($B$22:$B$372=$Z49))/1000000</f>
        <v>200739.43635500001</v>
      </c>
      <c r="AD49" s="91">
        <f t="shared" si="10"/>
        <v>371886.64559299999</v>
      </c>
    </row>
    <row r="50" spans="2:30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91">
        <f t="array" ref="AA50">SUM(($G$22:$H$372)*($B$22:$B$372=$Z50))/1000000</f>
        <v>101139.003489</v>
      </c>
      <c r="AB50" s="91">
        <f t="array" ref="AB50">SUM(($I$22:$K$372)*($B$22:$B$372=$Z50))/1000000</f>
        <v>73123.155322000006</v>
      </c>
      <c r="AC50" s="91">
        <f t="array" ref="AC50">SUM(($L$22:$W$372)*($B$22:$B$372=$Z50))/1000000</f>
        <v>201400.78161800001</v>
      </c>
      <c r="AD50" s="91">
        <f t="shared" si="10"/>
        <v>375662.94042900001</v>
      </c>
    </row>
    <row r="51" spans="2:30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91">
        <f t="array" ref="AA51">SUM(($G$22:$H$372)*($B$22:$B$372=$Z51))/1000000</f>
        <v>103182.906147</v>
      </c>
      <c r="AB51" s="91">
        <f t="array" ref="AB51">SUM(($I$22:$K$372)*($B$22:$B$372=$Z51))/1000000</f>
        <v>74263.218131999995</v>
      </c>
      <c r="AC51" s="91">
        <f t="array" ref="AC51">SUM(($L$22:$W$372)*($B$22:$B$372=$Z51))/1000000</f>
        <v>202038.91327700001</v>
      </c>
      <c r="AD51" s="91">
        <f t="shared" si="10"/>
        <v>379485.037556</v>
      </c>
    </row>
    <row r="52" spans="2:30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91">
        <f t="array" ref="AA52">SUM(($G$22:$H$372)*($B$22:$B$372=$Z52))/1000000</f>
        <v>105260.42458599999</v>
      </c>
      <c r="AB52" s="91">
        <f t="array" ref="AB52">SUM(($I$22:$K$372)*($B$22:$B$372=$Z52))/1000000</f>
        <v>75433.603170999995</v>
      </c>
      <c r="AC52" s="91">
        <f t="array" ref="AC52">SUM(($L$22:$W$372)*($B$22:$B$372=$Z52))/1000000</f>
        <v>202798.471594</v>
      </c>
      <c r="AD52" s="91">
        <f t="shared" si="10"/>
        <v>383492.49935100001</v>
      </c>
    </row>
    <row r="53" spans="2:30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91">
        <f t="array" ref="AA53">SUM(($G$22:$H$372)*($B$22:$B$372=$Z53))/1000000</f>
        <v>107264.271525</v>
      </c>
      <c r="AB53" s="91">
        <f t="array" ref="AB53">SUM(($I$22:$K$372)*($B$22:$B$372=$Z53))/1000000</f>
        <v>76631.229517</v>
      </c>
      <c r="AC53" s="91">
        <f t="array" ref="AC53">SUM(($L$22:$W$372)*($B$22:$B$372=$Z53))/1000000</f>
        <v>203467.543986</v>
      </c>
      <c r="AD53" s="91">
        <f t="shared" si="10"/>
        <v>387363.04502800002</v>
      </c>
    </row>
    <row r="54" spans="2:30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91">
        <f t="array" ref="AA54">SUM(($G$22:$H$372)*($B$22:$B$372=$Z54))/1000000</f>
        <v>109199.497978</v>
      </c>
      <c r="AB54" s="91">
        <f t="array" ref="AB54">SUM(($I$22:$K$372)*($B$22:$B$372=$Z54))/1000000</f>
        <v>77792.504027000003</v>
      </c>
      <c r="AC54" s="91">
        <f t="array" ref="AC54">SUM(($L$22:$W$372)*($B$22:$B$372=$Z54))/1000000</f>
        <v>203931.536631</v>
      </c>
      <c r="AD54" s="91">
        <f t="shared" si="10"/>
        <v>390923.53863600001</v>
      </c>
    </row>
    <row r="55" spans="2:30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91">
        <f t="array" ref="AA55">SUM(($G$22:$H$372)*($B$22:$B$372=$Z55))/1000000</f>
        <v>111173.512067</v>
      </c>
      <c r="AB55" s="91">
        <f t="array" ref="AB55">SUM(($I$22:$K$372)*($B$22:$B$372=$Z55))/1000000</f>
        <v>78834.679315000001</v>
      </c>
      <c r="AC55" s="91">
        <f t="array" ref="AC55">SUM(($L$22:$W$372)*($B$22:$B$372=$Z55))/1000000</f>
        <v>204053.06837299999</v>
      </c>
      <c r="AD55" s="91">
        <f t="shared" si="10"/>
        <v>394061.25975500001</v>
      </c>
    </row>
    <row r="56" spans="2:30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91">
        <f t="array" ref="AA56">SUM(($G$22:$H$372)*($B$22:$B$372=$Z56))/1000000</f>
        <v>113428.118479</v>
      </c>
      <c r="AB56" s="91">
        <f t="array" ref="AB56">SUM(($I$22:$K$372)*($B$22:$B$372=$Z56))/1000000</f>
        <v>79911.228703000001</v>
      </c>
      <c r="AC56" s="91">
        <f t="array" ref="AC56">SUM(($L$22:$W$372)*($B$22:$B$372=$Z56))/1000000</f>
        <v>204195.66310599999</v>
      </c>
      <c r="AD56" s="91">
        <f t="shared" si="10"/>
        <v>397535.01028799999</v>
      </c>
    </row>
    <row r="57" spans="2:30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91">
        <f t="array" ref="AA57">SUM(($G$22:$H$372)*($B$22:$B$372=$Z57))/1000000</f>
        <v>115822.941164</v>
      </c>
      <c r="AB57" s="91">
        <f t="array" ref="AB57">SUM(($I$22:$K$372)*($B$22:$B$372=$Z57))/1000000</f>
        <v>81033.695051999995</v>
      </c>
      <c r="AC57" s="91">
        <f t="array" ref="AC57">SUM(($L$22:$W$372)*($B$22:$B$372=$Z57))/1000000</f>
        <v>204349.73841300001</v>
      </c>
      <c r="AD57" s="91">
        <f t="shared" si="10"/>
        <v>401206.37462900003</v>
      </c>
    </row>
    <row r="58" spans="2:30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91">
        <f t="array" ref="AA58">SUM(($G$22:$H$372)*($B$22:$B$372=$Z58))/1000000</f>
        <v>118129.175965</v>
      </c>
      <c r="AB58" s="91">
        <f t="array" ref="AB58">SUM(($I$22:$K$372)*($B$22:$B$372=$Z58))/1000000</f>
        <v>82127.805974000003</v>
      </c>
      <c r="AC58" s="91">
        <f t="array" ref="AC58">SUM(($L$22:$W$372)*($B$22:$B$372=$Z58))/1000000</f>
        <v>204380.36221399999</v>
      </c>
      <c r="AD58" s="91">
        <f t="shared" si="10"/>
        <v>404637.34415300004</v>
      </c>
    </row>
    <row r="59" spans="2:30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91">
        <f t="array" ref="AA59">SUM(($G$22:$H$372)*($B$22:$B$372=$Z59))/1000000</f>
        <v>120538.638987</v>
      </c>
      <c r="AB59" s="91">
        <f t="array" ref="AB59">SUM(($I$22:$K$372)*($B$22:$B$372=$Z59))/1000000</f>
        <v>83279.448753999997</v>
      </c>
      <c r="AC59" s="91">
        <f t="array" ref="AC59">SUM(($L$22:$W$372)*($B$22:$B$372=$Z59))/1000000</f>
        <v>204518.086664</v>
      </c>
      <c r="AD59" s="91">
        <f t="shared" si="10"/>
        <v>408336.174405</v>
      </c>
    </row>
    <row r="60" spans="2:30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91">
        <f t="array" ref="AA60">SUM(($G$22:$H$372)*($B$22:$B$372=$Z60))/1000000</f>
        <v>123324.758518</v>
      </c>
      <c r="AB60" s="91">
        <f t="array" ref="AB60">SUM(($I$22:$K$372)*($B$22:$B$372=$Z60))/1000000</f>
        <v>84643.598742000002</v>
      </c>
      <c r="AC60" s="91">
        <f t="array" ref="AC60">SUM(($L$22:$W$372)*($B$22:$B$372=$Z60))/1000000</f>
        <v>205175.579501</v>
      </c>
      <c r="AD60" s="91">
        <f t="shared" si="10"/>
        <v>413143.93676100002</v>
      </c>
    </row>
    <row r="61" spans="2:30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45D13-828E-41C5-975E-33BB80D91FFB}">
  <dimension ref="A1:BC137"/>
  <sheetViews>
    <sheetView topLeftCell="A109" workbookViewId="0">
      <selection activeCell="C118" sqref="C118"/>
    </sheetView>
  </sheetViews>
  <sheetFormatPr defaultRowHeight="15"/>
  <cols>
    <col min="1" max="1" width="25" bestFit="1" customWidth="1"/>
    <col min="2" max="2" width="16.140625" customWidth="1"/>
    <col min="3" max="3" width="12.7109375" bestFit="1" customWidth="1"/>
    <col min="4" max="33" width="10.5703125" bestFit="1" customWidth="1"/>
  </cols>
  <sheetData>
    <row r="1" spans="1:36">
      <c r="A1" s="20" t="s">
        <v>140</v>
      </c>
      <c r="B1" s="72">
        <v>2020</v>
      </c>
      <c r="C1" s="72">
        <v>2021</v>
      </c>
      <c r="D1" s="72">
        <v>2022</v>
      </c>
      <c r="E1" s="72">
        <v>2023</v>
      </c>
      <c r="F1" s="72">
        <v>2024</v>
      </c>
      <c r="G1" s="72">
        <v>2025</v>
      </c>
      <c r="H1" s="72">
        <v>2026</v>
      </c>
      <c r="I1" s="72">
        <v>2027</v>
      </c>
      <c r="J1" s="72">
        <v>2028</v>
      </c>
      <c r="K1" s="72">
        <v>2029</v>
      </c>
      <c r="L1" s="72">
        <v>2030</v>
      </c>
      <c r="M1" s="72">
        <v>2031</v>
      </c>
      <c r="N1" s="72">
        <v>2032</v>
      </c>
      <c r="O1" s="72">
        <v>2033</v>
      </c>
      <c r="P1" s="72">
        <v>2034</v>
      </c>
      <c r="Q1" s="72">
        <v>2035</v>
      </c>
      <c r="R1" s="72">
        <v>2036</v>
      </c>
      <c r="S1" s="72">
        <v>2037</v>
      </c>
      <c r="T1" s="72">
        <v>2038</v>
      </c>
      <c r="U1" s="72">
        <v>2039</v>
      </c>
      <c r="V1" s="72">
        <v>2040</v>
      </c>
      <c r="W1" s="72">
        <v>2041</v>
      </c>
      <c r="X1" s="72">
        <v>2042</v>
      </c>
      <c r="Y1" s="72">
        <v>2043</v>
      </c>
      <c r="Z1" s="72">
        <v>2044</v>
      </c>
      <c r="AA1" s="72">
        <v>2045</v>
      </c>
      <c r="AB1" s="72">
        <v>2046</v>
      </c>
      <c r="AC1" s="72">
        <v>2047</v>
      </c>
      <c r="AD1" s="72">
        <v>2048</v>
      </c>
      <c r="AE1" s="72">
        <v>2049</v>
      </c>
      <c r="AF1" s="72">
        <v>2050</v>
      </c>
    </row>
    <row r="2" spans="1:36">
      <c r="A2" s="73" t="s">
        <v>141</v>
      </c>
      <c r="B2" s="71" cm="1">
        <f t="array" ref="B2">TREND($D2:$H2,$D$1:$H$1,B$1)</f>
        <v>140.5</v>
      </c>
      <c r="C2" s="71" cm="1">
        <f t="array" ref="C2">TREND($D2:$H2,$D$1:$H$1,C$1)</f>
        <v>137.75</v>
      </c>
      <c r="D2" s="74">
        <v>135</v>
      </c>
      <c r="E2" s="74">
        <v>132.25</v>
      </c>
      <c r="F2" s="74">
        <v>129.5</v>
      </c>
      <c r="G2" s="74">
        <v>126.75</v>
      </c>
      <c r="H2" s="74">
        <v>124</v>
      </c>
      <c r="I2" s="74">
        <v>121.25</v>
      </c>
      <c r="J2" s="74">
        <v>118.5</v>
      </c>
      <c r="K2" s="74">
        <v>115.75</v>
      </c>
      <c r="L2" s="74">
        <v>113</v>
      </c>
      <c r="M2" s="74">
        <v>113</v>
      </c>
      <c r="N2" s="74">
        <v>113</v>
      </c>
      <c r="O2" s="74">
        <v>113</v>
      </c>
      <c r="P2" s="74">
        <v>113</v>
      </c>
      <c r="Q2" s="74">
        <v>113</v>
      </c>
      <c r="R2" s="74">
        <v>113</v>
      </c>
      <c r="S2" s="74">
        <v>113</v>
      </c>
      <c r="T2" s="74">
        <v>113</v>
      </c>
      <c r="U2" s="74">
        <v>113</v>
      </c>
      <c r="V2" s="74">
        <v>113</v>
      </c>
      <c r="W2" s="74">
        <v>113</v>
      </c>
      <c r="X2" s="74">
        <v>113</v>
      </c>
      <c r="Y2" s="74">
        <v>113</v>
      </c>
      <c r="Z2" s="74">
        <v>113</v>
      </c>
      <c r="AA2" s="74">
        <v>113</v>
      </c>
      <c r="AB2" s="74">
        <v>113</v>
      </c>
      <c r="AC2" s="74">
        <v>113</v>
      </c>
      <c r="AD2" s="74">
        <v>113</v>
      </c>
      <c r="AE2" s="74">
        <v>113</v>
      </c>
      <c r="AF2" s="74">
        <v>113</v>
      </c>
    </row>
    <row r="3" spans="1:36">
      <c r="A3" s="73" t="s">
        <v>142</v>
      </c>
      <c r="B3" s="71" cm="1">
        <f t="array" ref="B3">TREND($D3:$H3,$D$1:$H$1,B$1)</f>
        <v>213.5</v>
      </c>
      <c r="C3" s="71" cm="1">
        <f t="array" ref="C3">TREND($D3:$H3,$D$1:$H$1,C$1)</f>
        <v>209.25</v>
      </c>
      <c r="D3" s="74">
        <v>205</v>
      </c>
      <c r="E3" s="74">
        <v>200.75</v>
      </c>
      <c r="F3" s="74">
        <v>196.5</v>
      </c>
      <c r="G3" s="74">
        <v>192.25</v>
      </c>
      <c r="H3" s="74">
        <v>188</v>
      </c>
      <c r="I3" s="74">
        <v>183.75</v>
      </c>
      <c r="J3" s="74">
        <v>179.5</v>
      </c>
      <c r="K3" s="74">
        <v>175.25</v>
      </c>
      <c r="L3" s="74">
        <v>171</v>
      </c>
      <c r="M3" s="74">
        <v>171</v>
      </c>
      <c r="N3" s="74">
        <v>171</v>
      </c>
      <c r="O3" s="74">
        <v>171</v>
      </c>
      <c r="P3" s="74">
        <v>171</v>
      </c>
      <c r="Q3" s="74">
        <v>171</v>
      </c>
      <c r="R3" s="74">
        <v>171</v>
      </c>
      <c r="S3" s="74">
        <v>171</v>
      </c>
      <c r="T3" s="74">
        <v>171</v>
      </c>
      <c r="U3" s="74">
        <v>171</v>
      </c>
      <c r="V3" s="74">
        <v>171</v>
      </c>
      <c r="W3" s="74">
        <v>171</v>
      </c>
      <c r="X3" s="74">
        <v>171</v>
      </c>
      <c r="Y3" s="74">
        <v>171</v>
      </c>
      <c r="Z3" s="74">
        <v>171</v>
      </c>
      <c r="AA3" s="74">
        <v>171</v>
      </c>
      <c r="AB3" s="74">
        <v>171</v>
      </c>
      <c r="AC3" s="74">
        <v>171</v>
      </c>
      <c r="AD3" s="74">
        <v>171</v>
      </c>
      <c r="AE3" s="74">
        <v>171</v>
      </c>
      <c r="AF3" s="74">
        <v>171</v>
      </c>
    </row>
    <row r="4" spans="1:36">
      <c r="A4" s="73" t="s">
        <v>143</v>
      </c>
      <c r="B4" s="71" cm="1">
        <f t="array" ref="B4">TREND($D4:$H4,$D$1:$H$1,B$1)</f>
        <v>425</v>
      </c>
      <c r="C4" s="71" cm="1">
        <f t="array" ref="C4">TREND($D4:$H4,$D$1:$H$1,C$1)</f>
        <v>412.5</v>
      </c>
      <c r="D4" s="74">
        <v>400</v>
      </c>
      <c r="E4" s="74">
        <v>387.5</v>
      </c>
      <c r="F4" s="74">
        <v>375</v>
      </c>
      <c r="G4" s="74">
        <v>362.5</v>
      </c>
      <c r="H4" s="74">
        <v>350</v>
      </c>
      <c r="I4" s="74">
        <v>337.5</v>
      </c>
      <c r="J4" s="74">
        <v>325</v>
      </c>
      <c r="K4" s="74">
        <v>312.5</v>
      </c>
      <c r="L4" s="74">
        <v>300</v>
      </c>
      <c r="M4" s="74">
        <v>300</v>
      </c>
      <c r="N4" s="74">
        <v>300</v>
      </c>
      <c r="O4" s="74">
        <v>300</v>
      </c>
      <c r="P4" s="74">
        <v>300</v>
      </c>
      <c r="Q4" s="74">
        <v>300</v>
      </c>
      <c r="R4" s="74">
        <v>300</v>
      </c>
      <c r="S4" s="74">
        <v>300</v>
      </c>
      <c r="T4" s="74">
        <v>300</v>
      </c>
      <c r="U4" s="74">
        <v>300</v>
      </c>
      <c r="V4" s="74">
        <v>300</v>
      </c>
      <c r="W4" s="74">
        <v>300</v>
      </c>
      <c r="X4" s="74">
        <v>300</v>
      </c>
      <c r="Y4" s="74">
        <v>300</v>
      </c>
      <c r="Z4" s="74">
        <v>300</v>
      </c>
      <c r="AA4" s="74">
        <v>300</v>
      </c>
      <c r="AB4" s="74">
        <v>300</v>
      </c>
      <c r="AC4" s="74">
        <v>300</v>
      </c>
      <c r="AD4" s="74">
        <v>300</v>
      </c>
      <c r="AE4" s="74">
        <v>300</v>
      </c>
      <c r="AF4" s="74">
        <v>300</v>
      </c>
    </row>
    <row r="5" spans="1:36">
      <c r="A5" s="73" t="s">
        <v>144</v>
      </c>
      <c r="B5" s="71" cm="1">
        <f t="array" ref="B5">TREND($D5:$H5,$D$1:$H$1,B$1)</f>
        <v>485.5</v>
      </c>
      <c r="C5" s="71" cm="1">
        <f t="array" ref="C5">TREND($D5:$H5,$D$1:$H$1,C$1)</f>
        <v>470.25</v>
      </c>
      <c r="D5" s="74">
        <v>455</v>
      </c>
      <c r="E5" s="74">
        <v>439.75</v>
      </c>
      <c r="F5" s="74">
        <v>424.5</v>
      </c>
      <c r="G5" s="74">
        <v>409.25</v>
      </c>
      <c r="H5" s="74">
        <v>394</v>
      </c>
      <c r="I5" s="74">
        <v>378.75</v>
      </c>
      <c r="J5" s="74">
        <v>363.5</v>
      </c>
      <c r="K5" s="74">
        <v>348.25</v>
      </c>
      <c r="L5" s="74">
        <v>333</v>
      </c>
      <c r="M5" s="74">
        <v>333</v>
      </c>
      <c r="N5" s="74">
        <v>333</v>
      </c>
      <c r="O5" s="74">
        <v>333</v>
      </c>
      <c r="P5" s="74">
        <v>333</v>
      </c>
      <c r="Q5" s="74">
        <v>333</v>
      </c>
      <c r="R5" s="74">
        <v>333</v>
      </c>
      <c r="S5" s="74">
        <v>333</v>
      </c>
      <c r="T5" s="74">
        <v>333</v>
      </c>
      <c r="U5" s="74">
        <v>333</v>
      </c>
      <c r="V5" s="74">
        <v>333</v>
      </c>
      <c r="W5" s="74">
        <v>333</v>
      </c>
      <c r="X5" s="74">
        <v>333</v>
      </c>
      <c r="Y5" s="74">
        <v>333</v>
      </c>
      <c r="Z5" s="74">
        <v>333</v>
      </c>
      <c r="AA5" s="74">
        <v>333</v>
      </c>
      <c r="AB5" s="74">
        <v>333</v>
      </c>
      <c r="AC5" s="74">
        <v>333</v>
      </c>
      <c r="AD5" s="74">
        <v>333</v>
      </c>
      <c r="AE5" s="74">
        <v>333</v>
      </c>
      <c r="AF5" s="74">
        <v>333</v>
      </c>
    </row>
    <row r="6" spans="1:36">
      <c r="A6" s="73" t="s">
        <v>145</v>
      </c>
      <c r="B6" s="71" cm="1">
        <f t="array" ref="B6">TREND($D6:$H6,$D$1:$H$1,B$1)</f>
        <v>984.25</v>
      </c>
      <c r="C6" s="71" cm="1">
        <f t="array" ref="C6">TREND($D6:$H6,$D$1:$H$1,C$1)</f>
        <v>952.125</v>
      </c>
      <c r="D6" s="74">
        <v>920</v>
      </c>
      <c r="E6" s="74">
        <v>887.875</v>
      </c>
      <c r="F6" s="74">
        <v>855.75</v>
      </c>
      <c r="G6" s="74">
        <v>823.625</v>
      </c>
      <c r="H6" s="74">
        <v>791.5</v>
      </c>
      <c r="I6" s="74">
        <v>759.375</v>
      </c>
      <c r="J6" s="74">
        <v>727.25</v>
      </c>
      <c r="K6" s="74">
        <v>695.125</v>
      </c>
      <c r="L6" s="74">
        <v>663</v>
      </c>
      <c r="M6" s="74">
        <v>663</v>
      </c>
      <c r="N6" s="74">
        <v>663</v>
      </c>
      <c r="O6" s="74">
        <v>663</v>
      </c>
      <c r="P6" s="74">
        <v>663</v>
      </c>
      <c r="Q6" s="74">
        <v>663</v>
      </c>
      <c r="R6" s="74">
        <v>663</v>
      </c>
      <c r="S6" s="74">
        <v>663</v>
      </c>
      <c r="T6" s="74">
        <v>663</v>
      </c>
      <c r="U6" s="74">
        <v>663</v>
      </c>
      <c r="V6" s="74">
        <v>663</v>
      </c>
      <c r="W6" s="74">
        <v>663</v>
      </c>
      <c r="X6" s="74">
        <v>663</v>
      </c>
      <c r="Y6" s="74">
        <v>663</v>
      </c>
      <c r="Z6" s="74">
        <v>663</v>
      </c>
      <c r="AA6" s="74">
        <v>663</v>
      </c>
      <c r="AB6" s="74">
        <v>663</v>
      </c>
      <c r="AC6" s="74">
        <v>663</v>
      </c>
      <c r="AD6" s="74">
        <v>663</v>
      </c>
      <c r="AE6" s="74">
        <v>663</v>
      </c>
      <c r="AF6" s="74">
        <v>663</v>
      </c>
    </row>
    <row r="7" spans="1:36">
      <c r="A7" s="73" t="s">
        <v>146</v>
      </c>
      <c r="B7" s="71" cm="1">
        <f t="array" ref="B7">TREND($D7:$H7,$D$1:$H$1,B$1)</f>
        <v>428.25</v>
      </c>
      <c r="C7" s="71" cm="1">
        <f t="array" ref="C7">TREND($D7:$H7,$D$1:$H$1,C$1)</f>
        <v>416.625</v>
      </c>
      <c r="D7" s="74">
        <v>405</v>
      </c>
      <c r="E7" s="74">
        <v>393.375</v>
      </c>
      <c r="F7" s="74">
        <v>381.75</v>
      </c>
      <c r="G7" s="74">
        <v>370.125</v>
      </c>
      <c r="H7" s="74">
        <v>358.5</v>
      </c>
      <c r="I7" s="74">
        <v>346.875</v>
      </c>
      <c r="J7" s="74">
        <v>335.25</v>
      </c>
      <c r="K7" s="74">
        <v>323.625</v>
      </c>
      <c r="L7" s="74">
        <v>312</v>
      </c>
      <c r="M7" s="74">
        <v>312</v>
      </c>
      <c r="N7" s="74">
        <v>312</v>
      </c>
      <c r="O7" s="74">
        <v>312</v>
      </c>
      <c r="P7" s="74">
        <v>312</v>
      </c>
      <c r="Q7" s="74">
        <v>312</v>
      </c>
      <c r="R7" s="74">
        <v>312</v>
      </c>
      <c r="S7" s="74">
        <v>312</v>
      </c>
      <c r="T7" s="74">
        <v>312</v>
      </c>
      <c r="U7" s="74">
        <v>312</v>
      </c>
      <c r="V7" s="74">
        <v>312</v>
      </c>
      <c r="W7" s="74">
        <v>312</v>
      </c>
      <c r="X7" s="74">
        <v>312</v>
      </c>
      <c r="Y7" s="74">
        <v>312</v>
      </c>
      <c r="Z7" s="74">
        <v>312</v>
      </c>
      <c r="AA7" s="74">
        <v>312</v>
      </c>
      <c r="AB7" s="74">
        <v>312</v>
      </c>
      <c r="AC7" s="74">
        <v>312</v>
      </c>
      <c r="AD7" s="74">
        <v>312</v>
      </c>
      <c r="AE7" s="74">
        <v>312</v>
      </c>
      <c r="AF7" s="74">
        <v>312</v>
      </c>
    </row>
    <row r="8" spans="1:36">
      <c r="A8" s="73" t="s">
        <v>147</v>
      </c>
      <c r="B8" s="71" cm="1">
        <f t="array" ref="B8">TREND($D8:$H8,$D$1:$H$1,B$1)</f>
        <v>121.25</v>
      </c>
      <c r="C8" s="71" cm="1">
        <f t="array" ref="C8">TREND($D8:$H8,$D$1:$H$1,C$1)</f>
        <v>120.625</v>
      </c>
      <c r="D8" s="74">
        <v>120</v>
      </c>
      <c r="E8" s="74">
        <v>119.375</v>
      </c>
      <c r="F8" s="74">
        <v>118.75</v>
      </c>
      <c r="G8" s="74">
        <v>118.125</v>
      </c>
      <c r="H8" s="74">
        <v>117.5</v>
      </c>
      <c r="I8" s="74">
        <v>116.875</v>
      </c>
      <c r="J8" s="74">
        <v>116.25</v>
      </c>
      <c r="K8" s="74">
        <v>115.625</v>
      </c>
      <c r="L8" s="74">
        <v>115</v>
      </c>
      <c r="M8" s="74">
        <v>115</v>
      </c>
      <c r="N8" s="74">
        <v>115</v>
      </c>
      <c r="O8" s="74">
        <v>115</v>
      </c>
      <c r="P8" s="74">
        <v>115</v>
      </c>
      <c r="Q8" s="74">
        <v>115</v>
      </c>
      <c r="R8" s="74">
        <v>115</v>
      </c>
      <c r="S8" s="74">
        <v>115</v>
      </c>
      <c r="T8" s="74">
        <v>115</v>
      </c>
      <c r="U8" s="74">
        <v>115</v>
      </c>
      <c r="V8" s="74">
        <v>115</v>
      </c>
      <c r="W8" s="74">
        <v>115</v>
      </c>
      <c r="X8" s="74">
        <v>115</v>
      </c>
      <c r="Y8" s="74">
        <v>115</v>
      </c>
      <c r="Z8" s="74">
        <v>115</v>
      </c>
      <c r="AA8" s="74">
        <v>115</v>
      </c>
      <c r="AB8" s="74">
        <v>115</v>
      </c>
      <c r="AC8" s="74">
        <v>115</v>
      </c>
      <c r="AD8" s="74">
        <v>115</v>
      </c>
      <c r="AE8" s="74">
        <v>115</v>
      </c>
      <c r="AF8" s="74">
        <v>115</v>
      </c>
    </row>
    <row r="9" spans="1:36">
      <c r="A9" s="73" t="s">
        <v>148</v>
      </c>
      <c r="B9" s="71" cm="1">
        <f t="array" ref="B9">TREND($D9:$H9,$D$1:$H$1,B$1)</f>
        <v>455</v>
      </c>
      <c r="C9" s="71" cm="1">
        <f t="array" ref="C9">TREND($D9:$H9,$D$1:$H$1,C$1)</f>
        <v>452.5</v>
      </c>
      <c r="D9" s="74">
        <v>450</v>
      </c>
      <c r="E9" s="74">
        <v>447.5</v>
      </c>
      <c r="F9" s="74">
        <v>445</v>
      </c>
      <c r="G9" s="74">
        <v>442.5</v>
      </c>
      <c r="H9" s="74">
        <v>440</v>
      </c>
      <c r="I9" s="74">
        <v>437.5</v>
      </c>
      <c r="J9" s="74">
        <v>435</v>
      </c>
      <c r="K9" s="74">
        <v>432.5</v>
      </c>
      <c r="L9" s="74">
        <v>430</v>
      </c>
      <c r="M9" s="74">
        <v>430</v>
      </c>
      <c r="N9" s="74">
        <v>430</v>
      </c>
      <c r="O9" s="74">
        <v>430</v>
      </c>
      <c r="P9" s="74">
        <v>430</v>
      </c>
      <c r="Q9" s="74">
        <v>430</v>
      </c>
      <c r="R9" s="74">
        <v>430</v>
      </c>
      <c r="S9" s="74">
        <v>430</v>
      </c>
      <c r="T9" s="74">
        <v>430</v>
      </c>
      <c r="U9" s="74">
        <v>430</v>
      </c>
      <c r="V9" s="74">
        <v>430</v>
      </c>
      <c r="W9" s="74">
        <v>430</v>
      </c>
      <c r="X9" s="74">
        <v>430</v>
      </c>
      <c r="Y9" s="74">
        <v>430</v>
      </c>
      <c r="Z9" s="74">
        <v>430</v>
      </c>
      <c r="AA9" s="74">
        <v>430</v>
      </c>
      <c r="AB9" s="74">
        <v>430</v>
      </c>
      <c r="AC9" s="74">
        <v>430</v>
      </c>
      <c r="AD9" s="74">
        <v>430</v>
      </c>
      <c r="AE9" s="74">
        <v>430</v>
      </c>
      <c r="AF9" s="74">
        <v>430</v>
      </c>
    </row>
    <row r="10" spans="1:36">
      <c r="A10" s="73" t="s">
        <v>149</v>
      </c>
      <c r="B10" s="71" cm="1">
        <f t="array" ref="B10">TREND($D10:$H10,$D$1:$H$1,B$1)</f>
        <v>182.00000000000023</v>
      </c>
      <c r="C10" s="71" cm="1">
        <f t="array" ref="C10">TREND($D10:$H10,$D$1:$H$1,C$1)</f>
        <v>181.00000000000023</v>
      </c>
      <c r="D10" s="74">
        <v>180</v>
      </c>
      <c r="E10" s="74">
        <v>179</v>
      </c>
      <c r="F10" s="74">
        <v>178</v>
      </c>
      <c r="G10" s="74">
        <v>177</v>
      </c>
      <c r="H10" s="74">
        <v>176</v>
      </c>
      <c r="I10" s="74">
        <v>175</v>
      </c>
      <c r="J10" s="74">
        <v>174</v>
      </c>
      <c r="K10" s="74">
        <v>173</v>
      </c>
      <c r="L10" s="74">
        <v>172</v>
      </c>
      <c r="M10" s="74">
        <v>172</v>
      </c>
      <c r="N10" s="74">
        <v>172</v>
      </c>
      <c r="O10" s="74">
        <v>172</v>
      </c>
      <c r="P10" s="74">
        <v>172</v>
      </c>
      <c r="Q10" s="74">
        <v>172</v>
      </c>
      <c r="R10" s="74">
        <v>172</v>
      </c>
      <c r="S10" s="74">
        <v>172</v>
      </c>
      <c r="T10" s="74">
        <v>172</v>
      </c>
      <c r="U10" s="74">
        <v>172</v>
      </c>
      <c r="V10" s="74">
        <v>172</v>
      </c>
      <c r="W10" s="74">
        <v>172</v>
      </c>
      <c r="X10" s="74">
        <v>172</v>
      </c>
      <c r="Y10" s="74">
        <v>172</v>
      </c>
      <c r="Z10" s="74">
        <v>172</v>
      </c>
      <c r="AA10" s="74">
        <v>172</v>
      </c>
      <c r="AB10" s="74">
        <v>172</v>
      </c>
      <c r="AC10" s="74">
        <v>172</v>
      </c>
      <c r="AD10" s="74">
        <v>172</v>
      </c>
      <c r="AE10" s="74">
        <v>172</v>
      </c>
      <c r="AF10" s="74">
        <v>172</v>
      </c>
    </row>
    <row r="11" spans="1:36">
      <c r="A11" s="73" t="s">
        <v>150</v>
      </c>
      <c r="B11" s="71" cm="1">
        <f t="array" ref="B11">TREND($D11:$H11,$D$1:$H$1,B$1)</f>
        <v>683.50000000000091</v>
      </c>
      <c r="C11" s="71" cm="1">
        <f t="array" ref="C11">TREND($D11:$H11,$D$1:$H$1,C$1)</f>
        <v>679.75000000000091</v>
      </c>
      <c r="D11" s="74">
        <v>676</v>
      </c>
      <c r="E11" s="74">
        <v>672.25</v>
      </c>
      <c r="F11" s="74">
        <v>668.5</v>
      </c>
      <c r="G11" s="74">
        <v>664.75</v>
      </c>
      <c r="H11" s="74">
        <v>661</v>
      </c>
      <c r="I11" s="74">
        <v>657.25</v>
      </c>
      <c r="J11" s="74">
        <v>653.5</v>
      </c>
      <c r="K11" s="74">
        <v>649.75</v>
      </c>
      <c r="L11" s="74">
        <v>646</v>
      </c>
      <c r="M11" s="74">
        <v>646</v>
      </c>
      <c r="N11" s="74">
        <v>646</v>
      </c>
      <c r="O11" s="74">
        <v>646</v>
      </c>
      <c r="P11" s="74">
        <v>646</v>
      </c>
      <c r="Q11" s="74">
        <v>646</v>
      </c>
      <c r="R11" s="74">
        <v>646</v>
      </c>
      <c r="S11" s="74">
        <v>646</v>
      </c>
      <c r="T11" s="74">
        <v>646</v>
      </c>
      <c r="U11" s="74">
        <v>646</v>
      </c>
      <c r="V11" s="74">
        <v>646</v>
      </c>
      <c r="W11" s="74">
        <v>646</v>
      </c>
      <c r="X11" s="74">
        <v>646</v>
      </c>
      <c r="Y11" s="74">
        <v>646</v>
      </c>
      <c r="Z11" s="74">
        <v>646</v>
      </c>
      <c r="AA11" s="74">
        <v>646</v>
      </c>
      <c r="AB11" s="74">
        <v>646</v>
      </c>
      <c r="AC11" s="74">
        <v>646</v>
      </c>
      <c r="AD11" s="74">
        <v>646</v>
      </c>
      <c r="AE11" s="74">
        <v>646</v>
      </c>
      <c r="AF11" s="74">
        <v>646</v>
      </c>
    </row>
    <row r="14" spans="1:36" s="76" customFormat="1" ht="12.75">
      <c r="A14" s="75" t="s">
        <v>151</v>
      </c>
    </row>
    <row r="15" spans="1:36" s="75" customFormat="1" ht="12.75">
      <c r="A15" s="77"/>
      <c r="B15" s="75">
        <v>2020</v>
      </c>
      <c r="C15" s="75">
        <v>2021</v>
      </c>
      <c r="D15" s="75">
        <v>2022</v>
      </c>
      <c r="E15" s="75">
        <v>2023</v>
      </c>
      <c r="F15" s="75">
        <v>2024</v>
      </c>
      <c r="G15" s="75">
        <v>2025</v>
      </c>
      <c r="H15" s="75">
        <v>2026</v>
      </c>
      <c r="I15" s="75">
        <v>2027</v>
      </c>
      <c r="J15" s="75">
        <v>2028</v>
      </c>
      <c r="K15" s="75">
        <v>2029</v>
      </c>
      <c r="L15" s="75">
        <v>2030</v>
      </c>
      <c r="M15" s="75">
        <v>2031</v>
      </c>
      <c r="N15" s="75">
        <v>2032</v>
      </c>
      <c r="O15" s="75">
        <v>2033</v>
      </c>
      <c r="P15" s="75">
        <v>2034</v>
      </c>
      <c r="Q15" s="75">
        <v>2035</v>
      </c>
      <c r="R15" s="75">
        <v>2036</v>
      </c>
      <c r="S15" s="75">
        <v>2037</v>
      </c>
      <c r="T15" s="75">
        <v>2038</v>
      </c>
      <c r="U15" s="75">
        <v>2039</v>
      </c>
      <c r="V15" s="75">
        <v>2040</v>
      </c>
      <c r="W15" s="75">
        <v>2041</v>
      </c>
      <c r="X15" s="75">
        <v>2042</v>
      </c>
      <c r="Y15" s="75">
        <v>2043</v>
      </c>
      <c r="Z15" s="75">
        <v>2044</v>
      </c>
      <c r="AA15" s="75">
        <v>2045</v>
      </c>
      <c r="AB15" s="75">
        <v>2046</v>
      </c>
      <c r="AC15" s="75">
        <v>2047</v>
      </c>
      <c r="AD15" s="75">
        <v>2048</v>
      </c>
      <c r="AE15" s="75">
        <v>2049</v>
      </c>
      <c r="AF15" s="75">
        <v>2050</v>
      </c>
      <c r="AG15" s="75">
        <v>2051</v>
      </c>
      <c r="AH15" s="75">
        <v>2052</v>
      </c>
      <c r="AI15" s="75">
        <v>2053</v>
      </c>
      <c r="AJ15" s="75" t="s">
        <v>152</v>
      </c>
    </row>
    <row r="16" spans="1:36" s="77" customFormat="1" ht="12.75">
      <c r="A16" s="78" t="s">
        <v>153</v>
      </c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</row>
    <row r="17" spans="1:36" s="76" customFormat="1" ht="12.75">
      <c r="A17" s="76" t="s">
        <v>141</v>
      </c>
      <c r="B17" s="80">
        <v>116537.59</v>
      </c>
      <c r="C17" s="80">
        <f>($G17-$B17)/5+B17</f>
        <v>117344.414</v>
      </c>
      <c r="D17" s="80">
        <f>($G17-$B17)/5+C17</f>
        <v>118151.23800000001</v>
      </c>
      <c r="E17" s="80">
        <f>($G17-$B17)/5+D17</f>
        <v>118958.06200000002</v>
      </c>
      <c r="F17" s="80">
        <f>($G17-$B17)/5+E17</f>
        <v>119764.88600000003</v>
      </c>
      <c r="G17" s="80">
        <v>120571.71</v>
      </c>
      <c r="H17" s="80">
        <f>($L17-$G17)/5+G17</f>
        <v>122325.784</v>
      </c>
      <c r="I17" s="80">
        <f>($L17-$G17)/5+H17</f>
        <v>124079.85799999999</v>
      </c>
      <c r="J17" s="80">
        <f>($L17-$G17)/5+I17</f>
        <v>125833.93199999999</v>
      </c>
      <c r="K17" s="80">
        <f>($L17-$G17)/5+J17</f>
        <v>127588.00599999998</v>
      </c>
      <c r="L17" s="80">
        <v>129342.08</v>
      </c>
      <c r="M17" s="80">
        <f>($Q17-$L17)/5+L17</f>
        <v>132498.092</v>
      </c>
      <c r="N17" s="80">
        <f>($Q17-$L17)/5+M17</f>
        <v>135654.10399999999</v>
      </c>
      <c r="O17" s="80">
        <f>($Q17-$L17)/5+N17</f>
        <v>138810.11599999998</v>
      </c>
      <c r="P17" s="80">
        <f>($Q17-$L17)/5+O17</f>
        <v>141966.12799999997</v>
      </c>
      <c r="Q17" s="80">
        <v>145122.14000000001</v>
      </c>
      <c r="R17" s="80">
        <f>($V17-$Q17)/5+Q17</f>
        <v>148198.992</v>
      </c>
      <c r="S17" s="80">
        <f t="shared" ref="S17:U17" si="0">($V17-$Q17)/5+R17</f>
        <v>151275.84399999998</v>
      </c>
      <c r="T17" s="80">
        <f t="shared" si="0"/>
        <v>154352.69599999997</v>
      </c>
      <c r="U17" s="80">
        <f t="shared" si="0"/>
        <v>157429.54799999995</v>
      </c>
      <c r="V17" s="80">
        <v>160506.4</v>
      </c>
      <c r="W17" s="81" cm="1">
        <f t="array" ref="W17">TREND($M17:$V17,$M$15:$V$15,W$15)</f>
        <v>163688.79866666719</v>
      </c>
      <c r="X17" s="81" cm="1">
        <f t="array" ref="X17">TREND($M17:$V17,$M$15:$V$15,X$15)</f>
        <v>166799.23369697016</v>
      </c>
      <c r="Y17" s="81" cm="1">
        <f t="array" ref="Y17">TREND($M17:$V17,$M$15:$V$15,Y$15)</f>
        <v>169909.66872727312</v>
      </c>
      <c r="Z17" s="81" cm="1">
        <f t="array" ref="Z17">TREND($M17:$V17,$M$15:$V$15,Z$15)</f>
        <v>173020.10375757609</v>
      </c>
      <c r="AA17" s="81" cm="1">
        <f t="array" ref="AA17">TREND($M17:$V17,$M$15:$V$15,AA$15)</f>
        <v>176130.53878787905</v>
      </c>
      <c r="AB17" s="81" cm="1">
        <f t="array" ref="AB17">TREND($M17:$V17,$M$15:$V$15,AB$15)</f>
        <v>179240.97381818201</v>
      </c>
      <c r="AC17" s="81" cm="1">
        <f t="array" ref="AC17">TREND($M17:$V17,$M$15:$V$15,AC$15)</f>
        <v>182351.40884848498</v>
      </c>
      <c r="AD17" s="81" cm="1">
        <f t="array" ref="AD17">TREND($M17:$V17,$M$15:$V$15,AD$15)</f>
        <v>185461.84387878794</v>
      </c>
      <c r="AE17" s="81" cm="1">
        <f t="array" ref="AE17">TREND($M17:$V17,$M$15:$V$15,AE$15)</f>
        <v>188572.27890909091</v>
      </c>
      <c r="AF17" s="81" cm="1">
        <f t="array" ref="AF17">TREND($M17:$V17,$M$15:$V$15,AF$15)</f>
        <v>191682.71393939387</v>
      </c>
      <c r="AG17" s="81" cm="1">
        <f t="array" ref="AG17">TREND($M17:$V17,$M$15:$V$15,AG$15)</f>
        <v>194793.14896969683</v>
      </c>
      <c r="AH17" s="81" cm="1">
        <f t="array" ref="AH17">TREND($M17:$V17,$M$15:$V$15,AH$15)</f>
        <v>197903.5839999998</v>
      </c>
      <c r="AI17" s="81" cm="1">
        <f t="array" ref="AI17">TREND($M17:$V17,$M$15:$V$15,AI$15)</f>
        <v>201014.01903030276</v>
      </c>
      <c r="AJ17" s="76" t="s">
        <v>154</v>
      </c>
    </row>
    <row r="18" spans="1:36" s="76" customFormat="1" ht="12.75">
      <c r="A18" s="76" t="s">
        <v>142</v>
      </c>
      <c r="B18" s="80">
        <v>118399.012</v>
      </c>
      <c r="C18" s="80">
        <f t="shared" ref="C18:F22" si="1">($G18-$B18)/5+B18</f>
        <v>119218.6992</v>
      </c>
      <c r="D18" s="80">
        <f t="shared" si="1"/>
        <v>120038.3864</v>
      </c>
      <c r="E18" s="80">
        <f t="shared" si="1"/>
        <v>120858.0736</v>
      </c>
      <c r="F18" s="80">
        <f t="shared" si="1"/>
        <v>121677.7608</v>
      </c>
      <c r="G18" s="80">
        <v>122497.448</v>
      </c>
      <c r="H18" s="80">
        <f t="shared" ref="H18:K22" si="2">($L18-$G18)/5+G18</f>
        <v>124279.485</v>
      </c>
      <c r="I18" s="80">
        <f t="shared" si="2"/>
        <v>126061.522</v>
      </c>
      <c r="J18" s="80">
        <f t="shared" si="2"/>
        <v>127843.55899999999</v>
      </c>
      <c r="K18" s="80">
        <f t="shared" si="2"/>
        <v>129625.59599999999</v>
      </c>
      <c r="L18" s="80">
        <v>131407.633</v>
      </c>
      <c r="M18" s="80">
        <f t="shared" ref="M18:P22" si="3">($Q18-$L18)/5+L18</f>
        <v>134614.11480000001</v>
      </c>
      <c r="N18" s="80">
        <f t="shared" si="3"/>
        <v>137820.59660000002</v>
      </c>
      <c r="O18" s="80">
        <f t="shared" si="3"/>
        <v>141027.07840000003</v>
      </c>
      <c r="P18" s="80">
        <f t="shared" si="3"/>
        <v>144233.56020000004</v>
      </c>
      <c r="Q18" s="80">
        <v>147440.04199999999</v>
      </c>
      <c r="R18" s="80">
        <f t="shared" ref="R18:U22" si="4">($V18-$Q18)/5+Q18</f>
        <v>150566.04759999999</v>
      </c>
      <c r="S18" s="80">
        <f t="shared" si="4"/>
        <v>153692.05319999999</v>
      </c>
      <c r="T18" s="80">
        <f t="shared" si="4"/>
        <v>156818.0588</v>
      </c>
      <c r="U18" s="80">
        <f t="shared" si="4"/>
        <v>159944.0644</v>
      </c>
      <c r="V18" s="80">
        <v>163070.06999999998</v>
      </c>
      <c r="W18" s="81" cm="1">
        <f t="array" ref="W18">TREND($M18:$V18,$M$15:$V$15,W$15)</f>
        <v>166303.37719999999</v>
      </c>
      <c r="X18" s="81" cm="1">
        <f t="array" ref="X18">TREND($M18:$V18,$M$15:$V$15,X$15)</f>
        <v>169463.52421818208</v>
      </c>
      <c r="Y18" s="81" cm="1">
        <f t="array" ref="Y18">TREND($M18:$V18,$M$15:$V$15,Y$15)</f>
        <v>172623.67123636324</v>
      </c>
      <c r="Z18" s="81" cm="1">
        <f t="array" ref="Z18">TREND($M18:$V18,$M$15:$V$15,Z$15)</f>
        <v>175783.81825454533</v>
      </c>
      <c r="AA18" s="81" cm="1">
        <f t="array" ref="AA18">TREND($M18:$V18,$M$15:$V$15,AA$15)</f>
        <v>178943.96527272742</v>
      </c>
      <c r="AB18" s="81" cm="1">
        <f t="array" ref="AB18">TREND($M18:$V18,$M$15:$V$15,AB$15)</f>
        <v>182104.11229090951</v>
      </c>
      <c r="AC18" s="81" cm="1">
        <f t="array" ref="AC18">TREND($M18:$V18,$M$15:$V$15,AC$15)</f>
        <v>185264.25930909067</v>
      </c>
      <c r="AD18" s="81" cm="1">
        <f t="array" ref="AD18">TREND($M18:$V18,$M$15:$V$15,AD$15)</f>
        <v>188424.40632727277</v>
      </c>
      <c r="AE18" s="81" cm="1">
        <f t="array" ref="AE18">TREND($M18:$V18,$M$15:$V$15,AE$15)</f>
        <v>191584.55334545486</v>
      </c>
      <c r="AF18" s="81" cm="1">
        <f t="array" ref="AF18">TREND($M18:$V18,$M$15:$V$15,AF$15)</f>
        <v>194744.70036363602</v>
      </c>
      <c r="AG18" s="81" cm="1">
        <f t="array" ref="AG18">TREND($M18:$V18,$M$15:$V$15,AG$15)</f>
        <v>197904.84738181811</v>
      </c>
      <c r="AH18" s="81" cm="1">
        <f t="array" ref="AH18">TREND($M18:$V18,$M$15:$V$15,AH$15)</f>
        <v>201064.9944000002</v>
      </c>
      <c r="AI18" s="81" cm="1">
        <f t="array" ref="AI18">TREND($M18:$V18,$M$15:$V$15,AI$15)</f>
        <v>204225.14141818229</v>
      </c>
      <c r="AJ18" s="76" t="s">
        <v>154</v>
      </c>
    </row>
    <row r="19" spans="1:36" s="76" customFormat="1" ht="12.75">
      <c r="A19" s="76" t="s">
        <v>143</v>
      </c>
      <c r="B19" s="80">
        <v>95647.28</v>
      </c>
      <c r="C19" s="80">
        <f t="shared" si="1"/>
        <v>96309.491800000003</v>
      </c>
      <c r="D19" s="80">
        <f t="shared" si="1"/>
        <v>96971.703600000008</v>
      </c>
      <c r="E19" s="80">
        <f t="shared" si="1"/>
        <v>97633.915400000013</v>
      </c>
      <c r="F19" s="80">
        <f t="shared" si="1"/>
        <v>98296.127200000017</v>
      </c>
      <c r="G19" s="80">
        <v>98958.338999999993</v>
      </c>
      <c r="H19" s="80">
        <f t="shared" si="2"/>
        <v>100397.96219999999</v>
      </c>
      <c r="I19" s="80">
        <f t="shared" si="2"/>
        <v>101837.5854</v>
      </c>
      <c r="J19" s="80">
        <f t="shared" si="2"/>
        <v>103277.2086</v>
      </c>
      <c r="K19" s="80">
        <f t="shared" si="2"/>
        <v>104716.8318</v>
      </c>
      <c r="L19" s="80">
        <v>106156.455</v>
      </c>
      <c r="M19" s="80">
        <f t="shared" si="3"/>
        <v>108746.7678</v>
      </c>
      <c r="N19" s="80">
        <f t="shared" si="3"/>
        <v>111337.0806</v>
      </c>
      <c r="O19" s="80">
        <f t="shared" si="3"/>
        <v>113927.3934</v>
      </c>
      <c r="P19" s="80">
        <f t="shared" si="3"/>
        <v>116517.7062</v>
      </c>
      <c r="Q19" s="80">
        <v>119108.019</v>
      </c>
      <c r="R19" s="80">
        <f t="shared" si="4"/>
        <v>121633.35619999999</v>
      </c>
      <c r="S19" s="80">
        <f t="shared" si="4"/>
        <v>124158.69339999999</v>
      </c>
      <c r="T19" s="80">
        <f t="shared" si="4"/>
        <v>126684.03059999998</v>
      </c>
      <c r="U19" s="80">
        <f t="shared" si="4"/>
        <v>129209.36779999998</v>
      </c>
      <c r="V19" s="80">
        <v>131734.70499999999</v>
      </c>
      <c r="W19" s="81" cm="1">
        <f t="array" ref="W19">TREND($M19:$V19,$M$15:$V$15,W$15)</f>
        <v>134346.67633333337</v>
      </c>
      <c r="X19" s="81" cm="1">
        <f t="array" ref="X19">TREND($M19:$V19,$M$15:$V$15,X$15)</f>
        <v>136899.57893939409</v>
      </c>
      <c r="Y19" s="81" cm="1">
        <f t="array" ref="Y19">TREND($M19:$V19,$M$15:$V$15,Y$15)</f>
        <v>139452.48154545482</v>
      </c>
      <c r="Z19" s="81" cm="1">
        <f t="array" ref="Z19">TREND($M19:$V19,$M$15:$V$15,Z$15)</f>
        <v>142005.38415151555</v>
      </c>
      <c r="AA19" s="81" cm="1">
        <f t="array" ref="AA19">TREND($M19:$V19,$M$15:$V$15,AA$15)</f>
        <v>144558.28675757535</v>
      </c>
      <c r="AB19" s="81" cm="1">
        <f t="array" ref="AB19">TREND($M19:$V19,$M$15:$V$15,AB$15)</f>
        <v>147111.18936363608</v>
      </c>
      <c r="AC19" s="81" cm="1">
        <f t="array" ref="AC19">TREND($M19:$V19,$M$15:$V$15,AC$15)</f>
        <v>149664.0919696968</v>
      </c>
      <c r="AD19" s="81" cm="1">
        <f t="array" ref="AD19">TREND($M19:$V19,$M$15:$V$15,AD$15)</f>
        <v>152216.99457575753</v>
      </c>
      <c r="AE19" s="81" cm="1">
        <f t="array" ref="AE19">TREND($M19:$V19,$M$15:$V$15,AE$15)</f>
        <v>154769.89718181826</v>
      </c>
      <c r="AF19" s="81" cm="1">
        <f t="array" ref="AF19">TREND($M19:$V19,$M$15:$V$15,AF$15)</f>
        <v>157322.79978787899</v>
      </c>
      <c r="AG19" s="81" cm="1">
        <f t="array" ref="AG19">TREND($M19:$V19,$M$15:$V$15,AG$15)</f>
        <v>159875.70239393972</v>
      </c>
      <c r="AH19" s="81" cm="1">
        <f t="array" ref="AH19">TREND($M19:$V19,$M$15:$V$15,AH$15)</f>
        <v>162428.60499999952</v>
      </c>
      <c r="AI19" s="81" cm="1">
        <f t="array" ref="AI19">TREND($M19:$V19,$M$15:$V$15,AI$15)</f>
        <v>164981.50760606024</v>
      </c>
      <c r="AJ19" s="76" t="s">
        <v>155</v>
      </c>
    </row>
    <row r="20" spans="1:36" s="76" customFormat="1" ht="12.75">
      <c r="A20" s="76" t="s">
        <v>144</v>
      </c>
      <c r="B20" s="80">
        <v>55945.25</v>
      </c>
      <c r="C20" s="80">
        <f t="shared" si="1"/>
        <v>55322.91</v>
      </c>
      <c r="D20" s="80">
        <f t="shared" si="1"/>
        <v>54700.570000000007</v>
      </c>
      <c r="E20" s="80">
        <f t="shared" si="1"/>
        <v>54078.23000000001</v>
      </c>
      <c r="F20" s="80">
        <f t="shared" si="1"/>
        <v>53455.890000000014</v>
      </c>
      <c r="G20" s="80">
        <v>52833.55</v>
      </c>
      <c r="H20" s="80">
        <f t="shared" si="2"/>
        <v>52462.840000000004</v>
      </c>
      <c r="I20" s="80">
        <f t="shared" si="2"/>
        <v>52092.130000000005</v>
      </c>
      <c r="J20" s="80">
        <f t="shared" si="2"/>
        <v>51721.420000000006</v>
      </c>
      <c r="K20" s="80">
        <f t="shared" si="2"/>
        <v>51350.710000000006</v>
      </c>
      <c r="L20" s="80">
        <v>50980</v>
      </c>
      <c r="M20" s="80">
        <f t="shared" si="3"/>
        <v>51194.304000000004</v>
      </c>
      <c r="N20" s="80">
        <f t="shared" si="3"/>
        <v>51408.608000000007</v>
      </c>
      <c r="O20" s="80">
        <f t="shared" si="3"/>
        <v>51622.912000000011</v>
      </c>
      <c r="P20" s="80">
        <f t="shared" si="3"/>
        <v>51837.216000000015</v>
      </c>
      <c r="Q20" s="80">
        <v>52051.520000000004</v>
      </c>
      <c r="R20" s="80">
        <f t="shared" si="4"/>
        <v>52259.394</v>
      </c>
      <c r="S20" s="80">
        <f t="shared" si="4"/>
        <v>52467.267999999996</v>
      </c>
      <c r="T20" s="80">
        <f t="shared" si="4"/>
        <v>52675.141999999993</v>
      </c>
      <c r="U20" s="80">
        <f t="shared" si="4"/>
        <v>52883.015999999989</v>
      </c>
      <c r="V20" s="80">
        <v>53090.889999999992</v>
      </c>
      <c r="W20" s="81" cm="1">
        <f t="array" ref="W20">TREND($M20:$V20,$M$15:$V$15,W$15)</f>
        <v>53307.337333333329</v>
      </c>
      <c r="X20" s="81" cm="1">
        <f t="array" ref="X20">TREND($M20:$V20,$M$15:$V$15,X$15)</f>
        <v>53517.939212121186</v>
      </c>
      <c r="Y20" s="81" cm="1">
        <f t="array" ref="Y20">TREND($M20:$V20,$M$15:$V$15,Y$15)</f>
        <v>53728.541090909042</v>
      </c>
      <c r="Z20" s="81" cm="1">
        <f t="array" ref="Z20">TREND($M20:$V20,$M$15:$V$15,Z$15)</f>
        <v>53939.142969696957</v>
      </c>
      <c r="AA20" s="81" cm="1">
        <f t="array" ref="AA20">TREND($M20:$V20,$M$15:$V$15,AA$15)</f>
        <v>54149.744848484814</v>
      </c>
      <c r="AB20" s="81" cm="1">
        <f t="array" ref="AB20">TREND($M20:$V20,$M$15:$V$15,AB$15)</f>
        <v>54360.34672727267</v>
      </c>
      <c r="AC20" s="81" cm="1">
        <f t="array" ref="AC20">TREND($M20:$V20,$M$15:$V$15,AC$15)</f>
        <v>54570.948606060585</v>
      </c>
      <c r="AD20" s="81" cm="1">
        <f t="array" ref="AD20">TREND($M20:$V20,$M$15:$V$15,AD$15)</f>
        <v>54781.550484848442</v>
      </c>
      <c r="AE20" s="81" cm="1">
        <f t="array" ref="AE20">TREND($M20:$V20,$M$15:$V$15,AE$15)</f>
        <v>54992.152363636298</v>
      </c>
      <c r="AF20" s="81" cm="1">
        <f t="array" ref="AF20">TREND($M20:$V20,$M$15:$V$15,AF$15)</f>
        <v>55202.754242424213</v>
      </c>
      <c r="AG20" s="81" cm="1">
        <f t="array" ref="AG20">TREND($M20:$V20,$M$15:$V$15,AG$15)</f>
        <v>55413.356121212069</v>
      </c>
      <c r="AH20" s="81" cm="1">
        <f t="array" ref="AH20">TREND($M20:$V20,$M$15:$V$15,AH$15)</f>
        <v>55623.957999999926</v>
      </c>
      <c r="AI20" s="81" cm="1">
        <f t="array" ref="AI20">TREND($M20:$V20,$M$15:$V$15,AI$15)</f>
        <v>55834.559878787841</v>
      </c>
      <c r="AJ20" s="76" t="s">
        <v>155</v>
      </c>
    </row>
    <row r="21" spans="1:36" s="76" customFormat="1" ht="12.75">
      <c r="A21" s="76" t="s">
        <v>145</v>
      </c>
      <c r="B21" s="80">
        <v>92843.9</v>
      </c>
      <c r="C21" s="80">
        <f t="shared" si="1"/>
        <v>91811.12</v>
      </c>
      <c r="D21" s="80">
        <f t="shared" si="1"/>
        <v>90778.34</v>
      </c>
      <c r="E21" s="80">
        <f t="shared" si="1"/>
        <v>89745.56</v>
      </c>
      <c r="F21" s="80">
        <f t="shared" si="1"/>
        <v>88712.78</v>
      </c>
      <c r="G21" s="80">
        <v>87680</v>
      </c>
      <c r="H21" s="80">
        <f t="shared" si="2"/>
        <v>87064.76</v>
      </c>
      <c r="I21" s="80">
        <f t="shared" si="2"/>
        <v>86449.51999999999</v>
      </c>
      <c r="J21" s="80">
        <f t="shared" si="2"/>
        <v>85834.279999999984</v>
      </c>
      <c r="K21" s="80">
        <f t="shared" si="2"/>
        <v>85219.039999999979</v>
      </c>
      <c r="L21" s="80">
        <v>84603.8</v>
      </c>
      <c r="M21" s="80">
        <f t="shared" si="3"/>
        <v>84959.44</v>
      </c>
      <c r="N21" s="80">
        <f t="shared" si="3"/>
        <v>85315.08</v>
      </c>
      <c r="O21" s="80">
        <f t="shared" si="3"/>
        <v>85670.720000000001</v>
      </c>
      <c r="P21" s="80">
        <f t="shared" si="3"/>
        <v>86026.36</v>
      </c>
      <c r="Q21" s="80">
        <v>86382</v>
      </c>
      <c r="R21" s="80">
        <f t="shared" si="4"/>
        <v>86726.98</v>
      </c>
      <c r="S21" s="80">
        <f t="shared" si="4"/>
        <v>87071.959999999992</v>
      </c>
      <c r="T21" s="80">
        <f t="shared" si="4"/>
        <v>87416.939999999988</v>
      </c>
      <c r="U21" s="80">
        <f t="shared" si="4"/>
        <v>87761.919999999984</v>
      </c>
      <c r="V21" s="80">
        <v>88106.9</v>
      </c>
      <c r="W21" s="81" cm="1">
        <f t="array" ref="W21">TREND($M21:$V21,$M$15:$V$15,W$15)</f>
        <v>88466.093333333265</v>
      </c>
      <c r="X21" s="81" cm="1">
        <f t="array" ref="X21">TREND($M21:$V21,$M$15:$V$15,X$15)</f>
        <v>88815.595757575706</v>
      </c>
      <c r="Y21" s="81" cm="1">
        <f t="array" ref="Y21">TREND($M21:$V21,$M$15:$V$15,Y$15)</f>
        <v>89165.098181818146</v>
      </c>
      <c r="Z21" s="81" cm="1">
        <f t="array" ref="Z21">TREND($M21:$V21,$M$15:$V$15,Z$15)</f>
        <v>89514.600606060587</v>
      </c>
      <c r="AA21" s="81" cm="1">
        <f t="array" ref="AA21">TREND($M21:$V21,$M$15:$V$15,AA$15)</f>
        <v>89864.103030302911</v>
      </c>
      <c r="AB21" s="81" cm="1">
        <f t="array" ref="AB21">TREND($M21:$V21,$M$15:$V$15,AB$15)</f>
        <v>90213.605454545352</v>
      </c>
      <c r="AC21" s="81" cm="1">
        <f t="array" ref="AC21">TREND($M21:$V21,$M$15:$V$15,AC$15)</f>
        <v>90563.107878787792</v>
      </c>
      <c r="AD21" s="81" cm="1">
        <f t="array" ref="AD21">TREND($M21:$V21,$M$15:$V$15,AD$15)</f>
        <v>90912.610303030233</v>
      </c>
      <c r="AE21" s="81" cm="1">
        <f t="array" ref="AE21">TREND($M21:$V21,$M$15:$V$15,AE$15)</f>
        <v>91262.112727272674</v>
      </c>
      <c r="AF21" s="81" cm="1">
        <f t="array" ref="AF21">TREND($M21:$V21,$M$15:$V$15,AF$15)</f>
        <v>91611.615151515114</v>
      </c>
      <c r="AG21" s="81" cm="1">
        <f t="array" ref="AG21">TREND($M21:$V21,$M$15:$V$15,AG$15)</f>
        <v>91961.117575757555</v>
      </c>
      <c r="AH21" s="81" cm="1">
        <f t="array" ref="AH21">TREND($M21:$V21,$M$15:$V$15,AH$15)</f>
        <v>92310.619999999879</v>
      </c>
      <c r="AI21" s="81" cm="1">
        <f t="array" ref="AI21">TREND($M21:$V21,$M$15:$V$15,AI$15)</f>
        <v>92660.12242424232</v>
      </c>
      <c r="AJ21" s="76" t="s">
        <v>155</v>
      </c>
    </row>
    <row r="22" spans="1:36" s="76" customFormat="1" ht="12.75">
      <c r="A22" s="76" t="s">
        <v>146</v>
      </c>
      <c r="B22" s="80">
        <v>3614</v>
      </c>
      <c r="C22" s="80">
        <f t="shared" si="1"/>
        <v>3639</v>
      </c>
      <c r="D22" s="80">
        <f t="shared" si="1"/>
        <v>3664</v>
      </c>
      <c r="E22" s="80">
        <f t="shared" si="1"/>
        <v>3689</v>
      </c>
      <c r="F22" s="80">
        <f t="shared" si="1"/>
        <v>3714</v>
      </c>
      <c r="G22" s="80">
        <v>3739</v>
      </c>
      <c r="H22" s="80">
        <f t="shared" si="2"/>
        <v>3793.4</v>
      </c>
      <c r="I22" s="80">
        <f t="shared" si="2"/>
        <v>3847.8</v>
      </c>
      <c r="J22" s="80">
        <f t="shared" si="2"/>
        <v>3902.2000000000003</v>
      </c>
      <c r="K22" s="80">
        <f t="shared" si="2"/>
        <v>3956.6000000000004</v>
      </c>
      <c r="L22" s="80">
        <v>4011</v>
      </c>
      <c r="M22" s="80">
        <f t="shared" si="3"/>
        <v>4108.8</v>
      </c>
      <c r="N22" s="80">
        <f t="shared" si="3"/>
        <v>4206.6000000000004</v>
      </c>
      <c r="O22" s="80">
        <f t="shared" si="3"/>
        <v>4304.4000000000005</v>
      </c>
      <c r="P22" s="80">
        <f t="shared" si="3"/>
        <v>4402.2000000000007</v>
      </c>
      <c r="Q22" s="80">
        <v>4500</v>
      </c>
      <c r="R22" s="80">
        <f t="shared" si="4"/>
        <v>4595.3999999999996</v>
      </c>
      <c r="S22" s="80">
        <f t="shared" si="4"/>
        <v>4690.7999999999993</v>
      </c>
      <c r="T22" s="80">
        <f t="shared" si="4"/>
        <v>4786.1999999999989</v>
      </c>
      <c r="U22" s="80">
        <f t="shared" si="4"/>
        <v>4881.5999999999985</v>
      </c>
      <c r="V22" s="80">
        <v>4977</v>
      </c>
      <c r="W22" s="81" cm="1">
        <f t="array" ref="W22">TREND($M22:$V22,$M$15:$V$15,W$15)</f>
        <v>5075.5999999999767</v>
      </c>
      <c r="X22" s="81" cm="1">
        <f t="array" ref="X22">TREND($M22:$V22,$M$15:$V$15,X$15)</f>
        <v>5172.0181818181591</v>
      </c>
      <c r="Y22" s="81" cm="1">
        <f t="array" ref="Y22">TREND($M22:$V22,$M$15:$V$15,Y$15)</f>
        <v>5268.4363636363414</v>
      </c>
      <c r="Z22" s="81" cm="1">
        <f t="array" ref="Z22">TREND($M22:$V22,$M$15:$V$15,Z$15)</f>
        <v>5364.8545454545238</v>
      </c>
      <c r="AA22" s="81" cm="1">
        <f t="array" ref="AA22">TREND($M22:$V22,$M$15:$V$15,AA$15)</f>
        <v>5461.2727272727061</v>
      </c>
      <c r="AB22" s="81" cm="1">
        <f t="array" ref="AB22">TREND($M22:$V22,$M$15:$V$15,AB$15)</f>
        <v>5557.6909090908885</v>
      </c>
      <c r="AC22" s="81" cm="1">
        <f t="array" ref="AC22">TREND($M22:$V22,$M$15:$V$15,AC$15)</f>
        <v>5654.1090909090708</v>
      </c>
      <c r="AD22" s="81" cm="1">
        <f t="array" ref="AD22">TREND($M22:$V22,$M$15:$V$15,AD$15)</f>
        <v>5750.5272727272531</v>
      </c>
      <c r="AE22" s="81" cm="1">
        <f t="array" ref="AE22">TREND($M22:$V22,$M$15:$V$15,AE$15)</f>
        <v>5846.9454545454355</v>
      </c>
      <c r="AF22" s="81" cm="1">
        <f t="array" ref="AF22">TREND($M22:$V22,$M$15:$V$15,AF$15)</f>
        <v>5943.3636363636178</v>
      </c>
      <c r="AG22" s="81" cm="1">
        <f t="array" ref="AG22">TREND($M22:$V22,$M$15:$V$15,AG$15)</f>
        <v>6039.7818181818002</v>
      </c>
      <c r="AH22" s="81" cm="1">
        <f t="array" ref="AH22">TREND($M22:$V22,$M$15:$V$15,AH$15)</f>
        <v>6136.1999999999825</v>
      </c>
      <c r="AI22" s="81" cm="1">
        <f t="array" ref="AI22">TREND($M22:$V22,$M$15:$V$15,AI$15)</f>
        <v>6232.6181818181649</v>
      </c>
      <c r="AJ22" s="76" t="s">
        <v>155</v>
      </c>
    </row>
    <row r="23" spans="1:36" s="84" customFormat="1" ht="12.75">
      <c r="A23" s="82" t="s">
        <v>156</v>
      </c>
      <c r="B23" s="83">
        <f>SUM(B17:B22)</f>
        <v>482987.03200000001</v>
      </c>
      <c r="C23" s="83"/>
      <c r="D23" s="83"/>
      <c r="E23" s="83"/>
      <c r="F23" s="83"/>
      <c r="G23" s="83">
        <f>SUM(G17:G22)</f>
        <v>486280.04699999996</v>
      </c>
      <c r="H23" s="83"/>
      <c r="I23" s="83"/>
      <c r="J23" s="83"/>
      <c r="K23" s="83"/>
      <c r="L23" s="83">
        <f>SUM(L17:L22)</f>
        <v>506500.96799999999</v>
      </c>
      <c r="M23" s="83"/>
      <c r="N23" s="83"/>
      <c r="O23" s="83"/>
      <c r="P23" s="83"/>
      <c r="Q23" s="83">
        <f>SUM(Q17:Q22)</f>
        <v>554603.72100000002</v>
      </c>
      <c r="R23" s="83"/>
      <c r="S23" s="83"/>
      <c r="T23" s="83"/>
      <c r="U23" s="83"/>
      <c r="V23" s="83">
        <f>SUM(V17:V22)</f>
        <v>601485.96499999997</v>
      </c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</row>
    <row r="24" spans="1:36" s="76" customFormat="1" ht="12.75">
      <c r="A24" s="76" t="s">
        <v>147</v>
      </c>
      <c r="B24" s="80">
        <v>4754.0109999999995</v>
      </c>
      <c r="C24" s="80">
        <f t="shared" ref="C24:F27" si="5">($G24-$B24)/5+B24</f>
        <v>4754.1695999999993</v>
      </c>
      <c r="D24" s="80">
        <f t="shared" si="5"/>
        <v>4754.328199999999</v>
      </c>
      <c r="E24" s="80">
        <f t="shared" si="5"/>
        <v>4754.4867999999988</v>
      </c>
      <c r="F24" s="80">
        <f t="shared" si="5"/>
        <v>4754.6453999999985</v>
      </c>
      <c r="G24" s="80">
        <v>4754.8040000000001</v>
      </c>
      <c r="H24" s="80">
        <f t="shared" ref="H24:K27" si="6">($L24-$G24)/5+G24</f>
        <v>4784.2997999999998</v>
      </c>
      <c r="I24" s="80">
        <f t="shared" si="6"/>
        <v>4813.7955999999995</v>
      </c>
      <c r="J24" s="80">
        <f t="shared" si="6"/>
        <v>4843.2913999999992</v>
      </c>
      <c r="K24" s="80">
        <f t="shared" si="6"/>
        <v>4872.7871999999988</v>
      </c>
      <c r="L24" s="80">
        <v>4902.2830000000004</v>
      </c>
      <c r="M24" s="80">
        <f t="shared" ref="M24:P27" si="7">($Q24-$L24)/5+L24</f>
        <v>4986.5684000000001</v>
      </c>
      <c r="N24" s="80">
        <f t="shared" si="7"/>
        <v>5070.8537999999999</v>
      </c>
      <c r="O24" s="80">
        <f t="shared" si="7"/>
        <v>5155.1391999999996</v>
      </c>
      <c r="P24" s="80">
        <f t="shared" si="7"/>
        <v>5239.4245999999994</v>
      </c>
      <c r="Q24" s="80">
        <v>5323.7099999999991</v>
      </c>
      <c r="R24" s="80">
        <f t="shared" ref="R24:U27" si="8">($V24-$Q24)/5+Q24</f>
        <v>5405.777399999999</v>
      </c>
      <c r="S24" s="80">
        <f t="shared" si="8"/>
        <v>5487.8447999999989</v>
      </c>
      <c r="T24" s="80">
        <f t="shared" si="8"/>
        <v>5569.9121999999988</v>
      </c>
      <c r="U24" s="80">
        <f t="shared" si="8"/>
        <v>5651.9795999999988</v>
      </c>
      <c r="V24" s="80">
        <v>5734.0469999999996</v>
      </c>
      <c r="W24" s="81" cm="1">
        <f t="array" ref="W24">TREND($M24:$V24,$M$15:$V$15,W$15)</f>
        <v>5819.0717333333159</v>
      </c>
      <c r="X24" s="81" cm="1">
        <f t="array" ref="X24">TREND($M24:$V24,$M$15:$V$15,X$15)</f>
        <v>5902.0801030302828</v>
      </c>
      <c r="Y24" s="81" cm="1">
        <f t="array" ref="Y24">TREND($M24:$V24,$M$15:$V$15,Y$15)</f>
        <v>5985.0884727272787</v>
      </c>
      <c r="Z24" s="81" cm="1">
        <f t="array" ref="Z24">TREND($M24:$V24,$M$15:$V$15,Z$15)</f>
        <v>6068.0968424242456</v>
      </c>
      <c r="AA24" s="81" cm="1">
        <f t="array" ref="AA24">TREND($M24:$V24,$M$15:$V$15,AA$15)</f>
        <v>6151.1052121212124</v>
      </c>
      <c r="AB24" s="81" cm="1">
        <f t="array" ref="AB24">TREND($M24:$V24,$M$15:$V$15,AB$15)</f>
        <v>6234.1135818181792</v>
      </c>
      <c r="AC24" s="81" cm="1">
        <f t="array" ref="AC24">TREND($M24:$V24,$M$15:$V$15,AC$15)</f>
        <v>6317.1219515151461</v>
      </c>
      <c r="AD24" s="81" cm="1">
        <f t="array" ref="AD24">TREND($M24:$V24,$M$15:$V$15,AD$15)</f>
        <v>6400.1303212121129</v>
      </c>
      <c r="AE24" s="81" cm="1">
        <f t="array" ref="AE24">TREND($M24:$V24,$M$15:$V$15,AE$15)</f>
        <v>6483.1386909090797</v>
      </c>
      <c r="AF24" s="81" cm="1">
        <f t="array" ref="AF24">TREND($M24:$V24,$M$15:$V$15,AF$15)</f>
        <v>6566.1470606060466</v>
      </c>
      <c r="AG24" s="81" cm="1">
        <f t="array" ref="AG24">TREND($M24:$V24,$M$15:$V$15,AG$15)</f>
        <v>6649.1554303030134</v>
      </c>
      <c r="AH24" s="81" cm="1">
        <f t="array" ref="AH24">TREND($M24:$V24,$M$15:$V$15,AH$15)</f>
        <v>6732.1637999999803</v>
      </c>
      <c r="AI24" s="81" cm="1">
        <f t="array" ref="AI24">TREND($M24:$V24,$M$15:$V$15,AI$15)</f>
        <v>6815.1721696969471</v>
      </c>
      <c r="AJ24" s="76" t="s">
        <v>157</v>
      </c>
    </row>
    <row r="25" spans="1:36" s="76" customFormat="1" ht="12.75">
      <c r="A25" s="76" t="s">
        <v>148</v>
      </c>
      <c r="B25" s="80">
        <v>5282.9840000000004</v>
      </c>
      <c r="C25" s="80">
        <f t="shared" si="5"/>
        <v>5283.1580000000004</v>
      </c>
      <c r="D25" s="80">
        <f t="shared" si="5"/>
        <v>5283.3320000000003</v>
      </c>
      <c r="E25" s="80">
        <f t="shared" si="5"/>
        <v>5283.5060000000003</v>
      </c>
      <c r="F25" s="80">
        <f t="shared" si="5"/>
        <v>5283.68</v>
      </c>
      <c r="G25" s="80">
        <v>5283.8539999999994</v>
      </c>
      <c r="H25" s="80">
        <f t="shared" si="6"/>
        <v>5316.6317999999992</v>
      </c>
      <c r="I25" s="80">
        <f t="shared" si="6"/>
        <v>5349.409599999999</v>
      </c>
      <c r="J25" s="80">
        <f t="shared" si="6"/>
        <v>5382.1873999999989</v>
      </c>
      <c r="K25" s="80">
        <f t="shared" si="6"/>
        <v>5414.9651999999987</v>
      </c>
      <c r="L25" s="80">
        <v>5447.7430000000004</v>
      </c>
      <c r="M25" s="80">
        <f t="shared" si="7"/>
        <v>5541.4026000000003</v>
      </c>
      <c r="N25" s="80">
        <f t="shared" si="7"/>
        <v>5635.0622000000003</v>
      </c>
      <c r="O25" s="80">
        <f t="shared" si="7"/>
        <v>5728.7218000000003</v>
      </c>
      <c r="P25" s="80">
        <f t="shared" si="7"/>
        <v>5822.3814000000002</v>
      </c>
      <c r="Q25" s="80">
        <v>5916.0410000000002</v>
      </c>
      <c r="R25" s="80">
        <f t="shared" si="8"/>
        <v>6007.2420000000002</v>
      </c>
      <c r="S25" s="80">
        <f t="shared" si="8"/>
        <v>6098.4430000000002</v>
      </c>
      <c r="T25" s="80">
        <f t="shared" si="8"/>
        <v>6189.6440000000002</v>
      </c>
      <c r="U25" s="80">
        <f t="shared" si="8"/>
        <v>6280.8450000000003</v>
      </c>
      <c r="V25" s="80">
        <v>6372.0460000000003</v>
      </c>
      <c r="W25" s="81" cm="1">
        <f t="array" ref="W25">TREND($M25:$V25,$M$15:$V$15,W$15)</f>
        <v>6466.5251333333435</v>
      </c>
      <c r="X25" s="81" cm="1">
        <f t="array" ref="X25">TREND($M25:$V25,$M$15:$V$15,X$15)</f>
        <v>6558.7691757575958</v>
      </c>
      <c r="Y25" s="81" cm="1">
        <f t="array" ref="Y25">TREND($M25:$V25,$M$15:$V$15,Y$15)</f>
        <v>6651.0132181818481</v>
      </c>
      <c r="Z25" s="81" cm="1">
        <f t="array" ref="Z25">TREND($M25:$V25,$M$15:$V$15,Z$15)</f>
        <v>6743.2572606060712</v>
      </c>
      <c r="AA25" s="81" cm="1">
        <f t="array" ref="AA25">TREND($M25:$V25,$M$15:$V$15,AA$15)</f>
        <v>6835.5013030303235</v>
      </c>
      <c r="AB25" s="81" cm="1">
        <f t="array" ref="AB25">TREND($M25:$V25,$M$15:$V$15,AB$15)</f>
        <v>6927.7453454545757</v>
      </c>
      <c r="AC25" s="81" cm="1">
        <f t="array" ref="AC25">TREND($M25:$V25,$M$15:$V$15,AC$15)</f>
        <v>7019.9893878787989</v>
      </c>
      <c r="AD25" s="81" cm="1">
        <f t="array" ref="AD25">TREND($M25:$V25,$M$15:$V$15,AD$15)</f>
        <v>7112.2334303030511</v>
      </c>
      <c r="AE25" s="81" cm="1">
        <f t="array" ref="AE25">TREND($M25:$V25,$M$15:$V$15,AE$15)</f>
        <v>7204.4774727273034</v>
      </c>
      <c r="AF25" s="81" cm="1">
        <f t="array" ref="AF25">TREND($M25:$V25,$M$15:$V$15,AF$15)</f>
        <v>7296.7215151515265</v>
      </c>
      <c r="AG25" s="81" cm="1">
        <f t="array" ref="AG25">TREND($M25:$V25,$M$15:$V$15,AG$15)</f>
        <v>7388.9655575757788</v>
      </c>
      <c r="AH25" s="81" cm="1">
        <f t="array" ref="AH25">TREND($M25:$V25,$M$15:$V$15,AH$15)</f>
        <v>7481.2096000000311</v>
      </c>
      <c r="AI25" s="81" cm="1">
        <f t="array" ref="AI25">TREND($M25:$V25,$M$15:$V$15,AI$15)</f>
        <v>7573.4536424242542</v>
      </c>
      <c r="AJ25" s="76" t="s">
        <v>157</v>
      </c>
    </row>
    <row r="26" spans="1:36" s="76" customFormat="1" ht="12.75">
      <c r="A26" s="76" t="s">
        <v>149</v>
      </c>
      <c r="B26" s="80">
        <v>27044.906999999999</v>
      </c>
      <c r="C26" s="80">
        <f t="shared" si="5"/>
        <v>27045.8024</v>
      </c>
      <c r="D26" s="80">
        <f t="shared" si="5"/>
        <v>27046.697800000002</v>
      </c>
      <c r="E26" s="80">
        <f t="shared" si="5"/>
        <v>27047.593200000003</v>
      </c>
      <c r="F26" s="80">
        <f t="shared" si="5"/>
        <v>27048.488600000004</v>
      </c>
      <c r="G26" s="80">
        <v>27049.384000000002</v>
      </c>
      <c r="H26" s="80">
        <f t="shared" si="6"/>
        <v>27217.201800000003</v>
      </c>
      <c r="I26" s="80">
        <f t="shared" si="6"/>
        <v>27385.019600000003</v>
      </c>
      <c r="J26" s="80">
        <f t="shared" si="6"/>
        <v>27552.837400000004</v>
      </c>
      <c r="K26" s="80">
        <f t="shared" si="6"/>
        <v>27720.655200000005</v>
      </c>
      <c r="L26" s="80">
        <v>27888.472999999998</v>
      </c>
      <c r="M26" s="80">
        <f t="shared" si="7"/>
        <v>28367.96</v>
      </c>
      <c r="N26" s="80">
        <f t="shared" si="7"/>
        <v>28847.447</v>
      </c>
      <c r="O26" s="80">
        <f t="shared" si="7"/>
        <v>29326.934000000001</v>
      </c>
      <c r="P26" s="80">
        <f t="shared" si="7"/>
        <v>29806.421000000002</v>
      </c>
      <c r="Q26" s="80">
        <v>30285.907999999999</v>
      </c>
      <c r="R26" s="80">
        <f t="shared" si="8"/>
        <v>30752.794000000002</v>
      </c>
      <c r="S26" s="80">
        <f t="shared" si="8"/>
        <v>31219.680000000004</v>
      </c>
      <c r="T26" s="80">
        <f t="shared" si="8"/>
        <v>31686.566000000006</v>
      </c>
      <c r="U26" s="80">
        <f t="shared" si="8"/>
        <v>32153.452000000008</v>
      </c>
      <c r="V26" s="80">
        <v>32620.338000000003</v>
      </c>
      <c r="W26" s="81" cm="1">
        <f t="array" ref="W26">TREND($M26:$V26,$M$15:$V$15,W$15)</f>
        <v>33104.025333333295</v>
      </c>
      <c r="X26" s="81" cm="1">
        <f t="array" ref="X26">TREND($M26:$V26,$M$15:$V$15,X$15)</f>
        <v>33576.257212121156</v>
      </c>
      <c r="Y26" s="81" cm="1">
        <f t="array" ref="Y26">TREND($M26:$V26,$M$15:$V$15,Y$15)</f>
        <v>34048.489090909017</v>
      </c>
      <c r="Z26" s="81" cm="1">
        <f t="array" ref="Z26">TREND($M26:$V26,$M$15:$V$15,Z$15)</f>
        <v>34520.720969696878</v>
      </c>
      <c r="AA26" s="81" cm="1">
        <f t="array" ref="AA26">TREND($M26:$V26,$M$15:$V$15,AA$15)</f>
        <v>34992.952848484856</v>
      </c>
      <c r="AB26" s="81" cm="1">
        <f t="array" ref="AB26">TREND($M26:$V26,$M$15:$V$15,AB$15)</f>
        <v>35465.184727272717</v>
      </c>
      <c r="AC26" s="81" cm="1">
        <f t="array" ref="AC26">TREND($M26:$V26,$M$15:$V$15,AC$15)</f>
        <v>35937.416606060578</v>
      </c>
      <c r="AD26" s="81" cm="1">
        <f t="array" ref="AD26">TREND($M26:$V26,$M$15:$V$15,AD$15)</f>
        <v>36409.64848484844</v>
      </c>
      <c r="AE26" s="81" cm="1">
        <f t="array" ref="AE26">TREND($M26:$V26,$M$15:$V$15,AE$15)</f>
        <v>36881.880363636301</v>
      </c>
      <c r="AF26" s="81" cm="1">
        <f t="array" ref="AF26">TREND($M26:$V26,$M$15:$V$15,AF$15)</f>
        <v>37354.112242424162</v>
      </c>
      <c r="AG26" s="81" cm="1">
        <f t="array" ref="AG26">TREND($M26:$V26,$M$15:$V$15,AG$15)</f>
        <v>37826.344121212023</v>
      </c>
      <c r="AH26" s="81" cm="1">
        <f t="array" ref="AH26">TREND($M26:$V26,$M$15:$V$15,AH$15)</f>
        <v>38298.576000000001</v>
      </c>
      <c r="AI26" s="81" cm="1">
        <f t="array" ref="AI26">TREND($M26:$V26,$M$15:$V$15,AI$15)</f>
        <v>38770.807878787862</v>
      </c>
      <c r="AJ26" s="76" t="s">
        <v>157</v>
      </c>
    </row>
    <row r="27" spans="1:36" s="76" customFormat="1" ht="12.75">
      <c r="A27" s="76" t="s">
        <v>150</v>
      </c>
      <c r="B27" s="80">
        <v>16228.913</v>
      </c>
      <c r="C27" s="80">
        <f t="shared" si="5"/>
        <v>16229.455</v>
      </c>
      <c r="D27" s="80">
        <f t="shared" si="5"/>
        <v>16229.996999999999</v>
      </c>
      <c r="E27" s="80">
        <f t="shared" si="5"/>
        <v>16230.538999999999</v>
      </c>
      <c r="F27" s="80">
        <f t="shared" si="5"/>
        <v>16231.080999999998</v>
      </c>
      <c r="G27" s="80">
        <v>16231.623</v>
      </c>
      <c r="H27" s="80">
        <f t="shared" si="6"/>
        <v>16332.3094</v>
      </c>
      <c r="I27" s="80">
        <f t="shared" si="6"/>
        <v>16432.995800000001</v>
      </c>
      <c r="J27" s="80">
        <f t="shared" si="6"/>
        <v>16533.682199999999</v>
      </c>
      <c r="K27" s="80">
        <f t="shared" si="6"/>
        <v>16634.368599999998</v>
      </c>
      <c r="L27" s="80">
        <v>16735.055</v>
      </c>
      <c r="M27" s="80">
        <f t="shared" si="7"/>
        <v>17022.7916</v>
      </c>
      <c r="N27" s="80">
        <f t="shared" si="7"/>
        <v>17310.528200000001</v>
      </c>
      <c r="O27" s="80">
        <f t="shared" si="7"/>
        <v>17598.264800000001</v>
      </c>
      <c r="P27" s="80">
        <f t="shared" si="7"/>
        <v>17886.001400000001</v>
      </c>
      <c r="Q27" s="80">
        <v>18173.738000000001</v>
      </c>
      <c r="R27" s="80">
        <f t="shared" si="8"/>
        <v>18453.896000000001</v>
      </c>
      <c r="S27" s="80">
        <f t="shared" si="8"/>
        <v>18734.054</v>
      </c>
      <c r="T27" s="80">
        <f t="shared" si="8"/>
        <v>19014.212</v>
      </c>
      <c r="U27" s="80">
        <f t="shared" si="8"/>
        <v>19294.37</v>
      </c>
      <c r="V27" s="80">
        <v>19574.527999999998</v>
      </c>
      <c r="W27" s="81" cm="1">
        <f t="array" ref="W27">TREND($M27:$V27,$M$15:$V$15,W$15)</f>
        <v>19864.790800000075</v>
      </c>
      <c r="X27" s="81" cm="1">
        <f t="array" ref="X27">TREND($M27:$V27,$M$15:$V$15,X$15)</f>
        <v>20148.163963636383</v>
      </c>
      <c r="Y27" s="81" cm="1">
        <f t="array" ref="Y27">TREND($M27:$V27,$M$15:$V$15,Y$15)</f>
        <v>20431.537127272808</v>
      </c>
      <c r="Z27" s="81" cm="1">
        <f t="array" ref="Z27">TREND($M27:$V27,$M$15:$V$15,Z$15)</f>
        <v>20714.910290909116</v>
      </c>
      <c r="AA27" s="81" cm="1">
        <f t="array" ref="AA27">TREND($M27:$V27,$M$15:$V$15,AA$15)</f>
        <v>20998.283454545541</v>
      </c>
      <c r="AB27" s="81" cm="1">
        <f t="array" ref="AB27">TREND($M27:$V27,$M$15:$V$15,AB$15)</f>
        <v>21281.656618181849</v>
      </c>
      <c r="AC27" s="81" cm="1">
        <f t="array" ref="AC27">TREND($M27:$V27,$M$15:$V$15,AC$15)</f>
        <v>21565.029781818273</v>
      </c>
      <c r="AD27" s="81" cm="1">
        <f t="array" ref="AD27">TREND($M27:$V27,$M$15:$V$15,AD$15)</f>
        <v>21848.402945454582</v>
      </c>
      <c r="AE27" s="81" cm="1">
        <f t="array" ref="AE27">TREND($M27:$V27,$M$15:$V$15,AE$15)</f>
        <v>22131.77610909089</v>
      </c>
      <c r="AF27" s="81" cm="1">
        <f t="array" ref="AF27">TREND($M27:$V27,$M$15:$V$15,AF$15)</f>
        <v>22415.149272727314</v>
      </c>
      <c r="AG27" s="81" cm="1">
        <f t="array" ref="AG27">TREND($M27:$V27,$M$15:$V$15,AG$15)</f>
        <v>22698.522436363623</v>
      </c>
      <c r="AH27" s="81" cm="1">
        <f t="array" ref="AH27">TREND($M27:$V27,$M$15:$V$15,AH$15)</f>
        <v>22981.895600000047</v>
      </c>
      <c r="AI27" s="81" cm="1">
        <f t="array" ref="AI27">TREND($M27:$V27,$M$15:$V$15,AI$15)</f>
        <v>23265.268763636355</v>
      </c>
      <c r="AJ27" s="76" t="s">
        <v>157</v>
      </c>
    </row>
    <row r="28" spans="1:36" s="84" customFormat="1" ht="12.75">
      <c r="A28" s="82" t="s">
        <v>158</v>
      </c>
      <c r="B28" s="83">
        <f>SUM(B24:B27)</f>
        <v>53310.815000000002</v>
      </c>
      <c r="C28" s="83"/>
      <c r="D28" s="83"/>
      <c r="E28" s="83"/>
      <c r="F28" s="83"/>
      <c r="G28" s="83">
        <f>SUM(G24:G27)</f>
        <v>53319.665000000001</v>
      </c>
      <c r="H28" s="83"/>
      <c r="I28" s="83"/>
      <c r="J28" s="83"/>
      <c r="K28" s="83"/>
      <c r="L28" s="83">
        <f>SUM(L24:L27)</f>
        <v>54973.553999999996</v>
      </c>
      <c r="M28" s="83"/>
      <c r="N28" s="83"/>
      <c r="O28" s="83"/>
      <c r="P28" s="83"/>
      <c r="Q28" s="83">
        <f>SUM(Q24:Q27)</f>
        <v>59699.396999999997</v>
      </c>
      <c r="R28" s="83"/>
      <c r="S28" s="83"/>
      <c r="T28" s="83"/>
      <c r="U28" s="83"/>
      <c r="V28" s="83">
        <f>SUM(V24:V27)</f>
        <v>64300.959000000003</v>
      </c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</row>
    <row r="31" spans="1:36" s="85" customFormat="1" ht="33.75">
      <c r="B31" s="86" t="s">
        <v>159</v>
      </c>
    </row>
    <row r="32" spans="1:36" s="85" customFormat="1" ht="17.25" customHeight="1">
      <c r="B32" s="85" t="s">
        <v>160</v>
      </c>
    </row>
    <row r="33" spans="1:55" s="85" customFormat="1" ht="15.75">
      <c r="B33" s="85" t="s">
        <v>161</v>
      </c>
      <c r="C33" s="85">
        <v>2020</v>
      </c>
      <c r="D33" s="85">
        <v>2021</v>
      </c>
      <c r="E33" s="85">
        <v>2022</v>
      </c>
      <c r="F33" s="85">
        <v>2023</v>
      </c>
      <c r="G33" s="85">
        <v>2024</v>
      </c>
      <c r="H33" s="85">
        <v>2025</v>
      </c>
      <c r="I33" s="85">
        <v>2026</v>
      </c>
      <c r="J33" s="85">
        <v>2027</v>
      </c>
      <c r="K33" s="85">
        <v>2028</v>
      </c>
      <c r="L33" s="85">
        <v>2029</v>
      </c>
      <c r="M33" s="85">
        <v>2030</v>
      </c>
      <c r="N33" s="85">
        <v>2031</v>
      </c>
      <c r="O33" s="85">
        <v>2032</v>
      </c>
      <c r="P33" s="85">
        <v>2033</v>
      </c>
      <c r="Q33" s="85">
        <v>2034</v>
      </c>
      <c r="R33" s="85">
        <v>2035</v>
      </c>
      <c r="S33" s="85">
        <v>2036</v>
      </c>
      <c r="T33" s="85">
        <v>2037</v>
      </c>
      <c r="U33" s="85">
        <v>2038</v>
      </c>
      <c r="V33" s="85">
        <v>2039</v>
      </c>
      <c r="W33" s="85">
        <v>2040</v>
      </c>
      <c r="X33" s="85">
        <v>2041</v>
      </c>
      <c r="Y33" s="85">
        <v>2042</v>
      </c>
      <c r="Z33" s="85">
        <v>2043</v>
      </c>
      <c r="AA33" s="85">
        <v>2044</v>
      </c>
      <c r="AB33" s="85">
        <v>2045</v>
      </c>
      <c r="AC33" s="85">
        <v>2046</v>
      </c>
      <c r="AD33" s="85">
        <v>2047</v>
      </c>
      <c r="AE33" s="85">
        <v>2048</v>
      </c>
      <c r="AF33" s="85">
        <v>2049</v>
      </c>
      <c r="AG33" s="85">
        <v>2050</v>
      </c>
      <c r="AH33" s="85">
        <v>2051</v>
      </c>
      <c r="AI33" s="85">
        <v>2052</v>
      </c>
      <c r="AJ33" s="85">
        <v>2053</v>
      </c>
      <c r="AK33" s="85">
        <v>2054</v>
      </c>
      <c r="AL33" s="85">
        <v>2055</v>
      </c>
      <c r="AM33" s="85">
        <v>2056</v>
      </c>
      <c r="AN33" s="85">
        <v>2057</v>
      </c>
      <c r="AO33" s="85">
        <v>2058</v>
      </c>
      <c r="AP33" s="85">
        <v>2059</v>
      </c>
      <c r="AQ33" s="85">
        <v>2060</v>
      </c>
      <c r="AR33" s="85">
        <v>2061</v>
      </c>
      <c r="AS33" s="85">
        <v>2062</v>
      </c>
      <c r="AT33" s="85">
        <v>2063</v>
      </c>
      <c r="AU33" s="85">
        <v>2064</v>
      </c>
      <c r="AV33" s="85">
        <v>2065</v>
      </c>
      <c r="AW33" s="85">
        <v>2066</v>
      </c>
      <c r="AX33" s="85">
        <v>2067</v>
      </c>
      <c r="AY33" s="85">
        <v>2068</v>
      </c>
      <c r="AZ33" s="85">
        <v>2069</v>
      </c>
      <c r="BA33" s="85">
        <v>2070</v>
      </c>
      <c r="BB33" s="85" t="s">
        <v>162</v>
      </c>
      <c r="BC33" s="85" t="s">
        <v>163</v>
      </c>
    </row>
    <row r="34" spans="1:55" s="85" customFormat="1" ht="15.75">
      <c r="A34" s="85" t="s">
        <v>164</v>
      </c>
      <c r="B34" s="85" t="s">
        <v>165</v>
      </c>
      <c r="C34" s="85">
        <v>7282.1416874353799</v>
      </c>
      <c r="D34" s="85">
        <v>7350.0019452482002</v>
      </c>
      <c r="E34" s="85">
        <v>7417.8622030610204</v>
      </c>
      <c r="F34" s="85">
        <v>7485.7224608738397</v>
      </c>
      <c r="G34" s="85">
        <v>7553.58271868666</v>
      </c>
      <c r="H34" s="85">
        <v>7621.4429764994802</v>
      </c>
      <c r="I34" s="85">
        <v>7849.9524195209297</v>
      </c>
      <c r="J34" s="85">
        <v>8078.46186254237</v>
      </c>
      <c r="K34" s="85">
        <v>8306.9713055638204</v>
      </c>
      <c r="L34" s="85">
        <v>8535.4807485852598</v>
      </c>
      <c r="M34" s="85">
        <v>8763.9901916067101</v>
      </c>
      <c r="N34" s="85">
        <v>8847.3832993936594</v>
      </c>
      <c r="O34" s="85">
        <v>8930.7764071805996</v>
      </c>
      <c r="P34" s="85">
        <v>9014.1695149675397</v>
      </c>
      <c r="Q34" s="85">
        <v>9097.5626227544908</v>
      </c>
      <c r="R34" s="85">
        <v>9180.9557305414291</v>
      </c>
      <c r="S34" s="85">
        <v>9222.1208253382392</v>
      </c>
      <c r="T34" s="85">
        <v>9263.2859201350402</v>
      </c>
      <c r="U34" s="85">
        <v>9304.4510149318503</v>
      </c>
      <c r="V34" s="85">
        <v>9345.6161097286495</v>
      </c>
      <c r="W34" s="85">
        <v>9386.7812045254595</v>
      </c>
      <c r="X34" s="85">
        <v>9369.1215439642492</v>
      </c>
      <c r="Y34" s="85">
        <v>9351.4618834030498</v>
      </c>
      <c r="Z34" s="85">
        <v>9333.8022228418395</v>
      </c>
      <c r="AA34" s="85">
        <v>9316.1425622806291</v>
      </c>
      <c r="AB34" s="85">
        <v>9298.4829017194297</v>
      </c>
      <c r="AC34" s="85">
        <v>9319.9003916430102</v>
      </c>
      <c r="AD34" s="85">
        <v>9341.3178815665997</v>
      </c>
      <c r="AE34" s="85">
        <v>9362.7353714901801</v>
      </c>
      <c r="AF34" s="85">
        <v>9384.1528614137696</v>
      </c>
      <c r="AG34" s="85">
        <v>9405.5703513373501</v>
      </c>
      <c r="AH34" s="85">
        <v>9452.4188033549399</v>
      </c>
      <c r="AI34" s="85">
        <v>9499.2672553725406</v>
      </c>
      <c r="AJ34" s="85">
        <v>9546.1157073901304</v>
      </c>
      <c r="AK34" s="85">
        <v>9592.9641594077293</v>
      </c>
      <c r="AL34" s="85">
        <v>9639.8126114253191</v>
      </c>
      <c r="AM34" s="85">
        <v>9681.9087710619006</v>
      </c>
      <c r="AN34" s="85">
        <v>9724.0049306984802</v>
      </c>
      <c r="AO34" s="85">
        <v>9766.1010903350598</v>
      </c>
      <c r="AP34" s="85">
        <v>9808.1972499716394</v>
      </c>
      <c r="AQ34" s="85">
        <v>9850.2934096082208</v>
      </c>
      <c r="AR34" s="85">
        <v>9850.2934096082208</v>
      </c>
      <c r="AS34" s="85">
        <v>9850.2934096082208</v>
      </c>
      <c r="AT34" s="85">
        <v>9850.2934096082208</v>
      </c>
      <c r="AU34" s="85">
        <v>9850.2934096082208</v>
      </c>
      <c r="AV34" s="85">
        <v>9850.2934096082208</v>
      </c>
      <c r="AW34" s="85">
        <v>9850.2934096082208</v>
      </c>
      <c r="AX34" s="85">
        <v>9850.2934096082208</v>
      </c>
      <c r="AY34" s="85">
        <v>9850.2934096082208</v>
      </c>
      <c r="AZ34" s="85">
        <v>9850.2934096082208</v>
      </c>
      <c r="BA34" s="85">
        <v>9850.2934096082208</v>
      </c>
      <c r="BC34" s="85">
        <v>8941.1253098647539</v>
      </c>
    </row>
    <row r="35" spans="1:55" s="85" customFormat="1" ht="15.75">
      <c r="A35" s="85" t="s">
        <v>164</v>
      </c>
      <c r="B35" s="85" t="s">
        <v>166</v>
      </c>
      <c r="C35" s="85">
        <v>8136.7392927447199</v>
      </c>
      <c r="D35" s="85">
        <v>8129.89814642275</v>
      </c>
      <c r="E35" s="85">
        <v>8123.05700010079</v>
      </c>
      <c r="F35" s="85">
        <v>8116.21585377882</v>
      </c>
      <c r="G35" s="85">
        <v>8109.37470745685</v>
      </c>
      <c r="H35" s="85">
        <v>8102.5335611348901</v>
      </c>
      <c r="I35" s="85">
        <v>8172.67728868431</v>
      </c>
      <c r="J35" s="85">
        <v>8242.82101623374</v>
      </c>
      <c r="K35" s="85">
        <v>8312.9647437831609</v>
      </c>
      <c r="L35" s="85">
        <v>8383.1084713325799</v>
      </c>
      <c r="M35" s="85">
        <v>8453.2521988820099</v>
      </c>
      <c r="N35" s="85">
        <v>8557.9386804889291</v>
      </c>
      <c r="O35" s="85">
        <v>8662.6251620958501</v>
      </c>
      <c r="P35" s="85">
        <v>8767.3116437027693</v>
      </c>
      <c r="Q35" s="85">
        <v>8871.9981253096903</v>
      </c>
      <c r="R35" s="85">
        <v>8976.6846069166095</v>
      </c>
      <c r="S35" s="85">
        <v>9033.8403811891603</v>
      </c>
      <c r="T35" s="85">
        <v>9090.9961554617003</v>
      </c>
      <c r="U35" s="85">
        <v>9148.1519297342493</v>
      </c>
      <c r="V35" s="85">
        <v>9205.3077040067892</v>
      </c>
      <c r="W35" s="85">
        <v>9262.4634782793401</v>
      </c>
      <c r="X35" s="85">
        <v>9269.66684530575</v>
      </c>
      <c r="Y35" s="85">
        <v>9276.87021233216</v>
      </c>
      <c r="Z35" s="85">
        <v>9284.07357935857</v>
      </c>
      <c r="AA35" s="85">
        <v>9291.2769463849909</v>
      </c>
      <c r="AB35" s="85">
        <v>9298.4803134114009</v>
      </c>
      <c r="AC35" s="85">
        <v>9319.8974401309006</v>
      </c>
      <c r="AD35" s="85">
        <v>9341.3145668504094</v>
      </c>
      <c r="AE35" s="85">
        <v>9362.7316935699091</v>
      </c>
      <c r="AF35" s="85">
        <v>9384.1488202894197</v>
      </c>
      <c r="AG35" s="85">
        <v>9405.5659470089195</v>
      </c>
      <c r="AH35" s="85">
        <v>9452.4154481758997</v>
      </c>
      <c r="AI35" s="85">
        <v>9499.2649493428798</v>
      </c>
      <c r="AJ35" s="85">
        <v>9546.1144505098691</v>
      </c>
      <c r="AK35" s="85">
        <v>9592.9639516768493</v>
      </c>
      <c r="AL35" s="85">
        <v>9639.8134528438295</v>
      </c>
      <c r="AM35" s="85">
        <v>9681.9106629611397</v>
      </c>
      <c r="AN35" s="85">
        <v>9724.0078730784408</v>
      </c>
      <c r="AO35" s="85">
        <v>9766.1050831957491</v>
      </c>
      <c r="AP35" s="85">
        <v>9808.2022933130593</v>
      </c>
      <c r="AQ35" s="85">
        <v>9850.2995034303694</v>
      </c>
      <c r="AR35" s="85">
        <v>9850.2995034303694</v>
      </c>
      <c r="AS35" s="85">
        <v>9850.2995034303694</v>
      </c>
      <c r="AT35" s="85">
        <v>9850.2995034303694</v>
      </c>
      <c r="AU35" s="85">
        <v>9850.2995034303694</v>
      </c>
      <c r="AV35" s="85">
        <v>9850.2995034303694</v>
      </c>
      <c r="AW35" s="85">
        <v>9850.2995034303694</v>
      </c>
      <c r="AX35" s="85">
        <v>9850.2995034303694</v>
      </c>
      <c r="AY35" s="85">
        <v>9850.2995034303694</v>
      </c>
      <c r="AZ35" s="85">
        <v>9850.2995034303694</v>
      </c>
      <c r="BA35" s="85">
        <v>9850.2995034303694</v>
      </c>
      <c r="BC35" s="85">
        <v>9335.2229055276457</v>
      </c>
    </row>
    <row r="36" spans="1:55" s="85" customFormat="1" ht="15.75">
      <c r="A36" s="85" t="s">
        <v>164</v>
      </c>
      <c r="B36" s="85" t="s">
        <v>167</v>
      </c>
      <c r="C36" s="85">
        <v>8719.9366767922602</v>
      </c>
      <c r="D36" s="85">
        <v>8710.9261931227702</v>
      </c>
      <c r="E36" s="85">
        <v>8701.9157094532693</v>
      </c>
      <c r="F36" s="85">
        <v>8692.9052257837793</v>
      </c>
      <c r="G36" s="85">
        <v>8683.8947421142802</v>
      </c>
      <c r="H36" s="85">
        <v>8674.8842584447793</v>
      </c>
      <c r="I36" s="85">
        <v>8710.6315544953795</v>
      </c>
      <c r="J36" s="85">
        <v>8746.3788505459797</v>
      </c>
      <c r="K36" s="85">
        <v>8782.1261465965799</v>
      </c>
      <c r="L36" s="85">
        <v>8817.8734426471801</v>
      </c>
      <c r="M36" s="85">
        <v>8853.6207386977803</v>
      </c>
      <c r="N36" s="85">
        <v>8903.4735663380998</v>
      </c>
      <c r="O36" s="85">
        <v>8953.3263939784301</v>
      </c>
      <c r="P36" s="85">
        <v>9003.1792216187605</v>
      </c>
      <c r="Q36" s="85">
        <v>9053.0320492590909</v>
      </c>
      <c r="R36" s="85">
        <v>9102.8848768994194</v>
      </c>
      <c r="S36" s="85">
        <v>9139.2060599065098</v>
      </c>
      <c r="T36" s="85">
        <v>9175.5272429136003</v>
      </c>
      <c r="U36" s="85">
        <v>9211.8484259206907</v>
      </c>
      <c r="V36" s="85">
        <v>9248.1696089277793</v>
      </c>
      <c r="W36" s="85">
        <v>9284.4907919348807</v>
      </c>
      <c r="X36" s="85">
        <v>9287.2933523149804</v>
      </c>
      <c r="Y36" s="85">
        <v>9290.0959126950893</v>
      </c>
      <c r="Z36" s="85">
        <v>9292.8984730751909</v>
      </c>
      <c r="AA36" s="85">
        <v>9295.7010334552997</v>
      </c>
      <c r="AB36" s="85">
        <v>9298.5035938353994</v>
      </c>
      <c r="AC36" s="85">
        <v>9319.9192845638208</v>
      </c>
      <c r="AD36" s="85">
        <v>9341.3349752922404</v>
      </c>
      <c r="AE36" s="85">
        <v>9362.7506660206509</v>
      </c>
      <c r="AF36" s="85">
        <v>9384.1663567490705</v>
      </c>
      <c r="AG36" s="85">
        <v>9405.5820474774901</v>
      </c>
      <c r="AH36" s="85">
        <v>9452.4314031117792</v>
      </c>
      <c r="AI36" s="85">
        <v>9499.2807587460793</v>
      </c>
      <c r="AJ36" s="85">
        <v>9546.1301143803703</v>
      </c>
      <c r="AK36" s="85">
        <v>9592.9794700146595</v>
      </c>
      <c r="AL36" s="85">
        <v>9639.8288256489595</v>
      </c>
      <c r="AM36" s="85">
        <v>9681.9269695596195</v>
      </c>
      <c r="AN36" s="85">
        <v>9724.0251134702703</v>
      </c>
      <c r="AO36" s="85">
        <v>9766.1232573809302</v>
      </c>
      <c r="AP36" s="85">
        <v>9808.2214012915792</v>
      </c>
      <c r="AQ36" s="85">
        <v>9850.3195452022392</v>
      </c>
      <c r="AR36" s="85">
        <v>9850.3195452022392</v>
      </c>
      <c r="AS36" s="85">
        <v>9850.3195452022392</v>
      </c>
      <c r="AT36" s="85">
        <v>9850.3195452022392</v>
      </c>
      <c r="AU36" s="85">
        <v>9850.3195452022392</v>
      </c>
      <c r="AV36" s="85">
        <v>9850.3195452022392</v>
      </c>
      <c r="AW36" s="85">
        <v>9850.3195452022392</v>
      </c>
      <c r="AX36" s="85">
        <v>9850.3195452022392</v>
      </c>
      <c r="AY36" s="85">
        <v>9850.3195452022392</v>
      </c>
      <c r="AZ36" s="85">
        <v>9850.3195452022392</v>
      </c>
      <c r="BA36" s="85">
        <v>9850.3195452022392</v>
      </c>
      <c r="BC36" s="85">
        <v>9449.9949414654075</v>
      </c>
    </row>
    <row r="37" spans="1:55" s="85" customFormat="1" ht="15.75">
      <c r="A37" s="85" t="s">
        <v>164</v>
      </c>
      <c r="B37" s="85" t="s">
        <v>168</v>
      </c>
      <c r="C37" s="85">
        <v>47403.3425431941</v>
      </c>
      <c r="D37" s="85">
        <v>47370.819333551997</v>
      </c>
      <c r="E37" s="85">
        <v>47338.2961239098</v>
      </c>
      <c r="F37" s="85">
        <v>47305.772914267603</v>
      </c>
      <c r="G37" s="85">
        <v>47273.249704625399</v>
      </c>
      <c r="H37" s="85">
        <v>47240.726494983202</v>
      </c>
      <c r="I37" s="85">
        <v>47313.685103101299</v>
      </c>
      <c r="J37" s="85">
        <v>47386.643711219403</v>
      </c>
      <c r="K37" s="85">
        <v>47459.602319337399</v>
      </c>
      <c r="L37" s="85">
        <v>47532.560927455503</v>
      </c>
      <c r="M37" s="85">
        <v>47605.5195355736</v>
      </c>
      <c r="N37" s="85">
        <v>47813.840253793001</v>
      </c>
      <c r="O37" s="85">
        <v>48022.160972012498</v>
      </c>
      <c r="P37" s="85">
        <v>48230.4816902319</v>
      </c>
      <c r="Q37" s="85">
        <v>48438.802408451404</v>
      </c>
      <c r="R37" s="85">
        <v>48647.123126670798</v>
      </c>
      <c r="S37" s="85">
        <v>49000.982680654299</v>
      </c>
      <c r="T37" s="85">
        <v>49354.842234637799</v>
      </c>
      <c r="U37" s="85">
        <v>49708.7017886213</v>
      </c>
      <c r="V37" s="85">
        <v>50062.5613426048</v>
      </c>
      <c r="W37" s="85">
        <v>50416.420896588301</v>
      </c>
      <c r="X37" s="85">
        <v>50436.5317338143</v>
      </c>
      <c r="Y37" s="85">
        <v>50456.642571040204</v>
      </c>
      <c r="Z37" s="85">
        <v>50476.753408266202</v>
      </c>
      <c r="AA37" s="85">
        <v>50496.864245492099</v>
      </c>
      <c r="AB37" s="85">
        <v>50516.975082718098</v>
      </c>
      <c r="AC37" s="85">
        <v>50482.10912501</v>
      </c>
      <c r="AD37" s="85">
        <v>50447.243167301902</v>
      </c>
      <c r="AE37" s="85">
        <v>50412.377209593797</v>
      </c>
      <c r="AF37" s="85">
        <v>50377.5112518858</v>
      </c>
      <c r="AG37" s="85">
        <v>50342.645294177702</v>
      </c>
      <c r="AH37" s="85">
        <v>50354.0822247123</v>
      </c>
      <c r="AI37" s="85">
        <v>50365.519155246897</v>
      </c>
      <c r="AJ37" s="85">
        <v>50376.956085781399</v>
      </c>
      <c r="AK37" s="85">
        <v>50388.393016315997</v>
      </c>
      <c r="AL37" s="85">
        <v>50399.829946850601</v>
      </c>
      <c r="AM37" s="85">
        <v>50409.758310406403</v>
      </c>
      <c r="AN37" s="85">
        <v>50419.686673962198</v>
      </c>
      <c r="AO37" s="85">
        <v>50429.615037518</v>
      </c>
      <c r="AP37" s="85">
        <v>50439.543401073803</v>
      </c>
      <c r="AQ37" s="85">
        <v>50449.471764629598</v>
      </c>
      <c r="AR37" s="85">
        <v>50449.471764629598</v>
      </c>
      <c r="AS37" s="85">
        <v>50449.471764629598</v>
      </c>
      <c r="AT37" s="85">
        <v>50449.471764629598</v>
      </c>
      <c r="AU37" s="85">
        <v>50449.471764629598</v>
      </c>
      <c r="AV37" s="85">
        <v>50449.471764629598</v>
      </c>
      <c r="AW37" s="85">
        <v>50449.471764629598</v>
      </c>
      <c r="AX37" s="85">
        <v>50449.471764629598</v>
      </c>
      <c r="AY37" s="85">
        <v>50449.471764629598</v>
      </c>
      <c r="AZ37" s="85">
        <v>50449.471764629598</v>
      </c>
      <c r="BA37" s="85">
        <v>50449.471764629598</v>
      </c>
      <c r="BC37" s="85">
        <v>49876.035846764251</v>
      </c>
    </row>
    <row r="38" spans="1:55" s="85" customFormat="1" ht="15.75">
      <c r="A38" s="12" t="s">
        <v>150</v>
      </c>
      <c r="B38" s="85" t="s">
        <v>169</v>
      </c>
      <c r="C38" s="85">
        <v>46342.194513281</v>
      </c>
      <c r="D38" s="85">
        <v>46524.799897631303</v>
      </c>
      <c r="E38" s="85">
        <v>46707.405281981599</v>
      </c>
      <c r="F38" s="85">
        <v>46890.010666331997</v>
      </c>
      <c r="G38" s="85">
        <v>47072.6160506823</v>
      </c>
      <c r="H38" s="85">
        <v>47255.221435032698</v>
      </c>
      <c r="I38" s="85">
        <v>47488.017480245799</v>
      </c>
      <c r="J38" s="85">
        <v>47720.813525459002</v>
      </c>
      <c r="K38" s="85">
        <v>47953.609570672197</v>
      </c>
      <c r="L38" s="85">
        <v>48186.405615885298</v>
      </c>
      <c r="M38" s="85">
        <v>48419.201661098501</v>
      </c>
      <c r="N38" s="85">
        <v>48697.120556422902</v>
      </c>
      <c r="O38" s="85">
        <v>48975.039451747398</v>
      </c>
      <c r="P38" s="85">
        <v>49252.958347071799</v>
      </c>
      <c r="Q38" s="85">
        <v>49530.8772423962</v>
      </c>
      <c r="R38" s="85">
        <v>49808.796137720703</v>
      </c>
      <c r="S38" s="85">
        <v>50037.092172565797</v>
      </c>
      <c r="T38" s="85">
        <v>50265.388207411001</v>
      </c>
      <c r="U38" s="85">
        <v>50493.684242256102</v>
      </c>
      <c r="V38" s="85">
        <v>50721.980277101298</v>
      </c>
      <c r="W38" s="85">
        <v>50950.2763119464</v>
      </c>
      <c r="X38" s="85">
        <v>50863.640684938699</v>
      </c>
      <c r="Y38" s="85">
        <v>50777.005057930903</v>
      </c>
      <c r="Z38" s="85">
        <v>50690.3694309231</v>
      </c>
      <c r="AA38" s="85">
        <v>50603.733803915398</v>
      </c>
      <c r="AB38" s="85">
        <v>50517.098176907602</v>
      </c>
      <c r="AC38" s="85">
        <v>50482.235228493199</v>
      </c>
      <c r="AD38" s="85">
        <v>50447.3722800787</v>
      </c>
      <c r="AE38" s="85">
        <v>50412.509331664303</v>
      </c>
      <c r="AF38" s="85">
        <v>50377.646383249899</v>
      </c>
      <c r="AG38" s="85">
        <v>50342.783434835503</v>
      </c>
      <c r="AH38" s="85">
        <v>50354.217722337198</v>
      </c>
      <c r="AI38" s="85">
        <v>50365.652009838799</v>
      </c>
      <c r="AJ38" s="85">
        <v>50377.086297340502</v>
      </c>
      <c r="AK38" s="85">
        <v>50388.520584842197</v>
      </c>
      <c r="AL38" s="85">
        <v>50399.9548723439</v>
      </c>
      <c r="AM38" s="85">
        <v>50409.8910974135</v>
      </c>
      <c r="AN38" s="85">
        <v>50419.827322483201</v>
      </c>
      <c r="AO38" s="85">
        <v>50429.7635475528</v>
      </c>
      <c r="AP38" s="85">
        <v>50439.699772622502</v>
      </c>
      <c r="AQ38" s="85">
        <v>50449.635997692203</v>
      </c>
      <c r="AR38" s="85">
        <v>50449.635997692203</v>
      </c>
      <c r="AS38" s="85">
        <v>50449.635997692203</v>
      </c>
      <c r="AT38" s="85">
        <v>50449.635997692203</v>
      </c>
      <c r="AU38" s="85">
        <v>50449.635997692203</v>
      </c>
      <c r="AV38" s="85">
        <v>50449.635997692203</v>
      </c>
      <c r="AW38" s="85">
        <v>50449.635997692203</v>
      </c>
      <c r="AX38" s="85">
        <v>50449.635997692203</v>
      </c>
      <c r="AY38" s="85">
        <v>50449.635997692203</v>
      </c>
      <c r="AZ38" s="85">
        <v>50449.635997692203</v>
      </c>
      <c r="BA38" s="85">
        <v>50449.635997692203</v>
      </c>
      <c r="BC38" s="85">
        <v>48998.777404870685</v>
      </c>
    </row>
    <row r="39" spans="1:55" s="85" customFormat="1" ht="15.75">
      <c r="A39" s="12" t="s">
        <v>150</v>
      </c>
      <c r="B39" s="85" t="s">
        <v>170</v>
      </c>
      <c r="C39" s="85">
        <v>47278.1584279175</v>
      </c>
      <c r="D39" s="85">
        <v>47569.074100935803</v>
      </c>
      <c r="E39" s="85">
        <v>47859.989773954097</v>
      </c>
      <c r="F39" s="85">
        <v>48150.9054469724</v>
      </c>
      <c r="G39" s="85">
        <v>48441.821119990702</v>
      </c>
      <c r="H39" s="85">
        <v>48732.736793008997</v>
      </c>
      <c r="I39" s="85">
        <v>48956.526623976002</v>
      </c>
      <c r="J39" s="85">
        <v>49180.316454943102</v>
      </c>
      <c r="K39" s="85">
        <v>49404.1062859101</v>
      </c>
      <c r="L39" s="85">
        <v>49627.8961168772</v>
      </c>
      <c r="M39" s="85">
        <v>49851.685947844198</v>
      </c>
      <c r="N39" s="85">
        <v>49992.597794347399</v>
      </c>
      <c r="O39" s="85">
        <v>50133.5096408506</v>
      </c>
      <c r="P39" s="85">
        <v>50274.4214873538</v>
      </c>
      <c r="Q39" s="85">
        <v>50415.333333857001</v>
      </c>
      <c r="R39" s="85">
        <v>50556.245180360202</v>
      </c>
      <c r="S39" s="85">
        <v>50632.372515471499</v>
      </c>
      <c r="T39" s="85">
        <v>50708.499850582797</v>
      </c>
      <c r="U39" s="85">
        <v>50784.627185694102</v>
      </c>
      <c r="V39" s="85">
        <v>50860.7545208054</v>
      </c>
      <c r="W39" s="85">
        <v>50936.881855916698</v>
      </c>
      <c r="X39" s="85">
        <v>50852.920852365198</v>
      </c>
      <c r="Y39" s="85">
        <v>50768.959848813698</v>
      </c>
      <c r="Z39" s="85">
        <v>50684.9988452623</v>
      </c>
      <c r="AA39" s="85">
        <v>50601.0378417108</v>
      </c>
      <c r="AB39" s="85">
        <v>50517.076838159403</v>
      </c>
      <c r="AC39" s="85">
        <v>50482.206494930797</v>
      </c>
      <c r="AD39" s="85">
        <v>50447.3361517023</v>
      </c>
      <c r="AE39" s="85">
        <v>50412.465808473702</v>
      </c>
      <c r="AF39" s="85">
        <v>50377.595465245198</v>
      </c>
      <c r="AG39" s="85">
        <v>50342.725122016702</v>
      </c>
      <c r="AH39" s="85">
        <v>50354.162869706503</v>
      </c>
      <c r="AI39" s="85">
        <v>50365.600617396398</v>
      </c>
      <c r="AJ39" s="85">
        <v>50377.0383650863</v>
      </c>
      <c r="AK39" s="85">
        <v>50388.476112776101</v>
      </c>
      <c r="AL39" s="85">
        <v>50399.913860465997</v>
      </c>
      <c r="AM39" s="85">
        <v>50409.8556951274</v>
      </c>
      <c r="AN39" s="85">
        <v>50419.797529788797</v>
      </c>
      <c r="AO39" s="85">
        <v>50429.739364450201</v>
      </c>
      <c r="AP39" s="85">
        <v>50439.681199111699</v>
      </c>
      <c r="AQ39" s="85">
        <v>50449.623033773103</v>
      </c>
      <c r="AR39" s="85">
        <v>50449.623033773103</v>
      </c>
      <c r="AS39" s="85">
        <v>50449.623033773103</v>
      </c>
      <c r="AT39" s="85">
        <v>50449.623033773103</v>
      </c>
      <c r="AU39" s="85">
        <v>50449.623033773103</v>
      </c>
      <c r="AV39" s="85">
        <v>50449.623033773103</v>
      </c>
      <c r="AW39" s="85">
        <v>50449.623033773103</v>
      </c>
      <c r="AX39" s="85">
        <v>50449.623033773103</v>
      </c>
      <c r="AY39" s="85">
        <v>50449.623033773103</v>
      </c>
      <c r="AZ39" s="85">
        <v>50449.623033773103</v>
      </c>
      <c r="BA39" s="85">
        <v>50449.623033773103</v>
      </c>
      <c r="BC39" s="85">
        <v>48193.856381193618</v>
      </c>
    </row>
    <row r="40" spans="1:55" s="85" customFormat="1" ht="15.75">
      <c r="A40" s="12" t="s">
        <v>147</v>
      </c>
      <c r="B40" s="85" t="s">
        <v>171</v>
      </c>
      <c r="C40" s="85">
        <v>16553.996349754801</v>
      </c>
      <c r="D40" s="85">
        <v>16490.0208218193</v>
      </c>
      <c r="E40" s="85">
        <v>16426.045293883901</v>
      </c>
      <c r="F40" s="85">
        <v>16362.069765948399</v>
      </c>
      <c r="G40" s="85">
        <v>16298.094238013</v>
      </c>
      <c r="H40" s="85">
        <v>16234.118710077601</v>
      </c>
      <c r="I40" s="85">
        <v>16231.1416573607</v>
      </c>
      <c r="J40" s="85">
        <v>16228.1646046439</v>
      </c>
      <c r="K40" s="85">
        <v>16225.187551927</v>
      </c>
      <c r="L40" s="85">
        <v>16222.210499210199</v>
      </c>
      <c r="M40" s="85">
        <v>16219.233446493399</v>
      </c>
      <c r="N40" s="85">
        <v>16279.774472630001</v>
      </c>
      <c r="O40" s="85">
        <v>16340.3154987665</v>
      </c>
      <c r="P40" s="85">
        <v>16400.856524903102</v>
      </c>
      <c r="Q40" s="85">
        <v>16461.397551039699</v>
      </c>
      <c r="R40" s="85">
        <v>16521.938577176301</v>
      </c>
      <c r="S40" s="85">
        <v>16649.0811900755</v>
      </c>
      <c r="T40" s="85">
        <v>16776.223802974699</v>
      </c>
      <c r="U40" s="85">
        <v>16903.366415873901</v>
      </c>
      <c r="V40" s="85">
        <v>17030.5090287731</v>
      </c>
      <c r="W40" s="85">
        <v>17157.651641672299</v>
      </c>
      <c r="X40" s="85">
        <v>17212.593460200598</v>
      </c>
      <c r="Y40" s="85">
        <v>17267.535278728799</v>
      </c>
      <c r="Z40" s="85">
        <v>17322.477097257099</v>
      </c>
      <c r="AA40" s="85">
        <v>17377.418915785402</v>
      </c>
      <c r="AB40" s="85">
        <v>17432.360734313701</v>
      </c>
      <c r="AC40" s="85">
        <v>17419.187550922499</v>
      </c>
      <c r="AD40" s="85">
        <v>17406.014367531399</v>
      </c>
      <c r="AE40" s="85">
        <v>17392.841184140299</v>
      </c>
      <c r="AF40" s="85">
        <v>17379.668000749101</v>
      </c>
      <c r="AG40" s="85">
        <v>17366.494817358001</v>
      </c>
      <c r="AH40" s="85">
        <v>17369.148701652699</v>
      </c>
      <c r="AI40" s="85">
        <v>17371.8025859474</v>
      </c>
      <c r="AJ40" s="85">
        <v>17374.456470242101</v>
      </c>
      <c r="AK40" s="85">
        <v>17377.110354536799</v>
      </c>
      <c r="AL40" s="85">
        <v>17379.7642388315</v>
      </c>
      <c r="AM40" s="85">
        <v>17382.863465345799</v>
      </c>
      <c r="AN40" s="85">
        <v>17385.962691860099</v>
      </c>
      <c r="AO40" s="85">
        <v>17389.061918374398</v>
      </c>
      <c r="AP40" s="85">
        <v>17392.161144888702</v>
      </c>
      <c r="AQ40" s="85">
        <v>17395.260371403001</v>
      </c>
      <c r="AR40" s="85">
        <v>17395.260371403001</v>
      </c>
      <c r="AS40" s="85">
        <v>17395.260371403001</v>
      </c>
      <c r="AT40" s="85">
        <v>17395.260371403001</v>
      </c>
      <c r="AU40" s="85">
        <v>17395.260371403001</v>
      </c>
      <c r="AV40" s="85">
        <v>17395.260371403001</v>
      </c>
      <c r="AW40" s="85">
        <v>17395.260371403001</v>
      </c>
      <c r="AX40" s="85">
        <v>17395.260371403001</v>
      </c>
      <c r="AY40" s="85">
        <v>17395.260371403001</v>
      </c>
      <c r="AZ40" s="85">
        <v>17395.260371403001</v>
      </c>
      <c r="BA40" s="85">
        <v>17395.260371403001</v>
      </c>
      <c r="BC40" s="85">
        <v>16842.299684166632</v>
      </c>
    </row>
    <row r="41" spans="1:55" s="85" customFormat="1" ht="15.75">
      <c r="A41" s="12" t="s">
        <v>149</v>
      </c>
      <c r="B41" s="85" t="s">
        <v>172</v>
      </c>
      <c r="C41" s="85">
        <v>16570.754794578301</v>
      </c>
      <c r="D41" s="85">
        <v>16622.4153990339</v>
      </c>
      <c r="E41" s="85">
        <v>16674.076003489401</v>
      </c>
      <c r="F41" s="85">
        <v>16725.736607945</v>
      </c>
      <c r="G41" s="85">
        <v>16777.3972124006</v>
      </c>
      <c r="H41" s="85">
        <v>16829.057816856101</v>
      </c>
      <c r="I41" s="85">
        <v>16868.7637990484</v>
      </c>
      <c r="J41" s="85">
        <v>16908.469781240699</v>
      </c>
      <c r="K41" s="85">
        <v>16948.175763432999</v>
      </c>
      <c r="L41" s="85">
        <v>16987.881745625298</v>
      </c>
      <c r="M41" s="85">
        <v>17027.587727817601</v>
      </c>
      <c r="N41" s="85">
        <v>17080.179941132999</v>
      </c>
      <c r="O41" s="85">
        <v>17132.772154448401</v>
      </c>
      <c r="P41" s="85">
        <v>17185.364367763799</v>
      </c>
      <c r="Q41" s="85">
        <v>17237.956581079201</v>
      </c>
      <c r="R41" s="85">
        <v>17290.548794394599</v>
      </c>
      <c r="S41" s="85">
        <v>17338.470504758399</v>
      </c>
      <c r="T41" s="85">
        <v>17386.3922151222</v>
      </c>
      <c r="U41" s="85">
        <v>17434.313925485902</v>
      </c>
      <c r="V41" s="85">
        <v>17482.235635849702</v>
      </c>
      <c r="W41" s="85">
        <v>17530.1573462134</v>
      </c>
      <c r="X41" s="85">
        <v>17510.593600268901</v>
      </c>
      <c r="Y41" s="85">
        <v>17491.029854324301</v>
      </c>
      <c r="Z41" s="85">
        <v>17471.466108379798</v>
      </c>
      <c r="AA41" s="85">
        <v>17451.902362435201</v>
      </c>
      <c r="AB41" s="85">
        <v>17432.338616490601</v>
      </c>
      <c r="AC41" s="85">
        <v>17419.1652077334</v>
      </c>
      <c r="AD41" s="85">
        <v>17405.9917989762</v>
      </c>
      <c r="AE41" s="85">
        <v>17392.818390218999</v>
      </c>
      <c r="AF41" s="85">
        <v>17379.644981461701</v>
      </c>
      <c r="AG41" s="85">
        <v>17366.4715727045</v>
      </c>
      <c r="AH41" s="85">
        <v>17369.1280221659</v>
      </c>
      <c r="AI41" s="85">
        <v>17371.784471627299</v>
      </c>
      <c r="AJ41" s="85">
        <v>17374.440921088699</v>
      </c>
      <c r="AK41" s="85">
        <v>17377.097370550098</v>
      </c>
      <c r="AL41" s="85">
        <v>17379.753820011501</v>
      </c>
      <c r="AM41" s="85">
        <v>17382.852288731701</v>
      </c>
      <c r="AN41" s="85">
        <v>17385.950757451799</v>
      </c>
      <c r="AO41" s="85">
        <v>17389.049226171999</v>
      </c>
      <c r="AP41" s="85">
        <v>17392.147694892101</v>
      </c>
      <c r="AQ41" s="85">
        <v>17395.246163612301</v>
      </c>
      <c r="AR41" s="85">
        <v>17395.246163612301</v>
      </c>
      <c r="AS41" s="85">
        <v>17395.246163612301</v>
      </c>
      <c r="AT41" s="85">
        <v>17395.246163612301</v>
      </c>
      <c r="AU41" s="85">
        <v>17395.246163612301</v>
      </c>
      <c r="AV41" s="85">
        <v>17395.246163612301</v>
      </c>
      <c r="AW41" s="85">
        <v>17395.246163612301</v>
      </c>
      <c r="AX41" s="85">
        <v>17395.246163612301</v>
      </c>
      <c r="AY41" s="85">
        <v>17395.246163612301</v>
      </c>
      <c r="AZ41" s="85">
        <v>17395.246163612301</v>
      </c>
      <c r="BA41" s="85">
        <v>17395.246163612301</v>
      </c>
      <c r="BC41" s="85">
        <v>16665.30579126858</v>
      </c>
    </row>
    <row r="42" spans="1:55" s="85" customFormat="1" ht="15.75">
      <c r="A42" s="12" t="s">
        <v>149</v>
      </c>
      <c r="B42" s="85" t="s">
        <v>173</v>
      </c>
      <c r="C42" s="85">
        <v>16704.542098382299</v>
      </c>
      <c r="D42" s="85">
        <v>16744.325322286499</v>
      </c>
      <c r="E42" s="85">
        <v>16784.108546190699</v>
      </c>
      <c r="F42" s="85">
        <v>16823.8917700948</v>
      </c>
      <c r="G42" s="85">
        <v>16863.674993999</v>
      </c>
      <c r="H42" s="85">
        <v>16903.458217903099</v>
      </c>
      <c r="I42" s="85">
        <v>16930.0178621267</v>
      </c>
      <c r="J42" s="85">
        <v>16956.577506350299</v>
      </c>
      <c r="K42" s="85">
        <v>16983.137150573799</v>
      </c>
      <c r="L42" s="85">
        <v>17009.696794797401</v>
      </c>
      <c r="M42" s="85">
        <v>17036.256439020999</v>
      </c>
      <c r="N42" s="85">
        <v>17092.802504269799</v>
      </c>
      <c r="O42" s="85">
        <v>17149.348569518501</v>
      </c>
      <c r="P42" s="85">
        <v>17205.894634767301</v>
      </c>
      <c r="Q42" s="85">
        <v>17262.440700016101</v>
      </c>
      <c r="R42" s="85">
        <v>17318.986765264901</v>
      </c>
      <c r="S42" s="85">
        <v>17364.257959149501</v>
      </c>
      <c r="T42" s="85">
        <v>17409.529153034098</v>
      </c>
      <c r="U42" s="85">
        <v>17454.800346918801</v>
      </c>
      <c r="V42" s="85">
        <v>17500.071540803401</v>
      </c>
      <c r="W42" s="85">
        <v>17545.342734688002</v>
      </c>
      <c r="X42" s="85">
        <v>17522.7431531449</v>
      </c>
      <c r="Y42" s="85">
        <v>17500.143571601799</v>
      </c>
      <c r="Z42" s="85">
        <v>17477.543990058701</v>
      </c>
      <c r="AA42" s="85">
        <v>17454.944408515501</v>
      </c>
      <c r="AB42" s="85">
        <v>17432.344826972399</v>
      </c>
      <c r="AC42" s="85">
        <v>17419.170605622599</v>
      </c>
      <c r="AD42" s="85">
        <v>17405.996384272799</v>
      </c>
      <c r="AE42" s="85">
        <v>17392.822162922999</v>
      </c>
      <c r="AF42" s="85">
        <v>17379.647941573199</v>
      </c>
      <c r="AG42" s="85">
        <v>17366.473720223399</v>
      </c>
      <c r="AH42" s="85">
        <v>17369.1279193954</v>
      </c>
      <c r="AI42" s="85">
        <v>17371.7821185674</v>
      </c>
      <c r="AJ42" s="85">
        <v>17374.436317739401</v>
      </c>
      <c r="AK42" s="85">
        <v>17377.090516911499</v>
      </c>
      <c r="AL42" s="85">
        <v>17379.7447160835</v>
      </c>
      <c r="AM42" s="85">
        <v>17382.842621448199</v>
      </c>
      <c r="AN42" s="85">
        <v>17385.940526812999</v>
      </c>
      <c r="AO42" s="85">
        <v>17389.038432177698</v>
      </c>
      <c r="AP42" s="85">
        <v>17392.136337542499</v>
      </c>
      <c r="AQ42" s="85">
        <v>17395.234242907201</v>
      </c>
      <c r="AR42" s="85">
        <v>17395.234242907201</v>
      </c>
      <c r="AS42" s="85">
        <v>17395.234242907201</v>
      </c>
      <c r="AT42" s="85">
        <v>17395.234242907201</v>
      </c>
      <c r="AU42" s="85">
        <v>17395.234242907201</v>
      </c>
      <c r="AV42" s="85">
        <v>17395.234242907201</v>
      </c>
      <c r="AW42" s="85">
        <v>17395.234242907201</v>
      </c>
      <c r="AX42" s="85">
        <v>17395.234242907201</v>
      </c>
      <c r="AY42" s="85">
        <v>17395.234242907201</v>
      </c>
      <c r="AZ42" s="85">
        <v>17395.234242907201</v>
      </c>
      <c r="BA42" s="85">
        <v>17395.234242907201</v>
      </c>
      <c r="BC42" s="85">
        <v>16757.077087471102</v>
      </c>
    </row>
    <row r="43" spans="1:55" s="85" customFormat="1" ht="15.75">
      <c r="A43" s="12" t="s">
        <v>147</v>
      </c>
      <c r="B43" s="85" t="s">
        <v>174</v>
      </c>
      <c r="C43" s="85">
        <v>48680.059179703101</v>
      </c>
      <c r="D43" s="85">
        <v>48531.565439054502</v>
      </c>
      <c r="E43" s="85">
        <v>48383.071698405802</v>
      </c>
      <c r="F43" s="85">
        <v>48234.577957757203</v>
      </c>
      <c r="G43" s="85">
        <v>48086.084217108597</v>
      </c>
      <c r="H43" s="85">
        <v>47937.590476459998</v>
      </c>
      <c r="I43" s="85">
        <v>47927.115820955602</v>
      </c>
      <c r="J43" s="85">
        <v>47916.641165451198</v>
      </c>
      <c r="K43" s="85">
        <v>47906.166509946699</v>
      </c>
      <c r="L43" s="85">
        <v>47895.691854442302</v>
      </c>
      <c r="M43" s="85">
        <v>47885.217198937899</v>
      </c>
      <c r="N43" s="85">
        <v>47968.700590354703</v>
      </c>
      <c r="O43" s="85">
        <v>48052.183981771501</v>
      </c>
      <c r="P43" s="85">
        <v>48135.667373188298</v>
      </c>
      <c r="Q43" s="85">
        <v>48219.150764605103</v>
      </c>
      <c r="R43" s="85">
        <v>48302.634156021901</v>
      </c>
      <c r="S43" s="85">
        <v>48572.493863907002</v>
      </c>
      <c r="T43" s="85">
        <v>48842.353571792097</v>
      </c>
      <c r="U43" s="85">
        <v>49112.213279677198</v>
      </c>
      <c r="V43" s="85">
        <v>49382.0729875623</v>
      </c>
      <c r="W43" s="85">
        <v>49651.932695447402</v>
      </c>
      <c r="X43" s="85">
        <v>49714.262858998103</v>
      </c>
      <c r="Y43" s="85">
        <v>49776.593022548797</v>
      </c>
      <c r="Z43" s="85">
        <v>49838.923186099499</v>
      </c>
      <c r="AA43" s="85">
        <v>49901.2533496502</v>
      </c>
      <c r="AB43" s="85">
        <v>49963.583513200902</v>
      </c>
      <c r="AC43" s="85">
        <v>49892.910659401299</v>
      </c>
      <c r="AD43" s="85">
        <v>49822.237805601799</v>
      </c>
      <c r="AE43" s="85">
        <v>49751.564951802298</v>
      </c>
      <c r="AF43" s="85">
        <v>49680.892098002798</v>
      </c>
      <c r="AG43" s="85">
        <v>49610.219244203297</v>
      </c>
      <c r="AH43" s="85">
        <v>49619.684017236097</v>
      </c>
      <c r="AI43" s="85">
        <v>49629.148790268999</v>
      </c>
      <c r="AJ43" s="85">
        <v>49638.6135633019</v>
      </c>
      <c r="AK43" s="85">
        <v>49648.078336334802</v>
      </c>
      <c r="AL43" s="85">
        <v>49657.543109367602</v>
      </c>
      <c r="AM43" s="85">
        <v>49669.802400022898</v>
      </c>
      <c r="AN43" s="85">
        <v>49682.061690678202</v>
      </c>
      <c r="AO43" s="85">
        <v>49694.3209813336</v>
      </c>
      <c r="AP43" s="85">
        <v>49706.580271988903</v>
      </c>
      <c r="AQ43" s="85">
        <v>49718.8395626442</v>
      </c>
      <c r="AR43" s="85">
        <v>49718.8395626442</v>
      </c>
      <c r="AS43" s="85">
        <v>49718.8395626442</v>
      </c>
      <c r="AT43" s="85">
        <v>49718.8395626442</v>
      </c>
      <c r="AU43" s="85">
        <v>49718.8395626442</v>
      </c>
      <c r="AV43" s="85">
        <v>49718.8395626442</v>
      </c>
      <c r="AW43" s="85">
        <v>49718.8395626442</v>
      </c>
      <c r="AX43" s="85">
        <v>49718.8395626442</v>
      </c>
      <c r="AY43" s="85">
        <v>49718.8395626442</v>
      </c>
      <c r="AZ43" s="85">
        <v>49718.8395626442</v>
      </c>
      <c r="BA43" s="85">
        <v>49718.8395626442</v>
      </c>
      <c r="BC43" s="85">
        <v>49997.893522427854</v>
      </c>
    </row>
    <row r="44" spans="1:55" s="85" customFormat="1" ht="15.75">
      <c r="A44" s="12" t="s">
        <v>148</v>
      </c>
      <c r="B44" s="85" t="s">
        <v>175</v>
      </c>
      <c r="C44" s="85">
        <v>48928.255233450298</v>
      </c>
      <c r="D44" s="85">
        <v>48905.9512639452</v>
      </c>
      <c r="E44" s="85">
        <v>48883.647294440001</v>
      </c>
      <c r="F44" s="85">
        <v>48861.343324934896</v>
      </c>
      <c r="G44" s="85">
        <v>48839.039355429697</v>
      </c>
      <c r="H44" s="85">
        <v>48816.7353859246</v>
      </c>
      <c r="I44" s="85">
        <v>48853.189681665601</v>
      </c>
      <c r="J44" s="85">
        <v>48889.643977406697</v>
      </c>
      <c r="K44" s="85">
        <v>48926.098273147698</v>
      </c>
      <c r="L44" s="85">
        <v>48962.552568888801</v>
      </c>
      <c r="M44" s="85">
        <v>48999.006864629802</v>
      </c>
      <c r="N44" s="85">
        <v>49142.051968313703</v>
      </c>
      <c r="O44" s="85">
        <v>49285.097071997698</v>
      </c>
      <c r="P44" s="85">
        <v>49428.142175681598</v>
      </c>
      <c r="Q44" s="85">
        <v>49571.187279365498</v>
      </c>
      <c r="R44" s="85">
        <v>49714.232383049399</v>
      </c>
      <c r="S44" s="85">
        <v>49870.381640020802</v>
      </c>
      <c r="T44" s="85">
        <v>50026.530896992299</v>
      </c>
      <c r="U44" s="85">
        <v>50182.680153963702</v>
      </c>
      <c r="V44" s="85">
        <v>50338.829410935097</v>
      </c>
      <c r="W44" s="85">
        <v>50494.9786679065</v>
      </c>
      <c r="X44" s="85">
        <v>50388.725495065999</v>
      </c>
      <c r="Y44" s="85">
        <v>50282.472322225498</v>
      </c>
      <c r="Z44" s="85">
        <v>50176.219149384902</v>
      </c>
      <c r="AA44" s="85">
        <v>50069.965976544401</v>
      </c>
      <c r="AB44" s="85">
        <v>49963.712803703798</v>
      </c>
      <c r="AC44" s="85">
        <v>49893.036372125403</v>
      </c>
      <c r="AD44" s="85">
        <v>49822.359940547001</v>
      </c>
      <c r="AE44" s="85">
        <v>49751.683508968599</v>
      </c>
      <c r="AF44" s="85">
        <v>49681.007077390197</v>
      </c>
      <c r="AG44" s="85">
        <v>49610.3306458117</v>
      </c>
      <c r="AH44" s="85">
        <v>49619.803571141398</v>
      </c>
      <c r="AI44" s="85">
        <v>49629.276496471102</v>
      </c>
      <c r="AJ44" s="85">
        <v>49638.7494218008</v>
      </c>
      <c r="AK44" s="85">
        <v>49648.222347130497</v>
      </c>
      <c r="AL44" s="85">
        <v>49657.695272460202</v>
      </c>
      <c r="AM44" s="85">
        <v>49669.9530566182</v>
      </c>
      <c r="AN44" s="85">
        <v>49682.210840776199</v>
      </c>
      <c r="AO44" s="85">
        <v>49694.468624934198</v>
      </c>
      <c r="AP44" s="85">
        <v>49706.726409092298</v>
      </c>
      <c r="AQ44" s="85">
        <v>49718.984193250297</v>
      </c>
      <c r="AR44" s="85">
        <v>49718.984193250297</v>
      </c>
      <c r="AS44" s="85">
        <v>49718.984193250297</v>
      </c>
      <c r="AT44" s="85">
        <v>49718.984193250297</v>
      </c>
      <c r="AU44" s="85">
        <v>49718.984193250297</v>
      </c>
      <c r="AV44" s="85">
        <v>49718.984193250297</v>
      </c>
      <c r="AW44" s="85">
        <v>49718.984193250297</v>
      </c>
      <c r="AX44" s="85">
        <v>49718.984193250297</v>
      </c>
      <c r="AY44" s="85">
        <v>49718.984193250297</v>
      </c>
      <c r="AZ44" s="85">
        <v>49718.984193250297</v>
      </c>
      <c r="BA44" s="85">
        <v>49718.984193250297</v>
      </c>
      <c r="BC44" s="85">
        <v>49806.329843386644</v>
      </c>
    </row>
    <row r="45" spans="1:55" s="85" customFormat="1" ht="15.75">
      <c r="A45" s="12" t="s">
        <v>148</v>
      </c>
      <c r="B45" s="85" t="s">
        <v>176</v>
      </c>
      <c r="C45" s="85">
        <v>41840.8040271758</v>
      </c>
      <c r="D45" s="85">
        <v>40833.384495642596</v>
      </c>
      <c r="E45" s="85">
        <v>39825.964964109298</v>
      </c>
      <c r="F45" s="85">
        <v>38818.545432576102</v>
      </c>
      <c r="G45" s="85">
        <v>37811.125901042898</v>
      </c>
      <c r="H45" s="85">
        <v>36803.7063695096</v>
      </c>
      <c r="I45" s="85">
        <v>35882.5363325976</v>
      </c>
      <c r="J45" s="85">
        <v>34961.366295685497</v>
      </c>
      <c r="K45" s="85">
        <v>34040.196258773401</v>
      </c>
      <c r="L45" s="85">
        <v>33119.026221861401</v>
      </c>
      <c r="M45" s="85">
        <v>32197.856184949302</v>
      </c>
      <c r="N45" s="85">
        <v>31358.835275197402</v>
      </c>
      <c r="O45" s="85">
        <v>30519.814365445502</v>
      </c>
      <c r="P45" s="85">
        <v>29680.793455693602</v>
      </c>
      <c r="Q45" s="85">
        <v>28841.772545941702</v>
      </c>
      <c r="R45" s="85">
        <v>28002.751636189802</v>
      </c>
      <c r="S45" s="85">
        <v>28002.751636189802</v>
      </c>
      <c r="T45" s="85">
        <v>28002.751636189802</v>
      </c>
      <c r="U45" s="85">
        <v>28002.751636189802</v>
      </c>
      <c r="V45" s="85">
        <v>28002.751636189802</v>
      </c>
      <c r="W45" s="85">
        <v>28002.751636189802</v>
      </c>
      <c r="X45" s="85">
        <v>28002.751636189802</v>
      </c>
      <c r="Y45" s="85">
        <v>28002.751636189802</v>
      </c>
      <c r="Z45" s="85">
        <v>28002.751636189802</v>
      </c>
      <c r="AA45" s="85">
        <v>28002.751636189802</v>
      </c>
      <c r="AB45" s="85">
        <v>28002.751636189802</v>
      </c>
      <c r="AC45" s="85">
        <v>28002.751636189802</v>
      </c>
      <c r="AD45" s="85">
        <v>28002.751636189802</v>
      </c>
      <c r="AE45" s="85">
        <v>28002.751636189802</v>
      </c>
      <c r="AF45" s="85">
        <v>28002.751636189802</v>
      </c>
      <c r="AG45" s="85">
        <v>28002.751636189802</v>
      </c>
      <c r="AH45" s="85">
        <v>28002.751636189802</v>
      </c>
      <c r="AI45" s="85">
        <v>28002.751636189802</v>
      </c>
      <c r="AJ45" s="85">
        <v>28002.751636189802</v>
      </c>
      <c r="AK45" s="85">
        <v>28002.751636189802</v>
      </c>
      <c r="AL45" s="85">
        <v>28002.751636189802</v>
      </c>
      <c r="AM45" s="85">
        <v>28002.751636189802</v>
      </c>
      <c r="AN45" s="85">
        <v>28002.751636189802</v>
      </c>
      <c r="AO45" s="85">
        <v>28002.751636189802</v>
      </c>
      <c r="AP45" s="85">
        <v>28002.751636189802</v>
      </c>
      <c r="AQ45" s="85">
        <v>28002.751636189802</v>
      </c>
      <c r="AR45" s="85">
        <v>28002.751636189802</v>
      </c>
      <c r="AS45" s="85">
        <v>28002.751636189802</v>
      </c>
      <c r="AT45" s="85">
        <v>28002.751636189802</v>
      </c>
      <c r="AU45" s="85">
        <v>28002.751636189802</v>
      </c>
      <c r="AV45" s="85">
        <v>28002.751636189802</v>
      </c>
      <c r="AW45" s="85">
        <v>28002.751636189802</v>
      </c>
      <c r="AX45" s="85">
        <v>28002.751636189802</v>
      </c>
      <c r="AY45" s="85">
        <v>28002.751636189802</v>
      </c>
      <c r="AZ45" s="85">
        <v>28002.751636189802</v>
      </c>
      <c r="BA45" s="85">
        <v>28002.751636189802</v>
      </c>
      <c r="BC45" s="85">
        <v>32848.683068259023</v>
      </c>
    </row>
    <row r="46" spans="1:55" s="85" customFormat="1" ht="15.75">
      <c r="A46" s="85" t="s">
        <v>164</v>
      </c>
      <c r="B46" s="85" t="s">
        <v>177</v>
      </c>
      <c r="C46" s="85">
        <v>50685.4623430063</v>
      </c>
      <c r="D46" s="85">
        <v>50583.8805170345</v>
      </c>
      <c r="E46" s="85">
        <v>50482.298691062599</v>
      </c>
      <c r="F46" s="85">
        <v>50380.716865090799</v>
      </c>
      <c r="G46" s="85">
        <v>50279.135039118897</v>
      </c>
      <c r="H46" s="85">
        <v>50177.553213147097</v>
      </c>
      <c r="I46" s="85">
        <v>50126.056446811002</v>
      </c>
      <c r="J46" s="85">
        <v>50074.559680475002</v>
      </c>
      <c r="K46" s="85">
        <v>50023.0629141389</v>
      </c>
      <c r="L46" s="85">
        <v>49971.566147802798</v>
      </c>
      <c r="M46" s="85">
        <v>49920.069381466797</v>
      </c>
      <c r="N46" s="85">
        <v>49971.697861011198</v>
      </c>
      <c r="O46" s="85">
        <v>50023.326340555599</v>
      </c>
      <c r="P46" s="85">
        <v>50074.954820099898</v>
      </c>
      <c r="Q46" s="85">
        <v>50126.583299644299</v>
      </c>
      <c r="R46" s="85">
        <v>50178.211779188699</v>
      </c>
      <c r="S46" s="85">
        <v>50243.600408327002</v>
      </c>
      <c r="T46" s="85">
        <v>50308.989037465297</v>
      </c>
      <c r="U46" s="85">
        <v>50374.377666603599</v>
      </c>
      <c r="V46" s="85">
        <v>50439.7662957418</v>
      </c>
      <c r="W46" s="85">
        <v>50505.154924880102</v>
      </c>
      <c r="X46" s="85">
        <v>50396.860215410503</v>
      </c>
      <c r="Y46" s="85">
        <v>50288.565505940802</v>
      </c>
      <c r="Z46" s="85">
        <v>50180.270796471203</v>
      </c>
      <c r="AA46" s="85">
        <v>50071.976087001603</v>
      </c>
      <c r="AB46" s="85">
        <v>49963.681377531902</v>
      </c>
      <c r="AC46" s="85">
        <v>49893.016098539498</v>
      </c>
      <c r="AD46" s="85">
        <v>49822.350819546999</v>
      </c>
      <c r="AE46" s="85">
        <v>49751.685540554499</v>
      </c>
      <c r="AF46" s="85">
        <v>49681.020261562102</v>
      </c>
      <c r="AG46" s="85">
        <v>49610.354982569603</v>
      </c>
      <c r="AH46" s="85">
        <v>49619.818479635702</v>
      </c>
      <c r="AI46" s="85">
        <v>49629.281976701699</v>
      </c>
      <c r="AJ46" s="85">
        <v>49638.745473767798</v>
      </c>
      <c r="AK46" s="85">
        <v>49648.208970833897</v>
      </c>
      <c r="AL46" s="85">
        <v>49657.672467899902</v>
      </c>
      <c r="AM46" s="85">
        <v>49669.930950411203</v>
      </c>
      <c r="AN46" s="85">
        <v>49682.189432922401</v>
      </c>
      <c r="AO46" s="85">
        <v>49694.447915433702</v>
      </c>
      <c r="AP46" s="85">
        <v>49706.706397945003</v>
      </c>
      <c r="AQ46" s="85">
        <v>49718.964880456202</v>
      </c>
      <c r="AR46" s="85">
        <v>49718.964880456202</v>
      </c>
      <c r="AS46" s="85">
        <v>49718.964880456202</v>
      </c>
      <c r="AT46" s="85">
        <v>49718.964880456202</v>
      </c>
      <c r="AU46" s="85">
        <v>49718.964880456202</v>
      </c>
      <c r="AV46" s="85">
        <v>49718.964880456202</v>
      </c>
      <c r="AW46" s="85">
        <v>49718.964880456202</v>
      </c>
      <c r="AX46" s="85">
        <v>49718.964880456202</v>
      </c>
      <c r="AY46" s="85">
        <v>49718.964880456202</v>
      </c>
      <c r="AZ46" s="85">
        <v>49718.964880456202</v>
      </c>
      <c r="BA46" s="85">
        <v>49718.964880456202</v>
      </c>
      <c r="BC46" s="85">
        <v>49918.549378741227</v>
      </c>
    </row>
    <row r="47" spans="1:55" s="85" customFormat="1" ht="15.75">
      <c r="A47" s="85" t="s">
        <v>178</v>
      </c>
      <c r="B47" s="85" t="s">
        <v>179</v>
      </c>
      <c r="C47" s="85">
        <v>18168.339556343199</v>
      </c>
      <c r="D47" s="85">
        <v>18087.779843213699</v>
      </c>
      <c r="E47" s="85">
        <v>18007.220130084301</v>
      </c>
      <c r="F47" s="85">
        <v>17926.660416954801</v>
      </c>
      <c r="G47" s="85">
        <v>17846.100703825399</v>
      </c>
      <c r="H47" s="85">
        <v>17765.540990695899</v>
      </c>
      <c r="I47" s="85">
        <v>17855.717347129601</v>
      </c>
      <c r="J47" s="85">
        <v>17945.893703563201</v>
      </c>
      <c r="K47" s="85">
        <v>18036.0700599968</v>
      </c>
      <c r="L47" s="85">
        <v>18126.246416430498</v>
      </c>
      <c r="M47" s="85">
        <v>18216.422772864102</v>
      </c>
      <c r="N47" s="85">
        <v>18333.793370800799</v>
      </c>
      <c r="O47" s="85">
        <v>18451.163968737499</v>
      </c>
      <c r="P47" s="85">
        <v>18568.534566674101</v>
      </c>
      <c r="Q47" s="85">
        <v>18685.905164610798</v>
      </c>
      <c r="R47" s="85">
        <v>18803.275762547499</v>
      </c>
      <c r="S47" s="85">
        <v>18989.4734114286</v>
      </c>
      <c r="T47" s="85">
        <v>19175.671060309702</v>
      </c>
      <c r="U47" s="85">
        <v>19361.8687091908</v>
      </c>
      <c r="V47" s="85">
        <v>19548.066358071999</v>
      </c>
      <c r="W47" s="85">
        <v>19734.264006953101</v>
      </c>
      <c r="X47" s="85">
        <v>19821.558269623201</v>
      </c>
      <c r="Y47" s="85">
        <v>19908.852532293298</v>
      </c>
      <c r="Z47" s="85">
        <v>19996.146794963501</v>
      </c>
      <c r="AA47" s="85">
        <v>20083.441057633601</v>
      </c>
      <c r="AB47" s="85">
        <v>20170.735320303698</v>
      </c>
      <c r="AC47" s="85">
        <v>20216.8878974441</v>
      </c>
      <c r="AD47" s="85">
        <v>20263.040474584599</v>
      </c>
      <c r="AE47" s="85">
        <v>20309.193051725</v>
      </c>
      <c r="AF47" s="85">
        <v>20355.345628865402</v>
      </c>
      <c r="AG47" s="85">
        <v>20401.498206005799</v>
      </c>
      <c r="AH47" s="85">
        <v>20465.361529331502</v>
      </c>
      <c r="AI47" s="85">
        <v>20529.2248526572</v>
      </c>
      <c r="AJ47" s="85">
        <v>20593.088175982801</v>
      </c>
      <c r="AK47" s="85">
        <v>20656.951499308499</v>
      </c>
      <c r="AL47" s="85">
        <v>20720.814822634198</v>
      </c>
      <c r="AM47" s="85">
        <v>20782.652656748</v>
      </c>
      <c r="AN47" s="85">
        <v>20844.490490861801</v>
      </c>
      <c r="AO47" s="85">
        <v>20906.328324975599</v>
      </c>
      <c r="AP47" s="85">
        <v>20968.166159089302</v>
      </c>
      <c r="AQ47" s="85">
        <v>21030.0039932031</v>
      </c>
      <c r="AR47" s="85">
        <v>21030.0039932031</v>
      </c>
      <c r="AS47" s="85">
        <v>21030.0039932031</v>
      </c>
      <c r="AT47" s="85">
        <v>21030.0039932031</v>
      </c>
      <c r="AU47" s="85">
        <v>21030.0039932031</v>
      </c>
      <c r="AV47" s="85">
        <v>21030.0039932031</v>
      </c>
      <c r="AW47" s="85">
        <v>21030.0039932031</v>
      </c>
      <c r="AX47" s="85">
        <v>21030.0039932031</v>
      </c>
      <c r="AY47" s="85">
        <v>21030.0039932031</v>
      </c>
      <c r="AZ47" s="85">
        <v>21030.0039932031</v>
      </c>
      <c r="BA47" s="85">
        <v>21030.0039932031</v>
      </c>
      <c r="BC47" s="85">
        <v>19869.544927123421</v>
      </c>
    </row>
    <row r="48" spans="1:55" s="85" customFormat="1" ht="15.75">
      <c r="A48" s="85" t="s">
        <v>178</v>
      </c>
      <c r="B48" s="85" t="s">
        <v>180</v>
      </c>
      <c r="C48" s="85">
        <v>20917.827201155302</v>
      </c>
      <c r="D48" s="85">
        <v>20769.874522766298</v>
      </c>
      <c r="E48" s="85">
        <v>20621.921844377201</v>
      </c>
      <c r="F48" s="85">
        <v>20473.969165988099</v>
      </c>
      <c r="G48" s="85">
        <v>20326.016487599099</v>
      </c>
      <c r="H48" s="85">
        <v>20178.063809210002</v>
      </c>
      <c r="I48" s="85">
        <v>20110.102201513899</v>
      </c>
      <c r="J48" s="85">
        <v>20042.1405938178</v>
      </c>
      <c r="K48" s="85">
        <v>19974.178986121799</v>
      </c>
      <c r="L48" s="85">
        <v>19906.217378425699</v>
      </c>
      <c r="M48" s="85">
        <v>19838.2557707296</v>
      </c>
      <c r="N48" s="85">
        <v>19789.940504021601</v>
      </c>
      <c r="O48" s="85">
        <v>19741.625237313499</v>
      </c>
      <c r="P48" s="85">
        <v>19693.3099706055</v>
      </c>
      <c r="Q48" s="85">
        <v>19644.994703897399</v>
      </c>
      <c r="R48" s="85">
        <v>19596.679437189301</v>
      </c>
      <c r="S48" s="85">
        <v>19630.934993729701</v>
      </c>
      <c r="T48" s="85">
        <v>19665.190550270101</v>
      </c>
      <c r="U48" s="85">
        <v>19699.446106810399</v>
      </c>
      <c r="V48" s="85">
        <v>19733.701663350799</v>
      </c>
      <c r="W48" s="85">
        <v>19767.957219891101</v>
      </c>
      <c r="X48" s="85">
        <v>19842.261503890299</v>
      </c>
      <c r="Y48" s="85">
        <v>19916.5657878895</v>
      </c>
      <c r="Z48" s="85">
        <v>19990.870071888599</v>
      </c>
      <c r="AA48" s="85">
        <v>20065.174355887801</v>
      </c>
      <c r="AB48" s="85">
        <v>20139.478639886998</v>
      </c>
      <c r="AC48" s="85">
        <v>20205.411162817101</v>
      </c>
      <c r="AD48" s="85">
        <v>20271.343685747201</v>
      </c>
      <c r="AE48" s="85">
        <v>20337.2762086773</v>
      </c>
      <c r="AF48" s="85">
        <v>20403.208731607399</v>
      </c>
      <c r="AG48" s="85">
        <v>20469.141254537499</v>
      </c>
      <c r="AH48" s="85">
        <v>20531.942875398301</v>
      </c>
      <c r="AI48" s="85">
        <v>20594.744496259002</v>
      </c>
      <c r="AJ48" s="85">
        <v>20657.546117119698</v>
      </c>
      <c r="AK48" s="85">
        <v>20720.347737980501</v>
      </c>
      <c r="AL48" s="85">
        <v>20783.149358841201</v>
      </c>
      <c r="AM48" s="85">
        <v>20840.506481954799</v>
      </c>
      <c r="AN48" s="85">
        <v>20897.863605068502</v>
      </c>
      <c r="AO48" s="85">
        <v>20955.220728182099</v>
      </c>
      <c r="AP48" s="85">
        <v>21012.577851295799</v>
      </c>
      <c r="AQ48" s="85">
        <v>21069.9349744094</v>
      </c>
      <c r="AR48" s="85">
        <v>21069.9349744094</v>
      </c>
      <c r="AS48" s="85">
        <v>21069.9349744094</v>
      </c>
      <c r="AT48" s="85">
        <v>21069.9349744094</v>
      </c>
      <c r="AU48" s="85">
        <v>21069.9349744094</v>
      </c>
      <c r="AV48" s="85">
        <v>21069.9349744094</v>
      </c>
      <c r="AW48" s="85">
        <v>21069.9349744094</v>
      </c>
      <c r="AX48" s="85">
        <v>21069.9349744094</v>
      </c>
      <c r="AY48" s="85">
        <v>21069.9349744094</v>
      </c>
      <c r="AZ48" s="85">
        <v>21069.9349744094</v>
      </c>
      <c r="BA48" s="85">
        <v>21069.9349744094</v>
      </c>
      <c r="BC48" s="85">
        <v>20407.15243008138</v>
      </c>
    </row>
    <row r="49" spans="1:55" s="85" customFormat="1" ht="15.75">
      <c r="A49" s="85" t="s">
        <v>178</v>
      </c>
      <c r="B49" s="85" t="s">
        <v>181</v>
      </c>
      <c r="C49" s="85">
        <v>19711.017562032201</v>
      </c>
      <c r="D49" s="85">
        <v>19686.4424373316</v>
      </c>
      <c r="E49" s="85">
        <v>19661.867312630999</v>
      </c>
      <c r="F49" s="85">
        <v>19637.292187930401</v>
      </c>
      <c r="G49" s="85">
        <v>19612.7170632298</v>
      </c>
      <c r="H49" s="85">
        <v>19588.141938529199</v>
      </c>
      <c r="I49" s="85">
        <v>19605.874300359101</v>
      </c>
      <c r="J49" s="85">
        <v>19623.6066621891</v>
      </c>
      <c r="K49" s="85">
        <v>19641.339024018998</v>
      </c>
      <c r="L49" s="85">
        <v>19659.071385849002</v>
      </c>
      <c r="M49" s="85">
        <v>19676.8037476789</v>
      </c>
      <c r="N49" s="85">
        <v>19666.568665689101</v>
      </c>
      <c r="O49" s="85">
        <v>19656.333583699299</v>
      </c>
      <c r="P49" s="85">
        <v>19646.098501709501</v>
      </c>
      <c r="Q49" s="85">
        <v>19635.863419719699</v>
      </c>
      <c r="R49" s="85">
        <v>19625.628337729901</v>
      </c>
      <c r="S49" s="85">
        <v>19664.817091797599</v>
      </c>
      <c r="T49" s="85">
        <v>19704.0058458653</v>
      </c>
      <c r="U49" s="85">
        <v>19743.194599932998</v>
      </c>
      <c r="V49" s="85">
        <v>19782.3833540007</v>
      </c>
      <c r="W49" s="85">
        <v>19821.572108068402</v>
      </c>
      <c r="X49" s="85">
        <v>19877.844543290899</v>
      </c>
      <c r="Y49" s="85">
        <v>19934.116978513401</v>
      </c>
      <c r="Z49" s="85">
        <v>19990.389413735898</v>
      </c>
      <c r="AA49" s="85">
        <v>20046.6618489584</v>
      </c>
      <c r="AB49" s="85">
        <v>20102.934284180901</v>
      </c>
      <c r="AC49" s="85">
        <v>20177.648909189898</v>
      </c>
      <c r="AD49" s="85">
        <v>20252.363534198899</v>
      </c>
      <c r="AE49" s="85">
        <v>20327.0781592079</v>
      </c>
      <c r="AF49" s="85">
        <v>20401.792784216999</v>
      </c>
      <c r="AG49" s="85">
        <v>20476.507409226</v>
      </c>
      <c r="AH49" s="85">
        <v>20541.9653622769</v>
      </c>
      <c r="AI49" s="85">
        <v>20607.4233153278</v>
      </c>
      <c r="AJ49" s="85">
        <v>20672.8812683787</v>
      </c>
      <c r="AK49" s="85">
        <v>20738.3392214296</v>
      </c>
      <c r="AL49" s="85">
        <v>20803.7971744805</v>
      </c>
      <c r="AM49" s="85">
        <v>20861.918369165</v>
      </c>
      <c r="AN49" s="85">
        <v>20920.039563849499</v>
      </c>
      <c r="AO49" s="85">
        <v>20978.160758533999</v>
      </c>
      <c r="AP49" s="85">
        <v>21036.281953218499</v>
      </c>
      <c r="AQ49" s="85">
        <v>21094.403147903002</v>
      </c>
      <c r="AR49" s="85">
        <v>21094.403147903002</v>
      </c>
      <c r="AS49" s="85">
        <v>21094.403147903002</v>
      </c>
      <c r="AT49" s="85">
        <v>21094.403147903002</v>
      </c>
      <c r="AU49" s="85">
        <v>21094.403147903002</v>
      </c>
      <c r="AV49" s="85">
        <v>21094.403147903002</v>
      </c>
      <c r="AW49" s="85">
        <v>21094.403147903002</v>
      </c>
      <c r="AX49" s="85">
        <v>21094.403147903002</v>
      </c>
      <c r="AY49" s="85">
        <v>21094.403147903002</v>
      </c>
      <c r="AZ49" s="85">
        <v>21094.403147903002</v>
      </c>
      <c r="BA49" s="85">
        <v>21094.403147903002</v>
      </c>
      <c r="BC49" s="85">
        <v>20211.770846553783</v>
      </c>
    </row>
    <row r="50" spans="1:55" s="85" customFormat="1" ht="15.75">
      <c r="A50" s="85" t="s">
        <v>178</v>
      </c>
      <c r="B50" s="85" t="s">
        <v>182</v>
      </c>
      <c r="C50" s="85">
        <v>4020.7458490282002</v>
      </c>
      <c r="D50" s="85">
        <v>4009.3755094142798</v>
      </c>
      <c r="E50" s="85">
        <v>3998.0051698003599</v>
      </c>
      <c r="F50" s="85">
        <v>3986.63483018643</v>
      </c>
      <c r="G50" s="85">
        <v>3975.2644905725101</v>
      </c>
      <c r="H50" s="85">
        <v>3963.8941509585902</v>
      </c>
      <c r="I50" s="85">
        <v>3956.4469152118099</v>
      </c>
      <c r="J50" s="85">
        <v>3948.9996794650301</v>
      </c>
      <c r="K50" s="85">
        <v>3941.5524437182598</v>
      </c>
      <c r="L50" s="85">
        <v>3934.10520797148</v>
      </c>
      <c r="M50" s="85">
        <v>3926.6579722247002</v>
      </c>
      <c r="N50" s="85">
        <v>3906.55227623563</v>
      </c>
      <c r="O50" s="85">
        <v>3886.4465802465602</v>
      </c>
      <c r="P50" s="85">
        <v>3866.34088425748</v>
      </c>
      <c r="Q50" s="85">
        <v>3846.2351882684102</v>
      </c>
      <c r="R50" s="85">
        <v>3826.12949227934</v>
      </c>
      <c r="S50" s="85">
        <v>3806.4515496110998</v>
      </c>
      <c r="T50" s="85">
        <v>3786.7736069428702</v>
      </c>
      <c r="U50" s="85">
        <v>3767.0956642746401</v>
      </c>
      <c r="V50" s="85">
        <v>3747.4177216064099</v>
      </c>
      <c r="W50" s="85">
        <v>3727.7397789381698</v>
      </c>
      <c r="X50" s="85">
        <v>3710.80597965675</v>
      </c>
      <c r="Y50" s="85">
        <v>3693.8721803753201</v>
      </c>
      <c r="Z50" s="85">
        <v>3676.9383810938998</v>
      </c>
      <c r="AA50" s="85">
        <v>3660.00458181247</v>
      </c>
      <c r="AB50" s="85">
        <v>3643.0707825310501</v>
      </c>
      <c r="AC50" s="85">
        <v>3634.6787038867601</v>
      </c>
      <c r="AD50" s="85">
        <v>3626.2866252424601</v>
      </c>
      <c r="AE50" s="85">
        <v>3617.8945465981701</v>
      </c>
      <c r="AF50" s="85">
        <v>3609.5024679538801</v>
      </c>
      <c r="AG50" s="85">
        <v>3601.1103893095801</v>
      </c>
      <c r="AH50" s="85">
        <v>3596.2500154659301</v>
      </c>
      <c r="AI50" s="85">
        <v>3591.3896416222801</v>
      </c>
      <c r="AJ50" s="85">
        <v>3586.5292677786301</v>
      </c>
      <c r="AK50" s="85">
        <v>3581.6688939349801</v>
      </c>
      <c r="AL50" s="85">
        <v>3576.8085200913301</v>
      </c>
      <c r="AM50" s="85">
        <v>3571.9814206059</v>
      </c>
      <c r="AN50" s="85">
        <v>3567.1543211204698</v>
      </c>
      <c r="AO50" s="85">
        <v>3562.3272216350401</v>
      </c>
      <c r="AP50" s="85">
        <v>3557.50012214961</v>
      </c>
      <c r="AQ50" s="85">
        <v>3552.6730226641798</v>
      </c>
      <c r="AR50" s="85">
        <v>3552.6730226641798</v>
      </c>
      <c r="AS50" s="85">
        <v>3552.6730226641798</v>
      </c>
      <c r="AT50" s="85">
        <v>3552.6730226641798</v>
      </c>
      <c r="AU50" s="85">
        <v>3552.6730226641798</v>
      </c>
      <c r="AV50" s="85">
        <v>3552.6730226641798</v>
      </c>
      <c r="AW50" s="85">
        <v>3552.6730226641798</v>
      </c>
      <c r="AX50" s="85">
        <v>3552.6730226641798</v>
      </c>
      <c r="AY50" s="85">
        <v>3552.6730226641798</v>
      </c>
      <c r="AZ50" s="85">
        <v>3552.6730226641798</v>
      </c>
      <c r="BA50" s="85">
        <v>3552.6730226641798</v>
      </c>
      <c r="BC50" s="85">
        <v>3807.8853271450416</v>
      </c>
    </row>
    <row r="51" spans="1:55" s="85" customFormat="1" ht="15.75">
      <c r="A51" s="85" t="s">
        <v>178</v>
      </c>
      <c r="B51" s="85" t="s">
        <v>183</v>
      </c>
      <c r="C51" s="85">
        <v>17973.6624094611</v>
      </c>
      <c r="D51" s="85">
        <v>17954.289625518501</v>
      </c>
      <c r="E51" s="85">
        <v>17934.916841576</v>
      </c>
      <c r="F51" s="85">
        <v>17915.544057633499</v>
      </c>
      <c r="G51" s="85">
        <v>17896.171273690899</v>
      </c>
      <c r="H51" s="85">
        <v>17876.798489748398</v>
      </c>
      <c r="I51" s="85">
        <v>17935.451709955902</v>
      </c>
      <c r="J51" s="85">
        <v>17994.104930163299</v>
      </c>
      <c r="K51" s="85">
        <v>18052.758150370799</v>
      </c>
      <c r="L51" s="85">
        <v>18111.4113705782</v>
      </c>
      <c r="M51" s="85">
        <v>18170.0645907857</v>
      </c>
      <c r="N51" s="85">
        <v>18231.495605779499</v>
      </c>
      <c r="O51" s="85">
        <v>18292.926620773302</v>
      </c>
      <c r="P51" s="85">
        <v>18354.357635767199</v>
      </c>
      <c r="Q51" s="85">
        <v>18415.788650760998</v>
      </c>
      <c r="R51" s="85">
        <v>18477.219665754801</v>
      </c>
      <c r="S51" s="85">
        <v>18557.101117931001</v>
      </c>
      <c r="T51" s="85">
        <v>18636.9825701072</v>
      </c>
      <c r="U51" s="85">
        <v>18716.864022283498</v>
      </c>
      <c r="V51" s="85">
        <v>18796.745474459702</v>
      </c>
      <c r="W51" s="85">
        <v>18876.626926635901</v>
      </c>
      <c r="X51" s="85">
        <v>18925.201737731099</v>
      </c>
      <c r="Y51" s="85">
        <v>18973.776548826299</v>
      </c>
      <c r="Z51" s="85">
        <v>19022.351359921598</v>
      </c>
      <c r="AA51" s="85">
        <v>19070.926171016799</v>
      </c>
      <c r="AB51" s="85">
        <v>19119.500982112098</v>
      </c>
      <c r="AC51" s="85">
        <v>19157.192925413699</v>
      </c>
      <c r="AD51" s="85">
        <v>19194.884868715399</v>
      </c>
      <c r="AE51" s="85">
        <v>19232.576812017</v>
      </c>
      <c r="AF51" s="85">
        <v>19270.268755318699</v>
      </c>
      <c r="AG51" s="85">
        <v>19307.9606986203</v>
      </c>
      <c r="AH51" s="85">
        <v>19346.846818670299</v>
      </c>
      <c r="AI51" s="85">
        <v>19385.732938720299</v>
      </c>
      <c r="AJ51" s="85">
        <v>19424.619058770299</v>
      </c>
      <c r="AK51" s="85">
        <v>19463.505178820302</v>
      </c>
      <c r="AL51" s="85">
        <v>19502.391298870301</v>
      </c>
      <c r="AM51" s="85">
        <v>19541.963390087101</v>
      </c>
      <c r="AN51" s="85">
        <v>19581.535481303999</v>
      </c>
      <c r="AO51" s="85">
        <v>19621.107572520901</v>
      </c>
      <c r="AP51" s="85">
        <v>19660.679663737701</v>
      </c>
      <c r="AQ51" s="85">
        <v>19700.251754954599</v>
      </c>
      <c r="AR51" s="85">
        <v>19700.251754954599</v>
      </c>
      <c r="AS51" s="85">
        <v>19700.251754954599</v>
      </c>
      <c r="AT51" s="85">
        <v>19700.251754954599</v>
      </c>
      <c r="AU51" s="85">
        <v>19700.251754954599</v>
      </c>
      <c r="AV51" s="85">
        <v>19700.251754954599</v>
      </c>
      <c r="AW51" s="85">
        <v>19700.251754954599</v>
      </c>
      <c r="AX51" s="85">
        <v>19700.251754954599</v>
      </c>
      <c r="AY51" s="85">
        <v>19700.251754954599</v>
      </c>
      <c r="AZ51" s="85">
        <v>19700.251754954599</v>
      </c>
      <c r="BA51" s="85">
        <v>19700.251754954599</v>
      </c>
      <c r="BC51" s="85">
        <v>18552.652863838659</v>
      </c>
    </row>
    <row r="52" spans="1:55" s="85" customFormat="1" ht="15.75">
      <c r="A52" s="85" t="s">
        <v>178</v>
      </c>
      <c r="B52" s="85" t="s">
        <v>184</v>
      </c>
      <c r="C52" s="85">
        <v>17469.851457130699</v>
      </c>
      <c r="D52" s="85">
        <v>17675.241642131401</v>
      </c>
      <c r="E52" s="85">
        <v>17880.6318271321</v>
      </c>
      <c r="F52" s="85">
        <v>18086.022012132798</v>
      </c>
      <c r="G52" s="85">
        <v>18291.412197133501</v>
      </c>
      <c r="H52" s="85">
        <v>18496.802382134199</v>
      </c>
      <c r="I52" s="85">
        <v>18718.869345213701</v>
      </c>
      <c r="J52" s="85">
        <v>18940.936308293301</v>
      </c>
      <c r="K52" s="85">
        <v>19163.003271372902</v>
      </c>
      <c r="L52" s="85">
        <v>19385.070234452502</v>
      </c>
      <c r="M52" s="85">
        <v>19607.137197532102</v>
      </c>
      <c r="N52" s="85">
        <v>19703.901797418999</v>
      </c>
      <c r="O52" s="85">
        <v>19800.666397305999</v>
      </c>
      <c r="P52" s="85">
        <v>19897.4309971929</v>
      </c>
      <c r="Q52" s="85">
        <v>19994.195597079801</v>
      </c>
      <c r="R52" s="85">
        <v>20090.9601969668</v>
      </c>
      <c r="S52" s="85">
        <v>20130.9816244496</v>
      </c>
      <c r="T52" s="85">
        <v>20171.003051932501</v>
      </c>
      <c r="U52" s="85">
        <v>20211.024479415399</v>
      </c>
      <c r="V52" s="85">
        <v>20251.0459068983</v>
      </c>
      <c r="W52" s="85">
        <v>20291.067334381201</v>
      </c>
      <c r="X52" s="85">
        <v>20285.970104992699</v>
      </c>
      <c r="Y52" s="85">
        <v>20280.8728756042</v>
      </c>
      <c r="Z52" s="85">
        <v>20275.775646215701</v>
      </c>
      <c r="AA52" s="85">
        <v>20270.678416827199</v>
      </c>
      <c r="AB52" s="85">
        <v>20265.5811874387</v>
      </c>
      <c r="AC52" s="85">
        <v>20297.143188716102</v>
      </c>
      <c r="AD52" s="85">
        <v>20328.705189993601</v>
      </c>
      <c r="AE52" s="85">
        <v>20360.267191270999</v>
      </c>
      <c r="AF52" s="85">
        <v>20391.829192548401</v>
      </c>
      <c r="AG52" s="85">
        <v>20423.391193825901</v>
      </c>
      <c r="AH52" s="85">
        <v>20485.4421145704</v>
      </c>
      <c r="AI52" s="85">
        <v>20547.493035314899</v>
      </c>
      <c r="AJ52" s="85">
        <v>20609.543956059399</v>
      </c>
      <c r="AK52" s="85">
        <v>20671.594876804</v>
      </c>
      <c r="AL52" s="85">
        <v>20733.645797548499</v>
      </c>
      <c r="AM52" s="85">
        <v>20794.9371745811</v>
      </c>
      <c r="AN52" s="85">
        <v>20856.228551613702</v>
      </c>
      <c r="AO52" s="85">
        <v>20917.519928646299</v>
      </c>
      <c r="AP52" s="85">
        <v>20978.811305678799</v>
      </c>
      <c r="AQ52" s="85">
        <v>21040.1026827114</v>
      </c>
      <c r="AR52" s="85">
        <v>21040.1026827114</v>
      </c>
      <c r="AS52" s="85">
        <v>21040.1026827114</v>
      </c>
      <c r="AT52" s="85">
        <v>21040.1026827114</v>
      </c>
      <c r="AU52" s="85">
        <v>21040.1026827114</v>
      </c>
      <c r="AV52" s="85">
        <v>21040.1026827114</v>
      </c>
      <c r="AW52" s="85">
        <v>21040.1026827114</v>
      </c>
      <c r="AX52" s="85">
        <v>21040.1026827114</v>
      </c>
      <c r="AY52" s="85">
        <v>21040.1026827114</v>
      </c>
      <c r="AZ52" s="85">
        <v>21040.1026827114</v>
      </c>
      <c r="BA52" s="85">
        <v>21040.1026827114</v>
      </c>
      <c r="BC52" s="85">
        <v>19882.163050778829</v>
      </c>
    </row>
    <row r="53" spans="1:55" s="85" customFormat="1" ht="15.75">
      <c r="A53" s="85" t="s">
        <v>178</v>
      </c>
      <c r="B53" s="85" t="s">
        <v>185</v>
      </c>
      <c r="C53" s="85">
        <v>8881.8420615397299</v>
      </c>
      <c r="D53" s="85">
        <v>7546.38357193908</v>
      </c>
      <c r="E53" s="85">
        <v>6210.92508233843</v>
      </c>
      <c r="F53" s="85">
        <v>4875.46659273778</v>
      </c>
      <c r="G53" s="85">
        <v>3540.0081031371301</v>
      </c>
      <c r="H53" s="85">
        <v>2204.5496135364801</v>
      </c>
      <c r="I53" s="85">
        <v>2204.5496135364801</v>
      </c>
      <c r="J53" s="85">
        <v>2204.5496135364801</v>
      </c>
      <c r="K53" s="85">
        <v>2204.5496135364801</v>
      </c>
      <c r="L53" s="85">
        <v>2204.5496135364801</v>
      </c>
      <c r="M53" s="85">
        <v>2204.5496135364801</v>
      </c>
      <c r="N53" s="85">
        <v>2204.5496135364801</v>
      </c>
      <c r="O53" s="85">
        <v>2204.5496135364801</v>
      </c>
      <c r="P53" s="85">
        <v>2204.5496135364801</v>
      </c>
      <c r="Q53" s="85">
        <v>2204.5496135364801</v>
      </c>
      <c r="R53" s="85">
        <v>2204.5496135364801</v>
      </c>
      <c r="S53" s="85">
        <v>2204.5496135364801</v>
      </c>
      <c r="T53" s="85">
        <v>2204.5496135364801</v>
      </c>
      <c r="U53" s="85">
        <v>2204.5496135364801</v>
      </c>
      <c r="V53" s="85">
        <v>2204.5496135364801</v>
      </c>
      <c r="W53" s="85">
        <v>2204.5496135364801</v>
      </c>
      <c r="X53" s="85">
        <v>2204.5496135364801</v>
      </c>
      <c r="Y53" s="85">
        <v>2204.5496135364801</v>
      </c>
      <c r="Z53" s="85">
        <v>2204.5496135364801</v>
      </c>
      <c r="AA53" s="85">
        <v>2204.5496135364801</v>
      </c>
      <c r="AB53" s="85">
        <v>2204.5496135364801</v>
      </c>
      <c r="AC53" s="85">
        <v>2204.5496135364801</v>
      </c>
      <c r="AD53" s="85">
        <v>2204.5496135364801</v>
      </c>
      <c r="AE53" s="85">
        <v>2204.5496135364801</v>
      </c>
      <c r="AF53" s="85">
        <v>2204.5496135364801</v>
      </c>
      <c r="AG53" s="85">
        <v>2204.5496135364801</v>
      </c>
      <c r="AH53" s="85">
        <v>2204.5496135364801</v>
      </c>
      <c r="AI53" s="85">
        <v>2204.5496135364801</v>
      </c>
      <c r="AJ53" s="85">
        <v>2204.5496135364801</v>
      </c>
      <c r="AK53" s="85">
        <v>2204.5496135364801</v>
      </c>
      <c r="AL53" s="85">
        <v>2204.5496135364801</v>
      </c>
      <c r="AM53" s="85">
        <v>2204.5496135364801</v>
      </c>
      <c r="AN53" s="85">
        <v>2204.5496135364801</v>
      </c>
      <c r="AO53" s="85">
        <v>2204.5496135364801</v>
      </c>
      <c r="AP53" s="85">
        <v>2204.5496135364801</v>
      </c>
      <c r="AQ53" s="85">
        <v>2204.5496135364801</v>
      </c>
      <c r="AR53" s="85">
        <v>2204.5496135364801</v>
      </c>
      <c r="AS53" s="85">
        <v>2204.5496135364801</v>
      </c>
      <c r="AT53" s="85">
        <v>2204.5496135364801</v>
      </c>
      <c r="AU53" s="85">
        <v>2204.5496135364801</v>
      </c>
      <c r="AV53" s="85">
        <v>2204.5496135364801</v>
      </c>
      <c r="AW53" s="85">
        <v>2204.5496135364801</v>
      </c>
      <c r="AX53" s="85">
        <v>2204.5496135364801</v>
      </c>
      <c r="AY53" s="85">
        <v>2204.5496135364801</v>
      </c>
      <c r="AZ53" s="85">
        <v>2204.5496135364801</v>
      </c>
      <c r="BA53" s="85">
        <v>2204.5496135364801</v>
      </c>
      <c r="BC53" s="85">
        <v>7249.3066990766138</v>
      </c>
    </row>
    <row r="54" spans="1:55" s="85" customFormat="1" ht="15.75">
      <c r="A54" s="85" t="s">
        <v>178</v>
      </c>
      <c r="B54" s="85" t="s">
        <v>186</v>
      </c>
      <c r="C54" s="85">
        <v>9806.50378464393</v>
      </c>
      <c r="D54" s="85">
        <v>9655.4741716267999</v>
      </c>
      <c r="E54" s="85">
        <v>9504.4445586096808</v>
      </c>
      <c r="F54" s="85">
        <v>9353.4149455925508</v>
      </c>
      <c r="G54" s="85">
        <v>9202.3853325754208</v>
      </c>
      <c r="H54" s="85">
        <v>9051.3557195582907</v>
      </c>
      <c r="I54" s="85">
        <v>9051.3557195582907</v>
      </c>
      <c r="J54" s="85">
        <v>9051.3557195582907</v>
      </c>
      <c r="K54" s="85">
        <v>9051.3557195582907</v>
      </c>
      <c r="L54" s="85">
        <v>9051.3557195582907</v>
      </c>
      <c r="M54" s="85">
        <v>9051.3557195582907</v>
      </c>
      <c r="N54" s="85">
        <v>9051.3557195582907</v>
      </c>
      <c r="O54" s="85">
        <v>9051.3557195582907</v>
      </c>
      <c r="P54" s="85">
        <v>9051.3557195582907</v>
      </c>
      <c r="Q54" s="85">
        <v>9051.3557195582907</v>
      </c>
      <c r="R54" s="85">
        <v>9051.3557195582907</v>
      </c>
      <c r="S54" s="85">
        <v>9051.3557195582907</v>
      </c>
      <c r="T54" s="85">
        <v>9051.3557195582907</v>
      </c>
      <c r="U54" s="85">
        <v>9051.3557195582907</v>
      </c>
      <c r="V54" s="85">
        <v>9051.3557195582907</v>
      </c>
      <c r="W54" s="85">
        <v>9051.3557195582907</v>
      </c>
      <c r="X54" s="85">
        <v>9051.3557195582907</v>
      </c>
      <c r="Y54" s="85">
        <v>9051.3557195582907</v>
      </c>
      <c r="Z54" s="85">
        <v>9051.3557195582907</v>
      </c>
      <c r="AA54" s="85">
        <v>9051.3557195582907</v>
      </c>
      <c r="AB54" s="85">
        <v>9051.3557195582907</v>
      </c>
      <c r="AC54" s="85">
        <v>9051.3557195582907</v>
      </c>
      <c r="AD54" s="85">
        <v>9051.3557195582907</v>
      </c>
      <c r="AE54" s="85">
        <v>9051.3557195582907</v>
      </c>
      <c r="AF54" s="85">
        <v>9051.3557195582907</v>
      </c>
      <c r="AG54" s="85">
        <v>9051.3557195582907</v>
      </c>
      <c r="AH54" s="85">
        <v>9051.3557195582907</v>
      </c>
      <c r="AI54" s="85">
        <v>9051.3557195582907</v>
      </c>
      <c r="AJ54" s="85">
        <v>9051.3557195582907</v>
      </c>
      <c r="AK54" s="85">
        <v>9051.3557195582907</v>
      </c>
      <c r="AL54" s="85">
        <v>9051.3557195582907</v>
      </c>
      <c r="AM54" s="85">
        <v>9051.3557195582907</v>
      </c>
      <c r="AN54" s="85">
        <v>9051.3557195582907</v>
      </c>
      <c r="AO54" s="85">
        <v>9051.3557195582907</v>
      </c>
      <c r="AP54" s="85">
        <v>9051.3557195582907</v>
      </c>
      <c r="AQ54" s="85">
        <v>9051.3557195582907</v>
      </c>
      <c r="AR54" s="85">
        <v>9051.3557195582907</v>
      </c>
      <c r="AS54" s="85">
        <v>9051.3557195582907</v>
      </c>
      <c r="AT54" s="85">
        <v>9051.3557195582907</v>
      </c>
      <c r="AU54" s="85">
        <v>9051.3557195582907</v>
      </c>
      <c r="AV54" s="85">
        <v>9051.3557195582907</v>
      </c>
      <c r="AW54" s="85">
        <v>9051.3557195582907</v>
      </c>
      <c r="AX54" s="85">
        <v>9051.3557195582907</v>
      </c>
      <c r="AY54" s="85">
        <v>9051.3557195582907</v>
      </c>
      <c r="AZ54" s="85">
        <v>9051.3557195582907</v>
      </c>
      <c r="BA54" s="85">
        <v>9051.3557195582907</v>
      </c>
      <c r="BC54" s="85">
        <v>9896.7090327829428</v>
      </c>
    </row>
    <row r="55" spans="1:55" s="85" customFormat="1" ht="15.75">
      <c r="A55" s="85" t="s">
        <v>178</v>
      </c>
      <c r="B55" s="85" t="s">
        <v>187</v>
      </c>
      <c r="C55" s="85">
        <v>29590.554377012799</v>
      </c>
      <c r="D55" s="85">
        <v>29843.707659375901</v>
      </c>
      <c r="E55" s="85">
        <v>30096.860941739</v>
      </c>
      <c r="F55" s="85">
        <v>30350.014224102099</v>
      </c>
      <c r="G55" s="85">
        <v>30603.167506465201</v>
      </c>
      <c r="H55" s="85">
        <v>30856.320788828201</v>
      </c>
      <c r="I55" s="85">
        <v>31215.788652550498</v>
      </c>
      <c r="J55" s="85">
        <v>31575.256516272701</v>
      </c>
      <c r="K55" s="85">
        <v>31934.724379995001</v>
      </c>
      <c r="L55" s="85">
        <v>32294.1922437172</v>
      </c>
      <c r="M55" s="85">
        <v>32653.660107439398</v>
      </c>
      <c r="N55" s="85">
        <v>32855.763706417398</v>
      </c>
      <c r="O55" s="85">
        <v>33057.867305395303</v>
      </c>
      <c r="P55" s="85">
        <v>33259.970904373302</v>
      </c>
      <c r="Q55" s="85">
        <v>33462.074503351199</v>
      </c>
      <c r="R55" s="85">
        <v>33664.178102329097</v>
      </c>
      <c r="S55" s="85">
        <v>33952.175930452599</v>
      </c>
      <c r="T55" s="85">
        <v>34240.1737585761</v>
      </c>
      <c r="U55" s="85">
        <v>34528.1715866995</v>
      </c>
      <c r="V55" s="85">
        <v>34816.169414823002</v>
      </c>
      <c r="W55" s="85">
        <v>35104.167242946503</v>
      </c>
      <c r="X55" s="85">
        <v>35244.166328981097</v>
      </c>
      <c r="Y55" s="85">
        <v>35384.165415015697</v>
      </c>
      <c r="Z55" s="85">
        <v>35524.164501050298</v>
      </c>
      <c r="AA55" s="85">
        <v>35664.163587084899</v>
      </c>
      <c r="AB55" s="85">
        <v>35804.162673119499</v>
      </c>
      <c r="AC55" s="85">
        <v>35876.120541892902</v>
      </c>
      <c r="AD55" s="85">
        <v>35948.078410666298</v>
      </c>
      <c r="AE55" s="85">
        <v>36020.036279439599</v>
      </c>
      <c r="AF55" s="85">
        <v>36091.994148213002</v>
      </c>
      <c r="AG55" s="85">
        <v>36163.952016986303</v>
      </c>
      <c r="AH55" s="85">
        <v>36287.348008594199</v>
      </c>
      <c r="AI55" s="85">
        <v>36410.744000202198</v>
      </c>
      <c r="AJ55" s="85">
        <v>36534.139991810101</v>
      </c>
      <c r="AK55" s="85">
        <v>36657.535983417998</v>
      </c>
      <c r="AL55" s="85">
        <v>36780.931975025902</v>
      </c>
      <c r="AM55" s="85">
        <v>36913.565554859102</v>
      </c>
      <c r="AN55" s="85">
        <v>37046.199134692397</v>
      </c>
      <c r="AO55" s="85">
        <v>37178.832714525597</v>
      </c>
      <c r="AP55" s="85">
        <v>37311.466294358797</v>
      </c>
      <c r="AQ55" s="85">
        <v>37444.099874192099</v>
      </c>
      <c r="AR55" s="85">
        <v>37444.099874192099</v>
      </c>
      <c r="AS55" s="85">
        <v>37444.099874192099</v>
      </c>
      <c r="AT55" s="85">
        <v>37444.099874192099</v>
      </c>
      <c r="AU55" s="85">
        <v>37444.099874192099</v>
      </c>
      <c r="AV55" s="85">
        <v>37444.099874192099</v>
      </c>
      <c r="AW55" s="85">
        <v>37444.099874192099</v>
      </c>
      <c r="AX55" s="85">
        <v>37444.099874192099</v>
      </c>
      <c r="AY55" s="85">
        <v>37444.099874192099</v>
      </c>
      <c r="AZ55" s="85">
        <v>37444.099874192099</v>
      </c>
      <c r="BA55" s="85">
        <v>37444.099874192099</v>
      </c>
      <c r="BC55" s="85">
        <v>35740.823754379227</v>
      </c>
    </row>
    <row r="56" spans="1:55" s="85" customFormat="1" ht="15.75">
      <c r="A56" s="85" t="s">
        <v>178</v>
      </c>
      <c r="B56" s="85" t="s">
        <v>188</v>
      </c>
      <c r="C56" s="85">
        <v>20601.9178116148</v>
      </c>
      <c r="D56" s="85">
        <v>20613.482334111901</v>
      </c>
      <c r="E56" s="85">
        <v>20625.046856608998</v>
      </c>
      <c r="F56" s="85">
        <v>20636.611379106002</v>
      </c>
      <c r="G56" s="85">
        <v>20648.175901603099</v>
      </c>
      <c r="H56" s="85">
        <v>20659.7404241002</v>
      </c>
      <c r="I56" s="85">
        <v>20848.529148828398</v>
      </c>
      <c r="J56" s="85">
        <v>21037.3178735566</v>
      </c>
      <c r="K56" s="85">
        <v>21226.1065982849</v>
      </c>
      <c r="L56" s="85">
        <v>21414.895323013101</v>
      </c>
      <c r="M56" s="85">
        <v>21603.684047741299</v>
      </c>
      <c r="N56" s="85">
        <v>21736.752972212998</v>
      </c>
      <c r="O56" s="85">
        <v>21869.821896684702</v>
      </c>
      <c r="P56" s="85">
        <v>22002.890821156299</v>
      </c>
      <c r="Q56" s="85">
        <v>22135.959745627999</v>
      </c>
      <c r="R56" s="85">
        <v>22269.0286700996</v>
      </c>
      <c r="S56" s="85">
        <v>22455.030324339499</v>
      </c>
      <c r="T56" s="85">
        <v>22641.031978579402</v>
      </c>
      <c r="U56" s="85">
        <v>22827.033632819301</v>
      </c>
      <c r="V56" s="85">
        <v>23013.035287059101</v>
      </c>
      <c r="W56" s="85">
        <v>23199.036941299</v>
      </c>
      <c r="X56" s="85">
        <v>23288.025731774698</v>
      </c>
      <c r="Y56" s="85">
        <v>23377.014522250302</v>
      </c>
      <c r="Z56" s="85">
        <v>23466.003312725999</v>
      </c>
      <c r="AA56" s="85">
        <v>23554.992103201599</v>
      </c>
      <c r="AB56" s="85">
        <v>23643.980893677301</v>
      </c>
      <c r="AC56" s="85">
        <v>23696.157259764499</v>
      </c>
      <c r="AD56" s="85">
        <v>23748.333625851701</v>
      </c>
      <c r="AE56" s="85">
        <v>23800.509991939001</v>
      </c>
      <c r="AF56" s="85">
        <v>23852.6863580262</v>
      </c>
      <c r="AG56" s="85">
        <v>23904.8627241135</v>
      </c>
      <c r="AH56" s="85">
        <v>23991.679599139399</v>
      </c>
      <c r="AI56" s="85">
        <v>24078.496474165298</v>
      </c>
      <c r="AJ56" s="85">
        <v>24165.313349191201</v>
      </c>
      <c r="AK56" s="85">
        <v>24252.130224217199</v>
      </c>
      <c r="AL56" s="85">
        <v>24338.947099243102</v>
      </c>
      <c r="AM56" s="85">
        <v>24427.752812512401</v>
      </c>
      <c r="AN56" s="85">
        <v>24516.5585257817</v>
      </c>
      <c r="AO56" s="85">
        <v>24605.364239050999</v>
      </c>
      <c r="AP56" s="85">
        <v>24694.169952320299</v>
      </c>
      <c r="AQ56" s="85">
        <v>24782.9756655897</v>
      </c>
      <c r="AR56" s="85">
        <v>24782.9756655897</v>
      </c>
      <c r="AS56" s="85">
        <v>24782.9756655897</v>
      </c>
      <c r="AT56" s="85">
        <v>24782.9756655897</v>
      </c>
      <c r="AU56" s="85">
        <v>24782.9756655897</v>
      </c>
      <c r="AV56" s="85">
        <v>24782.9756655897</v>
      </c>
      <c r="AW56" s="85">
        <v>24782.9756655897</v>
      </c>
      <c r="AX56" s="85">
        <v>24782.9756655897</v>
      </c>
      <c r="AY56" s="85">
        <v>24782.9756655897</v>
      </c>
      <c r="AZ56" s="85">
        <v>24782.9756655897</v>
      </c>
      <c r="BA56" s="85">
        <v>24782.9756655897</v>
      </c>
      <c r="BC56" s="85">
        <v>23790.748009964722</v>
      </c>
    </row>
    <row r="57" spans="1:55" s="85" customFormat="1" ht="15.75">
      <c r="A57" s="12" t="s">
        <v>145</v>
      </c>
      <c r="B57" s="85" t="s">
        <v>189</v>
      </c>
      <c r="C57" s="85">
        <v>190484.51206755501</v>
      </c>
      <c r="D57" s="85">
        <v>185869.99882967299</v>
      </c>
      <c r="E57" s="85">
        <v>181255.48559179201</v>
      </c>
      <c r="F57" s="85">
        <v>176640.972353911</v>
      </c>
      <c r="G57" s="85">
        <v>172026.459116029</v>
      </c>
      <c r="H57" s="85">
        <v>167411.94587814799</v>
      </c>
      <c r="I57" s="85">
        <v>164530.66751514899</v>
      </c>
      <c r="J57" s="85">
        <v>161649.38915214999</v>
      </c>
      <c r="K57" s="85">
        <v>158768.11078915099</v>
      </c>
      <c r="L57" s="85">
        <v>155886.83242615301</v>
      </c>
      <c r="M57" s="85">
        <v>153005.55406315401</v>
      </c>
      <c r="N57" s="85">
        <v>152117.022918339</v>
      </c>
      <c r="O57" s="85">
        <v>151228.491773524</v>
      </c>
      <c r="P57" s="85">
        <v>150339.96062870999</v>
      </c>
      <c r="Q57" s="85">
        <v>149451.42948389499</v>
      </c>
      <c r="R57" s="85">
        <v>148562.89833908001</v>
      </c>
      <c r="S57" s="85">
        <v>148377.44336477001</v>
      </c>
      <c r="T57" s="85">
        <v>148191.98839045901</v>
      </c>
      <c r="U57" s="85">
        <v>148006.533416149</v>
      </c>
      <c r="V57" s="85">
        <v>147821.07844183801</v>
      </c>
      <c r="W57" s="85">
        <v>147635.623467528</v>
      </c>
      <c r="X57" s="85">
        <v>147766.400561377</v>
      </c>
      <c r="Y57" s="85">
        <v>147897.17765522501</v>
      </c>
      <c r="Z57" s="85">
        <v>148027.95474907401</v>
      </c>
      <c r="AA57" s="85">
        <v>148158.73184292301</v>
      </c>
      <c r="AB57" s="85">
        <v>148289.50893677099</v>
      </c>
      <c r="AC57" s="85">
        <v>149440.60907093601</v>
      </c>
      <c r="AD57" s="85">
        <v>150591.70920510101</v>
      </c>
      <c r="AE57" s="85">
        <v>151742.80933926499</v>
      </c>
      <c r="AF57" s="85">
        <v>152893.90947342999</v>
      </c>
      <c r="AG57" s="85">
        <v>154045.00960759501</v>
      </c>
      <c r="AH57" s="85">
        <v>154636.241342714</v>
      </c>
      <c r="AI57" s="85">
        <v>155227.47307783301</v>
      </c>
      <c r="AJ57" s="85">
        <v>155818.704812952</v>
      </c>
      <c r="AK57" s="85">
        <v>156409.93654807101</v>
      </c>
      <c r="AL57" s="85">
        <v>157001.16828319</v>
      </c>
      <c r="AM57" s="85">
        <v>157740.077000555</v>
      </c>
      <c r="AN57" s="85">
        <v>158478.98571791899</v>
      </c>
      <c r="AO57" s="85">
        <v>159217.89443528399</v>
      </c>
      <c r="AP57" s="85">
        <v>159956.803152648</v>
      </c>
      <c r="AQ57" s="85">
        <v>160695.71187001199</v>
      </c>
      <c r="AR57" s="85">
        <v>160695.71187001199</v>
      </c>
      <c r="AS57" s="85">
        <v>160695.71187001199</v>
      </c>
      <c r="AT57" s="85">
        <v>160695.71187001199</v>
      </c>
      <c r="AU57" s="85">
        <v>160695.71187001199</v>
      </c>
      <c r="AV57" s="85">
        <v>160695.71187001199</v>
      </c>
      <c r="AW57" s="85">
        <v>160695.71187001199</v>
      </c>
      <c r="AX57" s="85">
        <v>160695.71187001199</v>
      </c>
      <c r="AY57" s="85">
        <v>160695.71187001199</v>
      </c>
      <c r="AZ57" s="85">
        <v>160695.71187001199</v>
      </c>
      <c r="BA57" s="85">
        <v>160695.71187001199</v>
      </c>
      <c r="BC57" s="85">
        <v>166426.06571909611</v>
      </c>
    </row>
    <row r="58" spans="1:55" s="85" customFormat="1" ht="15.75">
      <c r="A58" s="12" t="s">
        <v>145</v>
      </c>
      <c r="B58" s="85" t="s">
        <v>190</v>
      </c>
      <c r="C58" s="85">
        <v>28394.8576211994</v>
      </c>
      <c r="D58" s="85">
        <v>26500.136287038</v>
      </c>
      <c r="E58" s="85">
        <v>24605.414952876599</v>
      </c>
      <c r="F58" s="85">
        <v>22710.693618715301</v>
      </c>
      <c r="G58" s="85">
        <v>20815.9722845539</v>
      </c>
      <c r="H58" s="85">
        <v>18921.250950392499</v>
      </c>
      <c r="I58" s="85">
        <v>18676.8852736097</v>
      </c>
      <c r="J58" s="85">
        <v>18432.5195968269</v>
      </c>
      <c r="K58" s="85">
        <v>18188.1539200441</v>
      </c>
      <c r="L58" s="85">
        <v>17943.788243261199</v>
      </c>
      <c r="M58" s="85">
        <v>17699.422566478399</v>
      </c>
      <c r="N58" s="85">
        <v>17464.265516594802</v>
      </c>
      <c r="O58" s="85">
        <v>17229.108466711201</v>
      </c>
      <c r="P58" s="85">
        <v>16993.951416827698</v>
      </c>
      <c r="Q58" s="85">
        <v>16758.794366944101</v>
      </c>
      <c r="R58" s="85">
        <v>16523.6373170605</v>
      </c>
      <c r="S58" s="85">
        <v>16523.6373170605</v>
      </c>
      <c r="T58" s="85">
        <v>16523.6373170605</v>
      </c>
      <c r="U58" s="85">
        <v>16523.6373170605</v>
      </c>
      <c r="V58" s="85">
        <v>16523.6373170605</v>
      </c>
      <c r="W58" s="85">
        <v>16523.6373170605</v>
      </c>
      <c r="X58" s="85">
        <v>16523.6373170605</v>
      </c>
      <c r="Y58" s="85">
        <v>16523.6373170605</v>
      </c>
      <c r="Z58" s="85">
        <v>16523.6373170605</v>
      </c>
      <c r="AA58" s="85">
        <v>16523.6373170605</v>
      </c>
      <c r="AB58" s="85">
        <v>16523.6373170605</v>
      </c>
      <c r="AC58" s="85">
        <v>16523.6373170605</v>
      </c>
      <c r="AD58" s="85">
        <v>16523.6373170605</v>
      </c>
      <c r="AE58" s="85">
        <v>16523.6373170605</v>
      </c>
      <c r="AF58" s="85">
        <v>16523.6373170605</v>
      </c>
      <c r="AG58" s="85">
        <v>16523.6373170605</v>
      </c>
      <c r="AH58" s="85">
        <v>16523.6373170605</v>
      </c>
      <c r="AI58" s="85">
        <v>16523.6373170605</v>
      </c>
      <c r="AJ58" s="85">
        <v>16523.6373170605</v>
      </c>
      <c r="AK58" s="85">
        <v>16523.6373170605</v>
      </c>
      <c r="AL58" s="85">
        <v>16523.6373170605</v>
      </c>
      <c r="AM58" s="85">
        <v>16523.6373170605</v>
      </c>
      <c r="AN58" s="85">
        <v>16523.6373170605</v>
      </c>
      <c r="AO58" s="85">
        <v>16523.6373170605</v>
      </c>
      <c r="AP58" s="85">
        <v>16523.6373170605</v>
      </c>
      <c r="AQ58" s="85">
        <v>16523.6373170605</v>
      </c>
      <c r="AR58" s="85">
        <v>16523.6373170605</v>
      </c>
      <c r="AS58" s="85">
        <v>16523.6373170605</v>
      </c>
      <c r="AT58" s="85">
        <v>16523.6373170605</v>
      </c>
      <c r="AU58" s="85">
        <v>16523.6373170605</v>
      </c>
      <c r="AV58" s="85">
        <v>16523.6373170605</v>
      </c>
      <c r="AW58" s="85">
        <v>16523.6373170605</v>
      </c>
      <c r="AX58" s="85">
        <v>16523.6373170605</v>
      </c>
      <c r="AY58" s="85">
        <v>16523.6373170605</v>
      </c>
      <c r="AZ58" s="85">
        <v>16523.6373170605</v>
      </c>
      <c r="BA58" s="85">
        <v>16523.6373170605</v>
      </c>
      <c r="BC58" s="85">
        <v>38356.83368908472</v>
      </c>
    </row>
    <row r="59" spans="1:55" s="85" customFormat="1" ht="15.75">
      <c r="A59" s="12" t="s">
        <v>145</v>
      </c>
      <c r="B59" s="85" t="s">
        <v>191</v>
      </c>
      <c r="C59" s="85">
        <v>138294.38126705101</v>
      </c>
      <c r="D59" s="85">
        <v>139104.112757758</v>
      </c>
      <c r="E59" s="85">
        <v>139913.84424846599</v>
      </c>
      <c r="F59" s="85">
        <v>140723.57573917299</v>
      </c>
      <c r="G59" s="85">
        <v>141533.30722988001</v>
      </c>
      <c r="H59" s="85">
        <v>142343.038720588</v>
      </c>
      <c r="I59" s="85">
        <v>143239.89194552699</v>
      </c>
      <c r="J59" s="85">
        <v>144136.74517046599</v>
      </c>
      <c r="K59" s="85">
        <v>145033.59839540499</v>
      </c>
      <c r="L59" s="85">
        <v>145930.45162034401</v>
      </c>
      <c r="M59" s="85">
        <v>146827.30484528301</v>
      </c>
      <c r="N59" s="85">
        <v>147871.22505721301</v>
      </c>
      <c r="O59" s="85">
        <v>148915.14526914299</v>
      </c>
      <c r="P59" s="85">
        <v>149959.06548107401</v>
      </c>
      <c r="Q59" s="85">
        <v>151002.98569300401</v>
      </c>
      <c r="R59" s="85">
        <v>152046.90590493401</v>
      </c>
      <c r="S59" s="85">
        <v>153172.02501982299</v>
      </c>
      <c r="T59" s="85">
        <v>154297.144134712</v>
      </c>
      <c r="U59" s="85">
        <v>155422.26324959999</v>
      </c>
      <c r="V59" s="85">
        <v>156547.38236448899</v>
      </c>
      <c r="W59" s="85">
        <v>157672.501479378</v>
      </c>
      <c r="X59" s="85">
        <v>158090.231596289</v>
      </c>
      <c r="Y59" s="85">
        <v>158507.9617132</v>
      </c>
      <c r="Z59" s="85">
        <v>158925.691830111</v>
      </c>
      <c r="AA59" s="85">
        <v>159343.42194702101</v>
      </c>
      <c r="AB59" s="85">
        <v>159761.15206393201</v>
      </c>
      <c r="AC59" s="85">
        <v>160280.50917428601</v>
      </c>
      <c r="AD59" s="85">
        <v>160799.86628464001</v>
      </c>
      <c r="AE59" s="85">
        <v>161319.22339499299</v>
      </c>
      <c r="AF59" s="85">
        <v>161838.580505347</v>
      </c>
      <c r="AG59" s="85">
        <v>162357.937615701</v>
      </c>
      <c r="AH59" s="85">
        <v>163001.17365393401</v>
      </c>
      <c r="AI59" s="85">
        <v>163644.40969216701</v>
      </c>
      <c r="AJ59" s="85">
        <v>164287.64573039999</v>
      </c>
      <c r="AK59" s="85">
        <v>164930.881768633</v>
      </c>
      <c r="AL59" s="85">
        <v>165574.11780686601</v>
      </c>
      <c r="AM59" s="85">
        <v>166236.21381735301</v>
      </c>
      <c r="AN59" s="85">
        <v>166898.30982784001</v>
      </c>
      <c r="AO59" s="85">
        <v>167560.40583832699</v>
      </c>
      <c r="AP59" s="85">
        <v>168222.50184881399</v>
      </c>
      <c r="AQ59" s="85">
        <v>168884.59785930099</v>
      </c>
      <c r="AR59" s="85">
        <v>168884.59785930099</v>
      </c>
      <c r="AS59" s="85">
        <v>168884.59785930099</v>
      </c>
      <c r="AT59" s="85">
        <v>168884.59785930099</v>
      </c>
      <c r="AU59" s="85">
        <v>168884.59785930099</v>
      </c>
      <c r="AV59" s="85">
        <v>168884.59785930099</v>
      </c>
      <c r="AW59" s="85">
        <v>168884.59785930099</v>
      </c>
      <c r="AX59" s="85">
        <v>168884.59785930099</v>
      </c>
      <c r="AY59" s="85">
        <v>168884.59785930099</v>
      </c>
      <c r="AZ59" s="85">
        <v>168884.59785930099</v>
      </c>
      <c r="BA59" s="85">
        <v>168884.59785930099</v>
      </c>
      <c r="BC59" s="85">
        <v>155258.70386157703</v>
      </c>
    </row>
    <row r="60" spans="1:55" s="85" customFormat="1" ht="15.75">
      <c r="A60" s="12" t="s">
        <v>144</v>
      </c>
      <c r="B60" s="85" t="s">
        <v>192</v>
      </c>
      <c r="C60" s="85">
        <v>97482.285015364498</v>
      </c>
      <c r="D60" s="85">
        <v>94547.246519103603</v>
      </c>
      <c r="E60" s="85">
        <v>91612.208022842795</v>
      </c>
      <c r="F60" s="85">
        <v>88677.169526582002</v>
      </c>
      <c r="G60" s="85">
        <v>85742.131030321107</v>
      </c>
      <c r="H60" s="85">
        <v>82807.092534060299</v>
      </c>
      <c r="I60" s="85">
        <v>80681.429948827004</v>
      </c>
      <c r="J60" s="85">
        <v>78555.767363593695</v>
      </c>
      <c r="K60" s="85">
        <v>76430.104778360401</v>
      </c>
      <c r="L60" s="85">
        <v>74304.442193127194</v>
      </c>
      <c r="M60" s="85">
        <v>72178.779607893899</v>
      </c>
      <c r="N60" s="85">
        <v>71369.036015554506</v>
      </c>
      <c r="O60" s="85">
        <v>70559.292423215098</v>
      </c>
      <c r="P60" s="85">
        <v>69749.548830875603</v>
      </c>
      <c r="Q60" s="85">
        <v>68939.805238536195</v>
      </c>
      <c r="R60" s="85">
        <v>68130.061646196802</v>
      </c>
      <c r="S60" s="85">
        <v>67922.795119143106</v>
      </c>
      <c r="T60" s="85">
        <v>67715.528592089395</v>
      </c>
      <c r="U60" s="85">
        <v>67508.262065035698</v>
      </c>
      <c r="V60" s="85">
        <v>67300.995537982002</v>
      </c>
      <c r="W60" s="85">
        <v>67093.729010928306</v>
      </c>
      <c r="X60" s="85">
        <v>67012.204587708999</v>
      </c>
      <c r="Y60" s="85">
        <v>66930.680164489604</v>
      </c>
      <c r="Z60" s="85">
        <v>66849.155741270195</v>
      </c>
      <c r="AA60" s="85">
        <v>66767.6313180508</v>
      </c>
      <c r="AB60" s="85">
        <v>66686.106894831493</v>
      </c>
      <c r="AC60" s="85">
        <v>67204.251713669102</v>
      </c>
      <c r="AD60" s="85">
        <v>67722.396532506697</v>
      </c>
      <c r="AE60" s="85">
        <v>68240.541351344305</v>
      </c>
      <c r="AF60" s="85">
        <v>68758.686170182002</v>
      </c>
      <c r="AG60" s="85">
        <v>69276.830989019596</v>
      </c>
      <c r="AH60" s="85">
        <v>69563.164489717296</v>
      </c>
      <c r="AI60" s="85">
        <v>69849.497990414995</v>
      </c>
      <c r="AJ60" s="85">
        <v>70135.831491112694</v>
      </c>
      <c r="AK60" s="85">
        <v>70422.164991810394</v>
      </c>
      <c r="AL60" s="85">
        <v>70708.498492508093</v>
      </c>
      <c r="AM60" s="85">
        <v>71037.151684264696</v>
      </c>
      <c r="AN60" s="85">
        <v>71365.804876021401</v>
      </c>
      <c r="AO60" s="85">
        <v>71694.458067778003</v>
      </c>
      <c r="AP60" s="85">
        <v>72023.111259534693</v>
      </c>
      <c r="AQ60" s="85">
        <v>72351.764451291296</v>
      </c>
      <c r="AR60" s="85">
        <v>72351.764451291296</v>
      </c>
      <c r="AS60" s="85">
        <v>72351.764451291296</v>
      </c>
      <c r="AT60" s="85">
        <v>72351.764451291296</v>
      </c>
      <c r="AU60" s="85">
        <v>72351.764451291296</v>
      </c>
      <c r="AV60" s="85">
        <v>72351.764451291296</v>
      </c>
      <c r="AW60" s="85">
        <v>72351.764451291296</v>
      </c>
      <c r="AX60" s="85">
        <v>72351.764451291296</v>
      </c>
      <c r="AY60" s="85">
        <v>72351.764451291296</v>
      </c>
      <c r="AZ60" s="85">
        <v>72351.764451291296</v>
      </c>
      <c r="BA60" s="85">
        <v>72351.764451291296</v>
      </c>
      <c r="BC60" s="85">
        <v>78994.790843715484</v>
      </c>
    </row>
    <row r="61" spans="1:55" s="85" customFormat="1" ht="15.75">
      <c r="A61" s="12" t="s">
        <v>144</v>
      </c>
      <c r="B61" s="85" t="s">
        <v>193</v>
      </c>
      <c r="C61" s="85">
        <v>59019.370874527798</v>
      </c>
      <c r="D61" s="85">
        <v>60182.230590568302</v>
      </c>
      <c r="E61" s="85">
        <v>61345.090306608901</v>
      </c>
      <c r="F61" s="85">
        <v>62507.950022649398</v>
      </c>
      <c r="G61" s="85">
        <v>63670.809738689903</v>
      </c>
      <c r="H61" s="85">
        <v>64833.669454730501</v>
      </c>
      <c r="I61" s="85">
        <v>65335.714840973502</v>
      </c>
      <c r="J61" s="85">
        <v>65837.760227216495</v>
      </c>
      <c r="K61" s="85">
        <v>66339.805613459495</v>
      </c>
      <c r="L61" s="85">
        <v>66841.850999702496</v>
      </c>
      <c r="M61" s="85">
        <v>67343.896385945598</v>
      </c>
      <c r="N61" s="85">
        <v>67811.559032627905</v>
      </c>
      <c r="O61" s="85">
        <v>68279.2216793103</v>
      </c>
      <c r="P61" s="85">
        <v>68746.884325992607</v>
      </c>
      <c r="Q61" s="85">
        <v>69214.546972675002</v>
      </c>
      <c r="R61" s="85">
        <v>69682.209619357396</v>
      </c>
      <c r="S61" s="85">
        <v>70168.452056750495</v>
      </c>
      <c r="T61" s="85">
        <v>70654.694494143696</v>
      </c>
      <c r="U61" s="85">
        <v>71140.936931536897</v>
      </c>
      <c r="V61" s="85">
        <v>71627.179368929996</v>
      </c>
      <c r="W61" s="85">
        <v>72113.421806323197</v>
      </c>
      <c r="X61" s="85">
        <v>72254.578302727299</v>
      </c>
      <c r="Y61" s="85">
        <v>72395.734799131402</v>
      </c>
      <c r="Z61" s="85">
        <v>72536.891295535403</v>
      </c>
      <c r="AA61" s="85">
        <v>72678.047791939505</v>
      </c>
      <c r="AB61" s="85">
        <v>72819.204288343593</v>
      </c>
      <c r="AC61" s="85">
        <v>73076.874988623793</v>
      </c>
      <c r="AD61" s="85">
        <v>73334.545688903905</v>
      </c>
      <c r="AE61" s="85">
        <v>73592.216389184105</v>
      </c>
      <c r="AF61" s="85">
        <v>73849.887089464304</v>
      </c>
      <c r="AG61" s="85">
        <v>74107.557789744504</v>
      </c>
      <c r="AH61" s="85">
        <v>74403.922994788503</v>
      </c>
      <c r="AI61" s="85">
        <v>74700.288199832605</v>
      </c>
      <c r="AJ61" s="85">
        <v>74996.653404876604</v>
      </c>
      <c r="AK61" s="85">
        <v>75293.018609920604</v>
      </c>
      <c r="AL61" s="85">
        <v>75589.383814964604</v>
      </c>
      <c r="AM61" s="85">
        <v>75876.299282349006</v>
      </c>
      <c r="AN61" s="85">
        <v>76163.214749733394</v>
      </c>
      <c r="AO61" s="85">
        <v>76450.130217117694</v>
      </c>
      <c r="AP61" s="85">
        <v>76737.045684502096</v>
      </c>
      <c r="AQ61" s="85">
        <v>77023.961151886499</v>
      </c>
      <c r="AR61" s="85">
        <v>77023.961151886499</v>
      </c>
      <c r="AS61" s="85">
        <v>77023.961151886499</v>
      </c>
      <c r="AT61" s="85">
        <v>77023.961151886499</v>
      </c>
      <c r="AU61" s="85">
        <v>77023.961151886499</v>
      </c>
      <c r="AV61" s="85">
        <v>77023.961151886499</v>
      </c>
      <c r="AW61" s="85">
        <v>77023.961151886499</v>
      </c>
      <c r="AX61" s="85">
        <v>77023.961151886499</v>
      </c>
      <c r="AY61" s="85">
        <v>77023.961151886499</v>
      </c>
      <c r="AZ61" s="85">
        <v>77023.961151886499</v>
      </c>
      <c r="BA61" s="85">
        <v>77023.961151886499</v>
      </c>
      <c r="BC61" s="85">
        <v>68790.444903315016</v>
      </c>
    </row>
    <row r="62" spans="1:55" s="85" customFormat="1" ht="15.75">
      <c r="A62" s="12" t="s">
        <v>144</v>
      </c>
      <c r="B62" s="85" t="s">
        <v>194</v>
      </c>
      <c r="C62" s="85">
        <v>55872.689100644697</v>
      </c>
      <c r="D62" s="85">
        <v>57397.498968030501</v>
      </c>
      <c r="E62" s="85">
        <v>58922.308835416297</v>
      </c>
      <c r="F62" s="85">
        <v>60447.118702802101</v>
      </c>
      <c r="G62" s="85">
        <v>61971.928570187898</v>
      </c>
      <c r="H62" s="85">
        <v>63496.738437573702</v>
      </c>
      <c r="I62" s="85">
        <v>64360.659543596099</v>
      </c>
      <c r="J62" s="85">
        <v>65224.580649618598</v>
      </c>
      <c r="K62" s="85">
        <v>66088.501755641002</v>
      </c>
      <c r="L62" s="85">
        <v>66952.422861663494</v>
      </c>
      <c r="M62" s="85">
        <v>67816.343967685898</v>
      </c>
      <c r="N62" s="85">
        <v>68250.988822889907</v>
      </c>
      <c r="O62" s="85">
        <v>68685.633678094004</v>
      </c>
      <c r="P62" s="85">
        <v>69120.278533297998</v>
      </c>
      <c r="Q62" s="85">
        <v>69554.923388502095</v>
      </c>
      <c r="R62" s="85">
        <v>69989.568243706104</v>
      </c>
      <c r="S62" s="85">
        <v>70468.787934473003</v>
      </c>
      <c r="T62" s="85">
        <v>70948.007625239901</v>
      </c>
      <c r="U62" s="85">
        <v>71427.2273160068</v>
      </c>
      <c r="V62" s="85">
        <v>71906.4470067738</v>
      </c>
      <c r="W62" s="85">
        <v>72385.666697540699</v>
      </c>
      <c r="X62" s="85">
        <v>72518.591640727798</v>
      </c>
      <c r="Y62" s="85">
        <v>72651.516583914898</v>
      </c>
      <c r="Z62" s="85">
        <v>72784.441527102099</v>
      </c>
      <c r="AA62" s="85">
        <v>72917.366470289198</v>
      </c>
      <c r="AB62" s="85">
        <v>73050.2914134764</v>
      </c>
      <c r="AC62" s="85">
        <v>73295.0666035373</v>
      </c>
      <c r="AD62" s="85">
        <v>73539.8417935982</v>
      </c>
      <c r="AE62" s="85">
        <v>73784.6169836591</v>
      </c>
      <c r="AF62" s="85">
        <v>74029.39217372</v>
      </c>
      <c r="AG62" s="85">
        <v>74274.1673637809</v>
      </c>
      <c r="AH62" s="85">
        <v>74568.931474696903</v>
      </c>
      <c r="AI62" s="85">
        <v>74863.695585612993</v>
      </c>
      <c r="AJ62" s="85">
        <v>75158.459696529098</v>
      </c>
      <c r="AK62" s="85">
        <v>75453.223807445102</v>
      </c>
      <c r="AL62" s="85">
        <v>75747.987918361207</v>
      </c>
      <c r="AM62" s="85">
        <v>76031.667268913705</v>
      </c>
      <c r="AN62" s="85">
        <v>76315.346619466305</v>
      </c>
      <c r="AO62" s="85">
        <v>76599.025970018803</v>
      </c>
      <c r="AP62" s="85">
        <v>76882.705320571404</v>
      </c>
      <c r="AQ62" s="85">
        <v>77166.384671123902</v>
      </c>
      <c r="AR62" s="85">
        <v>77166.384671123902</v>
      </c>
      <c r="AS62" s="85">
        <v>77166.384671123902</v>
      </c>
      <c r="AT62" s="85">
        <v>77166.384671123902</v>
      </c>
      <c r="AU62" s="85">
        <v>77166.384671123902</v>
      </c>
      <c r="AV62" s="85">
        <v>77166.384671123902</v>
      </c>
      <c r="AW62" s="85">
        <v>77166.384671123902</v>
      </c>
      <c r="AX62" s="85">
        <v>77166.384671123902</v>
      </c>
      <c r="AY62" s="85">
        <v>77166.384671123902</v>
      </c>
      <c r="AZ62" s="85">
        <v>77166.384671123902</v>
      </c>
      <c r="BA62" s="85">
        <v>77166.384671123902</v>
      </c>
      <c r="BC62" s="85">
        <v>68126.066685689249</v>
      </c>
    </row>
    <row r="63" spans="1:55" s="85" customFormat="1" ht="15.75">
      <c r="A63" s="12" t="s">
        <v>146</v>
      </c>
      <c r="B63" s="85" t="s">
        <v>195</v>
      </c>
      <c r="C63" s="85">
        <v>9774.9513045954609</v>
      </c>
      <c r="D63" s="85">
        <v>8876.3608749922205</v>
      </c>
      <c r="E63" s="85">
        <v>7977.7704453889701</v>
      </c>
      <c r="F63" s="85">
        <v>7079.1800157857297</v>
      </c>
      <c r="G63" s="85">
        <v>6180.5895861824802</v>
      </c>
      <c r="H63" s="85">
        <v>5281.9991565792297</v>
      </c>
      <c r="I63" s="85">
        <v>5281.9991565792297</v>
      </c>
      <c r="J63" s="85">
        <v>5281.9991565792297</v>
      </c>
      <c r="K63" s="85">
        <v>5281.9991565792297</v>
      </c>
      <c r="L63" s="85">
        <v>5281.9991565792297</v>
      </c>
      <c r="M63" s="85">
        <v>5281.9991565792297</v>
      </c>
      <c r="N63" s="85">
        <v>5281.9991565792297</v>
      </c>
      <c r="O63" s="85">
        <v>5281.9991565792297</v>
      </c>
      <c r="P63" s="85">
        <v>5281.9991565792297</v>
      </c>
      <c r="Q63" s="85">
        <v>5281.9991565792297</v>
      </c>
      <c r="R63" s="85">
        <v>5281.9991565792297</v>
      </c>
      <c r="S63" s="85">
        <v>5281.9991565792297</v>
      </c>
      <c r="T63" s="85">
        <v>5281.9991565792297</v>
      </c>
      <c r="U63" s="85">
        <v>5281.9991565792297</v>
      </c>
      <c r="V63" s="85">
        <v>5281.9991565792297</v>
      </c>
      <c r="W63" s="85">
        <v>5281.9991565792297</v>
      </c>
      <c r="X63" s="85">
        <v>5281.9991565792297</v>
      </c>
      <c r="Y63" s="85">
        <v>5281.9991565792297</v>
      </c>
      <c r="Z63" s="85">
        <v>5281.9991565792297</v>
      </c>
      <c r="AA63" s="85">
        <v>5281.9991565792297</v>
      </c>
      <c r="AB63" s="85">
        <v>5281.9991565792297</v>
      </c>
      <c r="AC63" s="85">
        <v>5281.9991565792297</v>
      </c>
      <c r="AD63" s="85">
        <v>5281.9991565792297</v>
      </c>
      <c r="AE63" s="85">
        <v>5281.9991565792297</v>
      </c>
      <c r="AF63" s="85">
        <v>5281.9991565792297</v>
      </c>
      <c r="AG63" s="85">
        <v>5281.9991565792297</v>
      </c>
      <c r="AH63" s="85">
        <v>5281.9991565792297</v>
      </c>
      <c r="AI63" s="85">
        <v>5281.9991565792297</v>
      </c>
      <c r="AJ63" s="85">
        <v>5281.9991565792297</v>
      </c>
      <c r="AK63" s="85">
        <v>5281.9991565792297</v>
      </c>
      <c r="AL63" s="85">
        <v>5281.9991565792297</v>
      </c>
      <c r="AM63" s="85">
        <v>5281.9991565792297</v>
      </c>
      <c r="AN63" s="85">
        <v>5281.9991565792297</v>
      </c>
      <c r="AO63" s="85">
        <v>5281.9991565792297</v>
      </c>
      <c r="AP63" s="85">
        <v>5281.9991565792297</v>
      </c>
      <c r="AQ63" s="85">
        <v>5281.9991565792297</v>
      </c>
      <c r="AR63" s="85">
        <v>5281.9991565792297</v>
      </c>
      <c r="AS63" s="85">
        <v>5281.9991565792297</v>
      </c>
      <c r="AT63" s="85">
        <v>5281.9991565792297</v>
      </c>
      <c r="AU63" s="85">
        <v>5281.9991565792297</v>
      </c>
      <c r="AV63" s="85">
        <v>5281.9991565792297</v>
      </c>
      <c r="AW63" s="85">
        <v>5281.9991565792297</v>
      </c>
      <c r="AX63" s="85">
        <v>5281.9991565792297</v>
      </c>
      <c r="AY63" s="85">
        <v>5281.9991565792297</v>
      </c>
      <c r="AZ63" s="85">
        <v>5281.9991565792297</v>
      </c>
      <c r="BA63" s="85">
        <v>5281.9991565792297</v>
      </c>
      <c r="BC63" s="85">
        <v>11871.71555095992</v>
      </c>
    </row>
    <row r="64" spans="1:55" s="85" customFormat="1" ht="15.75">
      <c r="A64" s="12" t="s">
        <v>146</v>
      </c>
      <c r="B64" s="85" t="s">
        <v>196</v>
      </c>
      <c r="C64" s="85">
        <v>28293.7961012509</v>
      </c>
      <c r="D64" s="85">
        <v>28394.2099718805</v>
      </c>
      <c r="E64" s="85">
        <v>28494.6238425101</v>
      </c>
      <c r="F64" s="85">
        <v>28595.0377131397</v>
      </c>
      <c r="G64" s="85">
        <v>28695.4515837693</v>
      </c>
      <c r="H64" s="85">
        <v>28795.8654543989</v>
      </c>
      <c r="I64" s="85">
        <v>29125.892695095899</v>
      </c>
      <c r="J64" s="85">
        <v>29455.919935793001</v>
      </c>
      <c r="K64" s="85">
        <v>29785.947176490001</v>
      </c>
      <c r="L64" s="85">
        <v>30115.974417187099</v>
      </c>
      <c r="M64" s="85">
        <v>30446.001657884099</v>
      </c>
      <c r="N64" s="85">
        <v>31110.395693909701</v>
      </c>
      <c r="O64" s="85">
        <v>31774.789729935201</v>
      </c>
      <c r="P64" s="85">
        <v>32439.183765960799</v>
      </c>
      <c r="Q64" s="85">
        <v>33103.577801986401</v>
      </c>
      <c r="R64" s="85">
        <v>33767.971838011901</v>
      </c>
      <c r="S64" s="85">
        <v>34108.489276413296</v>
      </c>
      <c r="T64" s="85">
        <v>34449.006714814699</v>
      </c>
      <c r="U64" s="85">
        <v>34789.524153216204</v>
      </c>
      <c r="V64" s="85">
        <v>35130.041591617599</v>
      </c>
      <c r="W64" s="85">
        <v>35470.559030019002</v>
      </c>
      <c r="X64" s="85">
        <v>35553.576702596103</v>
      </c>
      <c r="Y64" s="85">
        <v>35636.594375173197</v>
      </c>
      <c r="Z64" s="85">
        <v>35719.612047750401</v>
      </c>
      <c r="AA64" s="85">
        <v>35802.629720327503</v>
      </c>
      <c r="AB64" s="85">
        <v>35885.647392904597</v>
      </c>
      <c r="AC64" s="85">
        <v>35942.882074081601</v>
      </c>
      <c r="AD64" s="85">
        <v>36000.116755258503</v>
      </c>
      <c r="AE64" s="85">
        <v>36057.3514364355</v>
      </c>
      <c r="AF64" s="85">
        <v>36114.586117612402</v>
      </c>
      <c r="AG64" s="85">
        <v>36171.820798789398</v>
      </c>
      <c r="AH64" s="85">
        <v>36335.919549424703</v>
      </c>
      <c r="AI64" s="85">
        <v>36500.018300060001</v>
      </c>
      <c r="AJ64" s="85">
        <v>36664.117050695299</v>
      </c>
      <c r="AK64" s="85">
        <v>36828.215801330502</v>
      </c>
      <c r="AL64" s="85">
        <v>36992.314551965799</v>
      </c>
      <c r="AM64" s="85">
        <v>37139.883741300997</v>
      </c>
      <c r="AN64" s="85">
        <v>37287.452930636202</v>
      </c>
      <c r="AO64" s="85">
        <v>37435.022119971298</v>
      </c>
      <c r="AP64" s="85">
        <v>37582.591309306503</v>
      </c>
      <c r="AQ64" s="85">
        <v>37730.160498641599</v>
      </c>
      <c r="AR64" s="85">
        <v>37730.160498641599</v>
      </c>
      <c r="AS64" s="85">
        <v>37730.160498641599</v>
      </c>
      <c r="AT64" s="85">
        <v>37730.160498641599</v>
      </c>
      <c r="AU64" s="85">
        <v>37730.160498641599</v>
      </c>
      <c r="AV64" s="85">
        <v>37730.160498641599</v>
      </c>
      <c r="AW64" s="85">
        <v>37730.160498641599</v>
      </c>
      <c r="AX64" s="85">
        <v>37730.160498641599</v>
      </c>
      <c r="AY64" s="85">
        <v>37730.160498641599</v>
      </c>
      <c r="AZ64" s="85">
        <v>37730.160498641599</v>
      </c>
      <c r="BA64" s="85">
        <v>37730.160498641599</v>
      </c>
      <c r="BC64" s="85">
        <v>34354.151463321126</v>
      </c>
    </row>
    <row r="65" spans="1:55" s="85" customFormat="1" ht="15.75">
      <c r="A65" s="12" t="s">
        <v>146</v>
      </c>
      <c r="B65" s="85" t="s">
        <v>197</v>
      </c>
      <c r="C65" s="85">
        <v>29743.257671373602</v>
      </c>
      <c r="D65" s="85">
        <v>30023.0241217086</v>
      </c>
      <c r="E65" s="85">
        <v>30302.790572043599</v>
      </c>
      <c r="F65" s="85">
        <v>30582.5570223787</v>
      </c>
      <c r="G65" s="85">
        <v>30862.323472713699</v>
      </c>
      <c r="H65" s="85">
        <v>31142.089923048799</v>
      </c>
      <c r="I65" s="85">
        <v>31588.249456296198</v>
      </c>
      <c r="J65" s="85">
        <v>32034.408989543699</v>
      </c>
      <c r="K65" s="85">
        <v>32480.5685227912</v>
      </c>
      <c r="L65" s="85">
        <v>32926.728056038701</v>
      </c>
      <c r="M65" s="85">
        <v>33372.887589286198</v>
      </c>
      <c r="N65" s="85">
        <v>33741.876910819199</v>
      </c>
      <c r="O65" s="85">
        <v>34110.8662323522</v>
      </c>
      <c r="P65" s="85">
        <v>34479.855553885303</v>
      </c>
      <c r="Q65" s="85">
        <v>34848.844875418297</v>
      </c>
      <c r="R65" s="85">
        <v>35217.8341969514</v>
      </c>
      <c r="S65" s="85">
        <v>35407.1533924588</v>
      </c>
      <c r="T65" s="85">
        <v>35596.4725879662</v>
      </c>
      <c r="U65" s="85">
        <v>35785.7917834736</v>
      </c>
      <c r="V65" s="85">
        <v>35975.110978981</v>
      </c>
      <c r="W65" s="85">
        <v>36164.4301744884</v>
      </c>
      <c r="X65" s="85">
        <v>36108.663249625402</v>
      </c>
      <c r="Y65" s="85">
        <v>36052.896324762398</v>
      </c>
      <c r="Z65" s="85">
        <v>35997.129399899401</v>
      </c>
      <c r="AA65" s="85">
        <v>35941.362475036301</v>
      </c>
      <c r="AB65" s="85">
        <v>35885.595550173297</v>
      </c>
      <c r="AC65" s="85">
        <v>35942.827475116297</v>
      </c>
      <c r="AD65" s="85">
        <v>36000.059400059297</v>
      </c>
      <c r="AE65" s="85">
        <v>36057.291325002298</v>
      </c>
      <c r="AF65" s="85">
        <v>36114.523249945298</v>
      </c>
      <c r="AG65" s="85">
        <v>36171.755174888298</v>
      </c>
      <c r="AH65" s="85">
        <v>36335.859731908997</v>
      </c>
      <c r="AI65" s="85">
        <v>36499.964288929703</v>
      </c>
      <c r="AJ65" s="85">
        <v>36664.068845950402</v>
      </c>
      <c r="AK65" s="85">
        <v>36828.173402971101</v>
      </c>
      <c r="AL65" s="85">
        <v>36992.277959991799</v>
      </c>
      <c r="AM65" s="85">
        <v>37139.840213364601</v>
      </c>
      <c r="AN65" s="85">
        <v>37287.402466737301</v>
      </c>
      <c r="AO65" s="85">
        <v>37434.964720110103</v>
      </c>
      <c r="AP65" s="85">
        <v>37582.526973482898</v>
      </c>
      <c r="AQ65" s="85">
        <v>37730.089226855598</v>
      </c>
      <c r="AR65" s="85">
        <v>37730.089226855598</v>
      </c>
      <c r="AS65" s="85">
        <v>37730.089226855598</v>
      </c>
      <c r="AT65" s="85">
        <v>37730.089226855598</v>
      </c>
      <c r="AU65" s="85">
        <v>37730.089226855598</v>
      </c>
      <c r="AV65" s="85">
        <v>37730.089226855598</v>
      </c>
      <c r="AW65" s="85">
        <v>37730.089226855598</v>
      </c>
      <c r="AX65" s="85">
        <v>37730.089226855598</v>
      </c>
      <c r="AY65" s="85">
        <v>37730.089226855598</v>
      </c>
      <c r="AZ65" s="85">
        <v>37730.089226855598</v>
      </c>
      <c r="BA65" s="85">
        <v>37730.089226855598</v>
      </c>
      <c r="BC65" s="85">
        <v>34961.745255937552</v>
      </c>
    </row>
    <row r="66" spans="1:55" s="85" customFormat="1" ht="15.75">
      <c r="A66" s="12" t="s">
        <v>141</v>
      </c>
      <c r="B66" s="85" t="s">
        <v>198</v>
      </c>
      <c r="C66" s="85">
        <v>33506.174613714997</v>
      </c>
      <c r="D66" s="85">
        <v>33567.945136029201</v>
      </c>
      <c r="E66" s="85">
        <v>33629.715658343302</v>
      </c>
      <c r="F66" s="85">
        <v>33691.486180657499</v>
      </c>
      <c r="G66" s="85">
        <v>33753.256702971601</v>
      </c>
      <c r="H66" s="85">
        <v>33815.027225285798</v>
      </c>
      <c r="I66" s="85">
        <v>33563.849751429203</v>
      </c>
      <c r="J66" s="85">
        <v>33312.672277572601</v>
      </c>
      <c r="K66" s="85">
        <v>33061.494803715999</v>
      </c>
      <c r="L66" s="85">
        <v>32810.317329859499</v>
      </c>
      <c r="M66" s="85">
        <v>32559.139856002901</v>
      </c>
      <c r="N66" s="85">
        <v>32888.823987353098</v>
      </c>
      <c r="O66" s="85">
        <v>33218.508118703401</v>
      </c>
      <c r="P66" s="85">
        <v>33548.192250053602</v>
      </c>
      <c r="Q66" s="85">
        <v>33877.876381403898</v>
      </c>
      <c r="R66" s="85">
        <v>34207.560512754098</v>
      </c>
      <c r="S66" s="85">
        <v>34394.800427427297</v>
      </c>
      <c r="T66" s="85">
        <v>34582.040342100503</v>
      </c>
      <c r="U66" s="85">
        <v>34769.280256773702</v>
      </c>
      <c r="V66" s="85">
        <v>34956.5201714469</v>
      </c>
      <c r="W66" s="85">
        <v>35143.760086119997</v>
      </c>
      <c r="X66" s="85">
        <v>35275.832030121303</v>
      </c>
      <c r="Y66" s="85">
        <v>35407.903974122601</v>
      </c>
      <c r="Z66" s="85">
        <v>35539.975918123899</v>
      </c>
      <c r="AA66" s="85">
        <v>35672.047862125197</v>
      </c>
      <c r="AB66" s="85">
        <v>35804.119806126502</v>
      </c>
      <c r="AC66" s="85">
        <v>35876.0838533231</v>
      </c>
      <c r="AD66" s="85">
        <v>35948.047900519698</v>
      </c>
      <c r="AE66" s="85">
        <v>36020.011947716303</v>
      </c>
      <c r="AF66" s="85">
        <v>36091.9759949129</v>
      </c>
      <c r="AG66" s="85">
        <v>36163.940042109498</v>
      </c>
      <c r="AH66" s="85">
        <v>36287.331365920501</v>
      </c>
      <c r="AI66" s="85">
        <v>36410.722689731498</v>
      </c>
      <c r="AJ66" s="85">
        <v>36534.114013542501</v>
      </c>
      <c r="AK66" s="85">
        <v>36657.505337353497</v>
      </c>
      <c r="AL66" s="85">
        <v>36780.896661164501</v>
      </c>
      <c r="AM66" s="85">
        <v>36913.529601854199</v>
      </c>
      <c r="AN66" s="85">
        <v>37046.162542544</v>
      </c>
      <c r="AO66" s="85">
        <v>37178.795483233698</v>
      </c>
      <c r="AP66" s="85">
        <v>37311.428423923397</v>
      </c>
      <c r="AQ66" s="85">
        <v>37444.061364613197</v>
      </c>
      <c r="AR66" s="85">
        <v>37444.061364613197</v>
      </c>
      <c r="AS66" s="85">
        <v>37444.061364613197</v>
      </c>
      <c r="AT66" s="85">
        <v>37444.061364613197</v>
      </c>
      <c r="AU66" s="85">
        <v>37444.061364613197</v>
      </c>
      <c r="AV66" s="85">
        <v>37444.061364613197</v>
      </c>
      <c r="AW66" s="85">
        <v>37444.061364613197</v>
      </c>
      <c r="AX66" s="85">
        <v>37444.061364613197</v>
      </c>
      <c r="AY66" s="85">
        <v>37444.061364613197</v>
      </c>
      <c r="AZ66" s="85">
        <v>37444.061364613197</v>
      </c>
      <c r="BA66" s="85">
        <v>37444.061364613197</v>
      </c>
      <c r="BC66" s="85">
        <v>38399.901376300746</v>
      </c>
    </row>
    <row r="67" spans="1:55" s="85" customFormat="1" ht="15.75">
      <c r="A67" s="12" t="s">
        <v>142</v>
      </c>
      <c r="B67" s="85" t="s">
        <v>199</v>
      </c>
      <c r="C67" s="85">
        <v>33346.165253846499</v>
      </c>
      <c r="D67" s="85">
        <v>33196.863402926603</v>
      </c>
      <c r="E67" s="85">
        <v>33047.5615520067</v>
      </c>
      <c r="F67" s="85">
        <v>32898.259701086798</v>
      </c>
      <c r="G67" s="85">
        <v>32748.957850166898</v>
      </c>
      <c r="H67" s="85">
        <v>32599.655999246999</v>
      </c>
      <c r="I67" s="85">
        <v>32842.649489881202</v>
      </c>
      <c r="J67" s="85">
        <v>33085.642980515498</v>
      </c>
      <c r="K67" s="85">
        <v>33328.636471149803</v>
      </c>
      <c r="L67" s="85">
        <v>33571.6299617841</v>
      </c>
      <c r="M67" s="85">
        <v>33814.623452418396</v>
      </c>
      <c r="N67" s="85">
        <v>34018.455779169803</v>
      </c>
      <c r="O67" s="85">
        <v>34222.288105921303</v>
      </c>
      <c r="P67" s="85">
        <v>34426.120432672702</v>
      </c>
      <c r="Q67" s="85">
        <v>34629.952759424203</v>
      </c>
      <c r="R67" s="85">
        <v>34833.785086175601</v>
      </c>
      <c r="S67" s="85">
        <v>35044.833122538897</v>
      </c>
      <c r="T67" s="85">
        <v>35255.881158902099</v>
      </c>
      <c r="U67" s="85">
        <v>35466.9291952653</v>
      </c>
      <c r="V67" s="85">
        <v>35677.977231628502</v>
      </c>
      <c r="W67" s="85">
        <v>35889.025267991703</v>
      </c>
      <c r="X67" s="85">
        <v>35872.046367672701</v>
      </c>
      <c r="Y67" s="85">
        <v>35855.067467353598</v>
      </c>
      <c r="Z67" s="85">
        <v>35838.088567034501</v>
      </c>
      <c r="AA67" s="85">
        <v>35821.1096667155</v>
      </c>
      <c r="AB67" s="85">
        <v>35804.130766396403</v>
      </c>
      <c r="AC67" s="85">
        <v>35876.088240460398</v>
      </c>
      <c r="AD67" s="85">
        <v>35948.045714524298</v>
      </c>
      <c r="AE67" s="85">
        <v>36020.0031885883</v>
      </c>
      <c r="AF67" s="85">
        <v>36091.960662652302</v>
      </c>
      <c r="AG67" s="85">
        <v>36163.918136716296</v>
      </c>
      <c r="AH67" s="85">
        <v>36287.315730036702</v>
      </c>
      <c r="AI67" s="85">
        <v>36410.713323357202</v>
      </c>
      <c r="AJ67" s="85">
        <v>36534.110916677702</v>
      </c>
      <c r="AK67" s="85">
        <v>36657.508509998101</v>
      </c>
      <c r="AL67" s="85">
        <v>36780.906103318601</v>
      </c>
      <c r="AM67" s="85">
        <v>36913.536544001203</v>
      </c>
      <c r="AN67" s="85">
        <v>37046.166984683798</v>
      </c>
      <c r="AO67" s="85">
        <v>37178.7974253664</v>
      </c>
      <c r="AP67" s="85">
        <v>37311.427866049002</v>
      </c>
      <c r="AQ67" s="85">
        <v>37444.058306731597</v>
      </c>
      <c r="AR67" s="85">
        <v>37444.058306731597</v>
      </c>
      <c r="AS67" s="85">
        <v>37444.058306731597</v>
      </c>
      <c r="AT67" s="85">
        <v>37444.058306731597</v>
      </c>
      <c r="AU67" s="85">
        <v>37444.058306731597</v>
      </c>
      <c r="AV67" s="85">
        <v>37444.058306731597</v>
      </c>
      <c r="AW67" s="85">
        <v>37444.058306731597</v>
      </c>
      <c r="AX67" s="85">
        <v>37444.058306731597</v>
      </c>
      <c r="AY67" s="85">
        <v>37444.058306731597</v>
      </c>
      <c r="AZ67" s="85">
        <v>37444.058306731597</v>
      </c>
      <c r="BA67" s="85">
        <v>37444.058306731597</v>
      </c>
      <c r="BC67" s="85">
        <v>33700.276020704143</v>
      </c>
    </row>
    <row r="68" spans="1:55" s="85" customFormat="1" ht="15.75">
      <c r="A68" s="12" t="s">
        <v>143</v>
      </c>
      <c r="B68" s="85" t="s">
        <v>200</v>
      </c>
      <c r="C68" s="85">
        <v>34768.761814708399</v>
      </c>
      <c r="D68" s="85">
        <v>34874.359196547302</v>
      </c>
      <c r="E68" s="85">
        <v>34979.956578386104</v>
      </c>
      <c r="F68" s="85">
        <v>35085.553960224897</v>
      </c>
      <c r="G68" s="85">
        <v>35191.1513420638</v>
      </c>
      <c r="H68" s="85">
        <v>35296.748723902601</v>
      </c>
      <c r="I68" s="85">
        <v>35258.3694670431</v>
      </c>
      <c r="J68" s="85">
        <v>35219.9902101837</v>
      </c>
      <c r="K68" s="85">
        <v>35181.610953324198</v>
      </c>
      <c r="L68" s="85">
        <v>35143.231696464703</v>
      </c>
      <c r="M68" s="85">
        <v>35104.852439605202</v>
      </c>
      <c r="N68" s="85">
        <v>35196.179680737703</v>
      </c>
      <c r="O68" s="85">
        <v>35287.506921870197</v>
      </c>
      <c r="P68" s="85">
        <v>35378.834163002699</v>
      </c>
      <c r="Q68" s="85">
        <v>35470.161404135099</v>
      </c>
      <c r="R68" s="85">
        <v>35561.4886452676</v>
      </c>
      <c r="S68" s="85">
        <v>35651.631605449198</v>
      </c>
      <c r="T68" s="85">
        <v>35741.774565630702</v>
      </c>
      <c r="U68" s="85">
        <v>35831.9175258123</v>
      </c>
      <c r="V68" s="85">
        <v>35922.060485993898</v>
      </c>
      <c r="W68" s="85">
        <v>36012.203446175503</v>
      </c>
      <c r="X68" s="85">
        <v>35970.592426470401</v>
      </c>
      <c r="Y68" s="85">
        <v>35928.981406765299</v>
      </c>
      <c r="Z68" s="85">
        <v>35887.370387060197</v>
      </c>
      <c r="AA68" s="85">
        <v>35845.759367355102</v>
      </c>
      <c r="AB68" s="85">
        <v>35804.148347650102</v>
      </c>
      <c r="AC68" s="85">
        <v>35876.111654955297</v>
      </c>
      <c r="AD68" s="85">
        <v>35948.074962260602</v>
      </c>
      <c r="AE68" s="85">
        <v>36020.038269565899</v>
      </c>
      <c r="AF68" s="85">
        <v>36092.001576871102</v>
      </c>
      <c r="AG68" s="85">
        <v>36163.964884176399</v>
      </c>
      <c r="AH68" s="85">
        <v>36287.359135307503</v>
      </c>
      <c r="AI68" s="85">
        <v>36410.753386438599</v>
      </c>
      <c r="AJ68" s="85">
        <v>36534.147637569797</v>
      </c>
      <c r="AK68" s="85">
        <v>36657.5418887009</v>
      </c>
      <c r="AL68" s="85">
        <v>36780.936139832003</v>
      </c>
      <c r="AM68" s="85">
        <v>36913.564143494397</v>
      </c>
      <c r="AN68" s="85">
        <v>37046.1921471569</v>
      </c>
      <c r="AO68" s="85">
        <v>37178.820150819301</v>
      </c>
      <c r="AP68" s="85">
        <v>37311.448154481703</v>
      </c>
      <c r="AQ68" s="85">
        <v>37444.076158144198</v>
      </c>
      <c r="AR68" s="85">
        <v>37444.076158144198</v>
      </c>
      <c r="AS68" s="85">
        <v>37444.076158144198</v>
      </c>
      <c r="AT68" s="85">
        <v>37444.076158144198</v>
      </c>
      <c r="AU68" s="85">
        <v>37444.076158144198</v>
      </c>
      <c r="AV68" s="85">
        <v>37444.076158144198</v>
      </c>
      <c r="AW68" s="85">
        <v>37444.076158144198</v>
      </c>
      <c r="AX68" s="85">
        <v>37444.076158144198</v>
      </c>
      <c r="AY68" s="85">
        <v>37444.076158144198</v>
      </c>
      <c r="AZ68" s="85">
        <v>37444.076158144198</v>
      </c>
      <c r="BA68" s="85">
        <v>37444.076158144198</v>
      </c>
      <c r="BC68" s="85">
        <v>35644.527293675485</v>
      </c>
    </row>
    <row r="69" spans="1:55" s="85" customFormat="1" ht="15.75">
      <c r="A69" s="12" t="s">
        <v>141</v>
      </c>
      <c r="B69" s="85" t="s">
        <v>201</v>
      </c>
      <c r="C69" s="85">
        <v>21091.627394977299</v>
      </c>
      <c r="D69" s="85">
        <v>21037.2655284008</v>
      </c>
      <c r="E69" s="85">
        <v>20982.903661824399</v>
      </c>
      <c r="F69" s="85">
        <v>20928.5417952479</v>
      </c>
      <c r="G69" s="85">
        <v>20874.1799286715</v>
      </c>
      <c r="H69" s="85">
        <v>20819.818062095001</v>
      </c>
      <c r="I69" s="85">
        <v>20953.839773384399</v>
      </c>
      <c r="J69" s="85">
        <v>21087.861484673798</v>
      </c>
      <c r="K69" s="85">
        <v>21221.883195963299</v>
      </c>
      <c r="L69" s="85">
        <v>21355.904907252701</v>
      </c>
      <c r="M69" s="85">
        <v>21489.9266185421</v>
      </c>
      <c r="N69" s="85">
        <v>21724.936820316099</v>
      </c>
      <c r="O69" s="85">
        <v>21959.9470220902</v>
      </c>
      <c r="P69" s="85">
        <v>22194.957223864199</v>
      </c>
      <c r="Q69" s="85">
        <v>22429.967425638199</v>
      </c>
      <c r="R69" s="85">
        <v>22664.9776274123</v>
      </c>
      <c r="S69" s="85">
        <v>22777.3993085865</v>
      </c>
      <c r="T69" s="85">
        <v>22889.820989760701</v>
      </c>
      <c r="U69" s="85">
        <v>23002.2426709348</v>
      </c>
      <c r="V69" s="85">
        <v>23114.664352109001</v>
      </c>
      <c r="W69" s="85">
        <v>23227.086033283202</v>
      </c>
      <c r="X69" s="85">
        <v>23310.4589883958</v>
      </c>
      <c r="Y69" s="85">
        <v>23393.831943508401</v>
      </c>
      <c r="Z69" s="85">
        <v>23477.204898620901</v>
      </c>
      <c r="AA69" s="85">
        <v>23560.577853733499</v>
      </c>
      <c r="AB69" s="85">
        <v>23643.950808846101</v>
      </c>
      <c r="AC69" s="85">
        <v>23696.126683395501</v>
      </c>
      <c r="AD69" s="85">
        <v>23748.302557944899</v>
      </c>
      <c r="AE69" s="85">
        <v>23800.478432494299</v>
      </c>
      <c r="AF69" s="85">
        <v>23852.6543070437</v>
      </c>
      <c r="AG69" s="85">
        <v>23904.830181593101</v>
      </c>
      <c r="AH69" s="85">
        <v>23991.649797753798</v>
      </c>
      <c r="AI69" s="85">
        <v>24078.469413914601</v>
      </c>
      <c r="AJ69" s="85">
        <v>24165.289030075299</v>
      </c>
      <c r="AK69" s="85">
        <v>24252.108646236</v>
      </c>
      <c r="AL69" s="85">
        <v>24338.928262396701</v>
      </c>
      <c r="AM69" s="85">
        <v>24427.7320157084</v>
      </c>
      <c r="AN69" s="85">
        <v>24516.535769020102</v>
      </c>
      <c r="AO69" s="85">
        <v>24605.339522331698</v>
      </c>
      <c r="AP69" s="85">
        <v>24694.143275643401</v>
      </c>
      <c r="AQ69" s="85">
        <v>24782.947028955099</v>
      </c>
      <c r="AR69" s="85">
        <v>24782.947028955099</v>
      </c>
      <c r="AS69" s="85">
        <v>24782.947028955099</v>
      </c>
      <c r="AT69" s="85">
        <v>24782.947028955099</v>
      </c>
      <c r="AU69" s="85">
        <v>24782.947028955099</v>
      </c>
      <c r="AV69" s="85">
        <v>24782.947028955099</v>
      </c>
      <c r="AW69" s="85">
        <v>24782.947028955099</v>
      </c>
      <c r="AX69" s="85">
        <v>24782.947028955099</v>
      </c>
      <c r="AY69" s="85">
        <v>24782.947028955099</v>
      </c>
      <c r="AZ69" s="85">
        <v>24782.947028955099</v>
      </c>
      <c r="BA69" s="85">
        <v>24782.947028955099</v>
      </c>
      <c r="BC69" s="85">
        <v>24778.887723792297</v>
      </c>
    </row>
    <row r="70" spans="1:55" s="85" customFormat="1" ht="15.75">
      <c r="A70" s="12" t="s">
        <v>142</v>
      </c>
      <c r="B70" s="85" t="s">
        <v>202</v>
      </c>
      <c r="C70" s="85">
        <v>21659.777928002099</v>
      </c>
      <c r="D70" s="85">
        <v>21791.387955775499</v>
      </c>
      <c r="E70" s="85">
        <v>21922.997983548899</v>
      </c>
      <c r="F70" s="85">
        <v>22054.6080113223</v>
      </c>
      <c r="G70" s="85">
        <v>22186.218039095598</v>
      </c>
      <c r="H70" s="85">
        <v>22317.828066868999</v>
      </c>
      <c r="I70" s="85">
        <v>22305.2654963194</v>
      </c>
      <c r="J70" s="85">
        <v>22292.702925769801</v>
      </c>
      <c r="K70" s="85">
        <v>22280.140355220199</v>
      </c>
      <c r="L70" s="85">
        <v>22267.577784670499</v>
      </c>
      <c r="M70" s="85">
        <v>22255.0152141209</v>
      </c>
      <c r="N70" s="85">
        <v>22421.279904337502</v>
      </c>
      <c r="O70" s="85">
        <v>22587.544594554001</v>
      </c>
      <c r="P70" s="85">
        <v>22753.809284770599</v>
      </c>
      <c r="Q70" s="85">
        <v>22920.073974987201</v>
      </c>
      <c r="R70" s="85">
        <v>23086.338665203701</v>
      </c>
      <c r="S70" s="85">
        <v>23225.269035171699</v>
      </c>
      <c r="T70" s="85">
        <v>23364.199405139701</v>
      </c>
      <c r="U70" s="85">
        <v>23503.1297751077</v>
      </c>
      <c r="V70" s="85">
        <v>23642.0601450756</v>
      </c>
      <c r="W70" s="85">
        <v>23780.990515043599</v>
      </c>
      <c r="X70" s="85">
        <v>23753.581778601299</v>
      </c>
      <c r="Y70" s="85">
        <v>23726.173042158902</v>
      </c>
      <c r="Z70" s="85">
        <v>23698.764305716599</v>
      </c>
      <c r="AA70" s="85">
        <v>23671.355569274201</v>
      </c>
      <c r="AB70" s="85">
        <v>23643.946832831902</v>
      </c>
      <c r="AC70" s="85">
        <v>23696.121758489699</v>
      </c>
      <c r="AD70" s="85">
        <v>23748.296684147499</v>
      </c>
      <c r="AE70" s="85">
        <v>23800.4716098053</v>
      </c>
      <c r="AF70" s="85">
        <v>23852.6465354631</v>
      </c>
      <c r="AG70" s="85">
        <v>23904.8214611209</v>
      </c>
      <c r="AH70" s="85">
        <v>23991.640895692701</v>
      </c>
      <c r="AI70" s="85">
        <v>24078.460330264399</v>
      </c>
      <c r="AJ70" s="85">
        <v>24165.279764836199</v>
      </c>
      <c r="AK70" s="85">
        <v>24252.099199408</v>
      </c>
      <c r="AL70" s="85">
        <v>24338.918633979702</v>
      </c>
      <c r="AM70" s="85">
        <v>24427.724380483702</v>
      </c>
      <c r="AN70" s="85">
        <v>24516.5301269878</v>
      </c>
      <c r="AO70" s="85">
        <v>24605.3358734918</v>
      </c>
      <c r="AP70" s="85">
        <v>24694.1416199958</v>
      </c>
      <c r="AQ70" s="85">
        <v>24782.9473664998</v>
      </c>
      <c r="AR70" s="85">
        <v>24782.9473664998</v>
      </c>
      <c r="AS70" s="85">
        <v>24782.9473664998</v>
      </c>
      <c r="AT70" s="85">
        <v>24782.9473664998</v>
      </c>
      <c r="AU70" s="85">
        <v>24782.9473664998</v>
      </c>
      <c r="AV70" s="85">
        <v>24782.9473664998</v>
      </c>
      <c r="AW70" s="85">
        <v>24782.9473664998</v>
      </c>
      <c r="AX70" s="85">
        <v>24782.9473664998</v>
      </c>
      <c r="AY70" s="85">
        <v>24782.9473664998</v>
      </c>
      <c r="AZ70" s="85">
        <v>24782.9473664998</v>
      </c>
      <c r="BA70" s="85">
        <v>24782.9473664998</v>
      </c>
      <c r="BC70" s="85">
        <v>22251.772967826735</v>
      </c>
    </row>
    <row r="71" spans="1:55" s="85" customFormat="1" ht="15.75">
      <c r="A71" s="12" t="s">
        <v>143</v>
      </c>
      <c r="B71" s="85" t="s">
        <v>203</v>
      </c>
      <c r="C71" s="85">
        <v>22089.612400879501</v>
      </c>
      <c r="D71" s="85">
        <v>22254.830516849201</v>
      </c>
      <c r="E71" s="85">
        <v>22420.048632819002</v>
      </c>
      <c r="F71" s="85">
        <v>22585.266748788701</v>
      </c>
      <c r="G71" s="85">
        <v>22750.484864758499</v>
      </c>
      <c r="H71" s="85">
        <v>22915.702980728202</v>
      </c>
      <c r="I71" s="85">
        <v>22961.0601345865</v>
      </c>
      <c r="J71" s="85">
        <v>23006.4172884447</v>
      </c>
      <c r="K71" s="85">
        <v>23051.7744423029</v>
      </c>
      <c r="L71" s="85">
        <v>23097.1315961611</v>
      </c>
      <c r="M71" s="85">
        <v>23142.488750019402</v>
      </c>
      <c r="N71" s="85">
        <v>23237.1787034726</v>
      </c>
      <c r="O71" s="85">
        <v>23331.868656925799</v>
      </c>
      <c r="P71" s="85">
        <v>23426.558610379001</v>
      </c>
      <c r="Q71" s="85">
        <v>23521.2485638322</v>
      </c>
      <c r="R71" s="85">
        <v>23615.938517285402</v>
      </c>
      <c r="S71" s="85">
        <v>23667.042041819201</v>
      </c>
      <c r="T71" s="85">
        <v>23718.145566353101</v>
      </c>
      <c r="U71" s="85">
        <v>23769.2490908869</v>
      </c>
      <c r="V71" s="85">
        <v>23820.352615420699</v>
      </c>
      <c r="W71" s="85">
        <v>23871.456139954498</v>
      </c>
      <c r="X71" s="85">
        <v>23825.9595253433</v>
      </c>
      <c r="Y71" s="85">
        <v>23780.4629107322</v>
      </c>
      <c r="Z71" s="85">
        <v>23734.966296121002</v>
      </c>
      <c r="AA71" s="85">
        <v>23689.4696815098</v>
      </c>
      <c r="AB71" s="85">
        <v>23643.973066898601</v>
      </c>
      <c r="AC71" s="85">
        <v>23696.145507457801</v>
      </c>
      <c r="AD71" s="85">
        <v>23748.317948017</v>
      </c>
      <c r="AE71" s="85">
        <v>23800.490388576301</v>
      </c>
      <c r="AF71" s="85">
        <v>23852.662829135501</v>
      </c>
      <c r="AG71" s="85">
        <v>23904.8352696947</v>
      </c>
      <c r="AH71" s="85">
        <v>23991.6580708851</v>
      </c>
      <c r="AI71" s="85">
        <v>24078.480872075401</v>
      </c>
      <c r="AJ71" s="85">
        <v>24165.3036732658</v>
      </c>
      <c r="AK71" s="85">
        <v>24252.1264744562</v>
      </c>
      <c r="AL71" s="85">
        <v>24338.949275646501</v>
      </c>
      <c r="AM71" s="85">
        <v>24427.753076080298</v>
      </c>
      <c r="AN71" s="85">
        <v>24516.5568765141</v>
      </c>
      <c r="AO71" s="85">
        <v>24605.360676947999</v>
      </c>
      <c r="AP71" s="85">
        <v>24694.164477381801</v>
      </c>
      <c r="AQ71" s="85">
        <v>24782.968277815598</v>
      </c>
      <c r="AR71" s="85">
        <v>24782.968277815598</v>
      </c>
      <c r="AS71" s="85">
        <v>24782.968277815598</v>
      </c>
      <c r="AT71" s="85">
        <v>24782.968277815598</v>
      </c>
      <c r="AU71" s="85">
        <v>24782.968277815598</v>
      </c>
      <c r="AV71" s="85">
        <v>24782.968277815598</v>
      </c>
      <c r="AW71" s="85">
        <v>24782.968277815598</v>
      </c>
      <c r="AX71" s="85">
        <v>24782.968277815598</v>
      </c>
      <c r="AY71" s="85">
        <v>24782.968277815598</v>
      </c>
      <c r="AZ71" s="85">
        <v>24782.968277815598</v>
      </c>
      <c r="BA71" s="85">
        <v>24782.968277815598</v>
      </c>
      <c r="BC71" s="85">
        <v>23473.477713170843</v>
      </c>
    </row>
    <row r="72" spans="1:55" s="85" customFormat="1" ht="15.75">
      <c r="B72" s="85" t="s">
        <v>162</v>
      </c>
    </row>
    <row r="73" spans="1:55" s="85" customFormat="1" ht="15.75">
      <c r="B73" s="85" t="s">
        <v>163</v>
      </c>
      <c r="C73" s="85">
        <v>36212.917622817593</v>
      </c>
      <c r="D73" s="85">
        <v>35995.436443432634</v>
      </c>
      <c r="E73" s="85">
        <v>35777.955264047698</v>
      </c>
      <c r="F73" s="85">
        <v>35560.474084662776</v>
      </c>
      <c r="G73" s="85">
        <v>35342.992905277788</v>
      </c>
      <c r="H73" s="85">
        <v>35125.511725892873</v>
      </c>
      <c r="I73" s="85">
        <v>35092.616355598533</v>
      </c>
      <c r="J73" s="85">
        <v>35059.72098530423</v>
      </c>
      <c r="K73" s="85">
        <v>35026.82561500989</v>
      </c>
      <c r="L73" s="85">
        <v>34993.930244715593</v>
      </c>
      <c r="M73" s="85">
        <v>34961.034874421275</v>
      </c>
      <c r="N73" s="85">
        <v>35044.534078823126</v>
      </c>
      <c r="O73" s="85">
        <v>35128.033283224977</v>
      </c>
      <c r="P73" s="85">
        <v>35211.532487626893</v>
      </c>
      <c r="Q73" s="85">
        <v>35295.031692028722</v>
      </c>
      <c r="R73" s="85">
        <v>35378.53089643058</v>
      </c>
      <c r="S73" s="85">
        <v>35519.507405075063</v>
      </c>
      <c r="T73" s="85">
        <v>35660.483913719538</v>
      </c>
      <c r="U73" s="85">
        <v>35801.460422363969</v>
      </c>
      <c r="V73" s="85">
        <v>35942.436931008444</v>
      </c>
      <c r="W73" s="85">
        <v>36083.413439652904</v>
      </c>
      <c r="X73" s="85">
        <v>36110.468399902995</v>
      </c>
      <c r="Y73" s="85">
        <v>36137.52336015302</v>
      </c>
      <c r="Z73" s="85">
        <v>36164.578320403096</v>
      </c>
      <c r="AA73" s="85">
        <v>36191.633280653135</v>
      </c>
      <c r="AB73" s="85">
        <v>36218.68824090319</v>
      </c>
      <c r="AC73" s="85">
        <v>36304.420718144684</v>
      </c>
      <c r="AD73" s="85">
        <v>36390.153195386178</v>
      </c>
      <c r="AE73" s="85">
        <v>36475.885672627621</v>
      </c>
      <c r="AF73" s="85">
        <v>36561.618149869115</v>
      </c>
      <c r="AG73" s="85">
        <v>36647.350627110602</v>
      </c>
      <c r="AH73" s="85">
        <v>36746.835188994162</v>
      </c>
      <c r="AI73" s="85">
        <v>36846.319750877708</v>
      </c>
      <c r="AJ73" s="85">
        <v>36945.804312761255</v>
      </c>
      <c r="AK73" s="85">
        <v>37045.288874644808</v>
      </c>
      <c r="AL73" s="85">
        <v>37144.773436528369</v>
      </c>
      <c r="AM73" s="85">
        <v>37248.895799007085</v>
      </c>
      <c r="AN73" s="85">
        <v>37353.018161485779</v>
      </c>
      <c r="AO73" s="85">
        <v>37457.140523964496</v>
      </c>
      <c r="AP73" s="85">
        <v>37561.262886443212</v>
      </c>
      <c r="AQ73" s="85">
        <v>37665.385248921906</v>
      </c>
      <c r="AR73" s="85">
        <v>37665.385248921906</v>
      </c>
      <c r="AS73" s="85">
        <v>37665.385248921906</v>
      </c>
      <c r="AT73" s="85">
        <v>37665.385248921906</v>
      </c>
      <c r="AU73" s="85">
        <v>37665.385248921906</v>
      </c>
      <c r="AV73" s="85">
        <v>37665.385248921906</v>
      </c>
      <c r="AW73" s="85">
        <v>37665.385248921906</v>
      </c>
      <c r="AX73" s="85">
        <v>37665.385248921906</v>
      </c>
      <c r="AY73" s="85">
        <v>37665.385248921906</v>
      </c>
      <c r="AZ73" s="85">
        <v>37665.385248921906</v>
      </c>
      <c r="BA73" s="85">
        <v>37665.385248921906</v>
      </c>
      <c r="BC73" s="85">
        <v>36810.263386482577</v>
      </c>
    </row>
    <row r="74" spans="1:55" s="85" customFormat="1" ht="15.75"/>
    <row r="75" spans="1:55" s="85" customFormat="1" ht="15.75"/>
    <row r="76" spans="1:55" s="85" customFormat="1" ht="15.75">
      <c r="A76" s="20" t="s">
        <v>204</v>
      </c>
      <c r="B76" s="85" t="s">
        <v>205</v>
      </c>
      <c r="C76" s="87">
        <v>2020</v>
      </c>
      <c r="D76" s="87">
        <v>2021</v>
      </c>
      <c r="E76" s="87">
        <v>2022</v>
      </c>
      <c r="F76" s="87">
        <v>2023</v>
      </c>
      <c r="G76" s="87">
        <v>2024</v>
      </c>
      <c r="H76" s="87">
        <v>2025</v>
      </c>
      <c r="I76" s="87">
        <v>2026</v>
      </c>
      <c r="J76" s="87">
        <v>2027</v>
      </c>
      <c r="K76" s="87">
        <v>2028</v>
      </c>
      <c r="L76" s="87">
        <v>2029</v>
      </c>
      <c r="M76" s="87">
        <v>2030</v>
      </c>
      <c r="N76" s="87">
        <v>2031</v>
      </c>
      <c r="O76" s="87">
        <v>2032</v>
      </c>
      <c r="P76" s="87">
        <v>2033</v>
      </c>
      <c r="Q76" s="87">
        <v>2034</v>
      </c>
      <c r="R76" s="87">
        <v>2035</v>
      </c>
      <c r="S76" s="87">
        <v>2036</v>
      </c>
      <c r="T76" s="87">
        <v>2037</v>
      </c>
      <c r="U76" s="87">
        <v>2038</v>
      </c>
      <c r="V76" s="87">
        <v>2039</v>
      </c>
      <c r="W76" s="87">
        <v>2040</v>
      </c>
      <c r="X76" s="87">
        <v>2041</v>
      </c>
      <c r="Y76" s="87">
        <v>2042</v>
      </c>
      <c r="Z76" s="87">
        <v>2043</v>
      </c>
      <c r="AA76" s="87">
        <v>2044</v>
      </c>
      <c r="AB76" s="87">
        <v>2045</v>
      </c>
      <c r="AC76" s="87">
        <v>2046</v>
      </c>
      <c r="AD76" s="87">
        <v>2047</v>
      </c>
      <c r="AE76" s="87">
        <v>2048</v>
      </c>
      <c r="AF76" s="87">
        <v>2049</v>
      </c>
      <c r="AG76" s="87">
        <v>2050</v>
      </c>
      <c r="AH76" s="87"/>
      <c r="AI76" s="87"/>
      <c r="AJ76" s="87"/>
    </row>
    <row r="77" spans="1:55" s="85" customFormat="1" ht="15.75">
      <c r="A77" s="12" t="s">
        <v>141</v>
      </c>
      <c r="B77" s="85" t="str">
        <f t="shared" ref="B77:B86" si="9">INDEX($AJ$17:$AJ$28,MATCH(A77,$A$17:$A$28,0),1)</f>
        <v>Freight LDV</v>
      </c>
      <c r="C77" s="88" cm="1">
        <f t="array" ref="C77">SUMPRODUCT(IF($A$34:$A$71=$A77,C$34:C$71),IF($A$34:$A$71=$A77,C$34:C$71))/SUMIF($A$34:$A$71,$A77,C$34:C$71)</f>
        <v>28710.322132816953</v>
      </c>
      <c r="D77" s="88" cm="1">
        <f t="array" ref="D77">SUMPRODUCT(IF($A$34:$A$71=$A77,D$34:D$71),IF($A$34:$A$71=$A77,D$34:D$71))/SUMIF($A$34:$A$71,$A77,D$34:D$71)</f>
        <v>28740.361267211476</v>
      </c>
      <c r="E77" s="88" cm="1">
        <f t="array" ref="E77">SUMPRODUCT(IF($A$34:$A$71=$A77,E$34:E$71),IF($A$34:$A$71=$A77,E$34:E$71))/SUMIF($A$34:$A$71,$A77,E$34:E$71)</f>
        <v>28770.640209197707</v>
      </c>
      <c r="F77" s="88" cm="1">
        <f t="array" ref="F77">SUMPRODUCT(IF($A$34:$A$71=$A77,F$34:F$71),IF($A$34:$A$71=$A77,F$34:F$71))/SUMIF($A$34:$A$71,$A77,F$34:F$71)</f>
        <v>28801.158861193297</v>
      </c>
      <c r="G77" s="88" cm="1">
        <f t="array" ref="G77">SUMPRODUCT(IF($A$34:$A$71=$A77,G$34:G$71),IF($A$34:$A$71=$A77,G$34:G$71))/SUMIF($A$34:$A$71,$A77,G$34:G$71)</f>
        <v>28831.917125668646</v>
      </c>
      <c r="H77" s="88" cm="1">
        <f t="array" ref="H77">SUMPRODUCT(IF($A$34:$A$71=$A77,H$34:H$71),IF($A$34:$A$71=$A77,H$34:H$71))/SUMIF($A$34:$A$71,$A77,H$34:H$71)</f>
        <v>28862.914905147245</v>
      </c>
      <c r="I77" s="88" cm="1">
        <f t="array" ref="I77">SUMPRODUCT(IF($A$34:$A$71=$A77,I$34:I$71),IF($A$34:$A$71=$A77,I$34:I$71))/SUMIF($A$34:$A$71,$A77,I$34:I$71)</f>
        <v>28717.200325824579</v>
      </c>
      <c r="J77" s="88" cm="1">
        <f t="array" ref="J77">SUMPRODUCT(IF($A$34:$A$71=$A77,J$34:J$71),IF($A$34:$A$71=$A77,J$34:J$71))/SUMIF($A$34:$A$71,$A77,J$34:J$71)</f>
        <v>28573.837952827373</v>
      </c>
      <c r="K77" s="88" cm="1">
        <f t="array" ref="K77">SUMPRODUCT(IF($A$34:$A$71=$A77,K$34:K$71),IF($A$34:$A$71=$A77,K$34:K$71))/SUMIF($A$34:$A$71,$A77,K$34:K$71)</f>
        <v>28432.843015929622</v>
      </c>
      <c r="L77" s="88" cm="1">
        <f t="array" ref="L77">SUMPRODUCT(IF($A$34:$A$71=$A77,L$34:L$71),IF($A$34:$A$71=$A77,L$34:L$71))/SUMIF($A$34:$A$71,$A77,L$34:L$71)</f>
        <v>28294.23087666685</v>
      </c>
      <c r="M77" s="88" cm="1">
        <f t="array" ref="M77">SUMPRODUCT(IF($A$34:$A$71=$A77,M$34:M$71),IF($A$34:$A$71=$A77,M$34:M$71))/SUMIF($A$34:$A$71,$A77,M$34:M$71)</f>
        <v>28158.017029763927</v>
      </c>
      <c r="N77" s="88" cm="1">
        <f t="array" ref="N77">SUMPRODUCT(IF($A$34:$A$71=$A77,N$34:N$71),IF($A$34:$A$71=$A77,N$34:N$71))/SUMIF($A$34:$A$71,$A77,N$34:N$71)</f>
        <v>28447.914960283164</v>
      </c>
      <c r="O77" s="88" cm="1">
        <f t="array" ref="O77">SUMPRODUCT(IF($A$34:$A$71=$A77,O$34:O$71),IF($A$34:$A$71=$A77,O$34:O$71))/SUMIF($A$34:$A$71,$A77,O$34:O$71)</f>
        <v>28737.820781666884</v>
      </c>
      <c r="P77" s="88" cm="1">
        <f t="array" ref="P77">SUMPRODUCT(IF($A$34:$A$71=$A77,P$34:P$71),IF($A$34:$A$71=$A77,P$34:P$71))/SUMIF($A$34:$A$71,$A77,P$34:P$71)</f>
        <v>29027.734254104627</v>
      </c>
      <c r="Q77" s="88" cm="1">
        <f t="array" ref="Q77">SUMPRODUCT(IF($A$34:$A$71=$A77,Q$34:Q$71),IF($A$34:$A$71=$A77,Q$34:Q$71))/SUMIF($A$34:$A$71,$A77,Q$34:Q$71)</f>
        <v>29317.655147406247</v>
      </c>
      <c r="R77" s="88" cm="1">
        <f t="array" ref="R77">SUMPRODUCT(IF($A$34:$A$71=$A77,R$34:R$71),IF($A$34:$A$71=$A77,R$34:R$71))/SUMIF($A$34:$A$71,$A77,R$34:R$71)</f>
        <v>29607.583240523665</v>
      </c>
      <c r="S77" s="88" cm="1">
        <f t="array" ref="S77">SUMPRODUCT(IF($A$34:$A$71=$A77,S$34:S$71),IF($A$34:$A$71=$A77,S$34:S$71))/SUMIF($A$34:$A$71,$A77,S$34:S$71)</f>
        <v>29766.428851142275</v>
      </c>
      <c r="T77" s="88" cm="1">
        <f t="array" ref="T77">SUMPRODUCT(IF($A$34:$A$71=$A77,T$34:T$71),IF($A$34:$A$71=$A77,T$34:T$71))/SUMIF($A$34:$A$71,$A77,T$34:T$71)</f>
        <v>29925.277854408047</v>
      </c>
      <c r="U77" s="88" cm="1">
        <f t="array" ref="U77">SUMPRODUCT(IF($A$34:$A$71=$A77,U$34:U$71),IF($A$34:$A$71=$A77,U$34:U$71))/SUMIF($A$34:$A$71,$A77,U$34:U$71)</f>
        <v>30084.130197527837</v>
      </c>
      <c r="V77" s="88" cm="1">
        <f t="array" ref="V77">SUMPRODUCT(IF($A$34:$A$71=$A77,V$34:V$71),IF($A$34:$A$71=$A77,V$34:V$71))/SUMIF($A$34:$A$71,$A77,V$34:V$71)</f>
        <v>30242.985828798304</v>
      </c>
      <c r="W77" s="88" cm="1">
        <f t="array" ref="W77">SUMPRODUCT(IF($A$34:$A$71=$A77,W$34:W$71),IF($A$34:$A$71=$A77,W$34:W$71))/SUMIF($A$34:$A$71,$A77,W$34:W$71)</f>
        <v>30401.844697577679</v>
      </c>
      <c r="X77" s="88" cm="1">
        <f t="array" ref="X77">SUMPRODUCT(IF($A$34:$A$71=$A77,X$34:X$71),IF($A$34:$A$71=$A77,X$34:X$71))/SUMIF($A$34:$A$71,$A77,X$34:X$71)</f>
        <v>30515.019684416697</v>
      </c>
      <c r="Y77" s="88" cm="1">
        <f t="array" ref="Y77">SUMPRODUCT(IF($A$34:$A$71=$A77,Y$34:Y$71),IF($A$34:$A$71=$A77,Y$34:Y$71))/SUMIF($A$34:$A$71,$A77,Y$34:Y$71)</f>
        <v>30628.195047925372</v>
      </c>
      <c r="Z77" s="88" cm="1">
        <f t="array" ref="Z77">SUMPRODUCT(IF($A$34:$A$71=$A77,Z$34:Z$71),IF($A$34:$A$71=$A77,Z$34:Z$71))/SUMIF($A$34:$A$71,$A77,Z$34:Z$71)</f>
        <v>30741.370783978513</v>
      </c>
      <c r="AA77" s="88" cm="1">
        <f t="array" ref="AA77">SUMPRODUCT(IF($A$34:$A$71=$A77,AA$34:AA$71),IF($A$34:$A$71=$A77,AA$34:AA$71))/SUMIF($A$34:$A$71,$A77,AA$34:AA$71)</f>
        <v>30854.546888511064</v>
      </c>
      <c r="AB77" s="88" cm="1">
        <f t="array" ref="AB77">SUMPRODUCT(IF($A$34:$A$71=$A77,AB$34:AB$71),IF($A$34:$A$71=$A77,AB$34:AB$71))/SUMIF($A$34:$A$71,$A77,AB$34:AB$71)</f>
        <v>30967.723357516781</v>
      </c>
      <c r="AC77" s="88" cm="1">
        <f t="array" ref="AC77">SUMPRODUCT(IF($A$34:$A$71=$A77,AC$34:AC$71),IF($A$34:$A$71=$A77,AC$34:AC$71))/SUMIF($A$34:$A$71,$A77,AC$34:AC$71)</f>
        <v>31031.244195760959</v>
      </c>
      <c r="AD77" s="88" cm="1">
        <f t="array" ref="AD77">SUMPRODUCT(IF($A$34:$A$71=$A77,AD$34:AD$71),IF($A$34:$A$71=$A77,AD$34:AD$71))/SUMIF($A$34:$A$71,$A77,AD$34:AD$71)</f>
        <v>31094.765559132204</v>
      </c>
      <c r="AE77" s="88" cm="1">
        <f t="array" ref="AE77">SUMPRODUCT(IF($A$34:$A$71=$A77,AE$34:AE$71),IF($A$34:$A$71=$A77,AE$34:AE$71))/SUMIF($A$34:$A$71,$A77,AE$34:AE$71)</f>
        <v>31158.287444361296</v>
      </c>
      <c r="AF77" s="88" cm="1">
        <f t="array" ref="AF77">SUMPRODUCT(IF($A$34:$A$71=$A77,AF$34:AF$71),IF($A$34:$A$71=$A77,AF$34:AF$71))/SUMIF($A$34:$A$71,$A77,AF$34:AF$71)</f>
        <v>31221.809848206052</v>
      </c>
      <c r="AG77" s="88" cm="1">
        <f t="array" ref="AG77">SUMPRODUCT(IF($A$34:$A$71=$A77,AG$34:AG$71),IF($A$34:$A$71=$A77,AG$34:AG$71))/SUMIF($A$34:$A$71,$A77,AG$34:AG$71)</f>
        <v>31285.332767451124</v>
      </c>
      <c r="AH77" s="88"/>
      <c r="AI77" s="88"/>
      <c r="AJ77" s="88"/>
    </row>
    <row r="78" spans="1:55" s="85" customFormat="1" ht="15.75">
      <c r="A78" s="12" t="s">
        <v>142</v>
      </c>
      <c r="B78" s="85" t="str">
        <f t="shared" si="9"/>
        <v>Freight LDV</v>
      </c>
      <c r="C78" s="88" cm="1">
        <f t="array" ref="C78">SUMPRODUCT(IF($A$34:$A$71=$A78,C$34:C$71),IF($A$34:$A$71=$A78,C$34:C$71))/SUMIF($A$34:$A$71,$A78,C$34:C$71)</f>
        <v>28744.397888062351</v>
      </c>
      <c r="D78" s="88" cm="1">
        <f t="array" ref="D78">SUMPRODUCT(IF($A$34:$A$71=$A78,D$34:D$71),IF($A$34:$A$71=$A78,D$34:D$71))/SUMIF($A$34:$A$71,$A78,D$34:D$71)</f>
        <v>28676.968077147903</v>
      </c>
      <c r="E78" s="88" cm="1">
        <f t="array" ref="E78">SUMPRODUCT(IF($A$34:$A$71=$A78,E$34:E$71),IF($A$34:$A$71=$A78,E$34:E$71))/SUMIF($A$34:$A$71,$A78,E$34:E$71)</f>
        <v>28610.93607939504</v>
      </c>
      <c r="F78" s="88" cm="1">
        <f t="array" ref="F78">SUMPRODUCT(IF($A$34:$A$71=$A78,F$34:F$71),IF($A$34:$A$71=$A78,F$34:F$71))/SUMIF($A$34:$A$71,$A78,F$34:F$71)</f>
        <v>28546.303244862313</v>
      </c>
      <c r="G78" s="88" cm="1">
        <f t="array" ref="G78">SUMPRODUCT(IF($A$34:$A$71=$A78,G$34:G$71),IF($A$34:$A$71=$A78,G$34:G$71))/SUMIF($A$34:$A$71,$A78,G$34:G$71)</f>
        <v>28483.07092534742</v>
      </c>
      <c r="H78" s="88" cm="1">
        <f t="array" ref="H78">SUMPRODUCT(IF($A$34:$A$71=$A78,H$34:H$71),IF($A$34:$A$71=$A78,H$34:H$71))/SUMIF($A$34:$A$71,$A78,H$34:H$71)</f>
        <v>28421.240474390048</v>
      </c>
      <c r="I78" s="88" cm="1">
        <f t="array" ref="I78">SUMPRODUCT(IF($A$34:$A$71=$A78,I$34:I$71),IF($A$34:$A$71=$A78,I$34:I$71))/SUMIF($A$34:$A$71,$A78,I$34:I$71)</f>
        <v>28580.672447378776</v>
      </c>
      <c r="J78" s="88" cm="1">
        <f t="array" ref="J78">SUMPRODUCT(IF($A$34:$A$71=$A78,J$34:J$71),IF($A$34:$A$71=$A78,J$34:J$71))/SUMIF($A$34:$A$71,$A78,J$34:J$71)</f>
        <v>28740.915769933003</v>
      </c>
      <c r="K78" s="88" cm="1">
        <f t="array" ref="K78">SUMPRODUCT(IF($A$34:$A$71=$A78,K$34:K$71),IF($A$34:$A$71=$A78,K$34:K$71))/SUMIF($A$34:$A$71,$A78,K$34:K$71)</f>
        <v>28901.960355873602</v>
      </c>
      <c r="L78" s="88" cm="1">
        <f t="array" ref="L78">SUMPRODUCT(IF($A$34:$A$71=$A78,L$34:L$71),IF($A$34:$A$71=$A78,L$34:L$71))/SUMIF($A$34:$A$71,$A78,L$34:L$71)</f>
        <v>29063.796285511478</v>
      </c>
      <c r="M78" s="88" cm="1">
        <f t="array" ref="M78">SUMPRODUCT(IF($A$34:$A$71=$A78,M$34:M$71),IF($A$34:$A$71=$A78,M$34:M$71))/SUMIF($A$34:$A$71,$A78,M$34:M$71)</f>
        <v>29226.413802226503</v>
      </c>
      <c r="N78" s="88" cm="1">
        <f t="array" ref="N78">SUMPRODUCT(IF($A$34:$A$71=$A78,N$34:N$71),IF($A$34:$A$71=$A78,N$34:N$71))/SUMIF($A$34:$A$71,$A78,N$34:N$71)</f>
        <v>29411.355422648674</v>
      </c>
      <c r="O78" s="88" cm="1">
        <f t="array" ref="O78">SUMPRODUCT(IF($A$34:$A$71=$A78,O$34:O$71),IF($A$34:$A$71=$A78,O$34:O$71))/SUMIF($A$34:$A$71,$A78,O$34:O$71)</f>
        <v>29596.323278761934</v>
      </c>
      <c r="P78" s="88" cm="1">
        <f t="array" ref="P78">SUMPRODUCT(IF($A$34:$A$71=$A78,P$34:P$71),IF($A$34:$A$71=$A78,P$34:P$71))/SUMIF($A$34:$A$71,$A78,P$34:P$71)</f>
        <v>29781.316861134808</v>
      </c>
      <c r="Q78" s="88" cm="1">
        <f t="array" ref="Q78">SUMPRODUCT(IF($A$34:$A$71=$A78,Q$34:Q$71),IF($A$34:$A$71=$A78,Q$34:Q$71))/SUMIF($A$34:$A$71,$A78,Q$34:Q$71)</f>
        <v>29966.335673440339</v>
      </c>
      <c r="R78" s="88" cm="1">
        <f t="array" ref="R78">SUMPRODUCT(IF($A$34:$A$71=$A78,R$34:R$71),IF($A$34:$A$71=$A78,R$34:R$71))/SUMIF($A$34:$A$71,$A78,R$34:R$71)</f>
        <v>30151.379232036968</v>
      </c>
      <c r="S78" s="88" cm="1">
        <f t="array" ref="S78">SUMPRODUCT(IF($A$34:$A$71=$A78,S$34:S$71),IF($A$34:$A$71=$A78,S$34:S$71))/SUMIF($A$34:$A$71,$A78,S$34:S$71)</f>
        <v>30333.797005516542</v>
      </c>
      <c r="T78" s="88" cm="1">
        <f t="array" ref="T78">SUMPRODUCT(IF($A$34:$A$71=$A78,T$34:T$71),IF($A$34:$A$71=$A78,T$34:T$71))/SUMIF($A$34:$A$71,$A78,T$34:T$71)</f>
        <v>30516.214800821454</v>
      </c>
      <c r="U78" s="88" cm="1">
        <f t="array" ref="U78">SUMPRODUCT(IF($A$34:$A$71=$A78,U$34:U$71),IF($A$34:$A$71=$A78,U$34:U$71))/SUMIF($A$34:$A$71,$A78,U$34:U$71)</f>
        <v>30698.632617563169</v>
      </c>
      <c r="V78" s="88" cm="1">
        <f t="array" ref="V78">SUMPRODUCT(IF($A$34:$A$71=$A78,V$34:V$71),IF($A$34:$A$71=$A78,V$34:V$71))/SUMIF($A$34:$A$71,$A78,V$34:V$71)</f>
        <v>30881.050455362249</v>
      </c>
      <c r="W78" s="88" cm="1">
        <f t="array" ref="W78">SUMPRODUCT(IF($A$34:$A$71=$A78,W$34:W$71),IF($A$34:$A$71=$A78,W$34:W$71))/SUMIF($A$34:$A$71,$A78,W$34:W$71)</f>
        <v>31063.468313848229</v>
      </c>
      <c r="X78" s="88" cm="1">
        <f t="array" ref="X78">SUMPRODUCT(IF($A$34:$A$71=$A78,X$34:X$71),IF($A$34:$A$71=$A78,X$34:X$71))/SUMIF($A$34:$A$71,$A78,X$34:X$71)</f>
        <v>31044.307883452144</v>
      </c>
      <c r="Y78" s="88" cm="1">
        <f t="array" ref="Y78">SUMPRODUCT(IF($A$34:$A$71=$A78,Y$34:Y$71),IF($A$34:$A$71=$A78,Y$34:Y$71))/SUMIF($A$34:$A$71,$A78,Y$34:Y$71)</f>
        <v>31025.15379853193</v>
      </c>
      <c r="Z78" s="88" cm="1">
        <f t="array" ref="Z78">SUMPRODUCT(IF($A$34:$A$71=$A78,Z$34:Z$71),IF($A$34:$A$71=$A78,Z$34:Z$71))/SUMIF($A$34:$A$71,$A78,Z$34:Z$71)</f>
        <v>31006.006073280296</v>
      </c>
      <c r="AA78" s="88" cm="1">
        <f t="array" ref="AA78">SUMPRODUCT(IF($A$34:$A$71=$A78,AA$34:AA$71),IF($A$34:$A$71=$A78,AA$34:AA$71))/SUMIF($A$34:$A$71,$A78,AA$34:AA$71)</f>
        <v>30986.864721932208</v>
      </c>
      <c r="AB78" s="88" cm="1">
        <f t="array" ref="AB78">SUMPRODUCT(IF($A$34:$A$71=$A78,AB$34:AB$71),IF($A$34:$A$71=$A78,AB$34:AB$71))/SUMIF($A$34:$A$71,$A78,AB$34:AB$71)</f>
        <v>30967.729758765032</v>
      </c>
      <c r="AC78" s="88" cm="1">
        <f t="array" ref="AC78">SUMPRODUCT(IF($A$34:$A$71=$A78,AC$34:AC$71),IF($A$34:$A$71=$A78,AC$34:AC$71))/SUMIF($A$34:$A$71,$A78,AC$34:AC$71)</f>
        <v>31031.245842030195</v>
      </c>
      <c r="AD78" s="88" cm="1">
        <f t="array" ref="AD78">SUMPRODUCT(IF($A$34:$A$71=$A78,AD$34:AD$71),IF($A$34:$A$71=$A78,AD$34:AD$71))/SUMIF($A$34:$A$71,$A78,AD$34:AD$71)</f>
        <v>31094.762451193659</v>
      </c>
      <c r="AE78" s="88" cm="1">
        <f t="array" ref="AE78">SUMPRODUCT(IF($A$34:$A$71=$A78,AE$34:AE$71),IF($A$34:$A$71=$A78,AE$34:AE$71))/SUMIF($A$34:$A$71,$A78,AE$34:AE$71)</f>
        <v>31158.279582981715</v>
      </c>
      <c r="AF78" s="88" cm="1">
        <f t="array" ref="AF78">SUMPRODUCT(IF($A$34:$A$71=$A78,AF$34:AF$71),IF($A$34:$A$71=$A78,AF$34:AF$71))/SUMIF($A$34:$A$71,$A78,AF$34:AF$71)</f>
        <v>31221.797234147554</v>
      </c>
      <c r="AG78" s="88" cm="1">
        <f t="array" ref="AG78">SUMPRODUCT(IF($A$34:$A$71=$A78,AG$34:AG$71),IF($A$34:$A$71=$A78,AG$34:AG$71))/SUMIF($A$34:$A$71,$A78,AG$34:AG$71)</f>
        <v>31285.315401471289</v>
      </c>
      <c r="AH78" s="88"/>
      <c r="AI78" s="88"/>
      <c r="AJ78" s="88"/>
    </row>
    <row r="79" spans="1:55" s="85" customFormat="1" ht="15.75">
      <c r="A79" s="12" t="s">
        <v>143</v>
      </c>
      <c r="B79" s="85" t="str">
        <f t="shared" si="9"/>
        <v>Freight HDV</v>
      </c>
      <c r="C79" s="88" cm="1">
        <f t="array" ref="C79">SUMPRODUCT(IF($A$34:$A$71=$A79,C$34:C$71),IF($A$34:$A$71=$A79,C$34:C$71))/SUMIF($A$34:$A$71,$A79,C$34:C$71)</f>
        <v>29842.882382026088</v>
      </c>
      <c r="D79" s="88" cm="1">
        <f t="array" ref="D79">SUMPRODUCT(IF($A$34:$A$71=$A79,D$34:D$71),IF($A$34:$A$71=$A79,D$34:D$71))/SUMIF($A$34:$A$71,$A79,D$34:D$71)</f>
        <v>29958.387634931714</v>
      </c>
      <c r="E79" s="88" cm="1">
        <f t="array" ref="E79">SUMPRODUCT(IF($A$34:$A$71=$A79,E$34:E$71),IF($A$34:$A$71=$A79,E$34:E$71))/SUMIF($A$34:$A$71,$A79,E$34:E$71)</f>
        <v>30074.142616746009</v>
      </c>
      <c r="F79" s="88" cm="1">
        <f t="array" ref="F79">SUMPRODUCT(IF($A$34:$A$71=$A79,F$34:F$71),IF($A$34:$A$71=$A79,F$34:F$71))/SUMIF($A$34:$A$71,$A79,F$34:F$71)</f>
        <v>30190.143809374844</v>
      </c>
      <c r="G79" s="88" cm="1">
        <f t="array" ref="G79">SUMPRODUCT(IF($A$34:$A$71=$A79,G$34:G$71),IF($A$34:$A$71=$A79,G$34:G$71))/SUMIF($A$34:$A$71,$A79,G$34:G$71)</f>
        <v>30306.387760497608</v>
      </c>
      <c r="H79" s="88" cm="1">
        <f t="array" ref="H79">SUMPRODUCT(IF($A$34:$A$71=$A79,H$34:H$71),IF($A$34:$A$71=$A79,H$34:H$71))/SUMIF($A$34:$A$71,$A79,H$34:H$71)</f>
        <v>30422.871082036781</v>
      </c>
      <c r="I79" s="88" cm="1">
        <f t="array" ref="I79">SUMPRODUCT(IF($A$34:$A$71=$A79,I$34:I$71),IF($A$34:$A$71=$A79,I$34:I$71))/SUMIF($A$34:$A$71,$A79,I$34:I$71)</f>
        <v>30408.454910885299</v>
      </c>
      <c r="J79" s="88" cm="1">
        <f t="array" ref="J79">SUMPRODUCT(IF($A$34:$A$71=$A79,J$34:J$71),IF($A$34:$A$71=$A79,J$34:J$71))/SUMIF($A$34:$A$71,$A79,J$34:J$71)</f>
        <v>30394.163454050838</v>
      </c>
      <c r="K79" s="88" cm="1">
        <f t="array" ref="K79">SUMPRODUCT(IF($A$34:$A$71=$A79,K$34:K$71),IF($A$34:$A$71=$A79,K$34:K$71))/SUMIF($A$34:$A$71,$A79,K$34:K$71)</f>
        <v>30379.996666701074</v>
      </c>
      <c r="L79" s="88" cm="1">
        <f t="array" ref="L79">SUMPRODUCT(IF($A$34:$A$71=$A79,L$34:L$71),IF($A$34:$A$71=$A79,L$34:L$71))/SUMIF($A$34:$A$71,$A79,L$34:L$71)</f>
        <v>30365.95450402538</v>
      </c>
      <c r="M79" s="88" cm="1">
        <f t="array" ref="M79">SUMPRODUCT(IF($A$34:$A$71=$A79,M$34:M$71),IF($A$34:$A$71=$A79,M$34:M$71))/SUMIF($A$34:$A$71,$A79,M$34:M$71)</f>
        <v>30352.036921234514</v>
      </c>
      <c r="N79" s="88" cm="1">
        <f t="array" ref="N79">SUMPRODUCT(IF($A$34:$A$71=$A79,N$34:N$71),IF($A$34:$A$71=$A79,N$34:N$71))/SUMIF($A$34:$A$71,$A79,N$34:N$71)</f>
        <v>30440.446816702897</v>
      </c>
      <c r="O79" s="88" cm="1">
        <f t="array" ref="O79">SUMPRODUCT(IF($A$34:$A$71=$A79,O$34:O$71),IF($A$34:$A$71=$A79,O$34:O$71))/SUMIF($A$34:$A$71,$A79,O$34:O$71)</f>
        <v>30528.886091246739</v>
      </c>
      <c r="P79" s="88" cm="1">
        <f t="array" ref="P79">SUMPRODUCT(IF($A$34:$A$71=$A79,P$34:P$71),IF($A$34:$A$71=$A79,P$34:P$71))/SUMIF($A$34:$A$71,$A79,P$34:P$71)</f>
        <v>30617.3544660644</v>
      </c>
      <c r="Q79" s="88" cm="1">
        <f t="array" ref="Q79">SUMPRODUCT(IF($A$34:$A$71=$A79,Q$34:Q$71),IF($A$34:$A$71=$A79,Q$34:Q$71))/SUMIF($A$34:$A$71,$A79,Q$34:Q$71)</f>
        <v>30705.851665870759</v>
      </c>
      <c r="R79" s="88" cm="1">
        <f t="array" ref="R79">SUMPRODUCT(IF($A$34:$A$71=$A79,R$34:R$71),IF($A$34:$A$71=$A79,R$34:R$71))/SUMIF($A$34:$A$71,$A79,R$34:R$71)</f>
        <v>30794.377418842192</v>
      </c>
      <c r="S79" s="88" cm="1">
        <f t="array" ref="S79">SUMPRODUCT(IF($A$34:$A$71=$A79,S$34:S$71),IF($A$34:$A$71=$A79,S$34:S$71))/SUMIF($A$34:$A$71,$A79,S$34:S$71)</f>
        <v>30870.004377183614</v>
      </c>
      <c r="T79" s="88" cm="1">
        <f t="array" ref="T79">SUMPRODUCT(IF($A$34:$A$71=$A79,T$34:T$71),IF($A$34:$A$71=$A79,T$34:T$71))/SUMIF($A$34:$A$71,$A79,T$34:T$71)</f>
        <v>30945.633194978374</v>
      </c>
      <c r="U79" s="88" cm="1">
        <f t="array" ref="U79">SUMPRODUCT(IF($A$34:$A$71=$A79,U$34:U$71),IF($A$34:$A$71=$A79,U$34:U$71))/SUMIF($A$34:$A$71,$A79,U$34:U$71)</f>
        <v>31021.263859006613</v>
      </c>
      <c r="V79" s="88" cm="1">
        <f t="array" ref="V79">SUMPRODUCT(IF($A$34:$A$71=$A79,V$34:V$71),IF($A$34:$A$71=$A79,V$34:V$71))/SUMIF($A$34:$A$71,$A79,V$34:V$71)</f>
        <v>31096.896356173373</v>
      </c>
      <c r="W79" s="88" cm="1">
        <f t="array" ref="W79">SUMPRODUCT(IF($A$34:$A$71=$A79,W$34:W$71),IF($A$34:$A$71=$A79,W$34:W$71))/SUMIF($A$34:$A$71,$A79,W$34:W$71)</f>
        <v>31172.530673507281</v>
      </c>
      <c r="X79" s="88" cm="1">
        <f t="array" ref="X79">SUMPRODUCT(IF($A$34:$A$71=$A79,X$34:X$71),IF($A$34:$A$71=$A79,X$34:X$71))/SUMIF($A$34:$A$71,$A79,X$34:X$71)</f>
        <v>31131.558694465555</v>
      </c>
      <c r="Y79" s="88" cm="1">
        <f t="array" ref="Y79">SUMPRODUCT(IF($A$34:$A$71=$A79,Y$34:Y$71),IF($A$34:$A$71=$A79,Y$34:Y$71))/SUMIF($A$34:$A$71,$A79,Y$34:Y$71)</f>
        <v>31090.594501352422</v>
      </c>
      <c r="Z79" s="88" cm="1">
        <f t="array" ref="Z79">SUMPRODUCT(IF($A$34:$A$71=$A79,Z$34:Z$71),IF($A$34:$A$71=$A79,Z$34:Z$71))/SUMIF($A$34:$A$71,$A79,Z$34:Z$71)</f>
        <v>31049.638128293333</v>
      </c>
      <c r="AA79" s="88" cm="1">
        <f t="array" ref="AA79">SUMPRODUCT(IF($A$34:$A$71=$A79,AA$34:AA$71),IF($A$34:$A$71=$A79,AA$34:AA$71))/SUMIF($A$34:$A$71,$A79,AA$34:AA$71)</f>
        <v>31008.689609613521</v>
      </c>
      <c r="AB79" s="88" cm="1">
        <f t="array" ref="AB79">SUMPRODUCT(IF($A$34:$A$71=$A79,AB$34:AB$71),IF($A$34:$A$71=$A79,AB$34:AB$71))/SUMIF($A$34:$A$71,$A79,AB$34:AB$71)</f>
        <v>30967.748979839445</v>
      </c>
      <c r="AC79" s="88" cm="1">
        <f t="array" ref="AC79">SUMPRODUCT(IF($A$34:$A$71=$A79,AC$34:AC$71),IF($A$34:$A$71=$A79,AC$34:AC$71))/SUMIF($A$34:$A$71,$A79,AC$34:AC$71)</f>
        <v>31031.268369596062</v>
      </c>
      <c r="AD79" s="88" cm="1">
        <f t="array" ref="AD79">SUMPRODUCT(IF($A$34:$A$71=$A79,AD$34:AD$71),IF($A$34:$A$71=$A79,AD$34:AD$71))/SUMIF($A$34:$A$71,$A79,AD$34:AD$71)</f>
        <v>31094.788283813279</v>
      </c>
      <c r="AE79" s="88" cm="1">
        <f t="array" ref="AE79">SUMPRODUCT(IF($A$34:$A$71=$A79,AE$34:AE$71),IF($A$34:$A$71=$A79,AE$34:AE$71))/SUMIF($A$34:$A$71,$A79,AE$34:AE$71)</f>
        <v>31158.308719226068</v>
      </c>
      <c r="AF79" s="88" cm="1">
        <f t="array" ref="AF79">SUMPRODUCT(IF($A$34:$A$71=$A79,AF$34:AF$71),IF($A$34:$A$71=$A79,AF$34:AF$71))/SUMIF($A$34:$A$71,$A79,AF$34:AF$71)</f>
        <v>31221.82967259637</v>
      </c>
      <c r="AG79" s="88" cm="1">
        <f t="array" ref="AG79">SUMPRODUCT(IF($A$34:$A$71=$A79,AG$34:AG$71),IF($A$34:$A$71=$A79,AG$34:AG$71))/SUMIF($A$34:$A$71,$A79,AG$34:AG$71)</f>
        <v>31285.351140713188</v>
      </c>
      <c r="AH79" s="88"/>
      <c r="AI79" s="88"/>
      <c r="AJ79" s="88"/>
    </row>
    <row r="80" spans="1:55" s="85" customFormat="1" ht="15.75">
      <c r="A80" s="12" t="s">
        <v>144</v>
      </c>
      <c r="B80" s="85" t="str">
        <f t="shared" si="9"/>
        <v>Freight HDV</v>
      </c>
      <c r="C80" s="88" cm="1">
        <f t="array" ref="C80">SUMPRODUCT(IF($A$34:$A$71=$A80,C$34:C$71),IF($A$34:$A$71=$A80,C$34:C$71))/SUMIF($A$34:$A$71,$A80,C$34:C$71)</f>
        <v>75846.446604917626</v>
      </c>
      <c r="D80" s="88" cm="1">
        <f t="array" ref="D80">SUMPRODUCT(IF($A$34:$A$71=$A80,D$34:D$71),IF($A$34:$A$71=$A80,D$34:D$71))/SUMIF($A$34:$A$71,$A80,D$34:D$71)</f>
        <v>74745.588157432809</v>
      </c>
      <c r="E80" s="88" cm="1">
        <f t="array" ref="E80">SUMPRODUCT(IF($A$34:$A$71=$A80,E$34:E$71),IF($A$34:$A$71=$A80,E$34:E$71))/SUMIF($A$34:$A$71,$A80,E$34:E$71)</f>
        <v>73758.184901119035</v>
      </c>
      <c r="F80" s="88" cm="1">
        <f t="array" ref="F80">SUMPRODUCT(IF($A$34:$A$71=$A80,F$34:F$71),IF($A$34:$A$71=$A80,F$34:F$71))/SUMIF($A$34:$A$71,$A80,F$34:F$71)</f>
        <v>72884.634676411981</v>
      </c>
      <c r="G80" s="88" cm="1">
        <f t="array" ref="G80">SUMPRODUCT(IF($A$34:$A$71=$A80,G$34:G$71),IF($A$34:$A$71=$A80,G$34:G$71))/SUMIF($A$34:$A$71,$A80,G$34:G$71)</f>
        <v>72125.337186006625</v>
      </c>
      <c r="H80" s="88" cm="1">
        <f t="array" ref="H80">SUMPRODUCT(IF($A$34:$A$71=$A80,H$34:H$71),IF($A$34:$A$71=$A80,H$34:H$71))/SUMIF($A$34:$A$71,$A80,H$34:H$71)</f>
        <v>71480.694005766389</v>
      </c>
      <c r="I80" s="88" cm="1">
        <f t="array" ref="I80">SUMPRODUCT(IF($A$34:$A$71=$A80,I$34:I$71),IF($A$34:$A$71=$A80,I$34:I$71))/SUMIF($A$34:$A$71,$A80,I$34:I$71)</f>
        <v>70922.611425347015</v>
      </c>
      <c r="J80" s="88" cm="1">
        <f t="array" ref="J80">SUMPRODUCT(IF($A$34:$A$71=$A80,J$34:J$71),IF($A$34:$A$71=$A80,J$34:J$71))/SUMIF($A$34:$A$71,$A80,J$34:J$71)</f>
        <v>70413.120806379782</v>
      </c>
      <c r="K80" s="88" cm="1">
        <f t="array" ref="K80">SUMPRODUCT(IF($A$34:$A$71=$A80,K$34:K$71),IF($A$34:$A$71=$A80,K$34:K$71))/SUMIF($A$34:$A$71,$A80,K$34:K$71)</f>
        <v>69952.752390230788</v>
      </c>
      <c r="L80" s="88" cm="1">
        <f t="array" ref="L80">SUMPRODUCT(IF($A$34:$A$71=$A80,L$34:L$71),IF($A$34:$A$71=$A80,L$34:L$71))/SUMIF($A$34:$A$71,$A80,L$34:L$71)</f>
        <v>69542.04416117417</v>
      </c>
      <c r="M80" s="88" cm="1">
        <f t="array" ref="M80">SUMPRODUCT(IF($A$34:$A$71=$A80,M$34:M$71),IF($A$34:$A$71=$A80,M$34:M$71))/SUMIF($A$34:$A$71,$A80,M$34:M$71)</f>
        <v>69181.54198824281</v>
      </c>
      <c r="N80" s="88" cm="1">
        <f t="array" ref="N80">SUMPRODUCT(IF($A$34:$A$71=$A80,N$34:N$71),IF($A$34:$A$71=$A80,N$34:N$71))/SUMIF($A$34:$A$71,$A80,N$34:N$71)</f>
        <v>69180.131818530455</v>
      </c>
      <c r="O80" s="88" cm="1">
        <f t="array" ref="O80">SUMPRODUCT(IF($A$34:$A$71=$A80,O$34:O$71),IF($A$34:$A$71=$A80,O$34:O$71))/SUMIF($A$34:$A$71,$A80,O$34:O$71)</f>
        <v>69188.970477484938</v>
      </c>
      <c r="P80" s="88" cm="1">
        <f t="array" ref="P80">SUMPRODUCT(IF($A$34:$A$71=$A80,P$34:P$71),IF($A$34:$A$71=$A80,P$34:P$71))/SUMIF($A$34:$A$71,$A80,P$34:P$71)</f>
        <v>69208.044257081739</v>
      </c>
      <c r="Q80" s="88" cm="1">
        <f t="array" ref="Q80">SUMPRODUCT(IF($A$34:$A$71=$A80,Q$34:Q$71),IF($A$34:$A$71=$A80,Q$34:Q$71))/SUMIF($A$34:$A$71,$A80,Q$34:Q$71)</f>
        <v>69237.339473732121</v>
      </c>
      <c r="R80" s="88" cm="1">
        <f t="array" ref="R80">SUMPRODUCT(IF($A$34:$A$71=$A80,R$34:R$71),IF($A$34:$A$71=$A80,R$34:R$71))/SUMIF($A$34:$A$71,$A80,R$34:R$71)</f>
        <v>69276.84246822806</v>
      </c>
      <c r="S80" s="88" cm="1">
        <f t="array" ref="S80">SUMPRODUCT(IF($A$34:$A$71=$A80,S$34:S$71),IF($A$34:$A$71=$A80,S$34:S$71))/SUMIF($A$34:$A$71,$A80,S$34:S$71)</f>
        <v>69538.575912286236</v>
      </c>
      <c r="T80" s="88" cm="1">
        <f t="array" ref="T80">SUMPRODUCT(IF($A$34:$A$71=$A80,T$34:T$71),IF($A$34:$A$71=$A80,T$34:T$71))/SUMIF($A$34:$A$71,$A80,T$34:T$71)</f>
        <v>69803.277062369627</v>
      </c>
      <c r="U80" s="88" cm="1">
        <f t="array" ref="U80">SUMPRODUCT(IF($A$34:$A$71=$A80,U$34:U$71),IF($A$34:$A$71=$A80,U$34:U$71))/SUMIF($A$34:$A$71,$A80,U$34:U$71)</f>
        <v>70070.913785863042</v>
      </c>
      <c r="V80" s="88" cm="1">
        <f t="array" ref="V80">SUMPRODUCT(IF($A$34:$A$71=$A80,V$34:V$71),IF($A$34:$A$71=$A80,V$34:V$71))/SUMIF($A$34:$A$71,$A80,V$34:V$71)</f>
        <v>70341.454412367704</v>
      </c>
      <c r="W80" s="88" cm="1">
        <f t="array" ref="W80">SUMPRODUCT(IF($A$34:$A$71=$A80,W$34:W$71),IF($A$34:$A$71=$A80,W$34:W$71))/SUMIF($A$34:$A$71,$A80,W$34:W$71)</f>
        <v>70614.86772542019</v>
      </c>
      <c r="X80" s="88" cm="1">
        <f t="array" ref="X80">SUMPRODUCT(IF($A$34:$A$71=$A80,X$34:X$71),IF($A$34:$A$71=$A80,X$34:X$71))/SUMIF($A$34:$A$71,$A80,X$34:X$71)</f>
        <v>70686.211529501437</v>
      </c>
      <c r="Y80" s="88" cm="1">
        <f t="array" ref="Y80">SUMPRODUCT(IF($A$34:$A$71=$A80,Y$34:Y$71),IF($A$34:$A$71=$A80,Y$34:Y$71))/SUMIF($A$34:$A$71,$A80,Y$34:Y$71)</f>
        <v>70757.843124658903</v>
      </c>
      <c r="Z80" s="88" cm="1">
        <f t="array" ref="Z80">SUMPRODUCT(IF($A$34:$A$71=$A80,Z$34:Z$71),IF($A$34:$A$71=$A80,Z$34:Z$71))/SUMIF($A$34:$A$71,$A80,Z$34:Z$71)</f>
        <v>70829.761727331352</v>
      </c>
      <c r="AA80" s="88" cm="1">
        <f t="array" ref="AA80">SUMPRODUCT(IF($A$34:$A$71=$A80,AA$34:AA$71),IF($A$34:$A$71=$A80,AA$34:AA$71))/SUMIF($A$34:$A$71,$A80,AA$34:AA$71)</f>
        <v>70901.966556799467</v>
      </c>
      <c r="AB80" s="88" cm="1">
        <f t="array" ref="AB80">SUMPRODUCT(IF($A$34:$A$71=$A80,AB$34:AB$71),IF($A$34:$A$71=$A80,AB$34:AB$71))/SUMIF($A$34:$A$71,$A80,AB$34:AB$71)</f>
        <v>70974.456835173027</v>
      </c>
      <c r="AC80" s="88" cm="1">
        <f t="array" ref="AC80">SUMPRODUCT(IF($A$34:$A$71=$A80,AC$34:AC$71),IF($A$34:$A$71=$A80,AC$34:AC$71))/SUMIF($A$34:$A$71,$A80,AC$34:AC$71)</f>
        <v>71303.864251888983</v>
      </c>
      <c r="AD80" s="88" cm="1">
        <f t="array" ref="AD80">SUMPRODUCT(IF($A$34:$A$71=$A80,AD$34:AD$71),IF($A$34:$A$71=$A80,AD$34:AD$71))/SUMIF($A$34:$A$71,$A80,AD$34:AD$71)</f>
        <v>71633.817743775333</v>
      </c>
      <c r="AE80" s="88" cm="1">
        <f t="array" ref="AE80">SUMPRODUCT(IF($A$34:$A$71=$A80,AE$34:AE$71),IF($A$34:$A$71=$A80,AE$34:AE$71))/SUMIF($A$34:$A$71,$A80,AE$34:AE$71)</f>
        <v>71964.309556551074</v>
      </c>
      <c r="AF80" s="88" cm="1">
        <f t="array" ref="AF80">SUMPRODUCT(IF($A$34:$A$71=$A80,AF$34:AF$71),IF($A$34:$A$71=$A80,AF$34:AF$71))/SUMIF($A$34:$A$71,$A80,AF$34:AF$71)</f>
        <v>72295.332082058099</v>
      </c>
      <c r="AG80" s="88" cm="1">
        <f t="array" ref="AG80">SUMPRODUCT(IF($A$34:$A$71=$A80,AG$34:AG$71),IF($A$34:$A$71=$A80,AG$34:AG$71))/SUMIF($A$34:$A$71,$A80,AG$34:AG$71)</f>
        <v>72626.877854835358</v>
      </c>
      <c r="AH80" s="88"/>
      <c r="AI80" s="88"/>
      <c r="AJ80" s="88"/>
    </row>
    <row r="81" spans="1:36" s="85" customFormat="1" ht="15.75">
      <c r="A81" s="12" t="s">
        <v>145</v>
      </c>
      <c r="B81" s="85" t="str">
        <f t="shared" si="9"/>
        <v>Freight HDV</v>
      </c>
      <c r="C81" s="88" cm="1">
        <f t="array" ref="C81">SUMPRODUCT(IF($A$34:$A$71=$A81,C$34:C$71),IF($A$34:$A$71=$A81,C$34:C$71))/SUMIF($A$34:$A$71,$A81,C$34:C$71)</f>
        <v>157391.05412014163</v>
      </c>
      <c r="D81" s="88" cm="1">
        <f t="array" ref="D81">SUMPRODUCT(IF($A$34:$A$71=$A81,D$34:D$71),IF($A$34:$A$71=$A81,D$34:D$71))/SUMIF($A$34:$A$71,$A81,D$34:D$71)</f>
        <v>155345.28690078575</v>
      </c>
      <c r="E81" s="88" cm="1">
        <f t="array" ref="E81">SUMPRODUCT(IF($A$34:$A$71=$A81,E$34:E$71),IF($A$34:$A$71=$A81,E$34:E$71))/SUMIF($A$34:$A$71,$A81,E$34:E$71)</f>
        <v>153379.80032703816</v>
      </c>
      <c r="F81" s="88" cm="1">
        <f t="array" ref="F81">SUMPRODUCT(IF($A$34:$A$71=$A81,F$34:F$71),IF($A$34:$A$71=$A81,F$34:F$71))/SUMIF($A$34:$A$71,$A81,F$34:F$71)</f>
        <v>151498.63079788405</v>
      </c>
      <c r="G81" s="88" cm="1">
        <f t="array" ref="G81">SUMPRODUCT(IF($A$34:$A$71=$A81,G$34:G$71),IF($A$34:$A$71=$A81,G$34:G$71))/SUMIF($A$34:$A$71,$A81,G$34:G$71)</f>
        <v>149706.08991730609</v>
      </c>
      <c r="H81" s="88" cm="1">
        <f t="array" ref="H81">SUMPRODUCT(IF($A$34:$A$71=$A81,H$34:H$71),IF($A$34:$A$71=$A81,H$34:H$71))/SUMIF($A$34:$A$71,$A81,H$34:H$71)</f>
        <v>148006.78835563437</v>
      </c>
      <c r="I81" s="88" cm="1">
        <f t="array" ref="I81">SUMPRODUCT(IF($A$34:$A$71=$A81,I$34:I$71),IF($A$34:$A$71=$A81,I$34:I$71))/SUMIF($A$34:$A$71,$A81,I$34:I$71)</f>
        <v>146843.95302921996</v>
      </c>
      <c r="J81" s="88" cm="1">
        <f t="array" ref="J81">SUMPRODUCT(IF($A$34:$A$71=$A81,J$34:J$71),IF($A$34:$A$71=$A81,J$34:J$71))/SUMIF($A$34:$A$71,$A81,J$34:J$71)</f>
        <v>145721.6712522204</v>
      </c>
      <c r="K81" s="88" cm="1">
        <f t="array" ref="K81">SUMPRODUCT(IF($A$34:$A$71=$A81,K$34:K$71),IF($A$34:$A$71=$A81,K$34:K$71))/SUMIF($A$34:$A$71,$A81,K$34:K$71)</f>
        <v>144640.78515094591</v>
      </c>
      <c r="L81" s="88" cm="1">
        <f t="array" ref="L81">SUMPRODUCT(IF($A$34:$A$71=$A81,L$34:L$71),IF($A$34:$A$71=$A81,L$34:L$71))/SUMIF($A$34:$A$71,$A81,L$34:L$71)</f>
        <v>143602.16033078023</v>
      </c>
      <c r="M81" s="88" cm="1">
        <f t="array" ref="M81">SUMPRODUCT(IF($A$34:$A$71=$A81,M$34:M$71),IF($A$34:$A$71=$A81,M$34:M$71))/SUMIF($A$34:$A$71,$A81,M$34:M$71)</f>
        <v>142606.686700188</v>
      </c>
      <c r="N81" s="88" cm="1">
        <f t="array" ref="N81">SUMPRODUCT(IF($A$34:$A$71=$A81,N$34:N$71),IF($A$34:$A$71=$A81,N$34:N$71))/SUMIF($A$34:$A$71,$A81,N$34:N$71)</f>
        <v>142731.54725742762</v>
      </c>
      <c r="O81" s="88" cm="1">
        <f t="array" ref="O81">SUMPRODUCT(IF($A$34:$A$71=$A81,O$34:O$71),IF($A$34:$A$71=$A81,O$34:O$71))/SUMIF($A$34:$A$71,$A81,O$34:O$71)</f>
        <v>142868.66164392376</v>
      </c>
      <c r="P81" s="88" cm="1">
        <f t="array" ref="P81">SUMPRODUCT(IF($A$34:$A$71=$A81,P$34:P$71),IF($A$34:$A$71=$A81,P$34:P$71))/SUMIF($A$34:$A$71,$A81,P$34:P$71)</f>
        <v>143018.03910157658</v>
      </c>
      <c r="Q81" s="88" cm="1">
        <f t="array" ref="Q81">SUMPRODUCT(IF($A$34:$A$71=$A81,Q$34:Q$71),IF($A$34:$A$71=$A81,Q$34:Q$71))/SUMIF($A$34:$A$71,$A81,Q$34:Q$71)</f>
        <v>143179.6888815795</v>
      </c>
      <c r="R81" s="88" cm="1">
        <f t="array" ref="R81">SUMPRODUCT(IF($A$34:$A$71=$A81,R$34:R$71),IF($A$34:$A$71=$A81,R$34:R$71))/SUMIF($A$34:$A$71,$A81,R$34:R$71)</f>
        <v>143353.6202444364</v>
      </c>
      <c r="S81" s="88" cm="1">
        <f t="array" ref="S81">SUMPRODUCT(IF($A$34:$A$71=$A81,S$34:S$71),IF($A$34:$A$71=$A81,S$34:S$71))/SUMIF($A$34:$A$71,$A81,S$34:S$71)</f>
        <v>143836.63603812424</v>
      </c>
      <c r="T81" s="88" cm="1">
        <f t="array" ref="T81">SUMPRODUCT(IF($A$34:$A$71=$A81,T$34:T$71),IF($A$34:$A$71=$A81,T$34:T$71))/SUMIF($A$34:$A$71,$A81,T$34:T$71)</f>
        <v>144324.95828991957</v>
      </c>
      <c r="U81" s="88" cm="1">
        <f t="array" ref="U81">SUMPRODUCT(IF($A$34:$A$71=$A81,U$34:U$71),IF($A$34:$A$71=$A81,U$34:U$71))/SUMIF($A$34:$A$71,$A81,U$34:U$71)</f>
        <v>144818.5402464194</v>
      </c>
      <c r="V81" s="88" cm="1">
        <f t="array" ref="V81">SUMPRODUCT(IF($A$34:$A$71=$A81,V$34:V$71),IF($A$34:$A$71=$A81,V$34:V$71))/SUMIF($A$34:$A$71,$A81,V$34:V$71)</f>
        <v>145317.33570185001</v>
      </c>
      <c r="W81" s="88" cm="1">
        <f t="array" ref="W81">SUMPRODUCT(IF($A$34:$A$71=$A81,W$34:W$71),IF($A$34:$A$71=$A81,W$34:W$71))/SUMIF($A$34:$A$71,$A81,W$34:W$71)</f>
        <v>145821.29899007289</v>
      </c>
      <c r="X81" s="88" cm="1">
        <f t="array" ref="X81">SUMPRODUCT(IF($A$34:$A$71=$A81,X$34:X$71),IF($A$34:$A$71=$A81,X$34:X$71))/SUMIF($A$34:$A$71,$A81,X$34:X$71)</f>
        <v>146102.18276683919</v>
      </c>
      <c r="Y81" s="88" cm="1">
        <f t="array" ref="Y81">SUMPRODUCT(IF($A$34:$A$71=$A81,Y$34:Y$71),IF($A$34:$A$71=$A81,Y$34:Y$71))/SUMIF($A$34:$A$71,$A81,Y$34:Y$71)</f>
        <v>146383.29900552621</v>
      </c>
      <c r="Z81" s="88" cm="1">
        <f t="array" ref="Z81">SUMPRODUCT(IF($A$34:$A$71=$A81,Z$34:Z$71),IF($A$34:$A$71=$A81,Z$34:Z$71))/SUMIF($A$34:$A$71,$A81,Z$34:Z$71)</f>
        <v>146664.64652360621</v>
      </c>
      <c r="AA81" s="88" cm="1">
        <f t="array" ref="AA81">SUMPRODUCT(IF($A$34:$A$71=$A81,AA$34:AA$71),IF($A$34:$A$71=$A81,AA$34:AA$71))/SUMIF($A$34:$A$71,$A81,AA$34:AA$71)</f>
        <v>146946.22414655687</v>
      </c>
      <c r="AB81" s="88" cm="1">
        <f t="array" ref="AB81">SUMPRODUCT(IF($A$34:$A$71=$A81,AB$34:AB$71),IF($A$34:$A$71=$A81,AB$34:AB$71))/SUMIF($A$34:$A$71,$A81,AB$34:AB$71)</f>
        <v>147228.03070779666</v>
      </c>
      <c r="AC81" s="88" cm="1">
        <f t="array" ref="AC81">SUMPRODUCT(IF($A$34:$A$71=$A81,AC$34:AC$71),IF($A$34:$A$71=$A81,AC$34:AC$71))/SUMIF($A$34:$A$71,$A81,AC$34:AC$71)</f>
        <v>148034.15848818608</v>
      </c>
      <c r="AD81" s="88" cm="1">
        <f t="array" ref="AD81">SUMPRODUCT(IF($A$34:$A$71=$A81,AD$34:AD$71),IF($A$34:$A$71=$A81,AD$34:AD$71))/SUMIF($A$34:$A$71,$A81,AD$34:AD$71)</f>
        <v>148841.79983870883</v>
      </c>
      <c r="AE81" s="88" cm="1">
        <f t="array" ref="AE81">SUMPRODUCT(IF($A$34:$A$71=$A81,AE$34:AE$71),IF($A$34:$A$71=$A81,AE$34:AE$71))/SUMIF($A$34:$A$71,$A81,AE$34:AE$71)</f>
        <v>149650.93174543077</v>
      </c>
      <c r="AF81" s="88" cm="1">
        <f t="array" ref="AF81">SUMPRODUCT(IF($A$34:$A$71=$A81,AF$34:AF$71),IF($A$34:$A$71=$A81,AF$34:AF$71))/SUMIF($A$34:$A$71,$A81,AF$34:AF$71)</f>
        <v>150461.53165863908</v>
      </c>
      <c r="AG81" s="88" cm="1">
        <f t="array" ref="AG81">SUMPRODUCT(IF($A$34:$A$71=$A81,AG$34:AG$71),IF($A$34:$A$71=$A81,AG$34:AG$71))/SUMIF($A$34:$A$71,$A81,AG$34:AG$71)</f>
        <v>151273.57748119021</v>
      </c>
      <c r="AH81" s="88"/>
      <c r="AI81" s="88"/>
      <c r="AJ81" s="88"/>
    </row>
    <row r="82" spans="1:36" s="85" customFormat="1" ht="15.75">
      <c r="A82" s="12" t="s">
        <v>146</v>
      </c>
      <c r="B82" s="85" t="str">
        <f t="shared" si="9"/>
        <v>Freight HDV</v>
      </c>
      <c r="C82" s="88" cm="1">
        <f t="array" ref="C82">SUMPRODUCT(IF($A$34:$A$71=$A82,C$34:C$71),IF($A$34:$A$71=$A82,C$34:C$71))/SUMIF($A$34:$A$71,$A82,C$34:C$71)</f>
        <v>26260.098720046608</v>
      </c>
      <c r="D82" s="88" cm="1">
        <f t="array" ref="D82">SUMPRODUCT(IF($A$34:$A$71=$A82,D$34:D$71),IF($A$34:$A$71=$A82,D$34:D$71))/SUMIF($A$34:$A$71,$A82,D$34:D$71)</f>
        <v>26546.403421560106</v>
      </c>
      <c r="E82" s="88" cm="1">
        <f t="array" ref="E82">SUMPRODUCT(IF($A$34:$A$71=$A82,E$34:E$71),IF($A$34:$A$71=$A82,E$34:E$71))/SUMIF($A$34:$A$71,$A82,E$34:E$71)</f>
        <v>26863.984419078723</v>
      </c>
      <c r="F82" s="88" cm="1">
        <f t="array" ref="F82">SUMPRODUCT(IF($A$34:$A$71=$A82,F$34:F$71),IF($A$34:$A$71=$A82,F$34:F$71))/SUMIF($A$34:$A$71,$A82,F$34:F$71)</f>
        <v>27213.575854042556</v>
      </c>
      <c r="G82" s="88" cm="1">
        <f t="array" ref="G82">SUMPRODUCT(IF($A$34:$A$71=$A82,G$34:G$71),IF($A$34:$A$71=$A82,G$34:G$71))/SUMIF($A$34:$A$71,$A82,G$34:G$71)</f>
        <v>27595.935025531449</v>
      </c>
      <c r="H82" s="88" cm="1">
        <f t="array" ref="H82">SUMPRODUCT(IF($A$34:$A$71=$A82,H$34:H$71),IF($A$34:$A$71=$A82,H$34:H$71))/SUMIF($A$34:$A$71,$A82,H$34:H$71)</f>
        <v>28011.843310624336</v>
      </c>
      <c r="I82" s="88" cm="1">
        <f t="array" ref="I82">SUMPRODUCT(IF($A$34:$A$71=$A82,I$34:I$71),IF($A$34:$A$71=$A82,I$34:I$71))/SUMIF($A$34:$A$71,$A82,I$34:I$71)</f>
        <v>28396.124484677814</v>
      </c>
      <c r="J82" s="88" cm="1">
        <f t="array" ref="J82">SUMPRODUCT(IF($A$34:$A$71=$A82,J$34:J$71),IF($A$34:$A$71=$A82,J$34:J$71))/SUMIF($A$34:$A$71,$A82,J$34:J$71)</f>
        <v>28780.696268455875</v>
      </c>
      <c r="K82" s="88" cm="1">
        <f t="array" ref="K82">SUMPRODUCT(IF($A$34:$A$71=$A82,K$34:K$71),IF($A$34:$A$71=$A82,K$34:K$71))/SUMIF($A$34:$A$71,$A82,K$34:K$71)</f>
        <v>29165.548643939848</v>
      </c>
      <c r="L82" s="88" cm="1">
        <f t="array" ref="L82">SUMPRODUCT(IF($A$34:$A$71=$A82,L$34:L$71),IF($A$34:$A$71=$A82,L$34:L$71))/SUMIF($A$34:$A$71,$A82,L$34:L$71)</f>
        <v>29550.672048340701</v>
      </c>
      <c r="M82" s="88" cm="1">
        <f t="array" ref="M82">SUMPRODUCT(IF($A$34:$A$71=$A82,M$34:M$71),IF($A$34:$A$71=$A82,M$34:M$71))/SUMIF($A$34:$A$71,$A82,M$34:M$71)</f>
        <v>29936.057348531449</v>
      </c>
      <c r="N82" s="88" cm="1">
        <f t="array" ref="N82">SUMPRODUCT(IF($A$34:$A$71=$A82,N$34:N$71),IF($A$34:$A$71=$A82,N$34:N$71))/SUMIF($A$34:$A$71,$A82,N$34:N$71)</f>
        <v>30431.20630168221</v>
      </c>
      <c r="O82" s="88" cm="1">
        <f t="array" ref="O82">SUMPRODUCT(IF($A$34:$A$71=$A82,O$34:O$71),IF($A$34:$A$71=$A82,O$34:O$71))/SUMIF($A$34:$A$71,$A82,O$34:O$71)</f>
        <v>30928.207047383996</v>
      </c>
      <c r="P82" s="88" cm="1">
        <f t="array" ref="P82">SUMPRODUCT(IF($A$34:$A$71=$A82,P$34:P$71),IF($A$34:$A$71=$A82,P$34:P$71))/SUMIF($A$34:$A$71,$A82,P$34:P$71)</f>
        <v>31426.980073833067</v>
      </c>
      <c r="Q82" s="88" cm="1">
        <f t="array" ref="Q82">SUMPRODUCT(IF($A$34:$A$71=$A82,Q$34:Q$71),IF($A$34:$A$71=$A82,Q$34:Q$71))/SUMIF($A$34:$A$71,$A82,Q$34:Q$71)</f>
        <v>31927.450357069909</v>
      </c>
      <c r="R82" s="88" cm="1">
        <f t="array" ref="R82">SUMPRODUCT(IF($A$34:$A$71=$A82,R$34:R$71),IF($A$34:$A$71=$A82,R$34:R$71))/SUMIF($A$34:$A$71,$A82,R$34:R$71)</f>
        <v>32429.547048754041</v>
      </c>
      <c r="S82" s="88" cm="1">
        <f t="array" ref="S82">SUMPRODUCT(IF($A$34:$A$71=$A82,S$34:S$71),IF($A$34:$A$71=$A82,S$34:S$71))/SUMIF($A$34:$A$71,$A82,S$34:S$71)</f>
        <v>32687.595591208446</v>
      </c>
      <c r="T82" s="88" cm="1">
        <f t="array" ref="T82">SUMPRODUCT(IF($A$34:$A$71=$A82,T$34:T$71),IF($A$34:$A$71=$A82,T$34:T$71))/SUMIF($A$34:$A$71,$A82,T$34:T$71)</f>
        <v>32946.044261553288</v>
      </c>
      <c r="U82" s="88" cm="1">
        <f t="array" ref="U82">SUMPRODUCT(IF($A$34:$A$71=$A82,U$34:U$71),IF($A$34:$A$71=$A82,U$34:U$71))/SUMIF($A$34:$A$71,$A82,U$34:U$71)</f>
        <v>33204.884675531372</v>
      </c>
      <c r="V82" s="88" cm="1">
        <f t="array" ref="V82">SUMPRODUCT(IF($A$34:$A$71=$A82,V$34:V$71),IF($A$34:$A$71=$A82,V$34:V$71))/SUMIF($A$34:$A$71,$A82,V$34:V$71)</f>
        <v>33464.108681504928</v>
      </c>
      <c r="W82" s="88" cm="1">
        <f t="array" ref="W82">SUMPRODUCT(IF($A$34:$A$71=$A82,W$34:W$71),IF($A$34:$A$71=$A82,W$34:W$71))/SUMIF($A$34:$A$71,$A82,W$34:W$71)</f>
        <v>33723.708352443973</v>
      </c>
      <c r="X82" s="88" cm="1">
        <f t="array" ref="X82">SUMPRODUCT(IF($A$34:$A$71=$A82,X$34:X$71),IF($A$34:$A$71=$A82,X$34:X$71))/SUMIF($A$34:$A$71,$A82,X$34:X$71)</f>
        <v>33736.013549264331</v>
      </c>
      <c r="Y82" s="88" cm="1">
        <f t="array" ref="Y82">SUMPRODUCT(IF($A$34:$A$71=$A82,Y$34:Y$71),IF($A$34:$A$71=$A82,Y$34:Y$71))/SUMIF($A$34:$A$71,$A82,Y$34:Y$71)</f>
        <v>33748.569918514186</v>
      </c>
      <c r="Z82" s="88" cm="1">
        <f t="array" ref="Z82">SUMPRODUCT(IF($A$34:$A$71=$A82,Z$34:Z$71),IF($A$34:$A$71=$A82,Z$34:Z$71))/SUMIF($A$34:$A$71,$A82,Z$34:Z$71)</f>
        <v>33761.377193515073</v>
      </c>
      <c r="AA82" s="88" cm="1">
        <f t="array" ref="AA82">SUMPRODUCT(IF($A$34:$A$71=$A82,AA$34:AA$71),IF($A$34:$A$71=$A82,AA$34:AA$71))/SUMIF($A$34:$A$71,$A82,AA$34:AA$71)</f>
        <v>33774.435107965735</v>
      </c>
      <c r="AB82" s="88" cm="1">
        <f t="array" ref="AB82">SUMPRODUCT(IF($A$34:$A$71=$A82,AB$34:AB$71),IF($A$34:$A$71=$A82,AB$34:AB$71))/SUMIF($A$34:$A$71,$A82,AB$34:AB$71)</f>
        <v>33787.743395941885</v>
      </c>
      <c r="AC82" s="88" cm="1">
        <f t="array" ref="AC82">SUMPRODUCT(IF($A$34:$A$71=$A82,AC$34:AC$71),IF($A$34:$A$71=$A82,AC$34:AC$71))/SUMIF($A$34:$A$71,$A82,AC$34:AC$71)</f>
        <v>33844.171060529276</v>
      </c>
      <c r="AD82" s="88" cm="1">
        <f t="array" ref="AD82">SUMPRODUCT(IF($A$34:$A$71=$A82,AD$34:AD$71),IF($A$34:$A$71=$A82,AD$34:AD$71))/SUMIF($A$34:$A$71,$A82,AD$34:AD$71)</f>
        <v>33900.601111661883</v>
      </c>
      <c r="AE82" s="88" cm="1">
        <f t="array" ref="AE82">SUMPRODUCT(IF($A$34:$A$71=$A82,AE$34:AE$71),IF($A$34:$A$71=$A82,AE$34:AE$71))/SUMIF($A$34:$A$71,$A82,AE$34:AE$71)</f>
        <v>33957.033538751013</v>
      </c>
      <c r="AF82" s="88" cm="1">
        <f t="array" ref="AF82">SUMPRODUCT(IF($A$34:$A$71=$A82,AF$34:AF$71),IF($A$34:$A$71=$A82,AF$34:AF$71))/SUMIF($A$34:$A$71,$A82,AF$34:AF$71)</f>
        <v>34013.468331270284</v>
      </c>
      <c r="AG82" s="88" cm="1">
        <f t="array" ref="AG82">SUMPRODUCT(IF($A$34:$A$71=$A82,AG$34:AG$71),IF($A$34:$A$71=$A82,AG$34:AG$71))/SUMIF($A$34:$A$71,$A82,AG$34:AG$71)</f>
        <v>34069.905478755602</v>
      </c>
      <c r="AH82" s="88"/>
      <c r="AI82" s="88"/>
      <c r="AJ82" s="88"/>
    </row>
    <row r="83" spans="1:36" s="85" customFormat="1" ht="15.75">
      <c r="A83" s="12" t="s">
        <v>147</v>
      </c>
      <c r="B83" s="85" t="str">
        <f t="shared" si="9"/>
        <v>Passenger HDV</v>
      </c>
      <c r="C83" s="88" cm="1">
        <f t="array" ref="C83">SUMPRODUCT(IF($A$34:$A$71=$A83,C$34:C$71),IF($A$34:$A$71=$A83,C$34:C$71))/SUMIF($A$34:$A$71,$A83,C$34:C$71)</f>
        <v>40527.6497901197</v>
      </c>
      <c r="D83" s="88" cm="1">
        <f t="array" ref="D83">SUMPRODUCT(IF($A$34:$A$71=$A83,D$34:D$71),IF($A$34:$A$71=$A83,D$34:D$71))/SUMIF($A$34:$A$71,$A83,D$34:D$71)</f>
        <v>40405.560395412562</v>
      </c>
      <c r="E83" s="88" cm="1">
        <f t="array" ref="E83">SUMPRODUCT(IF($A$34:$A$71=$A83,E$34:E$71),IF($A$34:$A$71=$A83,E$34:E$71))/SUMIF($A$34:$A$71,$A83,E$34:E$71)</f>
        <v>40283.47726571247</v>
      </c>
      <c r="F83" s="88" cm="1">
        <f t="array" ref="F83">SUMPRODUCT(IF($A$34:$A$71=$A83,F$34:F$71),IF($A$34:$A$71=$A83,F$34:F$71))/SUMIF($A$34:$A$71,$A83,F$34:F$71)</f>
        <v>40161.400462839643</v>
      </c>
      <c r="G83" s="88" cm="1">
        <f t="array" ref="G83">SUMPRODUCT(IF($A$34:$A$71=$A83,G$34:G$71),IF($A$34:$A$71=$A83,G$34:G$71))/SUMIF($A$34:$A$71,$A83,G$34:G$71)</f>
        <v>40039.330049429984</v>
      </c>
      <c r="H83" s="88" cm="1">
        <f t="array" ref="H83">SUMPRODUCT(IF($A$34:$A$71=$A83,H$34:H$71),IF($A$34:$A$71=$A83,H$34:H$71))/SUMIF($A$34:$A$71,$A83,H$34:H$71)</f>
        <v>39917.266088949087</v>
      </c>
      <c r="I83" s="88" cm="1">
        <f t="array" ref="I83">SUMPRODUCT(IF($A$34:$A$71=$A83,I$34:I$71),IF($A$34:$A$71=$A83,I$34:I$71))/SUMIF($A$34:$A$71,$A83,I$34:I$71)</f>
        <v>39908.477740093957</v>
      </c>
      <c r="J83" s="88" cm="1">
        <f t="array" ref="J83">SUMPRODUCT(IF($A$34:$A$71=$A83,J$34:J$71),IF($A$34:$A$71=$A83,J$34:J$71))/SUMIF($A$34:$A$71,$A83,J$34:J$71)</f>
        <v>39899.689402555268</v>
      </c>
      <c r="K83" s="88" cm="1">
        <f t="array" ref="K83">SUMPRODUCT(IF($A$34:$A$71=$A83,K$34:K$71),IF($A$34:$A$71=$A83,K$34:K$71))/SUMIF($A$34:$A$71,$A83,K$34:K$71)</f>
        <v>39890.901076340095</v>
      </c>
      <c r="L83" s="88" cm="1">
        <f t="array" ref="L83">SUMPRODUCT(IF($A$34:$A$71=$A83,L$34:L$71),IF($A$34:$A$71=$A83,L$34:L$71))/SUMIF($A$34:$A$71,$A83,L$34:L$71)</f>
        <v>39882.112761455719</v>
      </c>
      <c r="M83" s="88" cm="1">
        <f t="array" ref="M83">SUMPRODUCT(IF($A$34:$A$71=$A83,M$34:M$71),IF($A$34:$A$71=$A83,M$34:M$71))/SUMIF($A$34:$A$71,$A83,M$34:M$71)</f>
        <v>39873.324457909192</v>
      </c>
      <c r="N83" s="88" cm="1">
        <f t="array" ref="N83">SUMPRODUCT(IF($A$34:$A$71=$A83,N$34:N$71),IF($A$34:$A$71=$A83,N$34:N$71))/SUMIF($A$34:$A$71,$A83,N$34:N$71)</f>
        <v>39939.115919735646</v>
      </c>
      <c r="O83" s="88" cm="1">
        <f t="array" ref="O83">SUMPRODUCT(IF($A$34:$A$71=$A83,O$34:O$71),IF($A$34:$A$71=$A83,O$34:O$71))/SUMIF($A$34:$A$71,$A83,O$34:O$71)</f>
        <v>40004.943383131489</v>
      </c>
      <c r="P83" s="88" cm="1">
        <f t="array" ref="P83">SUMPRODUCT(IF($A$34:$A$71=$A83,P$34:P$71),IF($A$34:$A$71=$A83,P$34:P$71))/SUMIF($A$34:$A$71,$A83,P$34:P$71)</f>
        <v>40070.806607065497</v>
      </c>
      <c r="Q83" s="88" cm="1">
        <f t="array" ref="Q83">SUMPRODUCT(IF($A$34:$A$71=$A83,Q$34:Q$71),IF($A$34:$A$71=$A83,Q$34:Q$71))/SUMIF($A$34:$A$71,$A83,Q$34:Q$71)</f>
        <v>40136.705352653327</v>
      </c>
      <c r="R83" s="88" cm="1">
        <f t="array" ref="R83">SUMPRODUCT(IF($A$34:$A$71=$A83,R$34:R$71),IF($A$34:$A$71=$A83,R$34:R$71))/SUMIF($A$34:$A$71,$A83,R$34:R$71)</f>
        <v>40202.639383133559</v>
      </c>
      <c r="S83" s="88" cm="1">
        <f t="array" ref="S83">SUMPRODUCT(IF($A$34:$A$71=$A83,S$34:S$71),IF($A$34:$A$71=$A83,S$34:S$71))/SUMIF($A$34:$A$71,$A83,S$34:S$71)</f>
        <v>40423.419128575959</v>
      </c>
      <c r="T83" s="88" cm="1">
        <f t="array" ref="T83">SUMPRODUCT(IF($A$34:$A$71=$A83,T$34:T$71),IF($A$34:$A$71=$A83,T$34:T$71))/SUMIF($A$34:$A$71,$A83,T$34:T$71)</f>
        <v>40644.239698878795</v>
      </c>
      <c r="U83" s="88" cm="1">
        <f t="array" ref="U83">SUMPRODUCT(IF($A$34:$A$71=$A83,U$34:U$71),IF($A$34:$A$71=$A83,U$34:U$71))/SUMIF($A$34:$A$71,$A83,U$34:U$71)</f>
        <v>40865.100357508483</v>
      </c>
      <c r="V83" s="88" cm="1">
        <f t="array" ref="V83">SUMPRODUCT(IF($A$34:$A$71=$A83,V$34:V$71),IF($A$34:$A$71=$A83,V$34:V$71))/SUMIF($A$34:$A$71,$A83,V$34:V$71)</f>
        <v>41086.000385542851</v>
      </c>
      <c r="W83" s="88" cm="1">
        <f t="array" ref="W83">SUMPRODUCT(IF($A$34:$A$71=$A83,W$34:W$71),IF($A$34:$A$71=$A83,W$34:W$71))/SUMIF($A$34:$A$71,$A83,W$34:W$71)</f>
        <v>41306.939081147939</v>
      </c>
      <c r="X83" s="88" cm="1">
        <f t="array" ref="X83">SUMPRODUCT(IF($A$34:$A$71=$A83,X$34:X$71),IF($A$34:$A$71=$A83,X$34:X$71))/SUMIF($A$34:$A$71,$A83,X$34:X$71)</f>
        <v>41355.316198315595</v>
      </c>
      <c r="Y83" s="88" cm="1">
        <f t="array" ref="Y83">SUMPRODUCT(IF($A$34:$A$71=$A83,Y$34:Y$71),IF($A$34:$A$71=$A83,Y$34:Y$71))/SUMIF($A$34:$A$71,$A83,Y$34:Y$71)</f>
        <v>41403.730018840441</v>
      </c>
      <c r="Z83" s="88" cm="1">
        <f t="array" ref="Z83">SUMPRODUCT(IF($A$34:$A$71=$A83,Z$34:Z$71),IF($A$34:$A$71=$A83,Z$34:Z$71))/SUMIF($A$34:$A$71,$A83,Z$34:Z$71)</f>
        <v>41452.180350456867</v>
      </c>
      <c r="AA83" s="88" cm="1">
        <f t="array" ref="AA83">SUMPRODUCT(IF($A$34:$A$71=$A83,AA$34:AA$71),IF($A$34:$A$71=$A83,AA$34:AA$71))/SUMIF($A$34:$A$71,$A83,AA$34:AA$71)</f>
        <v>41500.667002239839</v>
      </c>
      <c r="AB83" s="88" cm="1">
        <f t="array" ref="AB83">SUMPRODUCT(IF($A$34:$A$71=$A83,AB$34:AB$71),IF($A$34:$A$71=$A83,AB$34:AB$71))/SUMIF($A$34:$A$71,$A83,AB$34:AB$71)</f>
        <v>41549.189784593145</v>
      </c>
      <c r="AC83" s="88" cm="1">
        <f t="array" ref="AC83">SUMPRODUCT(IF($A$34:$A$71=$A83,AC$34:AC$71),IF($A$34:$A$71=$A83,AC$34:AC$71))/SUMIF($A$34:$A$71,$A83,AC$34:AC$71)</f>
        <v>41489.282064496481</v>
      </c>
      <c r="AD83" s="88" cm="1">
        <f t="array" ref="AD83">SUMPRODUCT(IF($A$34:$A$71=$A83,AD$34:AD$71),IF($A$34:$A$71=$A83,AD$34:AD$71))/SUMIF($A$34:$A$71,$A83,AD$34:AD$71)</f>
        <v>41429.378662825351</v>
      </c>
      <c r="AE83" s="88" cm="1">
        <f t="array" ref="AE83">SUMPRODUCT(IF($A$34:$A$71=$A83,AE$34:AE$71),IF($A$34:$A$71=$A83,AE$34:AE$71))/SUMIF($A$34:$A$71,$A83,AE$34:AE$71)</f>
        <v>41369.479595757468</v>
      </c>
      <c r="AF83" s="88" cm="1">
        <f t="array" ref="AF83">SUMPRODUCT(IF($A$34:$A$71=$A83,AF$34:AF$71),IF($A$34:$A$71=$A83,AF$34:AF$71))/SUMIF($A$34:$A$71,$A83,AF$34:AF$71)</f>
        <v>41309.584879551541</v>
      </c>
      <c r="AG83" s="88" cm="1">
        <f t="array" ref="AG83">SUMPRODUCT(IF($A$34:$A$71=$A83,AG$34:AG$71),IF($A$34:$A$71=$A83,AG$34:AG$71))/SUMIF($A$34:$A$71,$A83,AG$34:AG$71)</f>
        <v>41249.694530547684</v>
      </c>
      <c r="AH83" s="88"/>
      <c r="AI83" s="88"/>
      <c r="AJ83" s="88"/>
    </row>
    <row r="84" spans="1:36" s="85" customFormat="1" ht="15.75">
      <c r="A84" s="12" t="s">
        <v>148</v>
      </c>
      <c r="B84" s="85" t="str">
        <f t="shared" si="9"/>
        <v>Passenger HDV</v>
      </c>
      <c r="C84" s="88" cm="1">
        <f t="array" ref="C84">SUMPRODUCT(IF($A$34:$A$71=$A84,C$34:C$71),IF($A$34:$A$71=$A84,C$34:C$71))/SUMIF($A$34:$A$71,$A84,C$34:C$71)</f>
        <v>45661.231653064497</v>
      </c>
      <c r="D84" s="88" cm="1">
        <f t="array" ref="D84">SUMPRODUCT(IF($A$34:$A$71=$A84,D$34:D$71),IF($A$34:$A$71=$A84,D$34:D$71))/SUMIF($A$34:$A$71,$A84,D$34:D$71)</f>
        <v>45232.754667082387</v>
      </c>
      <c r="E84" s="88" cm="1">
        <f t="array" ref="E84">SUMPRODUCT(IF($A$34:$A$71=$A84,E$34:E$71),IF($A$34:$A$71=$A84,E$34:E$71))/SUMIF($A$34:$A$71,$A84,E$34:E$71)</f>
        <v>44817.22281168597</v>
      </c>
      <c r="F84" s="88" cm="1">
        <f t="array" ref="F84">SUMPRODUCT(IF($A$34:$A$71=$A84,F$34:F$71),IF($A$34:$A$71=$A84,F$34:F$71))/SUMIF($A$34:$A$71,$A84,F$34:F$71)</f>
        <v>44415.092174538528</v>
      </c>
      <c r="G84" s="88" cm="1">
        <f t="array" ref="G84">SUMPRODUCT(IF($A$34:$A$71=$A84,G$34:G$71),IF($A$34:$A$71=$A84,G$34:G$71))/SUMIF($A$34:$A$71,$A84,G$34:G$71)</f>
        <v>44026.840523316372</v>
      </c>
      <c r="H84" s="88" cm="1">
        <f t="array" ref="H84">SUMPRODUCT(IF($A$34:$A$71=$A84,H$34:H$71),IF($A$34:$A$71=$A84,H$34:H$71))/SUMIF($A$34:$A$71,$A84,H$34:H$71)</f>
        <v>43652.968609394557</v>
      </c>
      <c r="I84" s="88" cm="1">
        <f t="array" ref="I84">SUMPRODUCT(IF($A$34:$A$71=$A84,I$34:I$71),IF($A$34:$A$71=$A84,I$34:I$71))/SUMIF($A$34:$A$71,$A84,I$34:I$71)</f>
        <v>43360.583883054525</v>
      </c>
      <c r="J84" s="88" cm="1">
        <f t="array" ref="J84">SUMPRODUCT(IF($A$34:$A$71=$A84,J$34:J$71),IF($A$34:$A$71=$A84,J$34:J$71))/SUMIF($A$34:$A$71,$A84,J$34:J$71)</f>
        <v>43082.300496240088</v>
      </c>
      <c r="K84" s="88" cm="1">
        <f t="array" ref="K84">SUMPRODUCT(IF($A$34:$A$71=$A84,K$34:K$71),IF($A$34:$A$71=$A84,K$34:K$71))/SUMIF($A$34:$A$71,$A84,K$34:K$71)</f>
        <v>42818.569560229073</v>
      </c>
      <c r="L84" s="88" cm="1">
        <f t="array" ref="L84">SUMPRODUCT(IF($A$34:$A$71=$A84,L$34:L$71),IF($A$34:$A$71=$A84,L$34:L$71))/SUMIF($A$34:$A$71,$A84,L$34:L$71)</f>
        <v>42569.861635498957</v>
      </c>
      <c r="M84" s="88" cm="1">
        <f t="array" ref="M84">SUMPRODUCT(IF($A$34:$A$71=$A84,M$34:M$71),IF($A$34:$A$71=$A84,M$34:M$71))/SUMIF($A$34:$A$71,$A84,M$34:M$71)</f>
        <v>42336.667791312364</v>
      </c>
      <c r="N84" s="88" cm="1">
        <f t="array" ref="N84">SUMPRODUCT(IF($A$34:$A$71=$A84,N$34:N$71),IF($A$34:$A$71=$A84,N$34:N$71))/SUMIF($A$34:$A$71,$A84,N$34:N$71)</f>
        <v>42214.662941461385</v>
      </c>
      <c r="O84" s="88" cm="1">
        <f t="array" ref="O84">SUMPRODUCT(IF($A$34:$A$71=$A84,O$34:O$71),IF($A$34:$A$71=$A84,O$34:O$71))/SUMIF($A$34:$A$71,$A84,O$34:O$71)</f>
        <v>42108.684813611682</v>
      </c>
      <c r="P84" s="88" cm="1">
        <f t="array" ref="P84">SUMPRODUCT(IF($A$34:$A$71=$A84,P$34:P$71),IF($A$34:$A$71=$A84,P$34:P$71))/SUMIF($A$34:$A$71,$A84,P$34:P$71)</f>
        <v>42019.156402106593</v>
      </c>
      <c r="Q84" s="88" cm="1">
        <f t="array" ref="Q84">SUMPRODUCT(IF($A$34:$A$71=$A84,Q$34:Q$71),IF($A$34:$A$71=$A84,Q$34:Q$71))/SUMIF($A$34:$A$71,$A84,Q$34:Q$71)</f>
        <v>41946.515718900526</v>
      </c>
      <c r="R84" s="88" cm="1">
        <f t="array" ref="R84">SUMPRODUCT(IF($A$34:$A$71=$A84,R$34:R$71),IF($A$34:$A$71=$A84,R$34:R$71))/SUMIF($A$34:$A$71,$A84,R$34:R$71)</f>
        <v>41891.216465991711</v>
      </c>
      <c r="S84" s="88" cm="1">
        <f t="array" ref="S84">SUMPRODUCT(IF($A$34:$A$71=$A84,S$34:S$71),IF($A$34:$A$71=$A84,S$34:S$71))/SUMIF($A$34:$A$71,$A84,S$34:S$71)</f>
        <v>42006.901822181761</v>
      </c>
      <c r="T84" s="88" cm="1">
        <f t="array" ref="T84">SUMPRODUCT(IF($A$34:$A$71=$A84,T$34:T$71),IF($A$34:$A$71=$A84,T$34:T$71))/SUMIF($A$34:$A$71,$A84,T$34:T$71)</f>
        <v>42122.749128035808</v>
      </c>
      <c r="U84" s="88" cm="1">
        <f t="array" ref="U84">SUMPRODUCT(IF($A$34:$A$71=$A84,U$34:U$71),IF($A$34:$A$71=$A84,U$34:U$71))/SUMIF($A$34:$A$71,$A84,U$34:U$71)</f>
        <v>42238.757413232794</v>
      </c>
      <c r="V84" s="88" cm="1">
        <f t="array" ref="V84">SUMPRODUCT(IF($A$34:$A$71=$A84,V$34:V$71),IF($A$34:$A$71=$A84,V$34:V$71))/SUMIF($A$34:$A$71,$A84,V$34:V$71)</f>
        <v>42354.925715188001</v>
      </c>
      <c r="W84" s="88" cm="1">
        <f t="array" ref="W84">SUMPRODUCT(IF($A$34:$A$71=$A84,W$34:W$71),IF($A$34:$A$71=$A84,W$34:W$71))/SUMIF($A$34:$A$71,$A84,W$34:W$71)</f>
        <v>42471.253078975809</v>
      </c>
      <c r="X84" s="88" cm="1">
        <f t="array" ref="X84">SUMPRODUCT(IF($A$34:$A$71=$A84,X$34:X$71),IF($A$34:$A$71=$A84,X$34:X$71))/SUMIF($A$34:$A$71,$A84,X$34:X$71)</f>
        <v>42392.079825859619</v>
      </c>
      <c r="Y84" s="88" cm="1">
        <f t="array" ref="Y84">SUMPRODUCT(IF($A$34:$A$71=$A84,Y$34:Y$71),IF($A$34:$A$71=$A84,Y$34:Y$71))/SUMIF($A$34:$A$71,$A84,Y$34:Y$71)</f>
        <v>42312.980081567839</v>
      </c>
      <c r="Z84" s="88" cm="1">
        <f t="array" ref="Z84">SUMPRODUCT(IF($A$34:$A$71=$A84,Z$34:Z$71),IF($A$34:$A$71=$A84,Z$34:Z$71))/SUMIF($A$34:$A$71,$A84,Z$34:Z$71)</f>
        <v>42233.954145818308</v>
      </c>
      <c r="AA84" s="88" cm="1">
        <f t="array" ref="AA84">SUMPRODUCT(IF($A$34:$A$71=$A84,AA$34:AA$71),IF($A$34:$A$71=$A84,AA$34:AA$71))/SUMIF($A$34:$A$71,$A84,AA$34:AA$71)</f>
        <v>42155.002319960666</v>
      </c>
      <c r="AB84" s="88" cm="1">
        <f t="array" ref="AB84">SUMPRODUCT(IF($A$34:$A$71=$A84,AB$34:AB$71),IF($A$34:$A$71=$A84,AB$34:AB$71))/SUMIF($A$34:$A$71,$A84,AB$34:AB$71)</f>
        <v>42076.124906987025</v>
      </c>
      <c r="AC84" s="88" cm="1">
        <f t="array" ref="AC84">SUMPRODUCT(IF($A$34:$A$71=$A84,AC$34:AC$71),IF($A$34:$A$71=$A84,AC$34:AC$71))/SUMIF($A$34:$A$71,$A84,AC$34:AC$71)</f>
        <v>42023.699372280869</v>
      </c>
      <c r="AD84" s="88" cm="1">
        <f t="array" ref="AD84">SUMPRODUCT(IF($A$34:$A$71=$A84,AD$34:AD$71),IF($A$34:$A$71=$A84,AD$34:AD$71))/SUMIF($A$34:$A$71,$A84,AD$34:AD$71)</f>
        <v>41971.306986470678</v>
      </c>
      <c r="AE84" s="88" cm="1">
        <f t="array" ref="AE84">SUMPRODUCT(IF($A$34:$A$71=$A84,AE$34:AE$71),IF($A$34:$A$71=$A84,AE$34:AE$71))/SUMIF($A$34:$A$71,$A84,AE$34:AE$71)</f>
        <v>41918.947839950495</v>
      </c>
      <c r="AF84" s="88" cm="1">
        <f t="array" ref="AF84">SUMPRODUCT(IF($A$34:$A$71=$A84,AF$34:AF$71),IF($A$34:$A$71=$A84,AF$34:AF$71))/SUMIF($A$34:$A$71,$A84,AF$34:AF$71)</f>
        <v>41866.62202344332</v>
      </c>
      <c r="AG84" s="88" cm="1">
        <f t="array" ref="AG84">SUMPRODUCT(IF($A$34:$A$71=$A84,AG$34:AG$71),IF($A$34:$A$71=$A84,AG$34:AG$71))/SUMIF($A$34:$A$71,$A84,AG$34:AG$71)</f>
        <v>41814.329628002539</v>
      </c>
      <c r="AH84" s="88"/>
      <c r="AI84" s="88"/>
      <c r="AJ84" s="88"/>
    </row>
    <row r="85" spans="1:36" s="85" customFormat="1" ht="15.75">
      <c r="A85" s="12" t="s">
        <v>149</v>
      </c>
      <c r="B85" s="85" t="str">
        <f t="shared" si="9"/>
        <v>Passenger HDV</v>
      </c>
      <c r="C85" s="88" cm="1">
        <f t="array" ref="C85">SUMPRODUCT(IF($A$34:$A$71=$A85,C$34:C$71),IF($A$34:$A$71=$A85,C$34:C$71))/SUMIF($A$34:$A$71,$A85,C$34:C$71)</f>
        <v>16637.917400394021</v>
      </c>
      <c r="D85" s="88" cm="1">
        <f t="array" ref="D85">SUMPRODUCT(IF($A$34:$A$71=$A85,D$34:D$71),IF($A$34:$A$71=$A85,D$34:D$71))/SUMIF($A$34:$A$71,$A85,D$34:D$71)</f>
        <v>16683.593067899001</v>
      </c>
      <c r="E85" s="88" cm="1">
        <f t="array" ref="E85">SUMPRODUCT(IF($A$34:$A$71=$A85,E$34:E$71),IF($A$34:$A$71=$A85,E$34:E$71))/SUMIF($A$34:$A$71,$A85,E$34:E$71)</f>
        <v>16729.273204567955</v>
      </c>
      <c r="F85" s="88" cm="1">
        <f t="array" ref="F85">SUMPRODUCT(IF($A$34:$A$71=$A85,F$34:F$71),IF($A$34:$A$71=$A85,F$34:F$71))/SUMIF($A$34:$A$71,$A85,F$34:F$71)</f>
        <v>16774.957773857088</v>
      </c>
      <c r="G85" s="88" cm="1">
        <f t="array" ref="G85">SUMPRODUCT(IF($A$34:$A$71=$A85,G$34:G$71),IF($A$34:$A$71=$A85,G$34:G$71))/SUMIF($A$34:$A$71,$A85,G$34:G$71)</f>
        <v>16820.646739619948</v>
      </c>
      <c r="H85" s="88" cm="1">
        <f t="array" ref="H85">SUMPRODUCT(IF($A$34:$A$71=$A85,H$34:H$71),IF($A$34:$A$71=$A85,H$34:H$71))/SUMIF($A$34:$A$71,$A85,H$34:H$71)</f>
        <v>16866.34006610182</v>
      </c>
      <c r="I85" s="88" cm="1">
        <f t="array" ref="I85">SUMPRODUCT(IF($A$34:$A$71=$A85,I$34:I$71),IF($A$34:$A$71=$A85,I$34:I$71))/SUMIF($A$34:$A$71,$A85,I$34:I$71)</f>
        <v>16899.446336438043</v>
      </c>
      <c r="J85" s="88" cm="1">
        <f t="array" ref="J85">SUMPRODUCT(IF($A$34:$A$71=$A85,J$34:J$71),IF($A$34:$A$71=$A85,J$34:J$71))/SUMIF($A$34:$A$71,$A85,J$34:J$71)</f>
        <v>16932.557814030009</v>
      </c>
      <c r="K85" s="88" cm="1">
        <f t="array" ref="K85">SUMPRODUCT(IF($A$34:$A$71=$A85,K$34:K$71),IF($A$34:$A$71=$A85,K$34:K$71))/SUMIF($A$34:$A$71,$A85,K$34:K$71)</f>
        <v>16965.674468369391</v>
      </c>
      <c r="L85" s="88" cm="1">
        <f t="array" ref="L85">SUMPRODUCT(IF($A$34:$A$71=$A85,L$34:L$71),IF($A$34:$A$71=$A85,L$34:L$71))/SUMIF($A$34:$A$71,$A85,L$34:L$71)</f>
        <v>16998.796269185848</v>
      </c>
      <c r="M85" s="88" cm="1">
        <f t="array" ref="M85">SUMPRODUCT(IF($A$34:$A$71=$A85,M$34:M$71),IF($A$34:$A$71=$A85,M$34:M$71))/SUMIF($A$34:$A$71,$A85,M$34:M$71)</f>
        <v>17031.923186444455</v>
      </c>
      <c r="N85" s="88" cm="1">
        <f t="array" ref="N85">SUMPRODUCT(IF($A$34:$A$71=$A85,N$34:N$71),IF($A$34:$A$71=$A85,N$34:N$71))/SUMIF($A$34:$A$71,$A85,N$34:N$71)</f>
        <v>17086.493553915836</v>
      </c>
      <c r="O85" s="88" cm="1">
        <f t="array" ref="O85">SUMPRODUCT(IF($A$34:$A$71=$A85,O$34:O$71),IF($A$34:$A$71=$A85,O$34:O$71))/SUMIF($A$34:$A$71,$A85,O$34:O$71)</f>
        <v>17141.064369575903</v>
      </c>
      <c r="P85" s="88" cm="1">
        <f t="array" ref="P85">SUMPRODUCT(IF($A$34:$A$71=$A85,P$34:P$71),IF($A$34:$A$71=$A85,P$34:P$71))/SUMIF($A$34:$A$71,$A85,P$34:P$71)</f>
        <v>17195.63562915786</v>
      </c>
      <c r="Q85" s="88" cm="1">
        <f t="array" ref="Q85">SUMPRODUCT(IF($A$34:$A$71=$A85,Q$34:Q$71),IF($A$34:$A$71=$A85,Q$34:Q$71))/SUMIF($A$34:$A$71,$A85,Q$34:Q$71)</f>
        <v>17250.207328448771</v>
      </c>
      <c r="R85" s="88" cm="1">
        <f t="array" ref="R85">SUMPRODUCT(IF($A$34:$A$71=$A85,R$34:R$71),IF($A$34:$A$71=$A85,R$34:R$71))/SUMIF($A$34:$A$71,$A85,R$34:R$71)</f>
        <v>17304.779463288862</v>
      </c>
      <c r="S85" s="88" cm="1">
        <f t="array" ref="S85">SUMPRODUCT(IF($A$34:$A$71=$A85,S$34:S$71),IF($A$34:$A$71=$A85,S$34:S$71))/SUMIF($A$34:$A$71,$A85,S$34:S$71)</f>
        <v>17351.373813229449</v>
      </c>
      <c r="T85" s="88" cm="1">
        <f t="array" ref="T85">SUMPRODUCT(IF($A$34:$A$71=$A85,T$34:T$71),IF($A$34:$A$71=$A85,T$34:T$71))/SUMIF($A$34:$A$71,$A85,T$34:T$71)</f>
        <v>17397.968376328776</v>
      </c>
      <c r="U85" s="88" cm="1">
        <f t="array" ref="U85">SUMPRODUCT(IF($A$34:$A$71=$A85,U$34:U$71),IF($A$34:$A$71=$A85,U$34:U$71))/SUMIF($A$34:$A$71,$A85,U$34:U$71)</f>
        <v>17444.563150878734</v>
      </c>
      <c r="V85" s="88" cm="1">
        <f t="array" ref="V85">SUMPRODUCT(IF($A$34:$A$71=$A85,V$34:V$71),IF($A$34:$A$71=$A85,V$34:V$71))/SUMIF($A$34:$A$71,$A85,V$34:V$71)</f>
        <v>17491.158135189395</v>
      </c>
      <c r="W85" s="88" cm="1">
        <f t="array" ref="W85">SUMPRODUCT(IF($A$34:$A$71=$A85,W$34:W$71),IF($A$34:$A$71=$A85,W$34:W$71))/SUMIF($A$34:$A$71,$A85,W$34:W$71)</f>
        <v>17537.753327588769</v>
      </c>
      <c r="X85" s="88" cm="1">
        <f t="array" ref="X85">SUMPRODUCT(IF($A$34:$A$71=$A85,X$34:X$71),IF($A$34:$A$71=$A85,X$34:X$71))/SUMIF($A$34:$A$71,$A85,X$34:X$71)</f>
        <v>17516.670483437927</v>
      </c>
      <c r="Y85" s="88" cm="1">
        <f t="array" ref="Y85">SUMPRODUCT(IF($A$34:$A$71=$A85,Y$34:Y$71),IF($A$34:$A$71=$A85,Y$34:Y$71))/SUMIF($A$34:$A$71,$A85,Y$34:Y$71)</f>
        <v>17495.587899831546</v>
      </c>
      <c r="Z85" s="88" cm="1">
        <f t="array" ref="Z85">SUMPRODUCT(IF($A$34:$A$71=$A85,Z$34:Z$71),IF($A$34:$A$71=$A85,Z$34:Z$71))/SUMIF($A$34:$A$71,$A85,Z$34:Z$71)</f>
        <v>17474.505577712698</v>
      </c>
      <c r="AA85" s="88" cm="1">
        <f t="array" ref="AA85">SUMPRODUCT(IF($A$34:$A$71=$A85,AA$34:AA$71),IF($A$34:$A$71=$A85,AA$34:AA$71))/SUMIF($A$34:$A$71,$A85,AA$34:AA$71)</f>
        <v>17453.423518028776</v>
      </c>
      <c r="AB85" s="88" cm="1">
        <f t="array" ref="AB85">SUMPRODUCT(IF($A$34:$A$71=$A85,AB$34:AB$71),IF($A$34:$A$71=$A85,AB$34:AB$71))/SUMIF($A$34:$A$71,$A85,AB$34:AB$71)</f>
        <v>17432.341721732053</v>
      </c>
      <c r="AC85" s="88" cm="1">
        <f t="array" ref="AC85">SUMPRODUCT(IF($A$34:$A$71=$A85,AC$34:AC$71),IF($A$34:$A$71=$A85,AC$34:AC$71))/SUMIF($A$34:$A$71,$A85,AC$34:AC$71)</f>
        <v>17419.16790667842</v>
      </c>
      <c r="AD85" s="88" cm="1">
        <f t="array" ref="AD85">SUMPRODUCT(IF($A$34:$A$71=$A85,AD$34:AD$71),IF($A$34:$A$71=$A85,AD$34:AD$71))/SUMIF($A$34:$A$71,$A85,AD$34:AD$71)</f>
        <v>17405.994091624802</v>
      </c>
      <c r="AE85" s="88" cm="1">
        <f t="array" ref="AE85">SUMPRODUCT(IF($A$34:$A$71=$A85,AE$34:AE$71),IF($A$34:$A$71=$A85,AE$34:AE$71))/SUMIF($A$34:$A$71,$A85,AE$34:AE$71)</f>
        <v>17392.820276571201</v>
      </c>
      <c r="AF85" s="88" cm="1">
        <f t="array" ref="AF85">SUMPRODUCT(IF($A$34:$A$71=$A85,AF$34:AF$71),IF($A$34:$A$71=$A85,AF$34:AF$71))/SUMIF($A$34:$A$71,$A85,AF$34:AF$71)</f>
        <v>17379.646461517576</v>
      </c>
      <c r="AG85" s="88" cm="1">
        <f t="array" ref="AG85">SUMPRODUCT(IF($A$34:$A$71=$A85,AG$34:AG$71),IF($A$34:$A$71=$A85,AG$34:AG$71))/SUMIF($A$34:$A$71,$A85,AG$34:AG$71)</f>
        <v>17366.472646464019</v>
      </c>
      <c r="AH85" s="88"/>
      <c r="AI85" s="88"/>
      <c r="AJ85" s="88"/>
    </row>
    <row r="86" spans="1:36" s="85" customFormat="1" ht="15.75">
      <c r="A86" s="12" t="s">
        <v>150</v>
      </c>
      <c r="B86" s="85" t="str">
        <f t="shared" si="9"/>
        <v>Passenger HDV</v>
      </c>
      <c r="C86" s="88" cm="1">
        <f t="array" ref="C86">SUMPRODUCT(IF($A$34:$A$71=$A86,C$34:C$71),IF($A$34:$A$71=$A86,C$34:C$71))/SUMIF($A$34:$A$71,$A86,C$34:C$71)</f>
        <v>46814.855092405189</v>
      </c>
      <c r="D86" s="88" cm="1">
        <f t="array" ref="D86">SUMPRODUCT(IF($A$34:$A$71=$A86,D$34:D$71),IF($A$34:$A$71=$A86,D$34:D$71))/SUMIF($A$34:$A$71,$A86,D$34:D$71)</f>
        <v>47052.731789982165</v>
      </c>
      <c r="E86" s="88" cm="1">
        <f t="array" ref="E86">SUMPRODUCT(IF($A$34:$A$71=$A86,E$34:E$71),IF($A$34:$A$71=$A86,E$34:E$71))/SUMIF($A$34:$A$71,$A86,E$34:E$71)</f>
        <v>47290.721360073774</v>
      </c>
      <c r="F86" s="88" cm="1">
        <f t="array" ref="F86">SUMPRODUCT(IF($A$34:$A$71=$A86,F$34:F$71),IF($A$34:$A$71=$A86,F$34:F$71))/SUMIF($A$34:$A$71,$A86,F$34:F$71)</f>
        <v>47528.822115590505</v>
      </c>
      <c r="G86" s="88" cm="1">
        <f t="array" ref="G86">SUMPRODUCT(IF($A$34:$A$71=$A86,G$34:G$71),IF($A$34:$A$71=$A86,G$34:G$71))/SUMIF($A$34:$A$71,$A86,G$34:G$71)</f>
        <v>47767.032402898294</v>
      </c>
      <c r="H86" s="88" cm="1">
        <f t="array" ref="H86">SUMPRODUCT(IF($A$34:$A$71=$A86,H$34:H$71),IF($A$34:$A$71=$A86,H$34:H$71))/SUMIF($A$34:$A$71,$A86,H$34:H$71)</f>
        <v>48005.350600993566</v>
      </c>
      <c r="I86" s="88" cm="1">
        <f t="array" ref="I86">SUMPRODUCT(IF($A$34:$A$71=$A86,I$34:I$71),IF($A$34:$A$71=$A86,I$34:I$71))/SUMIF($A$34:$A$71,$A86,I$34:I$71)</f>
        <v>48233.452151126614</v>
      </c>
      <c r="J86" s="88" cm="1">
        <f t="array" ref="J86">SUMPRODUCT(IF($A$34:$A$71=$A86,J$34:J$71),IF($A$34:$A$71=$A86,J$34:J$71))/SUMIF($A$34:$A$71,$A86,J$34:J$71)</f>
        <v>48461.556341909774</v>
      </c>
      <c r="K86" s="88" cm="1">
        <f t="array" ref="K86">SUMPRODUCT(IF($A$34:$A$71=$A86,K$34:K$71),IF($A$34:$A$71=$A86,K$34:K$71))/SUMIF($A$34:$A$71,$A86,K$34:K$71)</f>
        <v>48689.66313619072</v>
      </c>
      <c r="L86" s="88" cm="1">
        <f t="array" ref="L86">SUMPRODUCT(IF($A$34:$A$71=$A86,L$34:L$71),IF($A$34:$A$71=$A86,L$34:L$71))/SUMIF($A$34:$A$71,$A86,L$34:L$71)</f>
        <v>48917.772497511061</v>
      </c>
      <c r="M86" s="88" cm="1">
        <f t="array" ref="M86">SUMPRODUCT(IF($A$34:$A$71=$A86,M$34:M$71),IF($A$34:$A$71=$A86,M$34:M$71))/SUMIF($A$34:$A$71,$A86,M$34:M$71)</f>
        <v>49145.88439008985</v>
      </c>
      <c r="N86" s="88" cm="1">
        <f t="array" ref="N86">SUMPRODUCT(IF($A$34:$A$71=$A86,N$34:N$71),IF($A$34:$A$71=$A86,N$34:N$71))/SUMIF($A$34:$A$71,$A86,N$34:N$71)</f>
        <v>49353.361891281122</v>
      </c>
      <c r="O86" s="88" cm="1">
        <f t="array" ref="O86">SUMPRODUCT(IF($A$34:$A$71=$A86,O$34:O$71),IF($A$34:$A$71=$A86,O$34:O$71))/SUMIF($A$34:$A$71,$A86,O$34:O$71)</f>
        <v>49561.045168971461</v>
      </c>
      <c r="P86" s="88" cm="1">
        <f t="array" ref="P86">SUMPRODUCT(IF($A$34:$A$71=$A86,P$34:P$71),IF($A$34:$A$71=$A86,P$34:P$71))/SUMIF($A$34:$A$71,$A86,P$34:P$71)</f>
        <v>49768.931625317091</v>
      </c>
      <c r="Q86" s="88" cm="1">
        <f t="array" ref="Q86">SUMPRODUCT(IF($A$34:$A$71=$A86,Q$34:Q$71),IF($A$34:$A$71=$A86,Q$34:Q$71))/SUMIF($A$34:$A$71,$A86,Q$34:Q$71)</f>
        <v>49977.01870602015</v>
      </c>
      <c r="R86" s="88" cm="1">
        <f t="array" ref="R86">SUMPRODUCT(IF($A$34:$A$71=$A86,R$34:R$71),IF($A$34:$A$71=$A86,R$34:R$71))/SUMIF($A$34:$A$71,$A86,R$34:R$71)</f>
        <v>50185.303899419792</v>
      </c>
      <c r="S86" s="88" cm="1">
        <f t="array" ref="S86">SUMPRODUCT(IF($A$34:$A$71=$A86,S$34:S$71),IF($A$34:$A$71=$A86,S$34:S$71))/SUMIF($A$34:$A$71,$A86,S$34:S$71)</f>
        <v>50336.492354801208</v>
      </c>
      <c r="T86" s="88" cm="1">
        <f t="array" ref="T86">SUMPRODUCT(IF($A$34:$A$71=$A86,T$34:T$71),IF($A$34:$A$71=$A86,T$34:T$71))/SUMIF($A$34:$A$71,$A86,T$34:T$71)</f>
        <v>50487.916299809141</v>
      </c>
      <c r="U86" s="88" cm="1">
        <f t="array" ref="U86">SUMPRODUCT(IF($A$34:$A$71=$A86,U$34:U$71),IF($A$34:$A$71=$A86,U$34:U$71))/SUMIF($A$34:$A$71,$A86,U$34:U$71)</f>
        <v>50639.573610932224</v>
      </c>
      <c r="V86" s="88" cm="1">
        <f t="array" ref="V86">SUMPRODUCT(IF($A$34:$A$71=$A86,V$34:V$71),IF($A$34:$A$71=$A86,V$34:V$71))/SUMIF($A$34:$A$71,$A86,V$34:V$71)</f>
        <v>50791.462190114245</v>
      </c>
      <c r="W86" s="88" cm="1">
        <f t="array" ref="W86">SUMPRODUCT(IF($A$34:$A$71=$A86,W$34:W$71),IF($A$34:$A$71=$A86,W$34:W$71))/SUMIF($A$34:$A$71,$A86,W$34:W$71)</f>
        <v>50943.579964373486</v>
      </c>
      <c r="X86" s="88" cm="1">
        <f t="array" ref="X86">SUMPRODUCT(IF($A$34:$A$71=$A86,X$34:X$71),IF($A$34:$A$71=$A86,X$34:X$71))/SUMIF($A$34:$A$71,$A86,X$34:X$71)</f>
        <v>50858.281333529521</v>
      </c>
      <c r="Y86" s="88" cm="1">
        <f t="array" ref="Y86">SUMPRODUCT(IF($A$34:$A$71=$A86,Y$34:Y$71),IF($A$34:$A$71=$A86,Y$34:Y$71))/SUMIF($A$34:$A$71,$A86,Y$34:Y$71)</f>
        <v>50772.982772072261</v>
      </c>
      <c r="Z86" s="88" cm="1">
        <f t="array" ref="Z86">SUMPRODUCT(IF($A$34:$A$71=$A86,Z$34:Z$71),IF($A$34:$A$71=$A86,Z$34:Z$71))/SUMIF($A$34:$A$71,$A86,Z$34:Z$71)</f>
        <v>50687.684280352056</v>
      </c>
      <c r="AA86" s="88" cm="1">
        <f t="array" ref="AA86">SUMPRODUCT(IF($A$34:$A$71=$A86,AA$34:AA$71),IF($A$34:$A$71=$A86,AA$34:AA$71))/SUMIF($A$34:$A$71,$A86,AA$34:AA$71)</f>
        <v>50602.385858721544</v>
      </c>
      <c r="AB86" s="88" cm="1">
        <f t="array" ref="AB86">SUMPRODUCT(IF($A$34:$A$71=$A86,AB$34:AB$71),IF($A$34:$A$71=$A86,AB$34:AB$71))/SUMIF($A$34:$A$71,$A86,AB$34:AB$71)</f>
        <v>50517.087507535754</v>
      </c>
      <c r="AC86" s="88" cm="1">
        <f t="array" ref="AC86">SUMPRODUCT(IF($A$34:$A$71=$A86,AC$34:AC$71),IF($A$34:$A$71=$A86,AC$34:AC$71))/SUMIF($A$34:$A$71,$A86,AC$34:AC$71)</f>
        <v>50482.220861716087</v>
      </c>
      <c r="AD86" s="88" cm="1">
        <f t="array" ref="AD86">SUMPRODUCT(IF($A$34:$A$71=$A86,AD$34:AD$71),IF($A$34:$A$71=$A86,AD$34:AD$71))/SUMIF($A$34:$A$71,$A86,AD$34:AD$71)</f>
        <v>50447.354215896958</v>
      </c>
      <c r="AE86" s="88" cm="1">
        <f t="array" ref="AE86">SUMPRODUCT(IF($A$34:$A$71=$A86,AE$34:AE$71),IF($A$34:$A$71=$A86,AE$34:AE$71))/SUMIF($A$34:$A$71,$A86,AE$34:AE$71)</f>
        <v>50412.487570078396</v>
      </c>
      <c r="AF86" s="88" cm="1">
        <f t="array" ref="AF86">SUMPRODUCT(IF($A$34:$A$71=$A86,AF$34:AF$71),IF($A$34:$A$71=$A86,AF$34:AF$71))/SUMIF($A$34:$A$71,$A86,AF$34:AF$71)</f>
        <v>50377.620924260424</v>
      </c>
      <c r="AG86" s="88" cm="1">
        <f t="array" ref="AG86">SUMPRODUCT(IF($A$34:$A$71=$A86,AG$34:AG$71),IF($A$34:$A$71=$A86,AG$34:AG$71))/SUMIF($A$34:$A$71,$A86,AG$34:AG$71)</f>
        <v>50342.754278442982</v>
      </c>
      <c r="AH86" s="88"/>
      <c r="AI86" s="88"/>
      <c r="AJ86" s="88"/>
    </row>
    <row r="87" spans="1:36" s="85" customFormat="1" ht="15.75"/>
    <row r="88" spans="1:36" ht="15.75">
      <c r="A88" s="20" t="s">
        <v>206</v>
      </c>
      <c r="B88" s="85" t="s">
        <v>205</v>
      </c>
      <c r="C88" s="87">
        <v>2020</v>
      </c>
      <c r="D88" s="87">
        <v>2021</v>
      </c>
      <c r="E88" s="87">
        <v>2022</v>
      </c>
      <c r="F88" s="87">
        <v>2023</v>
      </c>
      <c r="G88" s="87">
        <v>2024</v>
      </c>
      <c r="H88" s="87">
        <v>2025</v>
      </c>
      <c r="I88" s="87">
        <v>2026</v>
      </c>
      <c r="J88" s="87">
        <v>2027</v>
      </c>
      <c r="K88" s="87">
        <v>2028</v>
      </c>
      <c r="L88" s="87">
        <v>2029</v>
      </c>
      <c r="M88" s="87">
        <v>2030</v>
      </c>
      <c r="N88" s="87">
        <v>2031</v>
      </c>
      <c r="O88" s="87">
        <v>2032</v>
      </c>
      <c r="P88" s="87">
        <v>2033</v>
      </c>
      <c r="Q88" s="87">
        <v>2034</v>
      </c>
      <c r="R88" s="87">
        <v>2035</v>
      </c>
      <c r="S88" s="87">
        <v>2036</v>
      </c>
      <c r="T88" s="87">
        <v>2037</v>
      </c>
      <c r="U88" s="87">
        <v>2038</v>
      </c>
      <c r="V88" s="87">
        <v>2039</v>
      </c>
      <c r="W88" s="87">
        <v>2040</v>
      </c>
      <c r="X88" s="87">
        <v>2041</v>
      </c>
      <c r="Y88" s="87">
        <v>2042</v>
      </c>
      <c r="Z88" s="87">
        <v>2043</v>
      </c>
      <c r="AA88" s="87">
        <v>2044</v>
      </c>
      <c r="AB88" s="87">
        <v>2045</v>
      </c>
      <c r="AC88" s="87">
        <v>2046</v>
      </c>
      <c r="AD88" s="87">
        <v>2047</v>
      </c>
      <c r="AE88" s="87">
        <v>2048</v>
      </c>
      <c r="AF88" s="87">
        <v>2049</v>
      </c>
      <c r="AG88" s="87">
        <v>2050</v>
      </c>
    </row>
    <row r="89" spans="1:36" ht="15.75">
      <c r="A89" s="12" t="s">
        <v>141</v>
      </c>
      <c r="B89" s="85" t="str">
        <f t="shared" ref="B89:B98" si="10">INDEX($AJ$17:$AJ$28,MATCH(A89,$A$17:$A$28,0),1)</f>
        <v>Freight LDV</v>
      </c>
      <c r="C89" s="89">
        <f>C77*INDEX(B$17:B$28,MATCH($A89,$A$17:$A$28,0),1)</f>
        <v>3345831749.4821477</v>
      </c>
      <c r="D89" s="89">
        <f t="shared" ref="D89:AG97" si="11">D77*INDEX(C$17:C$28,MATCH($A89,$A$17:$A$28,0),1)</f>
        <v>3372520851.0492282</v>
      </c>
      <c r="E89" s="89">
        <f t="shared" si="11"/>
        <v>3399286758.7692885</v>
      </c>
      <c r="F89" s="89">
        <f t="shared" si="11"/>
        <v>3426130041.4816823</v>
      </c>
      <c r="G89" s="89">
        <f t="shared" si="11"/>
        <v>3453051267.717154</v>
      </c>
      <c r="H89" s="89">
        <f t="shared" si="11"/>
        <v>3480051005.6980915</v>
      </c>
      <c r="I89" s="89">
        <f t="shared" si="11"/>
        <v>3512854044.1415472</v>
      </c>
      <c r="J89" s="89">
        <f t="shared" si="11"/>
        <v>3545437755.7018309</v>
      </c>
      <c r="K89" s="89">
        <f t="shared" si="11"/>
        <v>3577816434.6331625</v>
      </c>
      <c r="L89" s="89">
        <f t="shared" si="11"/>
        <v>3610004498.8575549</v>
      </c>
      <c r="M89" s="89">
        <f t="shared" si="11"/>
        <v>3642016491.305088</v>
      </c>
      <c r="N89" s="89">
        <f t="shared" si="11"/>
        <v>3769294453.6157751</v>
      </c>
      <c r="O89" s="89">
        <f t="shared" si="11"/>
        <v>3898403329.0496006</v>
      </c>
      <c r="P89" s="89">
        <f t="shared" si="11"/>
        <v>4029343159.0294361</v>
      </c>
      <c r="Q89" s="89">
        <f t="shared" si="11"/>
        <v>4162113983.3165331</v>
      </c>
      <c r="R89" s="89">
        <f t="shared" si="11"/>
        <v>4296715840.0929298</v>
      </c>
      <c r="S89" s="89">
        <f t="shared" si="11"/>
        <v>4411354751.1790028</v>
      </c>
      <c r="T89" s="89">
        <f t="shared" si="11"/>
        <v>4526971664.3600855</v>
      </c>
      <c r="U89" s="89">
        <f t="shared" si="11"/>
        <v>4643566602.8034334</v>
      </c>
      <c r="V89" s="89">
        <f t="shared" si="11"/>
        <v>4761139589.1981211</v>
      </c>
      <c r="W89" s="89">
        <f t="shared" si="11"/>
        <v>4879690645.7672815</v>
      </c>
      <c r="X89" s="89">
        <f t="shared" si="11"/>
        <v>4994966913.4318705</v>
      </c>
      <c r="Y89" s="89">
        <f t="shared" si="11"/>
        <v>5108759463.5152884</v>
      </c>
      <c r="Z89" s="89">
        <f t="shared" si="11"/>
        <v>5223256126.1280613</v>
      </c>
      <c r="AA89" s="89">
        <f t="shared" si="11"/>
        <v>5338456904.0431805</v>
      </c>
      <c r="AB89" s="89">
        <f t="shared" si="11"/>
        <v>5454361799.9934177</v>
      </c>
      <c r="AC89" s="89">
        <f t="shared" si="11"/>
        <v>5562070428.4380026</v>
      </c>
      <c r="AD89" s="89">
        <f t="shared" si="11"/>
        <v>5670174307.5211058</v>
      </c>
      <c r="AE89" s="89">
        <f t="shared" si="11"/>
        <v>5778673441.5365334</v>
      </c>
      <c r="AF89" s="89">
        <f t="shared" si="11"/>
        <v>5887567834.7425127</v>
      </c>
      <c r="AG89" s="89">
        <f t="shared" si="11"/>
        <v>5996857491.3620796</v>
      </c>
    </row>
    <row r="90" spans="1:36" ht="15.75">
      <c r="A90" s="12" t="s">
        <v>142</v>
      </c>
      <c r="B90" s="85" t="str">
        <f t="shared" si="10"/>
        <v>Freight LDV</v>
      </c>
      <c r="C90" s="89">
        <f t="shared" ref="C90:R98" si="12">C78*INDEX(B$17:B$28,MATCH($A90,$A$17:$A$28,0),1)</f>
        <v>3403308310.4814692</v>
      </c>
      <c r="D90" s="89">
        <f t="shared" si="12"/>
        <v>3418830831.1574984</v>
      </c>
      <c r="E90" s="89">
        <f t="shared" si="12"/>
        <v>3434410600.3641229</v>
      </c>
      <c r="F90" s="89">
        <f t="shared" si="12"/>
        <v>3450051218.5754881</v>
      </c>
      <c r="G90" s="89">
        <f t="shared" si="12"/>
        <v>3465756290.9038582</v>
      </c>
      <c r="H90" s="89">
        <f t="shared" si="12"/>
        <v>3481529427.1070905</v>
      </c>
      <c r="I90" s="89">
        <f t="shared" si="12"/>
        <v>3551991252.7139239</v>
      </c>
      <c r="J90" s="89">
        <f t="shared" si="12"/>
        <v>3623123585.631556</v>
      </c>
      <c r="K90" s="89">
        <f t="shared" si="12"/>
        <v>3694929473.9717875</v>
      </c>
      <c r="L90" s="89">
        <f t="shared" si="12"/>
        <v>3767411915.532011</v>
      </c>
      <c r="M90" s="89">
        <f t="shared" si="12"/>
        <v>3840573858.8291149</v>
      </c>
      <c r="N90" s="89">
        <f t="shared" si="12"/>
        <v>3959183575.2880316</v>
      </c>
      <c r="O90" s="89">
        <f t="shared" si="12"/>
        <v>4078982931.4454384</v>
      </c>
      <c r="P90" s="89">
        <f t="shared" si="12"/>
        <v>4199972107.8305016</v>
      </c>
      <c r="Q90" s="89">
        <f t="shared" si="12"/>
        <v>4322151280.3285656</v>
      </c>
      <c r="R90" s="89">
        <f t="shared" si="12"/>
        <v>4445520620.3294582</v>
      </c>
      <c r="S90" s="89">
        <f t="shared" si="11"/>
        <v>4567239923.8213406</v>
      </c>
      <c r="T90" s="89">
        <f t="shared" si="11"/>
        <v>4690099708.6304779</v>
      </c>
      <c r="U90" s="89">
        <f t="shared" si="11"/>
        <v>4814099974.9006186</v>
      </c>
      <c r="V90" s="89">
        <f t="shared" si="11"/>
        <v>4939240722.772109</v>
      </c>
      <c r="W90" s="89">
        <f t="shared" si="11"/>
        <v>5065521952.3820124</v>
      </c>
      <c r="X90" s="89">
        <f t="shared" si="11"/>
        <v>5162773243.8546753</v>
      </c>
      <c r="Y90" s="89">
        <f t="shared" si="11"/>
        <v>5257631902.1103392</v>
      </c>
      <c r="Z90" s="89">
        <f t="shared" si="11"/>
        <v>5352370598.7466202</v>
      </c>
      <c r="AA90" s="89">
        <f t="shared" si="11"/>
        <v>5446989396.5583134</v>
      </c>
      <c r="AB90" s="89">
        <f t="shared" si="11"/>
        <v>5541488358.5276575</v>
      </c>
      <c r="AC90" s="89">
        <f t="shared" si="11"/>
        <v>5650917477.3438854</v>
      </c>
      <c r="AD90" s="89">
        <f t="shared" si="11"/>
        <v>5760748133.9125175</v>
      </c>
      <c r="AE90" s="89">
        <f t="shared" si="11"/>
        <v>5870980332.6025133</v>
      </c>
      <c r="AF90" s="89">
        <f t="shared" si="11"/>
        <v>5981614077.7465172</v>
      </c>
      <c r="AG90" s="89">
        <f t="shared" si="11"/>
        <v>6092649373.6413736</v>
      </c>
    </row>
    <row r="91" spans="1:36" ht="15.75">
      <c r="A91" s="12" t="s">
        <v>143</v>
      </c>
      <c r="B91" s="85" t="str">
        <f t="shared" si="10"/>
        <v>Freight HDV</v>
      </c>
      <c r="C91" s="89">
        <f t="shared" si="12"/>
        <v>2854390527.200716</v>
      </c>
      <c r="D91" s="89">
        <f t="shared" si="11"/>
        <v>2885277088.2676773</v>
      </c>
      <c r="E91" s="89">
        <f t="shared" si="11"/>
        <v>2916340843.8552227</v>
      </c>
      <c r="F91" s="89">
        <f t="shared" si="11"/>
        <v>2947581946.5983377</v>
      </c>
      <c r="G91" s="89">
        <f t="shared" si="11"/>
        <v>2979000546.2783966</v>
      </c>
      <c r="H91" s="89">
        <f t="shared" si="11"/>
        <v>3010596789.8894925</v>
      </c>
      <c r="I91" s="89">
        <f t="shared" si="11"/>
        <v>3052946906.7034664</v>
      </c>
      <c r="J91" s="89">
        <f t="shared" si="11"/>
        <v>3095268216.4134612</v>
      </c>
      <c r="K91" s="89">
        <f t="shared" si="11"/>
        <v>3137561253.0141916</v>
      </c>
      <c r="L91" s="89">
        <f t="shared" si="11"/>
        <v>3179826550.2444782</v>
      </c>
      <c r="M91" s="89">
        <f t="shared" si="11"/>
        <v>3222064641.5873704</v>
      </c>
      <c r="N91" s="89">
        <f t="shared" si="11"/>
        <v>3310300201.7042394</v>
      </c>
      <c r="O91" s="89">
        <f t="shared" si="11"/>
        <v>3398997051.3693571</v>
      </c>
      <c r="P91" s="89">
        <f t="shared" si="11"/>
        <v>3488155387.1225657</v>
      </c>
      <c r="Q91" s="89">
        <f t="shared" si="11"/>
        <v>3577775403.0247097</v>
      </c>
      <c r="R91" s="89">
        <f t="shared" si="11"/>
        <v>3667857290.6966267</v>
      </c>
      <c r="S91" s="89">
        <f t="shared" si="11"/>
        <v>3754822238.3055334</v>
      </c>
      <c r="T91" s="89">
        <f t="shared" si="11"/>
        <v>3842169383.9241819</v>
      </c>
      <c r="U91" s="89">
        <f t="shared" si="11"/>
        <v>3929898739.9650674</v>
      </c>
      <c r="V91" s="89">
        <f t="shared" si="11"/>
        <v>4018010318.7232842</v>
      </c>
      <c r="W91" s="89">
        <f t="shared" si="11"/>
        <v>4106504132.3779325</v>
      </c>
      <c r="X91" s="89">
        <f t="shared" si="11"/>
        <v>4182421439.6775341</v>
      </c>
      <c r="Y91" s="89">
        <f t="shared" si="11"/>
        <v>4256289296.210588</v>
      </c>
      <c r="Z91" s="89">
        <f t="shared" si="11"/>
        <v>4329949088.0788765</v>
      </c>
      <c r="AA91" s="89">
        <f t="shared" si="11"/>
        <v>4403400880.0482769</v>
      </c>
      <c r="AB91" s="89">
        <f t="shared" si="11"/>
        <v>4476644737.2642422</v>
      </c>
      <c r="AC91" s="89">
        <f t="shared" si="11"/>
        <v>4565046797.3134565</v>
      </c>
      <c r="AD91" s="89">
        <f t="shared" si="11"/>
        <v>4653773253.4868813</v>
      </c>
      <c r="AE91" s="89">
        <f t="shared" si="11"/>
        <v>4742824109.3042135</v>
      </c>
      <c r="AF91" s="89">
        <f t="shared" si="11"/>
        <v>4832199368.2559824</v>
      </c>
      <c r="AG91" s="89">
        <f t="shared" si="11"/>
        <v>4921899033.8039122</v>
      </c>
    </row>
    <row r="92" spans="1:36" ht="15.75">
      <c r="A92" s="12" t="s">
        <v>144</v>
      </c>
      <c r="B92" s="85" t="str">
        <f t="shared" si="10"/>
        <v>Freight HDV</v>
      </c>
      <c r="C92" s="89">
        <f t="shared" si="12"/>
        <v>4243248416.923768</v>
      </c>
      <c r="D92" s="89">
        <f t="shared" si="11"/>
        <v>4135143446.5307212</v>
      </c>
      <c r="E92" s="89">
        <f t="shared" si="11"/>
        <v>4034614756.2566051</v>
      </c>
      <c r="F92" s="89">
        <f t="shared" si="11"/>
        <v>3941472037.4969835</v>
      </c>
      <c r="G92" s="89">
        <f t="shared" si="11"/>
        <v>3855524090.8280807</v>
      </c>
      <c r="H92" s="89">
        <f t="shared" si="11"/>
        <v>3776578820.7883592</v>
      </c>
      <c r="I92" s="89">
        <f t="shared" si="11"/>
        <v>3720801615.5901527</v>
      </c>
      <c r="J92" s="89">
        <f t="shared" si="11"/>
        <v>3667969442.7516408</v>
      </c>
      <c r="K92" s="89">
        <f t="shared" si="11"/>
        <v>3618055686.5311308</v>
      </c>
      <c r="L92" s="89">
        <f t="shared" si="11"/>
        <v>3571033342.5276484</v>
      </c>
      <c r="M92" s="89">
        <f t="shared" si="11"/>
        <v>3526875010.5606184</v>
      </c>
      <c r="N92" s="89">
        <f t="shared" si="11"/>
        <v>3541628699.0779214</v>
      </c>
      <c r="O92" s="89">
        <f t="shared" si="11"/>
        <v>3556908661.2005963</v>
      </c>
      <c r="P92" s="89">
        <f t="shared" si="11"/>
        <v>3572720778.3754368</v>
      </c>
      <c r="Q92" s="89">
        <f t="shared" si="11"/>
        <v>3589070921.5651793</v>
      </c>
      <c r="R92" s="89">
        <f t="shared" si="11"/>
        <v>3605964951.2718225</v>
      </c>
      <c r="S92" s="89">
        <f t="shared" si="11"/>
        <v>3634043836.7990761</v>
      </c>
      <c r="T92" s="89">
        <f t="shared" si="11"/>
        <v>3662387244.9095998</v>
      </c>
      <c r="U92" s="89">
        <f t="shared" si="11"/>
        <v>3690995333.7400928</v>
      </c>
      <c r="V92" s="89">
        <f t="shared" si="11"/>
        <v>3719868259.1525111</v>
      </c>
      <c r="W92" s="89">
        <f t="shared" si="11"/>
        <v>3749006174.7748332</v>
      </c>
      <c r="X92" s="89">
        <f t="shared" si="11"/>
        <v>3768093722.8184886</v>
      </c>
      <c r="Y92" s="89">
        <f t="shared" si="11"/>
        <v>3786813947.1263022</v>
      </c>
      <c r="Z92" s="89">
        <f t="shared" si="11"/>
        <v>3805579763.426219</v>
      </c>
      <c r="AA92" s="89">
        <f t="shared" si="11"/>
        <v>3824391310.9398789</v>
      </c>
      <c r="AB92" s="89">
        <f t="shared" si="11"/>
        <v>3843248728.3844185</v>
      </c>
      <c r="AC92" s="89">
        <f t="shared" si="11"/>
        <v>3876102783.7270679</v>
      </c>
      <c r="AD92" s="89">
        <f t="shared" si="11"/>
        <v>3909125386.5514746</v>
      </c>
      <c r="AE92" s="89">
        <f t="shared" si="11"/>
        <v>3942316457.079464</v>
      </c>
      <c r="AF92" s="89">
        <f t="shared" si="11"/>
        <v>3975675917.0362225</v>
      </c>
      <c r="AG92" s="89">
        <f t="shared" si="11"/>
        <v>4009203689.6150379</v>
      </c>
    </row>
    <row r="93" spans="1:36" ht="15.75">
      <c r="A93" s="12" t="s">
        <v>145</v>
      </c>
      <c r="B93" s="85" t="str">
        <f t="shared" si="10"/>
        <v>Freight HDV</v>
      </c>
      <c r="C93" s="89">
        <f t="shared" si="12"/>
        <v>14612799289.625017</v>
      </c>
      <c r="D93" s="89">
        <f t="shared" si="11"/>
        <v>14262424777.082468</v>
      </c>
      <c r="E93" s="89">
        <f t="shared" si="11"/>
        <v>13923563663.21998</v>
      </c>
      <c r="F93" s="89">
        <f t="shared" si="11"/>
        <v>13596329460.18935</v>
      </c>
      <c r="G93" s="89">
        <f t="shared" si="11"/>
        <v>13280843419.494194</v>
      </c>
      <c r="H93" s="89">
        <f t="shared" si="11"/>
        <v>12977235203.022022</v>
      </c>
      <c r="I93" s="89">
        <f t="shared" si="11"/>
        <v>12784933527.940308</v>
      </c>
      <c r="J93" s="89">
        <f t="shared" si="11"/>
        <v>12597568533.352251</v>
      </c>
      <c r="K93" s="89">
        <f t="shared" si="11"/>
        <v>12415137652.066132</v>
      </c>
      <c r="L93" s="89">
        <f t="shared" si="11"/>
        <v>12237638245.31517</v>
      </c>
      <c r="M93" s="89">
        <f t="shared" si="11"/>
        <v>12065067600.245365</v>
      </c>
      <c r="N93" s="89">
        <f t="shared" si="11"/>
        <v>12126392325.324587</v>
      </c>
      <c r="O93" s="89">
        <f t="shared" si="11"/>
        <v>12188851297.644287</v>
      </c>
      <c r="P93" s="89">
        <f t="shared" si="11"/>
        <v>12252458382.820219</v>
      </c>
      <c r="Q93" s="89">
        <f t="shared" si="11"/>
        <v>12317227460.414755</v>
      </c>
      <c r="R93" s="89">
        <f t="shared" si="11"/>
        <v>12383172423.954905</v>
      </c>
      <c r="S93" s="89">
        <f t="shared" si="11"/>
        <v>12474517056.945681</v>
      </c>
      <c r="T93" s="89">
        <f t="shared" si="11"/>
        <v>12566656995.221544</v>
      </c>
      <c r="U93" s="89">
        <f t="shared" si="11"/>
        <v>12659593643.608829</v>
      </c>
      <c r="V93" s="89">
        <f t="shared" si="11"/>
        <v>12753328390.478903</v>
      </c>
      <c r="W93" s="89">
        <f t="shared" si="11"/>
        <v>12847862607.988451</v>
      </c>
      <c r="X93" s="89">
        <f t="shared" si="11"/>
        <v>12925089336.854912</v>
      </c>
      <c r="Y93" s="89">
        <f t="shared" si="11"/>
        <v>13001119910.135149</v>
      </c>
      <c r="Z93" s="89">
        <f t="shared" si="11"/>
        <v>13077367607.079</v>
      </c>
      <c r="AA93" s="89">
        <f t="shared" si="11"/>
        <v>13153832565.047693</v>
      </c>
      <c r="AB93" s="89">
        <f t="shared" si="11"/>
        <v>13230514920.474039</v>
      </c>
      <c r="AC93" s="89">
        <f t="shared" si="11"/>
        <v>13354695167.648855</v>
      </c>
      <c r="AD93" s="89">
        <f t="shared" si="11"/>
        <v>13479575975.665928</v>
      </c>
      <c r="AE93" s="89">
        <f t="shared" si="11"/>
        <v>13605156839.257725</v>
      </c>
      <c r="AF93" s="89">
        <f t="shared" si="11"/>
        <v>13731437263.348825</v>
      </c>
      <c r="AG93" s="89">
        <f t="shared" si="11"/>
        <v>13858416762.7997</v>
      </c>
    </row>
    <row r="94" spans="1:36" ht="15.75">
      <c r="A94" s="12" t="s">
        <v>146</v>
      </c>
      <c r="B94" s="85" t="str">
        <f t="shared" si="10"/>
        <v>Freight HDV</v>
      </c>
      <c r="C94" s="89">
        <f t="shared" si="12"/>
        <v>94903996.774248436</v>
      </c>
      <c r="D94" s="89">
        <f t="shared" si="11"/>
        <v>96602362.05105722</v>
      </c>
      <c r="E94" s="89">
        <f t="shared" si="11"/>
        <v>98429638.911504433</v>
      </c>
      <c r="F94" s="89">
        <f t="shared" si="11"/>
        <v>100390881.32556298</v>
      </c>
      <c r="G94" s="89">
        <f t="shared" si="11"/>
        <v>102491302.6848238</v>
      </c>
      <c r="H94" s="89">
        <f t="shared" si="11"/>
        <v>104736282.1384244</v>
      </c>
      <c r="I94" s="89">
        <f t="shared" si="11"/>
        <v>107717858.62017682</v>
      </c>
      <c r="J94" s="89">
        <f t="shared" si="11"/>
        <v>110742363.10176452</v>
      </c>
      <c r="K94" s="89">
        <f t="shared" si="11"/>
        <v>113809803.91838208</v>
      </c>
      <c r="L94" s="89">
        <f t="shared" si="11"/>
        <v>116920189.02646482</v>
      </c>
      <c r="M94" s="89">
        <f t="shared" si="11"/>
        <v>120073526.02495964</v>
      </c>
      <c r="N94" s="89">
        <f t="shared" si="11"/>
        <v>125035740.45235187</v>
      </c>
      <c r="O94" s="89">
        <f t="shared" si="11"/>
        <v>130102595.76552553</v>
      </c>
      <c r="P94" s="89">
        <f t="shared" si="11"/>
        <v>135274293.02980706</v>
      </c>
      <c r="Q94" s="89">
        <f t="shared" si="11"/>
        <v>140551021.96189317</v>
      </c>
      <c r="R94" s="89">
        <f t="shared" si="11"/>
        <v>145932961.71939319</v>
      </c>
      <c r="S94" s="89">
        <f t="shared" si="11"/>
        <v>150212576.77983928</v>
      </c>
      <c r="T94" s="89">
        <f t="shared" si="11"/>
        <v>154543304.42209414</v>
      </c>
      <c r="U94" s="89">
        <f t="shared" si="11"/>
        <v>158925219.0340282</v>
      </c>
      <c r="V94" s="89">
        <f t="shared" si="11"/>
        <v>163358392.93963441</v>
      </c>
      <c r="W94" s="89">
        <f t="shared" si="11"/>
        <v>167842896.47011366</v>
      </c>
      <c r="X94" s="89">
        <f t="shared" si="11"/>
        <v>171230510.37064525</v>
      </c>
      <c r="Y94" s="89">
        <f t="shared" si="11"/>
        <v>174548217.22891676</v>
      </c>
      <c r="Z94" s="89">
        <f t="shared" si="11"/>
        <v>177869667.29275745</v>
      </c>
      <c r="AA94" s="89">
        <f t="shared" si="11"/>
        <v>181194931.70912883</v>
      </c>
      <c r="AB94" s="89">
        <f t="shared" si="11"/>
        <v>184524081.5243459</v>
      </c>
      <c r="AC94" s="89">
        <f t="shared" si="11"/>
        <v>188095441.8288205</v>
      </c>
      <c r="AD94" s="89">
        <f t="shared" si="11"/>
        <v>191677696.9327296</v>
      </c>
      <c r="AE94" s="89">
        <f t="shared" si="11"/>
        <v>195270847.46550173</v>
      </c>
      <c r="AF94" s="89">
        <f t="shared" si="11"/>
        <v>198874894.0528459</v>
      </c>
      <c r="AG94" s="89">
        <f t="shared" si="11"/>
        <v>202489837.31678164</v>
      </c>
    </row>
    <row r="95" spans="1:36" ht="15.75">
      <c r="A95" s="12" t="s">
        <v>147</v>
      </c>
      <c r="B95" s="85" t="str">
        <f t="shared" si="10"/>
        <v>Passenger HDV</v>
      </c>
      <c r="C95" s="89">
        <f t="shared" si="12"/>
        <v>192668892.90637672</v>
      </c>
      <c r="D95" s="89">
        <f t="shared" si="11"/>
        <v>192094886.90283436</v>
      </c>
      <c r="E95" s="89">
        <f t="shared" si="11"/>
        <v>191520871.95843565</v>
      </c>
      <c r="F95" s="89">
        <f t="shared" si="11"/>
        <v>190946848.37008491</v>
      </c>
      <c r="G95" s="89">
        <f t="shared" si="11"/>
        <v>190372816.438604</v>
      </c>
      <c r="H95" s="89">
        <f t="shared" si="11"/>
        <v>189798776.46879947</v>
      </c>
      <c r="I95" s="89">
        <f t="shared" si="11"/>
        <v>190934122.07023597</v>
      </c>
      <c r="J95" s="89">
        <f t="shared" si="11"/>
        <v>192068949.28738716</v>
      </c>
      <c r="K95" s="89">
        <f t="shared" si="11"/>
        <v>193203258.12128869</v>
      </c>
      <c r="L95" s="89">
        <f t="shared" si="11"/>
        <v>194337048.57297805</v>
      </c>
      <c r="M95" s="89">
        <f t="shared" si="11"/>
        <v>195470320.64349246</v>
      </c>
      <c r="N95" s="89">
        <f t="shared" si="11"/>
        <v>199159133.36929071</v>
      </c>
      <c r="O95" s="89">
        <f t="shared" si="11"/>
        <v>202859219.17313716</v>
      </c>
      <c r="P95" s="89">
        <f t="shared" si="11"/>
        <v>206570585.91570231</v>
      </c>
      <c r="Q95" s="89">
        <f t="shared" si="11"/>
        <v>210293241.38764349</v>
      </c>
      <c r="R95" s="89">
        <f t="shared" si="11"/>
        <v>214027193.31038192</v>
      </c>
      <c r="S95" s="89">
        <f t="shared" si="11"/>
        <v>218520005.55598357</v>
      </c>
      <c r="T95" s="89">
        <f t="shared" si="11"/>
        <v>223049279.48144552</v>
      </c>
      <c r="U95" s="89">
        <f t="shared" si="11"/>
        <v>227615021.03551081</v>
      </c>
      <c r="V95" s="89">
        <f t="shared" si="11"/>
        <v>232217236.02468029</v>
      </c>
      <c r="W95" s="89">
        <f t="shared" si="11"/>
        <v>236855930.11743909</v>
      </c>
      <c r="X95" s="89">
        <f t="shared" si="11"/>
        <v>240649551.5126797</v>
      </c>
      <c r="Y95" s="89">
        <f t="shared" si="11"/>
        <v>244368131.13543579</v>
      </c>
      <c r="Z95" s="89">
        <f t="shared" si="11"/>
        <v>248094966.7849316</v>
      </c>
      <c r="AA95" s="89">
        <f t="shared" si="11"/>
        <v>251830066.39479166</v>
      </c>
      <c r="AB95" s="89">
        <f t="shared" si="11"/>
        <v>255573437.84342432</v>
      </c>
      <c r="AC95" s="89">
        <f t="shared" si="11"/>
        <v>258648896.81816289</v>
      </c>
      <c r="AD95" s="89">
        <f t="shared" si="11"/>
        <v>261714437.38856724</v>
      </c>
      <c r="AE95" s="89">
        <f t="shared" si="11"/>
        <v>264770060.7335732</v>
      </c>
      <c r="AF95" s="89">
        <f t="shared" si="11"/>
        <v>267815768.03801328</v>
      </c>
      <c r="AG95" s="89">
        <f t="shared" si="11"/>
        <v>270851560.49265301</v>
      </c>
    </row>
    <row r="96" spans="1:36" ht="15.75">
      <c r="A96" s="12" t="s">
        <v>148</v>
      </c>
      <c r="B96" s="85" t="str">
        <f t="shared" si="10"/>
        <v>Passenger HDV</v>
      </c>
      <c r="C96" s="89">
        <f t="shared" si="12"/>
        <v>241227556.2434333</v>
      </c>
      <c r="D96" s="89">
        <f t="shared" si="11"/>
        <v>238971789.68143368</v>
      </c>
      <c r="E96" s="89">
        <f t="shared" si="11"/>
        <v>236784267.43211046</v>
      </c>
      <c r="F96" s="89">
        <f t="shared" si="11"/>
        <v>234667405.99472737</v>
      </c>
      <c r="G96" s="89">
        <f t="shared" si="11"/>
        <v>232623736.73623627</v>
      </c>
      <c r="H96" s="89">
        <f t="shared" si="11"/>
        <v>230655912.79862383</v>
      </c>
      <c r="I96" s="89">
        <f t="shared" si="11"/>
        <v>230532259.13921514</v>
      </c>
      <c r="J96" s="89">
        <f t="shared" si="11"/>
        <v>230464871.86467144</v>
      </c>
      <c r="K96" s="89">
        <f t="shared" si="11"/>
        <v>230457565.57308841</v>
      </c>
      <c r="L96" s="89">
        <f t="shared" si="11"/>
        <v>230514319.32504189</v>
      </c>
      <c r="M96" s="89">
        <f t="shared" si="11"/>
        <v>230639285.60344741</v>
      </c>
      <c r="N96" s="89">
        <f t="shared" si="11"/>
        <v>233928442.9819378</v>
      </c>
      <c r="O96" s="89">
        <f t="shared" si="11"/>
        <v>237285058.08489725</v>
      </c>
      <c r="P96" s="89">
        <f t="shared" si="11"/>
        <v>240716057.29835761</v>
      </c>
      <c r="Q96" s="89">
        <f t="shared" si="11"/>
        <v>244228612.91653407</v>
      </c>
      <c r="R96" s="89">
        <f t="shared" si="11"/>
        <v>247830154.15268207</v>
      </c>
      <c r="S96" s="89">
        <f t="shared" si="11"/>
        <v>252345624.91608682</v>
      </c>
      <c r="T96" s="89">
        <f t="shared" si="11"/>
        <v>256883184.56062609</v>
      </c>
      <c r="U96" s="89">
        <f t="shared" si="11"/>
        <v>261442871.3902719</v>
      </c>
      <c r="V96" s="89">
        <f t="shared" si="11"/>
        <v>266024723.40360999</v>
      </c>
      <c r="W96" s="89">
        <f t="shared" si="11"/>
        <v>270628778.29687548</v>
      </c>
      <c r="X96" s="89">
        <f t="shared" si="11"/>
        <v>274129449.64819461</v>
      </c>
      <c r="Y96" s="89">
        <f t="shared" si="11"/>
        <v>277521069.49343228</v>
      </c>
      <c r="Z96" s="89">
        <f t="shared" si="11"/>
        <v>280898587.27992362</v>
      </c>
      <c r="AA96" s="89">
        <f t="shared" si="11"/>
        <v>284262025.46494055</v>
      </c>
      <c r="AB96" s="89">
        <f t="shared" si="11"/>
        <v>287611406.62817645</v>
      </c>
      <c r="AC96" s="89">
        <f t="shared" si="11"/>
        <v>291129487.72510117</v>
      </c>
      <c r="AD96" s="89">
        <f t="shared" si="11"/>
        <v>294638129.64042747</v>
      </c>
      <c r="AE96" s="89">
        <f t="shared" si="11"/>
        <v>298137342.19042581</v>
      </c>
      <c r="AF96" s="89">
        <f t="shared" si="11"/>
        <v>301627135.22708619</v>
      </c>
      <c r="AG96" s="89">
        <f t="shared" si="11"/>
        <v>305107518.63828403</v>
      </c>
    </row>
    <row r="97" spans="1:33" ht="15.75">
      <c r="A97" s="12" t="s">
        <v>149</v>
      </c>
      <c r="B97" s="85" t="str">
        <f t="shared" si="10"/>
        <v>Passenger HDV</v>
      </c>
      <c r="C97" s="89">
        <f t="shared" si="12"/>
        <v>449970928.76733804</v>
      </c>
      <c r="D97" s="89">
        <f t="shared" si="11"/>
        <v>451221161.4364062</v>
      </c>
      <c r="E97" s="89">
        <f t="shared" si="11"/>
        <v>452471596.77758712</v>
      </c>
      <c r="F97" s="89">
        <f t="shared" si="11"/>
        <v>453722233.81446415</v>
      </c>
      <c r="G97" s="89">
        <f t="shared" si="11"/>
        <v>454973071.58123738</v>
      </c>
      <c r="H97" s="89">
        <f t="shared" si="11"/>
        <v>456224109.12257355</v>
      </c>
      <c r="I97" s="89">
        <f t="shared" si="11"/>
        <v>459955641.24710494</v>
      </c>
      <c r="J97" s="89">
        <f t="shared" si="11"/>
        <v>463698427.615345</v>
      </c>
      <c r="K97" s="89">
        <f t="shared" si="11"/>
        <v>467452470.0083133</v>
      </c>
      <c r="L97" s="89">
        <f t="shared" si="11"/>
        <v>471217770.19314736</v>
      </c>
      <c r="M97" s="89">
        <f t="shared" si="11"/>
        <v>474994329.92323011</v>
      </c>
      <c r="N97" s="89">
        <f t="shared" si="11"/>
        <v>484708965.67774224</v>
      </c>
      <c r="O97" s="89">
        <f t="shared" si="11"/>
        <v>494475945.92492926</v>
      </c>
      <c r="P97" s="89">
        <f t="shared" si="11"/>
        <v>504295271.18436104</v>
      </c>
      <c r="Q97" s="89">
        <f t="shared" si="11"/>
        <v>514166941.96902937</v>
      </c>
      <c r="R97" s="89">
        <f t="shared" si="11"/>
        <v>524090958.78545582</v>
      </c>
      <c r="S97" s="89">
        <f t="shared" si="11"/>
        <v>533603224.49523973</v>
      </c>
      <c r="T97" s="89">
        <f t="shared" si="11"/>
        <v>543159005.35910404</v>
      </c>
      <c r="U97" s="89">
        <f t="shared" si="11"/>
        <v>552758301.62148702</v>
      </c>
      <c r="V97" s="89">
        <f t="shared" si="11"/>
        <v>562401113.5242219</v>
      </c>
      <c r="W97" s="89">
        <f t="shared" si="11"/>
        <v>572087441.30657041</v>
      </c>
      <c r="X97" s="89">
        <f t="shared" si="11"/>
        <v>579872303.43938076</v>
      </c>
      <c r="Y97" s="89">
        <f t="shared" si="11"/>
        <v>587436359.40201855</v>
      </c>
      <c r="Z97" s="89">
        <f t="shared" si="11"/>
        <v>594980512.53177953</v>
      </c>
      <c r="AA97" s="89">
        <f t="shared" si="11"/>
        <v>602504763.23181665</v>
      </c>
      <c r="AB97" s="89">
        <f t="shared" si="11"/>
        <v>610009111.90724504</v>
      </c>
      <c r="AC97" s="89">
        <f t="shared" si="11"/>
        <v>617774007.60573053</v>
      </c>
      <c r="AD97" s="89">
        <f t="shared" si="11"/>
        <v>625526461.11334944</v>
      </c>
      <c r="AE97" s="89">
        <f t="shared" si="11"/>
        <v>633266472.43010187</v>
      </c>
      <c r="AF97" s="89">
        <f t="shared" si="11"/>
        <v>640994041.55598617</v>
      </c>
      <c r="AG97" s="89">
        <f t="shared" si="11"/>
        <v>648709168.4910059</v>
      </c>
    </row>
    <row r="98" spans="1:33" ht="15.75">
      <c r="A98" s="12" t="s">
        <v>150</v>
      </c>
      <c r="B98" s="85" t="str">
        <f t="shared" si="10"/>
        <v>Passenger HDV</v>
      </c>
      <c r="C98" s="89">
        <f t="shared" si="12"/>
        <v>759754210.40225077</v>
      </c>
      <c r="D98" s="89">
        <f t="shared" si="12"/>
        <v>763640193.21258497</v>
      </c>
      <c r="E98" s="89">
        <f t="shared" si="12"/>
        <v>767528265.80183327</v>
      </c>
      <c r="F98" s="89">
        <f t="shared" si="12"/>
        <v>771418400.97115409</v>
      </c>
      <c r="G98" s="89">
        <f t="shared" si="12"/>
        <v>775310572.06106675</v>
      </c>
      <c r="H98" s="89">
        <f t="shared" si="12"/>
        <v>779204752.938151</v>
      </c>
      <c r="I98" s="89">
        <f t="shared" si="12"/>
        <v>787763663.96229541</v>
      </c>
      <c r="J98" s="89">
        <f t="shared" si="12"/>
        <v>796368551.82806671</v>
      </c>
      <c r="K98" s="89">
        <f t="shared" si="12"/>
        <v>805019416.71883261</v>
      </c>
      <c r="L98" s="89">
        <f t="shared" si="12"/>
        <v>813716258.81454146</v>
      </c>
      <c r="M98" s="89">
        <f t="shared" si="12"/>
        <v>822459078.29179513</v>
      </c>
      <c r="N98" s="89">
        <f t="shared" si="12"/>
        <v>840131994.23466039</v>
      </c>
      <c r="O98" s="89">
        <f t="shared" si="12"/>
        <v>857927870.01895428</v>
      </c>
      <c r="P98" s="89">
        <f t="shared" si="12"/>
        <v>875846837.55542457</v>
      </c>
      <c r="Q98" s="89">
        <f t="shared" si="12"/>
        <v>893889026.5437026</v>
      </c>
      <c r="R98" s="89">
        <f t="shared" si="12"/>
        <v>912054564.51843369</v>
      </c>
      <c r="S98" s="89">
        <f t="shared" ref="S98:AG98" si="13">S86*INDEX(R$17:R$28,MATCH($A98,$A$17:$A$28,0),1)</f>
        <v>928904394.92029667</v>
      </c>
      <c r="T98" s="89">
        <f t="shared" si="13"/>
        <v>945843350.30810463</v>
      </c>
      <c r="U98" s="89">
        <f t="shared" si="13"/>
        <v>962871588.22787082</v>
      </c>
      <c r="V98" s="89">
        <f t="shared" si="13"/>
        <v>979989264.33707452</v>
      </c>
      <c r="W98" s="89">
        <f t="shared" si="13"/>
        <v>997196532.43286777</v>
      </c>
      <c r="X98" s="89">
        <f t="shared" si="13"/>
        <v>1010289119.1381128</v>
      </c>
      <c r="Y98" s="89">
        <f t="shared" si="13"/>
        <v>1022982381.8145972</v>
      </c>
      <c r="Z98" s="89">
        <f t="shared" si="13"/>
        <v>1035627303.2694954</v>
      </c>
      <c r="AA98" s="89">
        <f t="shared" si="13"/>
        <v>1048223883.5693848</v>
      </c>
      <c r="AB98" s="89">
        <f t="shared" si="13"/>
        <v>1060772122.7813172</v>
      </c>
      <c r="AC98" s="89">
        <f t="shared" si="13"/>
        <v>1074345289.7022579</v>
      </c>
      <c r="AD98" s="89">
        <f t="shared" si="13"/>
        <v>1087898696.0797536</v>
      </c>
      <c r="AE98" s="89">
        <f t="shared" si="13"/>
        <v>1101432341.9137933</v>
      </c>
      <c r="AF98" s="89">
        <f t="shared" si="13"/>
        <v>1114946227.2043841</v>
      </c>
      <c r="AG98" s="89">
        <f t="shared" si="13"/>
        <v>1128440351.9515312</v>
      </c>
    </row>
    <row r="100" spans="1:33" ht="15.75">
      <c r="A100" s="20" t="s">
        <v>207</v>
      </c>
      <c r="B100" s="87" t="s">
        <v>205</v>
      </c>
      <c r="C100" s="87">
        <v>2020</v>
      </c>
      <c r="D100" s="87">
        <v>2021</v>
      </c>
      <c r="E100" s="87">
        <v>2022</v>
      </c>
      <c r="F100" s="87">
        <v>2023</v>
      </c>
      <c r="G100" s="87">
        <v>2024</v>
      </c>
      <c r="H100" s="87">
        <v>2025</v>
      </c>
      <c r="I100" s="87">
        <v>2026</v>
      </c>
      <c r="J100" s="87">
        <v>2027</v>
      </c>
      <c r="K100" s="87">
        <v>2028</v>
      </c>
      <c r="L100" s="87">
        <v>2029</v>
      </c>
      <c r="M100" s="87">
        <v>2030</v>
      </c>
      <c r="N100" s="87">
        <v>2031</v>
      </c>
      <c r="O100" s="87">
        <v>2032</v>
      </c>
      <c r="P100" s="87">
        <v>2033</v>
      </c>
      <c r="Q100" s="87">
        <v>2034</v>
      </c>
      <c r="R100" s="87">
        <v>2035</v>
      </c>
      <c r="S100" s="87">
        <v>2036</v>
      </c>
      <c r="T100" s="87">
        <v>2037</v>
      </c>
      <c r="U100" s="87">
        <v>2038</v>
      </c>
      <c r="V100" s="87">
        <v>2039</v>
      </c>
      <c r="W100" s="87">
        <v>2040</v>
      </c>
      <c r="X100" s="87">
        <v>2041</v>
      </c>
      <c r="Y100" s="87">
        <v>2042</v>
      </c>
      <c r="Z100" s="87">
        <v>2043</v>
      </c>
      <c r="AA100" s="87">
        <v>2044</v>
      </c>
      <c r="AB100" s="87">
        <v>2045</v>
      </c>
      <c r="AC100" s="87">
        <v>2046</v>
      </c>
      <c r="AD100" s="87">
        <v>2047</v>
      </c>
      <c r="AE100" s="87">
        <v>2048</v>
      </c>
      <c r="AF100" s="87">
        <v>2049</v>
      </c>
      <c r="AG100" s="87">
        <v>2050</v>
      </c>
    </row>
    <row r="101" spans="1:33" ht="15.75">
      <c r="A101" s="12" t="s">
        <v>141</v>
      </c>
      <c r="B101" s="85" t="str">
        <f t="shared" ref="B101:B110" si="14">INDEX($AJ$17:$AJ$28,MATCH(A101,$A$17:$A$28,0),1)</f>
        <v>Freight LDV</v>
      </c>
      <c r="C101" s="90">
        <f>C89/SUMIFS(C$89:C$98,$B$89:$B$98,$B101)</f>
        <v>0.49574193449175274</v>
      </c>
      <c r="D101" s="90">
        <f t="shared" ref="D101:AG109" si="15">D89/SUMIFS(D$89:D$98,$B$89:$B$98,$B101)</f>
        <v>0.49659051818582733</v>
      </c>
      <c r="E101" s="90">
        <f t="shared" si="15"/>
        <v>0.49743009971403762</v>
      </c>
      <c r="F101" s="90">
        <f t="shared" si="15"/>
        <v>0.49826057689660092</v>
      </c>
      <c r="G101" s="90">
        <f t="shared" si="15"/>
        <v>0.49908184878108997</v>
      </c>
      <c r="H101" s="90">
        <f t="shared" si="15"/>
        <v>0.49989381567711033</v>
      </c>
      <c r="I101" s="90">
        <f t="shared" si="15"/>
        <v>0.49723014397853865</v>
      </c>
      <c r="J101" s="90">
        <f t="shared" si="15"/>
        <v>0.49458149088564013</v>
      </c>
      <c r="K101" s="90">
        <f t="shared" si="15"/>
        <v>0.49194849917690242</v>
      </c>
      <c r="L101" s="90">
        <f t="shared" si="15"/>
        <v>0.48933180616133887</v>
      </c>
      <c r="M101" s="90">
        <f t="shared" si="15"/>
        <v>0.48673204343463317</v>
      </c>
      <c r="N101" s="90">
        <f t="shared" si="15"/>
        <v>0.4877149730540678</v>
      </c>
      <c r="O101" s="90">
        <f t="shared" si="15"/>
        <v>0.48868178144450086</v>
      </c>
      <c r="P101" s="90">
        <f t="shared" si="15"/>
        <v>0.48963285867244627</v>
      </c>
      <c r="Q101" s="90">
        <f t="shared" si="15"/>
        <v>0.49056858242647194</v>
      </c>
      <c r="R101" s="90">
        <f t="shared" si="15"/>
        <v>0.49148931849932259</v>
      </c>
      <c r="S101" s="90">
        <f t="shared" si="15"/>
        <v>0.49131906616319487</v>
      </c>
      <c r="T101" s="90">
        <f t="shared" si="15"/>
        <v>0.49115076591744655</v>
      </c>
      <c r="U101" s="90">
        <f t="shared" si="15"/>
        <v>0.49098438443055242</v>
      </c>
      <c r="V101" s="90">
        <f t="shared" si="15"/>
        <v>0.49081988912567626</v>
      </c>
      <c r="W101" s="90">
        <f t="shared" si="15"/>
        <v>0.49065724815931477</v>
      </c>
      <c r="X101" s="90">
        <f t="shared" si="15"/>
        <v>0.49173997720829521</v>
      </c>
      <c r="Y101" s="90">
        <f t="shared" si="15"/>
        <v>0.49281946661358439</v>
      </c>
      <c r="Z101" s="90">
        <f t="shared" si="15"/>
        <v>0.49389565857525625</v>
      </c>
      <c r="AA101" s="90">
        <f t="shared" si="15"/>
        <v>0.49496856738746731</v>
      </c>
      <c r="AB101" s="90">
        <f t="shared" si="15"/>
        <v>0.49603820726555087</v>
      </c>
      <c r="AC101" s="90">
        <f t="shared" si="15"/>
        <v>0.49603820811845928</v>
      </c>
      <c r="AD101" s="90">
        <f t="shared" si="15"/>
        <v>0.49603821008954141</v>
      </c>
      <c r="AE101" s="90">
        <f t="shared" si="15"/>
        <v>0.49603821311535928</v>
      </c>
      <c r="AF101" s="90">
        <f t="shared" si="15"/>
        <v>0.49603821713672425</v>
      </c>
      <c r="AG101" s="90">
        <f t="shared" si="15"/>
        <v>0.49603822209834753</v>
      </c>
    </row>
    <row r="102" spans="1:33" ht="15.75">
      <c r="A102" s="12" t="s">
        <v>142</v>
      </c>
      <c r="B102" s="85" t="str">
        <f t="shared" si="14"/>
        <v>Freight LDV</v>
      </c>
      <c r="C102" s="90">
        <f t="shared" ref="C102:R110" si="16">C90/SUMIFS(C$89:C$98,$B$89:$B$98,$B102)</f>
        <v>0.50425806550824714</v>
      </c>
      <c r="D102" s="90">
        <f t="shared" si="16"/>
        <v>0.50340948181417278</v>
      </c>
      <c r="E102" s="90">
        <f t="shared" si="16"/>
        <v>0.50256990028596238</v>
      </c>
      <c r="F102" s="90">
        <f t="shared" si="16"/>
        <v>0.50173942310339903</v>
      </c>
      <c r="G102" s="90">
        <f t="shared" si="16"/>
        <v>0.50091815121891015</v>
      </c>
      <c r="H102" s="90">
        <f t="shared" si="16"/>
        <v>0.50010618432288967</v>
      </c>
      <c r="I102" s="90">
        <f t="shared" si="16"/>
        <v>0.5027698560214614</v>
      </c>
      <c r="J102" s="90">
        <f t="shared" si="16"/>
        <v>0.50541850911435982</v>
      </c>
      <c r="K102" s="90">
        <f t="shared" si="16"/>
        <v>0.50805150082309758</v>
      </c>
      <c r="L102" s="90">
        <f t="shared" si="16"/>
        <v>0.51066819383866102</v>
      </c>
      <c r="M102" s="90">
        <f t="shared" si="16"/>
        <v>0.51326795656536683</v>
      </c>
      <c r="N102" s="90">
        <f t="shared" si="16"/>
        <v>0.51228502694593225</v>
      </c>
      <c r="O102" s="90">
        <f t="shared" si="16"/>
        <v>0.51131821855549919</v>
      </c>
      <c r="P102" s="90">
        <f t="shared" si="16"/>
        <v>0.51036714132755379</v>
      </c>
      <c r="Q102" s="90">
        <f t="shared" si="16"/>
        <v>0.50943141757352806</v>
      </c>
      <c r="R102" s="90">
        <f t="shared" si="16"/>
        <v>0.50851068150067735</v>
      </c>
      <c r="S102" s="90">
        <f t="shared" si="15"/>
        <v>0.50868093383680513</v>
      </c>
      <c r="T102" s="90">
        <f t="shared" si="15"/>
        <v>0.50884923408255356</v>
      </c>
      <c r="U102" s="90">
        <f t="shared" si="15"/>
        <v>0.50901561556944752</v>
      </c>
      <c r="V102" s="90">
        <f t="shared" si="15"/>
        <v>0.5091801108743238</v>
      </c>
      <c r="W102" s="90">
        <f t="shared" si="15"/>
        <v>0.50934275184068523</v>
      </c>
      <c r="X102" s="90">
        <f t="shared" si="15"/>
        <v>0.5082600227917049</v>
      </c>
      <c r="Y102" s="90">
        <f t="shared" si="15"/>
        <v>0.50718053338641567</v>
      </c>
      <c r="Z102" s="90">
        <f t="shared" si="15"/>
        <v>0.5061043414247437</v>
      </c>
      <c r="AA102" s="90">
        <f t="shared" si="15"/>
        <v>0.50503143261253269</v>
      </c>
      <c r="AB102" s="90">
        <f t="shared" si="15"/>
        <v>0.50396179273444908</v>
      </c>
      <c r="AC102" s="90">
        <f t="shared" si="15"/>
        <v>0.50396179188154078</v>
      </c>
      <c r="AD102" s="90">
        <f t="shared" si="15"/>
        <v>0.50396178991045848</v>
      </c>
      <c r="AE102" s="90">
        <f t="shared" si="15"/>
        <v>0.50396178688464077</v>
      </c>
      <c r="AF102" s="90">
        <f t="shared" si="15"/>
        <v>0.50396178286327586</v>
      </c>
      <c r="AG102" s="90">
        <f t="shared" si="15"/>
        <v>0.50396177790165253</v>
      </c>
    </row>
    <row r="103" spans="1:33" ht="15.75">
      <c r="A103" s="12" t="s">
        <v>143</v>
      </c>
      <c r="B103" s="85" t="str">
        <f t="shared" si="14"/>
        <v>Freight HDV</v>
      </c>
      <c r="C103" s="90">
        <f t="shared" si="16"/>
        <v>0.1309032665951492</v>
      </c>
      <c r="D103" s="90">
        <f t="shared" si="15"/>
        <v>0.134955642085446</v>
      </c>
      <c r="E103" s="90">
        <f t="shared" si="15"/>
        <v>0.13905249364066702</v>
      </c>
      <c r="F103" s="90">
        <f t="shared" si="15"/>
        <v>0.1431853813208924</v>
      </c>
      <c r="G103" s="90">
        <f t="shared" si="15"/>
        <v>0.14734500291744415</v>
      </c>
      <c r="H103" s="90">
        <f t="shared" si="15"/>
        <v>0.15152118887478963</v>
      </c>
      <c r="I103" s="90">
        <f t="shared" si="15"/>
        <v>0.15523669410022445</v>
      </c>
      <c r="J103" s="90">
        <f t="shared" si="15"/>
        <v>0.15896363905377345</v>
      </c>
      <c r="K103" s="90">
        <f t="shared" si="15"/>
        <v>0.16269806196615355</v>
      </c>
      <c r="L103" s="90">
        <f t="shared" si="15"/>
        <v>0.16643585059489518</v>
      </c>
      <c r="M103" s="90">
        <f t="shared" si="15"/>
        <v>0.17017275247182767</v>
      </c>
      <c r="N103" s="90">
        <f t="shared" si="15"/>
        <v>0.17328369079314188</v>
      </c>
      <c r="O103" s="90">
        <f t="shared" si="15"/>
        <v>0.17634354391431539</v>
      </c>
      <c r="P103" s="90">
        <f t="shared" si="15"/>
        <v>0.1793524367515015</v>
      </c>
      <c r="Q103" s="90">
        <f t="shared" si="15"/>
        <v>0.18231051233930526</v>
      </c>
      <c r="R103" s="90">
        <f t="shared" si="15"/>
        <v>0.18521793139195711</v>
      </c>
      <c r="S103" s="90">
        <f t="shared" si="15"/>
        <v>0.18761357493840458</v>
      </c>
      <c r="T103" s="90">
        <f t="shared" si="15"/>
        <v>0.1899641826761248</v>
      </c>
      <c r="U103" s="90">
        <f t="shared" si="15"/>
        <v>0.19227062695995598</v>
      </c>
      <c r="V103" s="90">
        <f t="shared" si="15"/>
        <v>0.19453376279962023</v>
      </c>
      <c r="W103" s="90">
        <f t="shared" si="15"/>
        <v>0.19675442817726757</v>
      </c>
      <c r="X103" s="90">
        <f t="shared" si="15"/>
        <v>0.1987197332874831</v>
      </c>
      <c r="Y103" s="90">
        <f t="shared" si="15"/>
        <v>0.20059075154972006</v>
      </c>
      <c r="Z103" s="90">
        <f t="shared" si="15"/>
        <v>0.20242141223922069</v>
      </c>
      <c r="AA103" s="90">
        <f t="shared" si="15"/>
        <v>0.20421266531069251</v>
      </c>
      <c r="AB103" s="90">
        <f t="shared" si="15"/>
        <v>0.20596543117526739</v>
      </c>
      <c r="AC103" s="90">
        <f t="shared" si="15"/>
        <v>0.20765371256251813</v>
      </c>
      <c r="AD103" s="90">
        <f t="shared" si="15"/>
        <v>0.20930742886212308</v>
      </c>
      <c r="AE103" s="90">
        <f t="shared" si="15"/>
        <v>0.21092747383197141</v>
      </c>
      <c r="AF103" s="90">
        <f t="shared" si="15"/>
        <v>0.21251471254841123</v>
      </c>
      <c r="AG103" s="90">
        <f t="shared" si="15"/>
        <v>0.21406998251195397</v>
      </c>
    </row>
    <row r="104" spans="1:33" ht="15.75">
      <c r="A104" s="12" t="s">
        <v>144</v>
      </c>
      <c r="B104" s="85" t="str">
        <f t="shared" si="14"/>
        <v>Freight HDV</v>
      </c>
      <c r="C104" s="90">
        <f t="shared" si="16"/>
        <v>0.19459673561022794</v>
      </c>
      <c r="D104" s="90">
        <f t="shared" si="15"/>
        <v>0.19341675751393353</v>
      </c>
      <c r="E104" s="90">
        <f t="shared" si="15"/>
        <v>0.1923723161231301</v>
      </c>
      <c r="F104" s="90">
        <f t="shared" si="15"/>
        <v>0.19146581397200588</v>
      </c>
      <c r="G104" s="90">
        <f t="shared" si="15"/>
        <v>0.19069892723619858</v>
      </c>
      <c r="H104" s="90">
        <f t="shared" si="15"/>
        <v>0.19007251808908215</v>
      </c>
      <c r="I104" s="90">
        <f t="shared" si="15"/>
        <v>0.18919586873218178</v>
      </c>
      <c r="J104" s="90">
        <f t="shared" si="15"/>
        <v>0.18837584654730169</v>
      </c>
      <c r="K104" s="90">
        <f t="shared" si="15"/>
        <v>0.18761407373919198</v>
      </c>
      <c r="L104" s="90">
        <f t="shared" si="15"/>
        <v>0.1869120728678188</v>
      </c>
      <c r="M104" s="90">
        <f t="shared" si="15"/>
        <v>0.18627125614572565</v>
      </c>
      <c r="N104" s="90">
        <f t="shared" si="15"/>
        <v>0.18539300214499632</v>
      </c>
      <c r="O104" s="90">
        <f t="shared" si="15"/>
        <v>0.18453616440853934</v>
      </c>
      <c r="P104" s="90">
        <f t="shared" si="15"/>
        <v>0.18370058277791981</v>
      </c>
      <c r="Q104" s="90">
        <f t="shared" si="15"/>
        <v>0.18288609116700646</v>
      </c>
      <c r="R104" s="90">
        <f t="shared" si="15"/>
        <v>0.18209251778703087</v>
      </c>
      <c r="S104" s="90">
        <f t="shared" si="15"/>
        <v>0.18157875724429232</v>
      </c>
      <c r="T104" s="90">
        <f t="shared" si="15"/>
        <v>0.1810754108170379</v>
      </c>
      <c r="U104" s="90">
        <f t="shared" si="15"/>
        <v>0.18058225768198491</v>
      </c>
      <c r="V104" s="90">
        <f t="shared" si="15"/>
        <v>0.18009908192613755</v>
      </c>
      <c r="W104" s="90">
        <f t="shared" si="15"/>
        <v>0.17962567243874411</v>
      </c>
      <c r="X104" s="90">
        <f t="shared" si="15"/>
        <v>0.17903374645536954</v>
      </c>
      <c r="Y104" s="90">
        <f t="shared" si="15"/>
        <v>0.17846527873688128</v>
      </c>
      <c r="Z104" s="90">
        <f t="shared" si="15"/>
        <v>0.17790759531621123</v>
      </c>
      <c r="AA104" s="90">
        <f t="shared" si="15"/>
        <v>0.17736044572655935</v>
      </c>
      <c r="AB104" s="90">
        <f t="shared" si="15"/>
        <v>0.17682358728766165</v>
      </c>
      <c r="AC104" s="90">
        <f t="shared" si="15"/>
        <v>0.17631519873761545</v>
      </c>
      <c r="AD104" s="90">
        <f t="shared" si="15"/>
        <v>0.1758162547231307</v>
      </c>
      <c r="AE104" s="90">
        <f t="shared" si="15"/>
        <v>0.17532652111359212</v>
      </c>
      <c r="AF104" s="90">
        <f t="shared" si="15"/>
        <v>0.17484577110888702</v>
      </c>
      <c r="AG104" s="90">
        <f t="shared" si="15"/>
        <v>0.17437378496150294</v>
      </c>
    </row>
    <row r="105" spans="1:33" ht="15.75">
      <c r="A105" s="12" t="s">
        <v>145</v>
      </c>
      <c r="B105" s="85" t="str">
        <f t="shared" si="14"/>
        <v>Freight HDV</v>
      </c>
      <c r="C105" s="90">
        <f t="shared" si="16"/>
        <v>0.67014767001315834</v>
      </c>
      <c r="D105" s="90">
        <f t="shared" si="15"/>
        <v>0.66710913184500642</v>
      </c>
      <c r="E105" s="90">
        <f t="shared" si="15"/>
        <v>0.66388201907699707</v>
      </c>
      <c r="F105" s="90">
        <f t="shared" si="15"/>
        <v>0.6604720932588144</v>
      </c>
      <c r="G105" s="90">
        <f t="shared" si="15"/>
        <v>0.65688672492395583</v>
      </c>
      <c r="H105" s="90">
        <f t="shared" si="15"/>
        <v>0.65313499066802794</v>
      </c>
      <c r="I105" s="90">
        <f t="shared" si="15"/>
        <v>0.65009018362249116</v>
      </c>
      <c r="J105" s="90">
        <f t="shared" si="15"/>
        <v>0.64697312067235824</v>
      </c>
      <c r="K105" s="90">
        <f t="shared" si="15"/>
        <v>0.64378626332591482</v>
      </c>
      <c r="L105" s="90">
        <f t="shared" si="15"/>
        <v>0.64053233673234622</v>
      </c>
      <c r="M105" s="90">
        <f t="shared" si="15"/>
        <v>0.63721433015103235</v>
      </c>
      <c r="N105" s="90">
        <f t="shared" si="15"/>
        <v>0.63477808358772436</v>
      </c>
      <c r="O105" s="90">
        <f t="shared" si="15"/>
        <v>0.63237043209709598</v>
      </c>
      <c r="P105" s="90">
        <f t="shared" si="15"/>
        <v>0.62999150647584168</v>
      </c>
      <c r="Q105" s="90">
        <f t="shared" si="15"/>
        <v>0.62764142405628387</v>
      </c>
      <c r="R105" s="90">
        <f t="shared" si="15"/>
        <v>0.6253202888379662</v>
      </c>
      <c r="S105" s="90">
        <f t="shared" si="15"/>
        <v>0.62330214112608673</v>
      </c>
      <c r="T105" s="90">
        <f t="shared" si="15"/>
        <v>0.62131949076911763</v>
      </c>
      <c r="U105" s="90">
        <f t="shared" si="15"/>
        <v>0.61937168562683609</v>
      </c>
      <c r="V105" s="90">
        <f t="shared" si="15"/>
        <v>0.61745808577400663</v>
      </c>
      <c r="W105" s="90">
        <f t="shared" si="15"/>
        <v>0.61557806329810327</v>
      </c>
      <c r="X105" s="90">
        <f t="shared" si="15"/>
        <v>0.61411083095794616</v>
      </c>
      <c r="Y105" s="90">
        <f t="shared" si="15"/>
        <v>0.61271784699500542</v>
      </c>
      <c r="Z105" s="90">
        <f t="shared" si="15"/>
        <v>0.61135573780403485</v>
      </c>
      <c r="AA105" s="90">
        <f t="shared" si="15"/>
        <v>0.61002377033851218</v>
      </c>
      <c r="AB105" s="90">
        <f t="shared" si="15"/>
        <v>0.60872123436168801</v>
      </c>
      <c r="AC105" s="90">
        <f t="shared" si="15"/>
        <v>0.60747505005534963</v>
      </c>
      <c r="AD105" s="90">
        <f t="shared" si="15"/>
        <v>0.60625544820094945</v>
      </c>
      <c r="AE105" s="90">
        <f t="shared" si="15"/>
        <v>0.60506173053366608</v>
      </c>
      <c r="AF105" s="90">
        <f t="shared" si="15"/>
        <v>0.60389322139047386</v>
      </c>
      <c r="AG105" s="90">
        <f t="shared" si="15"/>
        <v>0.60274926683392283</v>
      </c>
    </row>
    <row r="106" spans="1:33" ht="15.75">
      <c r="A106" s="12" t="s">
        <v>146</v>
      </c>
      <c r="B106" s="85" t="str">
        <f t="shared" si="14"/>
        <v>Freight HDV</v>
      </c>
      <c r="C106" s="90">
        <f t="shared" si="16"/>
        <v>4.3523277814644466E-3</v>
      </c>
      <c r="D106" s="90">
        <f t="shared" si="15"/>
        <v>4.5184685556140447E-3</v>
      </c>
      <c r="E106" s="90">
        <f t="shared" si="15"/>
        <v>4.6931711592057609E-3</v>
      </c>
      <c r="F106" s="90">
        <f t="shared" si="15"/>
        <v>4.8767114482873384E-3</v>
      </c>
      <c r="G106" s="90">
        <f t="shared" si="15"/>
        <v>5.0693449224016108E-3</v>
      </c>
      <c r="H106" s="90">
        <f t="shared" si="15"/>
        <v>5.2713023681002381E-3</v>
      </c>
      <c r="I106" s="90">
        <f t="shared" si="15"/>
        <v>5.477253545102612E-3</v>
      </c>
      <c r="J106" s="90">
        <f t="shared" si="15"/>
        <v>5.6873937265665697E-3</v>
      </c>
      <c r="K106" s="90">
        <f t="shared" si="15"/>
        <v>5.9016009687397038E-3</v>
      </c>
      <c r="L106" s="90">
        <f t="shared" si="15"/>
        <v>6.1197398049398196E-3</v>
      </c>
      <c r="M106" s="90">
        <f t="shared" si="15"/>
        <v>6.3416612314141684E-3</v>
      </c>
      <c r="N106" s="90">
        <f t="shared" si="15"/>
        <v>6.5452234741375584E-3</v>
      </c>
      <c r="O106" s="90">
        <f t="shared" si="15"/>
        <v>6.7498595800491818E-3</v>
      </c>
      <c r="P106" s="90">
        <f t="shared" si="15"/>
        <v>6.9554739947369354E-3</v>
      </c>
      <c r="Q106" s="90">
        <f t="shared" si="15"/>
        <v>7.161972437404204E-3</v>
      </c>
      <c r="R106" s="90">
        <f t="shared" si="15"/>
        <v>7.3692619830457049E-3</v>
      </c>
      <c r="S106" s="90">
        <f t="shared" si="15"/>
        <v>7.5055266912164376E-3</v>
      </c>
      <c r="T106" s="90">
        <f t="shared" si="15"/>
        <v>7.6409157377195884E-3</v>
      </c>
      <c r="U106" s="90">
        <f t="shared" si="15"/>
        <v>7.7754297312231883E-3</v>
      </c>
      <c r="V106" s="90">
        <f t="shared" si="15"/>
        <v>7.9090695002355365E-3</v>
      </c>
      <c r="W106" s="90">
        <f t="shared" si="15"/>
        <v>8.0418360858851966E-3</v>
      </c>
      <c r="X106" s="90">
        <f t="shared" si="15"/>
        <v>8.1356892992012105E-3</v>
      </c>
      <c r="Y106" s="90">
        <f t="shared" si="15"/>
        <v>8.2261227183933142E-3</v>
      </c>
      <c r="Z106" s="90">
        <f t="shared" si="15"/>
        <v>8.3152546405331797E-3</v>
      </c>
      <c r="AA106" s="90">
        <f t="shared" si="15"/>
        <v>8.403118624235829E-3</v>
      </c>
      <c r="AB106" s="90">
        <f t="shared" si="15"/>
        <v>8.4897471753829605E-3</v>
      </c>
      <c r="AC106" s="90">
        <f t="shared" si="15"/>
        <v>8.5560386445168342E-3</v>
      </c>
      <c r="AD106" s="90">
        <f t="shared" si="15"/>
        <v>8.620868213796826E-3</v>
      </c>
      <c r="AE106" s="90">
        <f t="shared" si="15"/>
        <v>8.6842745207704741E-3</v>
      </c>
      <c r="AF106" s="90">
        <f t="shared" si="15"/>
        <v>8.7462949522279284E-3</v>
      </c>
      <c r="AG106" s="90">
        <f t="shared" si="15"/>
        <v>8.806965692620258E-3</v>
      </c>
    </row>
    <row r="107" spans="1:33" ht="15.75">
      <c r="A107" s="12" t="s">
        <v>147</v>
      </c>
      <c r="B107" s="85" t="str">
        <f t="shared" si="14"/>
        <v>Passenger HDV</v>
      </c>
      <c r="C107" s="90">
        <f t="shared" si="16"/>
        <v>0.1172221722296678</v>
      </c>
      <c r="D107" s="90">
        <f t="shared" si="15"/>
        <v>0.11670916544200399</v>
      </c>
      <c r="E107" s="90">
        <f t="shared" si="15"/>
        <v>0.11619261710031827</v>
      </c>
      <c r="F107" s="90">
        <f t="shared" si="15"/>
        <v>0.1156724415145344</v>
      </c>
      <c r="G107" s="90">
        <f t="shared" si="15"/>
        <v>0.1151485494141315</v>
      </c>
      <c r="H107" s="90">
        <f t="shared" si="15"/>
        <v>0.11462084777432932</v>
      </c>
      <c r="I107" s="90">
        <f t="shared" si="15"/>
        <v>0.11438758648828035</v>
      </c>
      <c r="J107" s="90">
        <f t="shared" si="15"/>
        <v>0.11415004035384638</v>
      </c>
      <c r="K107" s="90">
        <f t="shared" si="15"/>
        <v>0.11390810219872111</v>
      </c>
      <c r="L107" s="90">
        <f t="shared" si="15"/>
        <v>0.11366166123811815</v>
      </c>
      <c r="M107" s="90">
        <f t="shared" si="15"/>
        <v>0.11341060292159456</v>
      </c>
      <c r="N107" s="90">
        <f t="shared" si="15"/>
        <v>0.11329193949635244</v>
      </c>
      <c r="O107" s="90">
        <f t="shared" si="15"/>
        <v>0.1131680761829839</v>
      </c>
      <c r="P107" s="90">
        <f t="shared" si="15"/>
        <v>0.11303892734249787</v>
      </c>
      <c r="Q107" s="90">
        <f t="shared" si="15"/>
        <v>0.1129044052879369</v>
      </c>
      <c r="R107" s="90">
        <f t="shared" si="15"/>
        <v>0.11276442022655996</v>
      </c>
      <c r="S107" s="90">
        <f t="shared" si="15"/>
        <v>0.11302525550546788</v>
      </c>
      <c r="T107" s="90">
        <f t="shared" si="15"/>
        <v>0.11328423736971623</v>
      </c>
      <c r="U107" s="90">
        <f t="shared" si="15"/>
        <v>0.11354138187902169</v>
      </c>
      <c r="V107" s="90">
        <f t="shared" si="15"/>
        <v>0.11379670496308826</v>
      </c>
      <c r="W107" s="90">
        <f t="shared" si="15"/>
        <v>0.11405022242140281</v>
      </c>
      <c r="X107" s="90">
        <f t="shared" si="15"/>
        <v>0.11432606300813342</v>
      </c>
      <c r="Y107" s="90">
        <f t="shared" si="15"/>
        <v>0.11460264549028433</v>
      </c>
      <c r="Z107" s="90">
        <f t="shared" si="15"/>
        <v>0.11487998213314272</v>
      </c>
      <c r="AA107" s="90">
        <f t="shared" si="15"/>
        <v>0.11515807489048964</v>
      </c>
      <c r="AB107" s="90">
        <f t="shared" si="15"/>
        <v>0.11543692572759404</v>
      </c>
      <c r="AC107" s="90">
        <f t="shared" si="15"/>
        <v>0.11537051798215114</v>
      </c>
      <c r="AD107" s="90">
        <f t="shared" si="15"/>
        <v>0.11530399412932053</v>
      </c>
      <c r="AE107" s="90">
        <f t="shared" si="15"/>
        <v>0.11523735387886173</v>
      </c>
      <c r="AF107" s="90">
        <f t="shared" si="15"/>
        <v>0.11517059694069202</v>
      </c>
      <c r="AG107" s="90">
        <f t="shared" si="15"/>
        <v>0.11510372302483096</v>
      </c>
    </row>
    <row r="108" spans="1:33" ht="15.75">
      <c r="A108" s="12" t="s">
        <v>148</v>
      </c>
      <c r="B108" s="85" t="str">
        <f t="shared" si="14"/>
        <v>Passenger HDV</v>
      </c>
      <c r="C108" s="90">
        <f t="shared" si="16"/>
        <v>0.14676587236243849</v>
      </c>
      <c r="D108" s="90">
        <f t="shared" si="15"/>
        <v>0.1451896955071463</v>
      </c>
      <c r="E108" s="90">
        <f t="shared" si="15"/>
        <v>0.14365318745567021</v>
      </c>
      <c r="F108" s="90">
        <f t="shared" si="15"/>
        <v>0.14215763196406472</v>
      </c>
      <c r="G108" s="90">
        <f t="shared" si="15"/>
        <v>0.14070436286848287</v>
      </c>
      <c r="H108" s="90">
        <f t="shared" si="15"/>
        <v>0.13929476659975262</v>
      </c>
      <c r="I108" s="90">
        <f t="shared" si="15"/>
        <v>0.13811061346554546</v>
      </c>
      <c r="J108" s="90">
        <f t="shared" si="15"/>
        <v>0.13696942957777639</v>
      </c>
      <c r="K108" s="90">
        <f t="shared" si="15"/>
        <v>0.13587236668280223</v>
      </c>
      <c r="L108" s="90">
        <f t="shared" si="15"/>
        <v>0.13482061534869588</v>
      </c>
      <c r="M108" s="90">
        <f t="shared" si="15"/>
        <v>0.13381540661305311</v>
      </c>
      <c r="N108" s="90">
        <f t="shared" si="15"/>
        <v>0.13307050779159563</v>
      </c>
      <c r="O108" s="90">
        <f t="shared" si="15"/>
        <v>0.13237304984160822</v>
      </c>
      <c r="P108" s="90">
        <f t="shared" si="15"/>
        <v>0.131723908273299</v>
      </c>
      <c r="Q108" s="90">
        <f t="shared" si="15"/>
        <v>0.13112397770696618</v>
      </c>
      <c r="R108" s="90">
        <f t="shared" si="15"/>
        <v>0.13057417244713532</v>
      </c>
      <c r="S108" s="90">
        <f t="shared" si="15"/>
        <v>0.1305209042955138</v>
      </c>
      <c r="T108" s="90">
        <f t="shared" si="15"/>
        <v>0.13046809980157481</v>
      </c>
      <c r="U108" s="90">
        <f t="shared" si="15"/>
        <v>0.13041575536194355</v>
      </c>
      <c r="V108" s="90">
        <f t="shared" si="15"/>
        <v>0.13036386738678754</v>
      </c>
      <c r="W108" s="90">
        <f t="shared" si="15"/>
        <v>0.13031243230045952</v>
      </c>
      <c r="X108" s="90">
        <f t="shared" si="15"/>
        <v>0.13023145289848229</v>
      </c>
      <c r="Y108" s="90">
        <f t="shared" si="15"/>
        <v>0.13015055848511334</v>
      </c>
      <c r="Z108" s="90">
        <f t="shared" si="15"/>
        <v>0.13006964674102608</v>
      </c>
      <c r="AA108" s="90">
        <f t="shared" si="15"/>
        <v>0.12998871852614866</v>
      </c>
      <c r="AB108" s="90">
        <f t="shared" si="15"/>
        <v>0.12990777471047696</v>
      </c>
      <c r="AC108" s="90">
        <f t="shared" si="15"/>
        <v>0.12985850785335587</v>
      </c>
      <c r="AD108" s="90">
        <f t="shared" si="15"/>
        <v>0.1298092436524402</v>
      </c>
      <c r="AE108" s="90">
        <f t="shared" si="15"/>
        <v>0.12975998234586247</v>
      </c>
      <c r="AF108" s="90">
        <f t="shared" si="15"/>
        <v>0.12971072417470064</v>
      </c>
      <c r="AG108" s="90">
        <f t="shared" si="15"/>
        <v>0.12966146938292097</v>
      </c>
    </row>
    <row r="109" spans="1:33" ht="15.75">
      <c r="A109" s="12" t="s">
        <v>149</v>
      </c>
      <c r="B109" s="85" t="str">
        <f t="shared" si="14"/>
        <v>Passenger HDV</v>
      </c>
      <c r="C109" s="90">
        <f t="shared" si="16"/>
        <v>0.27376795970867768</v>
      </c>
      <c r="D109" s="90">
        <f t="shared" si="15"/>
        <v>0.27414391934154964</v>
      </c>
      <c r="E109" s="90">
        <f t="shared" si="15"/>
        <v>0.27450720360419772</v>
      </c>
      <c r="F109" s="90">
        <f t="shared" si="15"/>
        <v>0.27485742238084454</v>
      </c>
      <c r="G109" s="90">
        <f t="shared" si="15"/>
        <v>0.27519417002462176</v>
      </c>
      <c r="H109" s="90">
        <f t="shared" si="15"/>
        <v>0.27551702458584493</v>
      </c>
      <c r="I109" s="90">
        <f t="shared" si="15"/>
        <v>0.275556904776673</v>
      </c>
      <c r="J109" s="90">
        <f t="shared" si="15"/>
        <v>0.27558433791975057</v>
      </c>
      <c r="K109" s="90">
        <f t="shared" si="15"/>
        <v>0.27559899478157107</v>
      </c>
      <c r="L109" s="90">
        <f t="shared" si="15"/>
        <v>0.27560053504137749</v>
      </c>
      <c r="M109" s="90">
        <f t="shared" si="15"/>
        <v>0.27558860682068326</v>
      </c>
      <c r="N109" s="90">
        <f t="shared" si="15"/>
        <v>0.27572734367687168</v>
      </c>
      <c r="O109" s="90">
        <f t="shared" si="15"/>
        <v>0.27585086715396151</v>
      </c>
      <c r="P109" s="90">
        <f t="shared" si="15"/>
        <v>0.27595892351216428</v>
      </c>
      <c r="Q109" s="90">
        <f t="shared" si="15"/>
        <v>0.2760512530914912</v>
      </c>
      <c r="R109" s="90">
        <f t="shared" si="15"/>
        <v>0.27612759014093524</v>
      </c>
      <c r="S109" s="90">
        <f t="shared" si="15"/>
        <v>0.27599596949335042</v>
      </c>
      <c r="T109" s="90">
        <f t="shared" si="15"/>
        <v>0.27586439120382017</v>
      </c>
      <c r="U109" s="90">
        <f t="shared" si="15"/>
        <v>0.27573286299682837</v>
      </c>
      <c r="V109" s="90">
        <f t="shared" si="15"/>
        <v>0.27560139239546483</v>
      </c>
      <c r="W109" s="90">
        <f t="shared" si="15"/>
        <v>0.27546998672633882</v>
      </c>
      <c r="X109" s="90">
        <f t="shared" si="15"/>
        <v>0.27548157510773125</v>
      </c>
      <c r="Y109" s="90">
        <f t="shared" si="15"/>
        <v>0.27549320990363158</v>
      </c>
      <c r="Z109" s="90">
        <f t="shared" si="15"/>
        <v>0.27550478566730174</v>
      </c>
      <c r="AA109" s="90">
        <f t="shared" si="15"/>
        <v>0.27551630208187583</v>
      </c>
      <c r="AB109" s="90">
        <f t="shared" si="15"/>
        <v>0.27552775882575559</v>
      </c>
      <c r="AC109" s="90">
        <f t="shared" si="15"/>
        <v>0.27555852017992283</v>
      </c>
      <c r="AD109" s="90">
        <f t="shared" si="15"/>
        <v>0.27558930305729873</v>
      </c>
      <c r="AE109" s="90">
        <f t="shared" si="15"/>
        <v>0.27562010742777548</v>
      </c>
      <c r="AF109" s="90">
        <f t="shared" si="15"/>
        <v>0.27565093326002849</v>
      </c>
      <c r="AG109" s="90">
        <f t="shared" si="15"/>
        <v>0.27568178052155834</v>
      </c>
    </row>
    <row r="110" spans="1:33" ht="15.75">
      <c r="A110" s="12" t="s">
        <v>150</v>
      </c>
      <c r="B110" s="85" t="str">
        <f t="shared" si="14"/>
        <v>Passenger HDV</v>
      </c>
      <c r="C110" s="90">
        <f t="shared" si="16"/>
        <v>0.46224399569921598</v>
      </c>
      <c r="D110" s="90">
        <f t="shared" si="16"/>
        <v>0.46395721970930009</v>
      </c>
      <c r="E110" s="90">
        <f t="shared" si="16"/>
        <v>0.46564699183981384</v>
      </c>
      <c r="F110" s="90">
        <f t="shared" si="16"/>
        <v>0.46731250414055625</v>
      </c>
      <c r="G110" s="90">
        <f t="shared" si="16"/>
        <v>0.46895291769276387</v>
      </c>
      <c r="H110" s="90">
        <f t="shared" si="16"/>
        <v>0.47056736104007313</v>
      </c>
      <c r="I110" s="90">
        <f t="shared" si="16"/>
        <v>0.47194489526950129</v>
      </c>
      <c r="J110" s="90">
        <f t="shared" si="16"/>
        <v>0.47329619214862662</v>
      </c>
      <c r="K110" s="90">
        <f t="shared" si="16"/>
        <v>0.47462053633690554</v>
      </c>
      <c r="L110" s="90">
        <f t="shared" si="16"/>
        <v>0.47591718837180841</v>
      </c>
      <c r="M110" s="90">
        <f t="shared" si="16"/>
        <v>0.47718538364466906</v>
      </c>
      <c r="N110" s="90">
        <f t="shared" si="16"/>
        <v>0.47791020903518028</v>
      </c>
      <c r="O110" s="90">
        <f t="shared" si="16"/>
        <v>0.47860800682144639</v>
      </c>
      <c r="P110" s="90">
        <f t="shared" si="16"/>
        <v>0.47927824087203891</v>
      </c>
      <c r="Q110" s="90">
        <f t="shared" si="16"/>
        <v>0.47992036391360571</v>
      </c>
      <c r="R110" s="90">
        <f t="shared" si="16"/>
        <v>0.48053381718536947</v>
      </c>
      <c r="S110" s="90">
        <f t="shared" ref="S110:AG110" si="17">S98/SUMIFS(S$89:S$98,$B$89:$B$98,$B110)</f>
        <v>0.48045787070566787</v>
      </c>
      <c r="T110" s="90">
        <f t="shared" si="17"/>
        <v>0.48038327162488881</v>
      </c>
      <c r="U110" s="90">
        <f t="shared" si="17"/>
        <v>0.4803099997622064</v>
      </c>
      <c r="V110" s="90">
        <f t="shared" si="17"/>
        <v>0.48023803525465941</v>
      </c>
      <c r="W110" s="90">
        <f t="shared" si="17"/>
        <v>0.48016735855179882</v>
      </c>
      <c r="X110" s="90">
        <f t="shared" si="17"/>
        <v>0.47996090898565308</v>
      </c>
      <c r="Y110" s="90">
        <f t="shared" si="17"/>
        <v>0.4797535861209708</v>
      </c>
      <c r="Z110" s="90">
        <f t="shared" si="17"/>
        <v>0.47954558545852932</v>
      </c>
      <c r="AA110" s="90">
        <f t="shared" si="17"/>
        <v>0.47933690450148592</v>
      </c>
      <c r="AB110" s="90">
        <f t="shared" si="17"/>
        <v>0.47912754073617347</v>
      </c>
      <c r="AC110" s="90">
        <f t="shared" si="17"/>
        <v>0.47921245398457013</v>
      </c>
      <c r="AD110" s="90">
        <f t="shared" si="17"/>
        <v>0.47929745916094069</v>
      </c>
      <c r="AE110" s="90">
        <f t="shared" si="17"/>
        <v>0.47938255634750027</v>
      </c>
      <c r="AF110" s="90">
        <f t="shared" si="17"/>
        <v>0.47946774562457878</v>
      </c>
      <c r="AG110" s="90">
        <f t="shared" si="17"/>
        <v>0.47955302707068981</v>
      </c>
    </row>
    <row r="111" spans="1:33" ht="15.75">
      <c r="A111" s="12"/>
      <c r="B111" s="87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</row>
    <row r="112" spans="1:33" ht="15.75">
      <c r="A112" s="12" t="s">
        <v>251</v>
      </c>
      <c r="B112" s="85"/>
      <c r="C112" s="90">
        <f>D112</f>
        <v>0.49511860454998324</v>
      </c>
      <c r="D112" s="90">
        <f>'AEO by Class'!B13</f>
        <v>0.49511860454998324</v>
      </c>
      <c r="E112" s="90">
        <f>'AEO by Class'!C13</f>
        <v>0.49771343153175152</v>
      </c>
      <c r="F112" s="90">
        <f>'AEO by Class'!D13</f>
        <v>0.499878716334275</v>
      </c>
      <c r="G112" s="90">
        <f>'AEO by Class'!E13</f>
        <v>0.50197204922413841</v>
      </c>
      <c r="H112" s="90">
        <f>'AEO by Class'!F13</f>
        <v>0.5038478943462229</v>
      </c>
      <c r="I112" s="90">
        <f>'AEO by Class'!G13</f>
        <v>0.50579407051504077</v>
      </c>
      <c r="J112" s="90">
        <f>'AEO by Class'!H13</f>
        <v>0.50808538943434445</v>
      </c>
      <c r="K112" s="90">
        <f>'AEO by Class'!I13</f>
        <v>0.51073825699200881</v>
      </c>
      <c r="L112" s="90">
        <f>'AEO by Class'!J13</f>
        <v>0.51371962287002515</v>
      </c>
      <c r="M112" s="90">
        <f>'AEO by Class'!K13</f>
        <v>0.51683551244793291</v>
      </c>
      <c r="N112" s="90">
        <f>'AEO by Class'!L13</f>
        <v>0.52017268153414231</v>
      </c>
      <c r="O112" s="90">
        <f>'AEO by Class'!M13</f>
        <v>0.52368432955446709</v>
      </c>
      <c r="P112" s="90">
        <f>'AEO by Class'!N13</f>
        <v>0.52710991720674694</v>
      </c>
      <c r="Q112" s="90">
        <f>'AEO by Class'!O13</f>
        <v>0.53047237124410884</v>
      </c>
      <c r="R112" s="90">
        <f>'AEO by Class'!P13</f>
        <v>0.53384483484038725</v>
      </c>
      <c r="S112" s="90">
        <f>'AEO by Class'!Q13</f>
        <v>0.53722451139940575</v>
      </c>
      <c r="T112" s="90">
        <f>'AEO by Class'!R13</f>
        <v>0.54066490716749871</v>
      </c>
      <c r="U112" s="90">
        <f>'AEO by Class'!S13</f>
        <v>0.54390320761359956</v>
      </c>
      <c r="V112" s="90">
        <f>'AEO by Class'!T13</f>
        <v>0.54746499945437666</v>
      </c>
      <c r="W112" s="90">
        <f>'AEO by Class'!U13</f>
        <v>0.5510844840854906</v>
      </c>
      <c r="X112" s="90">
        <f>'AEO by Class'!V13</f>
        <v>0.55459096417739728</v>
      </c>
      <c r="Y112" s="90">
        <f>'AEO by Class'!W13</f>
        <v>0.55807328309813242</v>
      </c>
      <c r="Z112" s="90">
        <f>'AEO by Class'!X13</f>
        <v>0.56161824911198721</v>
      </c>
      <c r="AA112" s="90">
        <f>'AEO by Class'!Y13</f>
        <v>0.56518529532563699</v>
      </c>
      <c r="AB112" s="90">
        <f>'AEO by Class'!Z13</f>
        <v>0.56870590306974222</v>
      </c>
      <c r="AC112" s="90">
        <f>'AEO by Class'!AA13</f>
        <v>0.57221938082651036</v>
      </c>
      <c r="AD112" s="90">
        <f>'AEO by Class'!AB13</f>
        <v>0.57573767142219678</v>
      </c>
      <c r="AE112" s="90">
        <f>'AEO by Class'!AC13</f>
        <v>0.57922887329421879</v>
      </c>
      <c r="AF112" s="90">
        <f>'AEO by Class'!AD13</f>
        <v>0.58268086888786841</v>
      </c>
      <c r="AG112" s="90">
        <f>'AEO by Class'!AE13</f>
        <v>0.58604270197066977</v>
      </c>
    </row>
    <row r="113" spans="1:33" ht="15.75">
      <c r="A113" s="12" t="s">
        <v>252</v>
      </c>
      <c r="B113" s="85"/>
      <c r="C113" s="90">
        <f>D113</f>
        <v>0.50488139545001676</v>
      </c>
      <c r="D113" s="90">
        <f>1-D112</f>
        <v>0.50488139545001676</v>
      </c>
      <c r="E113" s="90">
        <f t="shared" ref="E113:AG113" si="18">1-E112</f>
        <v>0.50228656846824848</v>
      </c>
      <c r="F113" s="90">
        <f t="shared" si="18"/>
        <v>0.50012128366572495</v>
      </c>
      <c r="G113" s="90">
        <f t="shared" si="18"/>
        <v>0.49802795077586159</v>
      </c>
      <c r="H113" s="90">
        <f t="shared" si="18"/>
        <v>0.4961521056537771</v>
      </c>
      <c r="I113" s="90">
        <f t="shared" si="18"/>
        <v>0.49420592948495923</v>
      </c>
      <c r="J113" s="90">
        <f t="shared" si="18"/>
        <v>0.49191461056565555</v>
      </c>
      <c r="K113" s="90">
        <f t="shared" si="18"/>
        <v>0.48926174300799119</v>
      </c>
      <c r="L113" s="90">
        <f t="shared" si="18"/>
        <v>0.48628037712997485</v>
      </c>
      <c r="M113" s="90">
        <f t="shared" si="18"/>
        <v>0.48316448755206709</v>
      </c>
      <c r="N113" s="90">
        <f t="shared" si="18"/>
        <v>0.47982731846585769</v>
      </c>
      <c r="O113" s="90">
        <f t="shared" si="18"/>
        <v>0.47631567044553291</v>
      </c>
      <c r="P113" s="90">
        <f t="shared" si="18"/>
        <v>0.47289008279325306</v>
      </c>
      <c r="Q113" s="90">
        <f t="shared" si="18"/>
        <v>0.46952762875589116</v>
      </c>
      <c r="R113" s="90">
        <f t="shared" si="18"/>
        <v>0.46615516515961275</v>
      </c>
      <c r="S113" s="90">
        <f t="shared" si="18"/>
        <v>0.46277548860059425</v>
      </c>
      <c r="T113" s="90">
        <f t="shared" si="18"/>
        <v>0.45933509283250129</v>
      </c>
      <c r="U113" s="90">
        <f t="shared" si="18"/>
        <v>0.45609679238640044</v>
      </c>
      <c r="V113" s="90">
        <f t="shared" si="18"/>
        <v>0.45253500054562334</v>
      </c>
      <c r="W113" s="90">
        <f t="shared" si="18"/>
        <v>0.4489155159145094</v>
      </c>
      <c r="X113" s="90">
        <f t="shared" si="18"/>
        <v>0.44540903582260272</v>
      </c>
      <c r="Y113" s="90">
        <f t="shared" si="18"/>
        <v>0.44192671690186758</v>
      </c>
      <c r="Z113" s="90">
        <f t="shared" si="18"/>
        <v>0.43838175088801279</v>
      </c>
      <c r="AA113" s="90">
        <f t="shared" si="18"/>
        <v>0.43481470467436301</v>
      </c>
      <c r="AB113" s="90">
        <f t="shared" si="18"/>
        <v>0.43129409693025778</v>
      </c>
      <c r="AC113" s="90">
        <f t="shared" si="18"/>
        <v>0.42778061917348964</v>
      </c>
      <c r="AD113" s="90">
        <f t="shared" si="18"/>
        <v>0.42426232857780322</v>
      </c>
      <c r="AE113" s="90">
        <f t="shared" si="18"/>
        <v>0.42077112670578121</v>
      </c>
      <c r="AF113" s="90">
        <f t="shared" si="18"/>
        <v>0.41731913111213159</v>
      </c>
      <c r="AG113" s="90">
        <f t="shared" si="18"/>
        <v>0.41395729802933023</v>
      </c>
    </row>
    <row r="114" spans="1:33" ht="15.75">
      <c r="A114" s="12"/>
      <c r="B114" s="87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</row>
    <row r="115" spans="1:33" ht="15.75">
      <c r="A115" s="12"/>
      <c r="B115" s="87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</row>
    <row r="116" spans="1:33" ht="15.75">
      <c r="A116" s="20" t="s">
        <v>208</v>
      </c>
      <c r="B116" s="87" t="s">
        <v>205</v>
      </c>
      <c r="C116" s="87">
        <v>2020</v>
      </c>
      <c r="D116" s="87">
        <v>2021</v>
      </c>
      <c r="E116" s="87">
        <v>2022</v>
      </c>
      <c r="F116" s="87">
        <v>2023</v>
      </c>
      <c r="G116" s="87">
        <v>2024</v>
      </c>
      <c r="H116" s="87">
        <v>2025</v>
      </c>
      <c r="I116" s="87">
        <v>2026</v>
      </c>
      <c r="J116" s="87">
        <v>2027</v>
      </c>
      <c r="K116" s="87">
        <v>2028</v>
      </c>
      <c r="L116" s="87">
        <v>2029</v>
      </c>
      <c r="M116" s="87">
        <v>2030</v>
      </c>
      <c r="N116" s="87">
        <v>2031</v>
      </c>
      <c r="O116" s="87">
        <v>2032</v>
      </c>
      <c r="P116" s="87">
        <v>2033</v>
      </c>
      <c r="Q116" s="87">
        <v>2034</v>
      </c>
      <c r="R116" s="87">
        <v>2035</v>
      </c>
      <c r="S116" s="87">
        <v>2036</v>
      </c>
      <c r="T116" s="87">
        <v>2037</v>
      </c>
      <c r="U116" s="87">
        <v>2038</v>
      </c>
      <c r="V116" s="87">
        <v>2039</v>
      </c>
      <c r="W116" s="87">
        <v>2040</v>
      </c>
      <c r="X116" s="87">
        <v>2041</v>
      </c>
      <c r="Y116" s="87">
        <v>2042</v>
      </c>
      <c r="Z116" s="87">
        <v>2043</v>
      </c>
      <c r="AA116" s="87">
        <v>2044</v>
      </c>
      <c r="AB116" s="87">
        <v>2045</v>
      </c>
      <c r="AC116" s="87">
        <v>2046</v>
      </c>
      <c r="AD116" s="87">
        <v>2047</v>
      </c>
      <c r="AE116" s="87">
        <v>2048</v>
      </c>
      <c r="AF116" s="87">
        <v>2049</v>
      </c>
      <c r="AG116" s="87">
        <v>2050</v>
      </c>
    </row>
    <row r="117" spans="1:33" ht="15.75">
      <c r="A117" s="12" t="s">
        <v>141</v>
      </c>
      <c r="B117" s="85" t="str">
        <f t="shared" ref="B117:B127" si="19">INDEX($AJ$17:$AJ$28,MATCH(A117,$A$17:$A$28,0),1)</f>
        <v>Freight LDV</v>
      </c>
      <c r="C117">
        <f t="shared" ref="C117:AG117" si="20">C101*B2</f>
        <v>69.651741796091258</v>
      </c>
      <c r="D117">
        <f t="shared" si="20"/>
        <v>68.405343880097718</v>
      </c>
      <c r="E117">
        <f t="shared" si="20"/>
        <v>67.153063461395078</v>
      </c>
      <c r="F117">
        <f t="shared" si="20"/>
        <v>65.894961294575467</v>
      </c>
      <c r="G117">
        <f t="shared" si="20"/>
        <v>64.631099417151148</v>
      </c>
      <c r="H117">
        <f t="shared" si="20"/>
        <v>63.361541137073736</v>
      </c>
      <c r="I117">
        <f t="shared" si="20"/>
        <v>61.65653785333879</v>
      </c>
      <c r="J117">
        <f t="shared" si="20"/>
        <v>59.968005769883867</v>
      </c>
      <c r="K117">
        <f t="shared" si="20"/>
        <v>58.295897152462935</v>
      </c>
      <c r="L117">
        <f t="shared" si="20"/>
        <v>56.640156563174976</v>
      </c>
      <c r="M117">
        <f t="shared" si="20"/>
        <v>55.00072090811355</v>
      </c>
      <c r="N117">
        <f t="shared" si="20"/>
        <v>55.111791955109659</v>
      </c>
      <c r="O117">
        <f t="shared" si="20"/>
        <v>55.221041303228596</v>
      </c>
      <c r="P117">
        <f t="shared" si="20"/>
        <v>55.328513029986425</v>
      </c>
      <c r="Q117">
        <f t="shared" si="20"/>
        <v>55.434249814191332</v>
      </c>
      <c r="R117">
        <f t="shared" si="20"/>
        <v>55.53829299042345</v>
      </c>
      <c r="S117">
        <f t="shared" si="20"/>
        <v>55.519054476441021</v>
      </c>
      <c r="T117">
        <f t="shared" si="20"/>
        <v>55.50003654867146</v>
      </c>
      <c r="U117">
        <f t="shared" si="20"/>
        <v>55.481235440652426</v>
      </c>
      <c r="V117">
        <f t="shared" si="20"/>
        <v>55.462647471201414</v>
      </c>
      <c r="W117">
        <f t="shared" si="20"/>
        <v>55.444269042002567</v>
      </c>
      <c r="X117">
        <f t="shared" si="20"/>
        <v>55.566617424537355</v>
      </c>
      <c r="Y117">
        <f t="shared" si="20"/>
        <v>55.688599727335038</v>
      </c>
      <c r="Z117">
        <f t="shared" si="20"/>
        <v>55.810209419003954</v>
      </c>
      <c r="AA117">
        <f t="shared" si="20"/>
        <v>55.931448114783805</v>
      </c>
      <c r="AB117">
        <f t="shared" si="20"/>
        <v>56.052317421007245</v>
      </c>
      <c r="AC117">
        <f t="shared" si="20"/>
        <v>56.052317517385902</v>
      </c>
      <c r="AD117">
        <f t="shared" si="20"/>
        <v>56.052317740118177</v>
      </c>
      <c r="AE117">
        <f t="shared" si="20"/>
        <v>56.052318082035598</v>
      </c>
      <c r="AF117">
        <f t="shared" si="20"/>
        <v>56.052318536449839</v>
      </c>
      <c r="AG117">
        <f t="shared" si="20"/>
        <v>56.052319097113269</v>
      </c>
    </row>
    <row r="118" spans="1:33" s="103" customFormat="1" ht="15.75">
      <c r="A118" s="101" t="s">
        <v>253</v>
      </c>
      <c r="B118" s="102" t="s">
        <v>154</v>
      </c>
      <c r="C118" s="103">
        <f>B3*C102*C112</f>
        <v>53.304021866824961</v>
      </c>
      <c r="D118" s="103">
        <f>C3*D102*D112</f>
        <v>52.155018482028517</v>
      </c>
      <c r="E118" s="103">
        <f t="shared" ref="E118:AG118" si="21">D3*E102*E112</f>
        <v>51.277836879458782</v>
      </c>
      <c r="F118" s="103">
        <f t="shared" si="21"/>
        <v>50.34987839511178</v>
      </c>
      <c r="G118" s="103">
        <f t="shared" si="21"/>
        <v>49.409317984171402</v>
      </c>
      <c r="H118" s="103">
        <f t="shared" si="21"/>
        <v>48.442664362737659</v>
      </c>
      <c r="I118" s="103">
        <f t="shared" si="21"/>
        <v>47.808026257758918</v>
      </c>
      <c r="J118" s="103">
        <f t="shared" si="21"/>
        <v>47.186220905640262</v>
      </c>
      <c r="K118" s="103">
        <f t="shared" si="21"/>
        <v>46.576900169665052</v>
      </c>
      <c r="L118" s="103">
        <f t="shared" si="21"/>
        <v>45.975132659327556</v>
      </c>
      <c r="M118" s="103">
        <f t="shared" si="21"/>
        <v>45.362043357630569</v>
      </c>
      <c r="N118" s="103">
        <f t="shared" si="21"/>
        <v>45.567511626139769</v>
      </c>
      <c r="O118" s="103">
        <f t="shared" si="21"/>
        <v>45.788556878920801</v>
      </c>
      <c r="P118" s="103">
        <f t="shared" si="21"/>
        <v>46.00234845534608</v>
      </c>
      <c r="Q118" s="103">
        <f t="shared" si="21"/>
        <v>46.210918943367602</v>
      </c>
      <c r="R118" s="103">
        <f t="shared" si="21"/>
        <v>46.420651933431621</v>
      </c>
      <c r="S118" s="103">
        <f t="shared" si="21"/>
        <v>46.730173109712759</v>
      </c>
      <c r="T118" s="103">
        <f t="shared" si="21"/>
        <v>47.044993988181922</v>
      </c>
      <c r="U118" s="103">
        <f t="shared" si="21"/>
        <v>47.342243651751318</v>
      </c>
      <c r="V118" s="103">
        <f t="shared" si="21"/>
        <v>47.66766743986048</v>
      </c>
      <c r="W118" s="103">
        <f t="shared" si="21"/>
        <v>47.998141783158182</v>
      </c>
      <c r="X118" s="103">
        <f t="shared" si="21"/>
        <v>48.200867151882065</v>
      </c>
      <c r="Y118" s="103">
        <f t="shared" si="21"/>
        <v>48.400507821761643</v>
      </c>
      <c r="Z118" s="103">
        <f t="shared" si="21"/>
        <v>48.604601230918732</v>
      </c>
      <c r="AA118" s="103">
        <f t="shared" si="21"/>
        <v>48.809614035663294</v>
      </c>
      <c r="AB118" s="103">
        <f t="shared" si="21"/>
        <v>49.009633942897182</v>
      </c>
      <c r="AC118" s="103">
        <f t="shared" si="21"/>
        <v>49.312416471325243</v>
      </c>
      <c r="AD118" s="103">
        <f t="shared" si="21"/>
        <v>49.615613646906461</v>
      </c>
      <c r="AE118" s="103">
        <f t="shared" si="21"/>
        <v>49.916476278090919</v>
      </c>
      <c r="AF118" s="103">
        <f t="shared" si="21"/>
        <v>50.213960108784036</v>
      </c>
      <c r="AG118" s="103">
        <f t="shared" si="21"/>
        <v>50.50367386395402</v>
      </c>
    </row>
    <row r="119" spans="1:33" s="103" customFormat="1" ht="15.75">
      <c r="A119" s="101" t="s">
        <v>254</v>
      </c>
      <c r="B119" s="102" t="s">
        <v>155</v>
      </c>
      <c r="C119" s="103">
        <f>B3*C102*C113</f>
        <v>54.355075119185805</v>
      </c>
      <c r="D119" s="103">
        <f>C3*D102*D113</f>
        <v>53.183415587587142</v>
      </c>
      <c r="E119" s="103">
        <f t="shared" ref="E119:AG119" si="22">D3*E102*E113</f>
        <v>51.7489926791635</v>
      </c>
      <c r="F119" s="103">
        <f t="shared" si="22"/>
        <v>50.374310792895571</v>
      </c>
      <c r="G119" s="103">
        <f t="shared" si="22"/>
        <v>49.021098730344441</v>
      </c>
      <c r="H119" s="103">
        <f t="shared" si="22"/>
        <v>47.702749573337883</v>
      </c>
      <c r="I119" s="103">
        <f t="shared" si="22"/>
        <v>46.712706674275829</v>
      </c>
      <c r="J119" s="103">
        <f t="shared" si="22"/>
        <v>45.684430144123361</v>
      </c>
      <c r="K119" s="103">
        <f t="shared" si="22"/>
        <v>44.618344228080957</v>
      </c>
      <c r="L119" s="103">
        <f t="shared" si="22"/>
        <v>43.519468310897793</v>
      </c>
      <c r="M119" s="103">
        <f t="shared" si="22"/>
        <v>42.406777215047157</v>
      </c>
      <c r="N119" s="103">
        <f t="shared" si="22"/>
        <v>42.033227981614651</v>
      </c>
      <c r="O119" s="103">
        <f t="shared" si="22"/>
        <v>41.646858494069562</v>
      </c>
      <c r="P119" s="103">
        <f t="shared" si="22"/>
        <v>41.27043271166562</v>
      </c>
      <c r="Q119" s="103">
        <f t="shared" si="22"/>
        <v>40.901853461705699</v>
      </c>
      <c r="R119" s="103">
        <f t="shared" si="22"/>
        <v>40.534674603184207</v>
      </c>
      <c r="S119" s="103">
        <f t="shared" si="22"/>
        <v>40.254266576380921</v>
      </c>
      <c r="T119" s="103">
        <f t="shared" si="22"/>
        <v>39.96822503993473</v>
      </c>
      <c r="U119" s="103">
        <f t="shared" si="22"/>
        <v>39.699426610624215</v>
      </c>
      <c r="V119" s="103">
        <f t="shared" si="22"/>
        <v>39.40213151964889</v>
      </c>
      <c r="W119" s="103">
        <f t="shared" si="22"/>
        <v>39.099468781598993</v>
      </c>
      <c r="X119" s="103">
        <f t="shared" si="22"/>
        <v>38.711596745499477</v>
      </c>
      <c r="Y119" s="103">
        <f t="shared" si="22"/>
        <v>38.327363387315437</v>
      </c>
      <c r="Z119" s="103">
        <f t="shared" si="22"/>
        <v>37.939241152712441</v>
      </c>
      <c r="AA119" s="103">
        <f t="shared" si="22"/>
        <v>37.550760941079794</v>
      </c>
      <c r="AB119" s="103">
        <f t="shared" si="22"/>
        <v>37.167832614693609</v>
      </c>
      <c r="AC119" s="103">
        <f t="shared" si="22"/>
        <v>36.865049940418224</v>
      </c>
      <c r="AD119" s="103">
        <f t="shared" si="22"/>
        <v>36.561852427781936</v>
      </c>
      <c r="AE119" s="103">
        <f t="shared" si="22"/>
        <v>36.26098927918266</v>
      </c>
      <c r="AF119" s="103">
        <f t="shared" si="22"/>
        <v>35.96350476083613</v>
      </c>
      <c r="AG119" s="103">
        <f t="shared" si="22"/>
        <v>35.673790157228566</v>
      </c>
    </row>
    <row r="120" spans="1:33" ht="15.75">
      <c r="A120" s="12" t="s">
        <v>143</v>
      </c>
      <c r="B120" s="85" t="str">
        <f t="shared" si="19"/>
        <v>Freight HDV</v>
      </c>
      <c r="C120">
        <f t="shared" ref="C120:AG120" si="23">C103*B4</f>
        <v>55.633888302938409</v>
      </c>
      <c r="D120">
        <f t="shared" si="23"/>
        <v>55.669202360246473</v>
      </c>
      <c r="E120">
        <f t="shared" si="23"/>
        <v>55.620997456266807</v>
      </c>
      <c r="F120">
        <f t="shared" si="23"/>
        <v>55.484335261845807</v>
      </c>
      <c r="G120">
        <f t="shared" si="23"/>
        <v>55.254376094041554</v>
      </c>
      <c r="H120">
        <f t="shared" si="23"/>
        <v>54.926430967111244</v>
      </c>
      <c r="I120">
        <f t="shared" si="23"/>
        <v>54.33284293507856</v>
      </c>
      <c r="J120">
        <f t="shared" si="23"/>
        <v>53.65022818064854</v>
      </c>
      <c r="K120">
        <f t="shared" si="23"/>
        <v>52.876870138999905</v>
      </c>
      <c r="L120">
        <f t="shared" si="23"/>
        <v>52.011203310904747</v>
      </c>
      <c r="M120">
        <f t="shared" si="23"/>
        <v>51.051825741548299</v>
      </c>
      <c r="N120">
        <f t="shared" si="23"/>
        <v>51.985107237942564</v>
      </c>
      <c r="O120">
        <f t="shared" si="23"/>
        <v>52.903063174294616</v>
      </c>
      <c r="P120">
        <f t="shared" si="23"/>
        <v>53.805731025450449</v>
      </c>
      <c r="Q120">
        <f t="shared" si="23"/>
        <v>54.69315370179158</v>
      </c>
      <c r="R120">
        <f t="shared" si="23"/>
        <v>55.565379417587131</v>
      </c>
      <c r="S120">
        <f t="shared" si="23"/>
        <v>56.284072481521378</v>
      </c>
      <c r="T120">
        <f t="shared" si="23"/>
        <v>56.989254802837443</v>
      </c>
      <c r="U120">
        <f t="shared" si="23"/>
        <v>57.68118808798679</v>
      </c>
      <c r="V120">
        <f t="shared" si="23"/>
        <v>58.360128839886066</v>
      </c>
      <c r="W120">
        <f t="shared" si="23"/>
        <v>59.02632845318027</v>
      </c>
      <c r="X120">
        <f t="shared" si="23"/>
        <v>59.615919986244933</v>
      </c>
      <c r="Y120">
        <f t="shared" si="23"/>
        <v>60.17722546491602</v>
      </c>
      <c r="Z120">
        <f t="shared" si="23"/>
        <v>60.726423671766206</v>
      </c>
      <c r="AA120">
        <f t="shared" si="23"/>
        <v>61.263799593207757</v>
      </c>
      <c r="AB120">
        <f t="shared" si="23"/>
        <v>61.789629352580214</v>
      </c>
      <c r="AC120">
        <f t="shared" si="23"/>
        <v>62.29611376875544</v>
      </c>
      <c r="AD120">
        <f t="shared" si="23"/>
        <v>62.792228658636922</v>
      </c>
      <c r="AE120">
        <f t="shared" si="23"/>
        <v>63.278242149591421</v>
      </c>
      <c r="AF120">
        <f t="shared" si="23"/>
        <v>63.75441376452337</v>
      </c>
      <c r="AG120">
        <f t="shared" si="23"/>
        <v>64.220994753586197</v>
      </c>
    </row>
    <row r="121" spans="1:33" ht="15.75">
      <c r="A121" s="12" t="s">
        <v>144</v>
      </c>
      <c r="B121" s="85" t="str">
        <f t="shared" si="19"/>
        <v>Freight HDV</v>
      </c>
      <c r="C121">
        <f t="shared" ref="C121:AG121" si="24">C104*B5</f>
        <v>94.47671513876567</v>
      </c>
      <c r="D121">
        <f t="shared" si="24"/>
        <v>90.954230220927244</v>
      </c>
      <c r="E121">
        <f t="shared" si="24"/>
        <v>87.529403836024201</v>
      </c>
      <c r="F121">
        <f t="shared" si="24"/>
        <v>84.197091694189581</v>
      </c>
      <c r="G121">
        <f t="shared" si="24"/>
        <v>80.9516946117663</v>
      </c>
      <c r="H121">
        <f t="shared" si="24"/>
        <v>77.78717802795687</v>
      </c>
      <c r="I121">
        <f t="shared" si="24"/>
        <v>74.543172280479624</v>
      </c>
      <c r="J121">
        <f t="shared" si="24"/>
        <v>71.347351879790509</v>
      </c>
      <c r="K121">
        <f t="shared" si="24"/>
        <v>68.197715804196278</v>
      </c>
      <c r="L121">
        <f t="shared" si="24"/>
        <v>65.092129376217898</v>
      </c>
      <c r="M121">
        <f t="shared" si="24"/>
        <v>62.028328296526638</v>
      </c>
      <c r="N121">
        <f t="shared" si="24"/>
        <v>61.735869714283773</v>
      </c>
      <c r="O121">
        <f t="shared" si="24"/>
        <v>61.450542748043603</v>
      </c>
      <c r="P121">
        <f t="shared" si="24"/>
        <v>61.172294065047296</v>
      </c>
      <c r="Q121">
        <f t="shared" si="24"/>
        <v>60.901068358613152</v>
      </c>
      <c r="R121">
        <f t="shared" si="24"/>
        <v>60.636808423081277</v>
      </c>
      <c r="S121">
        <f t="shared" si="24"/>
        <v>60.465726162349341</v>
      </c>
      <c r="T121">
        <f t="shared" si="24"/>
        <v>60.29811180207362</v>
      </c>
      <c r="U121">
        <f t="shared" si="24"/>
        <v>60.133891808100977</v>
      </c>
      <c r="V121">
        <f t="shared" si="24"/>
        <v>59.972994281403807</v>
      </c>
      <c r="W121">
        <f t="shared" si="24"/>
        <v>59.815348922101791</v>
      </c>
      <c r="X121">
        <f t="shared" si="24"/>
        <v>59.618237569638055</v>
      </c>
      <c r="Y121">
        <f t="shared" si="24"/>
        <v>59.428937819381467</v>
      </c>
      <c r="Z121">
        <f t="shared" si="24"/>
        <v>59.243229240298341</v>
      </c>
      <c r="AA121">
        <f t="shared" si="24"/>
        <v>59.061028426944262</v>
      </c>
      <c r="AB121">
        <f t="shared" si="24"/>
        <v>58.882254566791332</v>
      </c>
      <c r="AC121">
        <f t="shared" si="24"/>
        <v>58.712961179625943</v>
      </c>
      <c r="AD121">
        <f t="shared" si="24"/>
        <v>58.546812822802522</v>
      </c>
      <c r="AE121">
        <f t="shared" si="24"/>
        <v>58.383731530826175</v>
      </c>
      <c r="AF121">
        <f t="shared" si="24"/>
        <v>58.223641779259381</v>
      </c>
      <c r="AG121">
        <f t="shared" si="24"/>
        <v>58.066470392180477</v>
      </c>
    </row>
    <row r="122" spans="1:33" ht="15.75">
      <c r="A122" s="12" t="s">
        <v>145</v>
      </c>
      <c r="B122" s="85" t="str">
        <f t="shared" si="19"/>
        <v>Freight HDV</v>
      </c>
      <c r="C122">
        <f t="shared" ref="C122:AG122" si="25">C105*B6</f>
        <v>659.59284421045106</v>
      </c>
      <c r="D122">
        <f t="shared" si="25"/>
        <v>635.17128215792673</v>
      </c>
      <c r="E122">
        <f t="shared" si="25"/>
        <v>610.77145755083734</v>
      </c>
      <c r="F122">
        <f t="shared" si="25"/>
        <v>586.41665980216987</v>
      </c>
      <c r="G122">
        <f t="shared" si="25"/>
        <v>562.13081485367525</v>
      </c>
      <c r="H122">
        <f t="shared" si="25"/>
        <v>537.93830668895453</v>
      </c>
      <c r="I122">
        <f t="shared" si="25"/>
        <v>514.54638033720175</v>
      </c>
      <c r="J122">
        <f t="shared" si="25"/>
        <v>491.29521351057201</v>
      </c>
      <c r="K122">
        <f t="shared" si="25"/>
        <v>468.19356000377155</v>
      </c>
      <c r="L122">
        <f t="shared" si="25"/>
        <v>445.25004057107219</v>
      </c>
      <c r="M122">
        <f t="shared" si="25"/>
        <v>422.47310089013445</v>
      </c>
      <c r="N122">
        <f t="shared" si="25"/>
        <v>420.85786941866127</v>
      </c>
      <c r="O122">
        <f t="shared" si="25"/>
        <v>419.26159648037464</v>
      </c>
      <c r="P122">
        <f t="shared" si="25"/>
        <v>417.68436879348303</v>
      </c>
      <c r="Q122">
        <f t="shared" si="25"/>
        <v>416.12626414931623</v>
      </c>
      <c r="R122">
        <f t="shared" si="25"/>
        <v>414.58735149957158</v>
      </c>
      <c r="S122">
        <f t="shared" si="25"/>
        <v>413.24931956659549</v>
      </c>
      <c r="T122">
        <f t="shared" si="25"/>
        <v>411.93482237992498</v>
      </c>
      <c r="U122">
        <f t="shared" si="25"/>
        <v>410.64342757059234</v>
      </c>
      <c r="V122">
        <f t="shared" si="25"/>
        <v>409.3747108681664</v>
      </c>
      <c r="W122">
        <f t="shared" si="25"/>
        <v>408.12825596664248</v>
      </c>
      <c r="X122">
        <f t="shared" si="25"/>
        <v>407.1554809251183</v>
      </c>
      <c r="Y122">
        <f t="shared" si="25"/>
        <v>406.23193255768859</v>
      </c>
      <c r="Z122">
        <f t="shared" si="25"/>
        <v>405.3288541640751</v>
      </c>
      <c r="AA122">
        <f t="shared" si="25"/>
        <v>404.44575973443358</v>
      </c>
      <c r="AB122">
        <f t="shared" si="25"/>
        <v>403.58217838179917</v>
      </c>
      <c r="AC122">
        <f t="shared" si="25"/>
        <v>402.75595818669683</v>
      </c>
      <c r="AD122">
        <f t="shared" si="25"/>
        <v>401.94736215722946</v>
      </c>
      <c r="AE122">
        <f t="shared" si="25"/>
        <v>401.15592734382062</v>
      </c>
      <c r="AF122">
        <f t="shared" si="25"/>
        <v>400.38120578188415</v>
      </c>
      <c r="AG122">
        <f t="shared" si="25"/>
        <v>399.62276391089085</v>
      </c>
    </row>
    <row r="123" spans="1:33" ht="15.75">
      <c r="A123" s="12" t="s">
        <v>146</v>
      </c>
      <c r="B123" s="85" t="str">
        <f t="shared" si="19"/>
        <v>Freight HDV</v>
      </c>
      <c r="C123">
        <f t="shared" ref="C123:AG123" si="26">C106*B7</f>
        <v>1.8638843724121492</v>
      </c>
      <c r="D123">
        <f t="shared" si="26"/>
        <v>1.8825069619827013</v>
      </c>
      <c r="E123">
        <f t="shared" si="26"/>
        <v>1.900734319478333</v>
      </c>
      <c r="F123">
        <f t="shared" si="26"/>
        <v>1.9183763659700317</v>
      </c>
      <c r="G123">
        <f t="shared" si="26"/>
        <v>1.935222424126815</v>
      </c>
      <c r="H123">
        <f t="shared" si="26"/>
        <v>1.9510407889931005</v>
      </c>
      <c r="I123">
        <f t="shared" si="26"/>
        <v>1.9635953959192864</v>
      </c>
      <c r="J123">
        <f t="shared" si="26"/>
        <v>1.9728146989027788</v>
      </c>
      <c r="K123">
        <f t="shared" si="26"/>
        <v>1.9785117247699857</v>
      </c>
      <c r="L123">
        <f t="shared" si="26"/>
        <v>1.980500794373649</v>
      </c>
      <c r="M123">
        <f t="shared" si="26"/>
        <v>1.9785983042012205</v>
      </c>
      <c r="N123">
        <f t="shared" si="26"/>
        <v>2.0421097239309183</v>
      </c>
      <c r="O123">
        <f t="shared" si="26"/>
        <v>2.1059561889753446</v>
      </c>
      <c r="P123">
        <f t="shared" si="26"/>
        <v>2.1701078863579237</v>
      </c>
      <c r="Q123">
        <f t="shared" si="26"/>
        <v>2.2345354004701115</v>
      </c>
      <c r="R123">
        <f t="shared" si="26"/>
        <v>2.2992097387102599</v>
      </c>
      <c r="S123">
        <f t="shared" si="26"/>
        <v>2.3417243276595285</v>
      </c>
      <c r="T123">
        <f t="shared" si="26"/>
        <v>2.3839657101685114</v>
      </c>
      <c r="U123">
        <f t="shared" si="26"/>
        <v>2.4259340761416346</v>
      </c>
      <c r="V123">
        <f t="shared" si="26"/>
        <v>2.4676296840734873</v>
      </c>
      <c r="W123">
        <f t="shared" si="26"/>
        <v>2.5090528587961813</v>
      </c>
      <c r="X123">
        <f t="shared" si="26"/>
        <v>2.5383350613507778</v>
      </c>
      <c r="Y123">
        <f t="shared" si="26"/>
        <v>2.5665502881387141</v>
      </c>
      <c r="Z123">
        <f t="shared" si="26"/>
        <v>2.5943594478463519</v>
      </c>
      <c r="AA123">
        <f t="shared" si="26"/>
        <v>2.6217730107615789</v>
      </c>
      <c r="AB123">
        <f t="shared" si="26"/>
        <v>2.6488011187194838</v>
      </c>
      <c r="AC123">
        <f t="shared" si="26"/>
        <v>2.6694840570892522</v>
      </c>
      <c r="AD123">
        <f t="shared" si="26"/>
        <v>2.6897108827046097</v>
      </c>
      <c r="AE123">
        <f t="shared" si="26"/>
        <v>2.7094936504803879</v>
      </c>
      <c r="AF123">
        <f t="shared" si="26"/>
        <v>2.7288440250951136</v>
      </c>
      <c r="AG123">
        <f t="shared" si="26"/>
        <v>2.7477732960975203</v>
      </c>
    </row>
    <row r="124" spans="1:33" ht="15.75">
      <c r="A124" s="12" t="s">
        <v>147</v>
      </c>
      <c r="B124" s="85" t="str">
        <f t="shared" si="19"/>
        <v>Passenger HDV</v>
      </c>
      <c r="C124">
        <f t="shared" ref="C124:AG124" si="27">C107*B8</f>
        <v>14.213188382847221</v>
      </c>
      <c r="D124">
        <f t="shared" si="27"/>
        <v>14.078043081441731</v>
      </c>
      <c r="E124">
        <f t="shared" si="27"/>
        <v>13.943114052038192</v>
      </c>
      <c r="F124">
        <f t="shared" si="27"/>
        <v>13.808397705797544</v>
      </c>
      <c r="G124">
        <f t="shared" si="27"/>
        <v>13.673890242928115</v>
      </c>
      <c r="H124">
        <f t="shared" si="27"/>
        <v>13.539587643342651</v>
      </c>
      <c r="I124">
        <f t="shared" si="27"/>
        <v>13.440541412372941</v>
      </c>
      <c r="J124">
        <f t="shared" si="27"/>
        <v>13.341285966355795</v>
      </c>
      <c r="K124">
        <f t="shared" si="27"/>
        <v>13.241816880601329</v>
      </c>
      <c r="L124">
        <f t="shared" si="27"/>
        <v>13.142129580657411</v>
      </c>
      <c r="M124">
        <f t="shared" si="27"/>
        <v>13.042219335983376</v>
      </c>
      <c r="N124">
        <f t="shared" si="27"/>
        <v>13.028573042080531</v>
      </c>
      <c r="O124">
        <f t="shared" si="27"/>
        <v>13.014328761043148</v>
      </c>
      <c r="P124">
        <f t="shared" si="27"/>
        <v>12.999476644387256</v>
      </c>
      <c r="Q124">
        <f t="shared" si="27"/>
        <v>12.984006608112743</v>
      </c>
      <c r="R124">
        <f t="shared" si="27"/>
        <v>12.967908326054395</v>
      </c>
      <c r="S124">
        <f t="shared" si="27"/>
        <v>12.997904383128807</v>
      </c>
      <c r="T124">
        <f t="shared" si="27"/>
        <v>13.027687297517366</v>
      </c>
      <c r="U124">
        <f t="shared" si="27"/>
        <v>13.057258916087493</v>
      </c>
      <c r="V124">
        <f t="shared" si="27"/>
        <v>13.08662107075515</v>
      </c>
      <c r="W124">
        <f t="shared" si="27"/>
        <v>13.115775578461323</v>
      </c>
      <c r="X124">
        <f t="shared" si="27"/>
        <v>13.147497245935343</v>
      </c>
      <c r="Y124">
        <f t="shared" si="27"/>
        <v>13.179304231382698</v>
      </c>
      <c r="Z124">
        <f t="shared" si="27"/>
        <v>13.211197945311413</v>
      </c>
      <c r="AA124">
        <f t="shared" si="27"/>
        <v>13.243178612406309</v>
      </c>
      <c r="AB124">
        <f t="shared" si="27"/>
        <v>13.275246458673314</v>
      </c>
      <c r="AC124">
        <f t="shared" si="27"/>
        <v>13.267609567947382</v>
      </c>
      <c r="AD124">
        <f t="shared" si="27"/>
        <v>13.259959324871861</v>
      </c>
      <c r="AE124">
        <f t="shared" si="27"/>
        <v>13.252295696069099</v>
      </c>
      <c r="AF124">
        <f t="shared" si="27"/>
        <v>13.244618648179582</v>
      </c>
      <c r="AG124">
        <f t="shared" si="27"/>
        <v>13.236928147855561</v>
      </c>
    </row>
    <row r="125" spans="1:33" ht="15.75">
      <c r="A125" s="12" t="s">
        <v>148</v>
      </c>
      <c r="B125" s="85" t="str">
        <f t="shared" si="19"/>
        <v>Passenger HDV</v>
      </c>
      <c r="C125">
        <f t="shared" ref="C125:AG125" si="28">C108*B9</f>
        <v>66.77847192490951</v>
      </c>
      <c r="D125">
        <f t="shared" si="28"/>
        <v>65.698337216983703</v>
      </c>
      <c r="E125">
        <f t="shared" si="28"/>
        <v>64.643934355051599</v>
      </c>
      <c r="F125">
        <f t="shared" si="28"/>
        <v>63.615540303918962</v>
      </c>
      <c r="G125">
        <f t="shared" si="28"/>
        <v>62.613441476474875</v>
      </c>
      <c r="H125">
        <f t="shared" si="28"/>
        <v>61.637934220390534</v>
      </c>
      <c r="I125">
        <f t="shared" si="28"/>
        <v>60.768669924839998</v>
      </c>
      <c r="J125">
        <f t="shared" si="28"/>
        <v>59.924125440277166</v>
      </c>
      <c r="K125">
        <f t="shared" si="28"/>
        <v>59.104479507018965</v>
      </c>
      <c r="L125">
        <f t="shared" si="28"/>
        <v>58.309916138310967</v>
      </c>
      <c r="M125">
        <f t="shared" si="28"/>
        <v>57.540624843612832</v>
      </c>
      <c r="N125">
        <f t="shared" si="28"/>
        <v>57.220318350386123</v>
      </c>
      <c r="O125">
        <f t="shared" si="28"/>
        <v>56.920411431891537</v>
      </c>
      <c r="P125">
        <f t="shared" si="28"/>
        <v>56.64128055751857</v>
      </c>
      <c r="Q125">
        <f t="shared" si="28"/>
        <v>56.38331041399546</v>
      </c>
      <c r="R125">
        <f t="shared" si="28"/>
        <v>56.146894152268189</v>
      </c>
      <c r="S125">
        <f t="shared" si="28"/>
        <v>56.123988847070933</v>
      </c>
      <c r="T125">
        <f t="shared" si="28"/>
        <v>56.101282914677171</v>
      </c>
      <c r="U125">
        <f t="shared" si="28"/>
        <v>56.078774805635724</v>
      </c>
      <c r="V125">
        <f t="shared" si="28"/>
        <v>56.056462976318642</v>
      </c>
      <c r="W125">
        <f t="shared" si="28"/>
        <v>56.034345889197596</v>
      </c>
      <c r="X125">
        <f t="shared" si="28"/>
        <v>55.999524746347383</v>
      </c>
      <c r="Y125">
        <f t="shared" si="28"/>
        <v>55.964740148598736</v>
      </c>
      <c r="Z125">
        <f t="shared" si="28"/>
        <v>55.929948098641219</v>
      </c>
      <c r="AA125">
        <f t="shared" si="28"/>
        <v>55.895148966243923</v>
      </c>
      <c r="AB125">
        <f t="shared" si="28"/>
        <v>55.860343125505089</v>
      </c>
      <c r="AC125">
        <f t="shared" si="28"/>
        <v>55.839158376943026</v>
      </c>
      <c r="AD125">
        <f t="shared" si="28"/>
        <v>55.817974770549284</v>
      </c>
      <c r="AE125">
        <f t="shared" si="28"/>
        <v>55.796792408720862</v>
      </c>
      <c r="AF125">
        <f t="shared" si="28"/>
        <v>55.775611395121274</v>
      </c>
      <c r="AG125">
        <f t="shared" si="28"/>
        <v>55.754431834656017</v>
      </c>
    </row>
    <row r="126" spans="1:33" ht="15.75">
      <c r="A126" s="12" t="s">
        <v>149</v>
      </c>
      <c r="B126" s="85" t="str">
        <f t="shared" si="19"/>
        <v>Passenger HDV</v>
      </c>
      <c r="C126">
        <f t="shared" ref="C126:AG126" si="29">C109*B10</f>
        <v>49.8257686669794</v>
      </c>
      <c r="D126">
        <f t="shared" si="29"/>
        <v>49.620049400820548</v>
      </c>
      <c r="E126">
        <f t="shared" si="29"/>
        <v>49.411296648755588</v>
      </c>
      <c r="F126">
        <f t="shared" si="29"/>
        <v>49.199478606171169</v>
      </c>
      <c r="G126">
        <f t="shared" si="29"/>
        <v>48.984562264382674</v>
      </c>
      <c r="H126">
        <f t="shared" si="29"/>
        <v>48.766513351694549</v>
      </c>
      <c r="I126">
        <f t="shared" si="29"/>
        <v>48.49801524069445</v>
      </c>
      <c r="J126">
        <f t="shared" si="29"/>
        <v>48.227259135956352</v>
      </c>
      <c r="K126">
        <f t="shared" si="29"/>
        <v>47.954225091993365</v>
      </c>
      <c r="L126">
        <f t="shared" si="29"/>
        <v>47.678892562158303</v>
      </c>
      <c r="M126">
        <f t="shared" si="29"/>
        <v>47.40124037315752</v>
      </c>
      <c r="N126">
        <f t="shared" si="29"/>
        <v>47.42510311242193</v>
      </c>
      <c r="O126">
        <f t="shared" si="29"/>
        <v>47.446349150481382</v>
      </c>
      <c r="P126">
        <f t="shared" si="29"/>
        <v>47.464934844092255</v>
      </c>
      <c r="Q126">
        <f t="shared" si="29"/>
        <v>47.480815531736489</v>
      </c>
      <c r="R126">
        <f t="shared" si="29"/>
        <v>47.493945504240862</v>
      </c>
      <c r="S126">
        <f t="shared" si="29"/>
        <v>47.471306752856272</v>
      </c>
      <c r="T126">
        <f t="shared" si="29"/>
        <v>47.448675287057071</v>
      </c>
      <c r="U126">
        <f t="shared" si="29"/>
        <v>47.42605243545448</v>
      </c>
      <c r="V126">
        <f t="shared" si="29"/>
        <v>47.403439492019949</v>
      </c>
      <c r="W126">
        <f t="shared" si="29"/>
        <v>47.38083771693028</v>
      </c>
      <c r="X126">
        <f t="shared" si="29"/>
        <v>47.382830918529777</v>
      </c>
      <c r="Y126">
        <f t="shared" si="29"/>
        <v>47.384832103424628</v>
      </c>
      <c r="Z126">
        <f t="shared" si="29"/>
        <v>47.386823134775902</v>
      </c>
      <c r="AA126">
        <f t="shared" si="29"/>
        <v>47.38880395808264</v>
      </c>
      <c r="AB126">
        <f t="shared" si="29"/>
        <v>47.390774518029964</v>
      </c>
      <c r="AC126">
        <f t="shared" si="29"/>
        <v>47.396065470946724</v>
      </c>
      <c r="AD126">
        <f t="shared" si="29"/>
        <v>47.401360125855383</v>
      </c>
      <c r="AE126">
        <f t="shared" si="29"/>
        <v>47.40665847757738</v>
      </c>
      <c r="AF126">
        <f t="shared" si="29"/>
        <v>47.411960520724897</v>
      </c>
      <c r="AG126">
        <f t="shared" si="29"/>
        <v>47.417266249708035</v>
      </c>
    </row>
    <row r="127" spans="1:33" ht="15.75">
      <c r="A127" s="12" t="s">
        <v>150</v>
      </c>
      <c r="B127" s="85" t="str">
        <f t="shared" si="19"/>
        <v>Passenger HDV</v>
      </c>
      <c r="C127">
        <f t="shared" ref="C127:AG127" si="30">C110*B11</f>
        <v>315.94377106041452</v>
      </c>
      <c r="D127">
        <f t="shared" si="30"/>
        <v>315.37492009739714</v>
      </c>
      <c r="E127">
        <f t="shared" si="30"/>
        <v>314.77736648371416</v>
      </c>
      <c r="F127">
        <f t="shared" si="30"/>
        <v>314.15083090848896</v>
      </c>
      <c r="G127">
        <f t="shared" si="30"/>
        <v>313.49502547761267</v>
      </c>
      <c r="H127">
        <f t="shared" si="30"/>
        <v>312.80965325138862</v>
      </c>
      <c r="I127">
        <f t="shared" si="30"/>
        <v>311.95557577314037</v>
      </c>
      <c r="J127">
        <f t="shared" si="30"/>
        <v>311.07392228968484</v>
      </c>
      <c r="K127">
        <f t="shared" si="30"/>
        <v>310.16452049616777</v>
      </c>
      <c r="L127">
        <f t="shared" si="30"/>
        <v>309.22719314458249</v>
      </c>
      <c r="M127">
        <f t="shared" si="30"/>
        <v>308.2617578344562</v>
      </c>
      <c r="N127">
        <f t="shared" si="30"/>
        <v>308.72999503672645</v>
      </c>
      <c r="O127">
        <f t="shared" si="30"/>
        <v>309.18077240665434</v>
      </c>
      <c r="P127">
        <f t="shared" si="30"/>
        <v>309.61374360333713</v>
      </c>
      <c r="Q127">
        <f t="shared" si="30"/>
        <v>310.02855508818931</v>
      </c>
      <c r="R127">
        <f t="shared" si="30"/>
        <v>310.42484590174865</v>
      </c>
      <c r="S127">
        <f t="shared" si="30"/>
        <v>310.37578447586145</v>
      </c>
      <c r="T127">
        <f t="shared" si="30"/>
        <v>310.32759346967816</v>
      </c>
      <c r="U127">
        <f t="shared" si="30"/>
        <v>310.28025984638532</v>
      </c>
      <c r="V127">
        <f t="shared" si="30"/>
        <v>310.23377077450999</v>
      </c>
      <c r="W127">
        <f t="shared" si="30"/>
        <v>310.18811362446206</v>
      </c>
      <c r="X127">
        <f t="shared" si="30"/>
        <v>310.05474720473188</v>
      </c>
      <c r="Y127">
        <f t="shared" si="30"/>
        <v>309.92081663414712</v>
      </c>
      <c r="Z127">
        <f t="shared" si="30"/>
        <v>309.78644820620997</v>
      </c>
      <c r="AA127">
        <f t="shared" si="30"/>
        <v>309.65164030795989</v>
      </c>
      <c r="AB127">
        <f t="shared" si="30"/>
        <v>309.51639131556806</v>
      </c>
      <c r="AC127">
        <f t="shared" si="30"/>
        <v>309.57124527403232</v>
      </c>
      <c r="AD127">
        <f t="shared" si="30"/>
        <v>309.62615861796769</v>
      </c>
      <c r="AE127">
        <f t="shared" si="30"/>
        <v>309.68113140048519</v>
      </c>
      <c r="AF127">
        <f t="shared" si="30"/>
        <v>309.7361636734779</v>
      </c>
      <c r="AG127">
        <f t="shared" si="30"/>
        <v>309.79125548766564</v>
      </c>
    </row>
    <row r="128" spans="1:33">
      <c r="A128" s="20"/>
    </row>
    <row r="129" spans="1:33" ht="15.75">
      <c r="A129" s="20" t="s">
        <v>209</v>
      </c>
      <c r="C129" s="87">
        <v>2020</v>
      </c>
      <c r="D129" s="87">
        <v>2021</v>
      </c>
      <c r="E129" s="87">
        <v>2022</v>
      </c>
      <c r="F129" s="87">
        <v>2023</v>
      </c>
      <c r="G129" s="87">
        <v>2024</v>
      </c>
      <c r="H129" s="87">
        <v>2025</v>
      </c>
      <c r="I129" s="87">
        <v>2026</v>
      </c>
      <c r="J129" s="87">
        <v>2027</v>
      </c>
      <c r="K129" s="87">
        <v>2028</v>
      </c>
      <c r="L129" s="87">
        <v>2029</v>
      </c>
      <c r="M129" s="87">
        <v>2030</v>
      </c>
      <c r="N129" s="87">
        <v>2031</v>
      </c>
      <c r="O129" s="87">
        <v>2032</v>
      </c>
      <c r="P129" s="87">
        <v>2033</v>
      </c>
      <c r="Q129" s="87">
        <v>2034</v>
      </c>
      <c r="R129" s="87">
        <v>2035</v>
      </c>
      <c r="S129" s="87">
        <v>2036</v>
      </c>
      <c r="T129" s="87">
        <v>2037</v>
      </c>
      <c r="U129" s="87">
        <v>2038</v>
      </c>
      <c r="V129" s="87">
        <v>2039</v>
      </c>
      <c r="W129" s="87">
        <v>2040</v>
      </c>
      <c r="X129" s="87">
        <v>2041</v>
      </c>
      <c r="Y129" s="87">
        <v>2042</v>
      </c>
      <c r="Z129" s="87">
        <v>2043</v>
      </c>
      <c r="AA129" s="87">
        <v>2044</v>
      </c>
      <c r="AB129" s="87">
        <v>2045</v>
      </c>
      <c r="AC129" s="87">
        <v>2046</v>
      </c>
      <c r="AD129" s="87">
        <v>2047</v>
      </c>
      <c r="AE129" s="87">
        <v>2048</v>
      </c>
      <c r="AF129" s="87">
        <v>2049</v>
      </c>
      <c r="AG129" s="87">
        <v>2050</v>
      </c>
    </row>
    <row r="130" spans="1:33">
      <c r="A130" s="12" t="s">
        <v>154</v>
      </c>
      <c r="C130" s="91">
        <f t="shared" ref="C130:L132" si="31">SUMIFS(C$117:C$127,$B$117:$B$127,$A130)</f>
        <v>122.95576366291621</v>
      </c>
      <c r="D130" s="91">
        <f t="shared" si="31"/>
        <v>120.56036236212623</v>
      </c>
      <c r="E130" s="91">
        <f t="shared" si="31"/>
        <v>118.43090034085387</v>
      </c>
      <c r="F130" s="91">
        <f t="shared" si="31"/>
        <v>116.24483968968724</v>
      </c>
      <c r="G130" s="91">
        <f t="shared" si="31"/>
        <v>114.04041740132254</v>
      </c>
      <c r="H130" s="91">
        <f t="shared" si="31"/>
        <v>111.80420549981139</v>
      </c>
      <c r="I130" s="91">
        <f t="shared" si="31"/>
        <v>109.4645641110977</v>
      </c>
      <c r="J130" s="91">
        <f t="shared" si="31"/>
        <v>107.15422667552413</v>
      </c>
      <c r="K130" s="91">
        <f t="shared" si="31"/>
        <v>104.87279732212798</v>
      </c>
      <c r="L130" s="91">
        <f t="shared" si="31"/>
        <v>102.61528922250253</v>
      </c>
      <c r="M130" s="91">
        <f t="shared" ref="M130:V132" si="32">SUMIFS(M$117:M$127,$B$117:$B$127,$A130)</f>
        <v>100.36276426574412</v>
      </c>
      <c r="N130" s="91">
        <f t="shared" si="32"/>
        <v>100.67930358124943</v>
      </c>
      <c r="O130" s="91">
        <f t="shared" si="32"/>
        <v>101.0095981821494</v>
      </c>
      <c r="P130" s="91">
        <f t="shared" si="32"/>
        <v>101.33086148533251</v>
      </c>
      <c r="Q130" s="91">
        <f t="shared" si="32"/>
        <v>101.64516875755893</v>
      </c>
      <c r="R130" s="91">
        <f t="shared" si="32"/>
        <v>101.95894492385507</v>
      </c>
      <c r="S130" s="91">
        <f t="shared" si="32"/>
        <v>102.24922758615378</v>
      </c>
      <c r="T130" s="91">
        <f t="shared" si="32"/>
        <v>102.54503053685337</v>
      </c>
      <c r="U130" s="91">
        <f t="shared" si="32"/>
        <v>102.82347909240374</v>
      </c>
      <c r="V130" s="91">
        <f t="shared" si="32"/>
        <v>103.1303149110619</v>
      </c>
      <c r="W130" s="91">
        <f t="shared" ref="W130:AG132" si="33">SUMIFS(W$117:W$127,$B$117:$B$127,$A130)</f>
        <v>103.44241082516075</v>
      </c>
      <c r="X130" s="91">
        <f t="shared" si="33"/>
        <v>103.76748457641942</v>
      </c>
      <c r="Y130" s="91">
        <f t="shared" si="33"/>
        <v>104.08910754909668</v>
      </c>
      <c r="Z130" s="91">
        <f t="shared" si="33"/>
        <v>104.41481064992269</v>
      </c>
      <c r="AA130" s="91">
        <f t="shared" si="33"/>
        <v>104.74106215044711</v>
      </c>
      <c r="AB130" s="91">
        <f t="shared" si="33"/>
        <v>105.06195136390443</v>
      </c>
      <c r="AC130" s="91">
        <f t="shared" si="33"/>
        <v>105.36473398871115</v>
      </c>
      <c r="AD130" s="91">
        <f t="shared" si="33"/>
        <v>105.66793138702464</v>
      </c>
      <c r="AE130" s="91">
        <f t="shared" si="33"/>
        <v>105.96879436012651</v>
      </c>
      <c r="AF130" s="91">
        <f t="shared" si="33"/>
        <v>106.26627864523388</v>
      </c>
      <c r="AG130" s="91">
        <f t="shared" si="33"/>
        <v>106.55599296106729</v>
      </c>
    </row>
    <row r="131" spans="1:33">
      <c r="A131" s="12" t="s">
        <v>155</v>
      </c>
      <c r="C131" s="91">
        <f>SUMIFS(C$117:C$127,$B$117:$B$127,$A131)</f>
        <v>865.92240714375305</v>
      </c>
      <c r="D131" s="91">
        <f>SUMIFS(D$117:D$127,$B$117:$B$127,$A131)</f>
        <v>836.8606372886702</v>
      </c>
      <c r="E131" s="91">
        <f t="shared" si="31"/>
        <v>807.57158584177023</v>
      </c>
      <c r="F131" s="91">
        <f t="shared" si="31"/>
        <v>778.39077391707087</v>
      </c>
      <c r="G131" s="91">
        <f t="shared" si="31"/>
        <v>749.29320671395431</v>
      </c>
      <c r="H131" s="91">
        <f t="shared" si="31"/>
        <v>720.30570604635352</v>
      </c>
      <c r="I131" s="91">
        <f t="shared" si="31"/>
        <v>692.098697622955</v>
      </c>
      <c r="J131" s="91">
        <f t="shared" si="31"/>
        <v>663.95003841403718</v>
      </c>
      <c r="K131" s="91">
        <f t="shared" si="31"/>
        <v>635.86500189981871</v>
      </c>
      <c r="L131" s="91">
        <f t="shared" si="31"/>
        <v>607.85334236346625</v>
      </c>
      <c r="M131" s="91">
        <f t="shared" si="32"/>
        <v>579.93863044745774</v>
      </c>
      <c r="N131" s="91">
        <f t="shared" si="32"/>
        <v>578.65418407643324</v>
      </c>
      <c r="O131" s="91">
        <f t="shared" si="32"/>
        <v>577.36801708575786</v>
      </c>
      <c r="P131" s="91">
        <f t="shared" si="32"/>
        <v>576.10293448200434</v>
      </c>
      <c r="Q131" s="91">
        <f t="shared" si="32"/>
        <v>574.85687507189675</v>
      </c>
      <c r="R131" s="91">
        <f t="shared" si="32"/>
        <v>573.62342368213444</v>
      </c>
      <c r="S131" s="91">
        <f t="shared" si="32"/>
        <v>572.59510911450673</v>
      </c>
      <c r="T131" s="91">
        <f t="shared" si="32"/>
        <v>571.57437973493927</v>
      </c>
      <c r="U131" s="91">
        <f t="shared" si="32"/>
        <v>570.58386815344591</v>
      </c>
      <c r="V131" s="91">
        <f t="shared" si="32"/>
        <v>569.57759519317869</v>
      </c>
      <c r="W131" s="91">
        <f t="shared" si="33"/>
        <v>568.57845498231973</v>
      </c>
      <c r="X131" s="91">
        <f t="shared" si="33"/>
        <v>567.63957028785148</v>
      </c>
      <c r="Y131" s="91">
        <f t="shared" si="33"/>
        <v>566.73200951744025</v>
      </c>
      <c r="Z131" s="91">
        <f t="shared" si="33"/>
        <v>565.83210767669846</v>
      </c>
      <c r="AA131" s="91">
        <f t="shared" si="33"/>
        <v>564.94312170642695</v>
      </c>
      <c r="AB131" s="91">
        <f t="shared" si="33"/>
        <v>564.07069603458376</v>
      </c>
      <c r="AC131" s="91">
        <f t="shared" si="33"/>
        <v>563.29956713258571</v>
      </c>
      <c r="AD131" s="91">
        <f t="shared" si="33"/>
        <v>562.53796694915548</v>
      </c>
      <c r="AE131" s="91">
        <f t="shared" si="33"/>
        <v>561.78838395390119</v>
      </c>
      <c r="AF131" s="91">
        <f t="shared" si="33"/>
        <v>561.05161011159805</v>
      </c>
      <c r="AG131" s="91">
        <f t="shared" si="33"/>
        <v>560.33179250998364</v>
      </c>
    </row>
    <row r="132" spans="1:33">
      <c r="A132" s="12" t="s">
        <v>157</v>
      </c>
      <c r="C132" s="91">
        <f t="shared" si="31"/>
        <v>446.76120003515064</v>
      </c>
      <c r="D132" s="91">
        <f t="shared" si="31"/>
        <v>444.77134979664311</v>
      </c>
      <c r="E132" s="91">
        <f t="shared" si="31"/>
        <v>442.77571153955955</v>
      </c>
      <c r="F132" s="91">
        <f t="shared" si="31"/>
        <v>440.77424752437662</v>
      </c>
      <c r="G132" s="91">
        <f t="shared" si="31"/>
        <v>438.76691946139834</v>
      </c>
      <c r="H132" s="91">
        <f t="shared" si="31"/>
        <v>436.75368846681636</v>
      </c>
      <c r="I132" s="91">
        <f t="shared" si="31"/>
        <v>434.66280235104773</v>
      </c>
      <c r="J132" s="91">
        <f t="shared" si="31"/>
        <v>432.56659283227418</v>
      </c>
      <c r="K132" s="91">
        <f t="shared" si="31"/>
        <v>430.46504197578145</v>
      </c>
      <c r="L132" s="91">
        <f t="shared" si="31"/>
        <v>428.35813142570919</v>
      </c>
      <c r="M132" s="91">
        <f t="shared" si="32"/>
        <v>426.2458423872099</v>
      </c>
      <c r="N132" s="91">
        <f t="shared" si="32"/>
        <v>426.40398954161503</v>
      </c>
      <c r="O132" s="91">
        <f t="shared" si="32"/>
        <v>426.56186175007042</v>
      </c>
      <c r="P132" s="91">
        <f t="shared" si="32"/>
        <v>426.7194356493352</v>
      </c>
      <c r="Q132" s="91">
        <f t="shared" si="32"/>
        <v>426.87668764203397</v>
      </c>
      <c r="R132" s="91">
        <f t="shared" si="32"/>
        <v>427.0335938843121</v>
      </c>
      <c r="S132" s="91">
        <f t="shared" si="32"/>
        <v>426.96898445891748</v>
      </c>
      <c r="T132" s="91">
        <f t="shared" si="32"/>
        <v>426.90523896892978</v>
      </c>
      <c r="U132" s="91">
        <f t="shared" si="32"/>
        <v>426.84234600356302</v>
      </c>
      <c r="V132" s="91">
        <f t="shared" si="32"/>
        <v>426.78029431360369</v>
      </c>
      <c r="W132" s="91">
        <f t="shared" si="33"/>
        <v>426.71907280905123</v>
      </c>
      <c r="X132" s="91">
        <f t="shared" si="33"/>
        <v>426.58460011554439</v>
      </c>
      <c r="Y132" s="91">
        <f t="shared" si="33"/>
        <v>426.44969311755318</v>
      </c>
      <c r="Z132" s="91">
        <f t="shared" si="33"/>
        <v>426.31441738493851</v>
      </c>
      <c r="AA132" s="91">
        <f t="shared" si="33"/>
        <v>426.17877184469273</v>
      </c>
      <c r="AB132" s="91">
        <f t="shared" si="33"/>
        <v>426.04275541777645</v>
      </c>
      <c r="AC132" s="91">
        <f t="shared" si="33"/>
        <v>426.07407868986945</v>
      </c>
      <c r="AD132" s="91">
        <f t="shared" si="33"/>
        <v>426.10545283924421</v>
      </c>
      <c r="AE132" s="91">
        <f t="shared" si="33"/>
        <v>426.13687798285252</v>
      </c>
      <c r="AF132" s="91">
        <f t="shared" si="33"/>
        <v>426.16835423750365</v>
      </c>
      <c r="AG132" s="91">
        <f t="shared" si="33"/>
        <v>426.19988171988524</v>
      </c>
    </row>
    <row r="134" spans="1:33" ht="15.75">
      <c r="A134" s="20" t="s">
        <v>210</v>
      </c>
      <c r="C134" s="87">
        <v>2020</v>
      </c>
      <c r="D134" s="87">
        <v>2021</v>
      </c>
      <c r="E134" s="87">
        <v>2022</v>
      </c>
      <c r="F134" s="87">
        <v>2023</v>
      </c>
      <c r="G134" s="87">
        <v>2024</v>
      </c>
      <c r="H134" s="87">
        <v>2025</v>
      </c>
      <c r="I134" s="87">
        <v>2026</v>
      </c>
      <c r="J134" s="87">
        <v>2027</v>
      </c>
      <c r="K134" s="87">
        <v>2028</v>
      </c>
      <c r="L134" s="87">
        <v>2029</v>
      </c>
      <c r="M134" s="87">
        <v>2030</v>
      </c>
      <c r="N134" s="87">
        <v>2031</v>
      </c>
      <c r="O134" s="87">
        <v>2032</v>
      </c>
      <c r="P134" s="87">
        <v>2033</v>
      </c>
      <c r="Q134" s="87">
        <v>2034</v>
      </c>
      <c r="R134" s="87">
        <v>2035</v>
      </c>
      <c r="S134" s="87">
        <v>2036</v>
      </c>
      <c r="T134" s="87">
        <v>2037</v>
      </c>
      <c r="U134" s="87">
        <v>2038</v>
      </c>
      <c r="V134" s="87">
        <v>2039</v>
      </c>
      <c r="W134" s="87">
        <v>2040</v>
      </c>
      <c r="X134" s="87">
        <v>2041</v>
      </c>
      <c r="Y134" s="87">
        <v>2042</v>
      </c>
      <c r="Z134" s="87">
        <v>2043</v>
      </c>
      <c r="AA134" s="87">
        <v>2044</v>
      </c>
      <c r="AB134" s="87">
        <v>2045</v>
      </c>
      <c r="AC134" s="87">
        <v>2046</v>
      </c>
      <c r="AD134" s="87">
        <v>2047</v>
      </c>
      <c r="AE134" s="87">
        <v>2048</v>
      </c>
      <c r="AF134" s="87">
        <v>2049</v>
      </c>
      <c r="AG134" s="87">
        <v>2050</v>
      </c>
    </row>
    <row r="135" spans="1:33">
      <c r="A135" s="12" t="s">
        <v>154</v>
      </c>
      <c r="C135" s="91">
        <v>0</v>
      </c>
      <c r="D135" s="92">
        <f>1-(D130/C130)</f>
        <v>1.9481813860771857E-2</v>
      </c>
      <c r="E135" s="92">
        <f t="shared" ref="E135:AG137" si="34">1-(E130/D130)</f>
        <v>1.7663036005782007E-2</v>
      </c>
      <c r="F135" s="92">
        <f t="shared" si="34"/>
        <v>1.8458532738288458E-2</v>
      </c>
      <c r="G135" s="92">
        <f t="shared" si="34"/>
        <v>1.89636141634274E-2</v>
      </c>
      <c r="H135" s="92">
        <f t="shared" si="34"/>
        <v>1.9608941745992037E-2</v>
      </c>
      <c r="I135" s="92">
        <f t="shared" si="34"/>
        <v>2.0926237776607071E-2</v>
      </c>
      <c r="J135" s="92">
        <f t="shared" si="34"/>
        <v>2.1105802177486144E-2</v>
      </c>
      <c r="K135" s="92">
        <f t="shared" si="34"/>
        <v>2.1291081315015115E-2</v>
      </c>
      <c r="L135" s="92">
        <f t="shared" si="34"/>
        <v>2.1526155087589371E-2</v>
      </c>
      <c r="M135" s="92">
        <f t="shared" si="34"/>
        <v>2.1951163163163923E-2</v>
      </c>
      <c r="N135" s="92">
        <f t="shared" si="34"/>
        <v>-3.153951745162864E-3</v>
      </c>
      <c r="O135" s="92">
        <f t="shared" si="34"/>
        <v>-3.2806603656472255E-3</v>
      </c>
      <c r="P135" s="92">
        <f t="shared" si="34"/>
        <v>-3.1805225341434706E-3</v>
      </c>
      <c r="Q135" s="92">
        <f t="shared" si="34"/>
        <v>-3.1017921649854063E-3</v>
      </c>
      <c r="R135" s="92">
        <f t="shared" si="34"/>
        <v>-3.0869757031399825E-3</v>
      </c>
      <c r="S135" s="92">
        <f t="shared" si="34"/>
        <v>-2.8470543954284278E-3</v>
      </c>
      <c r="T135" s="92">
        <f t="shared" si="34"/>
        <v>-2.8929602470626481E-3</v>
      </c>
      <c r="U135" s="92">
        <f t="shared" si="34"/>
        <v>-2.7153783473718995E-3</v>
      </c>
      <c r="V135" s="92">
        <f t="shared" si="34"/>
        <v>-2.9841026715544672E-3</v>
      </c>
      <c r="W135" s="92">
        <f t="shared" si="34"/>
        <v>-3.0262286541837824E-3</v>
      </c>
      <c r="X135" s="92">
        <f t="shared" si="34"/>
        <v>-3.1425577639341284E-3</v>
      </c>
      <c r="Y135" s="92">
        <f t="shared" si="34"/>
        <v>-3.0994581201435611E-3</v>
      </c>
      <c r="Z135" s="92">
        <f t="shared" si="34"/>
        <v>-3.1290795789786774E-3</v>
      </c>
      <c r="AA135" s="92">
        <f t="shared" si="34"/>
        <v>-3.1245711072374061E-3</v>
      </c>
      <c r="AB135" s="92">
        <f t="shared" si="34"/>
        <v>-3.063642919683307E-3</v>
      </c>
      <c r="AC135" s="92">
        <f t="shared" si="34"/>
        <v>-2.8819436615827865E-3</v>
      </c>
      <c r="AD135" s="92">
        <f t="shared" si="34"/>
        <v>-2.8775984794491283E-3</v>
      </c>
      <c r="AE135" s="92">
        <f t="shared" si="34"/>
        <v>-2.8472495784923613E-3</v>
      </c>
      <c r="AF135" s="92">
        <f t="shared" si="34"/>
        <v>-2.8072819635598378E-3</v>
      </c>
      <c r="AG135" s="92">
        <f t="shared" si="34"/>
        <v>-2.7263052731958393E-3</v>
      </c>
    </row>
    <row r="136" spans="1:33">
      <c r="A136" s="12" t="s">
        <v>155</v>
      </c>
      <c r="C136" s="91">
        <v>0</v>
      </c>
      <c r="D136" s="92">
        <f t="shared" ref="D136:S137" si="35">1-(D131/C131)</f>
        <v>3.356163279218416E-2</v>
      </c>
      <c r="E136" s="92">
        <f t="shared" si="35"/>
        <v>3.4998720386458904E-2</v>
      </c>
      <c r="F136" s="92">
        <f t="shared" si="35"/>
        <v>3.6134025065137521E-2</v>
      </c>
      <c r="G136" s="92">
        <f t="shared" si="35"/>
        <v>3.738169590151974E-2</v>
      </c>
      <c r="H136" s="92">
        <f t="shared" si="35"/>
        <v>3.8686458662459011E-2</v>
      </c>
      <c r="I136" s="92">
        <f t="shared" si="35"/>
        <v>3.9159773671962772E-2</v>
      </c>
      <c r="J136" s="92">
        <f t="shared" si="35"/>
        <v>4.0671452360184546E-2</v>
      </c>
      <c r="K136" s="92">
        <f t="shared" si="35"/>
        <v>4.2299924526406518E-2</v>
      </c>
      <c r="L136" s="92">
        <f t="shared" si="35"/>
        <v>4.4052840544235083E-2</v>
      </c>
      <c r="M136" s="92">
        <f t="shared" si="35"/>
        <v>4.5923432463939484E-2</v>
      </c>
      <c r="N136" s="92">
        <f t="shared" si="35"/>
        <v>2.2147970553944019E-3</v>
      </c>
      <c r="O136" s="92">
        <f t="shared" si="35"/>
        <v>2.2226867550058094E-3</v>
      </c>
      <c r="P136" s="92">
        <f t="shared" si="35"/>
        <v>2.1911199898791978E-3</v>
      </c>
      <c r="Q136" s="92">
        <f t="shared" si="35"/>
        <v>2.162911062461359E-3</v>
      </c>
      <c r="R136" s="92">
        <f t="shared" si="35"/>
        <v>2.1456669359796177E-3</v>
      </c>
      <c r="S136" s="92">
        <f t="shared" si="35"/>
        <v>1.7926648828718861E-3</v>
      </c>
      <c r="T136" s="92">
        <f t="shared" si="34"/>
        <v>1.7826372655295186E-3</v>
      </c>
      <c r="U136" s="92">
        <f t="shared" si="34"/>
        <v>1.7329530794447656E-3</v>
      </c>
      <c r="V136" s="92">
        <f t="shared" si="34"/>
        <v>1.7635846655177367E-3</v>
      </c>
      <c r="W136" s="92">
        <f t="shared" si="34"/>
        <v>1.754177515567612E-3</v>
      </c>
      <c r="X136" s="92">
        <f t="shared" si="34"/>
        <v>1.6512843324276716E-3</v>
      </c>
      <c r="Y136" s="92">
        <f t="shared" si="34"/>
        <v>1.5988328120800643E-3</v>
      </c>
      <c r="Z136" s="92">
        <f t="shared" si="34"/>
        <v>1.5878789721230913E-3</v>
      </c>
      <c r="AA136" s="92">
        <f t="shared" si="34"/>
        <v>1.5711126290123278E-3</v>
      </c>
      <c r="AB136" s="92">
        <f t="shared" si="34"/>
        <v>1.5442716944813473E-3</v>
      </c>
      <c r="AC136" s="92">
        <f t="shared" si="34"/>
        <v>1.3670784662616065E-3</v>
      </c>
      <c r="AD136" s="92">
        <f t="shared" si="34"/>
        <v>1.3520340292592081E-3</v>
      </c>
      <c r="AE136" s="92">
        <f t="shared" si="34"/>
        <v>1.3325020519406872E-3</v>
      </c>
      <c r="AF136" s="92">
        <f t="shared" si="34"/>
        <v>1.3114793102656508E-3</v>
      </c>
      <c r="AG136" s="92">
        <f t="shared" si="34"/>
        <v>1.2829792993040989E-3</v>
      </c>
    </row>
    <row r="137" spans="1:33">
      <c r="A137" s="12" t="s">
        <v>157</v>
      </c>
      <c r="C137" s="91">
        <v>0</v>
      </c>
      <c r="D137" s="92">
        <f t="shared" si="35"/>
        <v>4.4539459522244806E-3</v>
      </c>
      <c r="E137" s="92">
        <f t="shared" si="34"/>
        <v>4.4868858077211637E-3</v>
      </c>
      <c r="F137" s="92">
        <f t="shared" si="34"/>
        <v>4.5202660467162925E-3</v>
      </c>
      <c r="G137" s="92">
        <f t="shared" si="34"/>
        <v>4.5540956039344938E-3</v>
      </c>
      <c r="H137" s="92">
        <f t="shared" si="34"/>
        <v>4.588383730143808E-3</v>
      </c>
      <c r="I137" s="92">
        <f t="shared" si="34"/>
        <v>4.7873347632357843E-3</v>
      </c>
      <c r="J137" s="92">
        <f t="shared" si="34"/>
        <v>4.8226107857294309E-3</v>
      </c>
      <c r="K137" s="92">
        <f t="shared" si="34"/>
        <v>4.8583290788422051E-3</v>
      </c>
      <c r="L137" s="92">
        <f t="shared" si="34"/>
        <v>4.8944986110877053E-3</v>
      </c>
      <c r="M137" s="92">
        <f t="shared" si="34"/>
        <v>4.9311286130344634E-3</v>
      </c>
      <c r="N137" s="92">
        <f t="shared" si="34"/>
        <v>-3.7102333601524151E-4</v>
      </c>
      <c r="O137" s="92">
        <f t="shared" si="34"/>
        <v>-3.7024092721349433E-4</v>
      </c>
      <c r="P137" s="92">
        <f t="shared" si="34"/>
        <v>-3.6940456565504043E-4</v>
      </c>
      <c r="Q137" s="92">
        <f t="shared" si="34"/>
        <v>-3.6851378109714616E-4</v>
      </c>
      <c r="R137" s="92">
        <f t="shared" si="34"/>
        <v>-3.6756807485738285E-4</v>
      </c>
      <c r="S137" s="92">
        <f t="shared" si="34"/>
        <v>1.5129822646253732E-4</v>
      </c>
      <c r="T137" s="92">
        <f t="shared" si="34"/>
        <v>1.4929770617522209E-4</v>
      </c>
      <c r="U137" s="92">
        <f t="shared" si="34"/>
        <v>1.4732301135178538E-4</v>
      </c>
      <c r="V137" s="92">
        <f t="shared" si="34"/>
        <v>1.4537379090973079E-4</v>
      </c>
      <c r="W137" s="92">
        <f t="shared" si="34"/>
        <v>1.4344969851742828E-4</v>
      </c>
      <c r="X137" s="92">
        <f t="shared" si="34"/>
        <v>3.1513166876184773E-4</v>
      </c>
      <c r="Y137" s="92">
        <f t="shared" si="34"/>
        <v>3.1624910499505887E-4</v>
      </c>
      <c r="Z137" s="92">
        <f t="shared" si="34"/>
        <v>3.1721381161220474E-4</v>
      </c>
      <c r="AA137" s="92">
        <f t="shared" si="34"/>
        <v>3.1818192093491238E-4</v>
      </c>
      <c r="AB137" s="92">
        <f t="shared" si="34"/>
        <v>3.1915345367283798E-4</v>
      </c>
      <c r="AC137" s="92">
        <f t="shared" si="34"/>
        <v>-7.3521428764378172E-5</v>
      </c>
      <c r="AD137" s="92">
        <f t="shared" si="34"/>
        <v>-7.3635433235574865E-5</v>
      </c>
      <c r="AE137" s="92">
        <f t="shared" si="34"/>
        <v>-7.3749686606783271E-5</v>
      </c>
      <c r="AF137" s="92">
        <f t="shared" si="34"/>
        <v>-7.3864188427252842E-5</v>
      </c>
      <c r="AG137" s="92">
        <f t="shared" si="34"/>
        <v>-7.3978938295304886E-5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I7"/>
  <sheetViews>
    <sheetView workbookViewId="0">
      <selection activeCell="B2" sqref="B2"/>
    </sheetView>
  </sheetViews>
  <sheetFormatPr defaultRowHeight="15"/>
  <cols>
    <col min="1" max="1" width="15.5703125" customWidth="1"/>
    <col min="2" max="5" width="18.5703125" customWidth="1"/>
    <col min="6" max="6" width="22.5703125" customWidth="1"/>
    <col min="7" max="7" width="18.140625" customWidth="1"/>
    <col min="8" max="8" width="19.85546875" customWidth="1"/>
    <col min="9" max="9" width="18.28515625" customWidth="1"/>
  </cols>
  <sheetData>
    <row r="1" spans="1:9" ht="30">
      <c r="A1" s="9" t="s">
        <v>40</v>
      </c>
      <c r="B1" s="8" t="s">
        <v>32</v>
      </c>
      <c r="C1" s="8" t="s">
        <v>33</v>
      </c>
      <c r="D1" s="8" t="s">
        <v>34</v>
      </c>
      <c r="E1" s="8" t="s">
        <v>35</v>
      </c>
      <c r="F1" s="8" t="s">
        <v>36</v>
      </c>
      <c r="G1" s="8" t="s">
        <v>38</v>
      </c>
      <c r="H1" s="8" t="s">
        <v>39</v>
      </c>
      <c r="I1" s="8" t="s">
        <v>37</v>
      </c>
    </row>
    <row r="2" spans="1:9">
      <c r="A2" s="1" t="s">
        <v>26</v>
      </c>
      <c r="B2" s="6">
        <f>'Pass LDVs'!B181/1000</f>
        <v>9.5525493082981486E-2</v>
      </c>
      <c r="C2">
        <v>0</v>
      </c>
      <c r="D2">
        <v>0</v>
      </c>
      <c r="E2">
        <v>0</v>
      </c>
      <c r="F2">
        <f>'Pass LDVs'!B182/1000</f>
        <v>1.6635206947477228E-2</v>
      </c>
      <c r="G2">
        <v>0</v>
      </c>
      <c r="H2">
        <v>0</v>
      </c>
      <c r="I2">
        <v>0</v>
      </c>
    </row>
    <row r="3" spans="1:9">
      <c r="A3" s="1" t="s">
        <v>27</v>
      </c>
      <c r="B3">
        <f>'Freight LDVs + HDVs'!C132/1000</f>
        <v>0.44676120003515063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 t="s">
        <v>28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 t="s">
        <v>29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 t="s">
        <v>30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 t="s">
        <v>31</v>
      </c>
      <c r="B7">
        <f>Data!A3</f>
        <v>6.9999999999999999E-4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I7"/>
  <sheetViews>
    <sheetView workbookViewId="0">
      <selection activeCell="B4" sqref="B4"/>
    </sheetView>
  </sheetViews>
  <sheetFormatPr defaultRowHeight="15"/>
  <cols>
    <col min="1" max="1" width="15.28515625" customWidth="1"/>
    <col min="2" max="5" width="18.5703125" customWidth="1"/>
    <col min="6" max="6" width="22.5703125" customWidth="1"/>
    <col min="7" max="7" width="18.140625" customWidth="1"/>
    <col min="8" max="8" width="19.85546875" customWidth="1"/>
    <col min="9" max="9" width="18.28515625" customWidth="1"/>
  </cols>
  <sheetData>
    <row r="1" spans="1:9" ht="60">
      <c r="A1" s="9" t="s">
        <v>40</v>
      </c>
      <c r="B1" s="8" t="s">
        <v>32</v>
      </c>
      <c r="C1" s="8" t="s">
        <v>33</v>
      </c>
      <c r="D1" s="8" t="s">
        <v>34</v>
      </c>
      <c r="E1" s="8" t="s">
        <v>35</v>
      </c>
      <c r="F1" s="8" t="s">
        <v>36</v>
      </c>
      <c r="G1" s="8" t="s">
        <v>38</v>
      </c>
      <c r="H1" s="8" t="s">
        <v>39</v>
      </c>
      <c r="I1" s="8" t="s">
        <v>37</v>
      </c>
    </row>
    <row r="2" spans="1:9">
      <c r="A2" s="1" t="s">
        <v>26</v>
      </c>
      <c r="B2" s="6">
        <f>'Freight LDVs + HDVs'!C130/1000</f>
        <v>0.12295576366291622</v>
      </c>
      <c r="C2">
        <v>0</v>
      </c>
      <c r="D2">
        <v>0</v>
      </c>
      <c r="E2">
        <v>0</v>
      </c>
      <c r="F2" s="93">
        <f>'SYBCbVT-passenger'!F2*B2/'SYBCbVT-passenger'!B2</f>
        <v>2.1412028432461584E-2</v>
      </c>
      <c r="G2">
        <v>0</v>
      </c>
      <c r="H2">
        <v>0</v>
      </c>
      <c r="I2">
        <v>0</v>
      </c>
    </row>
    <row r="3" spans="1:9">
      <c r="A3" s="1" t="s">
        <v>27</v>
      </c>
      <c r="B3" s="6">
        <f>'Freight LDVs + HDVs'!C131/1000</f>
        <v>0.86592240714375301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 t="s">
        <v>28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 t="s">
        <v>29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 t="s">
        <v>30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 t="s">
        <v>31</v>
      </c>
      <c r="B7">
        <f>Data!A3</f>
        <v>6.9999999999999999E-4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79AAD8-CE7B-4AF6-A263-3519E4E5AB42}"/>
</file>

<file path=customXml/itemProps2.xml><?xml version="1.0" encoding="utf-8"?>
<ds:datastoreItem xmlns:ds="http://schemas.openxmlformats.org/officeDocument/2006/customXml" ds:itemID="{577979B6-F0C6-4319-BCB8-9E85A2E2AC95}"/>
</file>

<file path=customXml/itemProps3.xml><?xml version="1.0" encoding="utf-8"?>
<ds:datastoreItem xmlns:ds="http://schemas.openxmlformats.org/officeDocument/2006/customXml" ds:itemID="{42855C4D-B231-48F7-A7AA-A26CD5036F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Pass LDVs</vt:lpstr>
      <vt:lpstr>AEO by Class</vt:lpstr>
      <vt:lpstr>Freight LDVs + HDVs</vt:lpstr>
      <vt:lpstr>SYBCbVT-passenger</vt:lpstr>
      <vt:lpstr>SYBCbVT-freight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2018-04-25T23:32:01Z</dcterms:created>
  <dcterms:modified xsi:type="dcterms:W3CDTF">2024-04-08T19:39:41Z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