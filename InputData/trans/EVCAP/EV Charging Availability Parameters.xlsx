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mmahajan\Documents\eps-us\InputData\trans\EVCAP\"/>
    </mc:Choice>
  </mc:AlternateContent>
  <xr:revisionPtr revIDLastSave="0" documentId="13_ncr:1_{DEFD4BBD-2F25-4D2D-A4A3-B0E639B43C4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bout" sheetId="1" r:id="rId1"/>
    <sheet name="Calculations" sheetId="4" r:id="rId2"/>
    <sheet name="EVCAP-A" sheetId="3" r:id="rId3"/>
    <sheet name="EVCAP-B" sheetId="7" r:id="rId4"/>
  </sheets>
  <definedNames>
    <definedName name="income">Calculations!#REF!</definedName>
    <definedName name="Range_EV">Calculations!#REF!</definedName>
    <definedName name="range_ICE">Calculations!#REF!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7" l="1"/>
  <c r="B2" i="3"/>
</calcChain>
</file>

<file path=xl/sharedStrings.xml><?xml version="1.0" encoding="utf-8"?>
<sst xmlns="http://schemas.openxmlformats.org/spreadsheetml/2006/main" count="17" uniqueCount="13">
  <si>
    <t>Source:</t>
  </si>
  <si>
    <t>Notes</t>
  </si>
  <si>
    <t>Fueling Availability</t>
  </si>
  <si>
    <t>Range and Fueling Availability 'Costs'</t>
  </si>
  <si>
    <t>US Department of Energy</t>
  </si>
  <si>
    <t>https://www.nrel.gov/docs/fy13osti/55639.pdf</t>
  </si>
  <si>
    <t>The Fuel Availability Value uses parameters from the DOE study and a comparison of the number of</t>
  </si>
  <si>
    <t>EVCAP EV Charging Availability Parameters</t>
  </si>
  <si>
    <t>EV charging ports and gas pumps.</t>
  </si>
  <si>
    <t>Parameter A</t>
  </si>
  <si>
    <t>Parameter B</t>
  </si>
  <si>
    <t>Dmnl</t>
  </si>
  <si>
    <t>Parameter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</si>
</sst>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</cellXfs>
  <cellStyles count="2"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1.8828958880139982E-2"/>
                  <c:y val="-0.137038858986440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Calculations!$A$2:$A$5</c:f>
              <c:numCache>
                <c:formatCode>0.00</c:formatCode>
                <c:ptCount val="4"/>
                <c:pt idx="0">
                  <c:v>1.0000000000000001E-5</c:v>
                </c:pt>
                <c:pt idx="1">
                  <c:v>0.05</c:v>
                </c:pt>
                <c:pt idx="2">
                  <c:v>0.1</c:v>
                </c:pt>
                <c:pt idx="3">
                  <c:v>1</c:v>
                </c:pt>
              </c:numCache>
            </c:numRef>
          </c:xVal>
          <c:yVal>
            <c:numRef>
              <c:f>Calculations!$B$2:$B$5</c:f>
              <c:numCache>
                <c:formatCode>General</c:formatCode>
                <c:ptCount val="4"/>
                <c:pt idx="0">
                  <c:v>7500</c:v>
                </c:pt>
                <c:pt idx="1">
                  <c:v>1750</c:v>
                </c:pt>
                <c:pt idx="2">
                  <c:v>1000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E9-416A-9551-2ECD6C9DF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233536"/>
        <c:axId val="280232704"/>
      </c:scatterChart>
      <c:valAx>
        <c:axId val="280233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232704"/>
        <c:crosses val="autoZero"/>
        <c:crossBetween val="midCat"/>
      </c:valAx>
      <c:valAx>
        <c:axId val="28023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233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63499</xdr:colOff>
      <xdr:row>6</xdr:row>
      <xdr:rowOff>9525</xdr:rowOff>
    </xdr:from>
    <xdr:to>
      <xdr:col>3</xdr:col>
      <xdr:colOff>352425</xdr:colOff>
      <xdr:row>22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90063C-A7D3-43BB-8DEB-94B1128AD1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A12" sqref="A12:XFD16"/>
    </sheetView>
  </sheetViews>
  <sheetFormatPr defaultRowHeight="15" x14ac:dyDescent="0.25"/>
  <cols>
    <col min="1" max="1" width="16.5703125" customWidth="1"/>
    <col min="2" max="2" width="31.85546875" customWidth="1"/>
  </cols>
  <sheetData>
    <row r="1" spans="1:2" x14ac:dyDescent="0.25">
      <c r="A1" s="1" t="s">
        <v>7</v>
      </c>
    </row>
    <row r="3" spans="1:2" x14ac:dyDescent="0.25">
      <c r="A3" s="1" t="s">
        <v>0</v>
      </c>
      <c r="B3" s="5" t="s">
        <v>3</v>
      </c>
    </row>
    <row r="4" spans="1:2" x14ac:dyDescent="0.25">
      <c r="B4" t="s">
        <v>4</v>
      </c>
    </row>
    <row r="5" spans="1:2" x14ac:dyDescent="0.25">
      <c r="B5" s="6">
        <v>2013</v>
      </c>
    </row>
    <row r="6" spans="1:2" x14ac:dyDescent="0.25">
      <c r="B6" t="s">
        <v>5</v>
      </c>
    </row>
    <row r="8" spans="1:2" x14ac:dyDescent="0.25">
      <c r="A8" s="1" t="s">
        <v>1</v>
      </c>
    </row>
    <row r="9" spans="1:2" x14ac:dyDescent="0.25">
      <c r="A9" t="s">
        <v>6</v>
      </c>
    </row>
    <row r="10" spans="1:2" x14ac:dyDescent="0.25">
      <c r="A10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B26"/>
  <sheetViews>
    <sheetView workbookViewId="0">
      <selection activeCell="B27" sqref="B27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2" x14ac:dyDescent="0.25">
      <c r="A1" s="1" t="s">
        <v>2</v>
      </c>
    </row>
    <row r="2" spans="1:2" x14ac:dyDescent="0.25">
      <c r="A2" s="4">
        <v>1.0000000000000001E-5</v>
      </c>
      <c r="B2">
        <v>7500</v>
      </c>
    </row>
    <row r="3" spans="1:2" x14ac:dyDescent="0.25">
      <c r="A3" s="4">
        <v>0.05</v>
      </c>
      <c r="B3">
        <v>1750</v>
      </c>
    </row>
    <row r="4" spans="1:2" x14ac:dyDescent="0.25">
      <c r="A4" s="4">
        <v>0.1</v>
      </c>
      <c r="B4">
        <v>1000</v>
      </c>
    </row>
    <row r="5" spans="1:2" x14ac:dyDescent="0.25">
      <c r="A5" s="4">
        <v>1</v>
      </c>
      <c r="B5">
        <v>0</v>
      </c>
    </row>
    <row r="25" spans="1:2" x14ac:dyDescent="0.25">
      <c r="A25" t="s">
        <v>9</v>
      </c>
      <c r="B25">
        <v>-667.1</v>
      </c>
    </row>
    <row r="26" spans="1:2" x14ac:dyDescent="0.25">
      <c r="A26" t="s">
        <v>10</v>
      </c>
      <c r="B26">
        <v>-241.23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workbookViewId="0">
      <selection sqref="A1:XFD1048576"/>
    </sheetView>
  </sheetViews>
  <sheetFormatPr defaultRowHeight="15" x14ac:dyDescent="0.25"/>
  <cols>
    <col min="1" max="1" width="17.85546875" customWidth="1"/>
    <col min="2" max="2" width="25" customWidth="1"/>
  </cols>
  <sheetData>
    <row r="1" spans="1:33" x14ac:dyDescent="0.25">
      <c r="A1" s="1" t="s">
        <v>11</v>
      </c>
      <c r="B1" s="3" t="s">
        <v>12</v>
      </c>
      <c r="D1" s="3"/>
      <c r="F1" s="3"/>
      <c r="H1" s="3"/>
      <c r="J1" s="3"/>
      <c r="L1" s="3"/>
      <c r="N1" s="3"/>
      <c r="P1" s="3"/>
      <c r="R1" s="3"/>
      <c r="T1" s="3"/>
      <c r="V1" s="3"/>
      <c r="X1" s="3"/>
      <c r="Z1" s="3"/>
      <c r="AB1" s="3"/>
      <c r="AD1" s="3"/>
      <c r="AF1" s="3"/>
    </row>
    <row r="2" spans="1:33" x14ac:dyDescent="0.25">
      <c r="A2" t="s">
        <v>9</v>
      </c>
      <c r="B2" s="2">
        <f>Calculations!B25</f>
        <v>-667.1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035D0-CEA1-4CBD-B784-1842A6DA9A93}">
  <sheetPr>
    <tabColor theme="8" tint="-0.249977111117893"/>
  </sheetPr>
  <dimension ref="A1:AG2"/>
  <sheetViews>
    <sheetView workbookViewId="0">
      <selection activeCell="B3" sqref="B3"/>
    </sheetView>
  </sheetViews>
  <sheetFormatPr defaultRowHeight="15" x14ac:dyDescent="0.25"/>
  <cols>
    <col min="1" max="1" width="17.85546875" customWidth="1"/>
    <col min="2" max="2" width="25" customWidth="1"/>
  </cols>
  <sheetData>
    <row r="1" spans="1:33" x14ac:dyDescent="0.25">
      <c r="A1" s="1" t="s">
        <v>11</v>
      </c>
      <c r="B1" s="3" t="s">
        <v>12</v>
      </c>
      <c r="D1" s="3"/>
      <c r="F1" s="3"/>
      <c r="H1" s="3"/>
      <c r="J1" s="3"/>
      <c r="L1" s="3"/>
      <c r="N1" s="3"/>
      <c r="P1" s="3"/>
      <c r="R1" s="3"/>
      <c r="T1" s="3"/>
      <c r="V1" s="3"/>
      <c r="X1" s="3"/>
      <c r="Z1" s="3"/>
      <c r="AB1" s="3"/>
      <c r="AD1" s="3"/>
      <c r="AF1" s="3"/>
    </row>
    <row r="2" spans="1:33" x14ac:dyDescent="0.25">
      <c r="A2" t="s">
        <v>10</v>
      </c>
      <c r="B2" s="2">
        <f>Calculations!B26</f>
        <v>-241.23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6F8F14-92F7-4D57-8C99-4329EAF66487}"/>
</file>

<file path=customXml/itemProps2.xml><?xml version="1.0" encoding="utf-8"?>
<ds:datastoreItem xmlns:ds="http://schemas.openxmlformats.org/officeDocument/2006/customXml" ds:itemID="{8F953B06-D5E7-4153-B844-7A0A7BFCC5CC}"/>
</file>

<file path=customXml/itemProps3.xml><?xml version="1.0" encoding="utf-8"?>
<ds:datastoreItem xmlns:ds="http://schemas.openxmlformats.org/officeDocument/2006/customXml" ds:itemID="{EF979FAD-412A-4E9B-978B-59DA64C666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Calculations</vt:lpstr>
      <vt:lpstr>EVCAP-A</vt:lpstr>
      <vt:lpstr>EVCAP-B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2019-06-04T20:20:37Z</dcterms:created>
  <dcterms:modified xsi:type="dcterms:W3CDTF">2023-05-19T19:39:21Z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