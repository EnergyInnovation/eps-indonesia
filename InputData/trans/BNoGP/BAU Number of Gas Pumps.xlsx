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mdeng\Desktop\Dropbox_Free_Zone\EPS\Model Repos\eps-us\InputData\trans\BNoGP\"/>
    </mc:Choice>
  </mc:AlternateContent>
  <xr:revisionPtr revIDLastSave="58" documentId="13_ncr:1_{8D1B5AEA-3A11-463F-9E0D-2C706DCF7B19}" xr6:coauthVersionLast="47" xr6:coauthVersionMax="47" xr10:uidLastSave="{96A5EC34-F8AF-47CC-A691-97AA03173D24}"/>
  <bookViews>
    <workbookView xWindow="555" yWindow="885" windowWidth="22950" windowHeight="13650" firstSheet="1" activeTab="1" xr2:uid="{00000000-000D-0000-FFFF-FFFF00000000}"/>
  </bookViews>
  <sheets>
    <sheet name="About" sheetId="1" r:id="rId1"/>
    <sheet name="Calculations" sheetId="4" r:id="rId2"/>
    <sheet name="BNoGP" sheetId="3" r:id="rId3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D2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B2" i="3"/>
</calcChain>
</file>

<file path=xl/sharedStrings.xml><?xml version="1.0" encoding="utf-8"?>
<sst xmlns="http://schemas.openxmlformats.org/spreadsheetml/2006/main" count="19" uniqueCount="15">
  <si>
    <t>BNoEVC BAU Number of Gas Pumps</t>
  </si>
  <si>
    <t>Source:</t>
  </si>
  <si>
    <t>Number of Gas pumps</t>
  </si>
  <si>
    <t>ICCT</t>
  </si>
  <si>
    <t>The retail fuels market in Indonesia</t>
  </si>
  <si>
    <t>https://theicct.org/wp-content/uploads/2021/06/Retail-fuels-indonesia-oct2020.pdf</t>
  </si>
  <si>
    <t>Protemus Consulting</t>
  </si>
  <si>
    <t>Oil and Gas Industry Overview</t>
  </si>
  <si>
    <t>https://www.protemus.co.id/upload/industries/1698996859.pdf</t>
  </si>
  <si>
    <t>Notes</t>
  </si>
  <si>
    <t>We assume the number of gas pumps remains relatively constant.</t>
  </si>
  <si>
    <t>Number of chargers</t>
  </si>
  <si>
    <t>BAU Gas Pumps</t>
  </si>
  <si>
    <t>Protemus</t>
  </si>
  <si>
    <t>^need source, going based on vibes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</si>
</sst>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2"/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rotemus.co.id/upload/industries/1698996859.pdf" TargetMode="External"/><Relationship Id="rId1" Type="http://schemas.openxmlformats.org/officeDocument/2006/relationships/hyperlink" Target="https://theicct.org/wp-content/uploads/2021/06/Retail-fuels-indonesia-oct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E17" sqref="E17"/>
    </sheetView>
  </sheetViews>
  <sheetFormatPr defaultRowHeight="15"/>
  <cols>
    <col min="1" max="1" width="16.5703125" customWidth="1"/>
    <col min="2" max="2" width="31.855468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 t="s">
        <v>4</v>
      </c>
    </row>
    <row r="6" spans="1:2">
      <c r="B6" s="4" t="s">
        <v>5</v>
      </c>
    </row>
    <row r="8" spans="1:2">
      <c r="B8" t="s">
        <v>6</v>
      </c>
    </row>
    <row r="9" spans="1:2">
      <c r="B9" t="s">
        <v>7</v>
      </c>
    </row>
    <row r="10" spans="1:2">
      <c r="B10" s="4" t="s">
        <v>8</v>
      </c>
    </row>
    <row r="16" spans="1:2">
      <c r="A16" s="1" t="s">
        <v>9</v>
      </c>
    </row>
    <row r="17" spans="1:1">
      <c r="A17" t="s">
        <v>10</v>
      </c>
    </row>
  </sheetData>
  <hyperlinks>
    <hyperlink ref="B6" r:id="rId1" xr:uid="{D043E612-CE4A-44D3-85F0-DC911DB74736}"/>
    <hyperlink ref="B10" r:id="rId2" xr:uid="{46587434-431E-4ED7-94DC-C87CDFD9B80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388B-37EB-4A2B-9BBE-B542C0E447C8}">
  <dimension ref="A1:AG3"/>
  <sheetViews>
    <sheetView tabSelected="1" workbookViewId="0">
      <selection activeCell="C18" sqref="C18"/>
    </sheetView>
  </sheetViews>
  <sheetFormatPr defaultRowHeight="15"/>
  <cols>
    <col min="1" max="1" width="21.85546875" customWidth="1"/>
    <col min="4" max="4" width="15.28515625" bestFit="1" customWidth="1"/>
    <col min="6" max="6" width="9.28515625" bestFit="1" customWidth="1"/>
    <col min="13" max="13" width="34.140625" bestFit="1" customWidth="1"/>
  </cols>
  <sheetData>
    <row r="1" spans="1:33">
      <c r="A1" t="s">
        <v>11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s="1" t="s">
        <v>12</v>
      </c>
      <c r="B2">
        <v>5500</v>
      </c>
      <c r="C2">
        <v>5500</v>
      </c>
      <c r="D2">
        <f>(($F$2-$C$2)/3)+C2</f>
        <v>6289.333333333333</v>
      </c>
      <c r="E2">
        <f>(($F$2-$C$2)/3)+D2</f>
        <v>7078.6666666666661</v>
      </c>
      <c r="F2">
        <v>7868</v>
      </c>
      <c r="G2">
        <v>8000</v>
      </c>
      <c r="H2">
        <v>8000</v>
      </c>
      <c r="I2">
        <v>8000</v>
      </c>
      <c r="J2">
        <v>8000</v>
      </c>
      <c r="K2">
        <v>8000</v>
      </c>
      <c r="L2">
        <v>8000</v>
      </c>
      <c r="M2">
        <v>10000</v>
      </c>
      <c r="N2">
        <v>8000</v>
      </c>
      <c r="O2">
        <v>8000</v>
      </c>
      <c r="P2">
        <v>8000</v>
      </c>
      <c r="Q2">
        <v>8000</v>
      </c>
      <c r="R2">
        <v>8000</v>
      </c>
      <c r="S2">
        <v>8000</v>
      </c>
      <c r="T2">
        <v>8000</v>
      </c>
      <c r="U2">
        <v>8000</v>
      </c>
      <c r="V2">
        <v>8000</v>
      </c>
      <c r="W2">
        <v>8000</v>
      </c>
      <c r="X2">
        <v>8000</v>
      </c>
      <c r="Y2">
        <v>8000</v>
      </c>
      <c r="Z2">
        <v>8000</v>
      </c>
      <c r="AA2">
        <v>8000</v>
      </c>
      <c r="AB2">
        <v>8000</v>
      </c>
      <c r="AC2">
        <v>8000</v>
      </c>
      <c r="AD2">
        <v>8000</v>
      </c>
      <c r="AE2">
        <v>8000</v>
      </c>
      <c r="AF2">
        <v>8000</v>
      </c>
      <c r="AG2">
        <v>8000</v>
      </c>
    </row>
    <row r="3" spans="1:33">
      <c r="B3" t="s">
        <v>3</v>
      </c>
      <c r="C3" t="s">
        <v>3</v>
      </c>
      <c r="F3" t="s">
        <v>13</v>
      </c>
      <c r="M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workbookViewId="0">
      <selection activeCell="F2" sqref="F2"/>
    </sheetView>
  </sheetViews>
  <sheetFormatPr defaultRowHeight="15"/>
  <cols>
    <col min="1" max="1" width="21" customWidth="1"/>
  </cols>
  <sheetData>
    <row r="1" spans="1:33">
      <c r="A1" t="s">
        <v>11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s="1" t="s">
        <v>12</v>
      </c>
      <c r="B2">
        <f>Calculations!B2</f>
        <v>5500</v>
      </c>
      <c r="C2">
        <f>Calculations!C2</f>
        <v>5500</v>
      </c>
      <c r="D2">
        <f>Calculations!D2</f>
        <v>6289.333333333333</v>
      </c>
      <c r="E2">
        <f>Calculations!E2</f>
        <v>7078.6666666666661</v>
      </c>
      <c r="F2">
        <f>Calculations!F2</f>
        <v>7868</v>
      </c>
      <c r="G2">
        <f>Calculations!G2</f>
        <v>8000</v>
      </c>
      <c r="H2">
        <f>Calculations!H2</f>
        <v>8000</v>
      </c>
      <c r="I2">
        <f>Calculations!I2</f>
        <v>8000</v>
      </c>
      <c r="J2">
        <f>Calculations!J2</f>
        <v>8000</v>
      </c>
      <c r="K2">
        <f>Calculations!K2</f>
        <v>8000</v>
      </c>
      <c r="L2">
        <f>Calculations!L2</f>
        <v>8000</v>
      </c>
      <c r="M2">
        <f>Calculations!M2</f>
        <v>10000</v>
      </c>
      <c r="N2">
        <f>Calculations!N2</f>
        <v>8000</v>
      </c>
      <c r="O2">
        <f>Calculations!O2</f>
        <v>8000</v>
      </c>
      <c r="P2">
        <f>Calculations!P2</f>
        <v>8000</v>
      </c>
      <c r="Q2">
        <f>Calculations!Q2</f>
        <v>8000</v>
      </c>
      <c r="R2">
        <f>Calculations!R2</f>
        <v>8000</v>
      </c>
      <c r="S2">
        <f>Calculations!S2</f>
        <v>8000</v>
      </c>
      <c r="T2">
        <f>Calculations!T2</f>
        <v>8000</v>
      </c>
      <c r="U2">
        <f>Calculations!U2</f>
        <v>8000</v>
      </c>
      <c r="V2">
        <f>Calculations!V2</f>
        <v>8000</v>
      </c>
      <c r="W2">
        <f>Calculations!W2</f>
        <v>8000</v>
      </c>
      <c r="X2">
        <f>Calculations!X2</f>
        <v>8000</v>
      </c>
      <c r="Y2">
        <f>Calculations!Y2</f>
        <v>8000</v>
      </c>
      <c r="Z2">
        <f>Calculations!Z2</f>
        <v>8000</v>
      </c>
      <c r="AA2">
        <f>Calculations!AA2</f>
        <v>8000</v>
      </c>
      <c r="AB2">
        <f>Calculations!AB2</f>
        <v>8000</v>
      </c>
      <c r="AC2">
        <f>Calculations!AC2</f>
        <v>8000</v>
      </c>
      <c r="AD2">
        <f>Calculations!AD2</f>
        <v>8000</v>
      </c>
      <c r="AE2">
        <f>Calculations!AE2</f>
        <v>8000</v>
      </c>
      <c r="AF2">
        <f>Calculations!AF2</f>
        <v>8000</v>
      </c>
      <c r="AG2">
        <f>Calculations!AG2</f>
        <v>8000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2CCF61-C7C0-4632-80B9-B14B1D30FF64}"/>
</file>

<file path=customXml/itemProps2.xml><?xml version="1.0" encoding="utf-8"?>
<ds:datastoreItem xmlns:ds="http://schemas.openxmlformats.org/officeDocument/2006/customXml" ds:itemID="{601A4963-D071-46F3-B44F-9B3FE2FCA2D6}"/>
</file>

<file path=customXml/itemProps3.xml><?xml version="1.0" encoding="utf-8"?>
<ds:datastoreItem xmlns:ds="http://schemas.openxmlformats.org/officeDocument/2006/customXml" ds:itemID="{05DF1675-97ED-4433-A240-6D3AB0CE2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2025-02-04T17:26:59Z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