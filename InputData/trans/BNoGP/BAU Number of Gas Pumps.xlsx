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NoGP\"/>
    </mc:Choice>
  </mc:AlternateContent>
  <xr:revisionPtr revIDLastSave="0" documentId="13_ncr:1_{0D3EF477-89E8-49E5-BACF-11232431D97F}" xr6:coauthVersionLast="47" xr6:coauthVersionMax="47" xr10:uidLastSave="{00000000-0000-0000-0000-000000000000}"/>
  <bookViews>
    <workbookView xWindow="31695" yWindow="4260" windowWidth="19200" windowHeight="11205" activeTab="2" xr2:uid="{00000000-000D-0000-FFFF-FFFF00000000}"/>
  </bookViews>
  <sheets>
    <sheet name="About" sheetId="1" r:id="rId1"/>
    <sheet name="Calculations" sheetId="4" r:id="rId2"/>
    <sheet name="BNoGP" sheetId="3" r:id="rId3"/>
  </sheets>
  <definedNames>
    <definedName name="income">#REF!</definedName>
    <definedName name="Range_EV">#REF!</definedName>
    <definedName name="range_I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D2" i="4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B2" i="3"/>
</calcChain>
</file>

<file path=xl/sharedStrings.xml><?xml version="1.0" encoding="utf-8"?>
<sst xmlns="http://schemas.openxmlformats.org/spreadsheetml/2006/main" count="18" uniqueCount="14">
  <si>
    <t>BNoEVC BAU Number of Gas Pumps</t>
  </si>
  <si>
    <t>Source:</t>
  </si>
  <si>
    <t>Number of Gas pumps</t>
  </si>
  <si>
    <t>ICCT</t>
  </si>
  <si>
    <t>The retail fuels market in Indonesia</t>
  </si>
  <si>
    <t>https://theicct.org/wp-content/uploads/2021/06/Retail-fuels-indonesia-oct2020.pdf</t>
  </si>
  <si>
    <t>Protemus Consulting</t>
  </si>
  <si>
    <t>Oil and Gas Industry Overview</t>
  </si>
  <si>
    <t>https://www.protemus.co.id/upload/industries/1698996859.pdf</t>
  </si>
  <si>
    <t>Notes</t>
  </si>
  <si>
    <t>We assume the number of gas pumps remains relatively constant.</t>
  </si>
  <si>
    <t>Number of chargers</t>
  </si>
  <si>
    <t>BAU Gas Pumps</t>
  </si>
  <si>
    <t>Protemus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</si>
</sst>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2"/>
  </cellXfs>
  <cellStyles count="3">
    <cellStyle name="Hyperlink" xfId="2" builtinId="8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protemus.co.id/upload/industries/1698996859.pdf" TargetMode="External"/><Relationship Id="rId1" Type="http://schemas.openxmlformats.org/officeDocument/2006/relationships/hyperlink" Target="https://theicct.org/wp-content/uploads/2021/06/Retail-fuels-indonesia-oct202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workbookViewId="0">
      <selection activeCell="E17" sqref="E17"/>
    </sheetView>
  </sheetViews>
  <sheetFormatPr defaultRowHeight="14.5" x14ac:dyDescent="0.35"/>
  <cols>
    <col min="1" max="1" width="16.54296875" customWidth="1"/>
    <col min="2" max="2" width="31.81640625" customWidth="1"/>
  </cols>
  <sheetData>
    <row r="1" spans="1:2" x14ac:dyDescent="0.35">
      <c r="A1" s="1" t="s">
        <v>0</v>
      </c>
    </row>
    <row r="3" spans="1:2" x14ac:dyDescent="0.35">
      <c r="A3" s="1" t="s">
        <v>1</v>
      </c>
      <c r="B3" s="2" t="s">
        <v>2</v>
      </c>
    </row>
    <row r="4" spans="1:2" x14ac:dyDescent="0.35">
      <c r="B4" t="s">
        <v>3</v>
      </c>
    </row>
    <row r="5" spans="1:2" x14ac:dyDescent="0.35">
      <c r="B5" s="3" t="s">
        <v>4</v>
      </c>
    </row>
    <row r="6" spans="1:2" x14ac:dyDescent="0.35">
      <c r="B6" s="4" t="s">
        <v>5</v>
      </c>
    </row>
    <row r="8" spans="1:2" x14ac:dyDescent="0.35">
      <c r="B8" t="s">
        <v>6</v>
      </c>
    </row>
    <row r="9" spans="1:2" x14ac:dyDescent="0.35">
      <c r="B9" t="s">
        <v>7</v>
      </c>
    </row>
    <row r="10" spans="1:2" x14ac:dyDescent="0.35">
      <c r="B10" s="4" t="s">
        <v>8</v>
      </c>
    </row>
    <row r="16" spans="1:2" x14ac:dyDescent="0.35">
      <c r="A16" s="1" t="s">
        <v>9</v>
      </c>
    </row>
    <row r="17" spans="1:1" x14ac:dyDescent="0.35">
      <c r="A17" t="s">
        <v>10</v>
      </c>
    </row>
  </sheetData>
  <hyperlinks>
    <hyperlink ref="B6" r:id="rId1" xr:uid="{D043E612-CE4A-44D3-85F0-DC911DB74736}"/>
    <hyperlink ref="B10" r:id="rId2" xr:uid="{46587434-431E-4ED7-94DC-C87CDFD9B80D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3388B-37EB-4A2B-9BBE-B542C0E447C8}">
  <dimension ref="A1:AG3"/>
  <sheetViews>
    <sheetView workbookViewId="0">
      <selection activeCell="G11" sqref="G11"/>
    </sheetView>
  </sheetViews>
  <sheetFormatPr defaultRowHeight="14.5" x14ac:dyDescent="0.35"/>
  <cols>
    <col min="1" max="1" width="21.81640625" customWidth="1"/>
    <col min="4" max="4" width="15.26953125" bestFit="1" customWidth="1"/>
    <col min="6" max="6" width="9.26953125" bestFit="1" customWidth="1"/>
    <col min="13" max="13" width="34.1796875" bestFit="1" customWidth="1"/>
  </cols>
  <sheetData>
    <row r="1" spans="1:33" x14ac:dyDescent="0.35">
      <c r="A1" t="s">
        <v>11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35">
      <c r="A2" s="1" t="s">
        <v>12</v>
      </c>
      <c r="B2">
        <v>5500</v>
      </c>
      <c r="C2">
        <v>5500</v>
      </c>
      <c r="D2">
        <f>(($F$2-$C$2)/3)+C2</f>
        <v>6289.333333333333</v>
      </c>
      <c r="E2">
        <f>(($F$2-$C$2)/3)+D2</f>
        <v>7078.6666666666661</v>
      </c>
      <c r="F2">
        <v>7868</v>
      </c>
      <c r="G2">
        <v>8000</v>
      </c>
      <c r="H2">
        <v>8000</v>
      </c>
      <c r="I2">
        <v>8000</v>
      </c>
      <c r="J2">
        <v>8000</v>
      </c>
      <c r="K2">
        <v>8000</v>
      </c>
      <c r="L2">
        <v>8000</v>
      </c>
      <c r="M2">
        <v>10000</v>
      </c>
      <c r="N2">
        <v>8000</v>
      </c>
      <c r="O2">
        <v>8000</v>
      </c>
      <c r="P2">
        <v>8000</v>
      </c>
      <c r="Q2">
        <v>8000</v>
      </c>
      <c r="R2">
        <v>8000</v>
      </c>
      <c r="S2">
        <v>8000</v>
      </c>
      <c r="T2">
        <v>8000</v>
      </c>
      <c r="U2">
        <v>8000</v>
      </c>
      <c r="V2">
        <v>8000</v>
      </c>
      <c r="W2">
        <v>8000</v>
      </c>
      <c r="X2">
        <v>8000</v>
      </c>
      <c r="Y2">
        <v>8000</v>
      </c>
      <c r="Z2">
        <v>8000</v>
      </c>
      <c r="AA2">
        <v>8000</v>
      </c>
      <c r="AB2">
        <v>8000</v>
      </c>
      <c r="AC2">
        <v>8000</v>
      </c>
      <c r="AD2">
        <v>8000</v>
      </c>
      <c r="AE2">
        <v>8000</v>
      </c>
      <c r="AF2">
        <v>8000</v>
      </c>
      <c r="AG2">
        <v>8000</v>
      </c>
    </row>
    <row r="3" spans="1:33" x14ac:dyDescent="0.35">
      <c r="B3" t="s">
        <v>3</v>
      </c>
      <c r="C3" t="s">
        <v>3</v>
      </c>
      <c r="F3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G2"/>
  <sheetViews>
    <sheetView tabSelected="1" workbookViewId="0">
      <selection activeCell="C11" sqref="C11"/>
    </sheetView>
  </sheetViews>
  <sheetFormatPr defaultRowHeight="14.5" x14ac:dyDescent="0.35"/>
  <cols>
    <col min="1" max="1" width="21" customWidth="1"/>
  </cols>
  <sheetData>
    <row r="1" spans="1:33" x14ac:dyDescent="0.35">
      <c r="A1" t="s">
        <v>11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35">
      <c r="A2" s="1" t="s">
        <v>12</v>
      </c>
      <c r="B2">
        <f>Calculations!B2</f>
        <v>5500</v>
      </c>
      <c r="C2">
        <f>Calculations!C2</f>
        <v>5500</v>
      </c>
      <c r="D2">
        <f>Calculations!D2</f>
        <v>6289.333333333333</v>
      </c>
      <c r="E2">
        <f>Calculations!E2</f>
        <v>7078.6666666666661</v>
      </c>
      <c r="F2">
        <f>Calculations!F2</f>
        <v>7868</v>
      </c>
      <c r="G2">
        <f>Calculations!G2</f>
        <v>8000</v>
      </c>
      <c r="H2">
        <f>Calculations!H2</f>
        <v>8000</v>
      </c>
      <c r="I2">
        <f>Calculations!I2</f>
        <v>8000</v>
      </c>
      <c r="J2">
        <f>Calculations!J2</f>
        <v>8000</v>
      </c>
      <c r="K2">
        <f>Calculations!K2</f>
        <v>8000</v>
      </c>
      <c r="L2">
        <f>Calculations!L2</f>
        <v>8000</v>
      </c>
      <c r="M2">
        <f>Calculations!M2</f>
        <v>10000</v>
      </c>
      <c r="N2">
        <f>Calculations!N2</f>
        <v>8000</v>
      </c>
      <c r="O2">
        <f>Calculations!O2</f>
        <v>8000</v>
      </c>
      <c r="P2">
        <f>Calculations!P2</f>
        <v>8000</v>
      </c>
      <c r="Q2">
        <f>Calculations!Q2</f>
        <v>8000</v>
      </c>
      <c r="R2">
        <f>Calculations!R2</f>
        <v>8000</v>
      </c>
      <c r="S2">
        <f>Calculations!S2</f>
        <v>8000</v>
      </c>
      <c r="T2">
        <f>Calculations!T2</f>
        <v>8000</v>
      </c>
      <c r="U2">
        <f>Calculations!U2</f>
        <v>8000</v>
      </c>
      <c r="V2">
        <f>Calculations!V2</f>
        <v>8000</v>
      </c>
      <c r="W2">
        <f>Calculations!W2</f>
        <v>8000</v>
      </c>
      <c r="X2">
        <f>Calculations!X2</f>
        <v>8000</v>
      </c>
      <c r="Y2">
        <f>Calculations!Y2</f>
        <v>8000</v>
      </c>
      <c r="Z2">
        <f>Calculations!Z2</f>
        <v>8000</v>
      </c>
      <c r="AA2">
        <f>Calculations!AA2</f>
        <v>8000</v>
      </c>
      <c r="AB2">
        <f>Calculations!AB2</f>
        <v>8000</v>
      </c>
      <c r="AC2">
        <f>Calculations!AC2</f>
        <v>8000</v>
      </c>
      <c r="AD2">
        <f>Calculations!AD2</f>
        <v>8000</v>
      </c>
      <c r="AE2">
        <f>Calculations!AE2</f>
        <v>8000</v>
      </c>
      <c r="AF2">
        <f>Calculations!AF2</f>
        <v>8000</v>
      </c>
      <c r="AG2">
        <f>Calculations!AG2</f>
        <v>8000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2CCF61-C7C0-4632-80B9-B14B1D30FF6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5DF1675-97ED-4433-A240-6D3AB0CE29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1A4963-D071-46F3-B44F-9B3FE2FCA2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Calculations</vt:lpstr>
      <vt:lpstr>BNoGP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Mary Francis Swint</cp:lastModifiedBy>
  <cp:revision/>
  <dcterms:created xsi:type="dcterms:W3CDTF">2019-06-04T20:20:37Z</dcterms:created>
  <dcterms:modified xsi:type="dcterms:W3CDTF">2025-04-15T18:56:49Z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