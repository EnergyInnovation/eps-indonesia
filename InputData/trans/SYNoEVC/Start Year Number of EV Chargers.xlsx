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8"/>
  <workbookPr/>
  <mc:AlternateContent xmlns:mc="http://schemas.openxmlformats.org/markup-compatibility/2006">
    <mc:Choice Requires="x15">
      <x15ac:absPath xmlns:x15ac="http://schemas.microsoft.com/office/spreadsheetml/2010/11/ac" url="C:\Users\mmahajan\Documents\eps-us\InputData\trans\SYNoEVC\"/>
    </mc:Choice>
  </mc:AlternateContent>
  <xr:revisionPtr revIDLastSave="11" documentId="13_ncr:1_{6F02A167-1F89-4FD5-AE13-9CC7B683C773}" xr6:coauthVersionLast="47" xr6:coauthVersionMax="47" xr10:uidLastSave="{9FE7BB3E-B26F-4B1B-A0D5-85087FE7C1B4}"/>
  <bookViews>
    <workbookView xWindow="-28920" yWindow="-120" windowWidth="29040" windowHeight="17640" firstSheet="1" activeTab="2" xr2:uid="{00000000-000D-0000-FFFF-FFFF00000000}"/>
  </bookViews>
  <sheets>
    <sheet name="About" sheetId="1" r:id="rId1"/>
    <sheet name="Calculations" sheetId="4" r:id="rId2"/>
    <sheet name="SYNoEVC" sheetId="3" r:id="rId3"/>
  </sheets>
  <definedNames>
    <definedName name="income">Calculations!#REF!</definedName>
    <definedName name="Range_EV">Calculations!#REF!</definedName>
    <definedName name="range_ICE">Calculations!#REF!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4" l="1"/>
  <c r="O2" i="4" s="1"/>
  <c r="P2" i="4" s="1"/>
  <c r="Q2" i="4" s="1"/>
  <c r="R2" i="4" s="1"/>
  <c r="S2" i="4" s="1"/>
  <c r="T2" i="4" s="1"/>
  <c r="U2" i="4" s="1"/>
  <c r="V2" i="4" s="1"/>
  <c r="W2" i="4" s="1"/>
  <c r="H2" i="4"/>
  <c r="I2" i="4" s="1"/>
  <c r="J2" i="4" s="1"/>
  <c r="K2" i="4" s="1"/>
  <c r="L2" i="4" s="1"/>
  <c r="E2" i="4"/>
  <c r="B2" i="3"/>
  <c r="AG2" i="4" l="1"/>
  <c r="AF2" i="4"/>
  <c r="AE2" i="4"/>
  <c r="AD2" i="4"/>
  <c r="AC2" i="4"/>
  <c r="AB2" i="4"/>
  <c r="AA2" i="4"/>
  <c r="Z2" i="4"/>
  <c r="Y2" i="4"/>
  <c r="X2" i="4"/>
</calcChain>
</file>

<file path=xl/sharedStrings.xml><?xml version="1.0" encoding="utf-8"?>
<sst xmlns="http://schemas.openxmlformats.org/spreadsheetml/2006/main" count="35" uniqueCount="32">
  <si>
    <t>BNoEVC BAU Number of EV Chargers</t>
  </si>
  <si>
    <t>Source: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</si>
  <si>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</si>
  <si>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</si>
  <si>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</si>
  <si>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</si>
  <si>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EVSE Ports</t>
  </si>
  <si>
    <t>Statista</t>
  </si>
  <si>
    <t>Number of electric vehicle charging stations in Indonesia as of April 2024, by region</t>
  </si>
  <si>
    <t>https://www.statista.com/statistics/1461434/indonesia-number-of-ev-charging-stations-by-region/</t>
  </si>
  <si>
    <t>Seva Indonseisa</t>
  </si>
  <si>
    <t>Electric Vehicles Are Increasingly Popular, How Many SPKLUs Are There in Indonesia?</t>
  </si>
  <si>
    <t>https://www.seva.id/blog/kendaraan-listrik-makin-marak-berapa-jumlah-spklu-di-indonesia-052023-bu</t>
  </si>
  <si>
    <t>ICCT</t>
  </si>
  <si>
    <t>Charging Indonesia’s vehicle transition: Infrastructure needs for electric passenger cars in 2030</t>
  </si>
  <si>
    <t>https://theicct.org/wp-content/uploads/2024/02/ID-88-%E2%80%93-Indonesia-charging_final2.pdf</t>
  </si>
  <si>
    <t>Notes</t>
  </si>
  <si>
    <t>Currency Conversion</t>
  </si>
  <si>
    <t>2019 to 2012 USD</t>
  </si>
  <si>
    <t>2021 to 2012 USD</t>
  </si>
  <si>
    <t>2022 to 2012 USD</t>
  </si>
  <si>
    <t>We assume that prior to the IIJA or IRA, the number of EV ports would slowly grow with time to equal the number of gas pumps by 2050.</t>
  </si>
  <si>
    <t xml:space="preserve">We adjust our calculations by an estimated number of public charger additions from both the Infrastructure Investment and Jobs Act </t>
  </si>
  <si>
    <t>and the Inflation Reduction Act (see tabs for methodology).</t>
  </si>
  <si>
    <t>Year</t>
  </si>
  <si>
    <t>Number of pumps</t>
  </si>
  <si>
    <t>source</t>
  </si>
  <si>
    <t>^need data</t>
  </si>
  <si>
    <t>^ need data</t>
  </si>
  <si>
    <t>Seva, PLN</t>
  </si>
  <si>
    <t>Number of chargers</t>
  </si>
  <si>
    <t>BAU EV Chargers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</si>
</sst>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/>
  </cellStyleXfs>
  <cellXfs count="11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right"/>
    </xf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5" fillId="0" borderId="0" xfId="2" applyFont="1"/>
    <xf numFmtId="0" fontId="5" fillId="0" borderId="0" xfId="2" applyFont="1" applyAlignment="1">
      <alignment horizontal="right"/>
    </xf>
    <xf numFmtId="0" fontId="4" fillId="0" borderId="0" xfId="2" applyFont="1"/>
    <xf numFmtId="3" fontId="0" fillId="0" borderId="0" xfId="0" applyNumberForma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heicct.org/wp-content/uploads/2024/02/ID-88-%E2%80%93-Indonesia-charging_final2.pdf" TargetMode="External"/><Relationship Id="rId2" Type="http://schemas.openxmlformats.org/officeDocument/2006/relationships/hyperlink" Target="https://www.seva.id/blog/kendaraan-listrik-makin-marak-berapa-jumlah-spklu-di-indonesia-052023-bu" TargetMode="External"/><Relationship Id="rId1" Type="http://schemas.openxmlformats.org/officeDocument/2006/relationships/hyperlink" Target="https://www.statista.com/statistics/1461434/indonesia-number-of-ev-charging-stations-by-region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workbookViewId="0">
      <selection activeCell="A22" sqref="A22"/>
    </sheetView>
  </sheetViews>
  <sheetFormatPr defaultRowHeight="15"/>
  <cols>
    <col min="1" max="1" width="16.5703125" customWidth="1"/>
    <col min="2" max="2" width="31.85546875" customWidth="1"/>
    <col min="11" max="11" width="36.5703125" bestFit="1" customWidth="1"/>
  </cols>
  <sheetData>
    <row r="1" spans="1:2">
      <c r="A1" s="1" t="s">
        <v>0</v>
      </c>
    </row>
    <row r="3" spans="1:2">
      <c r="A3" s="1" t="s">
        <v>1</v>
      </c>
      <c r="B3" s="4" t="s">
        <v>2</v>
      </c>
    </row>
    <row r="4" spans="1:2">
      <c r="B4" t="s">
        <v>3</v>
      </c>
    </row>
    <row r="5" spans="1:2">
      <c r="B5" s="5">
        <v>2018</v>
      </c>
    </row>
    <row r="6" spans="1:2">
      <c r="B6" t="s">
        <v>4</v>
      </c>
    </row>
    <row r="7" spans="1:2">
      <c r="B7" t="s">
        <v>5</v>
      </c>
    </row>
    <row r="9" spans="1:2">
      <c r="B9" s="4" t="s">
        <v>6</v>
      </c>
    </row>
    <row r="10" spans="1:2">
      <c r="B10" t="s">
        <v>7</v>
      </c>
    </row>
    <row r="11" spans="1:2">
      <c r="B11" s="5">
        <v>2024</v>
      </c>
    </row>
    <row r="12" spans="1:2">
      <c r="B12" t="s">
        <v>8</v>
      </c>
    </row>
    <row r="13" spans="1:2">
      <c r="B13" s="6" t="s">
        <v>9</v>
      </c>
    </row>
    <row r="15" spans="1:2">
      <c r="B15" t="s">
        <v>10</v>
      </c>
    </row>
    <row r="16" spans="1:2">
      <c r="B16" t="s">
        <v>11</v>
      </c>
    </row>
    <row r="17" spans="1:2">
      <c r="B17" s="6" t="s">
        <v>12</v>
      </c>
    </row>
    <row r="19" spans="1:2">
      <c r="B19" t="s">
        <v>13</v>
      </c>
    </row>
    <row r="20" spans="1:2">
      <c r="B20" t="s">
        <v>14</v>
      </c>
    </row>
    <row r="21" spans="1:2">
      <c r="B21" s="6" t="s">
        <v>15</v>
      </c>
    </row>
    <row r="25" spans="1:2">
      <c r="A25" s="1" t="s">
        <v>16</v>
      </c>
    </row>
    <row r="26" spans="1:2">
      <c r="A26" t="s">
        <v>17</v>
      </c>
      <c r="B26">
        <v>0.89805481563188172</v>
      </c>
    </row>
    <row r="27" spans="1:2">
      <c r="A27" t="s">
        <v>18</v>
      </c>
      <c r="B27">
        <v>0.84730412960844359</v>
      </c>
    </row>
    <row r="28" spans="1:2">
      <c r="A28" t="s">
        <v>19</v>
      </c>
      <c r="B28" s="8">
        <v>0.78500000000000003</v>
      </c>
    </row>
    <row r="29" spans="1:2">
      <c r="A29" s="7" t="s">
        <v>20</v>
      </c>
      <c r="B29" s="8"/>
    </row>
    <row r="30" spans="1:2">
      <c r="A30" s="9"/>
    </row>
    <row r="31" spans="1:2">
      <c r="A31" t="s">
        <v>21</v>
      </c>
    </row>
    <row r="32" spans="1:2">
      <c r="A32" t="s">
        <v>22</v>
      </c>
    </row>
    <row r="33" spans="1:1">
      <c r="A33" t="s">
        <v>23</v>
      </c>
    </row>
  </sheetData>
  <hyperlinks>
    <hyperlink ref="B13" r:id="rId1" xr:uid="{299D56D6-4653-42BB-BB22-FAE91F989960}"/>
    <hyperlink ref="B17" r:id="rId2" xr:uid="{C89E1C88-1D7E-4A36-869C-4FE8E5C90917}"/>
    <hyperlink ref="B21" r:id="rId3" xr:uid="{6057FE29-49DB-4B0B-B25E-11D197F4F149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AG10"/>
  <sheetViews>
    <sheetView workbookViewId="0">
      <selection sqref="A1:AG3"/>
    </sheetView>
  </sheetViews>
  <sheetFormatPr defaultRowHeight="15"/>
  <cols>
    <col min="1" max="1" width="45.140625" customWidth="1"/>
    <col min="2" max="2" width="26.42578125" customWidth="1"/>
    <col min="3" max="4" width="12" bestFit="1" customWidth="1"/>
  </cols>
  <sheetData>
    <row r="1" spans="1:33">
      <c r="A1" t="s">
        <v>24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>
      <c r="A2" t="s">
        <v>25</v>
      </c>
      <c r="B2">
        <v>0</v>
      </c>
      <c r="C2">
        <v>50</v>
      </c>
      <c r="D2">
        <v>267</v>
      </c>
      <c r="E2">
        <f>ROUND(AVERAGE(D2,F2),0)</f>
        <v>413</v>
      </c>
      <c r="F2">
        <v>558</v>
      </c>
      <c r="G2">
        <v>966</v>
      </c>
      <c r="H2">
        <f>(($M$2-$G$2)/6)+G2</f>
        <v>6114.833333333333</v>
      </c>
      <c r="I2">
        <f t="shared" ref="I2:L2" si="0">(($M$2-$G$2)/6)+H2</f>
        <v>11263.666666666666</v>
      </c>
      <c r="J2">
        <f t="shared" si="0"/>
        <v>16412.5</v>
      </c>
      <c r="K2">
        <f t="shared" si="0"/>
        <v>21561.333333333332</v>
      </c>
      <c r="L2">
        <f t="shared" si="0"/>
        <v>26710.166666666664</v>
      </c>
      <c r="M2" s="10">
        <v>31859</v>
      </c>
      <c r="N2">
        <f>M2*1.05</f>
        <v>33451.950000000004</v>
      </c>
      <c r="O2">
        <f t="shared" ref="O2:W2" si="1">N2*1.05</f>
        <v>35124.547500000008</v>
      </c>
      <c r="P2">
        <f t="shared" si="1"/>
        <v>36880.77487500001</v>
      </c>
      <c r="Q2">
        <f t="shared" si="1"/>
        <v>38724.813618750013</v>
      </c>
      <c r="R2">
        <f t="shared" si="1"/>
        <v>40661.054299687516</v>
      </c>
      <c r="S2">
        <f t="shared" si="1"/>
        <v>42694.107014671892</v>
      </c>
      <c r="T2">
        <f t="shared" si="1"/>
        <v>44828.812365405487</v>
      </c>
      <c r="U2">
        <f t="shared" si="1"/>
        <v>47070.25298367576</v>
      </c>
      <c r="V2">
        <f t="shared" si="1"/>
        <v>49423.765632859548</v>
      </c>
      <c r="W2">
        <f t="shared" si="1"/>
        <v>51894.953914502526</v>
      </c>
      <c r="X2">
        <f>$W$2</f>
        <v>51894.953914502526</v>
      </c>
      <c r="Y2">
        <f t="shared" ref="Y2:AG2" si="2">$W$2</f>
        <v>51894.953914502526</v>
      </c>
      <c r="Z2">
        <f t="shared" si="2"/>
        <v>51894.953914502526</v>
      </c>
      <c r="AA2">
        <f t="shared" si="2"/>
        <v>51894.953914502526</v>
      </c>
      <c r="AB2">
        <f t="shared" si="2"/>
        <v>51894.953914502526</v>
      </c>
      <c r="AC2">
        <f t="shared" si="2"/>
        <v>51894.953914502526</v>
      </c>
      <c r="AD2">
        <f t="shared" si="2"/>
        <v>51894.953914502526</v>
      </c>
      <c r="AE2">
        <f t="shared" si="2"/>
        <v>51894.953914502526</v>
      </c>
      <c r="AF2">
        <f t="shared" si="2"/>
        <v>51894.953914502526</v>
      </c>
      <c r="AG2">
        <f t="shared" si="2"/>
        <v>51894.953914502526</v>
      </c>
    </row>
    <row r="3" spans="1:33">
      <c r="A3" t="s">
        <v>26</v>
      </c>
      <c r="B3" t="s">
        <v>27</v>
      </c>
      <c r="C3" t="s">
        <v>28</v>
      </c>
      <c r="D3" t="s">
        <v>29</v>
      </c>
      <c r="F3" t="s">
        <v>13</v>
      </c>
      <c r="G3" t="s">
        <v>7</v>
      </c>
      <c r="M3" t="s">
        <v>13</v>
      </c>
    </row>
    <row r="9" spans="1:33">
      <c r="E9" s="2"/>
      <c r="F9" s="2"/>
      <c r="G9" s="2"/>
      <c r="H9" s="2"/>
    </row>
    <row r="10" spans="1:33">
      <c r="E10" s="2"/>
      <c r="F10" s="2"/>
      <c r="G10" s="2"/>
      <c r="H10" s="2"/>
      <c r="I10" s="2"/>
      <c r="J10" s="2"/>
      <c r="K10" s="2"/>
      <c r="L10" s="2"/>
      <c r="M10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F2"/>
  <sheetViews>
    <sheetView tabSelected="1" workbookViewId="0">
      <selection activeCell="I5" sqref="I5"/>
    </sheetView>
  </sheetViews>
  <sheetFormatPr defaultRowHeight="15"/>
  <cols>
    <col min="1" max="1" width="21" customWidth="1"/>
  </cols>
  <sheetData>
    <row r="1" spans="1:32">
      <c r="A1" t="s">
        <v>30</v>
      </c>
      <c r="B1">
        <v>2019</v>
      </c>
      <c r="C1" s="3"/>
      <c r="E1" s="3"/>
      <c r="G1" s="3"/>
      <c r="I1" s="3"/>
      <c r="K1" s="3"/>
      <c r="M1" s="3"/>
      <c r="O1" s="3"/>
      <c r="Q1" s="3"/>
      <c r="S1" s="3"/>
      <c r="U1" s="3"/>
      <c r="W1" s="3"/>
      <c r="Y1" s="3"/>
      <c r="AA1" s="3"/>
      <c r="AC1" s="3"/>
      <c r="AE1" s="3"/>
    </row>
    <row r="2" spans="1:32">
      <c r="A2" s="1" t="s">
        <v>31</v>
      </c>
      <c r="B2" s="2">
        <f>Calculations!B8</f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40E0AF-13F7-40E5-85AA-358C656774C0}"/>
</file>

<file path=customXml/itemProps2.xml><?xml version="1.0" encoding="utf-8"?>
<ds:datastoreItem xmlns:ds="http://schemas.openxmlformats.org/officeDocument/2006/customXml" ds:itemID="{60CB8E5A-B490-42DF-92C1-92C0A1C8F235}"/>
</file>

<file path=customXml/itemProps3.xml><?xml version="1.0" encoding="utf-8"?>
<ds:datastoreItem xmlns:ds="http://schemas.openxmlformats.org/officeDocument/2006/customXml" ds:itemID="{F9CABE58-50E9-4ACC-99B7-1589BB4EB4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2019-06-04T20:20:37Z</dcterms:created>
  <dcterms:modified xsi:type="dcterms:W3CDTF">2025-02-04T16:48:44Z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