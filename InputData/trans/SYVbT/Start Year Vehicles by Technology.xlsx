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7"/>
  <workbookPr/>
  <mc:AlternateContent xmlns:mc="http://schemas.openxmlformats.org/markup-compatibility/2006">
    <mc:Choice Requires="x15">
      <x15ac:absPath xmlns:x15ac="http://schemas.microsoft.com/office/spreadsheetml/2010/11/ac" url="/Users/ssy02/Desktop/Postdoc Projects/eps-indonesia-cpl/InputData/trans/SYVbT/"/>
    </mc:Choice>
  </mc:AlternateContent>
  <xr:revisionPtr revIDLastSave="0" documentId="13_ncr:1_{425C12B8-F667-274A-833C-90F97E854D7B}" xr6:coauthVersionLast="47" xr6:coauthVersionMax="47" xr10:uidLastSave="{00000000-0000-0000-0000-000000000000}"/>
  <bookViews>
    <workbookView xWindow="0" yWindow="780" windowWidth="34200" windowHeight="21360" activeTab="7" xr2:uid="{00000000-000D-0000-FFFF-FFFF00000000}"/>
  </bookViews>
  <sheets>
    <sheet name="About" sheetId="1" r:id="rId1"/>
    <sheet name="BPS LTS 2019" sheetId="2" r:id="rId2"/>
    <sheet name="KCI Annual Report 2018" sheetId="3" r:id="rId3"/>
    <sheet name="Transjakarta Statistics" sheetId="4" r:id="rId4"/>
    <sheet name="EV" sheetId="5" r:id="rId5"/>
    <sheet name="BUKU IT 2019 &amp; Statistik Transp" sheetId="6" r:id="rId6"/>
    <sheet name="SYVbT-passenger" sheetId="7" r:id="rId7"/>
    <sheet name="SYVbT-freight" sheetId="8" r:id="rId8"/>
    <sheet name="AEO 7" sheetId="9" r:id="rId9"/>
    <sheet name="AEO 37" sheetId="10" r:id="rId10"/>
    <sheet name="AEO 40" sheetId="11" r:id="rId11"/>
    <sheet name="AEO 46" sheetId="12" r:id="rId12"/>
    <sheet name="AEO 49" sheetId="13" r:id="rId13"/>
    <sheet name="AEO 50" sheetId="14" r:id="rId14"/>
    <sheet name="NTS 1-11" sheetId="15" r:id="rId15"/>
    <sheet name="NRBS 40" sheetId="16" r:id="rId16"/>
    <sheet name="FRA" sheetId="17" r:id="rId17"/>
    <sheet name="Misc" sheetId="18" r:id="rId18"/>
  </sheets>
  <definedNames>
    <definedName name="Eno_TM">#REF!</definedName>
    <definedName name="Eno_Tons">#REF!</definedName>
    <definedName name="Sum_T2">#REF!</definedName>
    <definedName name="Sum_TTM">#REF!</definedName>
    <definedName name="ti_tbl_50">#REF!</definedName>
    <definedName name="ti_tbl_69">#REF!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22" roundtripDataChecksum="J05EDqkdLxVTZNy8Qe49tMpuEzV4+vuY4zFC5QUpDP0="/>
    </ext>
  </extLst>
</workbook>
</file>

<file path=xl/calcChain.xml><?xml version="1.0" encoding="utf-8"?>
<calcChain xmlns="http://schemas.openxmlformats.org/spreadsheetml/2006/main">
  <c r="A9" i="18" l="1" a="1"/>
  <c r="A9" i="18" s="1"/>
  <c r="A8" i="18" a="1"/>
  <c r="A8" i="18"/>
  <c r="A5" i="18"/>
  <c r="A6" i="18" s="1"/>
  <c r="AJ34" i="15"/>
  <c r="AJ33" i="15"/>
  <c r="AJ32" i="15"/>
  <c r="AJ31" i="15"/>
  <c r="AJ29" i="15"/>
  <c r="AJ28" i="15"/>
  <c r="AJ25" i="15"/>
  <c r="AJ24" i="15"/>
  <c r="AJ22" i="15"/>
  <c r="AJ21" i="15"/>
  <c r="AJ20" i="15"/>
  <c r="AJ19" i="15"/>
  <c r="AJ18" i="15"/>
  <c r="AJ17" i="15"/>
  <c r="AJ16" i="15"/>
  <c r="AI14" i="15"/>
  <c r="AJ14" i="15" s="1"/>
  <c r="AJ4" i="15" a="1"/>
  <c r="AJ4" i="15"/>
  <c r="E3" i="8"/>
  <c r="D7" i="7"/>
  <c r="B7" i="7"/>
  <c r="E6" i="7"/>
  <c r="B5" i="7"/>
  <c r="D4" i="7"/>
  <c r="E3" i="7"/>
  <c r="D2" i="7"/>
  <c r="B2" i="7"/>
  <c r="J275" i="6"/>
  <c r="I275" i="6"/>
  <c r="H275" i="6"/>
  <c r="G275" i="6"/>
  <c r="F275" i="6"/>
  <c r="E275" i="6"/>
  <c r="J267" i="6"/>
  <c r="I267" i="6"/>
  <c r="H267" i="6"/>
  <c r="G267" i="6"/>
  <c r="F267" i="6"/>
  <c r="E267" i="6"/>
  <c r="J260" i="6"/>
  <c r="I260" i="6"/>
  <c r="H260" i="6"/>
  <c r="G260" i="6"/>
  <c r="F260" i="6"/>
  <c r="E260" i="6"/>
  <c r="J253" i="6"/>
  <c r="E5" i="7" s="1"/>
  <c r="I253" i="6"/>
  <c r="H253" i="6"/>
  <c r="G253" i="6"/>
  <c r="F253" i="6"/>
  <c r="E253" i="6"/>
  <c r="J246" i="6"/>
  <c r="I246" i="6"/>
  <c r="H246" i="6"/>
  <c r="G246" i="6"/>
  <c r="F246" i="6"/>
  <c r="E246" i="6"/>
  <c r="J239" i="6"/>
  <c r="I239" i="6"/>
  <c r="H239" i="6"/>
  <c r="G239" i="6"/>
  <c r="F239" i="6"/>
  <c r="E239" i="6"/>
  <c r="J232" i="6"/>
  <c r="I232" i="6"/>
  <c r="H232" i="6"/>
  <c r="G232" i="6"/>
  <c r="F232" i="6"/>
  <c r="E232" i="6"/>
  <c r="J225" i="6"/>
  <c r="I225" i="6"/>
  <c r="H225" i="6"/>
  <c r="G225" i="6"/>
  <c r="F225" i="6"/>
  <c r="E225" i="6"/>
  <c r="J213" i="6"/>
  <c r="I213" i="6"/>
  <c r="H213" i="6"/>
  <c r="G213" i="6"/>
  <c r="F213" i="6"/>
  <c r="E213" i="6"/>
  <c r="J208" i="6"/>
  <c r="I208" i="6"/>
  <c r="H208" i="6"/>
  <c r="G208" i="6"/>
  <c r="F208" i="6"/>
  <c r="E208" i="6"/>
  <c r="J198" i="6"/>
  <c r="I198" i="6"/>
  <c r="H198" i="6"/>
  <c r="G198" i="6"/>
  <c r="F198" i="6"/>
  <c r="E198" i="6"/>
  <c r="K188" i="6"/>
  <c r="I174" i="6"/>
  <c r="H174" i="6"/>
  <c r="G174" i="6"/>
  <c r="F174" i="6"/>
  <c r="E174" i="6"/>
  <c r="D174" i="6"/>
  <c r="I162" i="6"/>
  <c r="H162" i="6"/>
  <c r="G162" i="6"/>
  <c r="F162" i="6"/>
  <c r="E162" i="6"/>
  <c r="J149" i="6"/>
  <c r="I149" i="6"/>
  <c r="H149" i="6"/>
  <c r="G149" i="6"/>
  <c r="F149" i="6"/>
  <c r="E149" i="6"/>
  <c r="I127" i="6"/>
  <c r="H127" i="6"/>
  <c r="G127" i="6"/>
  <c r="F127" i="6"/>
  <c r="E127" i="6"/>
  <c r="J116" i="6"/>
  <c r="I116" i="6"/>
  <c r="H116" i="6"/>
  <c r="G116" i="6"/>
  <c r="F116" i="6"/>
  <c r="E116" i="6"/>
  <c r="M105" i="6"/>
  <c r="M104" i="6"/>
  <c r="J96" i="6"/>
  <c r="I96" i="6"/>
  <c r="H96" i="6"/>
  <c r="G96" i="6"/>
  <c r="F96" i="6"/>
  <c r="E96" i="6"/>
  <c r="M88" i="6"/>
  <c r="M87" i="6"/>
  <c r="J79" i="6"/>
  <c r="I79" i="6"/>
  <c r="H79" i="6"/>
  <c r="G79" i="6"/>
  <c r="F79" i="6"/>
  <c r="E79" i="6"/>
  <c r="J62" i="6"/>
  <c r="E6" i="8" s="1"/>
  <c r="I62" i="6"/>
  <c r="H62" i="6"/>
  <c r="G62" i="6"/>
  <c r="F62" i="6"/>
  <c r="E62" i="6"/>
  <c r="M38" i="6"/>
  <c r="M37" i="6"/>
  <c r="M22" i="6"/>
  <c r="E14" i="6"/>
  <c r="E13" i="6"/>
  <c r="E12" i="6"/>
  <c r="E11" i="6"/>
  <c r="E10" i="6"/>
  <c r="E9" i="6"/>
  <c r="F15" i="4"/>
  <c r="E15" i="4"/>
  <c r="D15" i="4"/>
  <c r="C15" i="4"/>
  <c r="F8" i="2"/>
  <c r="E8" i="2"/>
  <c r="D8" i="2"/>
  <c r="C8" i="2"/>
  <c r="B8" i="2"/>
</calcChain>
</file>

<file path=xl/sharedStrings.xml><?xml version="1.0" encoding="utf-8"?>
<sst xmlns="http://schemas.openxmlformats.org/spreadsheetml/2006/main" count="2504" uniqueCount="1306">
  <si>
    <t>SYVbT Start Year Vehicles by Technology</t>
  </si>
  <si>
    <t>Sources:</t>
  </si>
  <si>
    <t>LDVs, HDVs, Motorbikes</t>
  </si>
  <si>
    <t>BPS (Statistics Indonesia)</t>
  </si>
  <si>
    <t>Land Transportation Statistics 2019</t>
  </si>
  <si>
    <t>https://www.bps.go.id/publication/2020/11/20/ddce434c92536777bf07605d/statistik-transportasi-darat-2019.html</t>
  </si>
  <si>
    <t>Number of Cars, Buses, Trucks, Motorcycles by Province 2015-2019</t>
  </si>
  <si>
    <t>Table 3.3 and Appendix 8-12</t>
  </si>
  <si>
    <t>Aircraft</t>
  </si>
  <si>
    <t>Air Transportation Statistics 2019</t>
  </si>
  <si>
    <t>https://www.bps.go.id/publication/2020/11/20/231373341461207b51910a4a/statistik-transportasi-udara-2019.html</t>
  </si>
  <si>
    <t>The Number of Civil Aircraft Registered by Air Operator Certificate</t>
  </si>
  <si>
    <t>Table 3.9</t>
  </si>
  <si>
    <t>Ministry of Transportation</t>
  </si>
  <si>
    <t>Transportation Statistics 2019 Book 1</t>
  </si>
  <si>
    <t>http://www.dephub.go.id/public/images/uploads/posts/buku-1-statistik-2019-.pdf</t>
  </si>
  <si>
    <t>Number of aircraft type based on Air Operator Certificate</t>
  </si>
  <si>
    <t>Page 3-63 to 3-76</t>
  </si>
  <si>
    <t>Table A.3.5.03</t>
  </si>
  <si>
    <t>Buses</t>
  </si>
  <si>
    <t>The Number of Inter city coach bus and tour bus</t>
  </si>
  <si>
    <t>Page 5</t>
  </si>
  <si>
    <t>Number of Tour Buses and Number of Intercity Couch Bus</t>
  </si>
  <si>
    <t>Page 1-18 &amp; Page 1-20</t>
  </si>
  <si>
    <t>Table A.1.4.02 &amp; Table A.1.4.04</t>
  </si>
  <si>
    <t>Number of Available-for operation Buses &amp; Trucks of Perum Damri</t>
  </si>
  <si>
    <t>Page 1-22</t>
  </si>
  <si>
    <t>Public Transport in Jabodetabek by Greater Jakarta Transport Authority</t>
  </si>
  <si>
    <t>Page 5-1</t>
  </si>
  <si>
    <t>Table A.5.1.01</t>
  </si>
  <si>
    <t>Ships</t>
  </si>
  <si>
    <t>Number of Ferry Boat</t>
  </si>
  <si>
    <t>Page 1-27</t>
  </si>
  <si>
    <t>Tabel A.1.4.14</t>
  </si>
  <si>
    <t>Number of Ocean Liners Ownership</t>
  </si>
  <si>
    <t>Page 2-1</t>
  </si>
  <si>
    <t>Table A.2.1.01</t>
  </si>
  <si>
    <t>Number of Ocean Liners by Type of Service</t>
  </si>
  <si>
    <t>Page 2-2</t>
  </si>
  <si>
    <t>Table A.2.1.02</t>
  </si>
  <si>
    <t>Number of Ships by State Owned Shipping Agents Enterprises Liners</t>
  </si>
  <si>
    <t>Page 2-3</t>
  </si>
  <si>
    <t>Table A.2.1.03</t>
  </si>
  <si>
    <t xml:space="preserve">Number and Type of Dredging Vessels Funded by Government </t>
  </si>
  <si>
    <t>Page 2-17</t>
  </si>
  <si>
    <t>Table A.2.2.20</t>
  </si>
  <si>
    <t>Number of National Navigation Ships Fleet</t>
  </si>
  <si>
    <t>Page 2-22</t>
  </si>
  <si>
    <t>Table A.2.4.01</t>
  </si>
  <si>
    <t>Number of Coast Guard and Rescue Patrol Boats by Classification</t>
  </si>
  <si>
    <t>Page 2-38</t>
  </si>
  <si>
    <t>Table A.2.5.03</t>
  </si>
  <si>
    <t>Number of Ship and Port Facility Comply ISPS Code</t>
  </si>
  <si>
    <t>Table A.5.05</t>
  </si>
  <si>
    <t>Train</t>
  </si>
  <si>
    <t>Number of Rolling Stocks</t>
  </si>
  <si>
    <t>Page 4-9</t>
  </si>
  <si>
    <t>Table A.4.3.01</t>
  </si>
  <si>
    <t>Electric Vehicles (Motorbike, LDVs, HDVs, Buses)</t>
  </si>
  <si>
    <t>IESR</t>
  </si>
  <si>
    <t>The Role of Electric Vehicles in Decarbonizing Indonesia’s Road Transport Sector</t>
  </si>
  <si>
    <t>https://iesr.or.id/pustaka/the-role-of-electric-vehicles-in-decarbonizing-indonesias-road-transport-sector</t>
  </si>
  <si>
    <t>Indonesian Clean Energy Outlook 2020</t>
  </si>
  <si>
    <r>
      <rPr>
        <u/>
        <sz val="11"/>
        <color rgb="FF1155CC"/>
        <rFont val="Calibri"/>
        <family val="2"/>
      </rPr>
      <t>https://iesr.or.id/pustaka/iceo2020</t>
    </r>
    <r>
      <rPr>
        <sz val="11"/>
        <color theme="1"/>
        <rFont val="Calibri"/>
        <family val="2"/>
      </rPr>
      <t xml:space="preserve"> </t>
    </r>
  </si>
  <si>
    <t>Page 47</t>
  </si>
  <si>
    <t>Commuter Line (Trains)</t>
  </si>
  <si>
    <t>Commuterline Indonesia Annual Report 2019</t>
  </si>
  <si>
    <t>http://www.krl.co.id/wp-content/uploads/2020/10/2020.10.07_KCI_AR2019_All-pages-1.pdf</t>
  </si>
  <si>
    <t>Page 9</t>
  </si>
  <si>
    <t>Notes</t>
  </si>
  <si>
    <t>BPS data only provide the number of motor vehicles by types, does not include fuel technology used</t>
  </si>
  <si>
    <t>Ministry of Transportation data also does not mention fuel technology used, except for trains</t>
  </si>
  <si>
    <t>Start year 2018</t>
  </si>
  <si>
    <t>Perkembangan Jumlah Kendaraan Bermotor Menurut Jenisnya</t>
  </si>
  <si>
    <t>The number of Motor Vehicles by Types</t>
  </si>
  <si>
    <t>Jenis Kendaraan Bermotor</t>
  </si>
  <si>
    <t>Mobil penumpang (passenger car)</t>
  </si>
  <si>
    <t>diesel/gasoline ration unknown</t>
  </si>
  <si>
    <t>Mobil bus (passenger bus)</t>
  </si>
  <si>
    <t>diesel</t>
  </si>
  <si>
    <t>Mobil barang (freight/truck)</t>
  </si>
  <si>
    <t>Sepeda motor (motorcycles)</t>
  </si>
  <si>
    <t>gasoline</t>
  </si>
  <si>
    <t>Jumlah</t>
  </si>
  <si>
    <t>Sumber</t>
  </si>
  <si>
    <t>Kepolisian Republik Indonesia</t>
  </si>
  <si>
    <t>Source</t>
  </si>
  <si>
    <t>Indonesian State Police</t>
  </si>
  <si>
    <t>Jumlah rangkaian yang beroperasi</t>
  </si>
  <si>
    <t>number of trainset operated</t>
  </si>
  <si>
    <t>units</t>
  </si>
  <si>
    <t>(EMU: electric multiple unit)</t>
  </si>
  <si>
    <t>Perkembangan armada bus transjakarta yang beroperasi tahun 2016-2019</t>
  </si>
  <si>
    <t>Number of transjakarta fleets operated 2016-2019</t>
  </si>
  <si>
    <t>Jenis Layanan</t>
  </si>
  <si>
    <t>BRT</t>
  </si>
  <si>
    <t>Mikrotrans</t>
  </si>
  <si>
    <t>Angkutan umum integrasi</t>
  </si>
  <si>
    <t>Transjabodetabek</t>
  </si>
  <si>
    <t>Rusun</t>
  </si>
  <si>
    <t>Royaltrans</t>
  </si>
  <si>
    <t>Bus wisata</t>
  </si>
  <si>
    <t>Angkutan umum lain</t>
  </si>
  <si>
    <t>Transjakarta cares</t>
  </si>
  <si>
    <t>Total</t>
  </si>
  <si>
    <t>Number of Electric Vehicles</t>
  </si>
  <si>
    <t>No</t>
  </si>
  <si>
    <t>Jenis</t>
  </si>
  <si>
    <r>
      <rPr>
        <b/>
        <sz val="11"/>
        <color theme="1"/>
        <rFont val="Calibri"/>
        <family val="2"/>
      </rPr>
      <t xml:space="preserve">Tahun / </t>
    </r>
    <r>
      <rPr>
        <i/>
        <sz val="11"/>
        <color theme="1"/>
        <rFont val="Calibri"/>
        <family val="2"/>
      </rPr>
      <t>year</t>
    </r>
  </si>
  <si>
    <t>Type</t>
  </si>
  <si>
    <t>two-wheelers</t>
  </si>
  <si>
    <t>three-wheelers</t>
  </si>
  <si>
    <t>four-wheelers</t>
  </si>
  <si>
    <t>Bus</t>
  </si>
  <si>
    <t xml:space="preserve"> Transportasi Jalan</t>
  </si>
  <si>
    <t>Land Transportatiom</t>
  </si>
  <si>
    <t xml:space="preserve"> Jumlah Angkutan antar kota antar provinsi (AKAP) dan Pariwisata</t>
  </si>
  <si>
    <r>
      <rPr>
        <b/>
        <sz val="11"/>
        <color theme="1"/>
        <rFont val="Calibri"/>
        <family val="2"/>
      </rPr>
      <t>Tabel</t>
    </r>
    <r>
      <rPr>
        <b/>
        <sz val="11"/>
        <color theme="1"/>
        <rFont val="Calibri"/>
        <family val="2"/>
      </rPr>
      <t xml:space="preserve"> / </t>
    </r>
    <r>
      <rPr>
        <b/>
        <i/>
        <sz val="11"/>
        <color theme="1"/>
        <rFont val="Calibri"/>
        <family val="2"/>
      </rPr>
      <t>Table</t>
    </r>
  </si>
  <si>
    <t>A.1.4.02</t>
  </si>
  <si>
    <t>Page 1-18</t>
  </si>
  <si>
    <t>Tahun</t>
  </si>
  <si>
    <t>AKAP</t>
  </si>
  <si>
    <t>Pariwisata</t>
  </si>
  <si>
    <t>year</t>
  </si>
  <si>
    <t>inter city, inter province</t>
  </si>
  <si>
    <t>tour bus</t>
  </si>
  <si>
    <t>Jumlah Kendaraan Angkutan Alat Berat, B3, Antar-Jemput Antar Provinsi, Sewa dan Taksi Bandara</t>
  </si>
  <si>
    <t>Number of Heavy Equipment, Dangerous Goods Transport, Inter-provincial Shuttle Services, and Carter and Airports Taxi Service Operators</t>
  </si>
  <si>
    <t>Tabel / Table</t>
  </si>
  <si>
    <t>A.1.4.06</t>
  </si>
  <si>
    <t>Page 1-21</t>
  </si>
  <si>
    <t>Uraian</t>
  </si>
  <si>
    <t>Satuan</t>
  </si>
  <si>
    <t>Description</t>
  </si>
  <si>
    <t>Unit</t>
  </si>
  <si>
    <t>Alat Berat</t>
  </si>
  <si>
    <t>passenger car</t>
  </si>
  <si>
    <t>Heavy Equipment</t>
  </si>
  <si>
    <t>Units</t>
  </si>
  <si>
    <t>Bahan Berbahaya dan Beracun</t>
  </si>
  <si>
    <t>Dangerous Goods</t>
  </si>
  <si>
    <t>Antar Jemput antar Provinsi</t>
  </si>
  <si>
    <t>inter-provincial shuttle</t>
  </si>
  <si>
    <t>Sewa</t>
  </si>
  <si>
    <t>Rent Services</t>
  </si>
  <si>
    <t>Jumlah Bus dan Truk Siap Operasi Perum Damri 2014-2018</t>
  </si>
  <si>
    <t>Number of Available-for-operation Buses &amp; Trucks of Perum Damri 2014-2018</t>
  </si>
  <si>
    <t>A.1.4.07</t>
  </si>
  <si>
    <t>freight</t>
  </si>
  <si>
    <t>passenger</t>
  </si>
  <si>
    <t>Bus Kota</t>
  </si>
  <si>
    <t>City Bus</t>
  </si>
  <si>
    <t>Bus Antar Kota</t>
  </si>
  <si>
    <t>Intercity Bus</t>
  </si>
  <si>
    <t>Bus Antar Negara</t>
  </si>
  <si>
    <t>Intercontinental Bus</t>
  </si>
  <si>
    <t>Bus Wisata</t>
  </si>
  <si>
    <t>Tour Bus</t>
  </si>
  <si>
    <t>Bus Perintis</t>
  </si>
  <si>
    <t>pioneer bus</t>
  </si>
  <si>
    <t>Bus Bandar Udara</t>
  </si>
  <si>
    <t>airport bus</t>
  </si>
  <si>
    <t>Truk Boks</t>
  </si>
  <si>
    <t>container trucks</t>
  </si>
  <si>
    <t>Transportasi Laut</t>
  </si>
  <si>
    <t>Sea Transport</t>
  </si>
  <si>
    <t>Jumlah Armada Angkutan Penyeberangan</t>
  </si>
  <si>
    <t>A.1.4.14</t>
  </si>
  <si>
    <r>
      <rPr>
        <b/>
        <sz val="11"/>
        <color theme="1"/>
        <rFont val="Calibri"/>
        <family val="2"/>
      </rPr>
      <t xml:space="preserve">Kapal / </t>
    </r>
    <r>
      <rPr>
        <b/>
        <i/>
        <sz val="11"/>
        <color theme="1"/>
        <rFont val="Calibri"/>
        <family val="2"/>
      </rPr>
      <t>Boats</t>
    </r>
  </si>
  <si>
    <t>Ferry boat is assumed to be used for freight only</t>
  </si>
  <si>
    <t>RoRo</t>
  </si>
  <si>
    <t>LCT</t>
  </si>
  <si>
    <t>Jumlah Armada Angkatan Laut menurut Kepemilikan</t>
  </si>
  <si>
    <r>
      <rPr>
        <b/>
        <sz val="11"/>
        <color theme="1"/>
        <rFont val="Calibri"/>
        <family val="2"/>
      </rPr>
      <t>Tabel</t>
    </r>
    <r>
      <rPr>
        <sz val="11"/>
        <color theme="1"/>
        <rFont val="Calibri"/>
        <family val="2"/>
      </rPr>
      <t>/</t>
    </r>
    <r>
      <rPr>
        <i/>
        <sz val="11"/>
        <color theme="1"/>
        <rFont val="Calibri"/>
        <family val="2"/>
      </rPr>
      <t>Table</t>
    </r>
  </si>
  <si>
    <t>A.2.1.01</t>
  </si>
  <si>
    <t>Kapal Nasional</t>
  </si>
  <si>
    <t>identical to A.2.1.02 below</t>
  </si>
  <si>
    <t>National Ship</t>
  </si>
  <si>
    <t>Armada Charter Asing</t>
  </si>
  <si>
    <t>Foreign Charter Ship</t>
  </si>
  <si>
    <t>Kapal Keagenan Asing</t>
  </si>
  <si>
    <t>Ship of Foreign Agent</t>
  </si>
  <si>
    <t>Jumlah Armada Angkatan Laut Menurut Jenis Pelayaran</t>
  </si>
  <si>
    <r>
      <rPr>
        <b/>
        <sz val="11"/>
        <color theme="1"/>
        <rFont val="Calibri"/>
        <family val="2"/>
      </rPr>
      <t>Tabel</t>
    </r>
    <r>
      <rPr>
        <sz val="11"/>
        <color theme="1"/>
        <rFont val="Calibri"/>
        <family val="2"/>
      </rPr>
      <t>/</t>
    </r>
    <r>
      <rPr>
        <i/>
        <sz val="11"/>
        <color theme="1"/>
        <rFont val="Calibri"/>
        <family val="2"/>
      </rPr>
      <t>table</t>
    </r>
  </si>
  <si>
    <t>A.2.1.02</t>
  </si>
  <si>
    <t>Angkatan Laut (Pelayaran)</t>
  </si>
  <si>
    <t>Shipping</t>
  </si>
  <si>
    <t>Pelayaran Rakyat</t>
  </si>
  <si>
    <t>Traditional Fleet</t>
  </si>
  <si>
    <t>Perintis</t>
  </si>
  <si>
    <t>Pioneer</t>
  </si>
  <si>
    <t>Angkatan Laut Khusus</t>
  </si>
  <si>
    <t>Special Shipping</t>
  </si>
  <si>
    <t>Jumlah Armada Angkutan Laut menurut Perusahaan Pelayaran BUMN</t>
  </si>
  <si>
    <r>
      <rPr>
        <b/>
        <sz val="11"/>
        <color theme="1"/>
        <rFont val="Calibri"/>
        <family val="2"/>
      </rPr>
      <t>Tabel</t>
    </r>
    <r>
      <rPr>
        <sz val="11"/>
        <color theme="1"/>
        <rFont val="Calibri"/>
        <family val="2"/>
      </rPr>
      <t>/</t>
    </r>
    <r>
      <rPr>
        <i/>
        <sz val="11"/>
        <color theme="1"/>
        <rFont val="Calibri"/>
        <family val="2"/>
      </rPr>
      <t>Table</t>
    </r>
  </si>
  <si>
    <t>A.2.1.03</t>
  </si>
  <si>
    <t>PT Pelni</t>
  </si>
  <si>
    <t>Kapal Penumpang</t>
  </si>
  <si>
    <t>Passenger Fleet</t>
  </si>
  <si>
    <t>Kapal Barang</t>
  </si>
  <si>
    <t>Goods Fleet</t>
  </si>
  <si>
    <t>PT Djakarta Lloyd</t>
  </si>
  <si>
    <t>Kapal barang</t>
  </si>
  <si>
    <t>PT Bahtera Adhiguna</t>
  </si>
  <si>
    <t>Jumlah dan Jenis Kapal Pengerukan Alur Pelayaran / Kolam Pelabuhan dari Dana APBN</t>
  </si>
  <si>
    <r>
      <rPr>
        <b/>
        <sz val="11"/>
        <color theme="1"/>
        <rFont val="Calibri"/>
        <family val="2"/>
      </rPr>
      <t>Tabel /</t>
    </r>
    <r>
      <rPr>
        <sz val="11"/>
        <color theme="1"/>
        <rFont val="Calibri"/>
        <family val="2"/>
      </rPr>
      <t xml:space="preserve"> Table</t>
    </r>
  </si>
  <si>
    <t>A.2.2.20</t>
  </si>
  <si>
    <t>Hopper</t>
  </si>
  <si>
    <t>Non-Hopper</t>
  </si>
  <si>
    <t>Jumlah Armada Kapal Negara Kenavigasian</t>
  </si>
  <si>
    <r>
      <rPr>
        <b/>
        <sz val="11"/>
        <color theme="1"/>
        <rFont val="Calibri"/>
        <family val="2"/>
      </rPr>
      <t>Tabel</t>
    </r>
    <r>
      <rPr>
        <sz val="11"/>
        <color theme="1"/>
        <rFont val="Calibri"/>
        <family val="2"/>
      </rPr>
      <t>/Table</t>
    </r>
  </si>
  <si>
    <t>A.2.4.01</t>
  </si>
  <si>
    <r>
      <rPr>
        <b/>
        <sz val="11"/>
        <color theme="1"/>
        <rFont val="Calibri"/>
        <family val="2"/>
      </rPr>
      <t>Tahun /</t>
    </r>
    <r>
      <rPr>
        <sz val="11"/>
        <color theme="1"/>
        <rFont val="Calibri"/>
        <family val="2"/>
      </rPr>
      <t xml:space="preserve"> </t>
    </r>
    <r>
      <rPr>
        <i/>
        <sz val="11"/>
        <color theme="1"/>
        <rFont val="Calibri"/>
        <family val="2"/>
      </rPr>
      <t>Year</t>
    </r>
  </si>
  <si>
    <t>Jumlah Armada Kapal Patroli Kesatuan Penjagaan Laut dan Pantai Menurut Kelas Kapal</t>
  </si>
  <si>
    <r>
      <rPr>
        <b/>
        <sz val="11"/>
        <color theme="1"/>
        <rFont val="Calibri"/>
        <family val="2"/>
      </rPr>
      <t>Tabel</t>
    </r>
    <r>
      <rPr>
        <sz val="11"/>
        <color theme="1"/>
        <rFont val="Calibri"/>
        <family val="2"/>
      </rPr>
      <t xml:space="preserve"> / </t>
    </r>
    <r>
      <rPr>
        <i/>
        <sz val="11"/>
        <color theme="1"/>
        <rFont val="Calibri"/>
        <family val="2"/>
      </rPr>
      <t>Table</t>
    </r>
  </si>
  <si>
    <t>A.2.5.03</t>
  </si>
  <si>
    <t>Kelas I</t>
  </si>
  <si>
    <t>Kelas II</t>
  </si>
  <si>
    <t>Kelas III</t>
  </si>
  <si>
    <t>Kelas IV</t>
  </si>
  <si>
    <t>Kelas V</t>
  </si>
  <si>
    <r>
      <rPr>
        <b/>
        <sz val="11"/>
        <color theme="1"/>
        <rFont val="Calibri"/>
        <family val="2"/>
      </rPr>
      <t>Jumlah /</t>
    </r>
    <r>
      <rPr>
        <sz val="11"/>
        <color theme="1"/>
        <rFont val="Calibri"/>
        <family val="2"/>
      </rPr>
      <t xml:space="preserve"> </t>
    </r>
    <r>
      <rPr>
        <i/>
        <sz val="11"/>
        <color theme="1"/>
        <rFont val="Calibri"/>
        <family val="2"/>
      </rPr>
      <t>Total</t>
    </r>
  </si>
  <si>
    <t>Jumlah Kapal dan Fasilitas Pelabuhan Comply ISPS Code</t>
  </si>
  <si>
    <r>
      <rPr>
        <b/>
        <sz val="11"/>
        <color theme="1"/>
        <rFont val="Calibri"/>
        <family val="2"/>
      </rPr>
      <t>Tabel /</t>
    </r>
    <r>
      <rPr>
        <sz val="11"/>
        <color theme="1"/>
        <rFont val="Calibri"/>
        <family val="2"/>
      </rPr>
      <t xml:space="preserve"> </t>
    </r>
    <r>
      <rPr>
        <i/>
        <sz val="11"/>
        <color theme="1"/>
        <rFont val="Calibri"/>
        <family val="2"/>
      </rPr>
      <t>Table</t>
    </r>
  </si>
  <si>
    <t>A.5.05</t>
  </si>
  <si>
    <t>Kapal</t>
  </si>
  <si>
    <t>Ship</t>
  </si>
  <si>
    <t>Fasilitas Pelabuhan</t>
  </si>
  <si>
    <t>Port Facility</t>
  </si>
  <si>
    <r>
      <rPr>
        <b/>
        <sz val="11"/>
        <color theme="1"/>
        <rFont val="Calibri"/>
        <family val="2"/>
      </rPr>
      <t>Jumlah</t>
    </r>
    <r>
      <rPr>
        <sz val="11"/>
        <color theme="1"/>
        <rFont val="Calibri"/>
        <family val="2"/>
      </rPr>
      <t xml:space="preserve"> / </t>
    </r>
    <r>
      <rPr>
        <i/>
        <sz val="11"/>
        <color theme="1"/>
        <rFont val="Calibri"/>
        <family val="2"/>
      </rPr>
      <t>Total</t>
    </r>
  </si>
  <si>
    <t>Transportasi Udara</t>
  </si>
  <si>
    <t>Air Transport</t>
  </si>
  <si>
    <t>Jumlah dan Tipe Pesawat Udara Berdasarkan Sertifikat Operator Penerbangan</t>
  </si>
  <si>
    <t>*summary</t>
  </si>
  <si>
    <r>
      <rPr>
        <b/>
        <sz val="11"/>
        <color theme="1"/>
        <rFont val="Calibri"/>
        <family val="2"/>
      </rPr>
      <t>Tabel</t>
    </r>
    <r>
      <rPr>
        <sz val="11"/>
        <color theme="1"/>
        <rFont val="Calibri"/>
        <family val="2"/>
      </rPr>
      <t>/</t>
    </r>
    <r>
      <rPr>
        <i/>
        <sz val="11"/>
        <color theme="1"/>
        <rFont val="Calibri"/>
        <family val="2"/>
      </rPr>
      <t>table</t>
    </r>
  </si>
  <si>
    <t>A.3.5.03</t>
  </si>
  <si>
    <t>Certificate</t>
  </si>
  <si>
    <t>AOC 121</t>
  </si>
  <si>
    <t>AOC 135</t>
  </si>
  <si>
    <t>AOC 137, 141, 91, FASI</t>
  </si>
  <si>
    <t>Jumlah Armada Kereta Api</t>
  </si>
  <si>
    <t>A.4.3.01</t>
  </si>
  <si>
    <t>A</t>
  </si>
  <si>
    <t>Kereta Api kecepatan normal</t>
  </si>
  <si>
    <t>Normal Speed Rail</t>
  </si>
  <si>
    <r>
      <rPr>
        <b/>
        <sz val="11"/>
        <color theme="1"/>
        <rFont val="Calibri"/>
        <family val="2"/>
      </rPr>
      <t xml:space="preserve">Lokomotif / </t>
    </r>
    <r>
      <rPr>
        <b/>
        <i/>
        <sz val="11"/>
        <color theme="1"/>
        <rFont val="Calibri"/>
        <family val="2"/>
      </rPr>
      <t>locomotive</t>
    </r>
  </si>
  <si>
    <t>Diesel</t>
  </si>
  <si>
    <t>Jawa / Java</t>
  </si>
  <si>
    <t>Sumatera / Sumatera</t>
  </si>
  <si>
    <t>Listrik / Electric</t>
  </si>
  <si>
    <t>Uap / Steam</t>
  </si>
  <si>
    <t>Kereta / Coach</t>
  </si>
  <si>
    <r>
      <rPr>
        <sz val="11"/>
        <color theme="1"/>
        <rFont val="Calibri"/>
        <family val="2"/>
      </rPr>
      <t xml:space="preserve">Kereta dengan penggerak sendiri / </t>
    </r>
    <r>
      <rPr>
        <i/>
        <sz val="11"/>
        <color theme="1"/>
        <rFont val="Calibri"/>
        <family val="2"/>
      </rPr>
      <t>Rail Cars</t>
    </r>
  </si>
  <si>
    <r>
      <rPr>
        <sz val="11"/>
        <color theme="1"/>
        <rFont val="Calibri"/>
        <family val="2"/>
      </rPr>
      <t xml:space="preserve">Kereta yang ditarik Lokomotif / </t>
    </r>
    <r>
      <rPr>
        <i/>
        <sz val="11"/>
        <color theme="1"/>
        <rFont val="Calibri"/>
        <family val="2"/>
      </rPr>
      <t>Passenger Cars</t>
    </r>
  </si>
  <si>
    <r>
      <rPr>
        <b/>
        <sz val="11"/>
        <color theme="1"/>
        <rFont val="Calibri"/>
        <family val="2"/>
      </rPr>
      <t xml:space="preserve">Gerbong / </t>
    </r>
    <r>
      <rPr>
        <b/>
        <i/>
        <sz val="11"/>
        <color theme="1"/>
        <rFont val="Calibri"/>
        <family val="2"/>
      </rPr>
      <t>Wagon</t>
    </r>
  </si>
  <si>
    <r>
      <rPr>
        <b/>
        <sz val="11"/>
        <color theme="1"/>
        <rFont val="Calibri"/>
        <family val="2"/>
      </rPr>
      <t xml:space="preserve">Peralatan khusus / </t>
    </r>
    <r>
      <rPr>
        <b/>
        <i/>
        <sz val="11"/>
        <color theme="1"/>
        <rFont val="Calibri"/>
        <family val="2"/>
      </rPr>
      <t>Special Purposed Cars</t>
    </r>
  </si>
  <si>
    <t>Perlatan khusus dengan penggerak sendiri / self-powered special purposed cars</t>
  </si>
  <si>
    <t xml:space="preserve">Sulawesi </t>
  </si>
  <si>
    <r>
      <rPr>
        <sz val="11"/>
        <color theme="1"/>
        <rFont val="Calibri"/>
        <family val="2"/>
      </rPr>
      <t xml:space="preserve">Peralatan khusus yang ditarik Lokomotif / </t>
    </r>
    <r>
      <rPr>
        <i/>
        <sz val="11"/>
        <color theme="1"/>
        <rFont val="Calibri"/>
        <family val="2"/>
      </rPr>
      <t>Special purposed car pulled by locomotive</t>
    </r>
  </si>
  <si>
    <t>Sulawesi</t>
  </si>
  <si>
    <t>B</t>
  </si>
  <si>
    <t>Kereta Api kecepatan tinggi</t>
  </si>
  <si>
    <t>High Speed Rail</t>
  </si>
  <si>
    <t>C</t>
  </si>
  <si>
    <t>Kereta Api Monorel</t>
  </si>
  <si>
    <t>Monorail</t>
  </si>
  <si>
    <t>D</t>
  </si>
  <si>
    <t>Kereta Api motor induksi linier</t>
  </si>
  <si>
    <t>Linear Induction Motor Train</t>
  </si>
  <si>
    <t>E</t>
  </si>
  <si>
    <t>Kereta Api Gerak Udara</t>
  </si>
  <si>
    <t>Aeromovel</t>
  </si>
  <si>
    <t>F</t>
  </si>
  <si>
    <t>Kereta Api Levitasi magnetik</t>
  </si>
  <si>
    <t>Magnetic Levitation Rail</t>
  </si>
  <si>
    <t>G</t>
  </si>
  <si>
    <t>Trem</t>
  </si>
  <si>
    <t>Tram</t>
  </si>
  <si>
    <t>H</t>
  </si>
  <si>
    <t>Kereta Api Gantung</t>
  </si>
  <si>
    <t>Ropeway</t>
  </si>
  <si>
    <t>Papua</t>
  </si>
  <si>
    <t>Number of Vehicles</t>
  </si>
  <si>
    <t>battery electric vehicle</t>
  </si>
  <si>
    <t>natural gas vehicle</t>
  </si>
  <si>
    <t>gasoline vehicle</t>
  </si>
  <si>
    <t>diesel vehicle</t>
  </si>
  <si>
    <t>plugin hybrid vehicle</t>
  </si>
  <si>
    <t>LPG vehicle</t>
  </si>
  <si>
    <t>hydrogen vehicle</t>
  </si>
  <si>
    <t>LDVs</t>
  </si>
  <si>
    <t>HDVs</t>
  </si>
  <si>
    <t>aircraft</t>
  </si>
  <si>
    <t>rail</t>
  </si>
  <si>
    <t>ships</t>
  </si>
  <si>
    <t>motorbikes</t>
  </si>
  <si>
    <t>ref2019.d111618a</t>
  </si>
  <si>
    <t>Report</t>
  </si>
  <si>
    <t>Annual Energy Outlook 2019</t>
  </si>
  <si>
    <t>Scenario</t>
  </si>
  <si>
    <t>ref2019</t>
  </si>
  <si>
    <t>Reference case</t>
  </si>
  <si>
    <t>Datekey</t>
  </si>
  <si>
    <t>d111618a</t>
  </si>
  <si>
    <t>Release Date</t>
  </si>
  <si>
    <t xml:space="preserve"> January 2019</t>
  </si>
  <si>
    <t>TKI000</t>
  </si>
  <si>
    <t>7. Transportation Sector Key Indicators and Delivered Energy Consumption</t>
  </si>
  <si>
    <t/>
  </si>
  <si>
    <t>2018-</t>
  </si>
  <si>
    <t xml:space="preserve"> Key Indicators and Consumption</t>
  </si>
  <si>
    <t>Key Indicators</t>
  </si>
  <si>
    <t>Travel Indicators</t>
  </si>
  <si>
    <t xml:space="preserve"> (billion vehicle miles traveled)</t>
  </si>
  <si>
    <t>TKI000:ba_Light-DutyVeh</t>
  </si>
  <si>
    <t xml:space="preserve">   Light-Duty Vehicles less than 8,501 pounds</t>
  </si>
  <si>
    <t>TKI000:ba_CommercialLig</t>
  </si>
  <si>
    <t xml:space="preserve">   Commercial Light Trucks 1/</t>
  </si>
  <si>
    <t>TKI000:ba_FreightTrucks</t>
  </si>
  <si>
    <t xml:space="preserve">   Freight Trucks greater than 10,000 pounds</t>
  </si>
  <si>
    <t>TKI000:buspassmiles</t>
  </si>
  <si>
    <t xml:space="preserve"> (billion passenger miles traveled)</t>
  </si>
  <si>
    <t>TKI000:railpassmiles</t>
  </si>
  <si>
    <t xml:space="preserve">   Bus Transportation</t>
  </si>
  <si>
    <t xml:space="preserve">   Passenger Rail</t>
  </si>
  <si>
    <t>TKI000:ba_Air</t>
  </si>
  <si>
    <t xml:space="preserve"> (billion seat miles available)</t>
  </si>
  <si>
    <t xml:space="preserve">   Air</t>
  </si>
  <si>
    <t>TKI000:ba_Rail</t>
  </si>
  <si>
    <t xml:space="preserve"> (billion ton miles traveled)</t>
  </si>
  <si>
    <t>TKI000:ba_DomesticShipp</t>
  </si>
  <si>
    <t xml:space="preserve">   Rail</t>
  </si>
  <si>
    <t xml:space="preserve">   Domestic Shipping</t>
  </si>
  <si>
    <t>Energy Efficiency Indicators</t>
  </si>
  <si>
    <t>TKI000:ca_AvgCAFEStand</t>
  </si>
  <si>
    <t xml:space="preserve"> (miles per gallon)</t>
  </si>
  <si>
    <t>TKI000:ca_CarCAFEStand</t>
  </si>
  <si>
    <t xml:space="preserve">   New Light-Duty Vehicle CAFE Standard 2/</t>
  </si>
  <si>
    <t>TKI000:ca_TwukCAFEStand</t>
  </si>
  <si>
    <t xml:space="preserve">     New Car 2/</t>
  </si>
  <si>
    <t>TKI000:ca_NewVehCred</t>
  </si>
  <si>
    <t xml:space="preserve">     New Light Truck 2/</t>
  </si>
  <si>
    <t>TKI000:ca_NewCarCred</t>
  </si>
  <si>
    <t xml:space="preserve">   Compliance New Light-Duty Vehicle 3/</t>
  </si>
  <si>
    <t>TKI000:ca_NewTwukCred</t>
  </si>
  <si>
    <t xml:space="preserve">     New Car 3/</t>
  </si>
  <si>
    <t>TKI000:ca_TestedNewVeh</t>
  </si>
  <si>
    <t xml:space="preserve">     New Light Truck 3/</t>
  </si>
  <si>
    <t>TKI000:ca_TestedNewCar</t>
  </si>
  <si>
    <t xml:space="preserve">   Tested New Light-Duty Vehicle 4/</t>
  </si>
  <si>
    <t>TKI000:ca_TestedNewTwuk</t>
  </si>
  <si>
    <t xml:space="preserve">     New Car 4/</t>
  </si>
  <si>
    <t>TKI000:ca_OnRoadNewVeh</t>
  </si>
  <si>
    <t xml:space="preserve">     New Light Truck 4/</t>
  </si>
  <si>
    <t>TKI000:ca_OnRoadNewCar</t>
  </si>
  <si>
    <t xml:space="preserve">   On-Road New Light-Duty Vehicle 5/</t>
  </si>
  <si>
    <t>TKI000:ca_OnRoadNewTwuk</t>
  </si>
  <si>
    <t xml:space="preserve">     New Car 5/</t>
  </si>
  <si>
    <t>TKI000:ca_Light-DutySto</t>
  </si>
  <si>
    <t xml:space="preserve">     New Light Truck 5/</t>
  </si>
  <si>
    <t>TKI000:ca_NewCommercial</t>
  </si>
  <si>
    <t xml:space="preserve">   Light-Duty Stock 6/</t>
  </si>
  <si>
    <t>TKI000:ca_StockCommerci</t>
  </si>
  <si>
    <t xml:space="preserve">   New Commercial Light Truck 1/</t>
  </si>
  <si>
    <t>TKI000:ca_FreightTruck</t>
  </si>
  <si>
    <t xml:space="preserve">   Stock Commercial Light Truck 1/</t>
  </si>
  <si>
    <t xml:space="preserve">   Freight Truck</t>
  </si>
  <si>
    <t>TKI000:ca_Aircraft</t>
  </si>
  <si>
    <t xml:space="preserve"> (seat miles per gallon)</t>
  </si>
  <si>
    <t xml:space="preserve">   Aircraft</t>
  </si>
  <si>
    <t>TKI000:ca_Rail</t>
  </si>
  <si>
    <t xml:space="preserve"> (ton miles/thousand Btu)</t>
  </si>
  <si>
    <t>TKI000:ca_DomesticShipp</t>
  </si>
  <si>
    <t>Energy Use by Mode</t>
  </si>
  <si>
    <t>TKI000:da_Light-DutyVeh</t>
  </si>
  <si>
    <t xml:space="preserve">  (quadrillion Btu)</t>
  </si>
  <si>
    <t>TKI000:da_CommercialLig</t>
  </si>
  <si>
    <t xml:space="preserve">    Light-Duty Vehicles</t>
  </si>
  <si>
    <t>TKI000:da_BusTransporta</t>
  </si>
  <si>
    <t xml:space="preserve">    Commercial Light Trucks 1/</t>
  </si>
  <si>
    <t>TKI000:da_FreightTrucks</t>
  </si>
  <si>
    <t xml:space="preserve">    Bus Transportation</t>
  </si>
  <si>
    <t>TKI000:da_Rail,Passenge</t>
  </si>
  <si>
    <t xml:space="preserve">    Freight Trucks</t>
  </si>
  <si>
    <t>TKI000:da_Rail,Freight</t>
  </si>
  <si>
    <t xml:space="preserve">    Rail, Passenger</t>
  </si>
  <si>
    <t>TKI000:da_Shipping,Dome</t>
  </si>
  <si>
    <t xml:space="preserve">    Rail, Freight</t>
  </si>
  <si>
    <t>TKI000:da_Shipping,Inte</t>
  </si>
  <si>
    <t xml:space="preserve">    Shipping, Domestic</t>
  </si>
  <si>
    <t>TKI000:da_RecreationalB</t>
  </si>
  <si>
    <t xml:space="preserve">    Shipping, International</t>
  </si>
  <si>
    <t>TKI000:da_Air</t>
  </si>
  <si>
    <t xml:space="preserve">    Recreational Boats</t>
  </si>
  <si>
    <t>TKI000:da_MilitaryUse</t>
  </si>
  <si>
    <t xml:space="preserve">    Air</t>
  </si>
  <si>
    <t>TKI000:da_Lubricants</t>
  </si>
  <si>
    <t xml:space="preserve">    Military Use</t>
  </si>
  <si>
    <t>TKI000:da_PipelineFuel</t>
  </si>
  <si>
    <t xml:space="preserve">    Lubricants</t>
  </si>
  <si>
    <t>TKI000:da_Total</t>
  </si>
  <si>
    <t xml:space="preserve">    Pipeline Fuel</t>
  </si>
  <si>
    <t xml:space="preserve">      Total</t>
  </si>
  <si>
    <t>TKI000:ea_Light-DutyVeh</t>
  </si>
  <si>
    <t xml:space="preserve">  (million barrels per day oil equivalent)</t>
  </si>
  <si>
    <t>TKI000:ea_CommercialLig</t>
  </si>
  <si>
    <t>TKI000:ea_BusTransporta</t>
  </si>
  <si>
    <t>TKI000:ea_FreightTrucks</t>
  </si>
  <si>
    <t>TKI000:ea_Rail,Passenge</t>
  </si>
  <si>
    <t>TKI000:ea_Rail,Freight</t>
  </si>
  <si>
    <t>TKI000:ea_Shipping,Dome</t>
  </si>
  <si>
    <t>TKI000:ea_Shipping,Inte</t>
  </si>
  <si>
    <t>TKI000:ea_RecreationalB</t>
  </si>
  <si>
    <t>TKI000:ea_Air</t>
  </si>
  <si>
    <t>TKI000:ea_MilitaryUse</t>
  </si>
  <si>
    <t>TKI000:ea_Lubricants</t>
  </si>
  <si>
    <t>TKI000:ea_PipelineFuel</t>
  </si>
  <si>
    <t>TKI000:ea_Total</t>
  </si>
  <si>
    <t xml:space="preserve">   1/ Commercial trucks 8,501 to 10,000 pounds gross vehicle weight rating.</t>
  </si>
  <si>
    <t xml:space="preserve">   2/ CAFE standard based on projected new vehicle sales.</t>
  </si>
  <si>
    <t xml:space="preserve">   3/ Includes CAFE credits for alternative fueled vehicle sales and credit banking.</t>
  </si>
  <si>
    <t xml:space="preserve">   4/ U.S. Environmental Protection Agency rated miles per gallon.</t>
  </si>
  <si>
    <t xml:space="preserve">   5/ Tested new vehicle efficiency revised for on-road performance.</t>
  </si>
  <si>
    <t xml:space="preserve">   6/ Combined "on-the-road" estimate for all cars and light trucks.</t>
  </si>
  <si>
    <t xml:space="preserve">   CAFE = Corporate average fuel economy.</t>
  </si>
  <si>
    <t xml:space="preserve">   Btu = British thermal unit.</t>
  </si>
  <si>
    <t xml:space="preserve">   Note:  Totals may not equal sum of components due to independent rounding.  Data for 2017</t>
  </si>
  <si>
    <t>are model results and may differ from official EIA data reports.</t>
  </si>
  <si>
    <t xml:space="preserve">   Sources:  2017:  U.S. Energy Information Administration (EIA), Monthly Energy Review, September 2018;</t>
  </si>
  <si>
    <t>EIA, Alternatives to Traditional Transportation Fuels 2009 (Part II - User and Fuel Data); EIA, State Energy Data System 2016;</t>
  </si>
  <si>
    <t>Federal Highway Administration, Highway Statistics 2016; Oak Ridge National Laboratory, Transportation Energy</t>
  </si>
  <si>
    <t>Data Book:  Edition 36; National Highway Traffic and Safety Administration, Summary of Fuel Economy</t>
  </si>
  <si>
    <t>Performance, June 2015; U.S. Department of Commerce, Bureau of the Census, "Vehicle Inventory and Use Survey," EC02TV;</t>
  </si>
  <si>
    <t>U.S. Environmental Protection Agency, Engines and Vehicles Information System, various years;</t>
  </si>
  <si>
    <t>U.S. Department of Transportation, Federal Transit Administration, National Transit Database, various years;</t>
  </si>
  <si>
    <t>U.S. Department of Transportation, Research and Special Programs Administration, Air Carrier Statistics Monthly,</t>
  </si>
  <si>
    <t>December 2010/2009; and United States Department of Defense, Defense Logistics Agency Energy, Fiscal Year 2015 Fact Book.</t>
  </si>
  <si>
    <t>2018:  EIA, Short-Term Energy Outlook, October 2018 and EIA, AEO2019 National Energy Modeling System run ref2019.d111618a.</t>
  </si>
  <si>
    <t>Projections:  EIA, AEO2019 National Energy Modeling System run ref2019.d111618a.</t>
  </si>
  <si>
    <t>TEF000</t>
  </si>
  <si>
    <t>37. Transportation Sector Energy Use by Fuel Type Within a Mode</t>
  </si>
  <si>
    <t>(trillion Btu)</t>
  </si>
  <si>
    <t xml:space="preserve"> Mode and Type</t>
  </si>
  <si>
    <t>TEF000:ba_Total</t>
  </si>
  <si>
    <t>Light-Duty Vehicle</t>
  </si>
  <si>
    <t>TEF000:ba_MotorGasoline</t>
  </si>
  <si>
    <t xml:space="preserve">  Motor Gasoline excluding E85 1/</t>
  </si>
  <si>
    <t>TEF000:ba_Ethanol</t>
  </si>
  <si>
    <t xml:space="preserve">  E85 1/</t>
  </si>
  <si>
    <t>TEF000:ba_Distillate(di</t>
  </si>
  <si>
    <t xml:space="preserve">  Distillate Fuel Oil (diesel)</t>
  </si>
  <si>
    <t>TEF000:ba_CompressedNat</t>
  </si>
  <si>
    <t xml:space="preserve">  Compressed/Liquefied Natural Gas</t>
  </si>
  <si>
    <t>TEF000:ba_LiquefiedPetr</t>
  </si>
  <si>
    <t xml:space="preserve">  Propane</t>
  </si>
  <si>
    <t>TEF000:ba_Electricity</t>
  </si>
  <si>
    <t xml:space="preserve">  Electricity</t>
  </si>
  <si>
    <t>TEF000:ba_LiquidHydroge</t>
  </si>
  <si>
    <t xml:space="preserve">  Hydrogen</t>
  </si>
  <si>
    <t>TEF000:ca_CommercialLig</t>
  </si>
  <si>
    <t>Commercial Light Trucks 2/</t>
  </si>
  <si>
    <t>TEF000:clt_MotorGas</t>
  </si>
  <si>
    <t>TEF000:clt_e85</t>
  </si>
  <si>
    <t>TEF000:clt_Diesel</t>
  </si>
  <si>
    <t>TEF000:clt_propane</t>
  </si>
  <si>
    <t>TEF000:clt_natural_gas</t>
  </si>
  <si>
    <t>TEF000:clt_electricity</t>
  </si>
  <si>
    <t>- -</t>
  </si>
  <si>
    <t>TEF000:clt_hydrogen</t>
  </si>
  <si>
    <t>TEF000:da_Total</t>
  </si>
  <si>
    <t>Freight Trucks 3/</t>
  </si>
  <si>
    <t>TEF000:da_MotorGasoline</t>
  </si>
  <si>
    <t xml:space="preserve">  Motor Gasoline</t>
  </si>
  <si>
    <t>TEF000:da_Distillate(di</t>
  </si>
  <si>
    <t>TEF000:da_CompressedNat</t>
  </si>
  <si>
    <t>TEF000:da_LiquefiedPetr</t>
  </si>
  <si>
    <t>TEF000:ft_eeeeeeeeeee85</t>
  </si>
  <si>
    <t xml:space="preserve">  E85</t>
  </si>
  <si>
    <t>TEF000:ft_electricity</t>
  </si>
  <si>
    <t>TEF000:ft_hydrogen</t>
  </si>
  <si>
    <t>TEF000:ea_Total</t>
  </si>
  <si>
    <t>Freight Rail 4/</t>
  </si>
  <si>
    <t>TEF000:ea_Distillate(di</t>
  </si>
  <si>
    <t>TEF000:ea_ResidualOil</t>
  </si>
  <si>
    <t xml:space="preserve">  Residual Fuel Oil</t>
  </si>
  <si>
    <t>TEF000:ea_SeeEnGee</t>
  </si>
  <si>
    <t xml:space="preserve">  Compressed Natural Gas</t>
  </si>
  <si>
    <t>TEF000:ea_LiquidNG</t>
  </si>
  <si>
    <t xml:space="preserve">  Liquefied Natural Gas</t>
  </si>
  <si>
    <t>TEF000:fa_Total</t>
  </si>
  <si>
    <t>Domestic Shipping</t>
  </si>
  <si>
    <t>TEF000:fa_Distillate(di</t>
  </si>
  <si>
    <t>TEF000:fa_ResidualOil</t>
  </si>
  <si>
    <t xml:space="preserve">  Residual Oil</t>
  </si>
  <si>
    <t>TEF000:fa_MotorGasoline</t>
  </si>
  <si>
    <t>TEF000:fa_LiquidNG</t>
  </si>
  <si>
    <t>TEF000:ga_Total</t>
  </si>
  <si>
    <t>International Shipping</t>
  </si>
  <si>
    <t>TEF000:ga_Distillate(di</t>
  </si>
  <si>
    <t>TEF000:ga_ResidualOil</t>
  </si>
  <si>
    <t>TEF000:ga_SeeEnGee</t>
  </si>
  <si>
    <t>TEF000:ga_LiquidNG</t>
  </si>
  <si>
    <t>TEF000:ha_Total</t>
  </si>
  <si>
    <t>Air Transportation</t>
  </si>
  <si>
    <t>TEF000:ha_JetFuel</t>
  </si>
  <si>
    <t xml:space="preserve">  Jet Fuel</t>
  </si>
  <si>
    <t>TEF000:ha_AviationGasol</t>
  </si>
  <si>
    <t xml:space="preserve">  Aviation Gasoline</t>
  </si>
  <si>
    <t>TEF000:ia_Total</t>
  </si>
  <si>
    <t>Military Use</t>
  </si>
  <si>
    <t>TEF000:ia_JetFuel</t>
  </si>
  <si>
    <t xml:space="preserve">  Jet Fuel and Aviation Gasoline</t>
  </si>
  <si>
    <t>TEF000:ia_ResidualFuel</t>
  </si>
  <si>
    <t>TEF000:ia_Distillate</t>
  </si>
  <si>
    <t xml:space="preserve">  Distillates and Diesel</t>
  </si>
  <si>
    <t>TEF000:ja_Total</t>
  </si>
  <si>
    <t>Bus Transportation</t>
  </si>
  <si>
    <t>TEF000:bus_transit_tot</t>
  </si>
  <si>
    <t xml:space="preserve">  Transit Bus</t>
  </si>
  <si>
    <t>TEF000:ja_TransitBus(mo</t>
  </si>
  <si>
    <t xml:space="preserve">    Motor Gasoline</t>
  </si>
  <si>
    <t>TEF000:bus_transit_e85</t>
  </si>
  <si>
    <t xml:space="preserve">    E85</t>
  </si>
  <si>
    <t>TEF000:ja_TransitBus(di</t>
  </si>
  <si>
    <t xml:space="preserve">    Distillate Fuel Oil (diesel)</t>
  </si>
  <si>
    <t>TEF000:bus_transit_CNG</t>
  </si>
  <si>
    <t xml:space="preserve">    Compressed/Liquefied Natural Gas</t>
  </si>
  <si>
    <t>TEF000:bus_transit_LPG</t>
  </si>
  <si>
    <t xml:space="preserve">    Propane</t>
  </si>
  <si>
    <t>TEF000:bus_transit_elec</t>
  </si>
  <si>
    <t xml:space="preserve">    Electricity</t>
  </si>
  <si>
    <t>TEF000:bus_transit_hydr</t>
  </si>
  <si>
    <t xml:space="preserve">    Hydrogen</t>
  </si>
  <si>
    <t>TEF000:bus_inter_total</t>
  </si>
  <si>
    <t xml:space="preserve">  Intercity Bus</t>
  </si>
  <si>
    <t>TEF000:bus_inter_motor</t>
  </si>
  <si>
    <t>TEF000:bus_inter_e85</t>
  </si>
  <si>
    <t>TEF000:ja_IntercityBus(</t>
  </si>
  <si>
    <t>TEF000:bus_inter_CNG</t>
  </si>
  <si>
    <t>TEF000:bus_inter_LPG</t>
  </si>
  <si>
    <t>TEF000:bus_inter_elec</t>
  </si>
  <si>
    <t>TEF000:bus_inter_hydrog</t>
  </si>
  <si>
    <t>TEF000:bus_school_total</t>
  </si>
  <si>
    <t xml:space="preserve">  School Bus</t>
  </si>
  <si>
    <t>TEF000:ja_SchoolBus(mot</t>
  </si>
  <si>
    <t>TEF000:bus_school_e85</t>
  </si>
  <si>
    <t>TEF000:ja_SchoolBus(die</t>
  </si>
  <si>
    <t>TEF000:bus_school_CNG</t>
  </si>
  <si>
    <t>TEF000:bus_school_LPG</t>
  </si>
  <si>
    <t>TEF000:bus_school_elec</t>
  </si>
  <si>
    <t>TEF000:bus_school_hydro</t>
  </si>
  <si>
    <t>TEF000:ma_Total</t>
  </si>
  <si>
    <t>Rail Transportation</t>
  </si>
  <si>
    <t>TEF000:ka_IntercityRail</t>
  </si>
  <si>
    <t xml:space="preserve">  Intercity Rail</t>
  </si>
  <si>
    <t>TEF000:ka_InterElect</t>
  </si>
  <si>
    <t>TEF000:la_InterDiesel</t>
  </si>
  <si>
    <t xml:space="preserve">    Diesel</t>
  </si>
  <si>
    <t>TEF000:la_InterCNG</t>
  </si>
  <si>
    <t xml:space="preserve">    Compressed Natural Gas</t>
  </si>
  <si>
    <t>TEF000:la_InterLNG</t>
  </si>
  <si>
    <t xml:space="preserve">    Liquefied Natural Gas</t>
  </si>
  <si>
    <t>TEF000:la_TransitRail</t>
  </si>
  <si>
    <t xml:space="preserve">  Transit Rail</t>
  </si>
  <si>
    <t>TEF000:la_TransitElect</t>
  </si>
  <si>
    <t>TEF000:ma_CommuterRail</t>
  </si>
  <si>
    <t xml:space="preserve">  Commuter Rail</t>
  </si>
  <si>
    <t>TEF000:ma_CommuteElect</t>
  </si>
  <si>
    <t>TEF000:ma_CommuteDiesel</t>
  </si>
  <si>
    <t>TEF000:ma_CommuteCNG</t>
  </si>
  <si>
    <t>TEF000:ma_CommuteLNG</t>
  </si>
  <si>
    <t>TEF000:na_RecreationBoa</t>
  </si>
  <si>
    <t>Recreational Boats</t>
  </si>
  <si>
    <t>TEF000:na_RecreateGas</t>
  </si>
  <si>
    <t xml:space="preserve">  Gasoline</t>
  </si>
  <si>
    <t>TEF000:na_RecreateDies</t>
  </si>
  <si>
    <t>TEF000:na_Lubricants</t>
  </si>
  <si>
    <t>Lubricants</t>
  </si>
  <si>
    <t>TEF000:na_PipelineFuelN</t>
  </si>
  <si>
    <t>Pipeline Fuel Natural Gas</t>
  </si>
  <si>
    <t>TEF000:pa_TotalConsumpt</t>
  </si>
  <si>
    <t>Total Consumption</t>
  </si>
  <si>
    <t xml:space="preserve">   1/ E85 refers to a blend of 85 percent ethanol (renewable) and 15 percent motor gasoline (nonrenewable).  To address cold starting issues,</t>
  </si>
  <si>
    <t>the percentage of ethanol varies seasonally.  The annual average ethanol content of 74 percent is used for these projections.</t>
  </si>
  <si>
    <t xml:space="preserve">   2/ Commercial trucks from 8,501 to 10,000 pounds.</t>
  </si>
  <si>
    <t xml:space="preserve">   3/ Does not include military distillate.  Does not include commercial buses.</t>
  </si>
  <si>
    <t xml:space="preserve">   4/ Does not include passenger rail.</t>
  </si>
  <si>
    <t xml:space="preserve">   - - = Not applicable.</t>
  </si>
  <si>
    <t xml:space="preserve">   Note:  Includes estimated consumption for petroleum and other liquids.  Totals may not equal sum of components due to independent rounding.</t>
  </si>
  <si>
    <t>Data for 2017 are model results and may differ from official EIA data reports.</t>
  </si>
  <si>
    <t xml:space="preserve">   Sources:  2017 compressed and liquefied natural gas volumes:  U.S. Energy Information Administration (EIA),</t>
  </si>
  <si>
    <t>AEO2019 National Energy Modeling System run ref2019.d111618a.  Other 2017 values derived using:  EIA, Monthly</t>
  </si>
  <si>
    <t>Energy Review, September 2018; EIA, Fuel Oil and Kerosene Sales 2014; EIA, State Energy Data System 2016; Oak Ridge</t>
  </si>
  <si>
    <t>National Laboratory, Transportation Energy Data Book:  Edition 36; Department of Defense, Defense Logistics Agency Energy,</t>
  </si>
  <si>
    <t>Fiscal Year 2015 Fact Book; and EIA, AEO2019 National Energy Modeling System run ref2019.d111618a.  2018 and</t>
  </si>
  <si>
    <t>projections:  EIA, AEO2019 National Energy Modeling System run ref2019.d111618a.</t>
  </si>
  <si>
    <t>TSK000</t>
  </si>
  <si>
    <t>40. Light-Duty Vehicle Stock by Technology Type</t>
  </si>
  <si>
    <t>(millions)</t>
  </si>
  <si>
    <t xml:space="preserve"> Technology Type</t>
  </si>
  <si>
    <t>Car Stock 1/</t>
  </si>
  <si>
    <t xml:space="preserve"> Conventional Cars</t>
  </si>
  <si>
    <t>TSK000:ba_GasolineICEVe</t>
  </si>
  <si>
    <t xml:space="preserve">   Gasoline ICE Vehicles</t>
  </si>
  <si>
    <t>TSK000:ba_TDIDieselICE</t>
  </si>
  <si>
    <t xml:space="preserve">   TDI Diesel ICE</t>
  </si>
  <si>
    <t>TSK000:ba_TotalConventi</t>
  </si>
  <si>
    <t xml:space="preserve">     Total Conventional Cars</t>
  </si>
  <si>
    <t xml:space="preserve"> Alternative-Fuel Cars</t>
  </si>
  <si>
    <t>TSK000:ca_Ethanol-FlexF</t>
  </si>
  <si>
    <t xml:space="preserve">   Ethanol-Flex Fuel ICE</t>
  </si>
  <si>
    <t>TSK000:ca_100mileEV</t>
  </si>
  <si>
    <t xml:space="preserve">   100 Mile Electric Vehicle</t>
  </si>
  <si>
    <t>TSK000:ca_ElectricVehic</t>
  </si>
  <si>
    <t xml:space="preserve">   200 Mile Electric Vehicle</t>
  </si>
  <si>
    <t>TSK000:ea_FuelCellGasol</t>
  </si>
  <si>
    <t xml:space="preserve">   300 Mile Electric Vehicle</t>
  </si>
  <si>
    <t>TSK000:ca_Plug-inGasoli</t>
  </si>
  <si>
    <t xml:space="preserve">   Plug-in 10 Gasoline Hybrid</t>
  </si>
  <si>
    <t>TSK000:ca_Plug-in40Hybd</t>
  </si>
  <si>
    <t xml:space="preserve">   Plug-in 40 Gasoline Hybrid</t>
  </si>
  <si>
    <t>TSK000:ca_Electric-Dies</t>
  </si>
  <si>
    <t xml:space="preserve">   Electric-Diesel Hybrid</t>
  </si>
  <si>
    <t>TSK000:ca_Electric-Gaso</t>
  </si>
  <si>
    <t xml:space="preserve">   Electric-Gasoline Hybrid</t>
  </si>
  <si>
    <t>TSK000:ca_CompressedNat</t>
  </si>
  <si>
    <t xml:space="preserve">   Natural Gas ICE</t>
  </si>
  <si>
    <t>TSK000:da_CompressedNat</t>
  </si>
  <si>
    <t xml:space="preserve">   Natural Gas Bi-fuel</t>
  </si>
  <si>
    <t>TSK000:da_LiquefiedPetr</t>
  </si>
  <si>
    <t xml:space="preserve">   Propane ICE</t>
  </si>
  <si>
    <t>TSK000:ea_LiquefiedPetr</t>
  </si>
  <si>
    <t xml:space="preserve">   Propane Bi-fuel</t>
  </si>
  <si>
    <t>TSK000:ea_FuelCellMetha</t>
  </si>
  <si>
    <t xml:space="preserve">   Fuel Cell Methanol</t>
  </si>
  <si>
    <t>TSK000:ea_FuelCellHydro</t>
  </si>
  <si>
    <t xml:space="preserve">   Fuel Cell Hydrogen</t>
  </si>
  <si>
    <t>TSK000:ea_TotalAlternat</t>
  </si>
  <si>
    <t xml:space="preserve">     Total Alternative Cars</t>
  </si>
  <si>
    <t>TSK000:fa_TotalNewCarSa</t>
  </si>
  <si>
    <t>Total Car Stock</t>
  </si>
  <si>
    <t>Light Truck Stock 1/</t>
  </si>
  <si>
    <t xml:space="preserve"> Conventional Light Trucks</t>
  </si>
  <si>
    <t>TSK000:ga_GasolineICEVe</t>
  </si>
  <si>
    <t>TSK000:ga_TDIDieselICE</t>
  </si>
  <si>
    <t>TSK000:ga_TotalConventi</t>
  </si>
  <si>
    <t xml:space="preserve">     Total Conventional Light Trucks</t>
  </si>
  <si>
    <t xml:space="preserve"> Alternative-Fuel Light Trucks</t>
  </si>
  <si>
    <t>TSK000:ha_Ethanol-FlexF</t>
  </si>
  <si>
    <t>TSK000:ha_100mileEV</t>
  </si>
  <si>
    <t>TSK000:ha_ElectricVehic</t>
  </si>
  <si>
    <t>TSK000:ja_FuelCellGasol</t>
  </si>
  <si>
    <t>TSK000:ha_Plug-inGasoli</t>
  </si>
  <si>
    <t>TSK000:ha_Plug-in40Hybd</t>
  </si>
  <si>
    <t>TSK000:ha_Electric-Dies</t>
  </si>
  <si>
    <t>TSK000:ha_Electric-Gaso</t>
  </si>
  <si>
    <t>TSK000:ha_CompressedNat</t>
  </si>
  <si>
    <t>TSK000:ia_CompressedNat</t>
  </si>
  <si>
    <t>TSK000:ia_LiquefiedPetr</t>
  </si>
  <si>
    <t>TSK000:ja_LiquefiedPetr</t>
  </si>
  <si>
    <t>TSK000:ja_FuelCellMetha</t>
  </si>
  <si>
    <t>TSK000:ja_FuelCellHydro</t>
  </si>
  <si>
    <t>TSK000:ja_TotalAlternat</t>
  </si>
  <si>
    <t xml:space="preserve">     Total Alternative Light Trucks</t>
  </si>
  <si>
    <t>TSK000:ka_TotalNewTruck</t>
  </si>
  <si>
    <t>Total Light Truck Stock</t>
  </si>
  <si>
    <t>TSK000:la_TotalVehicleS</t>
  </si>
  <si>
    <t>Total Stock</t>
  </si>
  <si>
    <t xml:space="preserve">   1/ Includes personal and fleet vehicles.</t>
  </si>
  <si>
    <t xml:space="preserve">   ICE = Internal combustion engine.</t>
  </si>
  <si>
    <t xml:space="preserve">   Note:  Totals may not equal sum of components due to independent rounding.</t>
  </si>
  <si>
    <t xml:space="preserve">   Sources:  2017 values derived using:  Energy Information Administration (EIA), Describing Current and Potential</t>
  </si>
  <si>
    <t>Markets for Alternative-Fuel Vehicles, 1996; EIA, Alternatives to Traditional Transportation Fuels 2009 (Part II - User and Fuel Data); Federal Highway</t>
  </si>
  <si>
    <t>Administration, Highway Statistics 2016; Oak Ridge National Laboratory, Transportation Energy Data Book:  Edition 36;</t>
  </si>
  <si>
    <t>IHS Markit Polk, National Vehicle Population Profile, various years; IHS Markit Polk, Trucking Industry Profile, various years; and</t>
  </si>
  <si>
    <t>EIA, AEO2019 National Energy Modeling System run ref2019.d111618a.  2018 and projections:  EIA, AEO2019 National Energy</t>
  </si>
  <si>
    <t>Modeling System run ref2019.d111618a.</t>
  </si>
  <si>
    <t>46. Transportation Fleet Car and Truck Stock by Type and Technology</t>
  </si>
  <si>
    <t>(thousands)</t>
  </si>
  <si>
    <t xml:space="preserve"> Total Car Stock</t>
  </si>
  <si>
    <t xml:space="preserve"> Total Light Truck Stock</t>
  </si>
  <si>
    <t>Total Fleet Vehicles</t>
  </si>
  <si>
    <t>Commercial Light Truck Stock 2/</t>
  </si>
  <si>
    <t xml:space="preserve">   Motor Gasoline</t>
  </si>
  <si>
    <t xml:space="preserve">   Diesel</t>
  </si>
  <si>
    <t xml:space="preserve">   Propane</t>
  </si>
  <si>
    <t xml:space="preserve">   Compressed/Liquefied Natural Gas</t>
  </si>
  <si>
    <t xml:space="preserve">   Ethanol-Flex Fuel</t>
  </si>
  <si>
    <t xml:space="preserve">   Electric</t>
  </si>
  <si>
    <t xml:space="preserve">   Plug-in Gasoline Hybrid</t>
  </si>
  <si>
    <t xml:space="preserve">   Plug-in Diesel Hybrid</t>
  </si>
  <si>
    <t xml:space="preserve">   Fuel Cell</t>
  </si>
  <si>
    <t xml:space="preserve">      Total Commercial Light Truck Stock</t>
  </si>
  <si>
    <t xml:space="preserve">   1/ Includes all fleets of 10 or more.</t>
  </si>
  <si>
    <t xml:space="preserve">   Sources:  2017 values derived using:  Publishing Company, Fleet Fact Book, various issues; Federal Highway</t>
  </si>
  <si>
    <t>Administration, Highway Statistics 2016; and U.S. Energy Information Administration (EIA), Describing Current and Potential</t>
  </si>
  <si>
    <t>Markets for Alternative-Fuel Vehicles, 1996; and EIA, AEO2019 National Energy Modeling System run ref2019.d111618a.</t>
  </si>
  <si>
    <t>2018 and projections:  EIA, AEO2019 National Energy Modeling System run ref2019.d111618a.</t>
  </si>
  <si>
    <t>ATS000</t>
  </si>
  <si>
    <t>49. Aircraft Stock</t>
  </si>
  <si>
    <t>Stock</t>
  </si>
  <si>
    <t>Aircraft Stock</t>
  </si>
  <si>
    <t>ATS000:stk_U.S.Total</t>
  </si>
  <si>
    <t xml:space="preserve">  United States</t>
  </si>
  <si>
    <t>ATS000:stk_USNarrowBody</t>
  </si>
  <si>
    <t xml:space="preserve">    Narrow Body Aircraft</t>
  </si>
  <si>
    <t>ATS000:stk_USWideBody</t>
  </si>
  <si>
    <t xml:space="preserve">    Wide Body Aircraft</t>
  </si>
  <si>
    <t>ATS000:stk_USRegional</t>
  </si>
  <si>
    <t xml:space="preserve">    Regional Jets</t>
  </si>
  <si>
    <t>ATS000:stk_Canada</t>
  </si>
  <si>
    <t xml:space="preserve">  Canada</t>
  </si>
  <si>
    <t>ATS000:stk_Canada-nb</t>
  </si>
  <si>
    <t>ATS000:stk_Canada-wb</t>
  </si>
  <si>
    <t>ATS000:stk_Canada-rj</t>
  </si>
  <si>
    <t>ATS000:stk_Central_Am</t>
  </si>
  <si>
    <t xml:space="preserve">  Central America</t>
  </si>
  <si>
    <t>ATS000:stk_Central_Am-n</t>
  </si>
  <si>
    <t>ATS000:stk_Central_Am-w</t>
  </si>
  <si>
    <t>ATS000:stk_Central_Am-r</t>
  </si>
  <si>
    <t>ATS000:stk_South_Am</t>
  </si>
  <si>
    <t xml:space="preserve">  South America</t>
  </si>
  <si>
    <t>ATS000:stk_South_Am-nb</t>
  </si>
  <si>
    <t>ATS000:stk_South_Am-wb</t>
  </si>
  <si>
    <t>ATS000:stk_South_Am-rj</t>
  </si>
  <si>
    <t>ATS000:stk_Europe</t>
  </si>
  <si>
    <t xml:space="preserve">  Europe</t>
  </si>
  <si>
    <t>ATS000:stk_Europe-nb</t>
  </si>
  <si>
    <t>ATS000:stk_Europe-wb</t>
  </si>
  <si>
    <t>ATS000:stk_Europe-rj</t>
  </si>
  <si>
    <t>ATS000:stk_Africa</t>
  </si>
  <si>
    <t xml:space="preserve">  Africa</t>
  </si>
  <si>
    <t>ATS000:stk_Africa-nb</t>
  </si>
  <si>
    <t>ATS000:stk_Africa-wb</t>
  </si>
  <si>
    <t>ATS000:stk_Africa-rj</t>
  </si>
  <si>
    <t>ATS000:stk_Mideast</t>
  </si>
  <si>
    <t xml:space="preserve">  Mideast</t>
  </si>
  <si>
    <t>ATS000:stk_Mideast-nb</t>
  </si>
  <si>
    <t>ATS000:stk_Mideast-wb</t>
  </si>
  <si>
    <t>ATS000:stk_Mideast-rj</t>
  </si>
  <si>
    <t>ATS000:stk_Russia</t>
  </si>
  <si>
    <t xml:space="preserve">  Commonwealth of Independent States</t>
  </si>
  <si>
    <t>ATS000:stk_Russia-nb</t>
  </si>
  <si>
    <t>ATS000:stk_Russia-wb</t>
  </si>
  <si>
    <t>ATS000:stk_Russia-rj</t>
  </si>
  <si>
    <t>ATS000:stk_China</t>
  </si>
  <si>
    <t xml:space="preserve">  China</t>
  </si>
  <si>
    <t>ATS000:stk_China-nb</t>
  </si>
  <si>
    <t>ATS000:stk_China-wb</t>
  </si>
  <si>
    <t>ATS000:stk_China-rj</t>
  </si>
  <si>
    <t>ATS000:stk_NE_Asia</t>
  </si>
  <si>
    <t xml:space="preserve">  Northeast Asia</t>
  </si>
  <si>
    <t>ATS000:stk_NE_Asia-nb</t>
  </si>
  <si>
    <t>ATS000:stk_NE_Asia-wb</t>
  </si>
  <si>
    <t>ATS000:stk_NE_Asia-rj</t>
  </si>
  <si>
    <t>ATS000:stk_SE_Asia</t>
  </si>
  <si>
    <t xml:space="preserve">  Southeast Asia</t>
  </si>
  <si>
    <t>ATS000:stk_SE_Asia-nb</t>
  </si>
  <si>
    <t>ATS000:stk_SE_Asia-wb</t>
  </si>
  <si>
    <t>ATS000:stk_SE_Asia-rj</t>
  </si>
  <si>
    <t>ATS000:stk_SW_Asia</t>
  </si>
  <si>
    <t xml:space="preserve">  Southwest Asia</t>
  </si>
  <si>
    <t>ATS000:stk_SW_Asia-nb</t>
  </si>
  <si>
    <t>ATS000:stk_SW_Asia-wb</t>
  </si>
  <si>
    <t>ATS000:stk_SW_Asia-rj</t>
  </si>
  <si>
    <t>ATS000:stk_Oceania</t>
  </si>
  <si>
    <t xml:space="preserve">  Oceania</t>
  </si>
  <si>
    <t>ATS000:stk_Oceania-nb</t>
  </si>
  <si>
    <t>ATS000:stk_Oceania-wb</t>
  </si>
  <si>
    <t>ATS000:stk_Oceania-rj</t>
  </si>
  <si>
    <t>ATS000:stk_WorldTotal</t>
  </si>
  <si>
    <t>Total World</t>
  </si>
  <si>
    <t>Aircraft Active Stock</t>
  </si>
  <si>
    <t>ATS000:act_U.S.Total</t>
  </si>
  <si>
    <t>ATS000:act_USNarrowBody</t>
  </si>
  <si>
    <t>ATS000:act_USWideBody</t>
  </si>
  <si>
    <t>ATS000:act_USRegional</t>
  </si>
  <si>
    <t>ATS000:act_Canada</t>
  </si>
  <si>
    <t>ATS000:act_Canada-nb</t>
  </si>
  <si>
    <t>ATS000:act_Canada-wb</t>
  </si>
  <si>
    <t>ATS000:act_Canada-rj</t>
  </si>
  <si>
    <t>ATS000:act_Central_Am</t>
  </si>
  <si>
    <t>ATS000:act_Central_Am-n</t>
  </si>
  <si>
    <t>ATS000:act_Central_Am-w</t>
  </si>
  <si>
    <t>ATS000:act_Central_Am-r</t>
  </si>
  <si>
    <t>ATS000:act_South_Am</t>
  </si>
  <si>
    <t>ATS000:act_South_Am-nb</t>
  </si>
  <si>
    <t>ATS000:act_South_Am-wb</t>
  </si>
  <si>
    <t>ATS000:act_South_Am-rj</t>
  </si>
  <si>
    <t>ATS000:act_Europe</t>
  </si>
  <si>
    <t>ATS000:act_Europe-nb</t>
  </si>
  <si>
    <t>ATS000:act_Europe-wb</t>
  </si>
  <si>
    <t>ATS000:act_Europe-rj</t>
  </si>
  <si>
    <t>ATS000:act_Africa</t>
  </si>
  <si>
    <t>ATS000:act_Africa-nb</t>
  </si>
  <si>
    <t>ATS000:act_Africa-wb</t>
  </si>
  <si>
    <t>ATS000:act_Africa-rj</t>
  </si>
  <si>
    <t>ATS000:act_Mideast</t>
  </si>
  <si>
    <t>ATS000:act_Mideast-nb</t>
  </si>
  <si>
    <t>ATS000:act_Mideast-wb</t>
  </si>
  <si>
    <t>ATS000:act_Mideast-rj</t>
  </si>
  <si>
    <t>ATS000:act_Russia</t>
  </si>
  <si>
    <t>ATS000:act_Russia-nb</t>
  </si>
  <si>
    <t>ATS000:act_Russia-wb</t>
  </si>
  <si>
    <t>ATS000:act_Russia-rj</t>
  </si>
  <si>
    <t>ATS000:act_China</t>
  </si>
  <si>
    <t>ATS000:act_China-nb</t>
  </si>
  <si>
    <t>ATS000:act_China-wb</t>
  </si>
  <si>
    <t>ATS000:act_China-rj</t>
  </si>
  <si>
    <t>ATS000:act_NE_Asia</t>
  </si>
  <si>
    <t>ATS000:act_NE_Asia-nb</t>
  </si>
  <si>
    <t>ATS000:act_NE_Asia-wb</t>
  </si>
  <si>
    <t>ATS000:act_NE_Asia-rj</t>
  </si>
  <si>
    <t>ATS000:act_SE_Asia</t>
  </si>
  <si>
    <t>ATS000:act_SE_Asia-nb</t>
  </si>
  <si>
    <t>ATS000:act_SE_Asia-wb</t>
  </si>
  <si>
    <t>ATS000:act_SE_Asia-rj</t>
  </si>
  <si>
    <t>ATS000:act_SW_Asia</t>
  </si>
  <si>
    <t>ATS000:act_SW_Asia-nb</t>
  </si>
  <si>
    <t>ATS000:act_SW_Asia-wb</t>
  </si>
  <si>
    <t>ATS000:act_SW_Asia-rj</t>
  </si>
  <si>
    <t>ATS000:act_Oceania</t>
  </si>
  <si>
    <t>ATS000:act_Oceania-nb</t>
  </si>
  <si>
    <t>ATS000:act_Oceania-wb</t>
  </si>
  <si>
    <t>ATS000:act_Oceania-rj</t>
  </si>
  <si>
    <t>ATS000:act_WorldTotal</t>
  </si>
  <si>
    <t>Aircraft Parked Stock</t>
  </si>
  <si>
    <t>ATS000:prk_U.S.Total</t>
  </si>
  <si>
    <t>ATS000:prk_USNarrowBody</t>
  </si>
  <si>
    <t>ATS000:prk_USWideBody</t>
  </si>
  <si>
    <t>ATS000:prk_USRegional</t>
  </si>
  <si>
    <t>ATS000:prk_Canada</t>
  </si>
  <si>
    <t>ATS000:prk_Canada-nb</t>
  </si>
  <si>
    <t>ATS000:prk_Canada-wb</t>
  </si>
  <si>
    <t>ATS000:prk_Canada-rj</t>
  </si>
  <si>
    <t>ATS000:prk_Central_Am</t>
  </si>
  <si>
    <t>ATS000:prk_Central_Am-n</t>
  </si>
  <si>
    <t>ATS000:prk_Central_Am-w</t>
  </si>
  <si>
    <t>ATS000:prk_Central_Am-r</t>
  </si>
  <si>
    <t>ATS000:prk_South_Am</t>
  </si>
  <si>
    <t>ATS000:prk_South_Am-nb</t>
  </si>
  <si>
    <t>ATS000:prk_South_Am-wb</t>
  </si>
  <si>
    <t>ATS000:prk_South_Am-rj</t>
  </si>
  <si>
    <t>ATS000:prk_Europe</t>
  </si>
  <si>
    <t>ATS000:prk_Europe-nb</t>
  </si>
  <si>
    <t>ATS000:prk_Europe-wb</t>
  </si>
  <si>
    <t>ATS000:prk_Europe-rj</t>
  </si>
  <si>
    <t>ATS000:prk_Africa</t>
  </si>
  <si>
    <t>ATS000:prk_Africa-nb</t>
  </si>
  <si>
    <t>ATS000:prk_Africa-wb</t>
  </si>
  <si>
    <t>ATS000:prk_Africa-rj</t>
  </si>
  <si>
    <t>ATS000:prk_Mideast</t>
  </si>
  <si>
    <t>ATS000:prk_Mideast-nb</t>
  </si>
  <si>
    <t>ATS000:prk_Mideast-wb</t>
  </si>
  <si>
    <t>ATS000:prk_Mideast-rj</t>
  </si>
  <si>
    <t>ATS000:prk_Russia</t>
  </si>
  <si>
    <t>ATS000:prk_Russia-nb</t>
  </si>
  <si>
    <t>ATS000:prk_Russia-wb</t>
  </si>
  <si>
    <t>ATS000:prk_Russia-rj</t>
  </si>
  <si>
    <t>ATS000:prk_China</t>
  </si>
  <si>
    <t>ATS000:prk_China-nb</t>
  </si>
  <si>
    <t>ATS000:prk_China-wb</t>
  </si>
  <si>
    <t>ATS000:prk_China-rj</t>
  </si>
  <si>
    <t>ATS000:prk_NE_Asia</t>
  </si>
  <si>
    <t>ATS000:prk_NE_Asia-nb</t>
  </si>
  <si>
    <t>ATS000:prk_NE_Asia-wb</t>
  </si>
  <si>
    <t>ATS000:prk_NE_Asia-rj</t>
  </si>
  <si>
    <t>ATS000:prk_SE_Asia</t>
  </si>
  <si>
    <t>ATS000:prk_SE_Asia-nb</t>
  </si>
  <si>
    <t>ATS000:prk_SE_Asia-wb</t>
  </si>
  <si>
    <t>ATS000:prk_SE_Asia-rj</t>
  </si>
  <si>
    <t>ATS000:prk_SW_Asia</t>
  </si>
  <si>
    <t>ATS000:prk_SW_Asia-nb</t>
  </si>
  <si>
    <t>ATS000:prk_SW_Asia-wb</t>
  </si>
  <si>
    <t>ATS000:prk_SW_Asia-rj</t>
  </si>
  <si>
    <t>ATS000:prk_Oceania</t>
  </si>
  <si>
    <t>ATS000:prk_Oceania-nb</t>
  </si>
  <si>
    <t>ATS000:prk_Oceania-wb</t>
  </si>
  <si>
    <t>ATS000:prk_Oceania-rj</t>
  </si>
  <si>
    <t>ATS000:prk_WorldTotal</t>
  </si>
  <si>
    <t>Aircraft Cargo Stock</t>
  </si>
  <si>
    <t>ATS000:crg_U.S.Total</t>
  </si>
  <si>
    <t>ATS000:crg_Canada</t>
  </si>
  <si>
    <t>ATS000:crg_Central_Am</t>
  </si>
  <si>
    <t>ATS000:crg_South_Am</t>
  </si>
  <si>
    <t>ATS000:crg_Europe</t>
  </si>
  <si>
    <t>ATS000:crg_Africa</t>
  </si>
  <si>
    <t>ATS000:crg_Mideast</t>
  </si>
  <si>
    <t>ATS000:crg_Russia</t>
  </si>
  <si>
    <t>ATS000:crg_China</t>
  </si>
  <si>
    <t>ATS000:crg_NE_Asia</t>
  </si>
  <si>
    <t>ATS000:crg_SE_Asia</t>
  </si>
  <si>
    <t>ATS000:crg_SW_Asia</t>
  </si>
  <si>
    <t>ATS000:crg_Oceania</t>
  </si>
  <si>
    <t>ATS000:crg_WorldTotal</t>
  </si>
  <si>
    <t xml:space="preserve">   Source:  Energy Information Administration, AEO2019 National Energy Modeling System run ref2019.d111618a.</t>
  </si>
  <si>
    <t>FTE000</t>
  </si>
  <si>
    <t>50. Freight Transportation Energy Use</t>
  </si>
  <si>
    <t xml:space="preserve"> Technology and Fuel Type</t>
  </si>
  <si>
    <t>Freight Truck Stock by Size Class</t>
  </si>
  <si>
    <t xml:space="preserve">  Vehicle Miles Traveled (billion miles)</t>
  </si>
  <si>
    <t xml:space="preserve">    Light Medium</t>
  </si>
  <si>
    <t>FTE000:lm_vmt_stk_Dies</t>
  </si>
  <si>
    <t xml:space="preserve">      Diesel</t>
  </si>
  <si>
    <t>FTE000:lm_vmt_stk_Gas</t>
  </si>
  <si>
    <t xml:space="preserve">      Motor Gasoline</t>
  </si>
  <si>
    <t>FTE000:lm_vmt_stk_Liq</t>
  </si>
  <si>
    <t xml:space="preserve">      Propane</t>
  </si>
  <si>
    <t>FTE000:lm_vmt_stk_NGas</t>
  </si>
  <si>
    <t xml:space="preserve">      Compressed/Liquefied Natural Gas</t>
  </si>
  <si>
    <t>FTE000:lm_vmt_stk_eff</t>
  </si>
  <si>
    <t xml:space="preserve">      Ethanol-Flex Fuel</t>
  </si>
  <si>
    <t>FTE000:lm_vmt_stk_elec</t>
  </si>
  <si>
    <t xml:space="preserve">      Electric</t>
  </si>
  <si>
    <t>FTE000:lm_vmt_stk_pidh</t>
  </si>
  <si>
    <t xml:space="preserve">      Plug-in Diesel Hybrid</t>
  </si>
  <si>
    <t>FTE000:lm_vmt_stk_pigh</t>
  </si>
  <si>
    <t xml:space="preserve">      Plug-in Gasoline Hybrid</t>
  </si>
  <si>
    <t>FTE000:lm_vmt_stk_cell</t>
  </si>
  <si>
    <t xml:space="preserve">      Fuel Cell</t>
  </si>
  <si>
    <t>FTE000:lm_vmt_stk_total</t>
  </si>
  <si>
    <t xml:space="preserve">        Light Medium Subtotal</t>
  </si>
  <si>
    <t xml:space="preserve">    Medium</t>
  </si>
  <si>
    <t>FTE000:ca_Diesel</t>
  </si>
  <si>
    <t>FTE000:ca_Gasoline</t>
  </si>
  <si>
    <t>FTE000:ca_LiquefiedPetr</t>
  </si>
  <si>
    <t>FTE000:ca_CompressedNat</t>
  </si>
  <si>
    <t>FTE000:ca_ethanolflex</t>
  </si>
  <si>
    <t>FTE000:ca_electric</t>
  </si>
  <si>
    <t>FTE000:ca_plugindiesel</t>
  </si>
  <si>
    <t>FTE000:ca_plugingasolin</t>
  </si>
  <si>
    <t>FTE000:ca_fuelcell</t>
  </si>
  <si>
    <t>FTE000:ca_MediumSubtota</t>
  </si>
  <si>
    <t xml:space="preserve">        Medium Subtotal</t>
  </si>
  <si>
    <t xml:space="preserve">    Heavy</t>
  </si>
  <si>
    <t>FTE000:da_Diesel</t>
  </si>
  <si>
    <t>FTE000:da_Gasoline</t>
  </si>
  <si>
    <t>FTE000:da_LiquefiedPetr</t>
  </si>
  <si>
    <t>FTE000:da_CompressedNat</t>
  </si>
  <si>
    <t>FTE000:da_ethanolflex</t>
  </si>
  <si>
    <t>FTE000:da_electric</t>
  </si>
  <si>
    <t>FTE000:da_plugindiesel</t>
  </si>
  <si>
    <t>FTE000:da_plugingasolin</t>
  </si>
  <si>
    <t>FTE000:da_fuelcell</t>
  </si>
  <si>
    <t>FTE000:da_HeavySubtotal</t>
  </si>
  <si>
    <t xml:space="preserve">        Heavy Subtotal</t>
  </si>
  <si>
    <t>FTE000:da_TotalVehicleM</t>
  </si>
  <si>
    <t xml:space="preserve">  Total Vehicle Miles Traveled</t>
  </si>
  <si>
    <t xml:space="preserve">  Consumption (trillion Btu)</t>
  </si>
  <si>
    <t>FTE000:lm_use_stk_Dies</t>
  </si>
  <si>
    <t>FTE000:lm_use_stk_Gas</t>
  </si>
  <si>
    <t>FTE000:lm_use_stk_Liq</t>
  </si>
  <si>
    <t>FTE000:lm_use_stk_NGas</t>
  </si>
  <si>
    <t>FTE000:lm_use_stk_flex</t>
  </si>
  <si>
    <t>FTE000:lm_use_stk_elect</t>
  </si>
  <si>
    <t>FTE000:lm_use_stk_plugd</t>
  </si>
  <si>
    <t>FTE000:lm_use_stk_plugg</t>
  </si>
  <si>
    <t>FTE000:lm_use_stk_sell</t>
  </si>
  <si>
    <t>FTE000:lm_use_stk_total</t>
  </si>
  <si>
    <t>FTE000:ea_Diesel</t>
  </si>
  <si>
    <t>FTE000:ea_Gasoline</t>
  </si>
  <si>
    <t>FTE000:ea_LiquefiedPetr</t>
  </si>
  <si>
    <t>FTE000:ea_CompressedNat</t>
  </si>
  <si>
    <t>FTE000:ea_ethanolflex</t>
  </si>
  <si>
    <t>FTE000:ea_electric</t>
  </si>
  <si>
    <t>FTE000:ea_plugindiesel</t>
  </si>
  <si>
    <t>FTE000:ea_plugingasolin</t>
  </si>
  <si>
    <t>FTE000:ea_fuelcell</t>
  </si>
  <si>
    <t>FTE000:ea_MediumSubtota</t>
  </si>
  <si>
    <t>FTE000:fa_Diesel</t>
  </si>
  <si>
    <t>FTE000:fa_Gasoline</t>
  </si>
  <si>
    <t>FTE000:fa_LiquefiedPetr</t>
  </si>
  <si>
    <t>FTE000:fa_CompressedNat</t>
  </si>
  <si>
    <t>FTE000:fa_ethanolflex</t>
  </si>
  <si>
    <t>FTE000:fa_electric</t>
  </si>
  <si>
    <t>FTE000:fa_plugindiesel</t>
  </si>
  <si>
    <t>FTE000:fa_plugingasolin</t>
  </si>
  <si>
    <t>FTE000:fa_fuelcell</t>
  </si>
  <si>
    <t>FTE000:fa_HeavySubtotal</t>
  </si>
  <si>
    <t xml:space="preserve">    Light Medium, Medium, and Heavy Total</t>
  </si>
  <si>
    <t>FTE000:ga_Diesel</t>
  </si>
  <si>
    <t>FTE000:ga_Gasoline</t>
  </si>
  <si>
    <t>FTE000:ga_LiquefiedPetr</t>
  </si>
  <si>
    <t>FTE000:ga_CompressedNat</t>
  </si>
  <si>
    <t>FTE000:ga_ethanolflex</t>
  </si>
  <si>
    <t>FTE000:ga_electric</t>
  </si>
  <si>
    <t>FTE000:ga_plugindiesel</t>
  </si>
  <si>
    <t>FTE000:ga_plugingasolin</t>
  </si>
  <si>
    <t>FTE000:ga_fuelcell</t>
  </si>
  <si>
    <t>FTE000:ga_Total</t>
  </si>
  <si>
    <t xml:space="preserve">        Total Consumption</t>
  </si>
  <si>
    <t xml:space="preserve">  Fuel Efficiency (miles per gallon)</t>
  </si>
  <si>
    <t>FTE000:lm_mpg_stk_Dies</t>
  </si>
  <si>
    <t>FTE000:lm_mpg_stk_Gas</t>
  </si>
  <si>
    <t>FTE000:lm_mpg_stk_Liq</t>
  </si>
  <si>
    <t>FTE000:lm_mpg_stk_NGas</t>
  </si>
  <si>
    <t>FTE000:lm_mpg_stk_fleck</t>
  </si>
  <si>
    <t>FTE000:lm_mpg_stk_eleck</t>
  </si>
  <si>
    <t>FTE000:lm_mpg_stk_diehy</t>
  </si>
  <si>
    <t>FTE000:lm_mpg_stk_gashy</t>
  </si>
  <si>
    <t>FTE000:lm_mpg_stk_cel</t>
  </si>
  <si>
    <t>FTE000:lm_mpg_stk_total</t>
  </si>
  <si>
    <t xml:space="preserve">        Light Medium Average</t>
  </si>
  <si>
    <t>FTE000:ha_Diesel</t>
  </si>
  <si>
    <t>FTE000:ha_Gasoline</t>
  </si>
  <si>
    <t>FTE000:ha_LiquefiedPetr</t>
  </si>
  <si>
    <t>FTE000:ha_CompressedNat</t>
  </si>
  <si>
    <t>FTE000:ha_ethanolflex</t>
  </si>
  <si>
    <t>FTE000:ha_electric</t>
  </si>
  <si>
    <t>FTE000:ha_plugindiesel</t>
  </si>
  <si>
    <t>FTE000:ha_plugingasolin</t>
  </si>
  <si>
    <t>FTE000:ha_fuelcell</t>
  </si>
  <si>
    <t>FTE000:ha_MediumAverage</t>
  </si>
  <si>
    <t xml:space="preserve">        Medium Average</t>
  </si>
  <si>
    <t>FTE000:ia_Diesel</t>
  </si>
  <si>
    <t>FTE000:ia_Gasoline</t>
  </si>
  <si>
    <t>FTE000:ia_LiquefiedPetr</t>
  </si>
  <si>
    <t>FTE000:ia_CompressedNat</t>
  </si>
  <si>
    <t>FTE000:ia_ethanolflex</t>
  </si>
  <si>
    <t>FTE000:ia_electric</t>
  </si>
  <si>
    <t>FTE000:ia_plugindiesel</t>
  </si>
  <si>
    <t>FTE000:ia_plugingasolin</t>
  </si>
  <si>
    <t>FTE000:ia_fuelcell</t>
  </si>
  <si>
    <t>FTE000:ia_HeavyAverage</t>
  </si>
  <si>
    <t xml:space="preserve">        Heavy Average</t>
  </si>
  <si>
    <t>FTE000:ia_Average</t>
  </si>
  <si>
    <t xml:space="preserve">  Average Fuel Efficiency</t>
  </si>
  <si>
    <t xml:space="preserve">  Stock (millions)</t>
  </si>
  <si>
    <t>FTE000:lm_stk_stk_Dies</t>
  </si>
  <si>
    <t>FTE000:lm_stk_stk_Gas</t>
  </si>
  <si>
    <t>FTE000:lm_stk_stk_Liq</t>
  </si>
  <si>
    <t>FTE000:lm_stk_stk_NGas</t>
  </si>
  <si>
    <t>FTE000:lm_stk_stk_flux</t>
  </si>
  <si>
    <t>FTE000:lm_stk_stk_el</t>
  </si>
  <si>
    <t>FTE000:lm_stk_stk_inDie</t>
  </si>
  <si>
    <t>FTE000:lm_stk_stk_inGas</t>
  </si>
  <si>
    <t>FTE000:lm_stk_stk_FuelC</t>
  </si>
  <si>
    <t>FTE000:lm_stk_stk_total</t>
  </si>
  <si>
    <t>FTE000:ja_Diesel</t>
  </si>
  <si>
    <t>FTE000:ja_Gasoline</t>
  </si>
  <si>
    <t>FTE000:ja_LiquefiedPetr</t>
  </si>
  <si>
    <t>FTE000:ja_CompressedNat</t>
  </si>
  <si>
    <t>FTE000:ja_ethanolflex</t>
  </si>
  <si>
    <t>FTE000:ja_electric</t>
  </si>
  <si>
    <t>FTE000:ja_plugindiesel</t>
  </si>
  <si>
    <t>FTE000:ja_plugingasolin</t>
  </si>
  <si>
    <t>FTE000:ja_fuelcell</t>
  </si>
  <si>
    <t>FTE000:ja_MediumSubtota</t>
  </si>
  <si>
    <t>FTE000:ka_Diesel</t>
  </si>
  <si>
    <t>FTE000:ka_Gasoline</t>
  </si>
  <si>
    <t>FTE000:ka_LiquefiedPetr</t>
  </si>
  <si>
    <t>FTE000:ka_CompressedNat</t>
  </si>
  <si>
    <t>FTE000:ka_ethanolflex</t>
  </si>
  <si>
    <t>FTE000:ka_electric</t>
  </si>
  <si>
    <t>FTE000:ka_plugindiesel</t>
  </si>
  <si>
    <t>FTE000:ka_plugingasolin</t>
  </si>
  <si>
    <t>FTE000:ka_fuelcell</t>
  </si>
  <si>
    <t>FTE000:ka_HeavySubtotal</t>
  </si>
  <si>
    <t>FTE000:ka_TotalStock</t>
  </si>
  <si>
    <t xml:space="preserve">  Total Stock</t>
  </si>
  <si>
    <t>New Trucks by Size Class</t>
  </si>
  <si>
    <t>FTE000:lm_mpg_new_Dies</t>
  </si>
  <si>
    <t>FTE000:lm_mpg_new_Gas</t>
  </si>
  <si>
    <t>FTE000:lm_mpg_new_Liq</t>
  </si>
  <si>
    <t>FTE000:lm_mpg_new_NGas</t>
  </si>
  <si>
    <t>FTE000:lm_mpg_new_Ethfl</t>
  </si>
  <si>
    <t>FTE000:lm_mpg_new_lectr</t>
  </si>
  <si>
    <t>FTE000:lm_mpg_new_PlgDs</t>
  </si>
  <si>
    <t>FTE000:lm_mpg_new_PlgGs</t>
  </si>
  <si>
    <t>FTE000:lm_mpg_new_FuCel</t>
  </si>
  <si>
    <t>FTE000:lm_mpg_new_total</t>
  </si>
  <si>
    <t>FTE000:ma_Diesel</t>
  </si>
  <si>
    <t>FTE000:ma_Gasoline</t>
  </si>
  <si>
    <t>FTE000:ma_LiquefiedPetr</t>
  </si>
  <si>
    <t>FTE000:ma_CompressedNat</t>
  </si>
  <si>
    <t>FTE000:ma_ethanolflex</t>
  </si>
  <si>
    <t>FTE000:ma_electric</t>
  </si>
  <si>
    <t>FTE000:ma_plugindiesel</t>
  </si>
  <si>
    <t>FTE000:ma_plugingasolin</t>
  </si>
  <si>
    <t>FTE000:ma_fuelcell</t>
  </si>
  <si>
    <t>FTE000:ma_MediumAverage</t>
  </si>
  <si>
    <t>FTE000:na_Diesel</t>
  </si>
  <si>
    <t>FTE000:na_Gasoline</t>
  </si>
  <si>
    <t>FTE000:na_LiquefiedPetr</t>
  </si>
  <si>
    <t>FTE000:na_CompressedNat</t>
  </si>
  <si>
    <t>FTE000:na_ethanolflex</t>
  </si>
  <si>
    <t>FTE000:na_electric</t>
  </si>
  <si>
    <t>FTE000:na_plugindiesel</t>
  </si>
  <si>
    <t>FTE000:na_plugingasolin</t>
  </si>
  <si>
    <t>FTE000:na_fuelcell</t>
  </si>
  <si>
    <t>FTE000:na_HeavyAverage</t>
  </si>
  <si>
    <t>FTE000:na_Average</t>
  </si>
  <si>
    <t xml:space="preserve">  Sales (thousands)</t>
  </si>
  <si>
    <t>FTE000:lm_sal_new_Dies</t>
  </si>
  <si>
    <t>FTE000:lm_sal_new_Gas</t>
  </si>
  <si>
    <t>FTE000:lm_sal_new_Liq</t>
  </si>
  <si>
    <t>FTE000:lm_sal_new_NGas</t>
  </si>
  <si>
    <t>FTE000:lm_sal_new_flxfl</t>
  </si>
  <si>
    <t>FTE000:lm_sal_new_lctrc</t>
  </si>
  <si>
    <t>FTE000:lm_sal_new_PiDH</t>
  </si>
  <si>
    <t>FTE000:lm_sal_new_PiGH</t>
  </si>
  <si>
    <t>FTE000:lm_sal_new_FlCll</t>
  </si>
  <si>
    <t>FTE000:lm_sal_new_total</t>
  </si>
  <si>
    <t>FTE000:oa_Diesel</t>
  </si>
  <si>
    <t>FTE000:oa_Gasoline</t>
  </si>
  <si>
    <t>FTE000:oa_LiquefiedPetr</t>
  </si>
  <si>
    <t>FTE000:oa_CompressedNat</t>
  </si>
  <si>
    <t>FTE000:oa_ethanolflex</t>
  </si>
  <si>
    <t>FTE000:oa_electric</t>
  </si>
  <si>
    <t>FTE000:oa_plugindiesel</t>
  </si>
  <si>
    <t>FTE000:oa_plugingasolin</t>
  </si>
  <si>
    <t>FTE000:oa_fuelcell</t>
  </si>
  <si>
    <t>FTE000:oa_MediumSubtota</t>
  </si>
  <si>
    <t>FTE000:pa_Diesel</t>
  </si>
  <si>
    <t>FTE000:pa_Gasoline</t>
  </si>
  <si>
    <t>FTE000:pa_LiquefiedPetr</t>
  </si>
  <si>
    <t>FTE000:pa_CompressedNat</t>
  </si>
  <si>
    <t>FTE000:pa_ethanolflex</t>
  </si>
  <si>
    <t>FTE000:pa_electric</t>
  </si>
  <si>
    <t>FTE000:pa_plugindiesel</t>
  </si>
  <si>
    <t>FTE000:pa_plugingasolin</t>
  </si>
  <si>
    <t>FTE000:pa_fuelcell</t>
  </si>
  <si>
    <t>FTE000:pa_HeavySubtotal</t>
  </si>
  <si>
    <t>FTE000:pa_TotalSales</t>
  </si>
  <si>
    <t xml:space="preserve">  Total Sales</t>
  </si>
  <si>
    <t>Railroads</t>
  </si>
  <si>
    <t>FTE000:qa_TonMilesbyRai</t>
  </si>
  <si>
    <t xml:space="preserve"> Ton Miles by Rail (billion)</t>
  </si>
  <si>
    <t>FTE000:qa_FuelEfficienc</t>
  </si>
  <si>
    <t xml:space="preserve"> Fuel Efficiency (ton miles per thousand Btu)</t>
  </si>
  <si>
    <t xml:space="preserve"> Fuel Consumption (trillion Btu)</t>
  </si>
  <si>
    <t>FTE000:qa_Distillate(di</t>
  </si>
  <si>
    <t xml:space="preserve">   Distillate Fuel Oil (diesel)</t>
  </si>
  <si>
    <t>FTE000:qa_ResidualOil</t>
  </si>
  <si>
    <t xml:space="preserve">   Residual Fuel Oil</t>
  </si>
  <si>
    <t>FTE000:qa_Electricity</t>
  </si>
  <si>
    <t xml:space="preserve">   Compressed Natural Gas</t>
  </si>
  <si>
    <t>FTE000:qa_ElEnGee</t>
  </si>
  <si>
    <t xml:space="preserve">   Liquefied Natural Gas</t>
  </si>
  <si>
    <t>FTE000:ra_TonMilesShipp</t>
  </si>
  <si>
    <t xml:space="preserve"> Ton Miles Shipping (billion)</t>
  </si>
  <si>
    <t>FTE000:ra_FuelEfficienc</t>
  </si>
  <si>
    <t>FTE000:ra_Distillate(di</t>
  </si>
  <si>
    <t>FTE000:ra_ResidualOil</t>
  </si>
  <si>
    <t>FTE000:ra_MotorGasoline</t>
  </si>
  <si>
    <t>FTE000:ra_ElEnGee</t>
  </si>
  <si>
    <t>FTE000:sa_GrossTrade(bi</t>
  </si>
  <si>
    <t xml:space="preserve"> Gross Trade (billion 2009 dollars)</t>
  </si>
  <si>
    <t>FTE000:sa_Exports(billi</t>
  </si>
  <si>
    <t xml:space="preserve"> Exports (billion 2009 dollars)</t>
  </si>
  <si>
    <t>FTE000:sa_Imports(billi</t>
  </si>
  <si>
    <t xml:space="preserve"> Imports (billion 2009 dollars)</t>
  </si>
  <si>
    <t>FTE000:sa_Distillate(di</t>
  </si>
  <si>
    <t>FTE000:sa_ResidualOil</t>
  </si>
  <si>
    <t>FTE000:sa_SeeEnGee</t>
  </si>
  <si>
    <t>FTE000:sa_ElEnGee</t>
  </si>
  <si>
    <t xml:space="preserve">   MPG = Miles per gallon.</t>
  </si>
  <si>
    <t xml:space="preserve">   Sources:  2017 values derived using:  Oak Ridge National Laboratory, Transportation Energy Data</t>
  </si>
  <si>
    <t>Book:  Edition 36; U.S. Department of Commerce, Bureau of the Census, "Vehicle Inventory and Use Survey," EC02TV;</t>
  </si>
  <si>
    <t>Federal Highway Administration, Highway Statistics 2016; U.S. Department of Transportation, Surface</t>
  </si>
  <si>
    <t>Transportation Board, Annual Reports R-1 Selected Schedules and Complete Annual Reports; U.S. Department of Defense,</t>
  </si>
  <si>
    <t>U.S. Army Corps of Engineers, 2015 Waterborne Commerce in the United States, Part 5; and U.S. Energy Information</t>
  </si>
  <si>
    <t>Administration (EIA), AEO2019 National Energy Modeling System run ref2019.d111618a.  2018:  EIA,</t>
  </si>
  <si>
    <t>Short-Term Energy Outlook, October 2018 and EIA, AEO2019 National Energy Modeling System run ref2019.d111618a.</t>
  </si>
  <si>
    <r>
      <rPr>
        <b/>
        <sz val="12"/>
        <color theme="1"/>
        <rFont val="Arial"/>
        <family val="2"/>
      </rPr>
      <t>Table 1-11:</t>
    </r>
    <r>
      <rPr>
        <b/>
        <sz val="14"/>
        <color theme="1"/>
        <rFont val="Arial"/>
        <family val="2"/>
      </rPr>
      <t xml:space="preserve"> </t>
    </r>
    <r>
      <rPr>
        <b/>
        <sz val="12"/>
        <color theme="1"/>
        <rFont val="Arial"/>
        <family val="2"/>
      </rPr>
      <t>Number of U.S. Aircraft, Vehicles, Vessels, and Other Conveyances</t>
    </r>
  </si>
  <si>
    <t>Air</t>
  </si>
  <si>
    <r>
      <rPr>
        <sz val="11"/>
        <color theme="1"/>
        <rFont val="Arial Narrow"/>
        <family val="2"/>
      </rPr>
      <t>Air carrier</t>
    </r>
    <r>
      <rPr>
        <vertAlign val="superscript"/>
        <sz val="11"/>
        <color theme="1"/>
        <rFont val="Arial Narrow"/>
        <family val="2"/>
      </rPr>
      <t>a</t>
    </r>
  </si>
  <si>
    <r>
      <rPr>
        <sz val="11"/>
        <color theme="1"/>
        <rFont val="Arial Narrow"/>
        <family val="2"/>
      </rPr>
      <t>General aviation</t>
    </r>
    <r>
      <rPr>
        <vertAlign val="superscript"/>
        <sz val="11"/>
        <color theme="1"/>
        <rFont val="Arial Narrow"/>
        <family val="2"/>
      </rPr>
      <t xml:space="preserve">b </t>
    </r>
    <r>
      <rPr>
        <sz val="11"/>
        <color theme="1"/>
        <rFont val="Arial Narrow"/>
        <family val="2"/>
      </rPr>
      <t>(active fleet)</t>
    </r>
  </si>
  <si>
    <t>U</t>
  </si>
  <si>
    <t>Highway, total (registered vehicles)</t>
  </si>
  <si>
    <r>
      <rPr>
        <sz val="11"/>
        <color theme="1"/>
        <rFont val="Arial Narrow"/>
        <family val="2"/>
      </rPr>
      <t>Light duty vehicle, short wheel base</t>
    </r>
    <r>
      <rPr>
        <vertAlign val="superscript"/>
        <sz val="11"/>
        <color theme="1"/>
        <rFont val="Arial Narrow"/>
        <family val="2"/>
      </rPr>
      <t>c</t>
    </r>
  </si>
  <si>
    <t>N</t>
  </si>
  <si>
    <r>
      <rPr>
        <sz val="11"/>
        <color theme="1"/>
        <rFont val="Arial Narrow"/>
        <family val="2"/>
      </rPr>
      <t>Passenger cars</t>
    </r>
    <r>
      <rPr>
        <vertAlign val="superscript"/>
        <sz val="11"/>
        <color theme="1"/>
        <rFont val="Arial Narrow"/>
        <family val="2"/>
      </rPr>
      <t>c</t>
    </r>
  </si>
  <si>
    <t>Motorcycle</t>
  </si>
  <si>
    <r>
      <rPr>
        <sz val="11"/>
        <color theme="1"/>
        <rFont val="Arial Narrow"/>
        <family val="2"/>
      </rPr>
      <t>Light duty vehicle, long wheel base</t>
    </r>
    <r>
      <rPr>
        <vertAlign val="superscript"/>
        <sz val="11"/>
        <color theme="1"/>
        <rFont val="Arial Narrow"/>
        <family val="2"/>
      </rPr>
      <t>c</t>
    </r>
  </si>
  <si>
    <r>
      <rPr>
        <sz val="11"/>
        <color theme="1"/>
        <rFont val="Arial Narrow"/>
        <family val="2"/>
      </rPr>
      <t>Other 2-axle 4-tire vehicles</t>
    </r>
    <r>
      <rPr>
        <vertAlign val="superscript"/>
        <sz val="11"/>
        <color theme="1"/>
        <rFont val="Arial Narrow"/>
        <family val="2"/>
      </rPr>
      <t>c</t>
    </r>
  </si>
  <si>
    <r>
      <rPr>
        <sz val="11"/>
        <color theme="1"/>
        <rFont val="Arial Narrow"/>
        <family val="2"/>
      </rPr>
      <t>Truck, single-unit 2-axle 6-tire or more</t>
    </r>
    <r>
      <rPr>
        <vertAlign val="superscript"/>
        <sz val="11"/>
        <color theme="1"/>
        <rFont val="Arial Narrow"/>
        <family val="2"/>
      </rPr>
      <t>c,d,e</t>
    </r>
  </si>
  <si>
    <r>
      <rPr>
        <sz val="11"/>
        <color theme="1"/>
        <rFont val="Arial Narrow"/>
        <family val="2"/>
      </rPr>
      <t>Truck, combination</t>
    </r>
    <r>
      <rPr>
        <vertAlign val="superscript"/>
        <sz val="11"/>
        <color theme="1"/>
        <rFont val="Arial Narrow"/>
        <family val="2"/>
      </rPr>
      <t>d,e</t>
    </r>
  </si>
  <si>
    <r>
      <rPr>
        <b/>
        <sz val="11"/>
        <color theme="1"/>
        <rFont val="Arial Narrow"/>
        <family val="2"/>
      </rPr>
      <t>Transit</t>
    </r>
    <r>
      <rPr>
        <b/>
        <vertAlign val="superscript"/>
        <sz val="11"/>
        <color theme="1"/>
        <rFont val="Arial Narrow"/>
        <family val="2"/>
      </rPr>
      <t>f</t>
    </r>
  </si>
  <si>
    <r>
      <rPr>
        <sz val="11"/>
        <color theme="1"/>
        <rFont val="Arial Narrow"/>
        <family val="2"/>
      </rPr>
      <t>Motor bus</t>
    </r>
    <r>
      <rPr>
        <vertAlign val="superscript"/>
        <sz val="11"/>
        <color theme="1"/>
        <rFont val="Arial Narrow"/>
        <family val="2"/>
      </rPr>
      <t>g</t>
    </r>
  </si>
  <si>
    <r>
      <rPr>
        <sz val="11"/>
        <color theme="1"/>
        <rFont val="Arial Narrow"/>
        <family val="2"/>
      </rPr>
      <t>Light rail cars</t>
    </r>
    <r>
      <rPr>
        <vertAlign val="superscript"/>
        <sz val="11"/>
        <color theme="1"/>
        <rFont val="Arial Narrow"/>
        <family val="2"/>
      </rPr>
      <t>h</t>
    </r>
  </si>
  <si>
    <t>Heavy rail cars</t>
  </si>
  <si>
    <t>Trolley bus</t>
  </si>
  <si>
    <t>Commuter rail cars and locomotives</t>
  </si>
  <si>
    <t>Demand responsive</t>
  </si>
  <si>
    <r>
      <rPr>
        <sz val="11"/>
        <color theme="1"/>
        <rFont val="Arial Narrow"/>
        <family val="2"/>
      </rPr>
      <t>Other</t>
    </r>
    <r>
      <rPr>
        <vertAlign val="superscript"/>
        <sz val="11"/>
        <color theme="1"/>
        <rFont val="Arial Narrow"/>
        <family val="2"/>
      </rPr>
      <t>i</t>
    </r>
  </si>
  <si>
    <t>Rail</t>
  </si>
  <si>
    <t>Class I, freight cars</t>
  </si>
  <si>
    <t>Class I, locomotive</t>
  </si>
  <si>
    <t>Nonclass I freight cars</t>
  </si>
  <si>
    <t>Car companies and shippers freight cars</t>
  </si>
  <si>
    <t>Amtrak, passenger train car</t>
  </si>
  <si>
    <t>Amtrak, locomotive</t>
  </si>
  <si>
    <t xml:space="preserve">Water </t>
  </si>
  <si>
    <r>
      <rPr>
        <sz val="11"/>
        <color theme="1"/>
        <rFont val="Arial Narrow"/>
        <family val="2"/>
      </rPr>
      <t>Nonself-propelled vessels</t>
    </r>
    <r>
      <rPr>
        <vertAlign val="superscript"/>
        <sz val="11"/>
        <color theme="1"/>
        <rFont val="Arial Narrow"/>
        <family val="2"/>
      </rPr>
      <t>j,k</t>
    </r>
  </si>
  <si>
    <r>
      <rPr>
        <sz val="11"/>
        <color theme="1"/>
        <rFont val="Arial Narrow"/>
        <family val="2"/>
      </rPr>
      <t>Self-propelled vessels</t>
    </r>
    <r>
      <rPr>
        <vertAlign val="superscript"/>
        <sz val="11"/>
        <color theme="1"/>
        <rFont val="Arial Narrow"/>
        <family val="2"/>
      </rPr>
      <t>n,l</t>
    </r>
  </si>
  <si>
    <r>
      <rPr>
        <sz val="11"/>
        <color theme="1"/>
        <rFont val="Arial Narrow"/>
        <family val="2"/>
      </rPr>
      <t>Oceangoing self-propelled vessels (1,000 gross tons and over)</t>
    </r>
    <r>
      <rPr>
        <vertAlign val="superscript"/>
        <sz val="11"/>
        <color theme="1"/>
        <rFont val="Arial Narrow"/>
        <family val="2"/>
      </rPr>
      <t>m,o</t>
    </r>
  </si>
  <si>
    <r>
      <rPr>
        <sz val="11"/>
        <color theme="1"/>
        <rFont val="Arial Narrow"/>
        <family val="2"/>
      </rPr>
      <t>Recreational boats</t>
    </r>
    <r>
      <rPr>
        <vertAlign val="superscript"/>
        <sz val="11"/>
        <color theme="1"/>
        <rFont val="Arial Narrow"/>
        <family val="2"/>
      </rPr>
      <t>n</t>
    </r>
  </si>
  <si>
    <r>
      <rPr>
        <b/>
        <sz val="9"/>
        <color theme="1"/>
        <rFont val="Arial"/>
        <family val="2"/>
      </rPr>
      <t>KEY:</t>
    </r>
    <r>
      <rPr>
        <sz val="9"/>
        <color theme="1"/>
        <rFont val="Arial"/>
        <family val="2"/>
      </rPr>
      <t xml:space="preserve"> N = data do not exist; U = data are not available; R = revised.</t>
    </r>
  </si>
  <si>
    <r>
      <rPr>
        <sz val="9"/>
        <color theme="1"/>
        <rFont val="Arial"/>
        <family val="2"/>
      </rPr>
      <t>a</t>
    </r>
    <r>
      <rPr>
        <sz val="9"/>
        <color theme="1"/>
        <rFont val="Arial"/>
        <family val="2"/>
      </rPr>
      <t xml:space="preserve"> </t>
    </r>
    <r>
      <rPr>
        <i/>
        <sz val="9"/>
        <color theme="1"/>
        <rFont val="Arial"/>
        <family val="2"/>
      </rPr>
      <t xml:space="preserve">Air carrier </t>
    </r>
    <r>
      <rPr>
        <sz val="9"/>
        <color theme="1"/>
        <rFont val="Arial"/>
        <family val="2"/>
      </rPr>
      <t>aircraft are those carrying passengers or cargo for hire under 14 CFR 121 and 14 CFR 135. Beginning in 1990, the number of aircraft is the monthly average of the number of aircraft reported in use for the last three months of the year. Prior to 1990, it was the number of aircraft reported in use during December of a given year.</t>
    </r>
  </si>
  <si>
    <r>
      <rPr>
        <sz val="9"/>
        <color theme="1"/>
        <rFont val="Arial"/>
        <family val="2"/>
      </rPr>
      <t>b</t>
    </r>
    <r>
      <rPr>
        <sz val="9"/>
        <color theme="1"/>
        <rFont val="Arial"/>
        <family val="2"/>
      </rPr>
      <t xml:space="preserve"> 1991-94 data revised to reflect changes in adjustment for nonresponse bias with 1996 telephone survey factors; 1995-97 data may not be comparable to 1994 and earlier years due to changes in methodology. Includes air taxi aircraft. Beginning in 2004, commuter activity is excluded from all estimates. Commuter activity was included in the air taxi use category in 2003 and prior.</t>
    </r>
  </si>
  <si>
    <r>
      <rPr>
        <sz val="9"/>
        <color theme="1"/>
        <rFont val="Arial"/>
        <family val="2"/>
      </rPr>
      <t xml:space="preserve">c </t>
    </r>
    <r>
      <rPr>
        <sz val="9"/>
        <color theme="1"/>
        <rFont val="Arial"/>
        <family val="2"/>
      </rPr>
      <t xml:space="preserve">1960-2006 data are for </t>
    </r>
    <r>
      <rPr>
        <i/>
        <sz val="9"/>
        <color theme="1"/>
        <rFont val="Arial"/>
        <family val="2"/>
      </rPr>
      <t>Passenger Cars</t>
    </r>
    <r>
      <rPr>
        <sz val="9"/>
        <color theme="1"/>
        <rFont val="Arial"/>
        <family val="2"/>
      </rPr>
      <t xml:space="preserve"> and </t>
    </r>
    <r>
      <rPr>
        <i/>
        <sz val="9"/>
        <color theme="1"/>
        <rFont val="Arial"/>
        <family val="2"/>
      </rPr>
      <t>Other 2-axle, 4-tire vehicles</t>
    </r>
    <r>
      <rPr>
        <sz val="9"/>
        <color theme="1"/>
        <rFont val="Arial"/>
        <family val="2"/>
      </rPr>
      <t xml:space="preserve">, respectively. Data for 1960-2006 are not comparable to data for 2007-15. </t>
    </r>
  </si>
  <si>
    <r>
      <rPr>
        <sz val="9"/>
        <color theme="1"/>
        <rFont val="Arial"/>
        <family val="2"/>
      </rPr>
      <t xml:space="preserve">d </t>
    </r>
    <r>
      <rPr>
        <sz val="9"/>
        <color theme="1"/>
        <rFont val="Arial"/>
        <family val="2"/>
      </rPr>
      <t xml:space="preserve">In 1960, this category includes all </t>
    </r>
    <r>
      <rPr>
        <i/>
        <sz val="9"/>
        <color theme="1"/>
        <rFont val="Arial"/>
        <family val="2"/>
      </rPr>
      <t>Trucks</t>
    </r>
    <r>
      <rPr>
        <sz val="9"/>
        <color theme="1"/>
        <rFont val="Arial"/>
        <family val="2"/>
      </rPr>
      <t xml:space="preserve"> and </t>
    </r>
    <r>
      <rPr>
        <i/>
        <sz val="9"/>
        <color theme="1"/>
        <rFont val="Arial"/>
        <family val="2"/>
      </rPr>
      <t>Other 2-axle 4-tire vehicles</t>
    </r>
    <r>
      <rPr>
        <sz val="9"/>
        <color theme="1"/>
        <rFont val="Arial"/>
        <family val="2"/>
      </rPr>
      <t>.</t>
    </r>
  </si>
  <si>
    <r>
      <rPr>
        <sz val="9"/>
        <color theme="1"/>
        <rFont val="Arial"/>
        <family val="2"/>
      </rPr>
      <t>e</t>
    </r>
    <r>
      <rPr>
        <sz val="9"/>
        <color theme="1"/>
        <rFont val="Arial"/>
        <family val="2"/>
      </rPr>
      <t xml:space="preserve"> 1965: </t>
    </r>
    <r>
      <rPr>
        <i/>
        <sz val="9"/>
        <color theme="1"/>
        <rFont val="Arial"/>
        <family val="2"/>
      </rPr>
      <t>Other 2-axle 4-tire vehicle</t>
    </r>
    <r>
      <rPr>
        <sz val="9"/>
        <color theme="1"/>
        <rFont val="Arial"/>
        <family val="2"/>
      </rPr>
      <t xml:space="preserve"> data included in all</t>
    </r>
    <r>
      <rPr>
        <i/>
        <sz val="9"/>
        <color theme="1"/>
        <rFont val="Arial"/>
        <family val="2"/>
      </rPr>
      <t xml:space="preserve"> Trucks</t>
    </r>
    <r>
      <rPr>
        <sz val="9"/>
        <color theme="1"/>
        <rFont val="Arial"/>
        <family val="2"/>
      </rPr>
      <t>.</t>
    </r>
  </si>
  <si>
    <r>
      <rPr>
        <sz val="9"/>
        <color theme="1"/>
        <rFont val="Arial"/>
        <family val="2"/>
      </rPr>
      <t xml:space="preserve">f </t>
    </r>
    <r>
      <rPr>
        <sz val="9"/>
        <color theme="1"/>
        <rFont val="Arial"/>
        <family val="2"/>
      </rPr>
      <t>Prior to 1984, excludes most rural and smaller systems funded via Sections 18 and 16(b)(2), Urban Mass Transportation Act of 1964, as amended. Also prior to 1984, includes total vehicles owned and leased.</t>
    </r>
  </si>
  <si>
    <r>
      <rPr>
        <sz val="9"/>
        <color theme="1"/>
        <rFont val="Arial"/>
        <family val="2"/>
      </rPr>
      <t xml:space="preserve">g </t>
    </r>
    <r>
      <rPr>
        <sz val="9"/>
        <color theme="1"/>
        <rFont val="Arial"/>
        <family val="2"/>
      </rPr>
      <t xml:space="preserve">Beginning in 2011, </t>
    </r>
    <r>
      <rPr>
        <i/>
        <sz val="9"/>
        <color theme="1"/>
        <rFont val="Arial"/>
        <family val="2"/>
      </rPr>
      <t>Motor bus</t>
    </r>
    <r>
      <rPr>
        <sz val="9"/>
        <color theme="1"/>
        <rFont val="Arial"/>
        <family val="2"/>
      </rPr>
      <t xml:space="preserve"> includes Bus, Bus Rapid Transit, and Commuter Bus</t>
    </r>
    <r>
      <rPr>
        <i/>
        <sz val="9"/>
        <color theme="1"/>
        <rFont val="Arial"/>
        <family val="2"/>
      </rPr>
      <t>.</t>
    </r>
  </si>
  <si>
    <r>
      <rPr>
        <sz val="9"/>
        <color theme="1"/>
        <rFont val="Arial"/>
        <family val="2"/>
      </rPr>
      <t xml:space="preserve">h </t>
    </r>
    <r>
      <rPr>
        <sz val="9"/>
        <color theme="1"/>
        <rFont val="Arial"/>
        <family val="2"/>
      </rPr>
      <t xml:space="preserve">Beginning in 2011, </t>
    </r>
    <r>
      <rPr>
        <i/>
        <sz val="9"/>
        <color theme="1"/>
        <rFont val="Arial"/>
        <family val="2"/>
      </rPr>
      <t>Light rail cars</t>
    </r>
    <r>
      <rPr>
        <sz val="9"/>
        <color theme="1"/>
        <rFont val="Arial"/>
        <family val="2"/>
      </rPr>
      <t xml:space="preserve"> includes Light Rail, Street Car Rail, and Hybrid Rail.</t>
    </r>
  </si>
  <si>
    <r>
      <rPr>
        <vertAlign val="superscript"/>
        <sz val="9"/>
        <color theme="1"/>
        <rFont val="Arial"/>
        <family val="2"/>
      </rPr>
      <t>i</t>
    </r>
    <r>
      <rPr>
        <sz val="9"/>
        <color theme="1"/>
        <rFont val="Arial"/>
        <family val="2"/>
      </rPr>
      <t xml:space="preserve"> </t>
    </r>
    <r>
      <rPr>
        <i/>
        <sz val="9"/>
        <color theme="1"/>
        <rFont val="Arial"/>
        <family val="2"/>
      </rPr>
      <t>Other</t>
    </r>
    <r>
      <rPr>
        <sz val="9"/>
        <color theme="1"/>
        <rFont val="Arial"/>
        <family val="2"/>
      </rPr>
      <t xml:space="preserve"> includes Alaska railroad, automated guideway transit, cable car, ferry boat, inclined plane, monorail, and vanpool.</t>
    </r>
  </si>
  <si>
    <r>
      <rPr>
        <sz val="9"/>
        <color theme="1"/>
        <rFont val="Arial"/>
        <family val="2"/>
      </rPr>
      <t>j</t>
    </r>
    <r>
      <rPr>
        <i/>
        <vertAlign val="superscript"/>
        <sz val="9"/>
        <color theme="1"/>
        <rFont val="Arial"/>
        <family val="2"/>
      </rPr>
      <t xml:space="preserve"> </t>
    </r>
    <r>
      <rPr>
        <i/>
        <sz val="9"/>
        <color theme="1"/>
        <rFont val="Arial"/>
        <family val="2"/>
      </rPr>
      <t>Nonself-propelled vessels</t>
    </r>
    <r>
      <rPr>
        <sz val="9"/>
        <color theme="1"/>
        <rFont val="Arial"/>
        <family val="2"/>
      </rPr>
      <t xml:space="preserve"> include dry-cargo barges, tank barges, and railroad-car floats.</t>
    </r>
  </si>
  <si>
    <r>
      <rPr>
        <sz val="9"/>
        <color theme="1"/>
        <rFont val="Arial"/>
        <family val="2"/>
      </rPr>
      <t xml:space="preserve">k </t>
    </r>
    <r>
      <rPr>
        <sz val="9"/>
        <color theme="1"/>
        <rFont val="Arial"/>
        <family val="2"/>
      </rPr>
      <t>Data for Jan. 1, 1991-June 30, 1991 included in 1990 figure.</t>
    </r>
  </si>
  <si>
    <r>
      <rPr>
        <sz val="9"/>
        <color theme="1"/>
        <rFont val="Arial"/>
        <family val="2"/>
      </rPr>
      <t xml:space="preserve">l </t>
    </r>
    <r>
      <rPr>
        <i/>
        <sz val="9"/>
        <color theme="1"/>
        <rFont val="Arial"/>
        <family val="2"/>
      </rPr>
      <t>Self-propelled vessels</t>
    </r>
    <r>
      <rPr>
        <sz val="9"/>
        <color theme="1"/>
        <rFont val="Arial"/>
        <family val="2"/>
      </rPr>
      <t xml:space="preserve"> include dry-cargo and/or passenger, offshore supply vessels, railroad-car ferries, tankers, and towboats.</t>
    </r>
  </si>
  <si>
    <r>
      <rPr>
        <sz val="9"/>
        <color theme="1"/>
        <rFont val="Arial"/>
        <family val="2"/>
      </rPr>
      <t xml:space="preserve">m </t>
    </r>
    <r>
      <rPr>
        <sz val="9"/>
        <color theme="1"/>
        <rFont val="Arial"/>
        <family val="2"/>
      </rPr>
      <t xml:space="preserve">1960-2006 data includes private and government owned vessels of 1,000 gross tons and over. Beginning in 2007, data are reported only for privately-owned vessels of 1,000 gross tons and over. Calendar Year 2009 includes privately owned vessels of 10,000 deadweight tons and above not including the Great Lakes vessels. All the data are year-end data.
</t>
    </r>
  </si>
  <si>
    <r>
      <rPr>
        <sz val="9"/>
        <color theme="1"/>
        <rFont val="Arial"/>
        <family val="2"/>
      </rPr>
      <t xml:space="preserve">n </t>
    </r>
    <r>
      <rPr>
        <i/>
        <sz val="9"/>
        <color theme="1"/>
        <rFont val="Arial"/>
        <family val="2"/>
      </rPr>
      <t>Recreational vessels</t>
    </r>
    <r>
      <rPr>
        <sz val="9"/>
        <color theme="1"/>
        <rFont val="Arial"/>
        <family val="2"/>
      </rPr>
      <t xml:space="preserve"> that are required to be numbered in accordance with Chapter 123 of Title 46 U.S.C.</t>
    </r>
  </si>
  <si>
    <r>
      <rPr>
        <b/>
        <sz val="9"/>
        <color theme="1"/>
        <rFont val="Arial"/>
        <family val="2"/>
      </rPr>
      <t xml:space="preserve">NOTES </t>
    </r>
    <r>
      <rPr>
        <sz val="9"/>
        <color theme="1"/>
        <rFont val="Arial"/>
        <family val="2"/>
      </rPr>
      <t xml:space="preserve"> </t>
    </r>
  </si>
  <si>
    <r>
      <rPr>
        <sz val="9"/>
        <color theme="1"/>
        <rFont val="Arial"/>
        <family val="2"/>
      </rPr>
      <t>Data for 2007-15 were calculated using a new methodology developed by FHWA. Data for these years are based on new categories and are not comparable to previous years. The new category</t>
    </r>
    <r>
      <rPr>
        <i/>
        <sz val="9"/>
        <color theme="1"/>
        <rFont val="Arial"/>
        <family val="2"/>
      </rPr>
      <t xml:space="preserve"> Light duty vehicle, short wheel base</t>
    </r>
    <r>
      <rPr>
        <sz val="9"/>
        <color theme="1"/>
        <rFont val="Arial"/>
        <family val="2"/>
      </rPr>
      <t xml:space="preserve"> replaces the old category </t>
    </r>
    <r>
      <rPr>
        <i/>
        <sz val="9"/>
        <color theme="1"/>
        <rFont val="Arial"/>
        <family val="2"/>
      </rPr>
      <t>Passenger car</t>
    </r>
    <r>
      <rPr>
        <sz val="9"/>
        <color theme="1"/>
        <rFont val="Arial"/>
        <family val="2"/>
      </rPr>
      <t xml:space="preserve"> and includes passenger cars, light trucks, vans and sport utility vehicles with a wheelbase (WB) equal to or less than 121 inches. The new category </t>
    </r>
    <r>
      <rPr>
        <i/>
        <sz val="9"/>
        <color theme="1"/>
        <rFont val="Arial"/>
        <family val="2"/>
      </rPr>
      <t>Light duty vehicle, long wheel base</t>
    </r>
    <r>
      <rPr>
        <sz val="9"/>
        <color theme="1"/>
        <rFont val="Arial"/>
        <family val="2"/>
      </rPr>
      <t xml:space="preserve"> replaces </t>
    </r>
    <r>
      <rPr>
        <i/>
        <sz val="9"/>
        <color theme="1"/>
        <rFont val="Arial"/>
        <family val="2"/>
      </rPr>
      <t>Other 2-axle, 4-tire vehicle</t>
    </r>
    <r>
      <rPr>
        <sz val="9"/>
        <color theme="1"/>
        <rFont val="Arial"/>
        <family val="2"/>
      </rPr>
      <t xml:space="preserve"> and includes large passenger cars, vans, pickup trucks, and sport/utility vehicles with wheelbases (WB) larger than 121 inches. This edition of 1-11 is not comparable to previous editions.</t>
    </r>
  </si>
  <si>
    <r>
      <rPr>
        <sz val="9"/>
        <color theme="1"/>
        <rFont val="Arial"/>
        <family val="2"/>
      </rPr>
      <t xml:space="preserve">Transit </t>
    </r>
    <r>
      <rPr>
        <i/>
        <sz val="9"/>
        <color theme="1"/>
        <rFont val="Arial"/>
        <family val="2"/>
      </rPr>
      <t>Motor bus</t>
    </r>
    <r>
      <rPr>
        <sz val="9"/>
        <color theme="1"/>
        <rFont val="Arial"/>
        <family val="2"/>
      </rPr>
      <t xml:space="preserve"> figure is also included as part of bus in the </t>
    </r>
    <r>
      <rPr>
        <i/>
        <sz val="9"/>
        <color theme="1"/>
        <rFont val="Arial"/>
        <family val="2"/>
      </rPr>
      <t xml:space="preserve">Highway </t>
    </r>
    <r>
      <rPr>
        <sz val="9"/>
        <color theme="1"/>
        <rFont val="Arial"/>
        <family val="2"/>
      </rPr>
      <t>category.</t>
    </r>
  </si>
  <si>
    <r>
      <rPr>
        <i/>
        <sz val="9"/>
        <color theme="1"/>
        <rFont val="Arial"/>
        <family val="2"/>
      </rPr>
      <t xml:space="preserve">Bus </t>
    </r>
    <r>
      <rPr>
        <sz val="9"/>
        <color theme="1"/>
        <rFont val="Arial"/>
        <family val="2"/>
      </rPr>
      <t xml:space="preserve">and </t>
    </r>
    <r>
      <rPr>
        <i/>
        <sz val="9"/>
        <color theme="1"/>
        <rFont val="Arial"/>
        <family val="2"/>
      </rPr>
      <t xml:space="preserve">Demand response/Paratransit </t>
    </r>
    <r>
      <rPr>
        <sz val="9"/>
        <color theme="1"/>
        <rFont val="Arial"/>
        <family val="2"/>
      </rPr>
      <t xml:space="preserve">in these tables refer to a mode of service, not to a specific vehicle type. </t>
    </r>
    <r>
      <rPr>
        <i/>
        <sz val="9"/>
        <color theme="1"/>
        <rFont val="Arial"/>
        <family val="2"/>
      </rPr>
      <t>Demand responsive</t>
    </r>
    <r>
      <rPr>
        <sz val="9"/>
        <color theme="1"/>
        <rFont val="Arial"/>
        <family val="2"/>
      </rPr>
      <t xml:space="preserve"> service, defined as roadway service directly from an origin to a destination determined by the rider and not following a fixed-route, is usually provided by vans, small buses and in a limited number of cases by large buses. </t>
    </r>
    <r>
      <rPr>
        <i/>
        <sz val="9"/>
        <color theme="1"/>
        <rFont val="Arial"/>
        <family val="2"/>
      </rPr>
      <t>Bus</t>
    </r>
    <r>
      <rPr>
        <sz val="9"/>
        <color theme="1"/>
        <rFont val="Arial"/>
        <family val="2"/>
      </rPr>
      <t xml:space="preserve"> service is a variety of roadway services that share the characteristic of being entirely or partially fixed routes. </t>
    </r>
    <r>
      <rPr>
        <i/>
        <sz val="9"/>
        <color theme="1"/>
        <rFont val="Arial"/>
        <family val="2"/>
      </rPr>
      <t>Bus</t>
    </r>
    <r>
      <rPr>
        <sz val="9"/>
        <color theme="1"/>
        <rFont val="Arial"/>
        <family val="2"/>
      </rPr>
      <t xml:space="preserve"> service includes local service, express service, subscription service, diversionary route service, loop service, and other types. Although </t>
    </r>
    <r>
      <rPr>
        <i/>
        <sz val="9"/>
        <color theme="1"/>
        <rFont val="Arial"/>
        <family val="2"/>
      </rPr>
      <t xml:space="preserve">Bus </t>
    </r>
    <r>
      <rPr>
        <sz val="9"/>
        <color theme="1"/>
        <rFont val="Arial"/>
        <family val="2"/>
      </rPr>
      <t>service is normally provided by buses, it can be provided by smaller vehicles that may be considered large vans.</t>
    </r>
  </si>
  <si>
    <t xml:space="preserve">For more detail on oceangoing vessels, see table 1-23. </t>
  </si>
  <si>
    <r>
      <rPr>
        <i/>
        <sz val="9"/>
        <color theme="1"/>
        <rFont val="Arial"/>
        <family val="2"/>
      </rPr>
      <t xml:space="preserve">Transit </t>
    </r>
    <r>
      <rPr>
        <sz val="9"/>
        <color theme="1"/>
        <rFont val="Arial"/>
        <family val="2"/>
      </rPr>
      <t>data for 1996 and later years are obtained from the National Transit Database and cannot be compared with data for earlier years.</t>
    </r>
  </si>
  <si>
    <r>
      <rPr>
        <sz val="9"/>
        <color theme="1"/>
        <rFont val="Arial"/>
        <family val="2"/>
      </rPr>
      <t xml:space="preserve">Association of American Railroad changed the equipment reporting style from Railroad Facts 2015 edition, </t>
    </r>
    <r>
      <rPr>
        <i/>
        <sz val="9"/>
        <color theme="1"/>
        <rFont val="Arial"/>
        <family val="2"/>
      </rPr>
      <t>Nonclass I freight cars</t>
    </r>
    <r>
      <rPr>
        <sz val="9"/>
        <color theme="1"/>
        <rFont val="Arial"/>
        <family val="2"/>
      </rPr>
      <t xml:space="preserve"> and </t>
    </r>
    <r>
      <rPr>
        <i/>
        <sz val="9"/>
        <color theme="1"/>
        <rFont val="Arial"/>
        <family val="2"/>
      </rPr>
      <t xml:space="preserve">Car companies and shippers freight cars </t>
    </r>
    <r>
      <rPr>
        <sz val="9"/>
        <color theme="1"/>
        <rFont val="Arial"/>
        <family val="2"/>
      </rPr>
      <t>data will no longer be provided by AAR.</t>
    </r>
  </si>
  <si>
    <t>SOURCES</t>
  </si>
  <si>
    <t>Air:</t>
  </si>
  <si>
    <t>Air carrier:</t>
  </si>
  <si>
    <r>
      <rPr>
        <sz val="9"/>
        <color theme="1"/>
        <rFont val="Arial"/>
        <family val="2"/>
      </rPr>
      <t>1960-65: U.S. Department of Transportation, Federal Aviation Administration,</t>
    </r>
    <r>
      <rPr>
        <i/>
        <sz val="9"/>
        <color theme="1"/>
        <rFont val="Arial"/>
        <family val="2"/>
      </rPr>
      <t xml:space="preserve"> FAA Statistical Handbook of Aviation, 1970 </t>
    </r>
    <r>
      <rPr>
        <sz val="9"/>
        <color theme="1"/>
        <rFont val="Arial"/>
        <family val="2"/>
      </rPr>
      <t>(Washington, DC: 1970), table 5.3.</t>
    </r>
  </si>
  <si>
    <r>
      <rPr>
        <sz val="9"/>
        <color theme="1"/>
        <rFont val="Arial"/>
        <family val="2"/>
      </rPr>
      <t xml:space="preserve">1970-75: Ibid., </t>
    </r>
    <r>
      <rPr>
        <i/>
        <sz val="9"/>
        <color theme="1"/>
        <rFont val="Arial"/>
        <family val="2"/>
      </rPr>
      <t xml:space="preserve">1979 edition </t>
    </r>
    <r>
      <rPr>
        <sz val="9"/>
        <color theme="1"/>
        <rFont val="Arial"/>
        <family val="2"/>
      </rPr>
      <t>(Washington, DC: 1979), table 5.1.</t>
    </r>
  </si>
  <si>
    <r>
      <rPr>
        <sz val="9"/>
        <color theme="1"/>
        <rFont val="Arial"/>
        <family val="2"/>
      </rPr>
      <t>1980-85: Ibid., C</t>
    </r>
    <r>
      <rPr>
        <i/>
        <sz val="9"/>
        <color theme="1"/>
        <rFont val="Arial"/>
        <family val="2"/>
      </rPr>
      <t xml:space="preserve">alendar Year 1986 </t>
    </r>
    <r>
      <rPr>
        <sz val="9"/>
        <color theme="1"/>
        <rFont val="Arial"/>
        <family val="2"/>
      </rPr>
      <t>(Washington, DC: 1986), table 5.1.</t>
    </r>
  </si>
  <si>
    <r>
      <rPr>
        <sz val="9"/>
        <color theme="1"/>
        <rFont val="Arial"/>
        <family val="2"/>
      </rPr>
      <t xml:space="preserve">1990-94: Ibid., </t>
    </r>
    <r>
      <rPr>
        <i/>
        <sz val="9"/>
        <color theme="1"/>
        <rFont val="Arial"/>
        <family val="2"/>
      </rPr>
      <t>Calendar Year 1997</t>
    </r>
    <r>
      <rPr>
        <sz val="9"/>
        <color theme="1"/>
        <rFont val="Arial"/>
        <family val="2"/>
      </rPr>
      <t xml:space="preserve"> (Washington, DC: unpublished), table 5.1, personal communication, Mar. 19, 1999.</t>
    </r>
  </si>
  <si>
    <t>1995-2016: Department of Transportation, Federal aviation administration, FAA Aerospace Forecasts, tables  21, 22, and 27, available at https://www.faa.gov/data_research/aviation/aerospace_forecasts/ as of Mar. 2, 2018.</t>
  </si>
  <si>
    <t>General aviation:</t>
  </si>
  <si>
    <r>
      <rPr>
        <sz val="9"/>
        <color theme="1"/>
        <rFont val="Arial"/>
        <family val="2"/>
      </rPr>
      <t xml:space="preserve">1960-65: U.S. Department of Transportation, Federal Aviation Administration, </t>
    </r>
    <r>
      <rPr>
        <i/>
        <sz val="9"/>
        <color theme="1"/>
        <rFont val="Arial"/>
        <family val="2"/>
      </rPr>
      <t>FAA Statistical Handbook of Aviation, 1969</t>
    </r>
    <r>
      <rPr>
        <sz val="9"/>
        <color theme="1"/>
        <rFont val="Arial"/>
        <family val="2"/>
      </rPr>
      <t xml:space="preserve"> (Washington, DC: 1969), table 9.10.</t>
    </r>
  </si>
  <si>
    <r>
      <rPr>
        <sz val="9"/>
        <color theme="1"/>
        <rFont val="Arial"/>
        <family val="2"/>
      </rPr>
      <t xml:space="preserve">1970-75: Ibid., </t>
    </r>
    <r>
      <rPr>
        <i/>
        <sz val="9"/>
        <color theme="1"/>
        <rFont val="Arial"/>
        <family val="2"/>
      </rPr>
      <t>Calendar Year 1976</t>
    </r>
    <r>
      <rPr>
        <sz val="9"/>
        <color theme="1"/>
        <rFont val="Arial"/>
        <family val="2"/>
      </rPr>
      <t xml:space="preserve"> (Washington, DC: 1976), table 8-6.</t>
    </r>
  </si>
  <si>
    <r>
      <rPr>
        <sz val="9"/>
        <color theme="1"/>
        <rFont val="Arial"/>
        <family val="2"/>
      </rPr>
      <t xml:space="preserve">1980: Ibid., </t>
    </r>
    <r>
      <rPr>
        <i/>
        <sz val="9"/>
        <color theme="1"/>
        <rFont val="Arial"/>
        <family val="2"/>
      </rPr>
      <t>General Aviation Activity Survey, Calendar Year 1980</t>
    </r>
    <r>
      <rPr>
        <sz val="9"/>
        <color theme="1"/>
        <rFont val="Arial"/>
        <family val="2"/>
      </rPr>
      <t xml:space="preserve"> (Washington, DC: 1981), table 1-3.</t>
    </r>
  </si>
  <si>
    <r>
      <rPr>
        <sz val="9"/>
        <color theme="1"/>
        <rFont val="Arial"/>
        <family val="2"/>
      </rPr>
      <t xml:space="preserve">1985: Ibid., </t>
    </r>
    <r>
      <rPr>
        <i/>
        <sz val="9"/>
        <color theme="1"/>
        <rFont val="Arial"/>
        <family val="2"/>
      </rPr>
      <t xml:space="preserve">Calendar Year 1985 </t>
    </r>
    <r>
      <rPr>
        <sz val="9"/>
        <color theme="1"/>
        <rFont val="Arial"/>
        <family val="2"/>
      </rPr>
      <t>(Washington, DC: 1987), table 2-9.</t>
    </r>
  </si>
  <si>
    <r>
      <rPr>
        <sz val="9"/>
        <color theme="1"/>
        <rFont val="Arial"/>
        <family val="2"/>
      </rPr>
      <t xml:space="preserve">1990-2016: Ibid., </t>
    </r>
    <r>
      <rPr>
        <i/>
        <sz val="9"/>
        <color theme="1"/>
        <rFont val="Arial"/>
        <family val="2"/>
      </rPr>
      <t xml:space="preserve">General Aviation and Air Taxi Activity Survey </t>
    </r>
    <r>
      <rPr>
        <sz val="9"/>
        <color theme="1"/>
        <rFont val="Arial"/>
        <family val="2"/>
      </rPr>
      <t>(Annual Issues), table 1.1, available at http://www.faa.gov/data_research/aviation_data_statistics/general_aviation/ as of Mar. 2, 2018.</t>
    </r>
  </si>
  <si>
    <t>Highway:</t>
  </si>
  <si>
    <t>Passenger car:</t>
  </si>
  <si>
    <r>
      <rPr>
        <sz val="9"/>
        <color theme="1"/>
        <rFont val="Arial"/>
        <family val="2"/>
      </rPr>
      <t xml:space="preserve">1960-94: U.S. Department of Transportation, Federal Highway Administration, </t>
    </r>
    <r>
      <rPr>
        <i/>
        <sz val="9"/>
        <color theme="1"/>
        <rFont val="Arial"/>
        <family val="2"/>
      </rPr>
      <t>Highway Statistics Summary to 1995,</t>
    </r>
    <r>
      <rPr>
        <sz val="9"/>
        <color theme="1"/>
        <rFont val="Arial"/>
        <family val="2"/>
      </rPr>
      <t xml:space="preserve"> FHWA-PL-97-009 (Washington, DC: July 1997), table MV-201. </t>
    </r>
  </si>
  <si>
    <r>
      <rPr>
        <sz val="9"/>
        <color theme="1"/>
        <rFont val="Arial"/>
        <family val="2"/>
      </rPr>
      <t xml:space="preserve">1995-2006: Ibid., </t>
    </r>
    <r>
      <rPr>
        <i/>
        <sz val="9"/>
        <color theme="1"/>
        <rFont val="Arial"/>
        <family val="2"/>
      </rPr>
      <t xml:space="preserve">Highway Statistics </t>
    </r>
    <r>
      <rPr>
        <sz val="9"/>
        <color theme="1"/>
        <rFont val="Arial"/>
        <family val="2"/>
      </rPr>
      <t>(Washington, DC: Annual Issues)</t>
    </r>
    <r>
      <rPr>
        <b/>
        <sz val="9"/>
        <color theme="1"/>
        <rFont val="Arial"/>
        <family val="2"/>
      </rPr>
      <t>,</t>
    </r>
    <r>
      <rPr>
        <sz val="9"/>
        <color theme="1"/>
        <rFont val="Arial"/>
        <family val="2"/>
      </rPr>
      <t xml:space="preserve"> table VM-1, available at http://www.fhwa.dot.gov/policyinformation/statistics.cfm as of Nov. 14, 2011.</t>
    </r>
  </si>
  <si>
    <t>Light duty vehicle, short wheel base:</t>
  </si>
  <si>
    <r>
      <rPr>
        <sz val="9"/>
        <color theme="1"/>
        <rFont val="Arial"/>
        <family val="2"/>
      </rPr>
      <t>2007-16: U.S. Department of Transportation, Federal Highway Administration,</t>
    </r>
    <r>
      <rPr>
        <i/>
        <sz val="9"/>
        <color theme="1"/>
        <rFont val="Arial"/>
        <family val="2"/>
      </rPr>
      <t xml:space="preserve"> Highway Statistics</t>
    </r>
    <r>
      <rPr>
        <sz val="9"/>
        <color theme="1"/>
        <rFont val="Arial"/>
        <family val="2"/>
      </rPr>
      <t xml:space="preserve"> (Washington, DC: Annual Issues), table VM-1, available at http://www.fhwa.dot.gov/policyinformation/statistics.cfm as of Mar. 2, 2018.</t>
    </r>
  </si>
  <si>
    <t>Motorcycle:</t>
  </si>
  <si>
    <r>
      <rPr>
        <sz val="9"/>
        <color theme="1"/>
        <rFont val="Arial"/>
        <family val="2"/>
      </rPr>
      <t xml:space="preserve">1960-94: U.S. Department of Transportation, Federal Highway Administration, </t>
    </r>
    <r>
      <rPr>
        <i/>
        <sz val="9"/>
        <color theme="1"/>
        <rFont val="Arial"/>
        <family val="2"/>
      </rPr>
      <t>Highway Statistics Summary to 1995,</t>
    </r>
    <r>
      <rPr>
        <sz val="9"/>
        <color theme="1"/>
        <rFont val="Arial"/>
        <family val="2"/>
      </rPr>
      <t xml:space="preserve"> FHWA-PL-97-009 (Washington, DC: July 1997), table MV-201.</t>
    </r>
  </si>
  <si>
    <r>
      <rPr>
        <sz val="9"/>
        <color theme="1"/>
        <rFont val="Arial"/>
        <family val="2"/>
      </rPr>
      <t xml:space="preserve">1995-2016: Ibid., </t>
    </r>
    <r>
      <rPr>
        <i/>
        <sz val="9"/>
        <color theme="1"/>
        <rFont val="Arial"/>
        <family val="2"/>
      </rPr>
      <t xml:space="preserve">Highway Statistics </t>
    </r>
    <r>
      <rPr>
        <sz val="9"/>
        <color theme="1"/>
        <rFont val="Arial"/>
        <family val="2"/>
      </rPr>
      <t>(Washington, DC: Annual Issues)</t>
    </r>
    <r>
      <rPr>
        <b/>
        <sz val="9"/>
        <color theme="1"/>
        <rFont val="Arial"/>
        <family val="2"/>
      </rPr>
      <t>,</t>
    </r>
    <r>
      <rPr>
        <sz val="9"/>
        <color theme="1"/>
        <rFont val="Arial"/>
        <family val="2"/>
      </rPr>
      <t xml:space="preserve"> table VM-1, available at http://www.fhwa.dot.gov/policyinformation/statistics.cfm as of Mar. 2, 2018.</t>
    </r>
  </si>
  <si>
    <t>Other 2-axle 4-tire vehicles:</t>
  </si>
  <si>
    <r>
      <rPr>
        <sz val="9"/>
        <color theme="1"/>
        <rFont val="Arial"/>
        <family val="2"/>
      </rPr>
      <t xml:space="preserve">1970-94: U.S. Department of Transportation, Federal Highway Administration, </t>
    </r>
    <r>
      <rPr>
        <i/>
        <sz val="9"/>
        <color theme="1"/>
        <rFont val="Arial"/>
        <family val="2"/>
      </rPr>
      <t xml:space="preserve">Highway Statistics Summary to 1995, </t>
    </r>
    <r>
      <rPr>
        <sz val="9"/>
        <color theme="1"/>
        <rFont val="Arial"/>
        <family val="2"/>
      </rPr>
      <t>FHWA-PL-97-009 (Washington, DC: July 1997), table VM-201A.</t>
    </r>
  </si>
  <si>
    <r>
      <rPr>
        <sz val="9"/>
        <color theme="1"/>
        <rFont val="Arial"/>
        <family val="2"/>
      </rPr>
      <t xml:space="preserve">1995-2006: Ibid., </t>
    </r>
    <r>
      <rPr>
        <i/>
        <sz val="9"/>
        <color theme="1"/>
        <rFont val="Arial"/>
        <family val="2"/>
      </rPr>
      <t xml:space="preserve">Highway Statistics </t>
    </r>
    <r>
      <rPr>
        <sz val="9"/>
        <color theme="1"/>
        <rFont val="Arial"/>
        <family val="2"/>
      </rPr>
      <t>(Washington, DC: Annual Issues)</t>
    </r>
    <r>
      <rPr>
        <b/>
        <sz val="9"/>
        <color theme="1"/>
        <rFont val="Arial"/>
        <family val="2"/>
      </rPr>
      <t>,</t>
    </r>
    <r>
      <rPr>
        <sz val="9"/>
        <color theme="1"/>
        <rFont val="Arial"/>
        <family val="2"/>
      </rPr>
      <t xml:space="preserve"> table VM-1, available at http://www.fhwa.dot.gov/policyinformation/statistics.cfm as of Nov. 14, 2011.</t>
    </r>
  </si>
  <si>
    <t>Light duty vehicle, long wheel base:</t>
  </si>
  <si>
    <r>
      <rPr>
        <sz val="9"/>
        <color theme="1"/>
        <rFont val="Arial"/>
        <family val="2"/>
      </rPr>
      <t xml:space="preserve">2007-16: U.S. Department of Transportation, Federal Highway Administration, </t>
    </r>
    <r>
      <rPr>
        <i/>
        <sz val="9"/>
        <color theme="1"/>
        <rFont val="Arial"/>
        <family val="2"/>
      </rPr>
      <t xml:space="preserve">Highway Statistics </t>
    </r>
    <r>
      <rPr>
        <sz val="9"/>
        <color theme="1"/>
        <rFont val="Arial"/>
        <family val="2"/>
      </rPr>
      <t>(Washington, DC: Annual Issues), table VM-1, available at http://www.fhwa.dot.gov/policyinformation/statistics.cfm as of Mar. 2, 2018.</t>
    </r>
  </si>
  <si>
    <t>Single-unit and combination trucks, and buses:</t>
  </si>
  <si>
    <r>
      <rPr>
        <sz val="9"/>
        <color theme="1"/>
        <rFont val="Arial"/>
        <family val="2"/>
      </rPr>
      <t xml:space="preserve">1960-94: U.S. Department of Transportation, Federal Highway Administration, </t>
    </r>
    <r>
      <rPr>
        <i/>
        <sz val="9"/>
        <color theme="1"/>
        <rFont val="Arial"/>
        <family val="2"/>
      </rPr>
      <t>Highway Statistics Summary to 1995,</t>
    </r>
    <r>
      <rPr>
        <sz val="9"/>
        <color theme="1"/>
        <rFont val="Arial"/>
        <family val="2"/>
      </rPr>
      <t xml:space="preserve"> FHWA-PL-97-009 (Washington, DC: July 1997), table VM-201A.</t>
    </r>
  </si>
  <si>
    <r>
      <rPr>
        <sz val="9"/>
        <color theme="1"/>
        <rFont val="Arial"/>
        <family val="2"/>
      </rPr>
      <t xml:space="preserve">1995-2016: Ibid., </t>
    </r>
    <r>
      <rPr>
        <i/>
        <sz val="9"/>
        <color theme="1"/>
        <rFont val="Arial"/>
        <family val="2"/>
      </rPr>
      <t xml:space="preserve">Highway Statistics </t>
    </r>
    <r>
      <rPr>
        <sz val="9"/>
        <color theme="1"/>
        <rFont val="Arial"/>
        <family val="2"/>
      </rPr>
      <t>(Washington, DC: Annual Issues)</t>
    </r>
    <r>
      <rPr>
        <b/>
        <sz val="9"/>
        <color theme="1"/>
        <rFont val="Arial"/>
        <family val="2"/>
      </rPr>
      <t>,</t>
    </r>
    <r>
      <rPr>
        <sz val="9"/>
        <color theme="1"/>
        <rFont val="Arial"/>
        <family val="2"/>
      </rPr>
      <t xml:space="preserve"> table VM-1, available at http://www.fhwa.dot.gov/policyinformation/statistics.cfm as of Mar. 2, 2018.</t>
    </r>
  </si>
  <si>
    <t>Transit:</t>
  </si>
  <si>
    <r>
      <rPr>
        <sz val="9"/>
        <color theme="1"/>
        <rFont val="Arial"/>
        <family val="2"/>
      </rPr>
      <t>1960-1995: American Public Transit Association,</t>
    </r>
    <r>
      <rPr>
        <i/>
        <sz val="9"/>
        <color theme="1"/>
        <rFont val="Arial"/>
        <family val="2"/>
      </rPr>
      <t xml:space="preserve"> Public Transportation Fact Book, Appendix A: Historical Tables </t>
    </r>
    <r>
      <rPr>
        <sz val="9"/>
        <color theme="1"/>
        <rFont val="Arial"/>
        <family val="2"/>
      </rPr>
      <t>(Washington, DC), table 17 available at: http://www.apta.com/RESOURCES/STATISTICS/Pages/transitstats.aspx as of May 3, 2010.</t>
    </r>
  </si>
  <si>
    <r>
      <rPr>
        <sz val="9"/>
        <color theme="1"/>
        <rFont val="Arial"/>
        <family val="2"/>
      </rPr>
      <t xml:space="preserve">1996-2014: U.S. Department of Transportation, Federal Transit Administration, </t>
    </r>
    <r>
      <rPr>
        <i/>
        <sz val="9"/>
        <color theme="1"/>
        <rFont val="Arial"/>
        <family val="2"/>
      </rPr>
      <t xml:space="preserve">National Transit Database, </t>
    </r>
    <r>
      <rPr>
        <sz val="9"/>
        <color theme="1"/>
        <rFont val="Arial"/>
        <family val="2"/>
      </rPr>
      <t>Annual Data Tables, table 19 (Washington, DC: Annual Issues), available at http://www.ntdprogram.gov/ntdprogram/data.htm as of Mar. 2, 2016.</t>
    </r>
  </si>
  <si>
    <r>
      <rPr>
        <sz val="9"/>
        <color theme="1"/>
        <rFont val="Arial"/>
        <family val="2"/>
      </rPr>
      <t xml:space="preserve">2015-16: Ibid., </t>
    </r>
    <r>
      <rPr>
        <i/>
        <sz val="9"/>
        <color theme="1"/>
        <rFont val="Arial"/>
        <family val="2"/>
      </rPr>
      <t xml:space="preserve">National Transit Database, </t>
    </r>
    <r>
      <rPr>
        <sz val="9"/>
        <color theme="1"/>
        <rFont val="Arial"/>
        <family val="2"/>
      </rPr>
      <t>Annual Database Agency Mode Service (Washington, DC: Annual Issues), available at https://www.transit.dot.gov/ntd/ntd-data as of Mar. 2, 2018.</t>
    </r>
  </si>
  <si>
    <t>Rail (all categories, except Amtrak):</t>
  </si>
  <si>
    <r>
      <rPr>
        <sz val="9"/>
        <color theme="1"/>
        <rFont val="Arial"/>
        <family val="2"/>
      </rPr>
      <t xml:space="preserve">1960-2013: Association of American Railroads, </t>
    </r>
    <r>
      <rPr>
        <i/>
        <sz val="9"/>
        <color theme="1"/>
        <rFont val="Arial"/>
        <family val="2"/>
      </rPr>
      <t xml:space="preserve">Railroad Facts </t>
    </r>
    <r>
      <rPr>
        <sz val="9"/>
        <color theme="1"/>
        <rFont val="Arial"/>
        <family val="2"/>
      </rPr>
      <t>(Washington, DC: Annual Issues), p. 51 and 54 and similar pages in earlier editions.</t>
    </r>
  </si>
  <si>
    <r>
      <rPr>
        <sz val="9"/>
        <color theme="1"/>
        <rFont val="Arial"/>
        <family val="2"/>
      </rPr>
      <t xml:space="preserve">1960-2013: Association of American Railroads, </t>
    </r>
    <r>
      <rPr>
        <i/>
        <sz val="9"/>
        <color theme="1"/>
        <rFont val="Arial"/>
        <family val="2"/>
      </rPr>
      <t xml:space="preserve">Railroad Facts </t>
    </r>
    <r>
      <rPr>
        <sz val="9"/>
        <color theme="1"/>
        <rFont val="Arial"/>
        <family val="2"/>
      </rPr>
      <t>(Washington, DC: Annual Issues), p. 51 and 54 and similar pages in earlier editions.</t>
    </r>
  </si>
  <si>
    <t>Amtrak:</t>
  </si>
  <si>
    <t>Passenger train-cars and locomotives:</t>
  </si>
  <si>
    <t>1975-80: Amtrak, State and Local Affairs Department, personal communication.</t>
  </si>
  <si>
    <r>
      <rPr>
        <sz val="9"/>
        <color theme="1"/>
        <rFont val="Arial"/>
        <family val="2"/>
      </rPr>
      <t>1985-2000: Ibid.,</t>
    </r>
    <r>
      <rPr>
        <i/>
        <sz val="9"/>
        <color theme="1"/>
        <rFont val="Arial"/>
        <family val="2"/>
      </rPr>
      <t xml:space="preserve"> Amtrak Annual Report, </t>
    </r>
    <r>
      <rPr>
        <sz val="9"/>
        <color theme="1"/>
        <rFont val="Arial"/>
        <family val="2"/>
      </rPr>
      <t>Statistical Appendix (Washington, DC: Annual Issues),</t>
    </r>
    <r>
      <rPr>
        <b/>
        <sz val="9"/>
        <color theme="1"/>
        <rFont val="Arial"/>
        <family val="2"/>
      </rPr>
      <t xml:space="preserve"> </t>
    </r>
    <r>
      <rPr>
        <sz val="9"/>
        <color theme="1"/>
        <rFont val="Arial"/>
        <family val="2"/>
      </rPr>
      <t>p. 47.</t>
    </r>
  </si>
  <si>
    <r>
      <rPr>
        <sz val="9"/>
        <color theme="1"/>
        <rFont val="Arial"/>
        <family val="2"/>
      </rPr>
      <t xml:space="preserve">2001-16: Association of American Railroads, </t>
    </r>
    <r>
      <rPr>
        <i/>
        <sz val="9"/>
        <color theme="1"/>
        <rFont val="Arial"/>
        <family val="2"/>
      </rPr>
      <t xml:space="preserve">Railroad Facts </t>
    </r>
    <r>
      <rPr>
        <sz val="9"/>
        <color theme="1"/>
        <rFont val="Arial"/>
        <family val="2"/>
      </rPr>
      <t>(Washington, DC: Annual Issues), p.</t>
    </r>
    <r>
      <rPr>
        <sz val="9"/>
        <color rgb="FFFF0000"/>
        <rFont val="Arial"/>
        <family val="2"/>
      </rPr>
      <t xml:space="preserve"> 73</t>
    </r>
    <r>
      <rPr>
        <sz val="9"/>
        <color theme="1"/>
        <rFont val="Arial"/>
        <family val="2"/>
      </rPr>
      <t xml:space="preserve"> and similar pages in earlier editions.</t>
    </r>
  </si>
  <si>
    <t>Water transportation:</t>
  </si>
  <si>
    <t>Nonself-propelled vessels and self-propelled vessels:</t>
  </si>
  <si>
    <r>
      <rPr>
        <sz val="9"/>
        <color theme="1"/>
        <rFont val="Arial"/>
        <family val="2"/>
      </rPr>
      <t>1960-2014: U.S. Army, Corps of Engineers,</t>
    </r>
    <r>
      <rPr>
        <i/>
        <sz val="9"/>
        <color theme="1"/>
        <rFont val="Arial"/>
        <family val="2"/>
      </rPr>
      <t xml:space="preserve"> Waterborne Transportation Lines of The United States, Volume 1, National Summaries</t>
    </r>
    <r>
      <rPr>
        <sz val="9"/>
        <color theme="1"/>
        <rFont val="Arial"/>
        <family val="2"/>
      </rPr>
      <t xml:space="preserve"> (New Orleans, LA : Annual Issues), table 1, available at http://www.navigationdatacenter.us/veslchar/veslchar.htm as of Nov. 14, 2016.</t>
    </r>
  </si>
  <si>
    <r>
      <rPr>
        <sz val="9"/>
        <color theme="1"/>
        <rFont val="Arial"/>
        <family val="2"/>
      </rPr>
      <t>2015-16: Ibid.,</t>
    </r>
    <r>
      <rPr>
        <i/>
        <sz val="9"/>
        <color theme="1"/>
        <rFont val="Arial"/>
        <family val="2"/>
      </rPr>
      <t xml:space="preserve"> Waterborne Transportation Lines of The United States, Volume 1, National Summaries</t>
    </r>
    <r>
      <rPr>
        <sz val="9"/>
        <color theme="1"/>
        <rFont val="Arial"/>
        <family val="2"/>
      </rPr>
      <t xml:space="preserve"> (New Orleans, LA : Annual Issues), table 2, available at http://www.navigationdatacenter.us/veslchar/veslchar.htm as of Mar. 2, 2018.</t>
    </r>
  </si>
  <si>
    <t>Oceangoing self-propelled vessels:</t>
  </si>
  <si>
    <r>
      <rPr>
        <sz val="9"/>
        <color theme="1"/>
        <rFont val="Arial"/>
        <family val="2"/>
      </rPr>
      <t xml:space="preserve">1960-2000: U.S. Department of Transportation, Maritime Administration, </t>
    </r>
    <r>
      <rPr>
        <i/>
        <sz val="9"/>
        <color theme="1"/>
        <rFont val="Arial"/>
        <family val="2"/>
      </rPr>
      <t xml:space="preserve">Merchant Fleets of the World </t>
    </r>
    <r>
      <rPr>
        <sz val="9"/>
        <color theme="1"/>
        <rFont val="Arial"/>
        <family val="2"/>
      </rPr>
      <t>(Washington, DC: Annual issues), and unpublished revisions.</t>
    </r>
  </si>
  <si>
    <t>2001-16: U.S. Department of Transportation, Maritime Administration, United States Flag Privately-Owned Merchant Fleet Summary, available at http://www.marad.dot.gov/resources/data-statistics/#fleet-stats as of Mar. 2, 2018.</t>
  </si>
  <si>
    <t>Recreational boats:</t>
  </si>
  <si>
    <r>
      <rPr>
        <sz val="9"/>
        <color theme="1"/>
        <rFont val="Arial"/>
        <family val="2"/>
      </rPr>
      <t xml:space="preserve">1960-2016: U.S. Department of Transportation, U.S. Coast Guard, </t>
    </r>
    <r>
      <rPr>
        <i/>
        <sz val="9"/>
        <color theme="1"/>
        <rFont val="Arial"/>
        <family val="2"/>
      </rPr>
      <t xml:space="preserve">Boating Statistics </t>
    </r>
    <r>
      <rPr>
        <sz val="9"/>
        <color theme="1"/>
        <rFont val="Arial"/>
        <family val="2"/>
      </rPr>
      <t>(Washington, DC: Annual Issues), table 36 and table 35 in earlier editions, available at http://uscgboating.org/statistics/accident_statistics.php as of  Mar. 2, 2018.</t>
    </r>
  </si>
  <si>
    <t>Table 40: 2012 Boating Days and Hours by Boat Type in the U.S.</t>
  </si>
  <si>
    <t>Boat Type</t>
  </si>
  <si>
    <t>Number of Boats Owned in the U.S. (thousands)</t>
  </si>
  <si>
    <t>Number of Boating Days (thousands)</t>
  </si>
  <si>
    <t>Number of Person-Hours (millions)</t>
  </si>
  <si>
    <t>Number of Days / Boat</t>
  </si>
  <si>
    <t>Number of Hours / Boating Day</t>
  </si>
  <si>
    <t>Passengers on Boat / Boating Day</t>
  </si>
  <si>
    <t>All Types</t>
  </si>
  <si>
    <t>Powerboat</t>
  </si>
  <si>
    <t>Sailboat</t>
  </si>
  <si>
    <t>Pontoon Boat</t>
  </si>
  <si>
    <t>PWC</t>
  </si>
  <si>
    <t>Canoe</t>
  </si>
  <si>
    <t>Kayak</t>
  </si>
  <si>
    <t>Row/Inflatable</t>
  </si>
  <si>
    <t>Railroad Type</t>
  </si>
  <si>
    <t>Number of Companies</t>
  </si>
  <si>
    <t>Miles of Track</t>
  </si>
  <si>
    <t>Employees</t>
  </si>
  <si>
    <t>Revenues (bil)</t>
  </si>
  <si>
    <t>Class I</t>
  </si>
  <si>
    <t>Class II (Regional)</t>
  </si>
  <si>
    <t>Class III (Local)</t>
  </si>
  <si>
    <t>cars per commuter rail train</t>
  </si>
  <si>
    <t>electric buses in the U.S.</t>
  </si>
  <si>
    <t>share of passenger rail that is electric</t>
  </si>
  <si>
    <t>share of passenger rail that is diesel</t>
  </si>
  <si>
    <t>share of passenger ships that is gasoline</t>
  </si>
  <si>
    <t>share of passenger ships that is diesel</t>
  </si>
  <si>
    <t>Efficiency electric</t>
  </si>
  <si>
    <t>Efficiency diesel</t>
  </si>
  <si>
    <t>Electric BTUs * efficiency</t>
  </si>
  <si>
    <t>Diesel BTUs * efficiency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</si>
</sst>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_-* #,##0_-;\-* #,##0_-;_-* &quot;-&quot;_-;_-@"/>
    <numFmt numFmtId="165" formatCode="_(* #,##0_);_(* \(#,##0\);_(* &quot;-&quot;??_);_(@_)"/>
    <numFmt numFmtId="166" formatCode="0.0%"/>
    <numFmt numFmtId="167" formatCode="#,##0.0"/>
    <numFmt numFmtId="168" formatCode="#,##0.000"/>
    <numFmt numFmtId="169" formatCode="\(\R\)\ #,##0"/>
    <numFmt numFmtId="170" formatCode="&quot;(R)&quot;\ #,##0;&quot;(R) -&quot;#,##0;&quot;(R) &quot;\ 0"/>
    <numFmt numFmtId="171" formatCode="#,##0.000000"/>
  </numFmts>
  <fonts count="37" x14ac:knownFonts="1">
    <font>
      <sz val="11"/>
      <color theme="1"/>
      <name val="Calibri"/>
      <scheme val="minor"/>
    </font>
    <font>
      <b/>
      <sz val="11"/>
      <color theme="1"/>
      <name val="Calibri"/>
      <family val="2"/>
    </font>
    <font>
      <sz val="11"/>
      <color theme="1"/>
      <name val="Calibri"/>
      <family val="2"/>
    </font>
    <font>
      <u/>
      <sz val="11"/>
      <color rgb="FF0000FF"/>
      <name val="Calibri"/>
      <family val="2"/>
    </font>
    <font>
      <i/>
      <sz val="11"/>
      <color theme="1"/>
      <name val="Calibri"/>
      <family val="2"/>
    </font>
    <font>
      <u/>
      <sz val="11"/>
      <color rgb="FF0000FF"/>
      <name val="Calibri"/>
      <family val="2"/>
    </font>
    <font>
      <sz val="11"/>
      <color theme="1"/>
      <name val="Arial"/>
      <family val="2"/>
    </font>
    <font>
      <b/>
      <sz val="11"/>
      <color theme="1"/>
      <name val="Arial"/>
      <family val="2"/>
    </font>
    <font>
      <i/>
      <sz val="11"/>
      <color theme="1"/>
      <name val="Arial"/>
      <family val="2"/>
    </font>
    <font>
      <sz val="11"/>
      <name val="Calibri"/>
      <family val="2"/>
    </font>
    <font>
      <sz val="11"/>
      <color rgb="FFFF0000"/>
      <name val="Arial"/>
      <family val="2"/>
    </font>
    <font>
      <b/>
      <i/>
      <sz val="11"/>
      <color theme="1"/>
      <name val="Calibri"/>
      <family val="2"/>
    </font>
    <font>
      <sz val="11"/>
      <color theme="1"/>
      <name val="Calibri"/>
      <family val="2"/>
      <scheme val="minor"/>
    </font>
    <font>
      <sz val="9"/>
      <color rgb="FF000000"/>
      <name val="Calibri"/>
      <family val="2"/>
    </font>
    <font>
      <b/>
      <sz val="9"/>
      <color rgb="FF000000"/>
      <name val="Calibri"/>
      <family val="2"/>
    </font>
    <font>
      <sz val="10"/>
      <color rgb="FF000000"/>
      <name val="Arial"/>
      <family val="2"/>
    </font>
    <font>
      <sz val="8"/>
      <color theme="1"/>
      <name val="Arial"/>
      <family val="2"/>
    </font>
    <font>
      <b/>
      <sz val="12"/>
      <color rgb="FF0066CC"/>
      <name val="Calibri"/>
      <family val="2"/>
    </font>
    <font>
      <sz val="9"/>
      <color theme="1"/>
      <name val="Calibri"/>
      <family val="2"/>
    </font>
    <font>
      <b/>
      <sz val="12"/>
      <color theme="1"/>
      <name val="Arial"/>
      <family val="2"/>
    </font>
    <font>
      <sz val="10"/>
      <color theme="1"/>
      <name val="Arial"/>
      <family val="2"/>
    </font>
    <font>
      <sz val="11"/>
      <color theme="1"/>
      <name val="Arial Narrow"/>
      <family val="2"/>
    </font>
    <font>
      <b/>
      <sz val="11"/>
      <color theme="1"/>
      <name val="Arial Narrow"/>
      <family val="2"/>
    </font>
    <font>
      <b/>
      <sz val="9"/>
      <color theme="1"/>
      <name val="Arial"/>
      <family val="2"/>
    </font>
    <font>
      <sz val="9"/>
      <color theme="1"/>
      <name val="Arial"/>
      <family val="2"/>
    </font>
    <font>
      <vertAlign val="superscript"/>
      <sz val="9"/>
      <color theme="1"/>
      <name val="Arial"/>
      <family val="2"/>
    </font>
    <font>
      <vertAlign val="superscript"/>
      <sz val="9"/>
      <color theme="1"/>
      <name val="Arial"/>
      <family val="2"/>
    </font>
    <font>
      <i/>
      <sz val="9"/>
      <color theme="1"/>
      <name val="Arial"/>
      <family val="2"/>
    </font>
    <font>
      <sz val="9"/>
      <color rgb="FFFF0000"/>
      <name val="Arial"/>
      <family val="2"/>
    </font>
    <font>
      <sz val="8"/>
      <color theme="1"/>
      <name val="Arial Narrow"/>
      <family val="2"/>
    </font>
    <font>
      <sz val="10"/>
      <color theme="1"/>
      <name val="Arial Narrow"/>
      <family val="2"/>
    </font>
    <font>
      <u/>
      <sz val="11"/>
      <color rgb="FF1155CC"/>
      <name val="Calibri"/>
      <family val="2"/>
    </font>
    <font>
      <b/>
      <sz val="14"/>
      <color theme="1"/>
      <name val="Arial"/>
      <family val="2"/>
    </font>
    <font>
      <vertAlign val="superscript"/>
      <sz val="11"/>
      <color theme="1"/>
      <name val="Arial Narrow"/>
      <family val="2"/>
    </font>
    <font>
      <b/>
      <vertAlign val="superscript"/>
      <sz val="11"/>
      <color theme="1"/>
      <name val="Arial Narrow"/>
      <family val="2"/>
    </font>
    <font>
      <i/>
      <vertAlign val="superscript"/>
      <sz val="9"/>
      <color theme="1"/>
      <name val="Arial"/>
      <family val="2"/>
    </font>
    <font>
      <u/>
      <sz val="11"/>
      <color theme="10"/>
      <name val="Calibri"/>
      <family val="2"/>
      <scheme val="minor"/>
    </font>
  </fonts>
  <fills count="6">
    <fill>
      <patternFill patternType="none"/>
    </fill>
    <fill>
      <patternFill patternType="gray125"/>
    </fill>
    <fill>
      <patternFill patternType="solid">
        <fgColor rgb="FFBFBFBF"/>
        <bgColor rgb="FFBFBFBF"/>
      </patternFill>
    </fill>
    <fill>
      <patternFill patternType="solid">
        <fgColor rgb="FF92D050"/>
        <bgColor rgb="FF92D050"/>
      </patternFill>
    </fill>
    <fill>
      <patternFill patternType="solid">
        <fgColor rgb="FFFFC000"/>
        <bgColor rgb="FFFFC000"/>
      </patternFill>
    </fill>
    <fill>
      <patternFill patternType="solid">
        <fgColor rgb="FFFFFF00"/>
        <bgColor rgb="FFFFFF00"/>
      </patternFill>
    </fill>
  </fills>
  <borders count="18">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top style="thin">
        <color rgb="FF000000"/>
      </top>
      <bottom style="thin">
        <color rgb="FF000000"/>
      </bottom>
      <diagonal/>
    </border>
    <border>
      <left/>
      <right/>
      <top/>
      <bottom style="thick">
        <color rgb="FF0096D7"/>
      </bottom>
      <diagonal/>
    </border>
    <border>
      <left/>
      <right/>
      <top/>
      <bottom style="thin">
        <color rgb="FFBFBFBF"/>
      </bottom>
      <diagonal/>
    </border>
    <border>
      <left/>
      <right/>
      <top/>
      <bottom style="dotted">
        <color rgb="FFBFBFBF"/>
      </bottom>
      <diagonal/>
    </border>
    <border>
      <left/>
      <right/>
      <top style="medium">
        <color rgb="FF0096D7"/>
      </top>
      <bottom/>
      <diagonal/>
    </border>
    <border>
      <left/>
      <right/>
      <top/>
      <bottom style="medium">
        <color rgb="FF000000"/>
      </bottom>
      <diagonal/>
    </border>
    <border>
      <left/>
      <right/>
      <top/>
      <bottom style="thin">
        <color rgb="FF000000"/>
      </bottom>
      <diagonal/>
    </border>
    <border>
      <left/>
      <right/>
      <top style="medium">
        <color rgb="FF000000"/>
      </top>
      <bottom style="thin">
        <color rgb="FF000000"/>
      </bottom>
      <diagonal/>
    </border>
    <border>
      <left/>
      <right/>
      <top style="medium">
        <color rgb="FF000000"/>
      </top>
      <bottom/>
      <diagonal/>
    </border>
  </borders>
  <cellStyleXfs count="2">
    <xf numFmtId="0" fontId="0" fillId="0" borderId="0"/>
    <xf numFmtId="0" fontId="36" fillId="0" borderId="0" applyNumberFormat="0" applyFill="0" applyBorder="0" applyAlignment="0" applyProtection="0"/>
  </cellStyleXfs>
  <cellXfs count="138">
    <xf numFmtId="0" fontId="0" fillId="0" borderId="0" xfId="0"/>
    <xf numFmtId="0" fontId="1" fillId="0" borderId="0" xfId="0" applyFont="1"/>
    <xf numFmtId="0" fontId="1" fillId="2" borderId="1" xfId="0" applyFont="1" applyFill="1" applyBorder="1"/>
    <xf numFmtId="0" fontId="2" fillId="0" borderId="0" xfId="0" applyFont="1"/>
    <xf numFmtId="0" fontId="2" fillId="0" borderId="0" xfId="0" applyFont="1" applyAlignment="1">
      <alignment horizontal="left"/>
    </xf>
    <xf numFmtId="0" fontId="3" fillId="0" borderId="0" xfId="0" applyFont="1" applyAlignment="1">
      <alignment wrapText="1"/>
    </xf>
    <xf numFmtId="0" fontId="2" fillId="0" borderId="0" xfId="0" applyFont="1" applyAlignment="1">
      <alignment wrapText="1"/>
    </xf>
    <xf numFmtId="0" fontId="4" fillId="0" borderId="0" xfId="0" applyFont="1"/>
    <xf numFmtId="0" fontId="5" fillId="0" borderId="0" xfId="0" applyFont="1"/>
    <xf numFmtId="0" fontId="6" fillId="0" borderId="0" xfId="0" applyFont="1"/>
    <xf numFmtId="0" fontId="1" fillId="0" borderId="2" xfId="0" applyFont="1" applyBorder="1" applyAlignment="1">
      <alignment wrapText="1"/>
    </xf>
    <xf numFmtId="0" fontId="1" fillId="0" borderId="2" xfId="0" applyFont="1" applyBorder="1"/>
    <xf numFmtId="0" fontId="2" fillId="0" borderId="2" xfId="0" applyFont="1" applyBorder="1"/>
    <xf numFmtId="164" fontId="2" fillId="0" borderId="2" xfId="0" applyNumberFormat="1" applyFont="1" applyBorder="1"/>
    <xf numFmtId="164" fontId="2" fillId="3" borderId="2" xfId="0" applyNumberFormat="1" applyFont="1" applyFill="1" applyBorder="1"/>
    <xf numFmtId="164" fontId="2" fillId="4" borderId="2" xfId="0" applyNumberFormat="1" applyFont="1" applyFill="1" applyBorder="1"/>
    <xf numFmtId="0" fontId="7" fillId="0" borderId="0" xfId="0" applyFont="1"/>
    <xf numFmtId="0" fontId="8" fillId="0" borderId="0" xfId="0" applyFont="1"/>
    <xf numFmtId="0" fontId="7" fillId="3" borderId="1" xfId="0" applyFont="1" applyFill="1" applyBorder="1"/>
    <xf numFmtId="0" fontId="7" fillId="0" borderId="2" xfId="0" applyFont="1" applyBorder="1"/>
    <xf numFmtId="0" fontId="6" fillId="0" borderId="2" xfId="0" applyFont="1" applyBorder="1"/>
    <xf numFmtId="0" fontId="6" fillId="0" borderId="3" xfId="0" applyFont="1" applyBorder="1"/>
    <xf numFmtId="0" fontId="6" fillId="3" borderId="2" xfId="0" applyFont="1" applyFill="1" applyBorder="1"/>
    <xf numFmtId="0" fontId="4" fillId="0" borderId="2" xfId="0" applyFont="1" applyBorder="1"/>
    <xf numFmtId="0" fontId="6" fillId="0" borderId="3" xfId="0" applyFont="1" applyBorder="1" applyAlignment="1">
      <alignment horizontal="center" vertical="center"/>
    </xf>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1" fillId="5" borderId="1" xfId="0" applyFont="1" applyFill="1" applyBorder="1"/>
    <xf numFmtId="0" fontId="6" fillId="5" borderId="1" xfId="0" applyFont="1" applyFill="1" applyBorder="1"/>
    <xf numFmtId="0" fontId="1" fillId="0" borderId="4" xfId="0" applyFont="1" applyBorder="1"/>
    <xf numFmtId="0" fontId="4" fillId="0" borderId="4" xfId="0" applyFont="1" applyBorder="1"/>
    <xf numFmtId="0" fontId="2" fillId="0" borderId="4" xfId="0" applyFont="1" applyBorder="1"/>
    <xf numFmtId="0" fontId="2" fillId="0" borderId="3" xfId="0" applyFont="1" applyBorder="1"/>
    <xf numFmtId="0" fontId="2" fillId="0" borderId="8" xfId="0" applyFont="1" applyBorder="1"/>
    <xf numFmtId="0" fontId="2" fillId="4" borderId="2" xfId="0" applyFont="1" applyFill="1" applyBorder="1"/>
    <xf numFmtId="0" fontId="2" fillId="3" borderId="2" xfId="0" applyFont="1" applyFill="1" applyBorder="1"/>
    <xf numFmtId="0" fontId="8" fillId="0" borderId="2" xfId="0" applyFont="1" applyBorder="1"/>
    <xf numFmtId="0" fontId="6" fillId="4" borderId="1" xfId="0" applyFont="1" applyFill="1" applyBorder="1"/>
    <xf numFmtId="0" fontId="6" fillId="3" borderId="1" xfId="0" applyFont="1" applyFill="1" applyBorder="1"/>
    <xf numFmtId="0" fontId="1" fillId="4" borderId="2" xfId="0" applyFont="1" applyFill="1" applyBorder="1"/>
    <xf numFmtId="0" fontId="10" fillId="0" borderId="0" xfId="0" applyFont="1"/>
    <xf numFmtId="0" fontId="11" fillId="0" borderId="0" xfId="0" applyFont="1"/>
    <xf numFmtId="0" fontId="6" fillId="4" borderId="2" xfId="0" applyFont="1" applyFill="1" applyBorder="1"/>
    <xf numFmtId="0" fontId="2" fillId="0" borderId="7" xfId="0" applyFont="1" applyBorder="1"/>
    <xf numFmtId="0" fontId="11" fillId="0" borderId="2" xfId="0" applyFont="1" applyBorder="1"/>
    <xf numFmtId="0" fontId="1" fillId="0" borderId="3" xfId="0" applyFont="1" applyBorder="1"/>
    <xf numFmtId="0" fontId="4" fillId="5" borderId="1" xfId="0" applyFont="1" applyFill="1" applyBorder="1"/>
    <xf numFmtId="0" fontId="12" fillId="0" borderId="0" xfId="0" applyFont="1"/>
    <xf numFmtId="0" fontId="1" fillId="3" borderId="2" xfId="0" applyFont="1" applyFill="1" applyBorder="1"/>
    <xf numFmtId="0" fontId="1" fillId="0" borderId="0" xfId="0" applyFont="1" applyAlignment="1">
      <alignment wrapText="1"/>
    </xf>
    <xf numFmtId="0" fontId="1" fillId="0" borderId="0" xfId="0" applyFont="1" applyAlignment="1">
      <alignment horizontal="right"/>
    </xf>
    <xf numFmtId="1" fontId="2" fillId="0" borderId="0" xfId="0" applyNumberFormat="1" applyFont="1"/>
    <xf numFmtId="165" fontId="2" fillId="0" borderId="0" xfId="0" applyNumberFormat="1" applyFont="1"/>
    <xf numFmtId="1" fontId="6" fillId="0" borderId="0" xfId="0" applyNumberFormat="1" applyFont="1"/>
    <xf numFmtId="0" fontId="13" fillId="0" borderId="0" xfId="0" applyFont="1"/>
    <xf numFmtId="0" fontId="14" fillId="0" borderId="10" xfId="0" applyFont="1" applyBorder="1" applyAlignment="1">
      <alignment wrapText="1"/>
    </xf>
    <xf numFmtId="0" fontId="15" fillId="0" borderId="0" xfId="0" applyFont="1"/>
    <xf numFmtId="0" fontId="16" fillId="0" borderId="0" xfId="0" applyFont="1"/>
    <xf numFmtId="0" fontId="17" fillId="0" borderId="0" xfId="0" applyFont="1" applyAlignment="1">
      <alignment horizontal="left"/>
    </xf>
    <xf numFmtId="0" fontId="14" fillId="0" borderId="11" xfId="0" applyFont="1" applyBorder="1" applyAlignment="1">
      <alignment wrapText="1"/>
    </xf>
    <xf numFmtId="0" fontId="2" fillId="0" borderId="12" xfId="0" applyFont="1" applyBorder="1" applyAlignment="1">
      <alignment wrapText="1"/>
    </xf>
    <xf numFmtId="3" fontId="2" fillId="0" borderId="12" xfId="0" applyNumberFormat="1" applyFont="1" applyBorder="1" applyAlignment="1">
      <alignment horizontal="right" wrapText="1"/>
    </xf>
    <xf numFmtId="166" fontId="2" fillId="0" borderId="12" xfId="0" applyNumberFormat="1" applyFont="1" applyBorder="1" applyAlignment="1">
      <alignment horizontal="right" wrapText="1"/>
    </xf>
    <xf numFmtId="167" fontId="2" fillId="0" borderId="12" xfId="0" applyNumberFormat="1" applyFont="1" applyBorder="1" applyAlignment="1">
      <alignment horizontal="right" wrapText="1"/>
    </xf>
    <xf numFmtId="4" fontId="2" fillId="0" borderId="12" xfId="0" applyNumberFormat="1" applyFont="1" applyBorder="1" applyAlignment="1">
      <alignment horizontal="right" wrapText="1"/>
    </xf>
    <xf numFmtId="4" fontId="14" fillId="0" borderId="11" xfId="0" applyNumberFormat="1" applyFont="1" applyBorder="1" applyAlignment="1">
      <alignment horizontal="right" wrapText="1"/>
    </xf>
    <xf numFmtId="166" fontId="14" fillId="0" borderId="11" xfId="0" applyNumberFormat="1" applyFont="1" applyBorder="1" applyAlignment="1">
      <alignment horizontal="right" wrapText="1"/>
    </xf>
    <xf numFmtId="0" fontId="18" fillId="0" borderId="0" xfId="0" applyFont="1"/>
    <xf numFmtId="3" fontId="14" fillId="0" borderId="11" xfId="0" applyNumberFormat="1" applyFont="1" applyBorder="1" applyAlignment="1">
      <alignment horizontal="right" wrapText="1"/>
    </xf>
    <xf numFmtId="167" fontId="14" fillId="0" borderId="11" xfId="0" applyNumberFormat="1" applyFont="1" applyBorder="1" applyAlignment="1">
      <alignment horizontal="right" wrapText="1"/>
    </xf>
    <xf numFmtId="168" fontId="2" fillId="0" borderId="12" xfId="0" applyNumberFormat="1" applyFont="1" applyBorder="1" applyAlignment="1">
      <alignment horizontal="right" wrapText="1"/>
    </xf>
    <xf numFmtId="0" fontId="20" fillId="0" borderId="0" xfId="0" applyFont="1"/>
    <xf numFmtId="0" fontId="21" fillId="0" borderId="15" xfId="0" applyFont="1" applyBorder="1" applyAlignment="1">
      <alignment horizontal="center"/>
    </xf>
    <xf numFmtId="0" fontId="22" fillId="0" borderId="15" xfId="0" applyFont="1" applyBorder="1" applyAlignment="1">
      <alignment horizontal="center"/>
    </xf>
    <xf numFmtId="0" fontId="22" fillId="0" borderId="16" xfId="0" applyFont="1" applyBorder="1" applyAlignment="1">
      <alignment horizontal="center"/>
    </xf>
    <xf numFmtId="0" fontId="21" fillId="0" borderId="0" xfId="0" applyFont="1" applyAlignment="1">
      <alignment horizontal="center"/>
    </xf>
    <xf numFmtId="0" fontId="22" fillId="0" borderId="0" xfId="0" quotePrefix="1" applyFont="1" applyAlignment="1">
      <alignment horizontal="left"/>
    </xf>
    <xf numFmtId="3" fontId="21" fillId="0" borderId="0" xfId="0" applyNumberFormat="1" applyFont="1" applyAlignment="1">
      <alignment horizontal="right"/>
    </xf>
    <xf numFmtId="0" fontId="22" fillId="0" borderId="0" xfId="0" applyFont="1"/>
    <xf numFmtId="0" fontId="21" fillId="0" borderId="0" xfId="0" applyFont="1" applyAlignment="1">
      <alignment horizontal="left"/>
    </xf>
    <xf numFmtId="3" fontId="21" fillId="0" borderId="0" xfId="0" applyNumberFormat="1" applyFont="1"/>
    <xf numFmtId="169" fontId="21" fillId="0" borderId="0" xfId="0" applyNumberFormat="1" applyFont="1"/>
    <xf numFmtId="0" fontId="21" fillId="5" borderId="1" xfId="0" applyFont="1" applyFill="1" applyBorder="1"/>
    <xf numFmtId="0" fontId="21" fillId="0" borderId="0" xfId="0" applyFont="1"/>
    <xf numFmtId="3" fontId="22" fillId="0" borderId="0" xfId="0" applyNumberFormat="1" applyFont="1" applyAlignment="1">
      <alignment horizontal="right"/>
    </xf>
    <xf numFmtId="3" fontId="21" fillId="0" borderId="0" xfId="0" applyNumberFormat="1" applyFont="1" applyAlignment="1">
      <alignment horizontal="right" vertical="center"/>
    </xf>
    <xf numFmtId="3" fontId="21" fillId="5" borderId="1" xfId="0" applyNumberFormat="1" applyFont="1" applyFill="1" applyBorder="1" applyAlignment="1">
      <alignment horizontal="right" vertical="center"/>
    </xf>
    <xf numFmtId="0" fontId="22" fillId="0" borderId="0" xfId="0" applyFont="1" applyAlignment="1">
      <alignment horizontal="left"/>
    </xf>
    <xf numFmtId="3" fontId="22" fillId="0" borderId="0" xfId="0" applyNumberFormat="1" applyFont="1"/>
    <xf numFmtId="170" fontId="21" fillId="0" borderId="0" xfId="0" applyNumberFormat="1" applyFont="1" applyAlignment="1">
      <alignment horizontal="left"/>
    </xf>
    <xf numFmtId="169" fontId="21" fillId="0" borderId="0" xfId="0" applyNumberFormat="1" applyFont="1" applyAlignment="1">
      <alignment horizontal="right"/>
    </xf>
    <xf numFmtId="0" fontId="21" fillId="0" borderId="0" xfId="0" applyFont="1" applyAlignment="1">
      <alignment horizontal="left" wrapText="1"/>
    </xf>
    <xf numFmtId="0" fontId="21" fillId="0" borderId="14" xfId="0" applyFont="1" applyBorder="1" applyAlignment="1">
      <alignment horizontal="left"/>
    </xf>
    <xf numFmtId="3" fontId="21" fillId="0" borderId="14" xfId="0" applyNumberFormat="1" applyFont="1" applyBorder="1" applyAlignment="1">
      <alignment horizontal="right"/>
    </xf>
    <xf numFmtId="3" fontId="21" fillId="0" borderId="14" xfId="0" applyNumberFormat="1" applyFont="1" applyBorder="1"/>
    <xf numFmtId="3" fontId="24" fillId="0" borderId="0" xfId="0" applyNumberFormat="1" applyFont="1" applyAlignment="1">
      <alignment horizontal="left" vertical="center"/>
    </xf>
    <xf numFmtId="0" fontId="24" fillId="0" borderId="0" xfId="0" applyFont="1" applyAlignment="1">
      <alignment vertical="center"/>
    </xf>
    <xf numFmtId="0" fontId="24" fillId="0" borderId="0" xfId="0" applyFont="1"/>
    <xf numFmtId="0" fontId="24" fillId="0" borderId="0" xfId="0" applyFont="1" applyAlignment="1">
      <alignment horizontal="left" vertical="center"/>
    </xf>
    <xf numFmtId="0" fontId="28" fillId="0" borderId="0" xfId="0" applyFont="1" applyAlignment="1">
      <alignment horizontal="left" vertical="center"/>
    </xf>
    <xf numFmtId="49" fontId="23" fillId="0" borderId="0" xfId="0" applyNumberFormat="1" applyFont="1" applyAlignment="1">
      <alignment horizontal="left"/>
    </xf>
    <xf numFmtId="49" fontId="16" fillId="0" borderId="0" xfId="0" applyNumberFormat="1" applyFont="1" applyAlignment="1">
      <alignment horizontal="left"/>
    </xf>
    <xf numFmtId="0" fontId="16" fillId="0" borderId="0" xfId="0" applyFont="1" applyAlignment="1">
      <alignment horizontal="left"/>
    </xf>
    <xf numFmtId="0" fontId="29" fillId="0" borderId="0" xfId="0" applyFont="1" applyAlignment="1">
      <alignment horizontal="left"/>
    </xf>
    <xf numFmtId="0" fontId="29" fillId="0" borderId="0" xfId="0" applyFont="1"/>
    <xf numFmtId="0" fontId="30" fillId="0" borderId="0" xfId="0" applyFont="1"/>
    <xf numFmtId="3" fontId="2" fillId="0" borderId="0" xfId="0" applyNumberFormat="1" applyFont="1"/>
    <xf numFmtId="171" fontId="2" fillId="0" borderId="0" xfId="0" applyNumberFormat="1" applyFont="1"/>
    <xf numFmtId="0" fontId="36" fillId="0" borderId="0" xfId="1"/>
    <xf numFmtId="0" fontId="1" fillId="0" borderId="4" xfId="0" applyFont="1" applyBorder="1" applyAlignment="1">
      <alignment horizontal="center"/>
    </xf>
    <xf numFmtId="0" fontId="9" fillId="0" borderId="5" xfId="0" applyFont="1" applyBorder="1"/>
    <xf numFmtId="0" fontId="1" fillId="0" borderId="4" xfId="0" applyFont="1" applyBorder="1"/>
    <xf numFmtId="0" fontId="9" fillId="0" borderId="9" xfId="0" applyFont="1" applyBorder="1"/>
    <xf numFmtId="0" fontId="1" fillId="0" borderId="0" xfId="0" applyFont="1"/>
    <xf numFmtId="0" fontId="0" fillId="0" borderId="0" xfId="0"/>
    <xf numFmtId="0" fontId="2" fillId="0" borderId="4" xfId="0" applyFont="1" applyBorder="1"/>
    <xf numFmtId="0" fontId="13" fillId="0" borderId="13" xfId="0" applyFont="1" applyBorder="1" applyAlignment="1">
      <alignment wrapText="1"/>
    </xf>
    <xf numFmtId="0" fontId="9" fillId="0" borderId="13" xfId="0" applyFont="1" applyBorder="1"/>
    <xf numFmtId="49" fontId="24" fillId="0" borderId="0" xfId="0" applyNumberFormat="1" applyFont="1" applyAlignment="1">
      <alignment wrapText="1"/>
    </xf>
    <xf numFmtId="49" fontId="27" fillId="0" borderId="0" xfId="0" applyNumberFormat="1" applyFont="1" applyAlignment="1">
      <alignment vertical="center" wrapText="1"/>
    </xf>
    <xf numFmtId="0" fontId="24" fillId="0" borderId="0" xfId="0" applyFont="1" applyAlignment="1">
      <alignment vertical="center" wrapText="1"/>
    </xf>
    <xf numFmtId="49" fontId="23" fillId="0" borderId="0" xfId="0" applyNumberFormat="1" applyFont="1" applyAlignment="1">
      <alignment vertical="center" wrapText="1"/>
    </xf>
    <xf numFmtId="49" fontId="27" fillId="0" borderId="0" xfId="0" applyNumberFormat="1" applyFont="1" applyAlignment="1">
      <alignment wrapText="1"/>
    </xf>
    <xf numFmtId="49" fontId="24" fillId="0" borderId="0" xfId="0" applyNumberFormat="1" applyFont="1" applyAlignment="1">
      <alignment vertical="center" wrapText="1"/>
    </xf>
    <xf numFmtId="0" fontId="24" fillId="0" borderId="0" xfId="0" applyFont="1" applyAlignment="1">
      <alignment horizontal="center" vertical="center" wrapText="1"/>
    </xf>
    <xf numFmtId="0" fontId="23" fillId="0" borderId="0" xfId="0" applyFont="1" applyAlignment="1">
      <alignment vertical="center" wrapText="1"/>
    </xf>
    <xf numFmtId="49" fontId="24" fillId="0" borderId="0" xfId="0" applyNumberFormat="1" applyFont="1" applyAlignment="1">
      <alignment horizontal="left" vertical="center" wrapText="1"/>
    </xf>
    <xf numFmtId="2" fontId="24" fillId="0" borderId="0" xfId="0" applyNumberFormat="1" applyFont="1" applyAlignment="1">
      <alignment vertical="center" wrapText="1"/>
    </xf>
    <xf numFmtId="0" fontId="24" fillId="0" borderId="0" xfId="0" applyFont="1" applyAlignment="1">
      <alignment horizontal="left" vertical="center" wrapText="1"/>
    </xf>
    <xf numFmtId="0" fontId="25" fillId="0" borderId="0" xfId="0" applyFont="1" applyAlignment="1">
      <alignment vertical="center" wrapText="1"/>
    </xf>
    <xf numFmtId="0" fontId="24" fillId="0" borderId="0" xfId="0" applyFont="1" applyAlignment="1">
      <alignment horizontal="center" vertical="center"/>
    </xf>
    <xf numFmtId="0" fontId="26" fillId="0" borderId="0" xfId="0" applyFont="1" applyAlignment="1">
      <alignment horizontal="left" vertical="center" wrapText="1"/>
    </xf>
    <xf numFmtId="0" fontId="19" fillId="0" borderId="14" xfId="0" applyFont="1" applyBorder="1" applyAlignment="1">
      <alignment horizontal="left" wrapText="1"/>
    </xf>
    <xf numFmtId="0" fontId="9" fillId="0" borderId="14" xfId="0" applyFont="1" applyBorder="1"/>
    <xf numFmtId="0" fontId="23" fillId="0" borderId="17" xfId="0" applyFont="1" applyBorder="1" applyAlignment="1">
      <alignment vertical="center" wrapText="1"/>
    </xf>
    <xf numFmtId="0" fontId="9" fillId="0" borderId="17" xfId="0" applyFont="1" applyBorder="1"/>
    <xf numFmtId="49" fontId="24" fillId="0" borderId="0" xfId="0" applyNumberFormat="1" applyFont="1" applyAlignment="1">
      <alignment horizontal="left" wrapText="1"/>
    </xf>
    <xf numFmtId="0" fontId="24" fillId="0" borderId="0" xfId="0" applyFont="1" applyAlignment="1">
      <alignment horizontal="lef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iesr.or.id/pustaka/iceo2020" TargetMode="External"/><Relationship Id="rId2" Type="http://schemas.openxmlformats.org/officeDocument/2006/relationships/hyperlink" Target="https://www.bps.go.id/publication/2020/11/20/231373341461207b51910a4a/statistik-transportasi-udara-2019.html" TargetMode="External"/><Relationship Id="rId1" Type="http://schemas.openxmlformats.org/officeDocument/2006/relationships/hyperlink" Target="https://www.bps.go.id/publication/2020/11/20/ddce434c92536777bf07605d/statistik-transportasi-darat-2019.html" TargetMode="External"/><Relationship Id="rId4" Type="http://schemas.openxmlformats.org/officeDocument/2006/relationships/hyperlink" Target="https://iesr.or.id/pustaka/the-role-of-electric-vehicles-in-decarbonizing-indonesias-road-transport-secto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50"/>
  <sheetViews>
    <sheetView topLeftCell="A55" workbookViewId="0">
      <selection activeCell="B91" sqref="B91"/>
    </sheetView>
  </sheetViews>
  <sheetFormatPr baseColWidth="10" defaultColWidth="14.5" defaultRowHeight="15" customHeight="1" x14ac:dyDescent="0.2"/>
  <cols>
    <col min="1" max="1" width="8.6640625" customWidth="1"/>
    <col min="2" max="2" width="73.1640625" customWidth="1"/>
    <col min="3" max="26" width="8.6640625" customWidth="1"/>
  </cols>
  <sheetData>
    <row r="1" spans="1:3" ht="14.25" customHeight="1" x14ac:dyDescent="0.2">
      <c r="A1" s="1" t="s">
        <v>0</v>
      </c>
    </row>
    <row r="2" spans="1:3" ht="14.25" customHeight="1" x14ac:dyDescent="0.2"/>
    <row r="3" spans="1:3" ht="14.25" customHeight="1" x14ac:dyDescent="0.2">
      <c r="A3" s="1" t="s">
        <v>1</v>
      </c>
      <c r="B3" s="2" t="s">
        <v>2</v>
      </c>
    </row>
    <row r="4" spans="1:3" ht="14.25" customHeight="1" x14ac:dyDescent="0.2">
      <c r="B4" s="3" t="s">
        <v>3</v>
      </c>
    </row>
    <row r="5" spans="1:3" ht="14.25" customHeight="1" x14ac:dyDescent="0.2">
      <c r="B5" s="4" t="s">
        <v>4</v>
      </c>
    </row>
    <row r="6" spans="1:3" ht="14.25" customHeight="1" x14ac:dyDescent="0.2">
      <c r="B6" s="5" t="s">
        <v>5</v>
      </c>
      <c r="C6" s="6"/>
    </row>
    <row r="7" spans="1:3" ht="14.25" customHeight="1" x14ac:dyDescent="0.2">
      <c r="B7" s="3" t="s">
        <v>6</v>
      </c>
    </row>
    <row r="8" spans="1:3" ht="14.25" customHeight="1" x14ac:dyDescent="0.2">
      <c r="B8" s="3" t="s">
        <v>7</v>
      </c>
    </row>
    <row r="9" spans="1:3" ht="14.25" customHeight="1" x14ac:dyDescent="0.2">
      <c r="B9" s="3"/>
    </row>
    <row r="10" spans="1:3" ht="14.25" customHeight="1" x14ac:dyDescent="0.2">
      <c r="B10" s="2" t="s">
        <v>8</v>
      </c>
    </row>
    <row r="11" spans="1:3" ht="14.25" customHeight="1" x14ac:dyDescent="0.2">
      <c r="B11" s="3" t="s">
        <v>3</v>
      </c>
    </row>
    <row r="12" spans="1:3" ht="14.25" customHeight="1" x14ac:dyDescent="0.2">
      <c r="B12" s="4" t="s">
        <v>9</v>
      </c>
    </row>
    <row r="13" spans="1:3" ht="14.25" customHeight="1" x14ac:dyDescent="0.2">
      <c r="B13" s="5" t="s">
        <v>10</v>
      </c>
    </row>
    <row r="14" spans="1:3" ht="14.25" customHeight="1" x14ac:dyDescent="0.2">
      <c r="B14" s="3" t="s">
        <v>11</v>
      </c>
    </row>
    <row r="15" spans="1:3" ht="14.25" customHeight="1" x14ac:dyDescent="0.2">
      <c r="B15" s="3" t="s">
        <v>12</v>
      </c>
    </row>
    <row r="16" spans="1:3" ht="14.25" customHeight="1" x14ac:dyDescent="0.2">
      <c r="B16" s="3"/>
    </row>
    <row r="17" spans="2:2" ht="14.25" customHeight="1" x14ac:dyDescent="0.2">
      <c r="B17" s="3" t="s">
        <v>13</v>
      </c>
    </row>
    <row r="18" spans="2:2" ht="14.25" customHeight="1" x14ac:dyDescent="0.2">
      <c r="B18" s="3" t="s">
        <v>14</v>
      </c>
    </row>
    <row r="19" spans="2:2" ht="14.25" customHeight="1" x14ac:dyDescent="0.2">
      <c r="B19" s="5" t="s">
        <v>15</v>
      </c>
    </row>
    <row r="20" spans="2:2" ht="14.25" customHeight="1" x14ac:dyDescent="0.2">
      <c r="B20" s="3" t="s">
        <v>16</v>
      </c>
    </row>
    <row r="21" spans="2:2" ht="14.25" customHeight="1" x14ac:dyDescent="0.2">
      <c r="B21" s="3" t="s">
        <v>17</v>
      </c>
    </row>
    <row r="22" spans="2:2" ht="14.25" customHeight="1" x14ac:dyDescent="0.2">
      <c r="B22" s="3" t="s">
        <v>18</v>
      </c>
    </row>
    <row r="23" spans="2:2" ht="14.25" customHeight="1" x14ac:dyDescent="0.2"/>
    <row r="24" spans="2:2" ht="14.25" customHeight="1" x14ac:dyDescent="0.2">
      <c r="B24" s="2" t="s">
        <v>19</v>
      </c>
    </row>
    <row r="25" spans="2:2" ht="14.25" customHeight="1" x14ac:dyDescent="0.2">
      <c r="B25" s="3" t="s">
        <v>13</v>
      </c>
    </row>
    <row r="26" spans="2:2" ht="14.25" customHeight="1" x14ac:dyDescent="0.2">
      <c r="B26" s="3" t="s">
        <v>14</v>
      </c>
    </row>
    <row r="27" spans="2:2" ht="14.25" customHeight="1" x14ac:dyDescent="0.2">
      <c r="B27" s="5" t="s">
        <v>15</v>
      </c>
    </row>
    <row r="28" spans="2:2" ht="14.25" customHeight="1" x14ac:dyDescent="0.2">
      <c r="B28" s="3" t="s">
        <v>20</v>
      </c>
    </row>
    <row r="29" spans="2:2" ht="14.25" customHeight="1" x14ac:dyDescent="0.2">
      <c r="B29" s="3" t="s">
        <v>21</v>
      </c>
    </row>
    <row r="30" spans="2:2" ht="14.25" customHeight="1" x14ac:dyDescent="0.2">
      <c r="B30" s="3"/>
    </row>
    <row r="31" spans="2:2" ht="14.25" customHeight="1" x14ac:dyDescent="0.2">
      <c r="B31" s="3" t="s">
        <v>13</v>
      </c>
    </row>
    <row r="32" spans="2:2" ht="14.25" customHeight="1" x14ac:dyDescent="0.2">
      <c r="B32" s="3" t="s">
        <v>14</v>
      </c>
    </row>
    <row r="33" spans="2:2" ht="14.25" customHeight="1" x14ac:dyDescent="0.2">
      <c r="B33" s="5" t="s">
        <v>15</v>
      </c>
    </row>
    <row r="34" spans="2:2" ht="14.25" customHeight="1" x14ac:dyDescent="0.2">
      <c r="B34" s="3" t="s">
        <v>22</v>
      </c>
    </row>
    <row r="35" spans="2:2" ht="14.25" customHeight="1" x14ac:dyDescent="0.2">
      <c r="B35" s="3" t="s">
        <v>23</v>
      </c>
    </row>
    <row r="36" spans="2:2" ht="14.25" customHeight="1" x14ac:dyDescent="0.2">
      <c r="B36" s="3" t="s">
        <v>24</v>
      </c>
    </row>
    <row r="37" spans="2:2" ht="14.25" customHeight="1" x14ac:dyDescent="0.2">
      <c r="B37" s="3" t="s">
        <v>25</v>
      </c>
    </row>
    <row r="38" spans="2:2" ht="14.25" customHeight="1" x14ac:dyDescent="0.2">
      <c r="B38" s="3" t="s">
        <v>26</v>
      </c>
    </row>
    <row r="39" spans="2:2" ht="14.25" customHeight="1" x14ac:dyDescent="0.2">
      <c r="B39" s="3"/>
    </row>
    <row r="40" spans="2:2" ht="14.25" customHeight="1" x14ac:dyDescent="0.2">
      <c r="B40" s="3" t="s">
        <v>27</v>
      </c>
    </row>
    <row r="41" spans="2:2" ht="14.25" customHeight="1" x14ac:dyDescent="0.2">
      <c r="B41" s="3" t="s">
        <v>28</v>
      </c>
    </row>
    <row r="42" spans="2:2" ht="14.25" customHeight="1" x14ac:dyDescent="0.2">
      <c r="B42" s="3" t="s">
        <v>29</v>
      </c>
    </row>
    <row r="43" spans="2:2" ht="14.25" customHeight="1" x14ac:dyDescent="0.2">
      <c r="B43" s="3"/>
    </row>
    <row r="44" spans="2:2" ht="14.25" customHeight="1" x14ac:dyDescent="0.2">
      <c r="B44" s="2" t="s">
        <v>30</v>
      </c>
    </row>
    <row r="45" spans="2:2" ht="14.25" customHeight="1" x14ac:dyDescent="0.2">
      <c r="B45" s="3" t="s">
        <v>13</v>
      </c>
    </row>
    <row r="46" spans="2:2" ht="14.25" customHeight="1" x14ac:dyDescent="0.2">
      <c r="B46" s="3" t="s">
        <v>14</v>
      </c>
    </row>
    <row r="47" spans="2:2" ht="14.25" customHeight="1" x14ac:dyDescent="0.2">
      <c r="B47" s="5" t="s">
        <v>15</v>
      </c>
    </row>
    <row r="48" spans="2:2" ht="14.25" customHeight="1" x14ac:dyDescent="0.2">
      <c r="B48" s="3" t="s">
        <v>31</v>
      </c>
    </row>
    <row r="49" spans="2:2" ht="14.25" customHeight="1" x14ac:dyDescent="0.2">
      <c r="B49" s="3" t="s">
        <v>32</v>
      </c>
    </row>
    <row r="50" spans="2:2" ht="14.25" customHeight="1" x14ac:dyDescent="0.2">
      <c r="B50" s="3" t="s">
        <v>33</v>
      </c>
    </row>
    <row r="51" spans="2:2" ht="14.25" customHeight="1" x14ac:dyDescent="0.2">
      <c r="B51" s="3"/>
    </row>
    <row r="52" spans="2:2" ht="14.25" customHeight="1" x14ac:dyDescent="0.2">
      <c r="B52" s="3" t="s">
        <v>34</v>
      </c>
    </row>
    <row r="53" spans="2:2" ht="14.25" customHeight="1" x14ac:dyDescent="0.2">
      <c r="B53" s="3" t="s">
        <v>35</v>
      </c>
    </row>
    <row r="54" spans="2:2" ht="14.25" customHeight="1" x14ac:dyDescent="0.2">
      <c r="B54" s="3" t="s">
        <v>36</v>
      </c>
    </row>
    <row r="55" spans="2:2" ht="14.25" customHeight="1" x14ac:dyDescent="0.2">
      <c r="B55" s="3"/>
    </row>
    <row r="56" spans="2:2" ht="14.25" customHeight="1" x14ac:dyDescent="0.2">
      <c r="B56" s="3" t="s">
        <v>37</v>
      </c>
    </row>
    <row r="57" spans="2:2" ht="14.25" customHeight="1" x14ac:dyDescent="0.2">
      <c r="B57" s="3" t="s">
        <v>38</v>
      </c>
    </row>
    <row r="58" spans="2:2" ht="14.25" customHeight="1" x14ac:dyDescent="0.2">
      <c r="B58" s="3" t="s">
        <v>39</v>
      </c>
    </row>
    <row r="59" spans="2:2" ht="14.25" customHeight="1" x14ac:dyDescent="0.2">
      <c r="B59" s="3"/>
    </row>
    <row r="60" spans="2:2" ht="14.25" customHeight="1" x14ac:dyDescent="0.2">
      <c r="B60" s="3" t="s">
        <v>40</v>
      </c>
    </row>
    <row r="61" spans="2:2" ht="14.25" customHeight="1" x14ac:dyDescent="0.2">
      <c r="B61" s="3" t="s">
        <v>41</v>
      </c>
    </row>
    <row r="62" spans="2:2" ht="14.25" customHeight="1" x14ac:dyDescent="0.2">
      <c r="B62" s="3" t="s">
        <v>42</v>
      </c>
    </row>
    <row r="63" spans="2:2" ht="14.25" customHeight="1" x14ac:dyDescent="0.2">
      <c r="B63" s="3"/>
    </row>
    <row r="64" spans="2:2" ht="14.25" customHeight="1" x14ac:dyDescent="0.2">
      <c r="B64" s="3" t="s">
        <v>43</v>
      </c>
    </row>
    <row r="65" spans="2:2" ht="14.25" customHeight="1" x14ac:dyDescent="0.2">
      <c r="B65" s="3" t="s">
        <v>44</v>
      </c>
    </row>
    <row r="66" spans="2:2" ht="14.25" customHeight="1" x14ac:dyDescent="0.2">
      <c r="B66" s="3" t="s">
        <v>45</v>
      </c>
    </row>
    <row r="67" spans="2:2" ht="14.25" customHeight="1" x14ac:dyDescent="0.2">
      <c r="B67" s="3"/>
    </row>
    <row r="68" spans="2:2" ht="14.25" customHeight="1" x14ac:dyDescent="0.2">
      <c r="B68" s="3" t="s">
        <v>46</v>
      </c>
    </row>
    <row r="69" spans="2:2" ht="14.25" customHeight="1" x14ac:dyDescent="0.2">
      <c r="B69" s="3" t="s">
        <v>47</v>
      </c>
    </row>
    <row r="70" spans="2:2" ht="14.25" customHeight="1" x14ac:dyDescent="0.2">
      <c r="B70" s="3" t="s">
        <v>48</v>
      </c>
    </row>
    <row r="71" spans="2:2" ht="14.25" customHeight="1" x14ac:dyDescent="0.2">
      <c r="B71" s="3"/>
    </row>
    <row r="72" spans="2:2" ht="14.25" customHeight="1" x14ac:dyDescent="0.2">
      <c r="B72" s="3" t="s">
        <v>49</v>
      </c>
    </row>
    <row r="73" spans="2:2" ht="14.25" customHeight="1" x14ac:dyDescent="0.2">
      <c r="B73" s="3" t="s">
        <v>50</v>
      </c>
    </row>
    <row r="74" spans="2:2" ht="14.25" customHeight="1" x14ac:dyDescent="0.2">
      <c r="B74" s="3" t="s">
        <v>51</v>
      </c>
    </row>
    <row r="75" spans="2:2" ht="14.25" customHeight="1" x14ac:dyDescent="0.2">
      <c r="B75" s="3"/>
    </row>
    <row r="76" spans="2:2" ht="14.25" customHeight="1" x14ac:dyDescent="0.2">
      <c r="B76" s="3" t="s">
        <v>52</v>
      </c>
    </row>
    <row r="77" spans="2:2" ht="14.25" customHeight="1" x14ac:dyDescent="0.2">
      <c r="B77" s="3" t="s">
        <v>50</v>
      </c>
    </row>
    <row r="78" spans="2:2" ht="14.25" customHeight="1" x14ac:dyDescent="0.2">
      <c r="B78" s="3" t="s">
        <v>53</v>
      </c>
    </row>
    <row r="79" spans="2:2" ht="14.25" customHeight="1" x14ac:dyDescent="0.2">
      <c r="B79" s="3"/>
    </row>
    <row r="80" spans="2:2" ht="14.25" customHeight="1" x14ac:dyDescent="0.2">
      <c r="B80" s="2" t="s">
        <v>54</v>
      </c>
    </row>
    <row r="81" spans="2:2" ht="14.25" customHeight="1" x14ac:dyDescent="0.2">
      <c r="B81" s="3" t="s">
        <v>13</v>
      </c>
    </row>
    <row r="82" spans="2:2" ht="14.25" customHeight="1" x14ac:dyDescent="0.2">
      <c r="B82" s="3" t="s">
        <v>14</v>
      </c>
    </row>
    <row r="83" spans="2:2" ht="14.25" customHeight="1" x14ac:dyDescent="0.2">
      <c r="B83" s="5" t="s">
        <v>15</v>
      </c>
    </row>
    <row r="84" spans="2:2" ht="14.25" customHeight="1" x14ac:dyDescent="0.2">
      <c r="B84" s="7" t="s">
        <v>55</v>
      </c>
    </row>
    <row r="85" spans="2:2" ht="14.25" customHeight="1" x14ac:dyDescent="0.2">
      <c r="B85" s="3" t="s">
        <v>56</v>
      </c>
    </row>
    <row r="86" spans="2:2" ht="14.25" customHeight="1" x14ac:dyDescent="0.2">
      <c r="B86" s="3" t="s">
        <v>57</v>
      </c>
    </row>
    <row r="87" spans="2:2" ht="14.25" customHeight="1" x14ac:dyDescent="0.2">
      <c r="B87" s="3"/>
    </row>
    <row r="88" spans="2:2" ht="14.25" customHeight="1" x14ac:dyDescent="0.2">
      <c r="B88" s="2" t="s">
        <v>58</v>
      </c>
    </row>
    <row r="89" spans="2:2" ht="14.25" customHeight="1" x14ac:dyDescent="0.2">
      <c r="B89" s="3" t="s">
        <v>59</v>
      </c>
    </row>
    <row r="90" spans="2:2" ht="14.25" customHeight="1" x14ac:dyDescent="0.2">
      <c r="B90" s="4" t="s">
        <v>60</v>
      </c>
    </row>
    <row r="91" spans="2:2" ht="14.25" customHeight="1" x14ac:dyDescent="0.2">
      <c r="B91" s="108" t="s">
        <v>61</v>
      </c>
    </row>
    <row r="92" spans="2:2" ht="14.25" customHeight="1" x14ac:dyDescent="0.2">
      <c r="B92" s="3"/>
    </row>
    <row r="93" spans="2:2" ht="14.25" customHeight="1" x14ac:dyDescent="0.2">
      <c r="B93" s="3"/>
    </row>
    <row r="94" spans="2:2" ht="14.25" customHeight="1" x14ac:dyDescent="0.2">
      <c r="B94" s="3" t="s">
        <v>62</v>
      </c>
    </row>
    <row r="95" spans="2:2" ht="14.25" customHeight="1" x14ac:dyDescent="0.2">
      <c r="B95" s="8" t="s">
        <v>63</v>
      </c>
    </row>
    <row r="96" spans="2:2" ht="14.25" customHeight="1" x14ac:dyDescent="0.2">
      <c r="B96" s="3" t="s">
        <v>64</v>
      </c>
    </row>
    <row r="97" spans="1:2" ht="14.25" customHeight="1" x14ac:dyDescent="0.2">
      <c r="B97" s="4"/>
    </row>
    <row r="98" spans="1:2" ht="14.25" customHeight="1" x14ac:dyDescent="0.2">
      <c r="B98" s="2" t="s">
        <v>65</v>
      </c>
    </row>
    <row r="99" spans="1:2" ht="14.25" customHeight="1" x14ac:dyDescent="0.2">
      <c r="B99" s="3" t="s">
        <v>66</v>
      </c>
    </row>
    <row r="100" spans="1:2" ht="14.25" customHeight="1" x14ac:dyDescent="0.2">
      <c r="B100" s="8" t="s">
        <v>67</v>
      </c>
    </row>
    <row r="101" spans="1:2" ht="14.25" customHeight="1" x14ac:dyDescent="0.2">
      <c r="B101" s="3" t="s">
        <v>68</v>
      </c>
    </row>
    <row r="102" spans="1:2" ht="14.25" customHeight="1" x14ac:dyDescent="0.2">
      <c r="A102" s="1" t="s">
        <v>69</v>
      </c>
    </row>
    <row r="103" spans="1:2" ht="14.25" customHeight="1" x14ac:dyDescent="0.2">
      <c r="A103" s="3" t="s">
        <v>70</v>
      </c>
    </row>
    <row r="104" spans="1:2" ht="14.25" customHeight="1" x14ac:dyDescent="0.2">
      <c r="A104" s="3" t="s">
        <v>71</v>
      </c>
    </row>
    <row r="105" spans="1:2" ht="14.25" customHeight="1" x14ac:dyDescent="0.2">
      <c r="A105" s="9" t="s">
        <v>72</v>
      </c>
    </row>
    <row r="106" spans="1:2" ht="14.25" customHeight="1" x14ac:dyDescent="0.2"/>
    <row r="107" spans="1:2" ht="14.25" customHeight="1" x14ac:dyDescent="0.2"/>
    <row r="108" spans="1:2" ht="14.25" customHeight="1" x14ac:dyDescent="0.2"/>
    <row r="109" spans="1:2" ht="14.25" customHeight="1" x14ac:dyDescent="0.2"/>
    <row r="110" spans="1:2" ht="14.25" customHeight="1" x14ac:dyDescent="0.2"/>
    <row r="111" spans="1:2" ht="14.25" customHeight="1" x14ac:dyDescent="0.2"/>
    <row r="112" spans="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row r="1001" ht="14.25" customHeight="1" x14ac:dyDescent="0.2"/>
    <row r="1002" ht="14.25" customHeight="1" x14ac:dyDescent="0.2"/>
    <row r="1003" ht="14.25" customHeight="1" x14ac:dyDescent="0.2"/>
    <row r="1004" ht="14.25" customHeight="1" x14ac:dyDescent="0.2"/>
    <row r="1005" ht="14.25" customHeight="1" x14ac:dyDescent="0.2"/>
    <row r="1006" ht="14.25" customHeight="1" x14ac:dyDescent="0.2"/>
    <row r="1007" ht="14.25" customHeight="1" x14ac:dyDescent="0.2"/>
    <row r="1008" ht="14.25" customHeight="1" x14ac:dyDescent="0.2"/>
    <row r="1009" ht="14.25" customHeight="1" x14ac:dyDescent="0.2"/>
    <row r="1010" ht="14.25" customHeight="1" x14ac:dyDescent="0.2"/>
    <row r="1011" ht="14.25" customHeight="1" x14ac:dyDescent="0.2"/>
    <row r="1012" ht="14.25" customHeight="1" x14ac:dyDescent="0.2"/>
    <row r="1013" ht="14.25" customHeight="1" x14ac:dyDescent="0.2"/>
    <row r="1014" ht="14.25" customHeight="1" x14ac:dyDescent="0.2"/>
    <row r="1015" ht="14.25" customHeight="1" x14ac:dyDescent="0.2"/>
    <row r="1016" ht="14.25" customHeight="1" x14ac:dyDescent="0.2"/>
    <row r="1017" ht="14.25" customHeight="1" x14ac:dyDescent="0.2"/>
    <row r="1018" ht="14.25" customHeight="1" x14ac:dyDescent="0.2"/>
    <row r="1019" ht="14.25" customHeight="1" x14ac:dyDescent="0.2"/>
    <row r="1020" ht="14.25" customHeight="1" x14ac:dyDescent="0.2"/>
    <row r="1021" ht="14.25" customHeight="1" x14ac:dyDescent="0.2"/>
    <row r="1022" ht="14.25" customHeight="1" x14ac:dyDescent="0.2"/>
    <row r="1023" ht="14.25" customHeight="1" x14ac:dyDescent="0.2"/>
    <row r="1024" ht="14.25" customHeight="1" x14ac:dyDescent="0.2"/>
    <row r="1025" ht="14.25" customHeight="1" x14ac:dyDescent="0.2"/>
    <row r="1026" ht="14.25" customHeight="1" x14ac:dyDescent="0.2"/>
    <row r="1027" ht="14.25" customHeight="1" x14ac:dyDescent="0.2"/>
    <row r="1028" ht="14.25" customHeight="1" x14ac:dyDescent="0.2"/>
    <row r="1029" ht="14.25" customHeight="1" x14ac:dyDescent="0.2"/>
    <row r="1030" ht="14.25" customHeight="1" x14ac:dyDescent="0.2"/>
    <row r="1031" ht="14.25" customHeight="1" x14ac:dyDescent="0.2"/>
    <row r="1032" ht="14.25" customHeight="1" x14ac:dyDescent="0.2"/>
    <row r="1033" ht="14.25" customHeight="1" x14ac:dyDescent="0.2"/>
    <row r="1034" ht="14.25" customHeight="1" x14ac:dyDescent="0.2"/>
    <row r="1035" ht="14.25" customHeight="1" x14ac:dyDescent="0.2"/>
    <row r="1036" ht="14.25" customHeight="1" x14ac:dyDescent="0.2"/>
    <row r="1037" ht="14.25" customHeight="1" x14ac:dyDescent="0.2"/>
    <row r="1038" ht="14.25" customHeight="1" x14ac:dyDescent="0.2"/>
    <row r="1039" ht="14.25" customHeight="1" x14ac:dyDescent="0.2"/>
    <row r="1040" ht="14.25" customHeight="1" x14ac:dyDescent="0.2"/>
    <row r="1041" ht="14.25" customHeight="1" x14ac:dyDescent="0.2"/>
    <row r="1042" ht="14.25" customHeight="1" x14ac:dyDescent="0.2"/>
    <row r="1043" ht="14.25" customHeight="1" x14ac:dyDescent="0.2"/>
    <row r="1044" ht="14.25" customHeight="1" x14ac:dyDescent="0.2"/>
    <row r="1045" ht="14.25" customHeight="1" x14ac:dyDescent="0.2"/>
    <row r="1046" ht="14.25" customHeight="1" x14ac:dyDescent="0.2"/>
    <row r="1047" ht="14.25" customHeight="1" x14ac:dyDescent="0.2"/>
    <row r="1048" ht="14.25" customHeight="1" x14ac:dyDescent="0.2"/>
    <row r="1049" ht="14.25" customHeight="1" x14ac:dyDescent="0.2"/>
    <row r="1050" ht="14.25" customHeight="1" x14ac:dyDescent="0.2"/>
  </sheetData>
  <hyperlinks>
    <hyperlink ref="B6" r:id="rId1" xr:uid="{00000000-0004-0000-0000-000000000000}"/>
    <hyperlink ref="B13" r:id="rId2" xr:uid="{00000000-0004-0000-0000-000001000000}"/>
    <hyperlink ref="B95" r:id="rId3" xr:uid="{00000000-0004-0000-0000-000002000000}"/>
    <hyperlink ref="B91" r:id="rId4" xr:uid="{304107EF-DC78-DF4F-A784-039C1456DE85}"/>
  </hyperlink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G11"/>
  <sheetViews>
    <sheetView workbookViewId="0">
      <selection activeCell="F8" sqref="F8"/>
    </sheetView>
  </sheetViews>
  <sheetFormatPr baseColWidth="10" defaultColWidth="14.5" defaultRowHeight="15" customHeight="1" x14ac:dyDescent="0.2"/>
  <cols>
    <col min="1" max="1" width="30.33203125" customWidth="1"/>
  </cols>
  <sheetData>
    <row r="1" spans="1:7" x14ac:dyDescent="0.2">
      <c r="A1" s="1" t="s">
        <v>73</v>
      </c>
    </row>
    <row r="2" spans="1:7" x14ac:dyDescent="0.2">
      <c r="A2" s="7" t="s">
        <v>74</v>
      </c>
    </row>
    <row r="3" spans="1:7" x14ac:dyDescent="0.2">
      <c r="A3" s="10" t="s">
        <v>75</v>
      </c>
      <c r="B3" s="11">
        <v>2015</v>
      </c>
      <c r="C3" s="11">
        <v>2016</v>
      </c>
      <c r="D3" s="11">
        <v>2017</v>
      </c>
      <c r="E3" s="11">
        <v>2018</v>
      </c>
      <c r="F3" s="11">
        <v>2019</v>
      </c>
    </row>
    <row r="4" spans="1:7" x14ac:dyDescent="0.2">
      <c r="A4" s="12" t="s">
        <v>76</v>
      </c>
      <c r="B4" s="13">
        <v>14304221</v>
      </c>
      <c r="C4" s="13">
        <v>14142958</v>
      </c>
      <c r="D4" s="13">
        <v>15968202</v>
      </c>
      <c r="E4" s="13">
        <v>16830698</v>
      </c>
      <c r="F4" s="14">
        <v>17592419</v>
      </c>
      <c r="G4" s="3" t="s">
        <v>77</v>
      </c>
    </row>
    <row r="5" spans="1:7" x14ac:dyDescent="0.2">
      <c r="A5" s="12" t="s">
        <v>78</v>
      </c>
      <c r="B5" s="13">
        <v>296309</v>
      </c>
      <c r="C5" s="13">
        <v>304512</v>
      </c>
      <c r="D5" s="13">
        <v>313359</v>
      </c>
      <c r="E5" s="13">
        <v>322872</v>
      </c>
      <c r="F5" s="14">
        <v>331569</v>
      </c>
      <c r="G5" s="3" t="s">
        <v>79</v>
      </c>
    </row>
    <row r="6" spans="1:7" x14ac:dyDescent="0.2">
      <c r="A6" s="12" t="s">
        <v>80</v>
      </c>
      <c r="B6" s="13">
        <v>4145857</v>
      </c>
      <c r="C6" s="13">
        <v>4326731</v>
      </c>
      <c r="D6" s="13">
        <v>4540902</v>
      </c>
      <c r="E6" s="13">
        <v>4797254</v>
      </c>
      <c r="F6" s="15">
        <v>5021888</v>
      </c>
      <c r="G6" s="3" t="s">
        <v>79</v>
      </c>
    </row>
    <row r="7" spans="1:7" x14ac:dyDescent="0.2">
      <c r="A7" s="12" t="s">
        <v>81</v>
      </c>
      <c r="B7" s="13">
        <v>88656931</v>
      </c>
      <c r="C7" s="13">
        <v>94531510</v>
      </c>
      <c r="D7" s="13">
        <v>100200245</v>
      </c>
      <c r="E7" s="13">
        <v>106657952</v>
      </c>
      <c r="F7" s="14">
        <v>112771136</v>
      </c>
      <c r="G7" s="3" t="s">
        <v>82</v>
      </c>
    </row>
    <row r="8" spans="1:7" x14ac:dyDescent="0.2">
      <c r="A8" s="12" t="s">
        <v>83</v>
      </c>
      <c r="B8" s="13">
        <f t="shared" ref="B8:F8" si="0">SUM(B4:B7)</f>
        <v>107403318</v>
      </c>
      <c r="C8" s="13">
        <f t="shared" si="0"/>
        <v>113305711</v>
      </c>
      <c r="D8" s="13">
        <f t="shared" si="0"/>
        <v>121022708</v>
      </c>
      <c r="E8" s="13">
        <f t="shared" si="0"/>
        <v>128608776</v>
      </c>
      <c r="F8" s="13">
        <f t="shared" si="0"/>
        <v>135717012</v>
      </c>
    </row>
    <row r="10" spans="1:7" x14ac:dyDescent="0.2">
      <c r="A10" s="1" t="s">
        <v>84</v>
      </c>
      <c r="B10" s="1" t="s">
        <v>85</v>
      </c>
    </row>
    <row r="11" spans="1:7" x14ac:dyDescent="0.2">
      <c r="A11" s="7" t="s">
        <v>86</v>
      </c>
      <c r="B11" s="7" t="s">
        <v>87</v>
      </c>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B2:C5"/>
  <sheetViews>
    <sheetView workbookViewId="0"/>
  </sheetViews>
  <sheetFormatPr baseColWidth="10" defaultColWidth="14.5" defaultRowHeight="15" customHeight="1" x14ac:dyDescent="0.2"/>
  <sheetData>
    <row r="2" spans="2:3" ht="15" customHeight="1" x14ac:dyDescent="0.2">
      <c r="B2" s="16" t="s">
        <v>88</v>
      </c>
    </row>
    <row r="3" spans="2:3" x14ac:dyDescent="0.2">
      <c r="B3" s="17" t="s">
        <v>89</v>
      </c>
    </row>
    <row r="4" spans="2:3" ht="15" customHeight="1" x14ac:dyDescent="0.2">
      <c r="B4" s="18">
        <v>97</v>
      </c>
      <c r="C4" s="9" t="s">
        <v>90</v>
      </c>
    </row>
    <row r="5" spans="2:3" ht="15" customHeight="1" x14ac:dyDescent="0.2">
      <c r="B5" s="9" t="s">
        <v>91</v>
      </c>
    </row>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B2:F15"/>
  <sheetViews>
    <sheetView workbookViewId="0"/>
  </sheetViews>
  <sheetFormatPr baseColWidth="10" defaultColWidth="14.5" defaultRowHeight="15" customHeight="1" x14ac:dyDescent="0.2"/>
  <cols>
    <col min="2" max="2" width="24.5" customWidth="1"/>
  </cols>
  <sheetData>
    <row r="2" spans="2:6" ht="15" customHeight="1" x14ac:dyDescent="0.2">
      <c r="B2" s="16" t="s">
        <v>92</v>
      </c>
    </row>
    <row r="3" spans="2:6" x14ac:dyDescent="0.2">
      <c r="B3" s="17" t="s">
        <v>93</v>
      </c>
    </row>
    <row r="5" spans="2:6" ht="15" customHeight="1" x14ac:dyDescent="0.2">
      <c r="B5" s="19" t="s">
        <v>94</v>
      </c>
      <c r="C5" s="19">
        <v>2016</v>
      </c>
      <c r="D5" s="19">
        <v>2017</v>
      </c>
      <c r="E5" s="19">
        <v>2018</v>
      </c>
      <c r="F5" s="19">
        <v>2019</v>
      </c>
    </row>
    <row r="6" spans="2:6" ht="15" customHeight="1" x14ac:dyDescent="0.2">
      <c r="B6" s="20" t="s">
        <v>95</v>
      </c>
      <c r="C6" s="20">
        <v>524</v>
      </c>
      <c r="D6" s="20">
        <v>581</v>
      </c>
      <c r="E6" s="20">
        <v>750</v>
      </c>
      <c r="F6" s="20">
        <v>783</v>
      </c>
    </row>
    <row r="7" spans="2:6" ht="15" customHeight="1" x14ac:dyDescent="0.2">
      <c r="B7" s="20" t="s">
        <v>96</v>
      </c>
      <c r="C7" s="20">
        <v>0</v>
      </c>
      <c r="D7" s="20">
        <v>445</v>
      </c>
      <c r="E7" s="20">
        <v>530</v>
      </c>
      <c r="F7" s="20">
        <v>1368</v>
      </c>
    </row>
    <row r="8" spans="2:6" ht="15" customHeight="1" x14ac:dyDescent="0.2">
      <c r="B8" s="20" t="s">
        <v>97</v>
      </c>
      <c r="C8" s="20">
        <v>225</v>
      </c>
      <c r="D8" s="20">
        <v>310</v>
      </c>
      <c r="E8" s="20">
        <v>480</v>
      </c>
      <c r="F8" s="20">
        <v>602</v>
      </c>
    </row>
    <row r="9" spans="2:6" ht="15" customHeight="1" x14ac:dyDescent="0.2">
      <c r="B9" s="20" t="s">
        <v>98</v>
      </c>
      <c r="C9" s="20">
        <v>113</v>
      </c>
      <c r="D9" s="20">
        <v>106</v>
      </c>
      <c r="E9" s="20">
        <v>132</v>
      </c>
      <c r="F9" s="20">
        <v>193</v>
      </c>
    </row>
    <row r="10" spans="2:6" ht="15" customHeight="1" x14ac:dyDescent="0.2">
      <c r="B10" s="20" t="s">
        <v>99</v>
      </c>
      <c r="C10" s="20">
        <v>14</v>
      </c>
      <c r="D10" s="20">
        <v>33</v>
      </c>
      <c r="E10" s="20">
        <v>45</v>
      </c>
      <c r="F10" s="20">
        <v>47</v>
      </c>
    </row>
    <row r="11" spans="2:6" ht="15" customHeight="1" x14ac:dyDescent="0.2">
      <c r="B11" s="20" t="s">
        <v>100</v>
      </c>
      <c r="C11" s="20">
        <v>0</v>
      </c>
      <c r="D11" s="20">
        <v>0</v>
      </c>
      <c r="E11" s="20">
        <v>19</v>
      </c>
      <c r="F11" s="20">
        <v>82</v>
      </c>
    </row>
    <row r="12" spans="2:6" ht="15" customHeight="1" x14ac:dyDescent="0.2">
      <c r="B12" s="20" t="s">
        <v>101</v>
      </c>
      <c r="C12" s="20">
        <v>15</v>
      </c>
      <c r="D12" s="20">
        <v>17</v>
      </c>
      <c r="E12" s="20">
        <v>21</v>
      </c>
      <c r="F12" s="20">
        <v>25</v>
      </c>
    </row>
    <row r="13" spans="2:6" ht="15" customHeight="1" x14ac:dyDescent="0.2">
      <c r="B13" s="20" t="s">
        <v>102</v>
      </c>
      <c r="C13" s="20">
        <v>5</v>
      </c>
      <c r="D13" s="20">
        <v>21</v>
      </c>
      <c r="E13" s="20">
        <v>6</v>
      </c>
      <c r="F13" s="20">
        <v>31</v>
      </c>
    </row>
    <row r="14" spans="2:6" ht="15" customHeight="1" x14ac:dyDescent="0.2">
      <c r="B14" s="21" t="s">
        <v>103</v>
      </c>
      <c r="C14" s="21">
        <v>0</v>
      </c>
      <c r="D14" s="21">
        <v>7</v>
      </c>
      <c r="E14" s="21">
        <v>20</v>
      </c>
      <c r="F14" s="21">
        <v>18</v>
      </c>
    </row>
    <row r="15" spans="2:6" ht="15" customHeight="1" x14ac:dyDescent="0.2">
      <c r="B15" s="19" t="s">
        <v>104</v>
      </c>
      <c r="C15" s="20">
        <f t="shared" ref="C15:F15" si="0">SUM(C6:C13)</f>
        <v>896</v>
      </c>
      <c r="D15" s="20">
        <f t="shared" si="0"/>
        <v>1513</v>
      </c>
      <c r="E15" s="20">
        <f t="shared" si="0"/>
        <v>1983</v>
      </c>
      <c r="F15" s="22">
        <f t="shared" si="0"/>
        <v>3131</v>
      </c>
    </row>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B2:E13"/>
  <sheetViews>
    <sheetView workbookViewId="0"/>
  </sheetViews>
  <sheetFormatPr baseColWidth="10" defaultColWidth="14.5" defaultRowHeight="15" customHeight="1" x14ac:dyDescent="0.2"/>
  <cols>
    <col min="2" max="2" width="3.83203125" customWidth="1"/>
    <col min="4" max="4" width="15" customWidth="1"/>
  </cols>
  <sheetData>
    <row r="2" spans="2:5" x14ac:dyDescent="0.2">
      <c r="B2" s="1" t="s">
        <v>105</v>
      </c>
    </row>
    <row r="4" spans="2:5" x14ac:dyDescent="0.2">
      <c r="B4" s="11" t="s">
        <v>106</v>
      </c>
      <c r="C4" s="19" t="s">
        <v>107</v>
      </c>
      <c r="D4" s="109" t="s">
        <v>108</v>
      </c>
      <c r="E4" s="110"/>
    </row>
    <row r="5" spans="2:5" x14ac:dyDescent="0.2">
      <c r="B5" s="23" t="s">
        <v>106</v>
      </c>
      <c r="C5" s="23" t="s">
        <v>109</v>
      </c>
      <c r="D5" s="19">
        <v>2019</v>
      </c>
    </row>
    <row r="6" spans="2:5" x14ac:dyDescent="0.2">
      <c r="B6" s="24">
        <v>1</v>
      </c>
      <c r="C6" s="12" t="s">
        <v>110</v>
      </c>
      <c r="D6" s="20">
        <v>0</v>
      </c>
    </row>
    <row r="7" spans="2:5" x14ac:dyDescent="0.2">
      <c r="B7" s="25">
        <v>2</v>
      </c>
      <c r="C7" s="12" t="s">
        <v>111</v>
      </c>
      <c r="D7" s="20">
        <v>0</v>
      </c>
    </row>
    <row r="8" spans="2:5" x14ac:dyDescent="0.2">
      <c r="B8" s="25">
        <v>3</v>
      </c>
      <c r="C8" s="12" t="s">
        <v>112</v>
      </c>
      <c r="D8" s="20">
        <v>0</v>
      </c>
    </row>
    <row r="9" spans="2:5" x14ac:dyDescent="0.2">
      <c r="B9" s="26">
        <v>4</v>
      </c>
      <c r="C9" s="12" t="s">
        <v>113</v>
      </c>
      <c r="D9" s="20">
        <v>0</v>
      </c>
    </row>
    <row r="12" spans="2:5" ht="15" customHeight="1" x14ac:dyDescent="0.2">
      <c r="B12" s="9"/>
    </row>
    <row r="13" spans="2:5" ht="15" customHeight="1" x14ac:dyDescent="0.2">
      <c r="B13" s="9"/>
    </row>
  </sheetData>
  <mergeCells count="1">
    <mergeCell ref="D4:E4"/>
  </mergeCell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Z299"/>
  <sheetViews>
    <sheetView workbookViewId="0"/>
  </sheetViews>
  <sheetFormatPr baseColWidth="10" defaultColWidth="14.5" defaultRowHeight="15" customHeight="1" x14ac:dyDescent="0.2"/>
  <cols>
    <col min="3" max="3" width="30.5" customWidth="1"/>
  </cols>
  <sheetData>
    <row r="1" spans="1:26" x14ac:dyDescent="0.2">
      <c r="B1" s="27" t="s">
        <v>114</v>
      </c>
      <c r="C1" s="28"/>
    </row>
    <row r="2" spans="1:26" x14ac:dyDescent="0.2">
      <c r="B2" s="7" t="s">
        <v>115</v>
      </c>
    </row>
    <row r="3" spans="1:26" x14ac:dyDescent="0.2">
      <c r="B3" s="1" t="s">
        <v>116</v>
      </c>
    </row>
    <row r="4" spans="1:26" x14ac:dyDescent="0.2">
      <c r="B4" s="7" t="s">
        <v>20</v>
      </c>
      <c r="E4" s="7"/>
    </row>
    <row r="5" spans="1:26" x14ac:dyDescent="0.2">
      <c r="B5" s="1" t="s">
        <v>117</v>
      </c>
      <c r="C5" s="1" t="s">
        <v>118</v>
      </c>
      <c r="D5" s="1" t="s">
        <v>119</v>
      </c>
    </row>
    <row r="7" spans="1:26" x14ac:dyDescent="0.2">
      <c r="B7" s="11" t="s">
        <v>120</v>
      </c>
      <c r="C7" s="11" t="s">
        <v>121</v>
      </c>
      <c r="D7" s="29" t="s">
        <v>122</v>
      </c>
      <c r="E7" s="11" t="s">
        <v>104</v>
      </c>
    </row>
    <row r="8" spans="1:26" x14ac:dyDescent="0.2">
      <c r="B8" s="23" t="s">
        <v>123</v>
      </c>
      <c r="C8" s="23" t="s">
        <v>124</v>
      </c>
      <c r="D8" s="30" t="s">
        <v>125</v>
      </c>
      <c r="E8" s="20"/>
    </row>
    <row r="9" spans="1:26" x14ac:dyDescent="0.2">
      <c r="B9" s="12">
        <v>2014</v>
      </c>
      <c r="C9" s="12">
        <v>22544</v>
      </c>
      <c r="D9" s="31">
        <v>19841</v>
      </c>
      <c r="E9" s="20">
        <f t="shared" ref="E9:E14" si="0">D9+C9</f>
        <v>42385</v>
      </c>
    </row>
    <row r="10" spans="1:26" x14ac:dyDescent="0.2">
      <c r="B10" s="12">
        <v>2015</v>
      </c>
      <c r="C10" s="12">
        <v>23464</v>
      </c>
      <c r="D10" s="31">
        <v>21277</v>
      </c>
      <c r="E10" s="20">
        <f t="shared" si="0"/>
        <v>44741</v>
      </c>
    </row>
    <row r="11" spans="1:26" x14ac:dyDescent="0.2">
      <c r="B11" s="12">
        <v>2016</v>
      </c>
      <c r="C11" s="12">
        <v>22742</v>
      </c>
      <c r="D11" s="31">
        <v>22971</v>
      </c>
      <c r="E11" s="20">
        <f t="shared" si="0"/>
        <v>45713</v>
      </c>
    </row>
    <row r="12" spans="1:26" x14ac:dyDescent="0.2">
      <c r="B12" s="12">
        <v>2017</v>
      </c>
      <c r="C12" s="12">
        <v>16238</v>
      </c>
      <c r="D12" s="31">
        <v>24524</v>
      </c>
      <c r="E12" s="20">
        <f t="shared" si="0"/>
        <v>40762</v>
      </c>
    </row>
    <row r="13" spans="1:26" x14ac:dyDescent="0.2">
      <c r="B13" s="32">
        <v>2018</v>
      </c>
      <c r="C13" s="32">
        <v>16353</v>
      </c>
      <c r="D13" s="33">
        <v>24679</v>
      </c>
      <c r="E13" s="20">
        <f t="shared" si="0"/>
        <v>41032</v>
      </c>
    </row>
    <row r="14" spans="1:26" x14ac:dyDescent="0.2">
      <c r="A14" s="9"/>
      <c r="B14" s="12">
        <v>2019</v>
      </c>
      <c r="C14" s="12">
        <v>12367</v>
      </c>
      <c r="D14" s="31">
        <v>12961</v>
      </c>
      <c r="E14" s="22">
        <f t="shared" si="0"/>
        <v>25328</v>
      </c>
      <c r="F14" s="9"/>
      <c r="G14" s="9"/>
      <c r="H14" s="9"/>
      <c r="I14" s="9"/>
      <c r="J14" s="9"/>
      <c r="K14" s="9"/>
      <c r="L14" s="9"/>
      <c r="M14" s="9"/>
      <c r="N14" s="9"/>
      <c r="O14" s="9"/>
      <c r="P14" s="9"/>
      <c r="Q14" s="9"/>
      <c r="R14" s="9"/>
      <c r="S14" s="9"/>
      <c r="T14" s="9"/>
      <c r="U14" s="9"/>
      <c r="V14" s="9"/>
      <c r="W14" s="9"/>
      <c r="X14" s="9"/>
      <c r="Y14" s="9"/>
      <c r="Z14" s="9"/>
    </row>
    <row r="16" spans="1:26" x14ac:dyDescent="0.2">
      <c r="B16" s="1" t="s">
        <v>126</v>
      </c>
    </row>
    <row r="17" spans="2:13" x14ac:dyDescent="0.2">
      <c r="B17" s="7" t="s">
        <v>127</v>
      </c>
    </row>
    <row r="18" spans="2:13" x14ac:dyDescent="0.2">
      <c r="B18" s="1" t="s">
        <v>128</v>
      </c>
      <c r="C18" s="1" t="s">
        <v>129</v>
      </c>
      <c r="D18" s="1" t="s">
        <v>130</v>
      </c>
    </row>
    <row r="20" spans="2:13" x14ac:dyDescent="0.2">
      <c r="B20" s="11" t="s">
        <v>106</v>
      </c>
      <c r="C20" s="11" t="s">
        <v>131</v>
      </c>
      <c r="D20" s="11" t="s">
        <v>132</v>
      </c>
      <c r="E20" s="11">
        <v>2014</v>
      </c>
      <c r="F20" s="11">
        <v>2015</v>
      </c>
      <c r="G20" s="11">
        <v>2016</v>
      </c>
      <c r="H20" s="11">
        <v>2017</v>
      </c>
      <c r="I20" s="29">
        <v>2018</v>
      </c>
      <c r="J20" s="11">
        <v>2019</v>
      </c>
    </row>
    <row r="21" spans="2:13" x14ac:dyDescent="0.2">
      <c r="B21" s="12"/>
      <c r="C21" s="23" t="s">
        <v>133</v>
      </c>
      <c r="D21" s="23" t="s">
        <v>134</v>
      </c>
      <c r="E21" s="12"/>
      <c r="F21" s="12"/>
      <c r="G21" s="12"/>
      <c r="H21" s="12"/>
      <c r="I21" s="31"/>
      <c r="J21" s="20"/>
    </row>
    <row r="22" spans="2:13" x14ac:dyDescent="0.2">
      <c r="B22" s="11">
        <v>1</v>
      </c>
      <c r="C22" s="11" t="s">
        <v>135</v>
      </c>
      <c r="D22" s="11" t="s">
        <v>134</v>
      </c>
      <c r="E22" s="12">
        <v>109</v>
      </c>
      <c r="F22" s="12">
        <v>1087</v>
      </c>
      <c r="G22" s="12">
        <v>1129</v>
      </c>
      <c r="H22" s="12">
        <v>1158</v>
      </c>
      <c r="I22" s="31">
        <v>1341</v>
      </c>
      <c r="J22" s="12">
        <v>229</v>
      </c>
      <c r="L22" s="16" t="s">
        <v>136</v>
      </c>
      <c r="M22" s="3">
        <f>SUM(J26:J28)</f>
        <v>1344</v>
      </c>
    </row>
    <row r="23" spans="2:13" x14ac:dyDescent="0.2">
      <c r="B23" s="12"/>
      <c r="C23" s="23" t="s">
        <v>137</v>
      </c>
      <c r="D23" s="12" t="s">
        <v>138</v>
      </c>
      <c r="E23" s="12"/>
      <c r="F23" s="12"/>
      <c r="G23" s="12"/>
      <c r="H23" s="12"/>
      <c r="I23" s="31"/>
      <c r="J23" s="20"/>
    </row>
    <row r="24" spans="2:13" x14ac:dyDescent="0.2">
      <c r="B24" s="11">
        <v>2</v>
      </c>
      <c r="C24" s="11" t="s">
        <v>139</v>
      </c>
      <c r="D24" s="11" t="s">
        <v>134</v>
      </c>
      <c r="E24" s="12">
        <v>2716</v>
      </c>
      <c r="F24" s="12">
        <v>10130</v>
      </c>
      <c r="G24" s="12">
        <v>11942</v>
      </c>
      <c r="H24" s="12">
        <v>13332</v>
      </c>
      <c r="I24" s="31">
        <v>18825</v>
      </c>
      <c r="J24" s="34">
        <v>8984</v>
      </c>
    </row>
    <row r="25" spans="2:13" x14ac:dyDescent="0.2">
      <c r="B25" s="12"/>
      <c r="C25" s="23" t="s">
        <v>140</v>
      </c>
      <c r="D25" s="23" t="s">
        <v>138</v>
      </c>
      <c r="E25" s="12"/>
      <c r="F25" s="12"/>
      <c r="G25" s="12"/>
      <c r="H25" s="12"/>
      <c r="I25" s="31"/>
      <c r="J25" s="20"/>
    </row>
    <row r="26" spans="2:13" x14ac:dyDescent="0.2">
      <c r="B26" s="11">
        <v>3</v>
      </c>
      <c r="C26" s="11" t="s">
        <v>141</v>
      </c>
      <c r="D26" s="11" t="s">
        <v>134</v>
      </c>
      <c r="E26" s="12">
        <v>2681</v>
      </c>
      <c r="F26" s="12">
        <v>2811</v>
      </c>
      <c r="G26" s="12">
        <v>1886</v>
      </c>
      <c r="H26" s="12">
        <v>2539</v>
      </c>
      <c r="I26" s="31">
        <v>3078</v>
      </c>
      <c r="J26" s="35">
        <v>937</v>
      </c>
    </row>
    <row r="27" spans="2:13" x14ac:dyDescent="0.2">
      <c r="B27" s="12"/>
      <c r="C27" s="36" t="s">
        <v>142</v>
      </c>
      <c r="D27" s="23" t="s">
        <v>138</v>
      </c>
      <c r="E27" s="12"/>
      <c r="F27" s="12"/>
      <c r="G27" s="12"/>
      <c r="H27" s="12"/>
      <c r="I27" s="31"/>
      <c r="J27" s="20"/>
    </row>
    <row r="28" spans="2:13" x14ac:dyDescent="0.2">
      <c r="B28" s="11">
        <v>4</v>
      </c>
      <c r="C28" s="11" t="s">
        <v>143</v>
      </c>
      <c r="D28" s="11" t="s">
        <v>134</v>
      </c>
      <c r="E28" s="12">
        <v>0</v>
      </c>
      <c r="F28" s="12">
        <v>0</v>
      </c>
      <c r="G28" s="12">
        <v>0</v>
      </c>
      <c r="H28" s="12">
        <v>2341</v>
      </c>
      <c r="I28" s="31">
        <v>2495</v>
      </c>
      <c r="J28" s="35">
        <v>407</v>
      </c>
    </row>
    <row r="29" spans="2:13" x14ac:dyDescent="0.2">
      <c r="B29" s="12"/>
      <c r="C29" s="23" t="s">
        <v>144</v>
      </c>
      <c r="D29" s="23" t="s">
        <v>138</v>
      </c>
      <c r="E29" s="12"/>
      <c r="F29" s="12"/>
      <c r="G29" s="12"/>
      <c r="H29" s="12"/>
      <c r="I29" s="31"/>
      <c r="J29" s="20"/>
    </row>
    <row r="33" spans="2:13" x14ac:dyDescent="0.2">
      <c r="B33" s="1" t="s">
        <v>145</v>
      </c>
    </row>
    <row r="34" spans="2:13" x14ac:dyDescent="0.2">
      <c r="B34" s="3" t="s">
        <v>146</v>
      </c>
    </row>
    <row r="35" spans="2:13" x14ac:dyDescent="0.2">
      <c r="B35" s="1" t="s">
        <v>128</v>
      </c>
      <c r="C35" s="1" t="s">
        <v>147</v>
      </c>
      <c r="D35" s="1" t="s">
        <v>26</v>
      </c>
    </row>
    <row r="37" spans="2:13" x14ac:dyDescent="0.2">
      <c r="B37" s="11" t="s">
        <v>106</v>
      </c>
      <c r="C37" s="11" t="s">
        <v>131</v>
      </c>
      <c r="D37" s="11" t="s">
        <v>132</v>
      </c>
      <c r="E37" s="11">
        <v>2014</v>
      </c>
      <c r="F37" s="11">
        <v>2015</v>
      </c>
      <c r="G37" s="11">
        <v>2016</v>
      </c>
      <c r="H37" s="11">
        <v>2017</v>
      </c>
      <c r="I37" s="11">
        <v>2018</v>
      </c>
      <c r="J37" s="11">
        <v>2019</v>
      </c>
      <c r="L37" s="16" t="s">
        <v>148</v>
      </c>
      <c r="M37" s="37">
        <f>J51</f>
        <v>57</v>
      </c>
    </row>
    <row r="38" spans="2:13" x14ac:dyDescent="0.2">
      <c r="B38" s="12"/>
      <c r="C38" s="12"/>
      <c r="D38" s="23" t="s">
        <v>134</v>
      </c>
      <c r="E38" s="12"/>
      <c r="F38" s="12"/>
      <c r="G38" s="12"/>
      <c r="H38" s="12"/>
      <c r="I38" s="12"/>
      <c r="J38" s="20"/>
      <c r="L38" s="16" t="s">
        <v>149</v>
      </c>
      <c r="M38" s="38">
        <f>SUM(J39:J49)</f>
        <v>1782</v>
      </c>
    </row>
    <row r="39" spans="2:13" x14ac:dyDescent="0.2">
      <c r="B39" s="11">
        <v>1</v>
      </c>
      <c r="C39" s="11" t="s">
        <v>150</v>
      </c>
      <c r="D39" s="11" t="s">
        <v>134</v>
      </c>
      <c r="E39" s="12">
        <v>422</v>
      </c>
      <c r="F39" s="12">
        <v>405</v>
      </c>
      <c r="G39" s="12">
        <v>565</v>
      </c>
      <c r="H39" s="12">
        <v>201</v>
      </c>
      <c r="I39" s="12">
        <v>451</v>
      </c>
      <c r="J39" s="35">
        <v>436</v>
      </c>
    </row>
    <row r="40" spans="2:13" x14ac:dyDescent="0.2">
      <c r="B40" s="23"/>
      <c r="C40" s="23" t="s">
        <v>151</v>
      </c>
      <c r="D40" s="23" t="s">
        <v>138</v>
      </c>
      <c r="E40" s="12"/>
      <c r="F40" s="12"/>
      <c r="G40" s="12"/>
      <c r="H40" s="12"/>
      <c r="I40" s="12"/>
      <c r="J40" s="20"/>
    </row>
    <row r="41" spans="2:13" x14ac:dyDescent="0.2">
      <c r="B41" s="11">
        <v>2</v>
      </c>
      <c r="C41" s="11" t="s">
        <v>152</v>
      </c>
      <c r="D41" s="11" t="s">
        <v>134</v>
      </c>
      <c r="E41" s="12">
        <v>378</v>
      </c>
      <c r="F41" s="12">
        <v>378</v>
      </c>
      <c r="G41" s="12">
        <v>395</v>
      </c>
      <c r="H41" s="12">
        <v>406</v>
      </c>
      <c r="I41" s="12">
        <v>360</v>
      </c>
      <c r="J41" s="35">
        <v>385</v>
      </c>
    </row>
    <row r="42" spans="2:13" x14ac:dyDescent="0.2">
      <c r="B42" s="12"/>
      <c r="C42" s="23" t="s">
        <v>153</v>
      </c>
      <c r="D42" s="23" t="s">
        <v>138</v>
      </c>
      <c r="E42" s="12"/>
      <c r="F42" s="12"/>
      <c r="G42" s="12"/>
      <c r="H42" s="12"/>
      <c r="I42" s="12"/>
      <c r="J42" s="20"/>
    </row>
    <row r="43" spans="2:13" x14ac:dyDescent="0.2">
      <c r="B43" s="11">
        <v>3</v>
      </c>
      <c r="C43" s="11" t="s">
        <v>154</v>
      </c>
      <c r="D43" s="11" t="s">
        <v>134</v>
      </c>
      <c r="E43" s="12">
        <v>11</v>
      </c>
      <c r="F43" s="12">
        <v>11</v>
      </c>
      <c r="G43" s="12">
        <v>12</v>
      </c>
      <c r="H43" s="12">
        <v>11</v>
      </c>
      <c r="I43" s="12">
        <v>8</v>
      </c>
      <c r="J43" s="35">
        <v>12</v>
      </c>
    </row>
    <row r="44" spans="2:13" x14ac:dyDescent="0.2">
      <c r="B44" s="12"/>
      <c r="C44" s="23" t="s">
        <v>155</v>
      </c>
      <c r="D44" s="23" t="s">
        <v>138</v>
      </c>
      <c r="E44" s="12"/>
      <c r="F44" s="12"/>
      <c r="G44" s="12"/>
      <c r="H44" s="12"/>
      <c r="I44" s="12"/>
      <c r="J44" s="20"/>
    </row>
    <row r="45" spans="2:13" x14ac:dyDescent="0.2">
      <c r="B45" s="11">
        <v>4</v>
      </c>
      <c r="C45" s="11" t="s">
        <v>156</v>
      </c>
      <c r="D45" s="11" t="s">
        <v>134</v>
      </c>
      <c r="E45" s="12">
        <v>31</v>
      </c>
      <c r="F45" s="12">
        <v>26</v>
      </c>
      <c r="G45" s="12">
        <v>27</v>
      </c>
      <c r="H45" s="12">
        <v>7</v>
      </c>
      <c r="I45" s="12">
        <v>5</v>
      </c>
      <c r="J45" s="35">
        <v>15</v>
      </c>
    </row>
    <row r="46" spans="2:13" x14ac:dyDescent="0.2">
      <c r="B46" s="12"/>
      <c r="C46" s="23" t="s">
        <v>157</v>
      </c>
      <c r="D46" s="23" t="s">
        <v>138</v>
      </c>
      <c r="E46" s="12"/>
      <c r="F46" s="12"/>
      <c r="G46" s="12"/>
      <c r="H46" s="12"/>
      <c r="I46" s="12"/>
      <c r="J46" s="20"/>
    </row>
    <row r="47" spans="2:13" x14ac:dyDescent="0.2">
      <c r="B47" s="11">
        <v>5</v>
      </c>
      <c r="C47" s="11" t="s">
        <v>158</v>
      </c>
      <c r="D47" s="11" t="s">
        <v>134</v>
      </c>
      <c r="E47" s="12">
        <v>356</v>
      </c>
      <c r="F47" s="12">
        <v>367</v>
      </c>
      <c r="G47" s="12">
        <v>388</v>
      </c>
      <c r="H47" s="12">
        <v>741</v>
      </c>
      <c r="I47" s="12">
        <v>479</v>
      </c>
      <c r="J47" s="35">
        <v>461</v>
      </c>
    </row>
    <row r="48" spans="2:13" x14ac:dyDescent="0.2">
      <c r="B48" s="12"/>
      <c r="C48" s="23" t="s">
        <v>159</v>
      </c>
      <c r="D48" s="23" t="s">
        <v>138</v>
      </c>
      <c r="E48" s="12"/>
      <c r="F48" s="12"/>
      <c r="G48" s="12"/>
      <c r="H48" s="12"/>
      <c r="I48" s="12"/>
      <c r="J48" s="20"/>
    </row>
    <row r="49" spans="1:26" x14ac:dyDescent="0.2">
      <c r="B49" s="11">
        <v>6</v>
      </c>
      <c r="C49" s="11" t="s">
        <v>160</v>
      </c>
      <c r="D49" s="11" t="s">
        <v>134</v>
      </c>
      <c r="E49" s="12">
        <v>392</v>
      </c>
      <c r="F49" s="12">
        <v>406</v>
      </c>
      <c r="G49" s="12">
        <v>423</v>
      </c>
      <c r="H49" s="12">
        <v>430</v>
      </c>
      <c r="I49" s="12">
        <v>445</v>
      </c>
      <c r="J49" s="35">
        <v>473</v>
      </c>
    </row>
    <row r="50" spans="1:26" x14ac:dyDescent="0.2">
      <c r="B50" s="12"/>
      <c r="C50" s="23" t="s">
        <v>161</v>
      </c>
      <c r="D50" s="23" t="s">
        <v>138</v>
      </c>
      <c r="E50" s="12"/>
      <c r="F50" s="12"/>
      <c r="G50" s="12"/>
      <c r="H50" s="12"/>
      <c r="I50" s="12"/>
      <c r="J50" s="20"/>
    </row>
    <row r="51" spans="1:26" x14ac:dyDescent="0.2">
      <c r="B51" s="11">
        <v>7</v>
      </c>
      <c r="C51" s="11" t="s">
        <v>162</v>
      </c>
      <c r="D51" s="11" t="s">
        <v>134</v>
      </c>
      <c r="E51" s="12">
        <v>68</v>
      </c>
      <c r="F51" s="12">
        <v>68</v>
      </c>
      <c r="G51" s="12">
        <v>51</v>
      </c>
      <c r="H51" s="12">
        <v>54</v>
      </c>
      <c r="I51" s="12">
        <v>63</v>
      </c>
      <c r="J51" s="34">
        <v>57</v>
      </c>
    </row>
    <row r="52" spans="1:26" x14ac:dyDescent="0.2">
      <c r="B52" s="12"/>
      <c r="C52" s="12" t="s">
        <v>163</v>
      </c>
      <c r="D52" s="23" t="s">
        <v>138</v>
      </c>
      <c r="E52" s="12"/>
      <c r="F52" s="12"/>
      <c r="G52" s="12"/>
      <c r="H52" s="12"/>
      <c r="I52" s="12"/>
      <c r="J52" s="20"/>
    </row>
    <row r="53" spans="1:26" x14ac:dyDescent="0.2">
      <c r="B53" s="1"/>
    </row>
    <row r="54" spans="1:26" x14ac:dyDescent="0.2">
      <c r="A54" s="9"/>
      <c r="B54" s="27" t="s">
        <v>164</v>
      </c>
      <c r="C54" s="28"/>
      <c r="D54" s="9"/>
      <c r="E54" s="9"/>
      <c r="F54" s="9"/>
      <c r="G54" s="9"/>
      <c r="H54" s="9"/>
      <c r="I54" s="9"/>
      <c r="J54" s="9"/>
      <c r="K54" s="9"/>
      <c r="L54" s="9"/>
      <c r="M54" s="9"/>
      <c r="N54" s="9"/>
      <c r="O54" s="9"/>
      <c r="P54" s="9"/>
      <c r="Q54" s="9"/>
      <c r="R54" s="9"/>
      <c r="S54" s="9"/>
      <c r="T54" s="9"/>
      <c r="U54" s="9"/>
      <c r="V54" s="9"/>
      <c r="W54" s="9"/>
      <c r="X54" s="9"/>
      <c r="Y54" s="9"/>
      <c r="Z54" s="9"/>
    </row>
    <row r="55" spans="1:26" x14ac:dyDescent="0.2">
      <c r="B55" s="7" t="s">
        <v>165</v>
      </c>
    </row>
    <row r="56" spans="1:26" x14ac:dyDescent="0.2">
      <c r="B56" s="1" t="s">
        <v>166</v>
      </c>
    </row>
    <row r="57" spans="1:26" x14ac:dyDescent="0.2">
      <c r="B57" s="7" t="s">
        <v>31</v>
      </c>
    </row>
    <row r="58" spans="1:26" x14ac:dyDescent="0.2">
      <c r="B58" s="1" t="s">
        <v>128</v>
      </c>
      <c r="C58" s="1" t="s">
        <v>167</v>
      </c>
      <c r="D58" s="1" t="s">
        <v>32</v>
      </c>
    </row>
    <row r="60" spans="1:26" x14ac:dyDescent="0.2">
      <c r="B60" s="11" t="s">
        <v>106</v>
      </c>
      <c r="C60" s="11" t="s">
        <v>131</v>
      </c>
      <c r="D60" s="11" t="s">
        <v>132</v>
      </c>
      <c r="E60" s="11">
        <v>2014</v>
      </c>
      <c r="F60" s="11">
        <v>2015</v>
      </c>
      <c r="G60" s="11">
        <v>2016</v>
      </c>
      <c r="H60" s="11">
        <v>2017</v>
      </c>
      <c r="I60" s="29">
        <v>2018</v>
      </c>
      <c r="J60" s="11">
        <v>2019</v>
      </c>
    </row>
    <row r="61" spans="1:26" x14ac:dyDescent="0.2">
      <c r="B61" s="12"/>
      <c r="C61" s="23" t="s">
        <v>133</v>
      </c>
      <c r="D61" s="23" t="s">
        <v>134</v>
      </c>
      <c r="E61" s="12"/>
      <c r="F61" s="12"/>
      <c r="G61" s="12"/>
      <c r="H61" s="12"/>
      <c r="I61" s="31"/>
      <c r="J61" s="20"/>
    </row>
    <row r="62" spans="1:26" x14ac:dyDescent="0.2">
      <c r="B62" s="11"/>
      <c r="C62" s="11" t="s">
        <v>168</v>
      </c>
      <c r="D62" s="11" t="s">
        <v>138</v>
      </c>
      <c r="E62" s="11">
        <f t="shared" ref="E62:J62" si="1">SUM(E63:E64)</f>
        <v>267</v>
      </c>
      <c r="F62" s="11">
        <f t="shared" si="1"/>
        <v>345</v>
      </c>
      <c r="G62" s="11">
        <f t="shared" si="1"/>
        <v>354</v>
      </c>
      <c r="H62" s="11">
        <f t="shared" si="1"/>
        <v>380</v>
      </c>
      <c r="I62" s="29">
        <f t="shared" si="1"/>
        <v>392</v>
      </c>
      <c r="J62" s="39">
        <f t="shared" si="1"/>
        <v>412</v>
      </c>
      <c r="K62" s="40" t="s">
        <v>169</v>
      </c>
    </row>
    <row r="63" spans="1:26" x14ac:dyDescent="0.2">
      <c r="B63" s="11">
        <v>1</v>
      </c>
      <c r="C63" s="11" t="s">
        <v>170</v>
      </c>
      <c r="D63" s="11" t="s">
        <v>138</v>
      </c>
      <c r="E63" s="11">
        <v>265</v>
      </c>
      <c r="F63" s="11">
        <v>331</v>
      </c>
      <c r="G63" s="11">
        <v>354</v>
      </c>
      <c r="H63" s="11">
        <v>380</v>
      </c>
      <c r="I63" s="29">
        <v>392</v>
      </c>
      <c r="J63" s="11">
        <v>412</v>
      </c>
    </row>
    <row r="64" spans="1:26" x14ac:dyDescent="0.2">
      <c r="B64" s="11">
        <v>2</v>
      </c>
      <c r="C64" s="11" t="s">
        <v>171</v>
      </c>
      <c r="D64" s="11" t="s">
        <v>138</v>
      </c>
      <c r="E64" s="11">
        <v>2</v>
      </c>
      <c r="F64" s="11">
        <v>14</v>
      </c>
      <c r="G64" s="11">
        <v>0</v>
      </c>
      <c r="H64" s="11">
        <v>0</v>
      </c>
      <c r="I64" s="29">
        <v>0</v>
      </c>
      <c r="J64" s="11">
        <v>0</v>
      </c>
    </row>
    <row r="67" spans="2:11" x14ac:dyDescent="0.2">
      <c r="B67" s="1" t="s">
        <v>172</v>
      </c>
    </row>
    <row r="68" spans="2:11" x14ac:dyDescent="0.2">
      <c r="B68" s="7" t="s">
        <v>34</v>
      </c>
    </row>
    <row r="69" spans="2:11" x14ac:dyDescent="0.2">
      <c r="B69" s="1" t="s">
        <v>173</v>
      </c>
      <c r="C69" s="1" t="s">
        <v>174</v>
      </c>
      <c r="D69" s="41" t="s">
        <v>35</v>
      </c>
    </row>
    <row r="71" spans="2:11" x14ac:dyDescent="0.2">
      <c r="B71" s="11" t="s">
        <v>106</v>
      </c>
      <c r="C71" s="11" t="s">
        <v>131</v>
      </c>
      <c r="D71" s="11" t="s">
        <v>132</v>
      </c>
      <c r="E71" s="11">
        <v>2014</v>
      </c>
      <c r="F71" s="11">
        <v>2015</v>
      </c>
      <c r="G71" s="11">
        <v>2016</v>
      </c>
      <c r="H71" s="11">
        <v>2017</v>
      </c>
      <c r="I71" s="29">
        <v>2018</v>
      </c>
      <c r="J71" s="11">
        <v>2019</v>
      </c>
    </row>
    <row r="72" spans="2:11" x14ac:dyDescent="0.2">
      <c r="B72" s="12"/>
      <c r="C72" s="23" t="s">
        <v>133</v>
      </c>
      <c r="D72" s="23" t="s">
        <v>134</v>
      </c>
      <c r="E72" s="12"/>
      <c r="F72" s="12"/>
      <c r="G72" s="12"/>
      <c r="H72" s="12"/>
      <c r="I72" s="31"/>
      <c r="J72" s="20"/>
    </row>
    <row r="73" spans="2:11" x14ac:dyDescent="0.2">
      <c r="B73" s="11">
        <v>1</v>
      </c>
      <c r="C73" s="11" t="s">
        <v>175</v>
      </c>
      <c r="D73" s="11" t="s">
        <v>134</v>
      </c>
      <c r="E73" s="12">
        <v>14156</v>
      </c>
      <c r="F73" s="12">
        <v>16142</v>
      </c>
      <c r="G73" s="12">
        <v>24046</v>
      </c>
      <c r="H73" s="12">
        <v>23823</v>
      </c>
      <c r="I73" s="31">
        <v>25559</v>
      </c>
      <c r="J73" s="12">
        <v>32634</v>
      </c>
      <c r="K73" s="3" t="s">
        <v>176</v>
      </c>
    </row>
    <row r="74" spans="2:11" x14ac:dyDescent="0.2">
      <c r="B74" s="12"/>
      <c r="C74" s="23" t="s">
        <v>177</v>
      </c>
      <c r="D74" s="23" t="s">
        <v>138</v>
      </c>
      <c r="E74" s="12"/>
      <c r="F74" s="12"/>
      <c r="G74" s="12"/>
      <c r="H74" s="12"/>
      <c r="I74" s="31"/>
      <c r="J74" s="20"/>
    </row>
    <row r="75" spans="2:11" x14ac:dyDescent="0.2">
      <c r="B75" s="11">
        <v>2</v>
      </c>
      <c r="C75" s="11" t="s">
        <v>178</v>
      </c>
      <c r="D75" s="11" t="s">
        <v>134</v>
      </c>
      <c r="E75" s="12">
        <v>295</v>
      </c>
      <c r="F75" s="12">
        <v>182</v>
      </c>
      <c r="G75" s="12">
        <v>233</v>
      </c>
      <c r="H75" s="12">
        <v>63</v>
      </c>
      <c r="I75" s="31">
        <v>92</v>
      </c>
      <c r="J75" s="12">
        <v>51</v>
      </c>
    </row>
    <row r="76" spans="2:11" x14ac:dyDescent="0.2">
      <c r="B76" s="12"/>
      <c r="C76" s="23" t="s">
        <v>179</v>
      </c>
      <c r="D76" s="23" t="s">
        <v>138</v>
      </c>
      <c r="E76" s="12"/>
      <c r="F76" s="12"/>
      <c r="G76" s="12"/>
      <c r="H76" s="12"/>
      <c r="I76" s="31"/>
      <c r="J76" s="20"/>
    </row>
    <row r="77" spans="2:11" x14ac:dyDescent="0.2">
      <c r="B77" s="11">
        <v>3</v>
      </c>
      <c r="C77" s="11" t="s">
        <v>180</v>
      </c>
      <c r="D77" s="11" t="s">
        <v>134</v>
      </c>
      <c r="E77" s="12">
        <v>4320</v>
      </c>
      <c r="F77" s="12">
        <v>4284</v>
      </c>
      <c r="G77" s="12">
        <v>9191</v>
      </c>
      <c r="H77" s="12">
        <v>9122</v>
      </c>
      <c r="I77" s="31">
        <v>7612</v>
      </c>
      <c r="J77" s="12">
        <v>8237</v>
      </c>
    </row>
    <row r="78" spans="2:11" x14ac:dyDescent="0.2">
      <c r="B78" s="12"/>
      <c r="C78" s="23" t="s">
        <v>181</v>
      </c>
      <c r="D78" s="23" t="s">
        <v>138</v>
      </c>
      <c r="E78" s="12"/>
      <c r="F78" s="12"/>
      <c r="G78" s="12"/>
      <c r="H78" s="12"/>
      <c r="I78" s="31"/>
      <c r="J78" s="20"/>
    </row>
    <row r="79" spans="2:11" x14ac:dyDescent="0.2">
      <c r="B79" s="111" t="s">
        <v>104</v>
      </c>
      <c r="C79" s="110"/>
      <c r="D79" s="11" t="s">
        <v>134</v>
      </c>
      <c r="E79" s="11">
        <f t="shared" ref="E79:J79" si="2">SUM(E73:E78)</f>
        <v>18771</v>
      </c>
      <c r="F79" s="11">
        <f t="shared" si="2"/>
        <v>20608</v>
      </c>
      <c r="G79" s="11">
        <f t="shared" si="2"/>
        <v>33470</v>
      </c>
      <c r="H79" s="11">
        <f t="shared" si="2"/>
        <v>33008</v>
      </c>
      <c r="I79" s="29">
        <f t="shared" si="2"/>
        <v>33263</v>
      </c>
      <c r="J79" s="11">
        <f t="shared" si="2"/>
        <v>40922</v>
      </c>
    </row>
    <row r="82" spans="2:13" x14ac:dyDescent="0.2">
      <c r="B82" s="1" t="s">
        <v>182</v>
      </c>
    </row>
    <row r="83" spans="2:13" x14ac:dyDescent="0.2">
      <c r="B83" s="7" t="s">
        <v>37</v>
      </c>
    </row>
    <row r="84" spans="2:13" x14ac:dyDescent="0.2">
      <c r="B84" s="3" t="s">
        <v>183</v>
      </c>
      <c r="C84" s="1" t="s">
        <v>184</v>
      </c>
      <c r="D84" s="41" t="s">
        <v>38</v>
      </c>
    </row>
    <row r="86" spans="2:13" x14ac:dyDescent="0.2">
      <c r="B86" s="11" t="s">
        <v>106</v>
      </c>
      <c r="C86" s="11" t="s">
        <v>131</v>
      </c>
      <c r="D86" s="11" t="s">
        <v>132</v>
      </c>
      <c r="E86" s="11">
        <v>2014</v>
      </c>
      <c r="F86" s="11">
        <v>2015</v>
      </c>
      <c r="G86" s="11">
        <v>2016</v>
      </c>
      <c r="H86" s="11">
        <v>2017</v>
      </c>
      <c r="I86" s="29">
        <v>2018</v>
      </c>
      <c r="J86" s="11">
        <v>2019</v>
      </c>
    </row>
    <row r="87" spans="2:13" x14ac:dyDescent="0.2">
      <c r="B87" s="12"/>
      <c r="C87" s="23" t="s">
        <v>133</v>
      </c>
      <c r="D87" s="23" t="s">
        <v>134</v>
      </c>
      <c r="E87" s="12"/>
      <c r="F87" s="12"/>
      <c r="G87" s="12"/>
      <c r="H87" s="12"/>
      <c r="I87" s="31"/>
      <c r="J87" s="20"/>
      <c r="L87" s="16" t="s">
        <v>148</v>
      </c>
      <c r="M87" s="37">
        <f>J88+J94</f>
        <v>30825</v>
      </c>
    </row>
    <row r="88" spans="2:13" x14ac:dyDescent="0.2">
      <c r="B88" s="11">
        <v>1</v>
      </c>
      <c r="C88" s="11" t="s">
        <v>185</v>
      </c>
      <c r="D88" s="11" t="s">
        <v>134</v>
      </c>
      <c r="E88" s="12">
        <v>12300</v>
      </c>
      <c r="F88" s="12">
        <v>14231</v>
      </c>
      <c r="G88" s="12">
        <v>21866</v>
      </c>
      <c r="H88" s="12">
        <v>21644</v>
      </c>
      <c r="I88" s="31">
        <v>23622</v>
      </c>
      <c r="J88" s="34">
        <v>27367</v>
      </c>
      <c r="L88" s="16" t="s">
        <v>149</v>
      </c>
      <c r="M88" s="38">
        <f>J90+J92</f>
        <v>1809</v>
      </c>
    </row>
    <row r="89" spans="2:13" x14ac:dyDescent="0.2">
      <c r="B89" s="12"/>
      <c r="C89" s="23" t="s">
        <v>186</v>
      </c>
      <c r="D89" s="23" t="s">
        <v>138</v>
      </c>
      <c r="E89" s="12"/>
      <c r="F89" s="12"/>
      <c r="G89" s="12"/>
      <c r="H89" s="12"/>
      <c r="I89" s="31"/>
      <c r="J89" s="12"/>
    </row>
    <row r="90" spans="2:13" x14ac:dyDescent="0.2">
      <c r="B90" s="11">
        <v>2</v>
      </c>
      <c r="C90" s="11" t="s">
        <v>187</v>
      </c>
      <c r="D90" s="11" t="s">
        <v>134</v>
      </c>
      <c r="E90" s="12">
        <v>1357</v>
      </c>
      <c r="F90" s="12">
        <v>1371</v>
      </c>
      <c r="G90" s="12">
        <v>1384</v>
      </c>
      <c r="H90" s="12">
        <v>1516</v>
      </c>
      <c r="I90" s="31">
        <v>1516</v>
      </c>
      <c r="J90" s="35">
        <v>1649</v>
      </c>
    </row>
    <row r="91" spans="2:13" x14ac:dyDescent="0.2">
      <c r="B91" s="12"/>
      <c r="C91" s="23" t="s">
        <v>188</v>
      </c>
      <c r="D91" s="23" t="s">
        <v>138</v>
      </c>
      <c r="E91" s="12"/>
      <c r="F91" s="12"/>
      <c r="G91" s="12"/>
      <c r="H91" s="12"/>
      <c r="I91" s="31"/>
      <c r="J91" s="12"/>
    </row>
    <row r="92" spans="2:13" x14ac:dyDescent="0.2">
      <c r="B92" s="11">
        <v>3</v>
      </c>
      <c r="C92" s="11" t="s">
        <v>189</v>
      </c>
      <c r="D92" s="11" t="s">
        <v>134</v>
      </c>
      <c r="E92" s="12">
        <v>86</v>
      </c>
      <c r="F92" s="12">
        <v>60</v>
      </c>
      <c r="G92" s="12">
        <v>68</v>
      </c>
      <c r="H92" s="12">
        <v>89</v>
      </c>
      <c r="I92" s="31">
        <v>160</v>
      </c>
      <c r="J92" s="35">
        <v>160</v>
      </c>
    </row>
    <row r="93" spans="2:13" x14ac:dyDescent="0.2">
      <c r="B93" s="12"/>
      <c r="C93" s="23" t="s">
        <v>190</v>
      </c>
      <c r="D93" s="23" t="s">
        <v>138</v>
      </c>
      <c r="E93" s="12"/>
      <c r="F93" s="12"/>
      <c r="G93" s="12"/>
      <c r="H93" s="12"/>
      <c r="I93" s="31"/>
      <c r="J93" s="12"/>
    </row>
    <row r="94" spans="2:13" x14ac:dyDescent="0.2">
      <c r="B94" s="11">
        <v>4</v>
      </c>
      <c r="C94" s="11" t="s">
        <v>191</v>
      </c>
      <c r="D94" s="11" t="s">
        <v>134</v>
      </c>
      <c r="E94" s="12">
        <v>1856</v>
      </c>
      <c r="F94" s="12">
        <v>1911</v>
      </c>
      <c r="G94" s="12">
        <v>2180</v>
      </c>
      <c r="H94" s="12">
        <v>2179</v>
      </c>
      <c r="I94" s="31">
        <v>1937</v>
      </c>
      <c r="J94" s="34">
        <v>3458</v>
      </c>
    </row>
    <row r="95" spans="2:13" x14ac:dyDescent="0.2">
      <c r="B95" s="12"/>
      <c r="C95" s="23" t="s">
        <v>192</v>
      </c>
      <c r="D95" s="23" t="s">
        <v>138</v>
      </c>
      <c r="E95" s="12"/>
      <c r="F95" s="12"/>
      <c r="G95" s="12"/>
      <c r="H95" s="12"/>
      <c r="I95" s="31"/>
      <c r="J95" s="20"/>
    </row>
    <row r="96" spans="2:13" x14ac:dyDescent="0.2">
      <c r="B96" s="111" t="s">
        <v>104</v>
      </c>
      <c r="C96" s="110"/>
      <c r="D96" s="11" t="s">
        <v>134</v>
      </c>
      <c r="E96" s="12">
        <f t="shared" ref="E96:J96" si="3">SUM(E88:E95)</f>
        <v>15599</v>
      </c>
      <c r="F96" s="12">
        <f t="shared" si="3"/>
        <v>17573</v>
      </c>
      <c r="G96" s="12">
        <f t="shared" si="3"/>
        <v>25498</v>
      </c>
      <c r="H96" s="12">
        <f t="shared" si="3"/>
        <v>25428</v>
      </c>
      <c r="I96" s="31">
        <f t="shared" si="3"/>
        <v>27235</v>
      </c>
      <c r="J96" s="12">
        <f t="shared" si="3"/>
        <v>32634</v>
      </c>
    </row>
    <row r="99" spans="2:13" x14ac:dyDescent="0.2">
      <c r="B99" s="1" t="s">
        <v>193</v>
      </c>
    </row>
    <row r="100" spans="2:13" x14ac:dyDescent="0.2">
      <c r="B100" s="7" t="s">
        <v>40</v>
      </c>
    </row>
    <row r="101" spans="2:13" x14ac:dyDescent="0.2">
      <c r="B101" s="1" t="s">
        <v>194</v>
      </c>
      <c r="C101" s="1" t="s">
        <v>195</v>
      </c>
      <c r="D101" s="41" t="s">
        <v>41</v>
      </c>
    </row>
    <row r="103" spans="2:13" x14ac:dyDescent="0.2">
      <c r="B103" s="11" t="s">
        <v>106</v>
      </c>
      <c r="C103" s="11" t="s">
        <v>131</v>
      </c>
      <c r="D103" s="11" t="s">
        <v>132</v>
      </c>
      <c r="E103" s="11">
        <v>2014</v>
      </c>
      <c r="F103" s="11">
        <v>2015</v>
      </c>
      <c r="G103" s="11">
        <v>2016</v>
      </c>
      <c r="H103" s="11">
        <v>2017</v>
      </c>
      <c r="I103" s="29">
        <v>2018</v>
      </c>
      <c r="J103" s="11">
        <v>2019</v>
      </c>
    </row>
    <row r="104" spans="2:13" x14ac:dyDescent="0.2">
      <c r="B104" s="12"/>
      <c r="C104" s="23" t="s">
        <v>133</v>
      </c>
      <c r="D104" s="23" t="s">
        <v>134</v>
      </c>
      <c r="E104" s="12"/>
      <c r="F104" s="12"/>
      <c r="G104" s="12"/>
      <c r="H104" s="12"/>
      <c r="I104" s="31"/>
      <c r="J104" s="20"/>
      <c r="L104" s="16" t="s">
        <v>148</v>
      </c>
      <c r="M104" s="3">
        <f>J108+J111+J114</f>
        <v>39</v>
      </c>
    </row>
    <row r="105" spans="2:13" x14ac:dyDescent="0.2">
      <c r="B105" s="11">
        <v>1</v>
      </c>
      <c r="C105" s="11" t="s">
        <v>196</v>
      </c>
      <c r="D105" s="11"/>
      <c r="E105" s="12"/>
      <c r="F105" s="12"/>
      <c r="G105" s="12"/>
      <c r="H105" s="12"/>
      <c r="I105" s="31"/>
      <c r="J105" s="20"/>
      <c r="L105" s="16" t="s">
        <v>149</v>
      </c>
      <c r="M105" s="3">
        <f>J106</f>
        <v>26</v>
      </c>
    </row>
    <row r="106" spans="2:13" x14ac:dyDescent="0.2">
      <c r="B106" s="12"/>
      <c r="C106" s="11" t="s">
        <v>197</v>
      </c>
      <c r="D106" s="11" t="s">
        <v>134</v>
      </c>
      <c r="E106" s="23">
        <v>25</v>
      </c>
      <c r="F106" s="12">
        <v>25</v>
      </c>
      <c r="G106" s="12">
        <v>26</v>
      </c>
      <c r="H106" s="12">
        <v>26</v>
      </c>
      <c r="I106" s="31">
        <v>26</v>
      </c>
      <c r="J106" s="22">
        <v>26</v>
      </c>
    </row>
    <row r="107" spans="2:13" x14ac:dyDescent="0.2">
      <c r="B107" s="11"/>
      <c r="C107" s="23" t="s">
        <v>198</v>
      </c>
      <c r="D107" s="23" t="s">
        <v>138</v>
      </c>
      <c r="E107" s="11"/>
      <c r="F107" s="12"/>
      <c r="G107" s="12"/>
      <c r="H107" s="12"/>
      <c r="I107" s="31"/>
      <c r="J107" s="20"/>
    </row>
    <row r="108" spans="2:13" x14ac:dyDescent="0.2">
      <c r="B108" s="11"/>
      <c r="C108" s="11" t="s">
        <v>199</v>
      </c>
      <c r="D108" s="11" t="s">
        <v>134</v>
      </c>
      <c r="E108" s="12">
        <v>3</v>
      </c>
      <c r="F108" s="12">
        <v>3</v>
      </c>
      <c r="G108" s="12">
        <v>8</v>
      </c>
      <c r="H108" s="12">
        <v>8</v>
      </c>
      <c r="I108" s="31">
        <v>8</v>
      </c>
      <c r="J108" s="42">
        <v>8</v>
      </c>
    </row>
    <row r="109" spans="2:13" x14ac:dyDescent="0.2">
      <c r="B109" s="11"/>
      <c r="C109" s="23" t="s">
        <v>200</v>
      </c>
      <c r="D109" s="23" t="s">
        <v>138</v>
      </c>
      <c r="E109" s="11"/>
      <c r="F109" s="12"/>
      <c r="G109" s="12"/>
      <c r="H109" s="12"/>
      <c r="I109" s="31"/>
      <c r="J109" s="20"/>
    </row>
    <row r="110" spans="2:13" x14ac:dyDescent="0.2">
      <c r="B110" s="11">
        <v>2</v>
      </c>
      <c r="C110" s="11" t="s">
        <v>201</v>
      </c>
      <c r="D110" s="11"/>
      <c r="E110" s="11"/>
      <c r="F110" s="12"/>
      <c r="G110" s="12"/>
      <c r="H110" s="12"/>
      <c r="I110" s="31"/>
      <c r="J110" s="20"/>
    </row>
    <row r="111" spans="2:13" x14ac:dyDescent="0.2">
      <c r="B111" s="12"/>
      <c r="C111" s="11" t="s">
        <v>202</v>
      </c>
      <c r="D111" s="11" t="s">
        <v>134</v>
      </c>
      <c r="E111" s="23">
        <v>16</v>
      </c>
      <c r="F111" s="12">
        <v>16</v>
      </c>
      <c r="G111" s="12">
        <v>17</v>
      </c>
      <c r="H111" s="12">
        <v>17</v>
      </c>
      <c r="I111" s="31">
        <v>17</v>
      </c>
      <c r="J111" s="42">
        <v>18</v>
      </c>
    </row>
    <row r="112" spans="2:13" x14ac:dyDescent="0.2">
      <c r="B112" s="11"/>
      <c r="C112" s="23" t="s">
        <v>200</v>
      </c>
      <c r="D112" s="23" t="s">
        <v>138</v>
      </c>
      <c r="E112" s="11"/>
      <c r="F112" s="12"/>
      <c r="G112" s="12"/>
      <c r="H112" s="12"/>
      <c r="I112" s="31"/>
      <c r="J112" s="20"/>
    </row>
    <row r="113" spans="2:10" x14ac:dyDescent="0.2">
      <c r="B113" s="11">
        <v>3</v>
      </c>
      <c r="C113" s="11" t="s">
        <v>203</v>
      </c>
      <c r="D113" s="23"/>
      <c r="E113" s="23"/>
      <c r="F113" s="12"/>
      <c r="G113" s="12"/>
      <c r="H113" s="12"/>
      <c r="I113" s="31"/>
      <c r="J113" s="20"/>
    </row>
    <row r="114" spans="2:10" x14ac:dyDescent="0.2">
      <c r="B114" s="12"/>
      <c r="C114" s="11" t="s">
        <v>202</v>
      </c>
      <c r="D114" s="11" t="s">
        <v>134</v>
      </c>
      <c r="E114" s="23">
        <v>8</v>
      </c>
      <c r="F114" s="12">
        <v>8</v>
      </c>
      <c r="G114" s="12">
        <v>24</v>
      </c>
      <c r="H114" s="12">
        <v>19</v>
      </c>
      <c r="I114" s="31">
        <v>13</v>
      </c>
      <c r="J114" s="42">
        <v>13</v>
      </c>
    </row>
    <row r="115" spans="2:10" x14ac:dyDescent="0.2">
      <c r="B115" s="12"/>
      <c r="C115" s="23" t="s">
        <v>200</v>
      </c>
      <c r="D115" s="23" t="s">
        <v>138</v>
      </c>
      <c r="E115" s="12"/>
      <c r="F115" s="12"/>
      <c r="G115" s="12"/>
      <c r="H115" s="12"/>
      <c r="I115" s="31"/>
      <c r="J115" s="20"/>
    </row>
    <row r="116" spans="2:10" x14ac:dyDescent="0.2">
      <c r="B116" s="111" t="s">
        <v>104</v>
      </c>
      <c r="C116" s="110"/>
      <c r="D116" s="11" t="s">
        <v>134</v>
      </c>
      <c r="E116" s="12">
        <f t="shared" ref="E116:J116" si="4">SUM(E105:E113)</f>
        <v>44</v>
      </c>
      <c r="F116" s="12">
        <f t="shared" si="4"/>
        <v>44</v>
      </c>
      <c r="G116" s="12">
        <f t="shared" si="4"/>
        <v>51</v>
      </c>
      <c r="H116" s="12">
        <f t="shared" si="4"/>
        <v>51</v>
      </c>
      <c r="I116" s="12">
        <f t="shared" si="4"/>
        <v>51</v>
      </c>
      <c r="J116" s="43">
        <f t="shared" si="4"/>
        <v>52</v>
      </c>
    </row>
    <row r="119" spans="2:10" x14ac:dyDescent="0.2">
      <c r="B119" s="1" t="s">
        <v>204</v>
      </c>
    </row>
    <row r="120" spans="2:10" x14ac:dyDescent="0.2">
      <c r="B120" s="7" t="s">
        <v>43</v>
      </c>
    </row>
    <row r="121" spans="2:10" x14ac:dyDescent="0.2">
      <c r="B121" s="3" t="s">
        <v>205</v>
      </c>
      <c r="C121" s="1" t="s">
        <v>206</v>
      </c>
      <c r="D121" s="1" t="s">
        <v>44</v>
      </c>
    </row>
    <row r="123" spans="2:10" x14ac:dyDescent="0.2">
      <c r="B123" s="11" t="s">
        <v>106</v>
      </c>
      <c r="C123" s="11" t="s">
        <v>131</v>
      </c>
      <c r="D123" s="11" t="s">
        <v>132</v>
      </c>
      <c r="E123" s="11">
        <v>2014</v>
      </c>
      <c r="F123" s="11">
        <v>2015</v>
      </c>
      <c r="G123" s="11">
        <v>2016</v>
      </c>
      <c r="H123" s="29">
        <v>2017</v>
      </c>
      <c r="I123" s="11">
        <v>2018</v>
      </c>
    </row>
    <row r="124" spans="2:10" x14ac:dyDescent="0.2">
      <c r="B124" s="12"/>
      <c r="C124" s="23" t="s">
        <v>133</v>
      </c>
      <c r="D124" s="23" t="s">
        <v>134</v>
      </c>
      <c r="E124" s="12"/>
      <c r="F124" s="12"/>
      <c r="G124" s="12"/>
      <c r="H124" s="31"/>
      <c r="I124" s="12"/>
    </row>
    <row r="125" spans="2:10" x14ac:dyDescent="0.2">
      <c r="B125" s="12">
        <v>1</v>
      </c>
      <c r="C125" s="11" t="s">
        <v>207</v>
      </c>
      <c r="D125" s="11" t="s">
        <v>134</v>
      </c>
      <c r="E125" s="12">
        <v>6</v>
      </c>
      <c r="F125" s="12">
        <v>8</v>
      </c>
      <c r="G125" s="12">
        <v>7</v>
      </c>
      <c r="H125" s="31">
        <v>1</v>
      </c>
      <c r="I125" s="12">
        <v>2</v>
      </c>
    </row>
    <row r="126" spans="2:10" x14ac:dyDescent="0.2">
      <c r="B126" s="12">
        <v>2</v>
      </c>
      <c r="C126" s="11" t="s">
        <v>208</v>
      </c>
      <c r="D126" s="11" t="s">
        <v>134</v>
      </c>
      <c r="E126" s="12">
        <v>9</v>
      </c>
      <c r="F126" s="12">
        <v>5</v>
      </c>
      <c r="G126" s="12">
        <v>4</v>
      </c>
      <c r="H126" s="31">
        <v>8</v>
      </c>
      <c r="I126" s="12">
        <v>3</v>
      </c>
    </row>
    <row r="127" spans="2:10" x14ac:dyDescent="0.2">
      <c r="B127" s="111" t="s">
        <v>83</v>
      </c>
      <c r="C127" s="110"/>
      <c r="D127" s="11" t="s">
        <v>134</v>
      </c>
      <c r="E127" s="12">
        <f t="shared" ref="E127:I127" si="5">SUM(E125:E126)</f>
        <v>15</v>
      </c>
      <c r="F127" s="12">
        <f t="shared" si="5"/>
        <v>13</v>
      </c>
      <c r="G127" s="12">
        <f t="shared" si="5"/>
        <v>11</v>
      </c>
      <c r="H127" s="31">
        <f t="shared" si="5"/>
        <v>9</v>
      </c>
      <c r="I127" s="12">
        <f t="shared" si="5"/>
        <v>5</v>
      </c>
    </row>
    <row r="130" spans="2:10" x14ac:dyDescent="0.2">
      <c r="B130" s="1" t="s">
        <v>209</v>
      </c>
    </row>
    <row r="131" spans="2:10" x14ac:dyDescent="0.2">
      <c r="B131" s="7" t="s">
        <v>46</v>
      </c>
    </row>
    <row r="132" spans="2:10" x14ac:dyDescent="0.2">
      <c r="B132" s="3" t="s">
        <v>210</v>
      </c>
      <c r="C132" s="1" t="s">
        <v>211</v>
      </c>
      <c r="D132" s="41" t="s">
        <v>47</v>
      </c>
    </row>
    <row r="134" spans="2:10" x14ac:dyDescent="0.2">
      <c r="B134" s="12" t="s">
        <v>212</v>
      </c>
      <c r="C134" s="11">
        <v>2014</v>
      </c>
      <c r="D134" s="11">
        <v>2015</v>
      </c>
      <c r="E134" s="11">
        <v>2016</v>
      </c>
      <c r="F134" s="11">
        <v>2017</v>
      </c>
      <c r="G134" s="11">
        <v>2018</v>
      </c>
    </row>
    <row r="135" spans="2:10" x14ac:dyDescent="0.2">
      <c r="B135" s="11" t="s">
        <v>83</v>
      </c>
      <c r="C135" s="12">
        <v>63</v>
      </c>
      <c r="D135" s="12">
        <v>63</v>
      </c>
      <c r="E135" s="12">
        <v>67</v>
      </c>
      <c r="F135" s="12">
        <v>75</v>
      </c>
      <c r="G135" s="12">
        <v>75</v>
      </c>
    </row>
    <row r="138" spans="2:10" x14ac:dyDescent="0.2">
      <c r="B138" s="1" t="s">
        <v>213</v>
      </c>
    </row>
    <row r="139" spans="2:10" x14ac:dyDescent="0.2">
      <c r="B139" s="7" t="s">
        <v>49</v>
      </c>
    </row>
    <row r="140" spans="2:10" x14ac:dyDescent="0.2">
      <c r="B140" s="3" t="s">
        <v>214</v>
      </c>
      <c r="C140" s="1" t="s">
        <v>215</v>
      </c>
      <c r="D140" s="1" t="s">
        <v>50</v>
      </c>
    </row>
    <row r="142" spans="2:10" x14ac:dyDescent="0.2">
      <c r="B142" s="11" t="s">
        <v>106</v>
      </c>
      <c r="C142" s="11" t="s">
        <v>131</v>
      </c>
      <c r="D142" s="11" t="s">
        <v>132</v>
      </c>
      <c r="E142" s="11">
        <v>2014</v>
      </c>
      <c r="F142" s="11">
        <v>2015</v>
      </c>
      <c r="G142" s="11">
        <v>2016</v>
      </c>
      <c r="H142" s="11">
        <v>2017</v>
      </c>
      <c r="I142" s="29">
        <v>2018</v>
      </c>
      <c r="J142" s="11">
        <v>2019</v>
      </c>
    </row>
    <row r="143" spans="2:10" x14ac:dyDescent="0.2">
      <c r="B143" s="11"/>
      <c r="C143" s="23" t="s">
        <v>133</v>
      </c>
      <c r="D143" s="23" t="s">
        <v>134</v>
      </c>
      <c r="E143" s="12"/>
      <c r="F143" s="12"/>
      <c r="G143" s="12"/>
      <c r="H143" s="12"/>
      <c r="I143" s="31"/>
      <c r="J143" s="20"/>
    </row>
    <row r="144" spans="2:10" x14ac:dyDescent="0.2">
      <c r="B144" s="11">
        <v>1</v>
      </c>
      <c r="C144" s="12" t="s">
        <v>216</v>
      </c>
      <c r="D144" s="12" t="s">
        <v>134</v>
      </c>
      <c r="E144" s="12">
        <v>7</v>
      </c>
      <c r="F144" s="12">
        <v>7</v>
      </c>
      <c r="G144" s="12">
        <v>7</v>
      </c>
      <c r="H144" s="12">
        <v>7</v>
      </c>
      <c r="I144" s="31">
        <v>7</v>
      </c>
      <c r="J144" s="12">
        <v>7</v>
      </c>
    </row>
    <row r="145" spans="2:10" x14ac:dyDescent="0.2">
      <c r="B145" s="11">
        <v>2</v>
      </c>
      <c r="C145" s="12" t="s">
        <v>217</v>
      </c>
      <c r="D145" s="12" t="s">
        <v>134</v>
      </c>
      <c r="E145" s="12">
        <v>9</v>
      </c>
      <c r="F145" s="12">
        <v>13</v>
      </c>
      <c r="G145" s="12">
        <v>15</v>
      </c>
      <c r="H145" s="12">
        <v>15</v>
      </c>
      <c r="I145" s="31">
        <v>15</v>
      </c>
      <c r="J145" s="12">
        <v>15</v>
      </c>
    </row>
    <row r="146" spans="2:10" x14ac:dyDescent="0.2">
      <c r="B146" s="11">
        <v>3</v>
      </c>
      <c r="C146" s="12" t="s">
        <v>218</v>
      </c>
      <c r="D146" s="12" t="s">
        <v>134</v>
      </c>
      <c r="E146" s="12">
        <v>50</v>
      </c>
      <c r="F146" s="12">
        <v>50</v>
      </c>
      <c r="G146" s="12">
        <v>59</v>
      </c>
      <c r="H146" s="12">
        <v>59</v>
      </c>
      <c r="I146" s="31">
        <v>59</v>
      </c>
      <c r="J146" s="12">
        <v>54</v>
      </c>
    </row>
    <row r="147" spans="2:10" x14ac:dyDescent="0.2">
      <c r="B147" s="11">
        <v>4</v>
      </c>
      <c r="C147" s="12" t="s">
        <v>219</v>
      </c>
      <c r="D147" s="12" t="s">
        <v>134</v>
      </c>
      <c r="E147" s="12">
        <v>59</v>
      </c>
      <c r="F147" s="12">
        <v>69</v>
      </c>
      <c r="G147" s="12">
        <v>69</v>
      </c>
      <c r="H147" s="12">
        <v>69</v>
      </c>
      <c r="I147" s="31">
        <v>69</v>
      </c>
      <c r="J147" s="12">
        <v>65</v>
      </c>
    </row>
    <row r="148" spans="2:10" x14ac:dyDescent="0.2">
      <c r="B148" s="11">
        <v>5</v>
      </c>
      <c r="C148" s="12" t="s">
        <v>220</v>
      </c>
      <c r="D148" s="12" t="s">
        <v>134</v>
      </c>
      <c r="E148" s="12">
        <v>206</v>
      </c>
      <c r="F148" s="12">
        <v>241</v>
      </c>
      <c r="G148" s="12">
        <v>245</v>
      </c>
      <c r="H148" s="12">
        <v>245</v>
      </c>
      <c r="I148" s="31">
        <v>245</v>
      </c>
      <c r="J148" s="12">
        <v>246</v>
      </c>
    </row>
    <row r="149" spans="2:10" x14ac:dyDescent="0.2">
      <c r="B149" s="115" t="s">
        <v>221</v>
      </c>
      <c r="C149" s="110"/>
      <c r="D149" s="12" t="s">
        <v>134</v>
      </c>
      <c r="E149" s="12">
        <f t="shared" ref="E149:J149" si="6">SUM(E144:E148)</f>
        <v>331</v>
      </c>
      <c r="F149" s="12">
        <f t="shared" si="6"/>
        <v>380</v>
      </c>
      <c r="G149" s="12">
        <f t="shared" si="6"/>
        <v>395</v>
      </c>
      <c r="H149" s="12">
        <f t="shared" si="6"/>
        <v>395</v>
      </c>
      <c r="I149" s="31">
        <f t="shared" si="6"/>
        <v>395</v>
      </c>
      <c r="J149" s="35">
        <f t="shared" si="6"/>
        <v>387</v>
      </c>
    </row>
    <row r="152" spans="2:10" x14ac:dyDescent="0.2">
      <c r="B152" s="1" t="s">
        <v>222</v>
      </c>
    </row>
    <row r="153" spans="2:10" x14ac:dyDescent="0.2">
      <c r="B153" s="7" t="s">
        <v>52</v>
      </c>
    </row>
    <row r="154" spans="2:10" x14ac:dyDescent="0.2">
      <c r="B154" s="3" t="s">
        <v>223</v>
      </c>
      <c r="C154" s="1" t="s">
        <v>224</v>
      </c>
      <c r="D154" s="1" t="s">
        <v>50</v>
      </c>
    </row>
    <row r="156" spans="2:10" x14ac:dyDescent="0.2">
      <c r="B156" s="11" t="s">
        <v>106</v>
      </c>
      <c r="C156" s="11" t="s">
        <v>131</v>
      </c>
      <c r="D156" s="11" t="s">
        <v>132</v>
      </c>
      <c r="E156" s="11">
        <v>2014</v>
      </c>
      <c r="F156" s="11">
        <v>2015</v>
      </c>
      <c r="G156" s="11">
        <v>2016</v>
      </c>
      <c r="H156" s="11">
        <v>2017</v>
      </c>
      <c r="I156" s="11">
        <v>2018</v>
      </c>
    </row>
    <row r="157" spans="2:10" x14ac:dyDescent="0.2">
      <c r="B157" s="12"/>
      <c r="C157" s="23" t="s">
        <v>133</v>
      </c>
      <c r="D157" s="23" t="s">
        <v>134</v>
      </c>
      <c r="E157" s="12"/>
      <c r="F157" s="12"/>
      <c r="G157" s="12"/>
      <c r="H157" s="12"/>
      <c r="I157" s="12"/>
    </row>
    <row r="158" spans="2:10" x14ac:dyDescent="0.2">
      <c r="B158" s="11">
        <v>1</v>
      </c>
      <c r="C158" s="11" t="s">
        <v>225</v>
      </c>
      <c r="D158" s="44" t="s">
        <v>134</v>
      </c>
      <c r="E158" s="12">
        <v>935</v>
      </c>
      <c r="F158" s="12">
        <v>1151</v>
      </c>
      <c r="G158" s="12">
        <v>1271</v>
      </c>
      <c r="H158" s="12">
        <v>1372</v>
      </c>
      <c r="I158" s="12">
        <v>1482</v>
      </c>
    </row>
    <row r="159" spans="2:10" x14ac:dyDescent="0.2">
      <c r="B159" s="12"/>
      <c r="C159" s="23" t="s">
        <v>226</v>
      </c>
      <c r="D159" s="23" t="s">
        <v>134</v>
      </c>
      <c r="E159" s="12"/>
      <c r="F159" s="12"/>
      <c r="G159" s="12"/>
      <c r="H159" s="12"/>
      <c r="I159" s="12"/>
    </row>
    <row r="160" spans="2:10" x14ac:dyDescent="0.2">
      <c r="B160" s="11">
        <v>2</v>
      </c>
      <c r="C160" s="11" t="s">
        <v>227</v>
      </c>
      <c r="D160" s="44" t="s">
        <v>134</v>
      </c>
      <c r="E160" s="12">
        <v>0</v>
      </c>
      <c r="F160" s="12">
        <v>0</v>
      </c>
      <c r="G160" s="12">
        <v>356</v>
      </c>
      <c r="H160" s="12">
        <v>348</v>
      </c>
      <c r="I160" s="12">
        <v>390</v>
      </c>
    </row>
    <row r="161" spans="1:26" x14ac:dyDescent="0.2">
      <c r="B161" s="12"/>
      <c r="C161" s="23" t="s">
        <v>228</v>
      </c>
      <c r="D161" s="23" t="s">
        <v>134</v>
      </c>
      <c r="E161" s="12"/>
      <c r="F161" s="12"/>
      <c r="G161" s="12"/>
      <c r="H161" s="12"/>
      <c r="I161" s="12"/>
    </row>
    <row r="162" spans="1:26" x14ac:dyDescent="0.2">
      <c r="B162" s="115" t="s">
        <v>229</v>
      </c>
      <c r="C162" s="110"/>
      <c r="D162" s="23" t="s">
        <v>134</v>
      </c>
      <c r="E162" s="12">
        <f t="shared" ref="E162:I162" si="7">SUM(E158:E160)</f>
        <v>935</v>
      </c>
      <c r="F162" s="12">
        <f t="shared" si="7"/>
        <v>1151</v>
      </c>
      <c r="G162" s="12">
        <f t="shared" si="7"/>
        <v>1627</v>
      </c>
      <c r="H162" s="12">
        <f t="shared" si="7"/>
        <v>1720</v>
      </c>
      <c r="I162" s="12">
        <f t="shared" si="7"/>
        <v>1872</v>
      </c>
    </row>
    <row r="164" spans="1:26" ht="15" customHeight="1" x14ac:dyDescent="0.2">
      <c r="A164" s="9"/>
      <c r="B164" s="27" t="s">
        <v>230</v>
      </c>
      <c r="C164" s="28"/>
      <c r="D164" s="9"/>
      <c r="E164" s="9"/>
      <c r="F164" s="9"/>
      <c r="G164" s="9"/>
      <c r="H164" s="9"/>
      <c r="I164" s="9"/>
      <c r="J164" s="9"/>
      <c r="K164" s="9"/>
      <c r="L164" s="9"/>
      <c r="M164" s="9"/>
      <c r="N164" s="9"/>
      <c r="O164" s="9"/>
      <c r="P164" s="9"/>
      <c r="Q164" s="9"/>
      <c r="R164" s="9"/>
      <c r="S164" s="9"/>
      <c r="T164" s="9"/>
      <c r="U164" s="9"/>
      <c r="V164" s="9"/>
      <c r="W164" s="9"/>
      <c r="X164" s="9"/>
      <c r="Y164" s="9"/>
      <c r="Z164" s="9"/>
    </row>
    <row r="165" spans="1:26" ht="15" customHeight="1" x14ac:dyDescent="0.2">
      <c r="B165" s="7" t="s">
        <v>231</v>
      </c>
    </row>
    <row r="166" spans="1:26" x14ac:dyDescent="0.2">
      <c r="B166" s="1" t="s">
        <v>232</v>
      </c>
      <c r="G166" s="3" t="s">
        <v>233</v>
      </c>
    </row>
    <row r="167" spans="1:26" x14ac:dyDescent="0.2">
      <c r="B167" s="7" t="s">
        <v>16</v>
      </c>
    </row>
    <row r="168" spans="1:26" x14ac:dyDescent="0.2">
      <c r="B168" s="3" t="s">
        <v>234</v>
      </c>
      <c r="C168" s="1" t="s">
        <v>235</v>
      </c>
      <c r="D168" s="41" t="s">
        <v>17</v>
      </c>
    </row>
    <row r="170" spans="1:26" x14ac:dyDescent="0.2">
      <c r="B170" s="11" t="s">
        <v>106</v>
      </c>
      <c r="C170" s="11" t="s">
        <v>236</v>
      </c>
      <c r="D170" s="11">
        <v>2014</v>
      </c>
      <c r="E170" s="11">
        <v>2015</v>
      </c>
      <c r="F170" s="11">
        <v>2016</v>
      </c>
      <c r="G170" s="11">
        <v>2017</v>
      </c>
      <c r="H170" s="11">
        <v>2018</v>
      </c>
      <c r="I170" s="45">
        <v>2019</v>
      </c>
    </row>
    <row r="171" spans="1:26" x14ac:dyDescent="0.2">
      <c r="B171" s="11">
        <v>1</v>
      </c>
      <c r="C171" s="11" t="s">
        <v>237</v>
      </c>
      <c r="D171" s="12">
        <v>519</v>
      </c>
      <c r="E171" s="12">
        <v>562</v>
      </c>
      <c r="F171" s="12">
        <v>591</v>
      </c>
      <c r="G171" s="12">
        <v>589</v>
      </c>
      <c r="H171" s="31">
        <v>596</v>
      </c>
      <c r="I171" s="35">
        <v>588</v>
      </c>
    </row>
    <row r="172" spans="1:26" x14ac:dyDescent="0.2">
      <c r="B172" s="11">
        <v>2</v>
      </c>
      <c r="C172" s="11" t="s">
        <v>238</v>
      </c>
      <c r="D172" s="12">
        <v>299</v>
      </c>
      <c r="E172" s="12">
        <v>324</v>
      </c>
      <c r="F172" s="12">
        <v>326</v>
      </c>
      <c r="G172" s="12">
        <v>322</v>
      </c>
      <c r="H172" s="31">
        <v>313</v>
      </c>
      <c r="I172" s="35">
        <v>316</v>
      </c>
    </row>
    <row r="173" spans="1:26" x14ac:dyDescent="0.2">
      <c r="B173" s="11">
        <v>3</v>
      </c>
      <c r="C173" s="11" t="s">
        <v>239</v>
      </c>
      <c r="D173" s="12">
        <v>259</v>
      </c>
      <c r="E173" s="12">
        <v>270</v>
      </c>
      <c r="F173" s="12">
        <v>288</v>
      </c>
      <c r="G173" s="12">
        <v>306</v>
      </c>
      <c r="H173" s="31">
        <v>323</v>
      </c>
      <c r="I173" s="35">
        <v>293</v>
      </c>
    </row>
    <row r="174" spans="1:26" x14ac:dyDescent="0.2">
      <c r="B174" s="111" t="s">
        <v>104</v>
      </c>
      <c r="C174" s="110"/>
      <c r="D174" s="12">
        <f t="shared" ref="D174:I174" si="8">SUM(D171:D173)</f>
        <v>1077</v>
      </c>
      <c r="E174" s="12">
        <f t="shared" si="8"/>
        <v>1156</v>
      </c>
      <c r="F174" s="12">
        <f t="shared" si="8"/>
        <v>1205</v>
      </c>
      <c r="G174" s="12">
        <f t="shared" si="8"/>
        <v>1217</v>
      </c>
      <c r="H174" s="31">
        <f t="shared" si="8"/>
        <v>1232</v>
      </c>
      <c r="I174" s="35">
        <f t="shared" si="8"/>
        <v>1197</v>
      </c>
    </row>
    <row r="177" spans="2:11" x14ac:dyDescent="0.2">
      <c r="B177" s="27" t="s">
        <v>240</v>
      </c>
      <c r="C177" s="28"/>
    </row>
    <row r="178" spans="2:11" x14ac:dyDescent="0.2">
      <c r="B178" s="46" t="s">
        <v>55</v>
      </c>
      <c r="C178" s="28"/>
    </row>
    <row r="179" spans="2:11" x14ac:dyDescent="0.2">
      <c r="B179" s="1" t="s">
        <v>128</v>
      </c>
      <c r="C179" s="1" t="s">
        <v>241</v>
      </c>
      <c r="D179" s="1" t="s">
        <v>56</v>
      </c>
    </row>
    <row r="181" spans="2:11" x14ac:dyDescent="0.2">
      <c r="B181" s="11" t="s">
        <v>106</v>
      </c>
      <c r="C181" s="11" t="s">
        <v>131</v>
      </c>
      <c r="D181" s="11" t="s">
        <v>132</v>
      </c>
      <c r="E181" s="11">
        <v>2014</v>
      </c>
      <c r="F181" s="11">
        <v>2015</v>
      </c>
      <c r="G181" s="11">
        <v>2016</v>
      </c>
      <c r="H181" s="11">
        <v>2017</v>
      </c>
      <c r="I181" s="11">
        <v>2018</v>
      </c>
      <c r="J181" s="11">
        <v>2019</v>
      </c>
    </row>
    <row r="182" spans="2:11" x14ac:dyDescent="0.2">
      <c r="B182" s="12"/>
      <c r="C182" s="23" t="s">
        <v>133</v>
      </c>
      <c r="D182" s="23" t="s">
        <v>134</v>
      </c>
      <c r="E182" s="12"/>
      <c r="F182" s="12"/>
      <c r="G182" s="12"/>
      <c r="H182" s="12"/>
      <c r="I182" s="12"/>
      <c r="J182" s="20"/>
    </row>
    <row r="183" spans="2:11" x14ac:dyDescent="0.2">
      <c r="B183" s="11" t="s">
        <v>242</v>
      </c>
      <c r="C183" s="11" t="s">
        <v>243</v>
      </c>
      <c r="D183" s="12"/>
      <c r="E183" s="12"/>
      <c r="F183" s="12"/>
      <c r="G183" s="12"/>
      <c r="H183" s="12"/>
      <c r="I183" s="12"/>
      <c r="J183" s="20"/>
    </row>
    <row r="184" spans="2:11" x14ac:dyDescent="0.2">
      <c r="B184" s="12"/>
      <c r="C184" s="23" t="s">
        <v>244</v>
      </c>
      <c r="D184" s="12"/>
      <c r="E184" s="12"/>
      <c r="F184" s="12"/>
      <c r="G184" s="12"/>
      <c r="H184" s="12"/>
      <c r="I184" s="12"/>
      <c r="J184" s="20"/>
    </row>
    <row r="185" spans="2:11" x14ac:dyDescent="0.2">
      <c r="B185" s="11">
        <v>1</v>
      </c>
      <c r="C185" s="11" t="s">
        <v>245</v>
      </c>
      <c r="D185" s="12"/>
      <c r="E185" s="12"/>
      <c r="F185" s="12"/>
      <c r="G185" s="12"/>
      <c r="H185" s="12"/>
      <c r="I185" s="12"/>
      <c r="J185" s="20"/>
    </row>
    <row r="186" spans="2:11" x14ac:dyDescent="0.2">
      <c r="B186" s="12">
        <v>1</v>
      </c>
      <c r="C186" s="12" t="s">
        <v>246</v>
      </c>
      <c r="D186" s="12"/>
      <c r="E186" s="12"/>
      <c r="F186" s="12"/>
      <c r="G186" s="12"/>
      <c r="H186" s="12"/>
      <c r="I186" s="12"/>
      <c r="J186" s="20"/>
    </row>
    <row r="187" spans="2:11" x14ac:dyDescent="0.2">
      <c r="B187" s="12"/>
      <c r="C187" s="12" t="s">
        <v>247</v>
      </c>
      <c r="D187" s="12" t="s">
        <v>134</v>
      </c>
      <c r="E187" s="12">
        <v>271</v>
      </c>
      <c r="F187" s="12">
        <v>269</v>
      </c>
      <c r="G187" s="12">
        <v>267</v>
      </c>
      <c r="H187" s="12">
        <v>247</v>
      </c>
      <c r="I187" s="12">
        <v>249</v>
      </c>
      <c r="J187" s="35">
        <v>249</v>
      </c>
    </row>
    <row r="188" spans="2:11" x14ac:dyDescent="0.2">
      <c r="B188" s="12"/>
      <c r="C188" s="12" t="s">
        <v>248</v>
      </c>
      <c r="D188" s="12" t="s">
        <v>134</v>
      </c>
      <c r="E188" s="12">
        <v>227</v>
      </c>
      <c r="F188" s="12">
        <v>252</v>
      </c>
      <c r="G188" s="12">
        <v>253</v>
      </c>
      <c r="H188" s="12">
        <v>239</v>
      </c>
      <c r="I188" s="12">
        <v>243</v>
      </c>
      <c r="J188" s="35">
        <v>238</v>
      </c>
      <c r="K188" s="47">
        <f>SUM(J187:J188)</f>
        <v>487</v>
      </c>
    </row>
    <row r="189" spans="2:11" x14ac:dyDescent="0.2">
      <c r="B189" s="12"/>
      <c r="C189" s="12"/>
      <c r="D189" s="12"/>
      <c r="E189" s="12"/>
      <c r="F189" s="12"/>
      <c r="G189" s="12"/>
      <c r="H189" s="12"/>
      <c r="I189" s="12"/>
      <c r="J189" s="12"/>
    </row>
    <row r="190" spans="2:11" x14ac:dyDescent="0.2">
      <c r="B190" s="12">
        <v>2</v>
      </c>
      <c r="C190" s="12" t="s">
        <v>249</v>
      </c>
      <c r="D190" s="12"/>
      <c r="E190" s="12"/>
      <c r="F190" s="12"/>
      <c r="G190" s="12"/>
      <c r="H190" s="12"/>
      <c r="I190" s="12"/>
      <c r="J190" s="12"/>
    </row>
    <row r="191" spans="2:11" x14ac:dyDescent="0.2">
      <c r="B191" s="12"/>
      <c r="C191" s="12" t="s">
        <v>247</v>
      </c>
      <c r="D191" s="12" t="s">
        <v>134</v>
      </c>
      <c r="E191" s="12">
        <v>0</v>
      </c>
      <c r="F191" s="12">
        <v>0</v>
      </c>
      <c r="G191" s="12">
        <v>0</v>
      </c>
      <c r="H191" s="12">
        <v>0</v>
      </c>
      <c r="I191" s="12">
        <v>0</v>
      </c>
      <c r="J191" s="35">
        <v>0</v>
      </c>
    </row>
    <row r="192" spans="2:11" x14ac:dyDescent="0.2">
      <c r="B192" s="12"/>
      <c r="C192" s="12" t="s">
        <v>248</v>
      </c>
      <c r="D192" s="12" t="s">
        <v>134</v>
      </c>
      <c r="E192" s="12">
        <v>0</v>
      </c>
      <c r="F192" s="12">
        <v>0</v>
      </c>
      <c r="G192" s="12">
        <v>0</v>
      </c>
      <c r="H192" s="12">
        <v>0</v>
      </c>
      <c r="I192" s="12">
        <v>0</v>
      </c>
      <c r="J192" s="35">
        <v>0</v>
      </c>
    </row>
    <row r="193" spans="2:10" x14ac:dyDescent="0.2">
      <c r="B193" s="12"/>
      <c r="C193" s="12"/>
      <c r="D193" s="12"/>
      <c r="E193" s="12"/>
      <c r="F193" s="12"/>
      <c r="G193" s="12"/>
      <c r="H193" s="12"/>
      <c r="I193" s="12"/>
      <c r="J193" s="12"/>
    </row>
    <row r="194" spans="2:10" x14ac:dyDescent="0.2">
      <c r="B194" s="12">
        <v>3</v>
      </c>
      <c r="C194" s="12" t="s">
        <v>250</v>
      </c>
      <c r="D194" s="12"/>
      <c r="E194" s="12"/>
      <c r="F194" s="12"/>
      <c r="G194" s="12"/>
      <c r="H194" s="12"/>
      <c r="I194" s="12"/>
      <c r="J194" s="12"/>
    </row>
    <row r="195" spans="2:10" x14ac:dyDescent="0.2">
      <c r="B195" s="12"/>
      <c r="C195" s="12" t="s">
        <v>247</v>
      </c>
      <c r="D195" s="12" t="s">
        <v>134</v>
      </c>
      <c r="E195" s="12">
        <v>3</v>
      </c>
      <c r="F195" s="12">
        <v>3</v>
      </c>
      <c r="G195" s="12">
        <v>3</v>
      </c>
      <c r="H195" s="12">
        <v>3</v>
      </c>
      <c r="I195" s="12">
        <v>3</v>
      </c>
      <c r="J195" s="35">
        <v>3</v>
      </c>
    </row>
    <row r="196" spans="2:10" x14ac:dyDescent="0.2">
      <c r="B196" s="12"/>
      <c r="C196" s="12" t="s">
        <v>248</v>
      </c>
      <c r="D196" s="12" t="s">
        <v>134</v>
      </c>
      <c r="E196" s="12">
        <v>1</v>
      </c>
      <c r="F196" s="12">
        <v>1</v>
      </c>
      <c r="G196" s="12">
        <v>1</v>
      </c>
      <c r="H196" s="12">
        <v>1</v>
      </c>
      <c r="I196" s="12">
        <v>1</v>
      </c>
      <c r="J196" s="35">
        <v>1</v>
      </c>
    </row>
    <row r="197" spans="2:10" x14ac:dyDescent="0.2">
      <c r="B197" s="12"/>
      <c r="C197" s="12"/>
      <c r="D197" s="12"/>
      <c r="E197" s="12"/>
      <c r="F197" s="12"/>
      <c r="G197" s="12"/>
      <c r="H197" s="12"/>
      <c r="I197" s="12"/>
      <c r="J197" s="20"/>
    </row>
    <row r="198" spans="2:10" x14ac:dyDescent="0.2">
      <c r="B198" s="111" t="s">
        <v>83</v>
      </c>
      <c r="C198" s="112"/>
      <c r="D198" s="110"/>
      <c r="E198" s="11">
        <f t="shared" ref="E198:J198" si="9">SUM(E187:E196)</f>
        <v>502</v>
      </c>
      <c r="F198" s="11">
        <f t="shared" si="9"/>
        <v>525</v>
      </c>
      <c r="G198" s="11">
        <f t="shared" si="9"/>
        <v>524</v>
      </c>
      <c r="H198" s="11">
        <f t="shared" si="9"/>
        <v>490</v>
      </c>
      <c r="I198" s="11">
        <f t="shared" si="9"/>
        <v>496</v>
      </c>
      <c r="J198" s="11">
        <f t="shared" si="9"/>
        <v>491</v>
      </c>
    </row>
    <row r="199" spans="2:10" x14ac:dyDescent="0.2">
      <c r="B199" s="11">
        <v>2</v>
      </c>
      <c r="C199" s="11" t="s">
        <v>251</v>
      </c>
      <c r="D199" s="12"/>
      <c r="E199" s="12"/>
      <c r="F199" s="12"/>
      <c r="G199" s="12"/>
      <c r="H199" s="12"/>
      <c r="I199" s="12"/>
      <c r="J199" s="20"/>
    </row>
    <row r="200" spans="2:10" x14ac:dyDescent="0.2">
      <c r="B200" s="12">
        <v>1</v>
      </c>
      <c r="C200" s="12" t="s">
        <v>252</v>
      </c>
      <c r="D200" s="12"/>
      <c r="E200" s="12"/>
      <c r="F200" s="12"/>
      <c r="G200" s="12"/>
      <c r="H200" s="12"/>
      <c r="I200" s="12"/>
      <c r="J200" s="20"/>
    </row>
    <row r="201" spans="2:10" x14ac:dyDescent="0.2">
      <c r="B201" s="12"/>
      <c r="C201" s="12" t="s">
        <v>247</v>
      </c>
      <c r="D201" s="12" t="s">
        <v>134</v>
      </c>
      <c r="E201" s="12">
        <v>969</v>
      </c>
      <c r="F201" s="12">
        <v>936</v>
      </c>
      <c r="G201" s="12">
        <v>908</v>
      </c>
      <c r="H201" s="12">
        <v>1031</v>
      </c>
      <c r="I201" s="12">
        <v>1207</v>
      </c>
      <c r="J201" s="12">
        <v>1308</v>
      </c>
    </row>
    <row r="202" spans="2:10" x14ac:dyDescent="0.2">
      <c r="B202" s="12"/>
      <c r="C202" s="12" t="s">
        <v>248</v>
      </c>
      <c r="D202" s="12" t="s">
        <v>134</v>
      </c>
      <c r="E202" s="12">
        <v>37</v>
      </c>
      <c r="F202" s="12">
        <v>58</v>
      </c>
      <c r="G202" s="12">
        <v>37</v>
      </c>
      <c r="H202" s="12">
        <v>37</v>
      </c>
      <c r="I202" s="12">
        <v>65</v>
      </c>
      <c r="J202" s="12">
        <v>61</v>
      </c>
    </row>
    <row r="203" spans="2:10" x14ac:dyDescent="0.2">
      <c r="B203" s="12"/>
      <c r="C203" s="12"/>
      <c r="D203" s="12"/>
      <c r="E203" s="12"/>
      <c r="F203" s="12"/>
      <c r="G203" s="12"/>
      <c r="H203" s="12"/>
      <c r="I203" s="12"/>
      <c r="J203" s="12"/>
    </row>
    <row r="204" spans="2:10" x14ac:dyDescent="0.2">
      <c r="B204" s="12">
        <v>2</v>
      </c>
      <c r="C204" s="12" t="s">
        <v>253</v>
      </c>
      <c r="D204" s="12"/>
      <c r="E204" s="12"/>
      <c r="F204" s="12"/>
      <c r="G204" s="12"/>
      <c r="H204" s="12"/>
      <c r="I204" s="12"/>
      <c r="J204" s="12"/>
    </row>
    <row r="205" spans="2:10" x14ac:dyDescent="0.2">
      <c r="B205" s="12"/>
      <c r="C205" s="12" t="s">
        <v>247</v>
      </c>
      <c r="D205" s="12" t="s">
        <v>134</v>
      </c>
      <c r="E205" s="12">
        <v>1584</v>
      </c>
      <c r="F205" s="12">
        <v>1565</v>
      </c>
      <c r="G205" s="12">
        <v>1670</v>
      </c>
      <c r="H205" s="12">
        <v>1626</v>
      </c>
      <c r="I205" s="12">
        <v>1802</v>
      </c>
      <c r="J205" s="12">
        <v>1831</v>
      </c>
    </row>
    <row r="206" spans="2:10" x14ac:dyDescent="0.2">
      <c r="B206" s="12"/>
      <c r="C206" s="12" t="s">
        <v>248</v>
      </c>
      <c r="D206" s="12" t="s">
        <v>134</v>
      </c>
      <c r="E206" s="12">
        <v>169</v>
      </c>
      <c r="F206" s="12">
        <v>157</v>
      </c>
      <c r="G206" s="12">
        <v>157</v>
      </c>
      <c r="H206" s="12">
        <v>161</v>
      </c>
      <c r="I206" s="12">
        <v>183</v>
      </c>
      <c r="J206" s="12">
        <v>227</v>
      </c>
    </row>
    <row r="207" spans="2:10" x14ac:dyDescent="0.2">
      <c r="B207" s="12"/>
      <c r="C207" s="12"/>
      <c r="D207" s="12"/>
      <c r="E207" s="12"/>
      <c r="F207" s="12"/>
      <c r="G207" s="12"/>
      <c r="H207" s="12"/>
      <c r="I207" s="12"/>
      <c r="J207" s="12"/>
    </row>
    <row r="208" spans="2:10" x14ac:dyDescent="0.2">
      <c r="B208" s="111" t="s">
        <v>83</v>
      </c>
      <c r="C208" s="112"/>
      <c r="D208" s="110"/>
      <c r="E208" s="11">
        <f t="shared" ref="E208:J208" si="10">SUM(E201:E207)</f>
        <v>2759</v>
      </c>
      <c r="F208" s="11">
        <f t="shared" si="10"/>
        <v>2716</v>
      </c>
      <c r="G208" s="11">
        <f t="shared" si="10"/>
        <v>2772</v>
      </c>
      <c r="H208" s="11">
        <f t="shared" si="10"/>
        <v>2855</v>
      </c>
      <c r="I208" s="11">
        <f t="shared" si="10"/>
        <v>3257</v>
      </c>
      <c r="J208" s="11">
        <f t="shared" si="10"/>
        <v>3427</v>
      </c>
    </row>
    <row r="209" spans="2:10" x14ac:dyDescent="0.2">
      <c r="B209" s="11">
        <v>3</v>
      </c>
      <c r="C209" s="11" t="s">
        <v>254</v>
      </c>
      <c r="D209" s="12"/>
      <c r="E209" s="12"/>
      <c r="F209" s="12"/>
      <c r="G209" s="12"/>
      <c r="H209" s="12"/>
      <c r="I209" s="12"/>
      <c r="J209" s="12"/>
    </row>
    <row r="210" spans="2:10" x14ac:dyDescent="0.2">
      <c r="B210" s="12"/>
      <c r="C210" s="12" t="s">
        <v>247</v>
      </c>
      <c r="D210" s="12" t="s">
        <v>134</v>
      </c>
      <c r="E210" s="12">
        <v>2727</v>
      </c>
      <c r="F210" s="12">
        <v>2848</v>
      </c>
      <c r="G210" s="12">
        <v>2802</v>
      </c>
      <c r="H210" s="12">
        <v>2731</v>
      </c>
      <c r="I210" s="12">
        <v>2680</v>
      </c>
      <c r="J210" s="12">
        <v>2393</v>
      </c>
    </row>
    <row r="211" spans="2:10" x14ac:dyDescent="0.2">
      <c r="B211" s="12"/>
      <c r="C211" s="12" t="s">
        <v>248</v>
      </c>
      <c r="D211" s="12" t="s">
        <v>134</v>
      </c>
      <c r="E211" s="12">
        <v>4521</v>
      </c>
      <c r="F211" s="12">
        <v>5509</v>
      </c>
      <c r="G211" s="12">
        <v>5545</v>
      </c>
      <c r="H211" s="12">
        <v>5367</v>
      </c>
      <c r="I211" s="12">
        <v>5520</v>
      </c>
      <c r="J211" s="12">
        <v>5412</v>
      </c>
    </row>
    <row r="212" spans="2:10" x14ac:dyDescent="0.2">
      <c r="B212" s="12"/>
      <c r="C212" s="12"/>
      <c r="D212" s="12"/>
      <c r="E212" s="12"/>
      <c r="F212" s="12"/>
      <c r="G212" s="12"/>
      <c r="H212" s="12"/>
      <c r="I212" s="12"/>
      <c r="J212" s="12"/>
    </row>
    <row r="213" spans="2:10" x14ac:dyDescent="0.2">
      <c r="B213" s="111" t="s">
        <v>83</v>
      </c>
      <c r="C213" s="112"/>
      <c r="D213" s="110"/>
      <c r="E213" s="11">
        <f t="shared" ref="E213:J213" si="11">SUM(E210:E212)</f>
        <v>7248</v>
      </c>
      <c r="F213" s="11">
        <f t="shared" si="11"/>
        <v>8357</v>
      </c>
      <c r="G213" s="11">
        <f t="shared" si="11"/>
        <v>8347</v>
      </c>
      <c r="H213" s="11">
        <f t="shared" si="11"/>
        <v>8098</v>
      </c>
      <c r="I213" s="11">
        <f t="shared" si="11"/>
        <v>8200</v>
      </c>
      <c r="J213" s="11">
        <f t="shared" si="11"/>
        <v>7805</v>
      </c>
    </row>
    <row r="214" spans="2:10" x14ac:dyDescent="0.2">
      <c r="B214" s="11">
        <v>4</v>
      </c>
      <c r="C214" s="11" t="s">
        <v>255</v>
      </c>
      <c r="D214" s="12"/>
      <c r="E214" s="12"/>
      <c r="F214" s="12"/>
      <c r="G214" s="12"/>
      <c r="H214" s="12"/>
      <c r="I214" s="12"/>
      <c r="J214" s="12"/>
    </row>
    <row r="215" spans="2:10" x14ac:dyDescent="0.2">
      <c r="B215" s="12">
        <v>1</v>
      </c>
      <c r="C215" s="12" t="s">
        <v>256</v>
      </c>
      <c r="D215" s="12"/>
      <c r="E215" s="12"/>
      <c r="F215" s="12"/>
      <c r="G215" s="12"/>
      <c r="H215" s="12"/>
      <c r="I215" s="12"/>
      <c r="J215" s="12"/>
    </row>
    <row r="216" spans="2:10" x14ac:dyDescent="0.2">
      <c r="B216" s="12"/>
      <c r="C216" s="12" t="s">
        <v>247</v>
      </c>
      <c r="D216" s="12" t="s">
        <v>134</v>
      </c>
      <c r="E216" s="12">
        <v>48</v>
      </c>
      <c r="F216" s="12">
        <v>70</v>
      </c>
      <c r="G216" s="12">
        <v>126</v>
      </c>
      <c r="H216" s="12">
        <v>84</v>
      </c>
      <c r="I216" s="12">
        <v>96</v>
      </c>
      <c r="J216" s="12">
        <v>91</v>
      </c>
    </row>
    <row r="217" spans="2:10" x14ac:dyDescent="0.2">
      <c r="B217" s="12"/>
      <c r="C217" s="12" t="s">
        <v>248</v>
      </c>
      <c r="D217" s="12" t="s">
        <v>134</v>
      </c>
      <c r="E217" s="12">
        <v>25</v>
      </c>
      <c r="F217" s="12">
        <v>27</v>
      </c>
      <c r="G217" s="12">
        <v>149</v>
      </c>
      <c r="H217" s="12">
        <v>33</v>
      </c>
      <c r="I217" s="12">
        <v>44</v>
      </c>
      <c r="J217" s="12">
        <v>49</v>
      </c>
    </row>
    <row r="218" spans="2:10" x14ac:dyDescent="0.2">
      <c r="B218" s="12"/>
      <c r="C218" s="12" t="s">
        <v>257</v>
      </c>
      <c r="D218" s="12" t="s">
        <v>134</v>
      </c>
      <c r="E218" s="12">
        <v>0</v>
      </c>
      <c r="F218" s="12">
        <v>0</v>
      </c>
      <c r="G218" s="12">
        <v>0</v>
      </c>
      <c r="H218" s="12">
        <v>4</v>
      </c>
      <c r="I218" s="12">
        <v>6</v>
      </c>
      <c r="J218" s="12">
        <v>7</v>
      </c>
    </row>
    <row r="219" spans="2:10" x14ac:dyDescent="0.2">
      <c r="B219" s="12"/>
      <c r="C219" s="12"/>
      <c r="D219" s="12"/>
      <c r="E219" s="12"/>
      <c r="F219" s="12"/>
      <c r="G219" s="12"/>
      <c r="H219" s="12"/>
      <c r="I219" s="12"/>
      <c r="J219" s="12"/>
    </row>
    <row r="220" spans="2:10" x14ac:dyDescent="0.2">
      <c r="B220" s="12">
        <v>2</v>
      </c>
      <c r="C220" s="12" t="s">
        <v>258</v>
      </c>
      <c r="D220" s="12"/>
      <c r="E220" s="12"/>
      <c r="F220" s="12"/>
      <c r="G220" s="12"/>
      <c r="H220" s="12"/>
      <c r="I220" s="12"/>
      <c r="J220" s="12"/>
    </row>
    <row r="221" spans="2:10" x14ac:dyDescent="0.2">
      <c r="B221" s="12"/>
      <c r="C221" s="12" t="s">
        <v>247</v>
      </c>
      <c r="D221" s="12" t="s">
        <v>134</v>
      </c>
      <c r="E221" s="12">
        <v>28</v>
      </c>
      <c r="F221" s="12">
        <v>28</v>
      </c>
      <c r="G221" s="12">
        <v>36</v>
      </c>
      <c r="H221" s="12">
        <v>43</v>
      </c>
      <c r="I221" s="12">
        <v>42</v>
      </c>
      <c r="J221" s="12">
        <v>49</v>
      </c>
    </row>
    <row r="222" spans="2:10" x14ac:dyDescent="0.2">
      <c r="B222" s="12"/>
      <c r="C222" s="12" t="s">
        <v>248</v>
      </c>
      <c r="D222" s="12" t="s">
        <v>134</v>
      </c>
      <c r="E222" s="12">
        <v>15</v>
      </c>
      <c r="F222" s="12">
        <v>15</v>
      </c>
      <c r="G222" s="12">
        <v>46</v>
      </c>
      <c r="H222" s="12">
        <v>17</v>
      </c>
      <c r="I222" s="12">
        <v>16</v>
      </c>
      <c r="J222" s="12">
        <v>24</v>
      </c>
    </row>
    <row r="223" spans="2:10" x14ac:dyDescent="0.2">
      <c r="B223" s="12"/>
      <c r="C223" s="12" t="s">
        <v>259</v>
      </c>
      <c r="D223" s="12" t="s">
        <v>134</v>
      </c>
      <c r="E223" s="12">
        <v>0</v>
      </c>
      <c r="F223" s="12">
        <v>0</v>
      </c>
      <c r="G223" s="12">
        <v>0</v>
      </c>
      <c r="H223" s="12">
        <v>1</v>
      </c>
      <c r="I223" s="12">
        <v>1</v>
      </c>
      <c r="J223" s="12">
        <v>1</v>
      </c>
    </row>
    <row r="224" spans="2:10" x14ac:dyDescent="0.2">
      <c r="B224" s="12"/>
      <c r="C224" s="12"/>
      <c r="D224" s="12"/>
      <c r="E224" s="12"/>
      <c r="F224" s="12"/>
      <c r="G224" s="12"/>
      <c r="H224" s="12"/>
      <c r="I224" s="12"/>
      <c r="J224" s="20"/>
    </row>
    <row r="225" spans="2:10" x14ac:dyDescent="0.2">
      <c r="B225" s="111" t="s">
        <v>83</v>
      </c>
      <c r="C225" s="112"/>
      <c r="D225" s="110"/>
      <c r="E225" s="11">
        <f t="shared" ref="E225:J225" si="12">SUM(E216:E223)</f>
        <v>116</v>
      </c>
      <c r="F225" s="11">
        <f t="shared" si="12"/>
        <v>140</v>
      </c>
      <c r="G225" s="11">
        <f t="shared" si="12"/>
        <v>357</v>
      </c>
      <c r="H225" s="11">
        <f t="shared" si="12"/>
        <v>182</v>
      </c>
      <c r="I225" s="11">
        <f t="shared" si="12"/>
        <v>205</v>
      </c>
      <c r="J225" s="11">
        <f t="shared" si="12"/>
        <v>221</v>
      </c>
    </row>
    <row r="226" spans="2:10" ht="15" customHeight="1" x14ac:dyDescent="0.2">
      <c r="B226" s="20"/>
      <c r="C226" s="20"/>
      <c r="D226" s="20"/>
      <c r="E226" s="20"/>
      <c r="F226" s="20"/>
      <c r="G226" s="20"/>
      <c r="H226" s="20"/>
      <c r="I226" s="20"/>
      <c r="J226" s="20"/>
    </row>
    <row r="227" spans="2:10" x14ac:dyDescent="0.2">
      <c r="B227" s="11" t="s">
        <v>260</v>
      </c>
      <c r="C227" s="11" t="s">
        <v>261</v>
      </c>
      <c r="D227" s="12"/>
      <c r="E227" s="12"/>
      <c r="F227" s="12"/>
      <c r="G227" s="12"/>
      <c r="H227" s="12"/>
      <c r="I227" s="12"/>
      <c r="J227" s="20"/>
    </row>
    <row r="228" spans="2:10" x14ac:dyDescent="0.2">
      <c r="B228" s="12"/>
      <c r="C228" s="23" t="s">
        <v>262</v>
      </c>
      <c r="D228" s="12"/>
      <c r="E228" s="12"/>
      <c r="F228" s="12"/>
      <c r="G228" s="12"/>
      <c r="H228" s="12"/>
      <c r="I228" s="12"/>
      <c r="J228" s="20"/>
    </row>
    <row r="229" spans="2:10" x14ac:dyDescent="0.2">
      <c r="B229" s="12"/>
      <c r="C229" s="12" t="s">
        <v>247</v>
      </c>
      <c r="D229" s="12" t="s">
        <v>134</v>
      </c>
      <c r="E229" s="12">
        <v>0</v>
      </c>
      <c r="F229" s="12">
        <v>0</v>
      </c>
      <c r="G229" s="12">
        <v>0</v>
      </c>
      <c r="H229" s="12">
        <v>0</v>
      </c>
      <c r="I229" s="12">
        <v>0</v>
      </c>
      <c r="J229" s="12">
        <v>0</v>
      </c>
    </row>
    <row r="230" spans="2:10" x14ac:dyDescent="0.2">
      <c r="B230" s="12"/>
      <c r="C230" s="12" t="s">
        <v>248</v>
      </c>
      <c r="D230" s="12" t="s">
        <v>134</v>
      </c>
      <c r="E230" s="12">
        <v>0</v>
      </c>
      <c r="F230" s="12">
        <v>0</v>
      </c>
      <c r="G230" s="12">
        <v>0</v>
      </c>
      <c r="H230" s="12">
        <v>0</v>
      </c>
      <c r="I230" s="12">
        <v>0</v>
      </c>
      <c r="J230" s="12">
        <v>0</v>
      </c>
    </row>
    <row r="231" spans="2:10" x14ac:dyDescent="0.2">
      <c r="B231" s="12"/>
      <c r="C231" s="12"/>
      <c r="D231" s="12"/>
      <c r="E231" s="12"/>
      <c r="F231" s="12"/>
      <c r="G231" s="12"/>
      <c r="H231" s="12"/>
      <c r="I231" s="12"/>
      <c r="J231" s="12"/>
    </row>
    <row r="232" spans="2:10" x14ac:dyDescent="0.2">
      <c r="B232" s="111" t="s">
        <v>83</v>
      </c>
      <c r="C232" s="112"/>
      <c r="D232" s="110"/>
      <c r="E232" s="11">
        <f t="shared" ref="E232:J232" si="13">SUM(E229:E231)</f>
        <v>0</v>
      </c>
      <c r="F232" s="11">
        <f t="shared" si="13"/>
        <v>0</v>
      </c>
      <c r="G232" s="11">
        <f t="shared" si="13"/>
        <v>0</v>
      </c>
      <c r="H232" s="11">
        <f t="shared" si="13"/>
        <v>0</v>
      </c>
      <c r="I232" s="11">
        <f t="shared" si="13"/>
        <v>0</v>
      </c>
      <c r="J232" s="11">
        <f t="shared" si="13"/>
        <v>0</v>
      </c>
    </row>
    <row r="233" spans="2:10" ht="15" customHeight="1" x14ac:dyDescent="0.2">
      <c r="B233" s="20"/>
      <c r="C233" s="20"/>
      <c r="D233" s="20"/>
      <c r="E233" s="20"/>
      <c r="F233" s="20"/>
      <c r="G233" s="20"/>
      <c r="H233" s="20"/>
      <c r="I233" s="20"/>
      <c r="J233" s="20"/>
    </row>
    <row r="234" spans="2:10" x14ac:dyDescent="0.2">
      <c r="B234" s="11" t="s">
        <v>263</v>
      </c>
      <c r="C234" s="11" t="s">
        <v>264</v>
      </c>
      <c r="D234" s="12"/>
      <c r="E234" s="12"/>
      <c r="F234" s="12"/>
      <c r="G234" s="12"/>
      <c r="H234" s="12"/>
      <c r="I234" s="12"/>
      <c r="J234" s="20"/>
    </row>
    <row r="235" spans="2:10" x14ac:dyDescent="0.2">
      <c r="B235" s="12"/>
      <c r="C235" s="23" t="s">
        <v>265</v>
      </c>
      <c r="D235" s="12"/>
      <c r="E235" s="12"/>
      <c r="F235" s="12"/>
      <c r="G235" s="12"/>
      <c r="H235" s="12"/>
      <c r="I235" s="12"/>
      <c r="J235" s="20"/>
    </row>
    <row r="236" spans="2:10" x14ac:dyDescent="0.2">
      <c r="B236" s="12"/>
      <c r="C236" s="12" t="s">
        <v>247</v>
      </c>
      <c r="D236" s="12" t="s">
        <v>134</v>
      </c>
      <c r="E236" s="12">
        <v>0</v>
      </c>
      <c r="F236" s="12">
        <v>0</v>
      </c>
      <c r="G236" s="12">
        <v>0</v>
      </c>
      <c r="H236" s="12">
        <v>0</v>
      </c>
      <c r="I236" s="12">
        <v>0</v>
      </c>
      <c r="J236" s="12">
        <v>0</v>
      </c>
    </row>
    <row r="237" spans="2:10" x14ac:dyDescent="0.2">
      <c r="B237" s="12"/>
      <c r="C237" s="12" t="s">
        <v>248</v>
      </c>
      <c r="D237" s="12" t="s">
        <v>134</v>
      </c>
      <c r="E237" s="12">
        <v>0</v>
      </c>
      <c r="F237" s="12">
        <v>0</v>
      </c>
      <c r="G237" s="12">
        <v>0</v>
      </c>
      <c r="H237" s="12">
        <v>0</v>
      </c>
      <c r="I237" s="12">
        <v>0</v>
      </c>
      <c r="J237" s="12">
        <v>0</v>
      </c>
    </row>
    <row r="238" spans="2:10" x14ac:dyDescent="0.2">
      <c r="B238" s="12"/>
      <c r="C238" s="12"/>
      <c r="D238" s="12"/>
      <c r="E238" s="12"/>
      <c r="F238" s="12"/>
      <c r="G238" s="12"/>
      <c r="H238" s="12"/>
      <c r="I238" s="12"/>
      <c r="J238" s="20"/>
    </row>
    <row r="239" spans="2:10" x14ac:dyDescent="0.2">
      <c r="B239" s="111" t="s">
        <v>83</v>
      </c>
      <c r="C239" s="112"/>
      <c r="D239" s="110"/>
      <c r="E239" s="11">
        <f t="shared" ref="E239:J239" si="14">SUM(E236:E238)</f>
        <v>0</v>
      </c>
      <c r="F239" s="11">
        <f t="shared" si="14"/>
        <v>0</v>
      </c>
      <c r="G239" s="11">
        <f t="shared" si="14"/>
        <v>0</v>
      </c>
      <c r="H239" s="11">
        <f t="shared" si="14"/>
        <v>0</v>
      </c>
      <c r="I239" s="11">
        <f t="shared" si="14"/>
        <v>0</v>
      </c>
      <c r="J239" s="11">
        <f t="shared" si="14"/>
        <v>0</v>
      </c>
    </row>
    <row r="240" spans="2:10" ht="15" customHeight="1" x14ac:dyDescent="0.2">
      <c r="B240" s="20"/>
      <c r="C240" s="20"/>
      <c r="D240" s="20"/>
      <c r="E240" s="20"/>
      <c r="F240" s="20"/>
      <c r="G240" s="20"/>
      <c r="H240" s="20"/>
      <c r="I240" s="20"/>
      <c r="J240" s="20"/>
    </row>
    <row r="241" spans="2:10" x14ac:dyDescent="0.2">
      <c r="B241" s="11" t="s">
        <v>266</v>
      </c>
      <c r="C241" s="11" t="s">
        <v>267</v>
      </c>
      <c r="D241" s="12"/>
      <c r="E241" s="12"/>
      <c r="F241" s="12"/>
      <c r="G241" s="12"/>
      <c r="H241" s="12"/>
      <c r="I241" s="12"/>
      <c r="J241" s="20"/>
    </row>
    <row r="242" spans="2:10" x14ac:dyDescent="0.2">
      <c r="B242" s="12"/>
      <c r="C242" s="23" t="s">
        <v>268</v>
      </c>
      <c r="D242" s="12"/>
      <c r="E242" s="12"/>
      <c r="F242" s="12"/>
      <c r="G242" s="12"/>
      <c r="H242" s="12"/>
      <c r="I242" s="12"/>
      <c r="J242" s="20"/>
    </row>
    <row r="243" spans="2:10" x14ac:dyDescent="0.2">
      <c r="B243" s="12"/>
      <c r="C243" s="12" t="s">
        <v>247</v>
      </c>
      <c r="D243" s="12" t="s">
        <v>134</v>
      </c>
      <c r="E243" s="12">
        <v>0</v>
      </c>
      <c r="F243" s="12">
        <v>0</v>
      </c>
      <c r="G243" s="12">
        <v>0</v>
      </c>
      <c r="H243" s="12">
        <v>0</v>
      </c>
      <c r="I243" s="12">
        <v>0</v>
      </c>
      <c r="J243" s="12">
        <v>0</v>
      </c>
    </row>
    <row r="244" spans="2:10" x14ac:dyDescent="0.2">
      <c r="B244" s="12"/>
      <c r="C244" s="12" t="s">
        <v>248</v>
      </c>
      <c r="D244" s="12" t="s">
        <v>134</v>
      </c>
      <c r="E244" s="12">
        <v>0</v>
      </c>
      <c r="F244" s="12">
        <v>0</v>
      </c>
      <c r="G244" s="12">
        <v>0</v>
      </c>
      <c r="H244" s="12">
        <v>0</v>
      </c>
      <c r="I244" s="12">
        <v>0</v>
      </c>
      <c r="J244" s="12">
        <v>0</v>
      </c>
    </row>
    <row r="245" spans="2:10" x14ac:dyDescent="0.2">
      <c r="B245" s="12"/>
      <c r="C245" s="12"/>
      <c r="D245" s="12"/>
      <c r="E245" s="12"/>
      <c r="F245" s="12"/>
      <c r="G245" s="12"/>
      <c r="H245" s="12"/>
      <c r="I245" s="12"/>
      <c r="J245" s="20"/>
    </row>
    <row r="246" spans="2:10" x14ac:dyDescent="0.2">
      <c r="B246" s="111" t="s">
        <v>83</v>
      </c>
      <c r="C246" s="112"/>
      <c r="D246" s="110"/>
      <c r="E246" s="11">
        <f t="shared" ref="E246:J246" si="15">SUM(E243:E245)</f>
        <v>0</v>
      </c>
      <c r="F246" s="11">
        <f t="shared" si="15"/>
        <v>0</v>
      </c>
      <c r="G246" s="11">
        <f t="shared" si="15"/>
        <v>0</v>
      </c>
      <c r="H246" s="11">
        <f t="shared" si="15"/>
        <v>0</v>
      </c>
      <c r="I246" s="11">
        <f t="shared" si="15"/>
        <v>0</v>
      </c>
      <c r="J246" s="11">
        <f t="shared" si="15"/>
        <v>0</v>
      </c>
    </row>
    <row r="247" spans="2:10" ht="15" customHeight="1" x14ac:dyDescent="0.2">
      <c r="B247" s="20"/>
      <c r="C247" s="20"/>
      <c r="D247" s="20"/>
      <c r="E247" s="20"/>
      <c r="F247" s="20"/>
      <c r="G247" s="20"/>
      <c r="H247" s="20"/>
      <c r="I247" s="20"/>
      <c r="J247" s="20"/>
    </row>
    <row r="248" spans="2:10" x14ac:dyDescent="0.2">
      <c r="B248" s="11" t="s">
        <v>269</v>
      </c>
      <c r="C248" s="11" t="s">
        <v>270</v>
      </c>
      <c r="D248" s="12"/>
      <c r="E248" s="12"/>
      <c r="F248" s="12"/>
      <c r="G248" s="12"/>
      <c r="H248" s="12"/>
      <c r="I248" s="12"/>
      <c r="J248" s="20"/>
    </row>
    <row r="249" spans="2:10" x14ac:dyDescent="0.2">
      <c r="B249" s="12"/>
      <c r="C249" s="23" t="s">
        <v>271</v>
      </c>
      <c r="D249" s="12"/>
      <c r="E249" s="12"/>
      <c r="F249" s="12"/>
      <c r="G249" s="12"/>
      <c r="H249" s="12"/>
      <c r="I249" s="12"/>
      <c r="J249" s="20"/>
    </row>
    <row r="250" spans="2:10" x14ac:dyDescent="0.2">
      <c r="B250" s="12"/>
      <c r="C250" s="12" t="s">
        <v>247</v>
      </c>
      <c r="D250" s="12" t="s">
        <v>134</v>
      </c>
      <c r="E250" s="12">
        <v>6</v>
      </c>
      <c r="F250" s="12">
        <v>6</v>
      </c>
      <c r="G250" s="12">
        <v>6</v>
      </c>
      <c r="H250" s="12">
        <v>6</v>
      </c>
      <c r="I250" s="12">
        <v>6</v>
      </c>
      <c r="J250" s="12">
        <v>6</v>
      </c>
    </row>
    <row r="251" spans="2:10" x14ac:dyDescent="0.2">
      <c r="B251" s="12"/>
      <c r="C251" s="12" t="s">
        <v>248</v>
      </c>
      <c r="D251" s="12" t="s">
        <v>134</v>
      </c>
      <c r="E251" s="12">
        <v>0</v>
      </c>
      <c r="F251" s="12">
        <v>0</v>
      </c>
      <c r="G251" s="12">
        <v>0</v>
      </c>
      <c r="H251" s="12">
        <v>0</v>
      </c>
      <c r="I251" s="12">
        <v>0</v>
      </c>
      <c r="J251" s="20"/>
    </row>
    <row r="252" spans="2:10" x14ac:dyDescent="0.2">
      <c r="B252" s="12"/>
      <c r="C252" s="12"/>
      <c r="D252" s="12"/>
      <c r="E252" s="12"/>
      <c r="F252" s="12"/>
      <c r="G252" s="12"/>
      <c r="H252" s="12"/>
      <c r="I252" s="12"/>
      <c r="J252" s="20"/>
    </row>
    <row r="253" spans="2:10" x14ac:dyDescent="0.2">
      <c r="B253" s="111" t="s">
        <v>83</v>
      </c>
      <c r="C253" s="112"/>
      <c r="D253" s="110"/>
      <c r="E253" s="11">
        <f t="shared" ref="E253:J253" si="16">SUM(E250:E252)</f>
        <v>6</v>
      </c>
      <c r="F253" s="11">
        <f t="shared" si="16"/>
        <v>6</v>
      </c>
      <c r="G253" s="11">
        <f t="shared" si="16"/>
        <v>6</v>
      </c>
      <c r="H253" s="11">
        <f t="shared" si="16"/>
        <v>6</v>
      </c>
      <c r="I253" s="11">
        <f t="shared" si="16"/>
        <v>6</v>
      </c>
      <c r="J253" s="48">
        <f t="shared" si="16"/>
        <v>6</v>
      </c>
    </row>
    <row r="254" spans="2:10" ht="15" customHeight="1" x14ac:dyDescent="0.2">
      <c r="B254" s="20"/>
      <c r="C254" s="20"/>
      <c r="D254" s="20"/>
      <c r="E254" s="20"/>
      <c r="F254" s="20"/>
      <c r="G254" s="20"/>
      <c r="H254" s="20"/>
      <c r="I254" s="20"/>
      <c r="J254" s="20"/>
    </row>
    <row r="255" spans="2:10" x14ac:dyDescent="0.2">
      <c r="B255" s="11" t="s">
        <v>272</v>
      </c>
      <c r="C255" s="11" t="s">
        <v>273</v>
      </c>
      <c r="D255" s="12"/>
      <c r="E255" s="12"/>
      <c r="F255" s="12"/>
      <c r="G255" s="12"/>
      <c r="H255" s="12"/>
      <c r="I255" s="12"/>
      <c r="J255" s="20"/>
    </row>
    <row r="256" spans="2:10" x14ac:dyDescent="0.2">
      <c r="B256" s="12"/>
      <c r="C256" s="23" t="s">
        <v>274</v>
      </c>
      <c r="D256" s="12"/>
      <c r="E256" s="12"/>
      <c r="F256" s="12"/>
      <c r="G256" s="12"/>
      <c r="H256" s="12"/>
      <c r="I256" s="12"/>
      <c r="J256" s="20"/>
    </row>
    <row r="257" spans="2:10" x14ac:dyDescent="0.2">
      <c r="B257" s="12"/>
      <c r="C257" s="12" t="s">
        <v>247</v>
      </c>
      <c r="D257" s="12" t="s">
        <v>134</v>
      </c>
      <c r="E257" s="12">
        <v>0</v>
      </c>
      <c r="F257" s="12">
        <v>0</v>
      </c>
      <c r="G257" s="12">
        <v>0</v>
      </c>
      <c r="H257" s="12">
        <v>0</v>
      </c>
      <c r="I257" s="12">
        <v>0</v>
      </c>
      <c r="J257" s="12">
        <v>0</v>
      </c>
    </row>
    <row r="258" spans="2:10" x14ac:dyDescent="0.2">
      <c r="B258" s="12"/>
      <c r="C258" s="12" t="s">
        <v>248</v>
      </c>
      <c r="D258" s="12" t="s">
        <v>134</v>
      </c>
      <c r="E258" s="12">
        <v>0</v>
      </c>
      <c r="F258" s="12">
        <v>0</v>
      </c>
      <c r="G258" s="12">
        <v>0</v>
      </c>
      <c r="H258" s="12">
        <v>0</v>
      </c>
      <c r="I258" s="12">
        <v>0</v>
      </c>
      <c r="J258" s="12">
        <v>0</v>
      </c>
    </row>
    <row r="259" spans="2:10" x14ac:dyDescent="0.2">
      <c r="B259" s="12"/>
      <c r="C259" s="12"/>
      <c r="D259" s="12"/>
      <c r="E259" s="12"/>
      <c r="F259" s="12"/>
      <c r="G259" s="12"/>
      <c r="H259" s="12"/>
      <c r="I259" s="12"/>
      <c r="J259" s="12"/>
    </row>
    <row r="260" spans="2:10" x14ac:dyDescent="0.2">
      <c r="B260" s="111" t="s">
        <v>83</v>
      </c>
      <c r="C260" s="112"/>
      <c r="D260" s="110"/>
      <c r="E260" s="11">
        <f t="shared" ref="E260:J260" si="17">SUM(E257:E259)</f>
        <v>0</v>
      </c>
      <c r="F260" s="11">
        <f t="shared" si="17"/>
        <v>0</v>
      </c>
      <c r="G260" s="11">
        <f t="shared" si="17"/>
        <v>0</v>
      </c>
      <c r="H260" s="11">
        <f t="shared" si="17"/>
        <v>0</v>
      </c>
      <c r="I260" s="11">
        <f t="shared" si="17"/>
        <v>0</v>
      </c>
      <c r="J260" s="11">
        <f t="shared" si="17"/>
        <v>0</v>
      </c>
    </row>
    <row r="261" spans="2:10" ht="15" customHeight="1" x14ac:dyDescent="0.2">
      <c r="B261" s="20"/>
      <c r="C261" s="20"/>
      <c r="D261" s="20"/>
      <c r="E261" s="20"/>
      <c r="F261" s="20"/>
      <c r="G261" s="20"/>
      <c r="H261" s="20"/>
      <c r="I261" s="20"/>
      <c r="J261" s="20"/>
    </row>
    <row r="262" spans="2:10" x14ac:dyDescent="0.2">
      <c r="B262" s="11" t="s">
        <v>275</v>
      </c>
      <c r="C262" s="11" t="s">
        <v>276</v>
      </c>
      <c r="D262" s="12"/>
      <c r="E262" s="12"/>
      <c r="F262" s="12"/>
      <c r="G262" s="12"/>
      <c r="H262" s="12"/>
      <c r="I262" s="12"/>
      <c r="J262" s="20"/>
    </row>
    <row r="263" spans="2:10" x14ac:dyDescent="0.2">
      <c r="B263" s="12"/>
      <c r="C263" s="23" t="s">
        <v>277</v>
      </c>
      <c r="D263" s="12"/>
      <c r="E263" s="12"/>
      <c r="F263" s="12"/>
      <c r="G263" s="12"/>
      <c r="H263" s="12"/>
      <c r="I263" s="12"/>
      <c r="J263" s="20"/>
    </row>
    <row r="264" spans="2:10" x14ac:dyDescent="0.2">
      <c r="B264" s="12"/>
      <c r="C264" s="12" t="s">
        <v>247</v>
      </c>
      <c r="D264" s="12" t="s">
        <v>134</v>
      </c>
      <c r="E264" s="12">
        <v>1</v>
      </c>
      <c r="F264" s="12">
        <v>1</v>
      </c>
      <c r="G264" s="12">
        <v>1</v>
      </c>
      <c r="H264" s="12">
        <v>1</v>
      </c>
      <c r="I264" s="12">
        <v>1</v>
      </c>
      <c r="J264" s="20">
        <v>1</v>
      </c>
    </row>
    <row r="265" spans="2:10" x14ac:dyDescent="0.2">
      <c r="B265" s="12"/>
      <c r="C265" s="12" t="s">
        <v>248</v>
      </c>
      <c r="D265" s="12" t="s">
        <v>134</v>
      </c>
      <c r="E265" s="12">
        <v>0</v>
      </c>
      <c r="F265" s="12">
        <v>0</v>
      </c>
      <c r="G265" s="12">
        <v>0</v>
      </c>
      <c r="H265" s="12">
        <v>0</v>
      </c>
      <c r="I265" s="12">
        <v>0</v>
      </c>
      <c r="J265" s="20">
        <v>0</v>
      </c>
    </row>
    <row r="266" spans="2:10" x14ac:dyDescent="0.2">
      <c r="B266" s="12"/>
      <c r="C266" s="12"/>
      <c r="D266" s="12"/>
      <c r="E266" s="12"/>
      <c r="F266" s="12"/>
      <c r="G266" s="12"/>
      <c r="H266" s="12"/>
      <c r="I266" s="12"/>
      <c r="J266" s="20"/>
    </row>
    <row r="267" spans="2:10" x14ac:dyDescent="0.2">
      <c r="B267" s="111" t="s">
        <v>83</v>
      </c>
      <c r="C267" s="112"/>
      <c r="D267" s="110"/>
      <c r="E267" s="11">
        <f t="shared" ref="E267:J267" si="18">SUM(E264:E266)</f>
        <v>1</v>
      </c>
      <c r="F267" s="11">
        <f t="shared" si="18"/>
        <v>1</v>
      </c>
      <c r="G267" s="11">
        <f t="shared" si="18"/>
        <v>1</v>
      </c>
      <c r="H267" s="11">
        <f t="shared" si="18"/>
        <v>1</v>
      </c>
      <c r="I267" s="11">
        <f t="shared" si="18"/>
        <v>1</v>
      </c>
      <c r="J267" s="48">
        <f t="shared" si="18"/>
        <v>1</v>
      </c>
    </row>
    <row r="268" spans="2:10" ht="15" customHeight="1" x14ac:dyDescent="0.2">
      <c r="B268" s="20"/>
      <c r="C268" s="20"/>
      <c r="D268" s="20"/>
      <c r="E268" s="20"/>
      <c r="F268" s="20"/>
      <c r="G268" s="20"/>
      <c r="H268" s="20"/>
      <c r="I268" s="20"/>
      <c r="J268" s="20"/>
    </row>
    <row r="269" spans="2:10" x14ac:dyDescent="0.2">
      <c r="B269" s="11" t="s">
        <v>278</v>
      </c>
      <c r="C269" s="11" t="s">
        <v>279</v>
      </c>
      <c r="D269" s="12"/>
      <c r="E269" s="12"/>
      <c r="F269" s="12"/>
      <c r="G269" s="12"/>
      <c r="H269" s="12"/>
      <c r="I269" s="12"/>
      <c r="J269" s="20"/>
    </row>
    <row r="270" spans="2:10" x14ac:dyDescent="0.2">
      <c r="B270" s="12"/>
      <c r="C270" s="23" t="s">
        <v>280</v>
      </c>
      <c r="D270" s="12"/>
      <c r="E270" s="12"/>
      <c r="F270" s="12"/>
      <c r="G270" s="12"/>
      <c r="H270" s="12"/>
      <c r="I270" s="12"/>
      <c r="J270" s="20"/>
    </row>
    <row r="271" spans="2:10" x14ac:dyDescent="0.2">
      <c r="B271" s="12"/>
      <c r="C271" s="12" t="s">
        <v>247</v>
      </c>
      <c r="D271" s="12" t="s">
        <v>134</v>
      </c>
      <c r="E271" s="12">
        <v>159</v>
      </c>
      <c r="F271" s="12">
        <v>159</v>
      </c>
      <c r="G271" s="12">
        <v>159</v>
      </c>
      <c r="H271" s="12">
        <v>159</v>
      </c>
      <c r="I271" s="12">
        <v>159</v>
      </c>
      <c r="J271" s="12">
        <v>159</v>
      </c>
    </row>
    <row r="272" spans="2:10" x14ac:dyDescent="0.2">
      <c r="B272" s="12"/>
      <c r="C272" s="12" t="s">
        <v>248</v>
      </c>
      <c r="D272" s="12" t="s">
        <v>134</v>
      </c>
      <c r="E272" s="12">
        <v>8</v>
      </c>
      <c r="F272" s="12">
        <v>8</v>
      </c>
      <c r="G272" s="12">
        <v>8</v>
      </c>
      <c r="H272" s="12">
        <v>8</v>
      </c>
      <c r="I272" s="12">
        <v>8</v>
      </c>
      <c r="J272" s="12">
        <v>8</v>
      </c>
    </row>
    <row r="273" spans="1:10" x14ac:dyDescent="0.2">
      <c r="B273" s="12"/>
      <c r="C273" s="12" t="s">
        <v>281</v>
      </c>
      <c r="D273" s="12" t="s">
        <v>134</v>
      </c>
      <c r="E273" s="12">
        <v>2</v>
      </c>
      <c r="F273" s="12">
        <v>2</v>
      </c>
      <c r="G273" s="12">
        <v>2</v>
      </c>
      <c r="H273" s="12">
        <v>2</v>
      </c>
      <c r="I273" s="12">
        <v>2</v>
      </c>
      <c r="J273" s="12">
        <v>2</v>
      </c>
    </row>
    <row r="274" spans="1:10" x14ac:dyDescent="0.2">
      <c r="B274" s="12"/>
      <c r="C274" s="12"/>
      <c r="D274" s="12"/>
      <c r="E274" s="12"/>
      <c r="F274" s="12"/>
      <c r="G274" s="12"/>
      <c r="H274" s="12"/>
      <c r="I274" s="12"/>
      <c r="J274" s="20"/>
    </row>
    <row r="275" spans="1:10" x14ac:dyDescent="0.2">
      <c r="B275" s="111" t="s">
        <v>83</v>
      </c>
      <c r="C275" s="112"/>
      <c r="D275" s="110"/>
      <c r="E275" s="11">
        <f t="shared" ref="E275:J275" si="19">SUM(E271:E273)</f>
        <v>169</v>
      </c>
      <c r="F275" s="11">
        <f t="shared" si="19"/>
        <v>169</v>
      </c>
      <c r="G275" s="11">
        <f t="shared" si="19"/>
        <v>169</v>
      </c>
      <c r="H275" s="11">
        <f t="shared" si="19"/>
        <v>169</v>
      </c>
      <c r="I275" s="11">
        <f t="shared" si="19"/>
        <v>169</v>
      </c>
      <c r="J275" s="48">
        <f t="shared" si="19"/>
        <v>169</v>
      </c>
    </row>
    <row r="278" spans="1:10" x14ac:dyDescent="0.2">
      <c r="A278" s="9"/>
      <c r="B278" s="1"/>
      <c r="C278" s="9"/>
      <c r="D278" s="9"/>
      <c r="E278" s="9"/>
      <c r="F278" s="9"/>
      <c r="G278" s="9"/>
      <c r="H278" s="9"/>
      <c r="I278" s="9"/>
      <c r="J278" s="9"/>
    </row>
    <row r="279" spans="1:10" x14ac:dyDescent="0.2">
      <c r="A279" s="9"/>
      <c r="B279" s="7"/>
      <c r="C279" s="9"/>
      <c r="D279" s="9"/>
      <c r="E279" s="9"/>
      <c r="F279" s="9"/>
      <c r="G279" s="9"/>
      <c r="H279" s="9"/>
      <c r="I279" s="9"/>
      <c r="J279" s="9"/>
    </row>
    <row r="280" spans="1:10" x14ac:dyDescent="0.2">
      <c r="A280" s="9"/>
      <c r="B280" s="1"/>
      <c r="C280" s="3"/>
      <c r="D280" s="1"/>
      <c r="E280" s="9"/>
      <c r="F280" s="9"/>
      <c r="G280" s="9"/>
      <c r="H280" s="9"/>
      <c r="I280" s="9"/>
      <c r="J280" s="9"/>
    </row>
    <row r="281" spans="1:10" ht="15" customHeight="1" x14ac:dyDescent="0.2">
      <c r="A281" s="9"/>
      <c r="B281" s="9"/>
      <c r="C281" s="9"/>
      <c r="D281" s="9"/>
      <c r="E281" s="9"/>
      <c r="F281" s="9"/>
      <c r="G281" s="9"/>
      <c r="H281" s="9"/>
      <c r="I281" s="9"/>
      <c r="J281" s="9"/>
    </row>
    <row r="282" spans="1:10" x14ac:dyDescent="0.2">
      <c r="A282" s="9"/>
      <c r="B282" s="1"/>
      <c r="C282" s="1"/>
      <c r="D282" s="1"/>
      <c r="E282" s="1"/>
      <c r="F282" s="1"/>
      <c r="G282" s="1"/>
      <c r="H282" s="1"/>
      <c r="I282" s="1"/>
      <c r="J282" s="9"/>
    </row>
    <row r="283" spans="1:10" x14ac:dyDescent="0.2">
      <c r="A283" s="9"/>
      <c r="B283" s="1"/>
      <c r="C283" s="1"/>
      <c r="D283" s="3"/>
      <c r="E283" s="3"/>
      <c r="F283" s="3"/>
      <c r="G283" s="3"/>
      <c r="H283" s="3"/>
      <c r="I283" s="3"/>
      <c r="J283" s="9"/>
    </row>
    <row r="284" spans="1:10" x14ac:dyDescent="0.2">
      <c r="A284" s="9"/>
      <c r="B284" s="3"/>
      <c r="C284" s="7"/>
      <c r="D284" s="3"/>
      <c r="E284" s="3"/>
      <c r="F284" s="3"/>
      <c r="G284" s="3"/>
      <c r="H284" s="3"/>
      <c r="I284" s="3"/>
      <c r="J284" s="9"/>
    </row>
    <row r="285" spans="1:10" x14ac:dyDescent="0.2">
      <c r="A285" s="9"/>
      <c r="B285" s="1"/>
      <c r="C285" s="1"/>
      <c r="D285" s="1"/>
      <c r="E285" s="3"/>
      <c r="F285" s="3"/>
      <c r="G285" s="3"/>
      <c r="H285" s="3"/>
      <c r="I285" s="3"/>
      <c r="J285" s="9"/>
    </row>
    <row r="286" spans="1:10" x14ac:dyDescent="0.2">
      <c r="A286" s="9"/>
      <c r="B286" s="3"/>
      <c r="C286" s="7"/>
      <c r="D286" s="3"/>
      <c r="E286" s="3"/>
      <c r="F286" s="3"/>
      <c r="G286" s="3"/>
      <c r="H286" s="3"/>
      <c r="I286" s="3"/>
      <c r="J286" s="9"/>
    </row>
    <row r="287" spans="1:10" x14ac:dyDescent="0.2">
      <c r="A287" s="9"/>
      <c r="B287" s="1"/>
      <c r="C287" s="1"/>
      <c r="D287" s="1"/>
      <c r="E287" s="3"/>
      <c r="F287" s="3"/>
      <c r="G287" s="3"/>
      <c r="H287" s="3"/>
      <c r="I287" s="3"/>
      <c r="J287" s="9"/>
    </row>
    <row r="288" spans="1:10" x14ac:dyDescent="0.2">
      <c r="A288" s="9"/>
      <c r="B288" s="3"/>
      <c r="C288" s="7"/>
      <c r="D288" s="3"/>
      <c r="E288" s="3"/>
      <c r="F288" s="3"/>
      <c r="G288" s="3"/>
      <c r="H288" s="3"/>
      <c r="I288" s="3"/>
      <c r="J288" s="9"/>
    </row>
    <row r="289" spans="1:10" x14ac:dyDescent="0.2">
      <c r="A289" s="9"/>
      <c r="B289" s="113"/>
      <c r="C289" s="114"/>
      <c r="D289" s="114"/>
      <c r="E289" s="3"/>
      <c r="F289" s="3"/>
      <c r="G289" s="3"/>
      <c r="H289" s="3"/>
      <c r="I289" s="3"/>
      <c r="J289" s="9"/>
    </row>
    <row r="290" spans="1:10" x14ac:dyDescent="0.2">
      <c r="A290" s="9"/>
      <c r="B290" s="3"/>
      <c r="C290" s="1"/>
      <c r="D290" s="3"/>
      <c r="E290" s="3"/>
      <c r="F290" s="3"/>
      <c r="G290" s="3"/>
      <c r="H290" s="3"/>
      <c r="I290" s="3"/>
      <c r="J290" s="9"/>
    </row>
    <row r="291" spans="1:10" x14ac:dyDescent="0.2">
      <c r="A291" s="9"/>
      <c r="B291" s="3"/>
      <c r="C291" s="7"/>
      <c r="D291" s="3"/>
      <c r="E291" s="3"/>
      <c r="F291" s="3"/>
      <c r="G291" s="3"/>
      <c r="H291" s="3"/>
      <c r="I291" s="3"/>
      <c r="J291" s="9"/>
    </row>
    <row r="292" spans="1:10" x14ac:dyDescent="0.2">
      <c r="A292" s="9"/>
      <c r="B292" s="1"/>
      <c r="C292" s="1"/>
      <c r="D292" s="3"/>
      <c r="E292" s="3"/>
      <c r="F292" s="3"/>
      <c r="G292" s="3"/>
      <c r="H292" s="3"/>
      <c r="I292" s="3"/>
      <c r="J292" s="9"/>
    </row>
    <row r="293" spans="1:10" x14ac:dyDescent="0.2">
      <c r="A293" s="9"/>
      <c r="B293" s="3"/>
      <c r="C293" s="7"/>
      <c r="D293" s="3"/>
      <c r="E293" s="3"/>
      <c r="F293" s="3"/>
      <c r="G293" s="3"/>
      <c r="H293" s="3"/>
      <c r="I293" s="3"/>
      <c r="J293" s="9"/>
    </row>
    <row r="294" spans="1:10" x14ac:dyDescent="0.2">
      <c r="A294" s="9"/>
      <c r="B294" s="1"/>
      <c r="C294" s="1"/>
      <c r="D294" s="3"/>
      <c r="E294" s="3"/>
      <c r="F294" s="3"/>
      <c r="G294" s="3"/>
      <c r="H294" s="3"/>
      <c r="I294" s="3"/>
      <c r="J294" s="9"/>
    </row>
    <row r="295" spans="1:10" x14ac:dyDescent="0.2">
      <c r="A295" s="9"/>
      <c r="B295" s="3"/>
      <c r="C295" s="7"/>
      <c r="D295" s="3"/>
      <c r="E295" s="3"/>
      <c r="F295" s="3"/>
      <c r="G295" s="3"/>
      <c r="H295" s="3"/>
      <c r="I295" s="3"/>
      <c r="J295" s="9"/>
    </row>
    <row r="296" spans="1:10" x14ac:dyDescent="0.2">
      <c r="A296" s="9"/>
      <c r="B296" s="1"/>
      <c r="C296" s="1"/>
      <c r="D296" s="3"/>
      <c r="E296" s="3"/>
      <c r="F296" s="3"/>
      <c r="G296" s="3"/>
      <c r="H296" s="3"/>
      <c r="I296" s="3"/>
      <c r="J296" s="9"/>
    </row>
    <row r="297" spans="1:10" x14ac:dyDescent="0.2">
      <c r="A297" s="9"/>
      <c r="B297" s="3"/>
      <c r="C297" s="7"/>
      <c r="D297" s="3"/>
      <c r="E297" s="3"/>
      <c r="F297" s="3"/>
      <c r="G297" s="3"/>
      <c r="H297" s="3"/>
      <c r="I297" s="3"/>
      <c r="J297" s="9"/>
    </row>
    <row r="298" spans="1:10" x14ac:dyDescent="0.2">
      <c r="A298" s="9"/>
      <c r="B298" s="113"/>
      <c r="C298" s="114"/>
      <c r="D298" s="114"/>
      <c r="E298" s="1"/>
      <c r="F298" s="1"/>
      <c r="G298" s="1"/>
      <c r="H298" s="1"/>
      <c r="I298" s="1"/>
      <c r="J298" s="9"/>
    </row>
    <row r="299" spans="1:10" ht="15" customHeight="1" x14ac:dyDescent="0.2">
      <c r="A299" s="9"/>
      <c r="B299" s="9"/>
      <c r="C299" s="9"/>
      <c r="D299" s="9"/>
      <c r="E299" s="9"/>
      <c r="F299" s="9"/>
      <c r="G299" s="9"/>
      <c r="H299" s="9"/>
      <c r="I299" s="9"/>
      <c r="J299" s="9"/>
    </row>
  </sheetData>
  <mergeCells count="20">
    <mergeCell ref="B79:C79"/>
    <mergeCell ref="B96:C96"/>
    <mergeCell ref="B116:C116"/>
    <mergeCell ref="B127:C127"/>
    <mergeCell ref="B149:C149"/>
    <mergeCell ref="B162:C162"/>
    <mergeCell ref="B174:C174"/>
    <mergeCell ref="B253:D253"/>
    <mergeCell ref="B260:D260"/>
    <mergeCell ref="B267:D267"/>
    <mergeCell ref="B275:D275"/>
    <mergeCell ref="B289:D289"/>
    <mergeCell ref="B298:D298"/>
    <mergeCell ref="B198:D198"/>
    <mergeCell ref="B208:D208"/>
    <mergeCell ref="B213:D213"/>
    <mergeCell ref="B225:D225"/>
    <mergeCell ref="B232:D232"/>
    <mergeCell ref="B239:D239"/>
    <mergeCell ref="B246:D246"/>
  </mergeCells>
  <pageMargins left="0.7" right="0.7" top="0.75" bottom="0.75" header="0" footer="0"/>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1F497D"/>
  </sheetPr>
  <dimension ref="A1:J1000"/>
  <sheetViews>
    <sheetView workbookViewId="0">
      <selection activeCell="D2" sqref="D2"/>
    </sheetView>
  </sheetViews>
  <sheetFormatPr baseColWidth="10" defaultColWidth="14.5" defaultRowHeight="15" customHeight="1" x14ac:dyDescent="0.2"/>
  <cols>
    <col min="1" max="1" width="16.83203125" customWidth="1"/>
    <col min="2" max="2" width="24.5" customWidth="1"/>
    <col min="3" max="3" width="20.83203125" customWidth="1"/>
    <col min="4" max="4" width="18.33203125" customWidth="1"/>
    <col min="5" max="5" width="17.1640625" customWidth="1"/>
    <col min="6" max="8" width="23.33203125" customWidth="1"/>
    <col min="9" max="9" width="8.6640625" customWidth="1"/>
    <col min="11" max="26" width="8.6640625" customWidth="1"/>
  </cols>
  <sheetData>
    <row r="1" spans="1:10" ht="14.25" customHeight="1" x14ac:dyDescent="0.2">
      <c r="A1" s="49" t="s">
        <v>282</v>
      </c>
      <c r="B1" s="50" t="s">
        <v>283</v>
      </c>
      <c r="C1" s="50" t="s">
        <v>284</v>
      </c>
      <c r="D1" s="50" t="s">
        <v>285</v>
      </c>
      <c r="E1" s="50" t="s">
        <v>286</v>
      </c>
      <c r="F1" s="50" t="s">
        <v>287</v>
      </c>
      <c r="G1" s="50" t="s">
        <v>288</v>
      </c>
      <c r="H1" s="50" t="s">
        <v>289</v>
      </c>
    </row>
    <row r="2" spans="1:10" ht="14.25" customHeight="1" x14ac:dyDescent="0.2">
      <c r="A2" s="1" t="s">
        <v>290</v>
      </c>
      <c r="B2" s="51">
        <f>EV!D8</f>
        <v>0</v>
      </c>
      <c r="C2" s="51">
        <v>0</v>
      </c>
      <c r="D2" s="51">
        <f>'BPS LTS 2019'!F4</f>
        <v>17592419</v>
      </c>
      <c r="E2" s="51">
        <v>0</v>
      </c>
      <c r="F2" s="51">
        <v>0</v>
      </c>
      <c r="G2" s="51">
        <v>0</v>
      </c>
      <c r="H2" s="51">
        <v>0</v>
      </c>
      <c r="J2" s="51"/>
    </row>
    <row r="3" spans="1:10" ht="14.25" customHeight="1" x14ac:dyDescent="0.2">
      <c r="A3" s="1" t="s">
        <v>291</v>
      </c>
      <c r="B3" s="51">
        <v>0</v>
      </c>
      <c r="C3" s="51">
        <v>0</v>
      </c>
      <c r="D3" s="3">
        <v>0</v>
      </c>
      <c r="E3" s="51">
        <f>'BPS LTS 2019'!F5</f>
        <v>331569</v>
      </c>
      <c r="F3" s="51">
        <v>0</v>
      </c>
      <c r="G3" s="51">
        <v>0</v>
      </c>
      <c r="H3" s="51">
        <v>0</v>
      </c>
      <c r="I3" s="51"/>
      <c r="J3" s="52"/>
    </row>
    <row r="4" spans="1:10" ht="14.25" customHeight="1" x14ac:dyDescent="0.2">
      <c r="A4" s="1" t="s">
        <v>292</v>
      </c>
      <c r="B4" s="51">
        <v>0</v>
      </c>
      <c r="C4" s="51">
        <v>0</v>
      </c>
      <c r="D4" s="51">
        <f>'BUKU IT 2019 &amp; Statistik Transp'!I174</f>
        <v>1197</v>
      </c>
      <c r="E4" s="53">
        <v>0</v>
      </c>
      <c r="F4" s="51">
        <v>0</v>
      </c>
      <c r="G4" s="51">
        <v>0</v>
      </c>
      <c r="H4" s="51">
        <v>0</v>
      </c>
    </row>
    <row r="5" spans="1:10" ht="14.25" customHeight="1" x14ac:dyDescent="0.2">
      <c r="A5" s="1" t="s">
        <v>293</v>
      </c>
      <c r="B5" s="51">
        <f>'KCI Annual Report 2018'!B4</f>
        <v>97</v>
      </c>
      <c r="C5" s="51">
        <v>0</v>
      </c>
      <c r="D5" s="51">
        <v>0</v>
      </c>
      <c r="E5" s="51">
        <f>'BUKU IT 2019 &amp; Statistik Transp'!J198+'BUKU IT 2019 &amp; Statistik Transp'!J253+'BUKU IT 2019 &amp; Statistik Transp'!J267+'BUKU IT 2019 &amp; Statistik Transp'!J275</f>
        <v>667</v>
      </c>
      <c r="F5" s="51">
        <v>0</v>
      </c>
      <c r="G5" s="51">
        <v>0</v>
      </c>
      <c r="H5" s="51">
        <v>0</v>
      </c>
    </row>
    <row r="6" spans="1:10" ht="14.25" customHeight="1" x14ac:dyDescent="0.2">
      <c r="A6" s="1" t="s">
        <v>294</v>
      </c>
      <c r="B6" s="51">
        <v>0</v>
      </c>
      <c r="C6" s="51">
        <v>0</v>
      </c>
      <c r="D6" s="51">
        <v>0</v>
      </c>
      <c r="E6" s="51">
        <f>'BUKU IT 2019 &amp; Statistik Transp'!J149+'BUKU IT 2019 &amp; Statistik Transp'!M105+'BUKU IT 2019 &amp; Statistik Transp'!M88</f>
        <v>2222</v>
      </c>
      <c r="F6" s="51">
        <v>0</v>
      </c>
      <c r="G6" s="51">
        <v>0</v>
      </c>
      <c r="H6" s="51">
        <v>0</v>
      </c>
    </row>
    <row r="7" spans="1:10" ht="14.25" customHeight="1" x14ac:dyDescent="0.2">
      <c r="A7" s="1" t="s">
        <v>295</v>
      </c>
      <c r="B7" s="51">
        <f>EV!D6</f>
        <v>0</v>
      </c>
      <c r="C7" s="51">
        <v>0</v>
      </c>
      <c r="D7" s="51">
        <f>'BPS LTS 2019'!F7</f>
        <v>112771136</v>
      </c>
      <c r="E7" s="51">
        <v>0</v>
      </c>
      <c r="F7" s="51">
        <v>0</v>
      </c>
      <c r="G7" s="51">
        <v>0</v>
      </c>
      <c r="H7" s="51">
        <v>0</v>
      </c>
    </row>
    <row r="8" spans="1:10" ht="14.25" customHeight="1" x14ac:dyDescent="0.2">
      <c r="B8" s="3"/>
      <c r="C8" s="3"/>
    </row>
    <row r="9" spans="1:10" ht="14.25" customHeight="1" x14ac:dyDescent="0.2">
      <c r="B9" s="51"/>
      <c r="C9" s="51"/>
      <c r="D9" s="51"/>
      <c r="E9" s="51"/>
      <c r="F9" s="51"/>
      <c r="G9" s="51"/>
      <c r="H9" s="51"/>
    </row>
    <row r="10" spans="1:10" ht="14.25" customHeight="1" x14ac:dyDescent="0.2"/>
    <row r="11" spans="1:10" ht="14.25" customHeight="1" x14ac:dyDescent="0.2"/>
    <row r="12" spans="1:10" ht="14.25" customHeight="1" x14ac:dyDescent="0.2"/>
    <row r="13" spans="1:10" ht="14.25" customHeight="1" x14ac:dyDescent="0.2"/>
    <row r="14" spans="1:10" ht="14.25" customHeight="1" x14ac:dyDescent="0.2"/>
    <row r="15" spans="1:10" ht="14.25" customHeight="1" x14ac:dyDescent="0.2"/>
    <row r="16" spans="1:10" ht="14.25" customHeight="1" x14ac:dyDescent="0.2"/>
    <row r="17" ht="14.25" customHeight="1" x14ac:dyDescent="0.2"/>
    <row r="18" ht="14.25" customHeight="1" x14ac:dyDescent="0.2"/>
    <row r="19" ht="14.25" customHeight="1" x14ac:dyDescent="0.2"/>
    <row r="20" ht="14.25" customHeight="1" x14ac:dyDescent="0.2"/>
    <row r="21" ht="14.25" customHeight="1" x14ac:dyDescent="0.2"/>
    <row r="22" ht="14.25" customHeight="1" x14ac:dyDescent="0.2"/>
    <row r="23" ht="14.25" customHeight="1" x14ac:dyDescent="0.2"/>
    <row r="24" ht="14.25" customHeight="1" x14ac:dyDescent="0.2"/>
    <row r="25" ht="14.25" customHeight="1" x14ac:dyDescent="0.2"/>
    <row r="26" ht="14.25" customHeight="1" x14ac:dyDescent="0.2"/>
    <row r="27" ht="14.25" customHeight="1" x14ac:dyDescent="0.2"/>
    <row r="28" ht="14.25" customHeight="1" x14ac:dyDescent="0.2"/>
    <row r="29" ht="14.25" customHeight="1" x14ac:dyDescent="0.2"/>
    <row r="30" ht="14.25" customHeight="1" x14ac:dyDescent="0.2"/>
    <row r="31" ht="14.25" customHeight="1" x14ac:dyDescent="0.2"/>
    <row r="32"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497D"/>
  </sheetPr>
  <dimension ref="A1:J1000"/>
  <sheetViews>
    <sheetView tabSelected="1" workbookViewId="0">
      <selection activeCell="E3" sqref="E3"/>
    </sheetView>
  </sheetViews>
  <sheetFormatPr baseColWidth="10" defaultColWidth="14.5" defaultRowHeight="15" customHeight="1" x14ac:dyDescent="0.2"/>
  <cols>
    <col min="1" max="1" width="16.83203125" customWidth="1"/>
    <col min="2" max="2" width="24.5" customWidth="1"/>
    <col min="3" max="3" width="20.83203125" customWidth="1"/>
    <col min="4" max="4" width="18.33203125" customWidth="1"/>
    <col min="5" max="5" width="17.1640625" customWidth="1"/>
    <col min="6" max="8" width="23.33203125" customWidth="1"/>
    <col min="9" max="9" width="13.5" customWidth="1"/>
    <col min="10" max="10" width="12.5" customWidth="1"/>
    <col min="11" max="26" width="8.6640625" customWidth="1"/>
  </cols>
  <sheetData>
    <row r="1" spans="1:10" ht="14.25" customHeight="1" x14ac:dyDescent="0.2">
      <c r="A1" s="49" t="s">
        <v>282</v>
      </c>
      <c r="B1" s="50" t="s">
        <v>283</v>
      </c>
      <c r="C1" s="50" t="s">
        <v>284</v>
      </c>
      <c r="D1" s="50" t="s">
        <v>285</v>
      </c>
      <c r="E1" s="50" t="s">
        <v>286</v>
      </c>
      <c r="F1" s="50" t="s">
        <v>287</v>
      </c>
      <c r="G1" s="50" t="s">
        <v>288</v>
      </c>
      <c r="H1" s="50" t="s">
        <v>289</v>
      </c>
    </row>
    <row r="2" spans="1:10" ht="14.25" customHeight="1" x14ac:dyDescent="0.2">
      <c r="A2" s="1" t="s">
        <v>290</v>
      </c>
      <c r="B2" s="51">
        <v>0</v>
      </c>
      <c r="C2" s="51">
        <v>0</v>
      </c>
      <c r="D2" s="51">
        <v>0</v>
      </c>
      <c r="E2" s="51">
        <v>0</v>
      </c>
      <c r="F2" s="51">
        <v>0</v>
      </c>
      <c r="G2" s="51">
        <v>0</v>
      </c>
      <c r="H2" s="3">
        <v>0</v>
      </c>
      <c r="I2" s="52"/>
      <c r="J2" s="51"/>
    </row>
    <row r="3" spans="1:10" ht="14.25" customHeight="1" x14ac:dyDescent="0.2">
      <c r="A3" s="1" t="s">
        <v>291</v>
      </c>
      <c r="B3" s="3">
        <v>0</v>
      </c>
      <c r="C3" s="3">
        <v>0</v>
      </c>
      <c r="D3" s="3">
        <v>0</v>
      </c>
      <c r="E3" s="51">
        <f>'BPS LTS 2019'!F6</f>
        <v>5021888</v>
      </c>
      <c r="F3" s="3">
        <v>0</v>
      </c>
      <c r="G3" s="3">
        <v>0</v>
      </c>
      <c r="H3" s="3">
        <v>0</v>
      </c>
      <c r="J3" s="51"/>
    </row>
    <row r="4" spans="1:10" ht="14.25" customHeight="1" x14ac:dyDescent="0.2">
      <c r="A4" s="1" t="s">
        <v>292</v>
      </c>
      <c r="B4" s="3">
        <v>0</v>
      </c>
      <c r="C4" s="3">
        <v>0</v>
      </c>
      <c r="D4" s="3">
        <v>0</v>
      </c>
      <c r="E4" s="51">
        <v>0</v>
      </c>
      <c r="F4" s="3">
        <v>0</v>
      </c>
      <c r="G4" s="3">
        <v>0</v>
      </c>
      <c r="H4" s="3">
        <v>0</v>
      </c>
    </row>
    <row r="5" spans="1:10" ht="14.25" customHeight="1" x14ac:dyDescent="0.2">
      <c r="A5" s="1" t="s">
        <v>293</v>
      </c>
      <c r="B5" s="3">
        <v>0</v>
      </c>
      <c r="C5" s="3">
        <v>0</v>
      </c>
      <c r="D5" s="3">
        <v>0</v>
      </c>
      <c r="E5" s="51">
        <v>0</v>
      </c>
      <c r="F5" s="3">
        <v>0</v>
      </c>
      <c r="G5" s="3">
        <v>0</v>
      </c>
      <c r="H5" s="3">
        <v>0</v>
      </c>
    </row>
    <row r="6" spans="1:10" ht="14.25" customHeight="1" x14ac:dyDescent="0.2">
      <c r="A6" s="1" t="s">
        <v>294</v>
      </c>
      <c r="B6" s="3">
        <v>0</v>
      </c>
      <c r="C6" s="3">
        <v>0</v>
      </c>
      <c r="D6" s="3">
        <v>0</v>
      </c>
      <c r="E6" s="51">
        <f>'BUKU IT 2019 &amp; Statistik Transp'!J62+'BUKU IT 2019 &amp; Statistik Transp'!J88+'BUKU IT 2019 &amp; Statistik Transp'!J108+'BUKU IT 2019 &amp; Statistik Transp'!J111+'BUKU IT 2019 &amp; Statistik Transp'!J114</f>
        <v>27818</v>
      </c>
      <c r="F6" s="3">
        <v>0</v>
      </c>
      <c r="G6" s="3">
        <v>0</v>
      </c>
      <c r="H6" s="3">
        <v>0</v>
      </c>
    </row>
    <row r="7" spans="1:10" ht="14.25" customHeight="1" x14ac:dyDescent="0.2">
      <c r="A7" s="1" t="s">
        <v>295</v>
      </c>
      <c r="B7" s="3">
        <v>0</v>
      </c>
      <c r="C7" s="3">
        <v>0</v>
      </c>
      <c r="D7" s="3">
        <v>0</v>
      </c>
      <c r="E7" s="51">
        <v>0</v>
      </c>
      <c r="F7" s="3">
        <v>0</v>
      </c>
      <c r="G7" s="3">
        <v>0</v>
      </c>
      <c r="H7" s="3">
        <v>0</v>
      </c>
    </row>
    <row r="8" spans="1:10" ht="14.25" customHeight="1" x14ac:dyDescent="0.2">
      <c r="B8" s="3"/>
      <c r="C8" s="3"/>
      <c r="D8" s="3"/>
      <c r="E8" s="51"/>
      <c r="F8" s="3"/>
      <c r="G8" s="3"/>
      <c r="H8" s="3"/>
    </row>
    <row r="9" spans="1:10" ht="14.25" customHeight="1" x14ac:dyDescent="0.2"/>
    <row r="10" spans="1:10" ht="14.25" customHeight="1" x14ac:dyDescent="0.2"/>
    <row r="11" spans="1:10" ht="14.25" customHeight="1" x14ac:dyDescent="0.2"/>
    <row r="12" spans="1:10" ht="14.25" customHeight="1" x14ac:dyDescent="0.2"/>
    <row r="13" spans="1:10" ht="14.25" customHeight="1" x14ac:dyDescent="0.2"/>
    <row r="14" spans="1:10" ht="14.25" customHeight="1" x14ac:dyDescent="0.2"/>
    <row r="15" spans="1:10" ht="14.25" customHeight="1" x14ac:dyDescent="0.2"/>
    <row r="16" spans="1:10" ht="14.25" customHeight="1" x14ac:dyDescent="0.2"/>
    <row r="17" ht="14.25" customHeight="1" x14ac:dyDescent="0.2"/>
    <row r="18" ht="14.25" customHeight="1" x14ac:dyDescent="0.2"/>
    <row r="19" ht="14.25" customHeight="1" x14ac:dyDescent="0.2"/>
    <row r="20" ht="14.25" customHeight="1" x14ac:dyDescent="0.2"/>
    <row r="21" ht="14.25" customHeight="1" x14ac:dyDescent="0.2"/>
    <row r="22" ht="14.25" customHeight="1" x14ac:dyDescent="0.2"/>
    <row r="23" ht="14.25" customHeight="1" x14ac:dyDescent="0.2"/>
    <row r="24" ht="14.25" customHeight="1" x14ac:dyDescent="0.2"/>
    <row r="25" ht="14.25" customHeight="1" x14ac:dyDescent="0.2"/>
    <row r="26" ht="14.25" customHeight="1" x14ac:dyDescent="0.2"/>
    <row r="27" ht="14.25" customHeight="1" x14ac:dyDescent="0.2"/>
    <row r="28" ht="14.25" customHeight="1" x14ac:dyDescent="0.2"/>
    <row r="29" ht="14.25" customHeight="1" x14ac:dyDescent="0.2"/>
    <row r="30" ht="14.25" customHeight="1" x14ac:dyDescent="0.2"/>
    <row r="31" ht="14.25" customHeight="1" x14ac:dyDescent="0.2"/>
    <row r="32"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K1000"/>
  <sheetViews>
    <sheetView workbookViewId="0">
      <pane xSplit="2" ySplit="1" topLeftCell="C2" activePane="bottomRight" state="frozen"/>
      <selection pane="topRight" activeCell="C1" sqref="C1"/>
      <selection pane="bottomLeft" activeCell="A2" sqref="A2"/>
      <selection pane="bottomRight" activeCell="C2" sqref="C2"/>
    </sheetView>
  </sheetViews>
  <sheetFormatPr baseColWidth="10" defaultColWidth="14.5" defaultRowHeight="15" customHeight="1" x14ac:dyDescent="0.2"/>
  <cols>
    <col min="1" max="1" width="20.83203125" hidden="1" customWidth="1"/>
    <col min="2" max="2" width="45.6640625" customWidth="1"/>
    <col min="3" max="37" width="8.6640625" customWidth="1"/>
  </cols>
  <sheetData>
    <row r="1" spans="1:37" ht="15" customHeight="1" x14ac:dyDescent="0.2">
      <c r="B1" s="54" t="s">
        <v>296</v>
      </c>
      <c r="C1" s="55">
        <v>2017</v>
      </c>
      <c r="D1" s="55">
        <v>2018</v>
      </c>
      <c r="E1" s="55">
        <v>2019</v>
      </c>
      <c r="F1" s="55">
        <v>2020</v>
      </c>
      <c r="G1" s="55">
        <v>2021</v>
      </c>
      <c r="H1" s="55">
        <v>2022</v>
      </c>
      <c r="I1" s="55">
        <v>2023</v>
      </c>
      <c r="J1" s="55">
        <v>2024</v>
      </c>
      <c r="K1" s="55">
        <v>2025</v>
      </c>
      <c r="L1" s="55">
        <v>2026</v>
      </c>
      <c r="M1" s="55">
        <v>2027</v>
      </c>
      <c r="N1" s="55">
        <v>2028</v>
      </c>
      <c r="O1" s="55">
        <v>2029</v>
      </c>
      <c r="P1" s="55">
        <v>2030</v>
      </c>
      <c r="Q1" s="55">
        <v>2031</v>
      </c>
      <c r="R1" s="55">
        <v>2032</v>
      </c>
      <c r="S1" s="55">
        <v>2033</v>
      </c>
      <c r="T1" s="55">
        <v>2034</v>
      </c>
      <c r="U1" s="55">
        <v>2035</v>
      </c>
      <c r="V1" s="55">
        <v>2036</v>
      </c>
      <c r="W1" s="55">
        <v>2037</v>
      </c>
      <c r="X1" s="55">
        <v>2038</v>
      </c>
      <c r="Y1" s="55">
        <v>2039</v>
      </c>
      <c r="Z1" s="55">
        <v>2040</v>
      </c>
      <c r="AA1" s="55">
        <v>2041</v>
      </c>
      <c r="AB1" s="55">
        <v>2042</v>
      </c>
      <c r="AC1" s="55">
        <v>2043</v>
      </c>
      <c r="AD1" s="55">
        <v>2044</v>
      </c>
      <c r="AE1" s="55">
        <v>2045</v>
      </c>
      <c r="AF1" s="55">
        <v>2046</v>
      </c>
      <c r="AG1" s="55">
        <v>2047</v>
      </c>
      <c r="AH1" s="55">
        <v>2048</v>
      </c>
      <c r="AI1" s="55">
        <v>2049</v>
      </c>
      <c r="AJ1" s="55">
        <v>2050</v>
      </c>
    </row>
    <row r="3" spans="1:37" ht="15" customHeight="1" x14ac:dyDescent="0.2">
      <c r="C3" s="56" t="s">
        <v>297</v>
      </c>
      <c r="D3" s="56" t="s">
        <v>298</v>
      </c>
      <c r="E3" s="56"/>
      <c r="F3" s="56"/>
      <c r="G3" s="56"/>
    </row>
    <row r="4" spans="1:37" ht="15" customHeight="1" x14ac:dyDescent="0.2">
      <c r="C4" s="56" t="s">
        <v>299</v>
      </c>
      <c r="D4" s="56" t="s">
        <v>300</v>
      </c>
      <c r="E4" s="56"/>
      <c r="F4" s="56"/>
      <c r="G4" s="56" t="s">
        <v>301</v>
      </c>
    </row>
    <row r="5" spans="1:37" ht="15" customHeight="1" x14ac:dyDescent="0.2">
      <c r="C5" s="56" t="s">
        <v>302</v>
      </c>
      <c r="D5" s="56" t="s">
        <v>303</v>
      </c>
      <c r="E5" s="56"/>
      <c r="F5" s="56"/>
      <c r="G5" s="56"/>
    </row>
    <row r="6" spans="1:37" ht="15" customHeight="1" x14ac:dyDescent="0.2">
      <c r="C6" s="56" t="s">
        <v>304</v>
      </c>
      <c r="D6" s="56"/>
      <c r="E6" s="56" t="s">
        <v>305</v>
      </c>
      <c r="F6" s="56"/>
      <c r="G6" s="56"/>
    </row>
    <row r="10" spans="1:37" ht="15" customHeight="1" x14ac:dyDescent="0.2">
      <c r="A10" s="57" t="s">
        <v>306</v>
      </c>
      <c r="B10" s="58" t="s">
        <v>307</v>
      </c>
    </row>
    <row r="11" spans="1:37" ht="15" customHeight="1" x14ac:dyDescent="0.2">
      <c r="B11" s="54" t="s">
        <v>308</v>
      </c>
    </row>
    <row r="12" spans="1:37" ht="15" customHeight="1" x14ac:dyDescent="0.2">
      <c r="B12" s="54" t="s">
        <v>308</v>
      </c>
      <c r="C12" s="4" t="s">
        <v>308</v>
      </c>
      <c r="D12" s="4" t="s">
        <v>308</v>
      </c>
      <c r="E12" s="4" t="s">
        <v>308</v>
      </c>
      <c r="F12" s="4" t="s">
        <v>308</v>
      </c>
      <c r="G12" s="4" t="s">
        <v>308</v>
      </c>
      <c r="H12" s="4" t="s">
        <v>308</v>
      </c>
      <c r="I12" s="4" t="s">
        <v>308</v>
      </c>
      <c r="J12" s="4" t="s">
        <v>308</v>
      </c>
      <c r="K12" s="4" t="s">
        <v>308</v>
      </c>
      <c r="L12" s="4" t="s">
        <v>308</v>
      </c>
      <c r="M12" s="4" t="s">
        <v>308</v>
      </c>
      <c r="N12" s="4" t="s">
        <v>308</v>
      </c>
      <c r="O12" s="4" t="s">
        <v>308</v>
      </c>
      <c r="P12" s="4" t="s">
        <v>308</v>
      </c>
      <c r="Q12" s="4" t="s">
        <v>308</v>
      </c>
      <c r="R12" s="4" t="s">
        <v>308</v>
      </c>
      <c r="S12" s="4" t="s">
        <v>308</v>
      </c>
      <c r="T12" s="4" t="s">
        <v>308</v>
      </c>
      <c r="U12" s="4" t="s">
        <v>308</v>
      </c>
      <c r="V12" s="4" t="s">
        <v>308</v>
      </c>
      <c r="W12" s="4" t="s">
        <v>308</v>
      </c>
      <c r="X12" s="4" t="s">
        <v>308</v>
      </c>
      <c r="Y12" s="4" t="s">
        <v>308</v>
      </c>
      <c r="Z12" s="4" t="s">
        <v>308</v>
      </c>
      <c r="AA12" s="4" t="s">
        <v>308</v>
      </c>
      <c r="AB12" s="4" t="s">
        <v>308</v>
      </c>
      <c r="AC12" s="4" t="s">
        <v>308</v>
      </c>
      <c r="AD12" s="4" t="s">
        <v>308</v>
      </c>
      <c r="AE12" s="4" t="s">
        <v>308</v>
      </c>
      <c r="AF12" s="4" t="s">
        <v>308</v>
      </c>
      <c r="AG12" s="4" t="s">
        <v>308</v>
      </c>
      <c r="AH12" s="4" t="s">
        <v>308</v>
      </c>
      <c r="AI12" s="4" t="s">
        <v>308</v>
      </c>
      <c r="AJ12" s="4" t="s">
        <v>308</v>
      </c>
      <c r="AK12" s="4" t="s">
        <v>309</v>
      </c>
    </row>
    <row r="13" spans="1:37" ht="15" customHeight="1" x14ac:dyDescent="0.2">
      <c r="B13" s="55" t="s">
        <v>310</v>
      </c>
      <c r="C13" s="55">
        <v>2017</v>
      </c>
      <c r="D13" s="55">
        <v>2018</v>
      </c>
      <c r="E13" s="55">
        <v>2019</v>
      </c>
      <c r="F13" s="55">
        <v>2020</v>
      </c>
      <c r="G13" s="55">
        <v>2021</v>
      </c>
      <c r="H13" s="55">
        <v>2022</v>
      </c>
      <c r="I13" s="55">
        <v>2023</v>
      </c>
      <c r="J13" s="55">
        <v>2024</v>
      </c>
      <c r="K13" s="55">
        <v>2025</v>
      </c>
      <c r="L13" s="55">
        <v>2026</v>
      </c>
      <c r="M13" s="55">
        <v>2027</v>
      </c>
      <c r="N13" s="55">
        <v>2028</v>
      </c>
      <c r="O13" s="55">
        <v>2029</v>
      </c>
      <c r="P13" s="55">
        <v>2030</v>
      </c>
      <c r="Q13" s="55">
        <v>2031</v>
      </c>
      <c r="R13" s="55">
        <v>2032</v>
      </c>
      <c r="S13" s="55">
        <v>2033</v>
      </c>
      <c r="T13" s="55">
        <v>2034</v>
      </c>
      <c r="U13" s="55">
        <v>2035</v>
      </c>
      <c r="V13" s="55">
        <v>2036</v>
      </c>
      <c r="W13" s="55">
        <v>2037</v>
      </c>
      <c r="X13" s="55">
        <v>2038</v>
      </c>
      <c r="Y13" s="55">
        <v>2039</v>
      </c>
      <c r="Z13" s="55">
        <v>2040</v>
      </c>
      <c r="AA13" s="55">
        <v>2041</v>
      </c>
      <c r="AB13" s="55">
        <v>2042</v>
      </c>
      <c r="AC13" s="55">
        <v>2043</v>
      </c>
      <c r="AD13" s="55">
        <v>2044</v>
      </c>
      <c r="AE13" s="55">
        <v>2045</v>
      </c>
      <c r="AF13" s="55">
        <v>2046</v>
      </c>
      <c r="AG13" s="55">
        <v>2047</v>
      </c>
      <c r="AH13" s="55">
        <v>2048</v>
      </c>
      <c r="AI13" s="55">
        <v>2049</v>
      </c>
      <c r="AJ13" s="55">
        <v>2050</v>
      </c>
      <c r="AK13" s="55">
        <v>2050</v>
      </c>
    </row>
    <row r="15" spans="1:37" ht="15" customHeight="1" x14ac:dyDescent="0.2">
      <c r="B15" s="59" t="s">
        <v>311</v>
      </c>
    </row>
    <row r="16" spans="1:37" ht="15" customHeight="1" x14ac:dyDescent="0.2">
      <c r="B16" s="59" t="s">
        <v>312</v>
      </c>
    </row>
    <row r="17" spans="1:37" ht="15" customHeight="1" x14ac:dyDescent="0.2">
      <c r="B17" s="59" t="s">
        <v>313</v>
      </c>
    </row>
    <row r="18" spans="1:37" ht="15" customHeight="1" x14ac:dyDescent="0.2">
      <c r="A18" s="57" t="s">
        <v>314</v>
      </c>
      <c r="B18" s="60" t="s">
        <v>315</v>
      </c>
      <c r="C18" s="61">
        <v>2835.9963379999999</v>
      </c>
      <c r="D18" s="61">
        <v>2883.007568</v>
      </c>
      <c r="E18" s="61">
        <v>2922.0107419999999</v>
      </c>
      <c r="F18" s="61">
        <v>2951.3701169999999</v>
      </c>
      <c r="G18" s="61">
        <v>2973.1135250000002</v>
      </c>
      <c r="H18" s="61">
        <v>2990.5668949999999</v>
      </c>
      <c r="I18" s="61">
        <v>3001.8532709999999</v>
      </c>
      <c r="J18" s="61">
        <v>3009.8222660000001</v>
      </c>
      <c r="K18" s="61">
        <v>3017.5295409999999</v>
      </c>
      <c r="L18" s="61">
        <v>3036.9685060000002</v>
      </c>
      <c r="M18" s="61">
        <v>3057.3227539999998</v>
      </c>
      <c r="N18" s="61">
        <v>3077.2490229999999</v>
      </c>
      <c r="O18" s="61">
        <v>3092.1701659999999</v>
      </c>
      <c r="P18" s="61">
        <v>3107.1677249999998</v>
      </c>
      <c r="Q18" s="61">
        <v>3121.2543949999999</v>
      </c>
      <c r="R18" s="61">
        <v>3134.6589359999998</v>
      </c>
      <c r="S18" s="61">
        <v>3147.7897950000001</v>
      </c>
      <c r="T18" s="61">
        <v>3160.52124</v>
      </c>
      <c r="U18" s="61">
        <v>3171.6843260000001</v>
      </c>
      <c r="V18" s="61">
        <v>3188.4838869999999</v>
      </c>
      <c r="W18" s="61">
        <v>3207.2163089999999</v>
      </c>
      <c r="X18" s="61">
        <v>3227.265625</v>
      </c>
      <c r="Y18" s="61">
        <v>3247.8088379999999</v>
      </c>
      <c r="Z18" s="61">
        <v>3268.648193</v>
      </c>
      <c r="AA18" s="61">
        <v>3289.6279300000001</v>
      </c>
      <c r="AB18" s="61">
        <v>3310.8071289999998</v>
      </c>
      <c r="AC18" s="61">
        <v>3332.4702149999998</v>
      </c>
      <c r="AD18" s="61">
        <v>3354.2253420000002</v>
      </c>
      <c r="AE18" s="61">
        <v>3375.4978030000002</v>
      </c>
      <c r="AF18" s="61">
        <v>3397.093018</v>
      </c>
      <c r="AG18" s="61">
        <v>3417.80249</v>
      </c>
      <c r="AH18" s="61">
        <v>3436.772461</v>
      </c>
      <c r="AI18" s="61">
        <v>3455.405029</v>
      </c>
      <c r="AJ18" s="61">
        <v>3472.6508789999998</v>
      </c>
      <c r="AK18" s="62">
        <v>5.8320000000000004E-3</v>
      </c>
    </row>
    <row r="19" spans="1:37" ht="15" customHeight="1" x14ac:dyDescent="0.2">
      <c r="A19" s="57" t="s">
        <v>316</v>
      </c>
      <c r="B19" s="60" t="s">
        <v>317</v>
      </c>
      <c r="C19" s="61">
        <v>97.025138999999996</v>
      </c>
      <c r="D19" s="61">
        <v>99.479979999999998</v>
      </c>
      <c r="E19" s="61">
        <v>101.749466</v>
      </c>
      <c r="F19" s="61">
        <v>103.405197</v>
      </c>
      <c r="G19" s="61">
        <v>104.64125799999999</v>
      </c>
      <c r="H19" s="61">
        <v>105.862144</v>
      </c>
      <c r="I19" s="61">
        <v>107.08696</v>
      </c>
      <c r="J19" s="61">
        <v>108.282524</v>
      </c>
      <c r="K19" s="61">
        <v>109.68753100000001</v>
      </c>
      <c r="L19" s="61">
        <v>111.261169</v>
      </c>
      <c r="M19" s="61">
        <v>112.82363100000001</v>
      </c>
      <c r="N19" s="61">
        <v>114.57212800000001</v>
      </c>
      <c r="O19" s="61">
        <v>116.06745100000001</v>
      </c>
      <c r="P19" s="61">
        <v>117.528442</v>
      </c>
      <c r="Q19" s="61">
        <v>119.13098100000001</v>
      </c>
      <c r="R19" s="61">
        <v>120.715622</v>
      </c>
      <c r="S19" s="61">
        <v>122.317482</v>
      </c>
      <c r="T19" s="61">
        <v>123.99625399999999</v>
      </c>
      <c r="U19" s="61">
        <v>125.764931</v>
      </c>
      <c r="V19" s="61">
        <v>127.58139799999999</v>
      </c>
      <c r="W19" s="61">
        <v>129.47593699999999</v>
      </c>
      <c r="X19" s="61">
        <v>131.410416</v>
      </c>
      <c r="Y19" s="61">
        <v>133.237122</v>
      </c>
      <c r="Z19" s="61">
        <v>135.04830899999999</v>
      </c>
      <c r="AA19" s="61">
        <v>136.89466899999999</v>
      </c>
      <c r="AB19" s="61">
        <v>138.72410600000001</v>
      </c>
      <c r="AC19" s="61">
        <v>140.66197199999999</v>
      </c>
      <c r="AD19" s="61">
        <v>142.69688400000001</v>
      </c>
      <c r="AE19" s="61">
        <v>144.866806</v>
      </c>
      <c r="AF19" s="61">
        <v>147.03715500000001</v>
      </c>
      <c r="AG19" s="61">
        <v>149.268631</v>
      </c>
      <c r="AH19" s="61">
        <v>151.51473999999999</v>
      </c>
      <c r="AI19" s="61">
        <v>153.70024100000001</v>
      </c>
      <c r="AJ19" s="61">
        <v>155.92755099999999</v>
      </c>
      <c r="AK19" s="62">
        <v>1.4144E-2</v>
      </c>
    </row>
    <row r="20" spans="1:37" ht="15" customHeight="1" x14ac:dyDescent="0.2">
      <c r="A20" s="57" t="s">
        <v>318</v>
      </c>
      <c r="B20" s="60" t="s">
        <v>319</v>
      </c>
      <c r="C20" s="61">
        <v>289.55078099999997</v>
      </c>
      <c r="D20" s="61">
        <v>297.04278599999998</v>
      </c>
      <c r="E20" s="61">
        <v>305.55014</v>
      </c>
      <c r="F20" s="61">
        <v>309.82757600000002</v>
      </c>
      <c r="G20" s="61">
        <v>312.85162400000002</v>
      </c>
      <c r="H20" s="61">
        <v>316.75717200000003</v>
      </c>
      <c r="I20" s="61">
        <v>320.85107399999998</v>
      </c>
      <c r="J20" s="61">
        <v>324.86123700000002</v>
      </c>
      <c r="K20" s="61">
        <v>329.145081</v>
      </c>
      <c r="L20" s="61">
        <v>333.675476</v>
      </c>
      <c r="M20" s="61">
        <v>337.54113799999999</v>
      </c>
      <c r="N20" s="61">
        <v>341.87463400000001</v>
      </c>
      <c r="O20" s="61">
        <v>345.66848800000002</v>
      </c>
      <c r="P20" s="61">
        <v>349.52676400000001</v>
      </c>
      <c r="Q20" s="61">
        <v>353.97122200000001</v>
      </c>
      <c r="R20" s="61">
        <v>358.05898999999999</v>
      </c>
      <c r="S20" s="61">
        <v>362.210846</v>
      </c>
      <c r="T20" s="61">
        <v>366.77151500000002</v>
      </c>
      <c r="U20" s="61">
        <v>371.79031400000002</v>
      </c>
      <c r="V20" s="61">
        <v>376.70877100000001</v>
      </c>
      <c r="W20" s="61">
        <v>381.89111300000002</v>
      </c>
      <c r="X20" s="61">
        <v>387.090912</v>
      </c>
      <c r="Y20" s="61">
        <v>391.77780200000001</v>
      </c>
      <c r="Z20" s="61">
        <v>396.250854</v>
      </c>
      <c r="AA20" s="61">
        <v>400.733521</v>
      </c>
      <c r="AB20" s="61">
        <v>405.11422700000003</v>
      </c>
      <c r="AC20" s="61">
        <v>409.46502700000002</v>
      </c>
      <c r="AD20" s="61">
        <v>414.237549</v>
      </c>
      <c r="AE20" s="61">
        <v>419.317657</v>
      </c>
      <c r="AF20" s="61">
        <v>424.31127900000001</v>
      </c>
      <c r="AG20" s="61">
        <v>429.53677399999998</v>
      </c>
      <c r="AH20" s="61">
        <v>434.97500600000001</v>
      </c>
      <c r="AI20" s="61">
        <v>440.037781</v>
      </c>
      <c r="AJ20" s="61">
        <v>445.35058600000002</v>
      </c>
      <c r="AK20" s="62">
        <v>1.2736000000000001E-2</v>
      </c>
    </row>
    <row r="21" spans="1:37" ht="15" customHeight="1" x14ac:dyDescent="0.2">
      <c r="A21" s="57" t="s">
        <v>320</v>
      </c>
      <c r="B21" s="59" t="s">
        <v>321</v>
      </c>
    </row>
    <row r="22" spans="1:37" ht="15" customHeight="1" x14ac:dyDescent="0.2">
      <c r="A22" s="57" t="s">
        <v>322</v>
      </c>
      <c r="B22" s="60" t="s">
        <v>323</v>
      </c>
      <c r="C22" s="61">
        <v>205.31410199999999</v>
      </c>
      <c r="D22" s="61">
        <v>206.334473</v>
      </c>
      <c r="E22" s="61">
        <v>207.28132600000001</v>
      </c>
      <c r="F22" s="61">
        <v>208.21897899999999</v>
      </c>
      <c r="G22" s="61">
        <v>209.159988</v>
      </c>
      <c r="H22" s="61">
        <v>210.08100899999999</v>
      </c>
      <c r="I22" s="61">
        <v>210.95931999999999</v>
      </c>
      <c r="J22" s="61">
        <v>211.859756</v>
      </c>
      <c r="K22" s="61">
        <v>212.84191899999999</v>
      </c>
      <c r="L22" s="61">
        <v>213.80715900000001</v>
      </c>
      <c r="M22" s="61">
        <v>214.75810200000001</v>
      </c>
      <c r="N22" s="61">
        <v>215.72216800000001</v>
      </c>
      <c r="O22" s="61">
        <v>216.66270399999999</v>
      </c>
      <c r="P22" s="61">
        <v>217.55474899999999</v>
      </c>
      <c r="Q22" s="61">
        <v>218.419296</v>
      </c>
      <c r="R22" s="61">
        <v>219.26324500000001</v>
      </c>
      <c r="S22" s="61">
        <v>220.026276</v>
      </c>
      <c r="T22" s="61">
        <v>220.74792500000001</v>
      </c>
      <c r="U22" s="61">
        <v>221.43125900000001</v>
      </c>
      <c r="V22" s="61">
        <v>222.080231</v>
      </c>
      <c r="W22" s="61">
        <v>222.698837</v>
      </c>
      <c r="X22" s="61">
        <v>223.289658</v>
      </c>
      <c r="Y22" s="61">
        <v>223.855469</v>
      </c>
      <c r="Z22" s="61">
        <v>224.39857499999999</v>
      </c>
      <c r="AA22" s="61">
        <v>224.92021199999999</v>
      </c>
      <c r="AB22" s="61">
        <v>225.42384300000001</v>
      </c>
      <c r="AC22" s="61">
        <v>225.91265899999999</v>
      </c>
      <c r="AD22" s="61">
        <v>226.39051799999999</v>
      </c>
      <c r="AE22" s="61">
        <v>226.86329699999999</v>
      </c>
      <c r="AF22" s="61">
        <v>227.33708200000001</v>
      </c>
      <c r="AG22" s="61">
        <v>227.81938199999999</v>
      </c>
      <c r="AH22" s="61">
        <v>228.316574</v>
      </c>
      <c r="AI22" s="61">
        <v>228.833786</v>
      </c>
      <c r="AJ22" s="61">
        <v>229.375687</v>
      </c>
      <c r="AK22" s="62">
        <v>3.3140000000000001E-3</v>
      </c>
    </row>
    <row r="23" spans="1:37" ht="15" customHeight="1" x14ac:dyDescent="0.2">
      <c r="B23" s="60" t="s">
        <v>324</v>
      </c>
      <c r="C23" s="61">
        <v>39.645065000000002</v>
      </c>
      <c r="D23" s="61">
        <v>39.896538</v>
      </c>
      <c r="E23" s="61">
        <v>40.432910999999997</v>
      </c>
      <c r="F23" s="61">
        <v>40.870899000000001</v>
      </c>
      <c r="G23" s="61">
        <v>41.314678000000001</v>
      </c>
      <c r="H23" s="61">
        <v>41.734229999999997</v>
      </c>
      <c r="I23" s="61">
        <v>42.149014000000001</v>
      </c>
      <c r="J23" s="61">
        <v>42.569007999999997</v>
      </c>
      <c r="K23" s="61">
        <v>43.00835</v>
      </c>
      <c r="L23" s="61">
        <v>43.455452000000001</v>
      </c>
      <c r="M23" s="61">
        <v>43.862602000000003</v>
      </c>
      <c r="N23" s="61">
        <v>44.347565000000003</v>
      </c>
      <c r="O23" s="61">
        <v>44.702796999999997</v>
      </c>
      <c r="P23" s="61">
        <v>45.127457</v>
      </c>
      <c r="Q23" s="61">
        <v>45.522033999999998</v>
      </c>
      <c r="R23" s="61">
        <v>45.919670000000004</v>
      </c>
      <c r="S23" s="61">
        <v>46.329922000000003</v>
      </c>
      <c r="T23" s="61">
        <v>46.726559000000002</v>
      </c>
      <c r="U23" s="61">
        <v>47.114131999999998</v>
      </c>
      <c r="V23" s="61">
        <v>47.480175000000003</v>
      </c>
      <c r="W23" s="61">
        <v>47.866168999999999</v>
      </c>
      <c r="X23" s="61">
        <v>48.231971999999999</v>
      </c>
      <c r="Y23" s="61">
        <v>48.586067</v>
      </c>
      <c r="Z23" s="61">
        <v>48.930767000000003</v>
      </c>
      <c r="AA23" s="61">
        <v>49.274044000000004</v>
      </c>
      <c r="AB23" s="61">
        <v>49.600203999999998</v>
      </c>
      <c r="AC23" s="61">
        <v>49.935271999999998</v>
      </c>
      <c r="AD23" s="61">
        <v>50.266663000000001</v>
      </c>
      <c r="AE23" s="61">
        <v>50.58802</v>
      </c>
      <c r="AF23" s="61">
        <v>50.906264999999998</v>
      </c>
      <c r="AG23" s="61">
        <v>51.242320999999997</v>
      </c>
      <c r="AH23" s="61">
        <v>51.570971999999998</v>
      </c>
      <c r="AI23" s="61">
        <v>51.911625000000001</v>
      </c>
      <c r="AJ23" s="61">
        <v>52.242621999999997</v>
      </c>
      <c r="AK23" s="62">
        <v>8.4609999999999998E-3</v>
      </c>
    </row>
    <row r="24" spans="1:37" ht="15" customHeight="1" x14ac:dyDescent="0.2">
      <c r="A24" s="57" t="s">
        <v>325</v>
      </c>
      <c r="B24" s="59" t="s">
        <v>326</v>
      </c>
    </row>
    <row r="25" spans="1:37" ht="15" customHeight="1" x14ac:dyDescent="0.2">
      <c r="B25" s="60" t="s">
        <v>327</v>
      </c>
      <c r="C25" s="61">
        <v>1173.553467</v>
      </c>
      <c r="D25" s="61">
        <v>1188.868774</v>
      </c>
      <c r="E25" s="61">
        <v>1213.58313</v>
      </c>
      <c r="F25" s="61">
        <v>1235.7581789999999</v>
      </c>
      <c r="G25" s="61">
        <v>1255.533447</v>
      </c>
      <c r="H25" s="61">
        <v>1273.864746</v>
      </c>
      <c r="I25" s="61">
        <v>1293.1209719999999</v>
      </c>
      <c r="J25" s="61">
        <v>1313.797607</v>
      </c>
      <c r="K25" s="61">
        <v>1336.561279</v>
      </c>
      <c r="L25" s="61">
        <v>1360.685303</v>
      </c>
      <c r="M25" s="61">
        <v>1384.1838379999999</v>
      </c>
      <c r="N25" s="61">
        <v>1413.325073</v>
      </c>
      <c r="O25" s="61">
        <v>1439.089111</v>
      </c>
      <c r="P25" s="61">
        <v>1464.7561040000001</v>
      </c>
      <c r="Q25" s="61">
        <v>1491.255737</v>
      </c>
      <c r="R25" s="61">
        <v>1517.909302</v>
      </c>
      <c r="S25" s="61">
        <v>1544.9697269999999</v>
      </c>
      <c r="T25" s="61">
        <v>1572.876587</v>
      </c>
      <c r="U25" s="61">
        <v>1600.8291019999999</v>
      </c>
      <c r="V25" s="61">
        <v>1628.642212</v>
      </c>
      <c r="W25" s="61">
        <v>1656.959106</v>
      </c>
      <c r="X25" s="61">
        <v>1686.0645750000001</v>
      </c>
      <c r="Y25" s="61">
        <v>1715.3378909999999</v>
      </c>
      <c r="Z25" s="61">
        <v>1745.1475829999999</v>
      </c>
      <c r="AA25" s="61">
        <v>1774.8900149999999</v>
      </c>
      <c r="AB25" s="61">
        <v>1805.456543</v>
      </c>
      <c r="AC25" s="61">
        <v>1836.7897949999999</v>
      </c>
      <c r="AD25" s="61">
        <v>1868.791504</v>
      </c>
      <c r="AE25" s="61">
        <v>1901.8862300000001</v>
      </c>
      <c r="AF25" s="61">
        <v>1935.8135990000001</v>
      </c>
      <c r="AG25" s="61">
        <v>1970.7146</v>
      </c>
      <c r="AH25" s="61">
        <v>2005.9567870000001</v>
      </c>
      <c r="AI25" s="61">
        <v>2040.9736330000001</v>
      </c>
      <c r="AJ25" s="61">
        <v>2075.530029</v>
      </c>
      <c r="AK25" s="62">
        <v>1.7565000000000001E-2</v>
      </c>
    </row>
    <row r="26" spans="1:37" ht="15" customHeight="1" x14ac:dyDescent="0.2">
      <c r="A26" s="57" t="s">
        <v>328</v>
      </c>
      <c r="B26" s="59" t="s">
        <v>329</v>
      </c>
    </row>
    <row r="27" spans="1:37" ht="15" customHeight="1" x14ac:dyDescent="0.2">
      <c r="A27" s="57" t="s">
        <v>330</v>
      </c>
      <c r="B27" s="60" t="s">
        <v>331</v>
      </c>
      <c r="C27" s="61">
        <v>1787.5373540000001</v>
      </c>
      <c r="D27" s="61">
        <v>1788.736328</v>
      </c>
      <c r="E27" s="61">
        <v>1812.1239009999999</v>
      </c>
      <c r="F27" s="61">
        <v>1776.6970209999999</v>
      </c>
      <c r="G27" s="61">
        <v>1769.3908690000001</v>
      </c>
      <c r="H27" s="61">
        <v>1761.3310550000001</v>
      </c>
      <c r="I27" s="61">
        <v>1760.6547849999999</v>
      </c>
      <c r="J27" s="61">
        <v>1779.434814</v>
      </c>
      <c r="K27" s="61">
        <v>1793.866943</v>
      </c>
      <c r="L27" s="61">
        <v>1809.7041019999999</v>
      </c>
      <c r="M27" s="61">
        <v>1816.5014650000001</v>
      </c>
      <c r="N27" s="61">
        <v>1828.677124</v>
      </c>
      <c r="O27" s="61">
        <v>1865.317749</v>
      </c>
      <c r="P27" s="61">
        <v>1893.7076420000001</v>
      </c>
      <c r="Q27" s="61">
        <v>1898.4255370000001</v>
      </c>
      <c r="R27" s="61">
        <v>1901.764038</v>
      </c>
      <c r="S27" s="61">
        <v>1914.6235349999999</v>
      </c>
      <c r="T27" s="61">
        <v>1915.7353519999999</v>
      </c>
      <c r="U27" s="61">
        <v>1929.5085449999999</v>
      </c>
      <c r="V27" s="61">
        <v>1945.8416749999999</v>
      </c>
      <c r="W27" s="61">
        <v>1957.783813</v>
      </c>
      <c r="X27" s="61">
        <v>1973.637939</v>
      </c>
      <c r="Y27" s="61">
        <v>1989.2650149999999</v>
      </c>
      <c r="Z27" s="61">
        <v>2003.4233400000001</v>
      </c>
      <c r="AA27" s="61">
        <v>2016.8127440000001</v>
      </c>
      <c r="AB27" s="61">
        <v>2027.8079829999999</v>
      </c>
      <c r="AC27" s="61">
        <v>2037.517212</v>
      </c>
      <c r="AD27" s="61">
        <v>2052.54126</v>
      </c>
      <c r="AE27" s="61">
        <v>2069.3688959999999</v>
      </c>
      <c r="AF27" s="61">
        <v>2081.4025879999999</v>
      </c>
      <c r="AG27" s="61">
        <v>2096.3093260000001</v>
      </c>
      <c r="AH27" s="61">
        <v>2113.6645509999998</v>
      </c>
      <c r="AI27" s="61">
        <v>2130.516357</v>
      </c>
      <c r="AJ27" s="61">
        <v>2149.3510740000002</v>
      </c>
      <c r="AK27" s="62">
        <v>5.7559999999999998E-3</v>
      </c>
    </row>
    <row r="28" spans="1:37" ht="15" customHeight="1" x14ac:dyDescent="0.2">
      <c r="B28" s="60" t="s">
        <v>332</v>
      </c>
      <c r="C28" s="61">
        <v>447.72595200000001</v>
      </c>
      <c r="D28" s="61">
        <v>444.52056900000002</v>
      </c>
      <c r="E28" s="61">
        <v>435.793274</v>
      </c>
      <c r="F28" s="61">
        <v>426.557434</v>
      </c>
      <c r="G28" s="61">
        <v>415.90875199999999</v>
      </c>
      <c r="H28" s="61">
        <v>407.28921500000001</v>
      </c>
      <c r="I28" s="61">
        <v>397.98156699999998</v>
      </c>
      <c r="J28" s="61">
        <v>387.66037</v>
      </c>
      <c r="K28" s="61">
        <v>377.813965</v>
      </c>
      <c r="L28" s="61">
        <v>368.69982900000002</v>
      </c>
      <c r="M28" s="61">
        <v>359.43420400000002</v>
      </c>
      <c r="N28" s="61">
        <v>349.288025</v>
      </c>
      <c r="O28" s="61">
        <v>339.07843000000003</v>
      </c>
      <c r="P28" s="61">
        <v>328.70654300000001</v>
      </c>
      <c r="Q28" s="61">
        <v>324.044037</v>
      </c>
      <c r="R28" s="61">
        <v>318.92053199999998</v>
      </c>
      <c r="S28" s="61">
        <v>314.17520100000002</v>
      </c>
      <c r="T28" s="61">
        <v>309.60534699999999</v>
      </c>
      <c r="U28" s="61">
        <v>305.29675300000002</v>
      </c>
      <c r="V28" s="61">
        <v>300.715576</v>
      </c>
      <c r="W28" s="61">
        <v>296.95437600000002</v>
      </c>
      <c r="X28" s="61">
        <v>292.93774400000001</v>
      </c>
      <c r="Y28" s="61">
        <v>288.72515900000002</v>
      </c>
      <c r="Z28" s="61">
        <v>284.264679</v>
      </c>
      <c r="AA28" s="61">
        <v>282.858948</v>
      </c>
      <c r="AB28" s="61">
        <v>281.43481400000002</v>
      </c>
      <c r="AC28" s="61">
        <v>279.57015999999999</v>
      </c>
      <c r="AD28" s="61">
        <v>278.13324</v>
      </c>
      <c r="AE28" s="61">
        <v>276.71731599999998</v>
      </c>
      <c r="AF28" s="61">
        <v>275.622589</v>
      </c>
      <c r="AG28" s="61">
        <v>274.33264200000002</v>
      </c>
      <c r="AH28" s="61">
        <v>273.42160000000001</v>
      </c>
      <c r="AI28" s="61">
        <v>271.81381199999998</v>
      </c>
      <c r="AJ28" s="61">
        <v>270.61059599999999</v>
      </c>
      <c r="AK28" s="62">
        <v>-1.5389999999999999E-2</v>
      </c>
    </row>
    <row r="29" spans="1:37" ht="15.75" customHeight="1" x14ac:dyDescent="0.2"/>
    <row r="30" spans="1:37" ht="15" customHeight="1" x14ac:dyDescent="0.2">
      <c r="B30" s="59" t="s">
        <v>333</v>
      </c>
    </row>
    <row r="31" spans="1:37" ht="15" customHeight="1" x14ac:dyDescent="0.2">
      <c r="A31" s="57" t="s">
        <v>334</v>
      </c>
      <c r="B31" s="59" t="s">
        <v>335</v>
      </c>
    </row>
    <row r="32" spans="1:37" ht="15" customHeight="1" x14ac:dyDescent="0.2">
      <c r="A32" s="57" t="s">
        <v>336</v>
      </c>
      <c r="B32" s="60" t="s">
        <v>337</v>
      </c>
      <c r="C32" s="63">
        <v>33.231037000000001</v>
      </c>
      <c r="D32" s="63">
        <v>33.824409000000003</v>
      </c>
      <c r="E32" s="63">
        <v>34.663241999999997</v>
      </c>
      <c r="F32" s="63">
        <v>36.011749000000002</v>
      </c>
      <c r="G32" s="63">
        <v>37.960045000000001</v>
      </c>
      <c r="H32" s="63">
        <v>39.711666000000001</v>
      </c>
      <c r="I32" s="63">
        <v>41.675517999999997</v>
      </c>
      <c r="J32" s="63">
        <v>43.356022000000003</v>
      </c>
      <c r="K32" s="63">
        <v>45.640670999999998</v>
      </c>
      <c r="L32" s="63">
        <v>45.687145000000001</v>
      </c>
      <c r="M32" s="63">
        <v>45.835239000000001</v>
      </c>
      <c r="N32" s="63">
        <v>45.955185</v>
      </c>
      <c r="O32" s="63">
        <v>46.097693999999997</v>
      </c>
      <c r="P32" s="63">
        <v>46.204849000000003</v>
      </c>
      <c r="Q32" s="63">
        <v>46.309845000000003</v>
      </c>
      <c r="R32" s="63">
        <v>46.409691000000002</v>
      </c>
      <c r="S32" s="63">
        <v>46.480145</v>
      </c>
      <c r="T32" s="63">
        <v>46.552379999999999</v>
      </c>
      <c r="U32" s="63">
        <v>46.617995999999998</v>
      </c>
      <c r="V32" s="63">
        <v>46.679771000000002</v>
      </c>
      <c r="W32" s="63">
        <v>46.724212999999999</v>
      </c>
      <c r="X32" s="63">
        <v>46.772334999999998</v>
      </c>
      <c r="Y32" s="63">
        <v>46.816681000000003</v>
      </c>
      <c r="Z32" s="63">
        <v>46.858173000000001</v>
      </c>
      <c r="AA32" s="63">
        <v>46.889628999999999</v>
      </c>
      <c r="AB32" s="63">
        <v>46.931117999999998</v>
      </c>
      <c r="AC32" s="63">
        <v>46.960442</v>
      </c>
      <c r="AD32" s="63">
        <v>46.978397000000001</v>
      </c>
      <c r="AE32" s="63">
        <v>46.999206999999998</v>
      </c>
      <c r="AF32" s="63">
        <v>47.003642999999997</v>
      </c>
      <c r="AG32" s="63">
        <v>47.005431999999999</v>
      </c>
      <c r="AH32" s="63">
        <v>47.012489000000002</v>
      </c>
      <c r="AI32" s="63">
        <v>47.006405000000001</v>
      </c>
      <c r="AJ32" s="63">
        <v>46.994553000000003</v>
      </c>
      <c r="AK32" s="62">
        <v>1.0329E-2</v>
      </c>
    </row>
    <row r="33" spans="1:37" ht="15" customHeight="1" x14ac:dyDescent="0.2">
      <c r="A33" s="57" t="s">
        <v>338</v>
      </c>
      <c r="B33" s="60" t="s">
        <v>339</v>
      </c>
      <c r="C33" s="63">
        <v>38.552596999999999</v>
      </c>
      <c r="D33" s="63">
        <v>39.421031999999997</v>
      </c>
      <c r="E33" s="63">
        <v>40.955711000000001</v>
      </c>
      <c r="F33" s="63">
        <v>42.739193</v>
      </c>
      <c r="G33" s="63">
        <v>44.647316000000004</v>
      </c>
      <c r="H33" s="63">
        <v>46.771419999999999</v>
      </c>
      <c r="I33" s="63">
        <v>49.107543999999997</v>
      </c>
      <c r="J33" s="63">
        <v>50.479019000000001</v>
      </c>
      <c r="K33" s="63">
        <v>53.163414000000003</v>
      </c>
      <c r="L33" s="63">
        <v>53.165295</v>
      </c>
      <c r="M33" s="63">
        <v>53.182200999999999</v>
      </c>
      <c r="N33" s="63">
        <v>53.182200999999999</v>
      </c>
      <c r="O33" s="63">
        <v>53.192870999999997</v>
      </c>
      <c r="P33" s="63">
        <v>53.192870999999997</v>
      </c>
      <c r="Q33" s="63">
        <v>53.192889999999998</v>
      </c>
      <c r="R33" s="63">
        <v>53.192928000000002</v>
      </c>
      <c r="S33" s="63">
        <v>53.19294</v>
      </c>
      <c r="T33" s="63">
        <v>53.193012000000003</v>
      </c>
      <c r="U33" s="63">
        <v>53.193049999999999</v>
      </c>
      <c r="V33" s="63">
        <v>53.193114999999999</v>
      </c>
      <c r="W33" s="63">
        <v>53.193114999999999</v>
      </c>
      <c r="X33" s="63">
        <v>53.193176000000001</v>
      </c>
      <c r="Y33" s="63">
        <v>53.194640999999997</v>
      </c>
      <c r="Z33" s="63">
        <v>53.195030000000003</v>
      </c>
      <c r="AA33" s="63">
        <v>53.195042000000001</v>
      </c>
      <c r="AB33" s="63">
        <v>53.197578</v>
      </c>
      <c r="AC33" s="63">
        <v>53.197578</v>
      </c>
      <c r="AD33" s="63">
        <v>53.197578</v>
      </c>
      <c r="AE33" s="63">
        <v>53.197631999999999</v>
      </c>
      <c r="AF33" s="63">
        <v>53.197947999999997</v>
      </c>
      <c r="AG33" s="63">
        <v>53.198169999999998</v>
      </c>
      <c r="AH33" s="63">
        <v>53.200935000000001</v>
      </c>
      <c r="AI33" s="63">
        <v>53.200935000000001</v>
      </c>
      <c r="AJ33" s="63">
        <v>53.200946999999999</v>
      </c>
      <c r="AK33" s="62">
        <v>9.4120000000000002E-3</v>
      </c>
    </row>
    <row r="34" spans="1:37" ht="15" customHeight="1" x14ac:dyDescent="0.2">
      <c r="A34" s="57" t="s">
        <v>340</v>
      </c>
      <c r="B34" s="60" t="s">
        <v>341</v>
      </c>
      <c r="C34" s="63">
        <v>28.836378</v>
      </c>
      <c r="D34" s="63">
        <v>29.179739000000001</v>
      </c>
      <c r="E34" s="63">
        <v>29.623194000000002</v>
      </c>
      <c r="F34" s="63">
        <v>30.619410999999999</v>
      </c>
      <c r="G34" s="63">
        <v>32.520454000000001</v>
      </c>
      <c r="H34" s="63">
        <v>33.934437000000003</v>
      </c>
      <c r="I34" s="63">
        <v>35.478026999999997</v>
      </c>
      <c r="J34" s="63">
        <v>37.151321000000003</v>
      </c>
      <c r="K34" s="63">
        <v>38.954666000000003</v>
      </c>
      <c r="L34" s="63">
        <v>38.965857999999997</v>
      </c>
      <c r="M34" s="63">
        <v>38.966262999999998</v>
      </c>
      <c r="N34" s="63">
        <v>38.96772</v>
      </c>
      <c r="O34" s="63">
        <v>38.967854000000003</v>
      </c>
      <c r="P34" s="63">
        <v>38.969234</v>
      </c>
      <c r="Q34" s="63">
        <v>38.969729999999998</v>
      </c>
      <c r="R34" s="63">
        <v>38.970463000000002</v>
      </c>
      <c r="S34" s="63">
        <v>38.971207</v>
      </c>
      <c r="T34" s="63">
        <v>38.971207</v>
      </c>
      <c r="U34" s="63">
        <v>38.971679999999999</v>
      </c>
      <c r="V34" s="63">
        <v>38.972107000000001</v>
      </c>
      <c r="W34" s="63">
        <v>38.972855000000003</v>
      </c>
      <c r="X34" s="63">
        <v>38.973166999999997</v>
      </c>
      <c r="Y34" s="63">
        <v>38.973568</v>
      </c>
      <c r="Z34" s="63">
        <v>38.973979999999997</v>
      </c>
      <c r="AA34" s="63">
        <v>38.974487000000003</v>
      </c>
      <c r="AB34" s="63">
        <v>38.974742999999997</v>
      </c>
      <c r="AC34" s="63">
        <v>38.975323000000003</v>
      </c>
      <c r="AD34" s="63">
        <v>38.975731000000003</v>
      </c>
      <c r="AE34" s="63">
        <v>38.976013000000002</v>
      </c>
      <c r="AF34" s="63">
        <v>38.976311000000003</v>
      </c>
      <c r="AG34" s="63">
        <v>38.976658</v>
      </c>
      <c r="AH34" s="63">
        <v>38.976860000000002</v>
      </c>
      <c r="AI34" s="63">
        <v>38.977299000000002</v>
      </c>
      <c r="AJ34" s="63">
        <v>38.977530999999999</v>
      </c>
      <c r="AK34" s="62">
        <v>9.0880000000000006E-3</v>
      </c>
    </row>
    <row r="35" spans="1:37" ht="15" customHeight="1" x14ac:dyDescent="0.2">
      <c r="A35" s="57" t="s">
        <v>342</v>
      </c>
      <c r="B35" s="60" t="s">
        <v>343</v>
      </c>
      <c r="C35" s="63">
        <v>33.453662999999999</v>
      </c>
      <c r="D35" s="63">
        <v>33.999164999999998</v>
      </c>
      <c r="E35" s="63">
        <v>34.852367000000001</v>
      </c>
      <c r="F35" s="63">
        <v>36.294296000000003</v>
      </c>
      <c r="G35" s="63">
        <v>38.366337000000001</v>
      </c>
      <c r="H35" s="63">
        <v>40.360030999999999</v>
      </c>
      <c r="I35" s="63">
        <v>42.344337000000003</v>
      </c>
      <c r="J35" s="63">
        <v>43.980865000000001</v>
      </c>
      <c r="K35" s="63">
        <v>46.242016</v>
      </c>
      <c r="L35" s="63">
        <v>46.369414999999996</v>
      </c>
      <c r="M35" s="63">
        <v>46.563313000000001</v>
      </c>
      <c r="N35" s="63">
        <v>46.693798000000001</v>
      </c>
      <c r="O35" s="63">
        <v>46.881442999999997</v>
      </c>
      <c r="P35" s="63">
        <v>47.023907000000001</v>
      </c>
      <c r="Q35" s="63">
        <v>47.195476999999997</v>
      </c>
      <c r="R35" s="63">
        <v>47.396988</v>
      </c>
      <c r="S35" s="63">
        <v>47.630603999999998</v>
      </c>
      <c r="T35" s="63">
        <v>47.772404000000002</v>
      </c>
      <c r="U35" s="63">
        <v>47.898392000000001</v>
      </c>
      <c r="V35" s="63">
        <v>48.021743999999998</v>
      </c>
      <c r="W35" s="63">
        <v>48.108150000000002</v>
      </c>
      <c r="X35" s="63">
        <v>48.228577000000001</v>
      </c>
      <c r="Y35" s="63">
        <v>48.328502999999998</v>
      </c>
      <c r="Z35" s="63">
        <v>48.415863000000002</v>
      </c>
      <c r="AA35" s="63">
        <v>48.528599</v>
      </c>
      <c r="AB35" s="63">
        <v>48.589286999999999</v>
      </c>
      <c r="AC35" s="63">
        <v>48.621608999999999</v>
      </c>
      <c r="AD35" s="63">
        <v>48.628242</v>
      </c>
      <c r="AE35" s="63">
        <v>48.712502000000001</v>
      </c>
      <c r="AF35" s="63">
        <v>48.731788999999999</v>
      </c>
      <c r="AG35" s="63">
        <v>48.745567000000001</v>
      </c>
      <c r="AH35" s="63">
        <v>48.774222999999999</v>
      </c>
      <c r="AI35" s="63">
        <v>48.780106000000004</v>
      </c>
      <c r="AJ35" s="63">
        <v>48.782890000000002</v>
      </c>
      <c r="AK35" s="62">
        <v>1.1346E-2</v>
      </c>
    </row>
    <row r="36" spans="1:37" ht="15" customHeight="1" x14ac:dyDescent="0.2">
      <c r="A36" s="57" t="s">
        <v>344</v>
      </c>
      <c r="B36" s="60" t="s">
        <v>345</v>
      </c>
      <c r="C36" s="63">
        <v>39.219650000000001</v>
      </c>
      <c r="D36" s="63">
        <v>40.208176000000002</v>
      </c>
      <c r="E36" s="63">
        <v>41.560862999999998</v>
      </c>
      <c r="F36" s="63">
        <v>43.481544</v>
      </c>
      <c r="G36" s="63">
        <v>45.514778</v>
      </c>
      <c r="H36" s="63">
        <v>47.575789999999998</v>
      </c>
      <c r="I36" s="63">
        <v>49.836277000000003</v>
      </c>
      <c r="J36" s="63">
        <v>51.162941000000004</v>
      </c>
      <c r="K36" s="63">
        <v>53.624893</v>
      </c>
      <c r="L36" s="63">
        <v>53.706425000000003</v>
      </c>
      <c r="M36" s="63">
        <v>53.805222000000001</v>
      </c>
      <c r="N36" s="63">
        <v>53.878506000000002</v>
      </c>
      <c r="O36" s="63">
        <v>54.057693</v>
      </c>
      <c r="P36" s="63">
        <v>54.205578000000003</v>
      </c>
      <c r="Q36" s="63">
        <v>54.410496000000002</v>
      </c>
      <c r="R36" s="63">
        <v>54.644573000000001</v>
      </c>
      <c r="S36" s="63">
        <v>54.846699000000001</v>
      </c>
      <c r="T36" s="63">
        <v>55.040737</v>
      </c>
      <c r="U36" s="63">
        <v>55.223376999999999</v>
      </c>
      <c r="V36" s="63">
        <v>55.398727000000001</v>
      </c>
      <c r="W36" s="63">
        <v>55.532330000000002</v>
      </c>
      <c r="X36" s="63">
        <v>55.663670000000003</v>
      </c>
      <c r="Y36" s="63">
        <v>55.798274999999997</v>
      </c>
      <c r="Z36" s="63">
        <v>55.916218000000001</v>
      </c>
      <c r="AA36" s="63">
        <v>55.958739999999999</v>
      </c>
      <c r="AB36" s="63">
        <v>56.004443999999999</v>
      </c>
      <c r="AC36" s="63">
        <v>56.036769999999997</v>
      </c>
      <c r="AD36" s="63">
        <v>56.041606999999999</v>
      </c>
      <c r="AE36" s="63">
        <v>56.047877999999997</v>
      </c>
      <c r="AF36" s="63">
        <v>56.084099000000002</v>
      </c>
      <c r="AG36" s="63">
        <v>56.117534999999997</v>
      </c>
      <c r="AH36" s="63">
        <v>56.169254000000002</v>
      </c>
      <c r="AI36" s="63">
        <v>56.202083999999999</v>
      </c>
      <c r="AJ36" s="63">
        <v>56.231963999999998</v>
      </c>
      <c r="AK36" s="62">
        <v>1.0536999999999999E-2</v>
      </c>
    </row>
    <row r="37" spans="1:37" ht="15" customHeight="1" x14ac:dyDescent="0.2">
      <c r="A37" s="57" t="s">
        <v>346</v>
      </c>
      <c r="B37" s="60" t="s">
        <v>347</v>
      </c>
      <c r="C37" s="63">
        <v>28.781832000000001</v>
      </c>
      <c r="D37" s="63">
        <v>28.981468</v>
      </c>
      <c r="E37" s="63">
        <v>29.567319999999999</v>
      </c>
      <c r="F37" s="63">
        <v>30.629836999999998</v>
      </c>
      <c r="G37" s="63">
        <v>32.641250999999997</v>
      </c>
      <c r="H37" s="63">
        <v>34.464328999999999</v>
      </c>
      <c r="I37" s="63">
        <v>36.083229000000003</v>
      </c>
      <c r="J37" s="63">
        <v>37.714725000000001</v>
      </c>
      <c r="K37" s="63">
        <v>39.624859000000001</v>
      </c>
      <c r="L37" s="63">
        <v>39.715786000000001</v>
      </c>
      <c r="M37" s="63">
        <v>39.738346</v>
      </c>
      <c r="N37" s="63">
        <v>39.706940000000003</v>
      </c>
      <c r="O37" s="63">
        <v>39.659554</v>
      </c>
      <c r="P37" s="63">
        <v>39.607239</v>
      </c>
      <c r="Q37" s="63">
        <v>39.559657999999999</v>
      </c>
      <c r="R37" s="63">
        <v>39.545506000000003</v>
      </c>
      <c r="S37" s="63">
        <v>39.663071000000002</v>
      </c>
      <c r="T37" s="63">
        <v>39.61974</v>
      </c>
      <c r="U37" s="63">
        <v>39.567664999999998</v>
      </c>
      <c r="V37" s="63">
        <v>39.521476999999997</v>
      </c>
      <c r="W37" s="63">
        <v>39.476703999999998</v>
      </c>
      <c r="X37" s="63">
        <v>39.484935999999998</v>
      </c>
      <c r="Y37" s="63">
        <v>39.461703999999997</v>
      </c>
      <c r="Z37" s="63">
        <v>39.433529</v>
      </c>
      <c r="AA37" s="63">
        <v>39.534775000000003</v>
      </c>
      <c r="AB37" s="63">
        <v>39.520966000000001</v>
      </c>
      <c r="AC37" s="63">
        <v>39.490250000000003</v>
      </c>
      <c r="AD37" s="63">
        <v>39.460433999999999</v>
      </c>
      <c r="AE37" s="63">
        <v>39.564433999999999</v>
      </c>
      <c r="AF37" s="63">
        <v>39.558979000000001</v>
      </c>
      <c r="AG37" s="63">
        <v>39.551521000000001</v>
      </c>
      <c r="AH37" s="63">
        <v>39.546413000000001</v>
      </c>
      <c r="AI37" s="63">
        <v>39.541836000000004</v>
      </c>
      <c r="AJ37" s="63">
        <v>39.546424999999999</v>
      </c>
      <c r="AK37" s="62">
        <v>9.7599999999999996E-3</v>
      </c>
    </row>
    <row r="38" spans="1:37" ht="15" customHeight="1" x14ac:dyDescent="0.2">
      <c r="A38" s="57" t="s">
        <v>348</v>
      </c>
      <c r="B38" s="60" t="s">
        <v>349</v>
      </c>
      <c r="C38" s="63">
        <v>32.920569999999998</v>
      </c>
      <c r="D38" s="63">
        <v>33.597721</v>
      </c>
      <c r="E38" s="63">
        <v>34.642803000000001</v>
      </c>
      <c r="F38" s="63">
        <v>36.290866999999999</v>
      </c>
      <c r="G38" s="63">
        <v>38.362620999999997</v>
      </c>
      <c r="H38" s="63">
        <v>40.356014000000002</v>
      </c>
      <c r="I38" s="63">
        <v>42.339863000000001</v>
      </c>
      <c r="J38" s="63">
        <v>43.975994</v>
      </c>
      <c r="K38" s="63">
        <v>46.236908</v>
      </c>
      <c r="L38" s="63">
        <v>46.364128000000001</v>
      </c>
      <c r="M38" s="63">
        <v>46.557949000000001</v>
      </c>
      <c r="N38" s="63">
        <v>46.688419000000003</v>
      </c>
      <c r="O38" s="63">
        <v>46.876041000000001</v>
      </c>
      <c r="P38" s="63">
        <v>47.018447999999999</v>
      </c>
      <c r="Q38" s="63">
        <v>47.189926</v>
      </c>
      <c r="R38" s="63">
        <v>47.391356999999999</v>
      </c>
      <c r="S38" s="63">
        <v>47.624954000000002</v>
      </c>
      <c r="T38" s="63">
        <v>47.766643999999999</v>
      </c>
      <c r="U38" s="63">
        <v>47.892524999999999</v>
      </c>
      <c r="V38" s="63">
        <v>48.015765999999999</v>
      </c>
      <c r="W38" s="63">
        <v>48.102093000000004</v>
      </c>
      <c r="X38" s="63">
        <v>48.222411999999998</v>
      </c>
      <c r="Y38" s="63">
        <v>48.322189000000002</v>
      </c>
      <c r="Z38" s="63">
        <v>48.409385999999998</v>
      </c>
      <c r="AA38" s="63">
        <v>48.522015000000003</v>
      </c>
      <c r="AB38" s="63">
        <v>48.582489000000002</v>
      </c>
      <c r="AC38" s="63">
        <v>48.614666</v>
      </c>
      <c r="AD38" s="63">
        <v>48.621155000000002</v>
      </c>
      <c r="AE38" s="63">
        <v>48.705264999999997</v>
      </c>
      <c r="AF38" s="63">
        <v>48.724364999999999</v>
      </c>
      <c r="AG38" s="63">
        <v>48.737965000000003</v>
      </c>
      <c r="AH38" s="63">
        <v>48.766415000000002</v>
      </c>
      <c r="AI38" s="63">
        <v>48.772101999999997</v>
      </c>
      <c r="AJ38" s="63">
        <v>48.774681000000001</v>
      </c>
      <c r="AK38" s="62">
        <v>1.1717E-2</v>
      </c>
    </row>
    <row r="39" spans="1:37" ht="15" customHeight="1" x14ac:dyDescent="0.2">
      <c r="A39" s="57" t="s">
        <v>350</v>
      </c>
      <c r="B39" s="60" t="s">
        <v>351</v>
      </c>
      <c r="C39" s="63">
        <v>38.844189</v>
      </c>
      <c r="D39" s="63">
        <v>39.842219999999998</v>
      </c>
      <c r="E39" s="63">
        <v>41.359096999999998</v>
      </c>
      <c r="F39" s="63">
        <v>43.479667999999997</v>
      </c>
      <c r="G39" s="63">
        <v>45.512585000000001</v>
      </c>
      <c r="H39" s="63">
        <v>47.573315000000001</v>
      </c>
      <c r="I39" s="63">
        <v>49.833407999999999</v>
      </c>
      <c r="J39" s="63">
        <v>51.159717999999998</v>
      </c>
      <c r="K39" s="63">
        <v>53.621464000000003</v>
      </c>
      <c r="L39" s="63">
        <v>53.702938000000003</v>
      </c>
      <c r="M39" s="63">
        <v>53.801720000000003</v>
      </c>
      <c r="N39" s="63">
        <v>53.874980999999998</v>
      </c>
      <c r="O39" s="63">
        <v>54.054259999999999</v>
      </c>
      <c r="P39" s="63">
        <v>54.202103000000001</v>
      </c>
      <c r="Q39" s="63">
        <v>54.407009000000002</v>
      </c>
      <c r="R39" s="63">
        <v>54.641036999999997</v>
      </c>
      <c r="S39" s="63">
        <v>54.843136000000001</v>
      </c>
      <c r="T39" s="63">
        <v>55.037140000000001</v>
      </c>
      <c r="U39" s="63">
        <v>55.219741999999997</v>
      </c>
      <c r="V39" s="63">
        <v>55.395057999999999</v>
      </c>
      <c r="W39" s="63">
        <v>55.528613999999997</v>
      </c>
      <c r="X39" s="63">
        <v>55.659931</v>
      </c>
      <c r="Y39" s="63">
        <v>55.794483</v>
      </c>
      <c r="Z39" s="63">
        <v>55.912376000000002</v>
      </c>
      <c r="AA39" s="63">
        <v>55.954830000000001</v>
      </c>
      <c r="AB39" s="63">
        <v>56.000453999999998</v>
      </c>
      <c r="AC39" s="63">
        <v>56.032733999999998</v>
      </c>
      <c r="AD39" s="63">
        <v>56.037509999999997</v>
      </c>
      <c r="AE39" s="63">
        <v>56.043736000000003</v>
      </c>
      <c r="AF39" s="63">
        <v>56.079898999999997</v>
      </c>
      <c r="AG39" s="63">
        <v>56.113273999999997</v>
      </c>
      <c r="AH39" s="63">
        <v>56.164932</v>
      </c>
      <c r="AI39" s="63">
        <v>56.197685</v>
      </c>
      <c r="AJ39" s="63">
        <v>56.227493000000003</v>
      </c>
      <c r="AK39" s="62">
        <v>1.0822999999999999E-2</v>
      </c>
    </row>
    <row r="40" spans="1:37" ht="15" customHeight="1" x14ac:dyDescent="0.2">
      <c r="A40" s="57" t="s">
        <v>352</v>
      </c>
      <c r="B40" s="60" t="s">
        <v>353</v>
      </c>
      <c r="C40" s="63">
        <v>28.176539999999999</v>
      </c>
      <c r="D40" s="63">
        <v>28.57621</v>
      </c>
      <c r="E40" s="63">
        <v>29.362611999999999</v>
      </c>
      <c r="F40" s="63">
        <v>30.625699999999998</v>
      </c>
      <c r="G40" s="63">
        <v>32.636817999999998</v>
      </c>
      <c r="H40" s="63">
        <v>34.459560000000003</v>
      </c>
      <c r="I40" s="63">
        <v>36.077964999999999</v>
      </c>
      <c r="J40" s="63">
        <v>37.708981000000001</v>
      </c>
      <c r="K40" s="63">
        <v>39.618831999999998</v>
      </c>
      <c r="L40" s="63">
        <v>39.709496000000001</v>
      </c>
      <c r="M40" s="63">
        <v>39.731887999999998</v>
      </c>
      <c r="N40" s="63">
        <v>39.700436000000003</v>
      </c>
      <c r="O40" s="63">
        <v>39.652912000000001</v>
      </c>
      <c r="P40" s="63">
        <v>39.600517000000004</v>
      </c>
      <c r="Q40" s="63">
        <v>39.552765000000001</v>
      </c>
      <c r="R40" s="63">
        <v>39.538482999999999</v>
      </c>
      <c r="S40" s="63">
        <v>39.656025</v>
      </c>
      <c r="T40" s="63">
        <v>39.612507000000001</v>
      </c>
      <c r="U40" s="63">
        <v>39.560276000000002</v>
      </c>
      <c r="V40" s="63">
        <v>39.513908000000001</v>
      </c>
      <c r="W40" s="63">
        <v>39.469017000000001</v>
      </c>
      <c r="X40" s="63">
        <v>39.477066000000001</v>
      </c>
      <c r="Y40" s="63">
        <v>39.453606000000001</v>
      </c>
      <c r="Z40" s="63">
        <v>39.425179</v>
      </c>
      <c r="AA40" s="63">
        <v>39.526263999999998</v>
      </c>
      <c r="AB40" s="63">
        <v>39.512118999999998</v>
      </c>
      <c r="AC40" s="63">
        <v>39.481171000000003</v>
      </c>
      <c r="AD40" s="63">
        <v>39.451141</v>
      </c>
      <c r="AE40" s="63">
        <v>39.554873999999998</v>
      </c>
      <c r="AF40" s="63">
        <v>39.549132999999998</v>
      </c>
      <c r="AG40" s="63">
        <v>39.541401</v>
      </c>
      <c r="AH40" s="63">
        <v>39.535969000000001</v>
      </c>
      <c r="AI40" s="63">
        <v>39.531123999999998</v>
      </c>
      <c r="AJ40" s="63">
        <v>39.535418999999997</v>
      </c>
      <c r="AK40" s="62">
        <v>1.0196E-2</v>
      </c>
    </row>
    <row r="41" spans="1:37" ht="15" customHeight="1" x14ac:dyDescent="0.2">
      <c r="A41" s="57" t="s">
        <v>354</v>
      </c>
      <c r="B41" s="60" t="s">
        <v>355</v>
      </c>
      <c r="C41" s="63">
        <v>26.860434999999999</v>
      </c>
      <c r="D41" s="63">
        <v>27.412979</v>
      </c>
      <c r="E41" s="63">
        <v>28.265438</v>
      </c>
      <c r="F41" s="63">
        <v>29.610132</v>
      </c>
      <c r="G41" s="63">
        <v>31.300692000000002</v>
      </c>
      <c r="H41" s="63">
        <v>32.927387000000003</v>
      </c>
      <c r="I41" s="63">
        <v>34.546351999999999</v>
      </c>
      <c r="J41" s="63">
        <v>35.881912</v>
      </c>
      <c r="K41" s="63">
        <v>37.727074000000002</v>
      </c>
      <c r="L41" s="63">
        <v>37.831051000000002</v>
      </c>
      <c r="M41" s="63">
        <v>37.989753999999998</v>
      </c>
      <c r="N41" s="63">
        <v>38.096679999999999</v>
      </c>
      <c r="O41" s="63">
        <v>38.250278000000002</v>
      </c>
      <c r="P41" s="63">
        <v>38.366863000000002</v>
      </c>
      <c r="Q41" s="63">
        <v>38.507156000000002</v>
      </c>
      <c r="R41" s="63">
        <v>38.671863999999999</v>
      </c>
      <c r="S41" s="63">
        <v>38.862769999999998</v>
      </c>
      <c r="T41" s="63">
        <v>38.978622000000001</v>
      </c>
      <c r="U41" s="63">
        <v>39.081561999999998</v>
      </c>
      <c r="V41" s="63">
        <v>39.182322999999997</v>
      </c>
      <c r="W41" s="63">
        <v>39.252898999999999</v>
      </c>
      <c r="X41" s="63">
        <v>39.351256999999997</v>
      </c>
      <c r="Y41" s="63">
        <v>39.432819000000002</v>
      </c>
      <c r="Z41" s="63">
        <v>39.504111999999999</v>
      </c>
      <c r="AA41" s="63">
        <v>39.596187999999998</v>
      </c>
      <c r="AB41" s="63">
        <v>39.645687000000002</v>
      </c>
      <c r="AC41" s="63">
        <v>39.672046999999999</v>
      </c>
      <c r="AD41" s="63">
        <v>39.677410000000002</v>
      </c>
      <c r="AE41" s="63">
        <v>39.746174000000003</v>
      </c>
      <c r="AF41" s="63">
        <v>39.761764999999997</v>
      </c>
      <c r="AG41" s="63">
        <v>39.772857999999999</v>
      </c>
      <c r="AH41" s="63">
        <v>39.796084999999998</v>
      </c>
      <c r="AI41" s="63">
        <v>39.800685999999999</v>
      </c>
      <c r="AJ41" s="63">
        <v>39.802731000000001</v>
      </c>
      <c r="AK41" s="62">
        <v>1.1722E-2</v>
      </c>
    </row>
    <row r="42" spans="1:37" ht="15" customHeight="1" x14ac:dyDescent="0.2">
      <c r="A42" s="57" t="s">
        <v>356</v>
      </c>
      <c r="B42" s="60" t="s">
        <v>357</v>
      </c>
      <c r="C42" s="63">
        <v>31.720737</v>
      </c>
      <c r="D42" s="63">
        <v>32.535744000000001</v>
      </c>
      <c r="E42" s="63">
        <v>33.774448</v>
      </c>
      <c r="F42" s="63">
        <v>35.506138</v>
      </c>
      <c r="G42" s="63">
        <v>37.166248000000003</v>
      </c>
      <c r="H42" s="63">
        <v>38.849072</v>
      </c>
      <c r="I42" s="63">
        <v>40.694695000000003</v>
      </c>
      <c r="J42" s="63">
        <v>41.777779000000002</v>
      </c>
      <c r="K42" s="63">
        <v>43.788077999999999</v>
      </c>
      <c r="L42" s="63">
        <v>43.854610000000001</v>
      </c>
      <c r="M42" s="63">
        <v>43.935276000000002</v>
      </c>
      <c r="N42" s="63">
        <v>43.995106</v>
      </c>
      <c r="O42" s="63">
        <v>44.141506</v>
      </c>
      <c r="P42" s="63">
        <v>44.262238000000004</v>
      </c>
      <c r="Q42" s="63">
        <v>44.429564999999997</v>
      </c>
      <c r="R42" s="63">
        <v>44.620677999999998</v>
      </c>
      <c r="S42" s="63">
        <v>44.785713000000001</v>
      </c>
      <c r="T42" s="63">
        <v>44.944141000000002</v>
      </c>
      <c r="U42" s="63">
        <v>45.093254000000002</v>
      </c>
      <c r="V42" s="63">
        <v>45.236420000000003</v>
      </c>
      <c r="W42" s="63">
        <v>45.345486000000001</v>
      </c>
      <c r="X42" s="63">
        <v>45.452720999999997</v>
      </c>
      <c r="Y42" s="63">
        <v>45.562598999999999</v>
      </c>
      <c r="Z42" s="63">
        <v>45.658870999999998</v>
      </c>
      <c r="AA42" s="63">
        <v>45.693539000000001</v>
      </c>
      <c r="AB42" s="63">
        <v>45.730797000000003</v>
      </c>
      <c r="AC42" s="63">
        <v>45.757156000000002</v>
      </c>
      <c r="AD42" s="63">
        <v>45.761059000000003</v>
      </c>
      <c r="AE42" s="63">
        <v>45.76614</v>
      </c>
      <c r="AF42" s="63">
        <v>45.795673000000001</v>
      </c>
      <c r="AG42" s="63">
        <v>45.822926000000002</v>
      </c>
      <c r="AH42" s="63">
        <v>45.865112000000003</v>
      </c>
      <c r="AI42" s="63">
        <v>45.891857000000002</v>
      </c>
      <c r="AJ42" s="63">
        <v>45.916198999999999</v>
      </c>
      <c r="AK42" s="62">
        <v>1.0822999999999999E-2</v>
      </c>
    </row>
    <row r="43" spans="1:37" ht="15" customHeight="1" x14ac:dyDescent="0.2">
      <c r="A43" s="57" t="s">
        <v>358</v>
      </c>
      <c r="B43" s="60" t="s">
        <v>359</v>
      </c>
      <c r="C43" s="63">
        <v>22.973969</v>
      </c>
      <c r="D43" s="63">
        <v>23.299842999999999</v>
      </c>
      <c r="E43" s="63">
        <v>23.941041999999999</v>
      </c>
      <c r="F43" s="63">
        <v>24.970911000000001</v>
      </c>
      <c r="G43" s="63">
        <v>26.610690999999999</v>
      </c>
      <c r="H43" s="63">
        <v>28.096879999999999</v>
      </c>
      <c r="I43" s="63">
        <v>29.416457999999999</v>
      </c>
      <c r="J43" s="63">
        <v>30.746320999999998</v>
      </c>
      <c r="K43" s="63">
        <v>32.303531999999997</v>
      </c>
      <c r="L43" s="63">
        <v>32.377457</v>
      </c>
      <c r="M43" s="63">
        <v>32.395713999999998</v>
      </c>
      <c r="N43" s="63">
        <v>32.370068000000003</v>
      </c>
      <c r="O43" s="63">
        <v>32.331322</v>
      </c>
      <c r="P43" s="63">
        <v>32.288601</v>
      </c>
      <c r="Q43" s="63">
        <v>32.249664000000003</v>
      </c>
      <c r="R43" s="63">
        <v>32.238017999999997</v>
      </c>
      <c r="S43" s="63">
        <v>32.333857999999999</v>
      </c>
      <c r="T43" s="63">
        <v>32.298374000000003</v>
      </c>
      <c r="U43" s="63">
        <v>32.255791000000002</v>
      </c>
      <c r="V43" s="63">
        <v>32.217982999999997</v>
      </c>
      <c r="W43" s="63">
        <v>32.181381000000002</v>
      </c>
      <c r="X43" s="63">
        <v>32.187942999999997</v>
      </c>
      <c r="Y43" s="63">
        <v>32.168816</v>
      </c>
      <c r="Z43" s="63">
        <v>32.145637999999998</v>
      </c>
      <c r="AA43" s="63">
        <v>32.228057999999997</v>
      </c>
      <c r="AB43" s="63">
        <v>32.216526000000002</v>
      </c>
      <c r="AC43" s="63">
        <v>32.191291999999997</v>
      </c>
      <c r="AD43" s="63">
        <v>32.166804999999997</v>
      </c>
      <c r="AE43" s="63">
        <v>32.251384999999999</v>
      </c>
      <c r="AF43" s="63">
        <v>32.246704000000001</v>
      </c>
      <c r="AG43" s="63">
        <v>32.240397999999999</v>
      </c>
      <c r="AH43" s="63">
        <v>32.235970000000002</v>
      </c>
      <c r="AI43" s="63">
        <v>32.232021000000003</v>
      </c>
      <c r="AJ43" s="63">
        <v>32.235523000000001</v>
      </c>
      <c r="AK43" s="62">
        <v>1.0196E-2</v>
      </c>
    </row>
    <row r="44" spans="1:37" ht="15" customHeight="1" x14ac:dyDescent="0.2">
      <c r="A44" s="57" t="s">
        <v>360</v>
      </c>
      <c r="B44" s="60" t="s">
        <v>361</v>
      </c>
      <c r="C44" s="63">
        <v>22.978952</v>
      </c>
      <c r="D44" s="63">
        <v>23.398105999999999</v>
      </c>
      <c r="E44" s="63">
        <v>23.843401</v>
      </c>
      <c r="F44" s="63">
        <v>24.344712999999999</v>
      </c>
      <c r="G44" s="63">
        <v>24.923718999999998</v>
      </c>
      <c r="H44" s="63">
        <v>25.567287</v>
      </c>
      <c r="I44" s="63">
        <v>26.270464</v>
      </c>
      <c r="J44" s="63">
        <v>27.015501</v>
      </c>
      <c r="K44" s="63">
        <v>27.825493000000002</v>
      </c>
      <c r="L44" s="63">
        <v>28.616631999999999</v>
      </c>
      <c r="M44" s="63">
        <v>29.381108999999999</v>
      </c>
      <c r="N44" s="63">
        <v>30.118487999999999</v>
      </c>
      <c r="O44" s="63">
        <v>30.832412999999999</v>
      </c>
      <c r="P44" s="63">
        <v>31.523226000000001</v>
      </c>
      <c r="Q44" s="63">
        <v>32.190441</v>
      </c>
      <c r="R44" s="63">
        <v>32.832058000000004</v>
      </c>
      <c r="S44" s="63">
        <v>33.448684999999998</v>
      </c>
      <c r="T44" s="63">
        <v>34.035415999999998</v>
      </c>
      <c r="U44" s="63">
        <v>34.584350999999998</v>
      </c>
      <c r="V44" s="63">
        <v>35.093048000000003</v>
      </c>
      <c r="W44" s="63">
        <v>35.559933000000001</v>
      </c>
      <c r="X44" s="63">
        <v>35.985278999999998</v>
      </c>
      <c r="Y44" s="63">
        <v>36.367503999999997</v>
      </c>
      <c r="Z44" s="63">
        <v>36.707005000000002</v>
      </c>
      <c r="AA44" s="63">
        <v>37.010238999999999</v>
      </c>
      <c r="AB44" s="63">
        <v>37.279209000000002</v>
      </c>
      <c r="AC44" s="63">
        <v>37.515090999999998</v>
      </c>
      <c r="AD44" s="63">
        <v>37.720984999999999</v>
      </c>
      <c r="AE44" s="63">
        <v>37.905506000000003</v>
      </c>
      <c r="AF44" s="63">
        <v>38.067096999999997</v>
      </c>
      <c r="AG44" s="63">
        <v>38.208519000000003</v>
      </c>
      <c r="AH44" s="63">
        <v>38.3339</v>
      </c>
      <c r="AI44" s="63">
        <v>38.444389000000001</v>
      </c>
      <c r="AJ44" s="63">
        <v>38.541634000000002</v>
      </c>
      <c r="AK44" s="62">
        <v>1.5719E-2</v>
      </c>
    </row>
    <row r="45" spans="1:37" ht="15" customHeight="1" x14ac:dyDescent="0.2">
      <c r="A45" s="57" t="s">
        <v>362</v>
      </c>
      <c r="B45" s="60" t="s">
        <v>363</v>
      </c>
      <c r="C45" s="63">
        <v>13.267185</v>
      </c>
      <c r="D45" s="63">
        <v>15.013555</v>
      </c>
      <c r="E45" s="63">
        <v>15.067958000000001</v>
      </c>
      <c r="F45" s="63">
        <v>15.167166999999999</v>
      </c>
      <c r="G45" s="63">
        <v>15.423962</v>
      </c>
      <c r="H45" s="63">
        <v>15.624478999999999</v>
      </c>
      <c r="I45" s="63">
        <v>15.900784</v>
      </c>
      <c r="J45" s="63">
        <v>16.239007999999998</v>
      </c>
      <c r="K45" s="63">
        <v>16.665731000000001</v>
      </c>
      <c r="L45" s="63">
        <v>17.07394</v>
      </c>
      <c r="M45" s="63">
        <v>17.423732999999999</v>
      </c>
      <c r="N45" s="63">
        <v>17.451674000000001</v>
      </c>
      <c r="O45" s="63">
        <v>17.575447</v>
      </c>
      <c r="P45" s="63">
        <v>17.675241</v>
      </c>
      <c r="Q45" s="63">
        <v>17.737030000000001</v>
      </c>
      <c r="R45" s="63">
        <v>17.739464000000002</v>
      </c>
      <c r="S45" s="63">
        <v>17.671814000000001</v>
      </c>
      <c r="T45" s="63">
        <v>17.634943</v>
      </c>
      <c r="U45" s="63">
        <v>17.633078000000001</v>
      </c>
      <c r="V45" s="63">
        <v>17.595037000000001</v>
      </c>
      <c r="W45" s="63">
        <v>17.606033</v>
      </c>
      <c r="X45" s="63">
        <v>17.615601999999999</v>
      </c>
      <c r="Y45" s="63">
        <v>17.635688999999999</v>
      </c>
      <c r="Z45" s="63">
        <v>17.656583999999999</v>
      </c>
      <c r="AA45" s="63">
        <v>17.674627000000001</v>
      </c>
      <c r="AB45" s="63">
        <v>17.695385000000002</v>
      </c>
      <c r="AC45" s="63">
        <v>17.710896999999999</v>
      </c>
      <c r="AD45" s="63">
        <v>17.722534</v>
      </c>
      <c r="AE45" s="63">
        <v>17.703987000000001</v>
      </c>
      <c r="AF45" s="63">
        <v>17.713671000000001</v>
      </c>
      <c r="AG45" s="63">
        <v>17.720264</v>
      </c>
      <c r="AH45" s="63">
        <v>17.729158000000002</v>
      </c>
      <c r="AI45" s="63">
        <v>17.750184999999998</v>
      </c>
      <c r="AJ45" s="63">
        <v>17.768799000000001</v>
      </c>
      <c r="AK45" s="62">
        <v>5.2789999999999998E-3</v>
      </c>
    </row>
    <row r="46" spans="1:37" ht="15" customHeight="1" x14ac:dyDescent="0.2">
      <c r="A46" s="57" t="s">
        <v>364</v>
      </c>
      <c r="B46" s="60" t="s">
        <v>365</v>
      </c>
      <c r="C46" s="63">
        <v>13.680937999999999</v>
      </c>
      <c r="D46" s="63">
        <v>13.806588</v>
      </c>
      <c r="E46" s="63">
        <v>13.931844</v>
      </c>
      <c r="F46" s="63">
        <v>14.097829000000001</v>
      </c>
      <c r="G46" s="63">
        <v>14.271951</v>
      </c>
      <c r="H46" s="63">
        <v>14.463296</v>
      </c>
      <c r="I46" s="63">
        <v>14.661203</v>
      </c>
      <c r="J46" s="63">
        <v>14.868921</v>
      </c>
      <c r="K46" s="63">
        <v>15.04772</v>
      </c>
      <c r="L46" s="63">
        <v>15.250484999999999</v>
      </c>
      <c r="M46" s="63">
        <v>15.469141</v>
      </c>
      <c r="N46" s="63">
        <v>15.679131</v>
      </c>
      <c r="O46" s="63">
        <v>15.881999</v>
      </c>
      <c r="P46" s="63">
        <v>16.080351</v>
      </c>
      <c r="Q46" s="63">
        <v>16.259889999999999</v>
      </c>
      <c r="R46" s="63">
        <v>16.421648000000001</v>
      </c>
      <c r="S46" s="63">
        <v>16.558140000000002</v>
      </c>
      <c r="T46" s="63">
        <v>16.673365</v>
      </c>
      <c r="U46" s="63">
        <v>16.775355999999999</v>
      </c>
      <c r="V46" s="63">
        <v>16.865324000000001</v>
      </c>
      <c r="W46" s="63">
        <v>16.940193000000001</v>
      </c>
      <c r="X46" s="63">
        <v>17.005682</v>
      </c>
      <c r="Y46" s="63">
        <v>17.071365</v>
      </c>
      <c r="Z46" s="63">
        <v>17.127596</v>
      </c>
      <c r="AA46" s="63">
        <v>17.181570000000001</v>
      </c>
      <c r="AB46" s="63">
        <v>17.229876000000001</v>
      </c>
      <c r="AC46" s="63">
        <v>17.270330000000001</v>
      </c>
      <c r="AD46" s="63">
        <v>17.306684000000001</v>
      </c>
      <c r="AE46" s="63">
        <v>17.334561999999998</v>
      </c>
      <c r="AF46" s="63">
        <v>17.348493999999999</v>
      </c>
      <c r="AG46" s="63">
        <v>17.368991999999999</v>
      </c>
      <c r="AH46" s="63">
        <v>17.406808999999999</v>
      </c>
      <c r="AI46" s="63">
        <v>17.437517</v>
      </c>
      <c r="AJ46" s="63">
        <v>17.471700999999999</v>
      </c>
      <c r="AK46" s="62">
        <v>7.3850000000000001E-3</v>
      </c>
    </row>
    <row r="47" spans="1:37" ht="15" customHeight="1" x14ac:dyDescent="0.2">
      <c r="B47" s="60" t="s">
        <v>366</v>
      </c>
      <c r="C47" s="63">
        <v>7.1330159999999996</v>
      </c>
      <c r="D47" s="63">
        <v>7.234839</v>
      </c>
      <c r="E47" s="63">
        <v>7.3351940000000004</v>
      </c>
      <c r="F47" s="63">
        <v>7.4345340000000002</v>
      </c>
      <c r="G47" s="63">
        <v>7.5385600000000004</v>
      </c>
      <c r="H47" s="63">
        <v>7.6436710000000003</v>
      </c>
      <c r="I47" s="63">
        <v>7.7543420000000003</v>
      </c>
      <c r="J47" s="63">
        <v>7.8730279999999997</v>
      </c>
      <c r="K47" s="63">
        <v>8.002402</v>
      </c>
      <c r="L47" s="63">
        <v>8.1445830000000008</v>
      </c>
      <c r="M47" s="63">
        <v>8.3009210000000007</v>
      </c>
      <c r="N47" s="63">
        <v>8.4632249999999996</v>
      </c>
      <c r="O47" s="63">
        <v>8.6306060000000002</v>
      </c>
      <c r="P47" s="63">
        <v>8.8023229999999995</v>
      </c>
      <c r="Q47" s="63">
        <v>8.9735899999999997</v>
      </c>
      <c r="R47" s="63">
        <v>9.1394579999999994</v>
      </c>
      <c r="S47" s="63">
        <v>9.2992349999999995</v>
      </c>
      <c r="T47" s="63">
        <v>9.4427109999999992</v>
      </c>
      <c r="U47" s="63">
        <v>9.5682960000000001</v>
      </c>
      <c r="V47" s="63">
        <v>9.6824329999999996</v>
      </c>
      <c r="W47" s="63">
        <v>9.7842420000000008</v>
      </c>
      <c r="X47" s="63">
        <v>9.8779210000000006</v>
      </c>
      <c r="Y47" s="63">
        <v>9.9620599999999992</v>
      </c>
      <c r="Z47" s="63">
        <v>10.051148</v>
      </c>
      <c r="AA47" s="63">
        <v>10.121845</v>
      </c>
      <c r="AB47" s="63">
        <v>10.185764000000001</v>
      </c>
      <c r="AC47" s="63">
        <v>10.238789000000001</v>
      </c>
      <c r="AD47" s="63">
        <v>10.28496</v>
      </c>
      <c r="AE47" s="63">
        <v>10.331643</v>
      </c>
      <c r="AF47" s="63">
        <v>10.376075</v>
      </c>
      <c r="AG47" s="63">
        <v>10.415616999999999</v>
      </c>
      <c r="AH47" s="63">
        <v>10.453134</v>
      </c>
      <c r="AI47" s="63">
        <v>10.495623</v>
      </c>
      <c r="AJ47" s="63">
        <v>10.53261</v>
      </c>
      <c r="AK47" s="62">
        <v>1.1806000000000001E-2</v>
      </c>
    </row>
    <row r="48" spans="1:37" ht="15" customHeight="1" x14ac:dyDescent="0.2">
      <c r="A48" s="57" t="s">
        <v>367</v>
      </c>
      <c r="B48" s="59" t="s">
        <v>368</v>
      </c>
    </row>
    <row r="49" spans="1:37" ht="15" customHeight="1" x14ac:dyDescent="0.2">
      <c r="B49" s="60" t="s">
        <v>369</v>
      </c>
      <c r="C49" s="63">
        <v>68.402602999999999</v>
      </c>
      <c r="D49" s="63">
        <v>68.732192999999995</v>
      </c>
      <c r="E49" s="63">
        <v>69.062111000000002</v>
      </c>
      <c r="F49" s="63">
        <v>69.384827000000001</v>
      </c>
      <c r="G49" s="63">
        <v>69.710151999999994</v>
      </c>
      <c r="H49" s="63">
        <v>70.043471999999994</v>
      </c>
      <c r="I49" s="63">
        <v>70.380814000000001</v>
      </c>
      <c r="J49" s="63">
        <v>70.734665000000007</v>
      </c>
      <c r="K49" s="63">
        <v>71.079346000000001</v>
      </c>
      <c r="L49" s="63">
        <v>71.468315000000004</v>
      </c>
      <c r="M49" s="63">
        <v>71.879920999999996</v>
      </c>
      <c r="N49" s="63">
        <v>72.329200999999998</v>
      </c>
      <c r="O49" s="63">
        <v>72.806061</v>
      </c>
      <c r="P49" s="63">
        <v>73.269019999999998</v>
      </c>
      <c r="Q49" s="63">
        <v>73.724204999999998</v>
      </c>
      <c r="R49" s="63">
        <v>74.190994000000003</v>
      </c>
      <c r="S49" s="63">
        <v>74.669257999999999</v>
      </c>
      <c r="T49" s="63">
        <v>75.136512999999994</v>
      </c>
      <c r="U49" s="63">
        <v>75.614670000000004</v>
      </c>
      <c r="V49" s="63">
        <v>76.099602000000004</v>
      </c>
      <c r="W49" s="63">
        <v>76.587378999999999</v>
      </c>
      <c r="X49" s="63">
        <v>77.079155</v>
      </c>
      <c r="Y49" s="63">
        <v>77.586296000000004</v>
      </c>
      <c r="Z49" s="63">
        <v>78.099670000000003</v>
      </c>
      <c r="AA49" s="63">
        <v>78.597785999999999</v>
      </c>
      <c r="AB49" s="63">
        <v>79.095817999999994</v>
      </c>
      <c r="AC49" s="63">
        <v>79.574516000000003</v>
      </c>
      <c r="AD49" s="63">
        <v>80.036766</v>
      </c>
      <c r="AE49" s="63">
        <v>80.496498000000003</v>
      </c>
      <c r="AF49" s="63">
        <v>80.955223000000004</v>
      </c>
      <c r="AG49" s="63">
        <v>81.4114</v>
      </c>
      <c r="AH49" s="63">
        <v>81.874283000000005</v>
      </c>
      <c r="AI49" s="63">
        <v>82.320076</v>
      </c>
      <c r="AJ49" s="63">
        <v>82.757705999999999</v>
      </c>
      <c r="AK49" s="62">
        <v>5.8199999999999997E-3</v>
      </c>
    </row>
    <row r="50" spans="1:37" ht="15" customHeight="1" x14ac:dyDescent="0.2">
      <c r="A50" s="57" t="s">
        <v>370</v>
      </c>
      <c r="B50" s="59" t="s">
        <v>371</v>
      </c>
    </row>
    <row r="51" spans="1:37" ht="15" customHeight="1" x14ac:dyDescent="0.2">
      <c r="A51" s="57" t="s">
        <v>372</v>
      </c>
      <c r="B51" s="60" t="s">
        <v>331</v>
      </c>
      <c r="C51" s="63">
        <v>3.422345</v>
      </c>
      <c r="D51" s="63">
        <v>3.4445429999999999</v>
      </c>
      <c r="E51" s="63">
        <v>3.4668839999999999</v>
      </c>
      <c r="F51" s="63">
        <v>3.4893709999999998</v>
      </c>
      <c r="G51" s="63">
        <v>3.512003</v>
      </c>
      <c r="H51" s="63">
        <v>3.5347819999999999</v>
      </c>
      <c r="I51" s="63">
        <v>3.5577100000000002</v>
      </c>
      <c r="J51" s="63">
        <v>3.5807850000000001</v>
      </c>
      <c r="K51" s="63">
        <v>3.6040100000000002</v>
      </c>
      <c r="L51" s="63">
        <v>3.627386</v>
      </c>
      <c r="M51" s="63">
        <v>3.6509140000000002</v>
      </c>
      <c r="N51" s="63">
        <v>3.6745939999999999</v>
      </c>
      <c r="O51" s="63">
        <v>3.6984279999999998</v>
      </c>
      <c r="P51" s="63">
        <v>3.7224159999999999</v>
      </c>
      <c r="Q51" s="63">
        <v>3.7465600000000001</v>
      </c>
      <c r="R51" s="63">
        <v>3.7708599999999999</v>
      </c>
      <c r="S51" s="63">
        <v>3.795318</v>
      </c>
      <c r="T51" s="63">
        <v>3.8199350000000001</v>
      </c>
      <c r="U51" s="63">
        <v>3.8447119999999999</v>
      </c>
      <c r="V51" s="63">
        <v>3.8696489999999999</v>
      </c>
      <c r="W51" s="63">
        <v>3.8947479999999999</v>
      </c>
      <c r="X51" s="63">
        <v>3.9200089999999999</v>
      </c>
      <c r="Y51" s="63">
        <v>3.9454349999999998</v>
      </c>
      <c r="Z51" s="63">
        <v>3.971025</v>
      </c>
      <c r="AA51" s="63">
        <v>3.9967820000000001</v>
      </c>
      <c r="AB51" s="63">
        <v>4.0227050000000002</v>
      </c>
      <c r="AC51" s="63">
        <v>4.0487970000000004</v>
      </c>
      <c r="AD51" s="63">
        <v>4.0750580000000003</v>
      </c>
      <c r="AE51" s="63">
        <v>4.1014889999999999</v>
      </c>
      <c r="AF51" s="63">
        <v>4.1280910000000004</v>
      </c>
      <c r="AG51" s="63">
        <v>4.1548660000000002</v>
      </c>
      <c r="AH51" s="63">
        <v>4.1818150000000003</v>
      </c>
      <c r="AI51" s="63">
        <v>4.208939</v>
      </c>
      <c r="AJ51" s="63">
        <v>4.2362380000000002</v>
      </c>
      <c r="AK51" s="62">
        <v>6.4859999999999996E-3</v>
      </c>
    </row>
    <row r="52" spans="1:37" ht="15" customHeight="1" x14ac:dyDescent="0.2">
      <c r="B52" s="60" t="s">
        <v>332</v>
      </c>
      <c r="C52" s="63">
        <v>4.756678</v>
      </c>
      <c r="D52" s="63">
        <v>4.7849370000000002</v>
      </c>
      <c r="E52" s="63">
        <v>4.8133650000000001</v>
      </c>
      <c r="F52" s="63">
        <v>4.8419600000000003</v>
      </c>
      <c r="G52" s="63">
        <v>4.8707260000000003</v>
      </c>
      <c r="H52" s="63">
        <v>4.8996630000000003</v>
      </c>
      <c r="I52" s="63">
        <v>4.9287720000000004</v>
      </c>
      <c r="J52" s="63">
        <v>4.9580539999999997</v>
      </c>
      <c r="K52" s="63">
        <v>4.9875090000000002</v>
      </c>
      <c r="L52" s="63">
        <v>5.0171400000000004</v>
      </c>
      <c r="M52" s="63">
        <v>5.0469470000000003</v>
      </c>
      <c r="N52" s="63">
        <v>5.0769310000000001</v>
      </c>
      <c r="O52" s="63">
        <v>5.1070919999999997</v>
      </c>
      <c r="P52" s="63">
        <v>5.1374339999999998</v>
      </c>
      <c r="Q52" s="63">
        <v>5.1679550000000001</v>
      </c>
      <c r="R52" s="63">
        <v>5.198658</v>
      </c>
      <c r="S52" s="63">
        <v>5.2295429999999996</v>
      </c>
      <c r="T52" s="63">
        <v>5.2606109999999999</v>
      </c>
      <c r="U52" s="63">
        <v>5.2918640000000003</v>
      </c>
      <c r="V52" s="63">
        <v>5.3233030000000001</v>
      </c>
      <c r="W52" s="63">
        <v>5.3549290000000003</v>
      </c>
      <c r="X52" s="63">
        <v>5.3867419999999999</v>
      </c>
      <c r="Y52" s="63">
        <v>5.4187450000000004</v>
      </c>
      <c r="Z52" s="63">
        <v>5.4509379999999998</v>
      </c>
      <c r="AA52" s="63">
        <v>5.4833220000000003</v>
      </c>
      <c r="AB52" s="63">
        <v>5.515898</v>
      </c>
      <c r="AC52" s="63">
        <v>5.548667</v>
      </c>
      <c r="AD52" s="63">
        <v>5.5816319999999999</v>
      </c>
      <c r="AE52" s="63">
        <v>5.6147919999999996</v>
      </c>
      <c r="AF52" s="63">
        <v>5.6481500000000002</v>
      </c>
      <c r="AG52" s="63">
        <v>5.681705</v>
      </c>
      <c r="AH52" s="63">
        <v>5.7154600000000002</v>
      </c>
      <c r="AI52" s="63">
        <v>5.7494160000000001</v>
      </c>
      <c r="AJ52" s="63">
        <v>5.7835729999999996</v>
      </c>
      <c r="AK52" s="62">
        <v>5.9410000000000001E-3</v>
      </c>
    </row>
    <row r="53" spans="1:37" ht="15.75" customHeight="1" x14ac:dyDescent="0.2"/>
    <row r="54" spans="1:37" ht="15" customHeight="1" x14ac:dyDescent="0.2">
      <c r="B54" s="59" t="s">
        <v>373</v>
      </c>
    </row>
    <row r="55" spans="1:37" ht="15" customHeight="1" x14ac:dyDescent="0.2">
      <c r="A55" s="57" t="s">
        <v>374</v>
      </c>
      <c r="B55" s="59" t="s">
        <v>375</v>
      </c>
    </row>
    <row r="56" spans="1:37" ht="15" customHeight="1" x14ac:dyDescent="0.2">
      <c r="A56" s="57" t="s">
        <v>376</v>
      </c>
      <c r="B56" s="60" t="s">
        <v>377</v>
      </c>
      <c r="C56" s="64">
        <v>15.428981</v>
      </c>
      <c r="D56" s="64">
        <v>15.405498</v>
      </c>
      <c r="E56" s="64">
        <v>15.323708999999999</v>
      </c>
      <c r="F56" s="64">
        <v>15.159972</v>
      </c>
      <c r="G56" s="64">
        <v>14.917847</v>
      </c>
      <c r="H56" s="64">
        <v>14.628935999999999</v>
      </c>
      <c r="I56" s="64">
        <v>14.292074</v>
      </c>
      <c r="J56" s="64">
        <v>13.935912</v>
      </c>
      <c r="K56" s="64">
        <v>13.565999</v>
      </c>
      <c r="L56" s="64">
        <v>13.277203999999999</v>
      </c>
      <c r="M56" s="64">
        <v>13.019745</v>
      </c>
      <c r="N56" s="64">
        <v>12.784966000000001</v>
      </c>
      <c r="O56" s="64">
        <v>12.550357999999999</v>
      </c>
      <c r="P56" s="64">
        <v>12.335547999999999</v>
      </c>
      <c r="Q56" s="64">
        <v>12.134971999999999</v>
      </c>
      <c r="R56" s="64">
        <v>11.949123999999999</v>
      </c>
      <c r="S56" s="64">
        <v>11.778060999999999</v>
      </c>
      <c r="T56" s="64">
        <v>11.621789</v>
      </c>
      <c r="U56" s="64">
        <v>11.477596</v>
      </c>
      <c r="V56" s="64">
        <v>11.370868</v>
      </c>
      <c r="W56" s="64">
        <v>11.287215</v>
      </c>
      <c r="X56" s="64">
        <v>11.223202000000001</v>
      </c>
      <c r="Y56" s="64">
        <v>11.175604999999999</v>
      </c>
      <c r="Z56" s="64">
        <v>11.142943000000001</v>
      </c>
      <c r="AA56" s="64">
        <v>11.122249999999999</v>
      </c>
      <c r="AB56" s="64">
        <v>11.112762999999999</v>
      </c>
      <c r="AC56" s="64">
        <v>11.114813</v>
      </c>
      <c r="AD56" s="64">
        <v>11.125956</v>
      </c>
      <c r="AE56" s="64">
        <v>11.141641999999999</v>
      </c>
      <c r="AF56" s="64">
        <v>11.164968</v>
      </c>
      <c r="AG56" s="64">
        <v>11.191122</v>
      </c>
      <c r="AH56" s="64">
        <v>11.216116</v>
      </c>
      <c r="AI56" s="64">
        <v>11.244189</v>
      </c>
      <c r="AJ56" s="64">
        <v>11.271485</v>
      </c>
      <c r="AK56" s="62">
        <v>-9.7169999999999999E-3</v>
      </c>
    </row>
    <row r="57" spans="1:37" ht="15" customHeight="1" x14ac:dyDescent="0.2">
      <c r="A57" s="57" t="s">
        <v>378</v>
      </c>
      <c r="B57" s="60" t="s">
        <v>379</v>
      </c>
      <c r="C57" s="64">
        <v>0.88700599999999996</v>
      </c>
      <c r="D57" s="64">
        <v>0.90117199999999997</v>
      </c>
      <c r="E57" s="64">
        <v>0.913443</v>
      </c>
      <c r="F57" s="64">
        <v>0.91737800000000003</v>
      </c>
      <c r="G57" s="64">
        <v>0.917018</v>
      </c>
      <c r="H57" s="64">
        <v>0.91544400000000004</v>
      </c>
      <c r="I57" s="64">
        <v>0.91353499999999999</v>
      </c>
      <c r="J57" s="64">
        <v>0.910829</v>
      </c>
      <c r="K57" s="64">
        <v>0.91168499999999997</v>
      </c>
      <c r="L57" s="64">
        <v>0.91246899999999997</v>
      </c>
      <c r="M57" s="64">
        <v>0.91220400000000001</v>
      </c>
      <c r="N57" s="64">
        <v>0.91393500000000005</v>
      </c>
      <c r="O57" s="64">
        <v>0.91403599999999996</v>
      </c>
      <c r="P57" s="64">
        <v>0.91412499999999997</v>
      </c>
      <c r="Q57" s="64">
        <v>0.91635800000000001</v>
      </c>
      <c r="R57" s="64">
        <v>0.91940100000000002</v>
      </c>
      <c r="S57" s="64">
        <v>0.92392200000000002</v>
      </c>
      <c r="T57" s="64">
        <v>0.93013000000000001</v>
      </c>
      <c r="U57" s="64">
        <v>0.93766099999999997</v>
      </c>
      <c r="V57" s="64">
        <v>0.94613000000000003</v>
      </c>
      <c r="W57" s="64">
        <v>0.95593600000000001</v>
      </c>
      <c r="X57" s="64">
        <v>0.96648199999999995</v>
      </c>
      <c r="Y57" s="64">
        <v>0.97614699999999999</v>
      </c>
      <c r="Z57" s="64">
        <v>0.98616800000000004</v>
      </c>
      <c r="AA57" s="64">
        <v>0.99651000000000001</v>
      </c>
      <c r="AB57" s="64">
        <v>1.0069969999999999</v>
      </c>
      <c r="AC57" s="64">
        <v>1.0186710000000001</v>
      </c>
      <c r="AD57" s="64">
        <v>1.0312380000000001</v>
      </c>
      <c r="AE57" s="64">
        <v>1.0452349999999999</v>
      </c>
      <c r="AF57" s="64">
        <v>1.0600430000000001</v>
      </c>
      <c r="AG57" s="64">
        <v>1.0748599999999999</v>
      </c>
      <c r="AH57" s="64">
        <v>1.0886640000000001</v>
      </c>
      <c r="AI57" s="64">
        <v>1.102422</v>
      </c>
      <c r="AJ57" s="64">
        <v>1.1162099999999999</v>
      </c>
      <c r="AK57" s="62">
        <v>6.7099999999999998E-3</v>
      </c>
    </row>
    <row r="58" spans="1:37" ht="15" customHeight="1" x14ac:dyDescent="0.2">
      <c r="A58" s="57" t="s">
        <v>380</v>
      </c>
      <c r="B58" s="60" t="s">
        <v>381</v>
      </c>
      <c r="C58" s="64">
        <v>0.23677799999999999</v>
      </c>
      <c r="D58" s="64">
        <v>0.23763600000000001</v>
      </c>
      <c r="E58" s="64">
        <v>0.23840800000000001</v>
      </c>
      <c r="F58" s="64">
        <v>0.23916299999999999</v>
      </c>
      <c r="G58" s="64">
        <v>0.239921</v>
      </c>
      <c r="H58" s="64">
        <v>0.24065400000000001</v>
      </c>
      <c r="I58" s="64">
        <v>0.24133299999999999</v>
      </c>
      <c r="J58" s="64">
        <v>0.242039</v>
      </c>
      <c r="K58" s="64">
        <v>0.242841</v>
      </c>
      <c r="L58" s="64">
        <v>0.24362400000000001</v>
      </c>
      <c r="M58" s="64">
        <v>0.244393</v>
      </c>
      <c r="N58" s="64">
        <v>0.24518300000000001</v>
      </c>
      <c r="O58" s="64">
        <v>0.245948</v>
      </c>
      <c r="P58" s="64">
        <v>0.24662700000000001</v>
      </c>
      <c r="Q58" s="64">
        <v>0.24727299999999999</v>
      </c>
      <c r="R58" s="64">
        <v>0.247895</v>
      </c>
      <c r="S58" s="64">
        <v>0.24840999999999999</v>
      </c>
      <c r="T58" s="64">
        <v>0.24887000000000001</v>
      </c>
      <c r="U58" s="64">
        <v>0.249278</v>
      </c>
      <c r="V58" s="64">
        <v>0.249639</v>
      </c>
      <c r="W58" s="64">
        <v>0.24995700000000001</v>
      </c>
      <c r="X58" s="64">
        <v>0.25023000000000001</v>
      </c>
      <c r="Y58" s="64">
        <v>0.25045699999999999</v>
      </c>
      <c r="Z58" s="64">
        <v>0.250637</v>
      </c>
      <c r="AA58" s="64">
        <v>0.25076500000000002</v>
      </c>
      <c r="AB58" s="64">
        <v>0.25084699999999999</v>
      </c>
      <c r="AC58" s="64">
        <v>0.250888</v>
      </c>
      <c r="AD58" s="64">
        <v>0.250892</v>
      </c>
      <c r="AE58" s="64">
        <v>0.25087300000000001</v>
      </c>
      <c r="AF58" s="64">
        <v>0.25084600000000001</v>
      </c>
      <c r="AG58" s="64">
        <v>0.250834</v>
      </c>
      <c r="AH58" s="64">
        <v>0.250861</v>
      </c>
      <c r="AI58" s="64">
        <v>0.250946</v>
      </c>
      <c r="AJ58" s="64">
        <v>0.25111</v>
      </c>
      <c r="AK58" s="62">
        <v>1.725E-3</v>
      </c>
    </row>
    <row r="59" spans="1:37" ht="15" customHeight="1" x14ac:dyDescent="0.2">
      <c r="A59" s="57" t="s">
        <v>382</v>
      </c>
      <c r="B59" s="60" t="s">
        <v>383</v>
      </c>
      <c r="C59" s="64">
        <v>5.6493820000000001</v>
      </c>
      <c r="D59" s="64">
        <v>5.7229039999999998</v>
      </c>
      <c r="E59" s="64">
        <v>5.8148960000000001</v>
      </c>
      <c r="F59" s="64">
        <v>5.8254960000000002</v>
      </c>
      <c r="G59" s="64">
        <v>5.8086359999999999</v>
      </c>
      <c r="H59" s="64">
        <v>5.8068460000000002</v>
      </c>
      <c r="I59" s="64">
        <v>5.8042410000000002</v>
      </c>
      <c r="J59" s="64">
        <v>5.7925750000000003</v>
      </c>
      <c r="K59" s="64">
        <v>5.7771150000000002</v>
      </c>
      <c r="L59" s="64">
        <v>5.7594000000000003</v>
      </c>
      <c r="M59" s="64">
        <v>5.7201490000000002</v>
      </c>
      <c r="N59" s="64">
        <v>5.6867089999999996</v>
      </c>
      <c r="O59" s="64">
        <v>5.6421060000000001</v>
      </c>
      <c r="P59" s="64">
        <v>5.5973870000000003</v>
      </c>
      <c r="Q59" s="64">
        <v>5.5648569999999999</v>
      </c>
      <c r="R59" s="64">
        <v>5.5321559999999996</v>
      </c>
      <c r="S59" s="64">
        <v>5.5048719999999998</v>
      </c>
      <c r="T59" s="64">
        <v>5.4928910000000002</v>
      </c>
      <c r="U59" s="64">
        <v>5.4992190000000001</v>
      </c>
      <c r="V59" s="64">
        <v>5.5100530000000001</v>
      </c>
      <c r="W59" s="64">
        <v>5.5318149999999999</v>
      </c>
      <c r="X59" s="64">
        <v>5.5579729999999996</v>
      </c>
      <c r="Y59" s="64">
        <v>5.5832059999999997</v>
      </c>
      <c r="Z59" s="64">
        <v>5.6026420000000003</v>
      </c>
      <c r="AA59" s="64">
        <v>5.6342129999999999</v>
      </c>
      <c r="AB59" s="64">
        <v>5.6679500000000003</v>
      </c>
      <c r="AC59" s="64">
        <v>5.7086139999999999</v>
      </c>
      <c r="AD59" s="64">
        <v>5.7585369999999996</v>
      </c>
      <c r="AE59" s="64">
        <v>5.8127319999999996</v>
      </c>
      <c r="AF59" s="64">
        <v>5.8716419999999996</v>
      </c>
      <c r="AG59" s="64">
        <v>5.939038</v>
      </c>
      <c r="AH59" s="64">
        <v>6.007619</v>
      </c>
      <c r="AI59" s="64">
        <v>6.0638019999999999</v>
      </c>
      <c r="AJ59" s="64">
        <v>6.1261970000000003</v>
      </c>
      <c r="AK59" s="62">
        <v>2.1299999999999999E-3</v>
      </c>
    </row>
    <row r="60" spans="1:37" ht="15" customHeight="1" x14ac:dyDescent="0.2">
      <c r="A60" s="57" t="s">
        <v>384</v>
      </c>
      <c r="B60" s="60" t="s">
        <v>385</v>
      </c>
      <c r="C60" s="64">
        <v>4.6543000000000001E-2</v>
      </c>
      <c r="D60" s="64">
        <v>4.6795999999999997E-2</v>
      </c>
      <c r="E60" s="64">
        <v>4.7530000000000003E-2</v>
      </c>
      <c r="F60" s="64">
        <v>4.8112000000000002E-2</v>
      </c>
      <c r="G60" s="64">
        <v>4.8722000000000001E-2</v>
      </c>
      <c r="H60" s="64">
        <v>4.9293999999999998E-2</v>
      </c>
      <c r="I60" s="64">
        <v>4.9854000000000002E-2</v>
      </c>
      <c r="J60" s="64">
        <v>5.0421000000000001E-2</v>
      </c>
      <c r="K60" s="64">
        <v>5.1026000000000002E-2</v>
      </c>
      <c r="L60" s="64">
        <v>5.1644000000000002E-2</v>
      </c>
      <c r="M60" s="64">
        <v>5.2195999999999999E-2</v>
      </c>
      <c r="N60" s="64">
        <v>5.2874999999999998E-2</v>
      </c>
      <c r="O60" s="64">
        <v>5.3352999999999998E-2</v>
      </c>
      <c r="P60" s="64">
        <v>5.3961000000000002E-2</v>
      </c>
      <c r="Q60" s="64">
        <v>5.4524000000000003E-2</v>
      </c>
      <c r="R60" s="64">
        <v>5.5094999999999998E-2</v>
      </c>
      <c r="S60" s="64">
        <v>5.5690999999999997E-2</v>
      </c>
      <c r="T60" s="64">
        <v>5.6267999999999999E-2</v>
      </c>
      <c r="U60" s="64">
        <v>5.6839000000000001E-2</v>
      </c>
      <c r="V60" s="64">
        <v>5.738E-2</v>
      </c>
      <c r="W60" s="64">
        <v>5.7962E-2</v>
      </c>
      <c r="X60" s="64">
        <v>5.8514999999999998E-2</v>
      </c>
      <c r="Y60" s="64">
        <v>5.9055999999999997E-2</v>
      </c>
      <c r="Z60" s="64">
        <v>5.9589999999999997E-2</v>
      </c>
      <c r="AA60" s="64">
        <v>6.0132999999999999E-2</v>
      </c>
      <c r="AB60" s="64">
        <v>6.0652999999999999E-2</v>
      </c>
      <c r="AC60" s="64">
        <v>6.1199000000000003E-2</v>
      </c>
      <c r="AD60" s="64">
        <v>6.1745000000000001E-2</v>
      </c>
      <c r="AE60" s="64">
        <v>6.2278E-2</v>
      </c>
      <c r="AF60" s="64">
        <v>6.2803999999999999E-2</v>
      </c>
      <c r="AG60" s="64">
        <v>6.3347000000000001E-2</v>
      </c>
      <c r="AH60" s="64">
        <v>6.3863000000000003E-2</v>
      </c>
      <c r="AI60" s="64">
        <v>6.4385999999999999E-2</v>
      </c>
      <c r="AJ60" s="64">
        <v>6.4878000000000005E-2</v>
      </c>
      <c r="AK60" s="62">
        <v>1.0262E-2</v>
      </c>
    </row>
    <row r="61" spans="1:37" ht="15" customHeight="1" x14ac:dyDescent="0.2">
      <c r="A61" s="57" t="s">
        <v>386</v>
      </c>
      <c r="B61" s="60" t="s">
        <v>387</v>
      </c>
      <c r="C61" s="64">
        <v>0.52231300000000003</v>
      </c>
      <c r="D61" s="64">
        <v>0.51929599999999998</v>
      </c>
      <c r="E61" s="64">
        <v>0.52269500000000002</v>
      </c>
      <c r="F61" s="64">
        <v>0.50917400000000002</v>
      </c>
      <c r="G61" s="64">
        <v>0.50381200000000004</v>
      </c>
      <c r="H61" s="64">
        <v>0.49828600000000001</v>
      </c>
      <c r="I61" s="64">
        <v>0.49488399999999999</v>
      </c>
      <c r="J61" s="64">
        <v>0.49693999999999999</v>
      </c>
      <c r="K61" s="64">
        <v>0.49774200000000002</v>
      </c>
      <c r="L61" s="64">
        <v>0.49890000000000001</v>
      </c>
      <c r="M61" s="64">
        <v>0.49754700000000002</v>
      </c>
      <c r="N61" s="64">
        <v>0.49765399999999999</v>
      </c>
      <c r="O61" s="64">
        <v>0.50435399999999997</v>
      </c>
      <c r="P61" s="64">
        <v>0.50873100000000004</v>
      </c>
      <c r="Q61" s="64">
        <v>0.50671200000000005</v>
      </c>
      <c r="R61" s="64">
        <v>0.504332</v>
      </c>
      <c r="S61" s="64">
        <v>0.50446999999999997</v>
      </c>
      <c r="T61" s="64">
        <v>0.50151000000000001</v>
      </c>
      <c r="U61" s="64">
        <v>0.50185999999999997</v>
      </c>
      <c r="V61" s="64">
        <v>0.50284700000000004</v>
      </c>
      <c r="W61" s="64">
        <v>0.50267300000000004</v>
      </c>
      <c r="X61" s="64">
        <v>0.50347799999999998</v>
      </c>
      <c r="Y61" s="64">
        <v>0.50419400000000003</v>
      </c>
      <c r="Z61" s="64">
        <v>0.50451000000000001</v>
      </c>
      <c r="AA61" s="64">
        <v>0.50460899999999997</v>
      </c>
      <c r="AB61" s="64">
        <v>0.50409099999999996</v>
      </c>
      <c r="AC61" s="64">
        <v>0.50324000000000002</v>
      </c>
      <c r="AD61" s="64">
        <v>0.50368400000000002</v>
      </c>
      <c r="AE61" s="64">
        <v>0.50454100000000002</v>
      </c>
      <c r="AF61" s="64">
        <v>0.50420500000000001</v>
      </c>
      <c r="AG61" s="64">
        <v>0.50454299999999996</v>
      </c>
      <c r="AH61" s="64">
        <v>0.50544199999999995</v>
      </c>
      <c r="AI61" s="64">
        <v>0.50618799999999997</v>
      </c>
      <c r="AJ61" s="64">
        <v>0.50737299999999996</v>
      </c>
      <c r="AK61" s="62">
        <v>-7.2599999999999997E-4</v>
      </c>
    </row>
    <row r="62" spans="1:37" ht="15" customHeight="1" x14ac:dyDescent="0.2">
      <c r="A62" s="57" t="s">
        <v>388</v>
      </c>
      <c r="B62" s="60" t="s">
        <v>389</v>
      </c>
      <c r="C62" s="64">
        <v>9.4505000000000006E-2</v>
      </c>
      <c r="D62" s="64">
        <v>9.3175999999999995E-2</v>
      </c>
      <c r="E62" s="64">
        <v>9.1311000000000003E-2</v>
      </c>
      <c r="F62" s="64">
        <v>8.8600999999999999E-2</v>
      </c>
      <c r="G62" s="64">
        <v>8.5677000000000003E-2</v>
      </c>
      <c r="H62" s="64">
        <v>8.3392999999999995E-2</v>
      </c>
      <c r="I62" s="64">
        <v>8.0993999999999997E-2</v>
      </c>
      <c r="J62" s="64">
        <v>7.8417000000000001E-2</v>
      </c>
      <c r="K62" s="64">
        <v>7.5963000000000003E-2</v>
      </c>
      <c r="L62" s="64">
        <v>7.3683999999999999E-2</v>
      </c>
      <c r="M62" s="64">
        <v>7.1399000000000004E-2</v>
      </c>
      <c r="N62" s="64">
        <v>6.8964999999999999E-2</v>
      </c>
      <c r="O62" s="64">
        <v>6.6545999999999994E-2</v>
      </c>
      <c r="P62" s="64">
        <v>6.4120999999999997E-2</v>
      </c>
      <c r="Q62" s="64">
        <v>6.2828999999999996E-2</v>
      </c>
      <c r="R62" s="64">
        <v>6.1462000000000003E-2</v>
      </c>
      <c r="S62" s="64">
        <v>6.0181999999999999E-2</v>
      </c>
      <c r="T62" s="64">
        <v>5.8948E-2</v>
      </c>
      <c r="U62" s="64">
        <v>5.7777000000000002E-2</v>
      </c>
      <c r="V62" s="64">
        <v>5.6568E-2</v>
      </c>
      <c r="W62" s="64">
        <v>5.5523000000000003E-2</v>
      </c>
      <c r="X62" s="64">
        <v>5.4441000000000003E-2</v>
      </c>
      <c r="Y62" s="64">
        <v>5.3332999999999998E-2</v>
      </c>
      <c r="Z62" s="64">
        <v>5.2192000000000002E-2</v>
      </c>
      <c r="AA62" s="64">
        <v>5.1626999999999999E-2</v>
      </c>
      <c r="AB62" s="64">
        <v>5.1063999999999998E-2</v>
      </c>
      <c r="AC62" s="64">
        <v>5.0425999999999999E-2</v>
      </c>
      <c r="AD62" s="64">
        <v>4.9869999999999998E-2</v>
      </c>
      <c r="AE62" s="64">
        <v>4.9322999999999999E-2</v>
      </c>
      <c r="AF62" s="64">
        <v>4.8837999999999999E-2</v>
      </c>
      <c r="AG62" s="64">
        <v>4.8321999999999997E-2</v>
      </c>
      <c r="AH62" s="64">
        <v>4.7877000000000003E-2</v>
      </c>
      <c r="AI62" s="64">
        <v>4.7314000000000002E-2</v>
      </c>
      <c r="AJ62" s="64">
        <v>4.6826E-2</v>
      </c>
      <c r="AK62" s="62">
        <v>-2.1271999999999999E-2</v>
      </c>
    </row>
    <row r="63" spans="1:37" ht="15" customHeight="1" x14ac:dyDescent="0.2">
      <c r="A63" s="57" t="s">
        <v>390</v>
      </c>
      <c r="B63" s="60" t="s">
        <v>391</v>
      </c>
      <c r="C63" s="64">
        <v>0.96014699999999997</v>
      </c>
      <c r="D63" s="64">
        <v>0.91764800000000002</v>
      </c>
      <c r="E63" s="64">
        <v>1.0399400000000001</v>
      </c>
      <c r="F63" s="64">
        <v>0.86138800000000004</v>
      </c>
      <c r="G63" s="64">
        <v>0.86463299999999998</v>
      </c>
      <c r="H63" s="64">
        <v>0.92143600000000003</v>
      </c>
      <c r="I63" s="64">
        <v>0.93280600000000002</v>
      </c>
      <c r="J63" s="64">
        <v>0.93877200000000005</v>
      </c>
      <c r="K63" s="64">
        <v>0.94417799999999996</v>
      </c>
      <c r="L63" s="64">
        <v>0.94025999999999998</v>
      </c>
      <c r="M63" s="64">
        <v>0.93701999999999996</v>
      </c>
      <c r="N63" s="64">
        <v>0.93539000000000005</v>
      </c>
      <c r="O63" s="64">
        <v>0.93724499999999999</v>
      </c>
      <c r="P63" s="64">
        <v>0.92983199999999999</v>
      </c>
      <c r="Q63" s="64">
        <v>0.92915400000000004</v>
      </c>
      <c r="R63" s="64">
        <v>0.92899799999999999</v>
      </c>
      <c r="S63" s="64">
        <v>0.92902300000000004</v>
      </c>
      <c r="T63" s="64">
        <v>0.92819099999999999</v>
      </c>
      <c r="U63" s="64">
        <v>0.914269</v>
      </c>
      <c r="V63" s="64">
        <v>0.91376900000000005</v>
      </c>
      <c r="W63" s="64">
        <v>0.91080399999999995</v>
      </c>
      <c r="X63" s="64">
        <v>0.91024300000000002</v>
      </c>
      <c r="Y63" s="64">
        <v>0.90977600000000003</v>
      </c>
      <c r="Z63" s="64">
        <v>0.90951099999999996</v>
      </c>
      <c r="AA63" s="64">
        <v>0.90890000000000004</v>
      </c>
      <c r="AB63" s="64">
        <v>0.90731899999999999</v>
      </c>
      <c r="AC63" s="64">
        <v>0.91415100000000005</v>
      </c>
      <c r="AD63" s="64">
        <v>0.90785199999999999</v>
      </c>
      <c r="AE63" s="64">
        <v>0.908362</v>
      </c>
      <c r="AF63" s="64">
        <v>0.905308</v>
      </c>
      <c r="AG63" s="64">
        <v>0.90543899999999999</v>
      </c>
      <c r="AH63" s="64">
        <v>0.90590099999999996</v>
      </c>
      <c r="AI63" s="64">
        <v>0.907053</v>
      </c>
      <c r="AJ63" s="64">
        <v>0.90720999999999996</v>
      </c>
      <c r="AK63" s="62">
        <v>-3.57E-4</v>
      </c>
    </row>
    <row r="64" spans="1:37" ht="15" customHeight="1" x14ac:dyDescent="0.2">
      <c r="A64" s="57" t="s">
        <v>392</v>
      </c>
      <c r="B64" s="60" t="s">
        <v>393</v>
      </c>
      <c r="C64" s="64">
        <v>0.242865</v>
      </c>
      <c r="D64" s="64">
        <v>0.24279800000000001</v>
      </c>
      <c r="E64" s="64">
        <v>0.24349899999999999</v>
      </c>
      <c r="F64" s="64">
        <v>0.24379799999999999</v>
      </c>
      <c r="G64" s="64">
        <v>0.24415799999999999</v>
      </c>
      <c r="H64" s="64">
        <v>0.244395</v>
      </c>
      <c r="I64" s="64">
        <v>0.24457599999999999</v>
      </c>
      <c r="J64" s="64">
        <v>0.24472099999999999</v>
      </c>
      <c r="K64" s="64">
        <v>0.244897</v>
      </c>
      <c r="L64" s="64">
        <v>0.245087</v>
      </c>
      <c r="M64" s="64">
        <v>0.24512100000000001</v>
      </c>
      <c r="N64" s="64">
        <v>0.24534700000000001</v>
      </c>
      <c r="O64" s="64">
        <v>0.24531</v>
      </c>
      <c r="P64" s="64">
        <v>0.24528800000000001</v>
      </c>
      <c r="Q64" s="64">
        <v>0.24521599999999999</v>
      </c>
      <c r="R64" s="64">
        <v>0.24507699999999999</v>
      </c>
      <c r="S64" s="64">
        <v>0.244893</v>
      </c>
      <c r="T64" s="64">
        <v>0.24469299999999999</v>
      </c>
      <c r="U64" s="64">
        <v>0.24441099999999999</v>
      </c>
      <c r="V64" s="64">
        <v>0.24405099999999999</v>
      </c>
      <c r="W64" s="64">
        <v>0.243704</v>
      </c>
      <c r="X64" s="64">
        <v>0.243288</v>
      </c>
      <c r="Y64" s="64">
        <v>0.24282300000000001</v>
      </c>
      <c r="Z64" s="64">
        <v>0.24232400000000001</v>
      </c>
      <c r="AA64" s="64">
        <v>0.24179300000000001</v>
      </c>
      <c r="AB64" s="64">
        <v>0.24121300000000001</v>
      </c>
      <c r="AC64" s="64">
        <v>0.24063000000000001</v>
      </c>
      <c r="AD64" s="64">
        <v>0.240038</v>
      </c>
      <c r="AE64" s="64">
        <v>0.23940700000000001</v>
      </c>
      <c r="AF64" s="64">
        <v>0.238783</v>
      </c>
      <c r="AG64" s="64">
        <v>0.238148</v>
      </c>
      <c r="AH64" s="64">
        <v>0.237453</v>
      </c>
      <c r="AI64" s="64">
        <v>0.236735</v>
      </c>
      <c r="AJ64" s="64">
        <v>0.235959</v>
      </c>
      <c r="AK64" s="62">
        <v>-8.9300000000000002E-4</v>
      </c>
    </row>
    <row r="65" spans="1:37" ht="15" customHeight="1" x14ac:dyDescent="0.2">
      <c r="A65" s="57" t="s">
        <v>394</v>
      </c>
      <c r="B65" s="60" t="s">
        <v>395</v>
      </c>
      <c r="C65" s="64">
        <v>2.5238839999999998</v>
      </c>
      <c r="D65" s="64">
        <v>2.543482</v>
      </c>
      <c r="E65" s="64">
        <v>2.5814349999999999</v>
      </c>
      <c r="F65" s="64">
        <v>2.6145100000000001</v>
      </c>
      <c r="G65" s="64">
        <v>2.6396380000000002</v>
      </c>
      <c r="H65" s="64">
        <v>2.6628729999999998</v>
      </c>
      <c r="I65" s="64">
        <v>2.6888260000000002</v>
      </c>
      <c r="J65" s="64">
        <v>2.7163870000000001</v>
      </c>
      <c r="K65" s="64">
        <v>2.7477559999999999</v>
      </c>
      <c r="L65" s="64">
        <v>2.778921</v>
      </c>
      <c r="M65" s="64">
        <v>2.8073380000000001</v>
      </c>
      <c r="N65" s="64">
        <v>2.8450899999999999</v>
      </c>
      <c r="O65" s="64">
        <v>2.875095</v>
      </c>
      <c r="P65" s="64">
        <v>2.9057219999999999</v>
      </c>
      <c r="Q65" s="64">
        <v>2.9377040000000001</v>
      </c>
      <c r="R65" s="64">
        <v>2.9689709999999998</v>
      </c>
      <c r="S65" s="64">
        <v>3.000346</v>
      </c>
      <c r="T65" s="64">
        <v>3.0331640000000002</v>
      </c>
      <c r="U65" s="64">
        <v>3.0650689999999998</v>
      </c>
      <c r="V65" s="64">
        <v>3.0961479999999999</v>
      </c>
      <c r="W65" s="64">
        <v>3.1276630000000001</v>
      </c>
      <c r="X65" s="64">
        <v>3.1599080000000002</v>
      </c>
      <c r="Y65" s="64">
        <v>3.191287</v>
      </c>
      <c r="Z65" s="64">
        <v>3.2230400000000001</v>
      </c>
      <c r="AA65" s="64">
        <v>3.2547139999999999</v>
      </c>
      <c r="AB65" s="64">
        <v>3.286702</v>
      </c>
      <c r="AC65" s="64">
        <v>3.3214679999999999</v>
      </c>
      <c r="AD65" s="64">
        <v>3.3566419999999999</v>
      </c>
      <c r="AE65" s="64">
        <v>3.3941919999999999</v>
      </c>
      <c r="AF65" s="64">
        <v>3.4316550000000001</v>
      </c>
      <c r="AG65" s="64">
        <v>3.47079</v>
      </c>
      <c r="AH65" s="64">
        <v>3.5097299999999998</v>
      </c>
      <c r="AI65" s="64">
        <v>3.5484209999999998</v>
      </c>
      <c r="AJ65" s="64">
        <v>3.5862970000000001</v>
      </c>
      <c r="AK65" s="62">
        <v>1.0795000000000001E-2</v>
      </c>
    </row>
    <row r="66" spans="1:37" ht="15" customHeight="1" x14ac:dyDescent="0.2">
      <c r="A66" s="57" t="s">
        <v>396</v>
      </c>
      <c r="B66" s="60" t="s">
        <v>397</v>
      </c>
      <c r="C66" s="64">
        <v>0.53569599999999995</v>
      </c>
      <c r="D66" s="64">
        <v>0.55778399999999995</v>
      </c>
      <c r="E66" s="64">
        <v>0.58765699999999998</v>
      </c>
      <c r="F66" s="64">
        <v>0.58998700000000004</v>
      </c>
      <c r="G66" s="64">
        <v>0.58188300000000004</v>
      </c>
      <c r="H66" s="64">
        <v>0.57597500000000001</v>
      </c>
      <c r="I66" s="64">
        <v>0.55900700000000003</v>
      </c>
      <c r="J66" s="64">
        <v>0.54807499999999998</v>
      </c>
      <c r="K66" s="64">
        <v>0.54687799999999998</v>
      </c>
      <c r="L66" s="64">
        <v>0.545983</v>
      </c>
      <c r="M66" s="64">
        <v>0.54644199999999998</v>
      </c>
      <c r="N66" s="64">
        <v>0.55022199999999999</v>
      </c>
      <c r="O66" s="64">
        <v>0.55122300000000002</v>
      </c>
      <c r="P66" s="64">
        <v>0.55183000000000004</v>
      </c>
      <c r="Q66" s="64">
        <v>0.55240800000000001</v>
      </c>
      <c r="R66" s="64">
        <v>0.55295799999999995</v>
      </c>
      <c r="S66" s="64">
        <v>0.55348299999999995</v>
      </c>
      <c r="T66" s="64">
        <v>0.55398599999999998</v>
      </c>
      <c r="U66" s="64">
        <v>0.55446499999999999</v>
      </c>
      <c r="V66" s="64">
        <v>0.55493499999999996</v>
      </c>
      <c r="W66" s="64">
        <v>0.555392</v>
      </c>
      <c r="X66" s="64">
        <v>0.55583700000000003</v>
      </c>
      <c r="Y66" s="64">
        <v>0.55627099999999996</v>
      </c>
      <c r="Z66" s="64">
        <v>0.55669100000000005</v>
      </c>
      <c r="AA66" s="64">
        <v>0.55709799999999998</v>
      </c>
      <c r="AB66" s="64">
        <v>0.55749199999999999</v>
      </c>
      <c r="AC66" s="64">
        <v>0.55787399999999998</v>
      </c>
      <c r="AD66" s="64">
        <v>0.55823800000000001</v>
      </c>
      <c r="AE66" s="64">
        <v>0.558589</v>
      </c>
      <c r="AF66" s="64">
        <v>0.55892500000000001</v>
      </c>
      <c r="AG66" s="64">
        <v>0.55924499999999999</v>
      </c>
      <c r="AH66" s="64">
        <v>0.55955100000000002</v>
      </c>
      <c r="AI66" s="64">
        <v>0.55927000000000004</v>
      </c>
      <c r="AJ66" s="64">
        <v>0.55903400000000003</v>
      </c>
      <c r="AK66" s="62">
        <v>6.9999999999999994E-5</v>
      </c>
    </row>
    <row r="67" spans="1:37" ht="15" customHeight="1" x14ac:dyDescent="0.2">
      <c r="A67" s="57" t="s">
        <v>398</v>
      </c>
      <c r="B67" s="60" t="s">
        <v>399</v>
      </c>
      <c r="C67" s="64">
        <v>0.13531799999999999</v>
      </c>
      <c r="D67" s="64">
        <v>0.13427900000000001</v>
      </c>
      <c r="E67" s="64">
        <v>0.13361700000000001</v>
      </c>
      <c r="F67" s="64">
        <v>0.13310900000000001</v>
      </c>
      <c r="G67" s="64">
        <v>0.132632</v>
      </c>
      <c r="H67" s="64">
        <v>0.13197600000000001</v>
      </c>
      <c r="I67" s="64">
        <v>0.13140299999999999</v>
      </c>
      <c r="J67" s="64">
        <v>0.13087499999999999</v>
      </c>
      <c r="K67" s="64">
        <v>0.130328</v>
      </c>
      <c r="L67" s="64">
        <v>0.12981899999999999</v>
      </c>
      <c r="M67" s="64">
        <v>0.12933700000000001</v>
      </c>
      <c r="N67" s="64">
        <v>0.128918</v>
      </c>
      <c r="O67" s="64">
        <v>0.128549</v>
      </c>
      <c r="P67" s="64">
        <v>0.128273</v>
      </c>
      <c r="Q67" s="64">
        <v>0.128138</v>
      </c>
      <c r="R67" s="64">
        <v>0.12799099999999999</v>
      </c>
      <c r="S67" s="64">
        <v>0.127887</v>
      </c>
      <c r="T67" s="64">
        <v>0.12790399999999999</v>
      </c>
      <c r="U67" s="64">
        <v>0.12790699999999999</v>
      </c>
      <c r="V67" s="64">
        <v>0.12789900000000001</v>
      </c>
      <c r="W67" s="64">
        <v>0.12792200000000001</v>
      </c>
      <c r="X67" s="64">
        <v>0.12796099999999999</v>
      </c>
      <c r="Y67" s="64">
        <v>0.12798300000000001</v>
      </c>
      <c r="Z67" s="64">
        <v>0.12801699999999999</v>
      </c>
      <c r="AA67" s="64">
        <v>0.128052</v>
      </c>
      <c r="AB67" s="64">
        <v>0.12812699999999999</v>
      </c>
      <c r="AC67" s="64">
        <v>0.12819900000000001</v>
      </c>
      <c r="AD67" s="64">
        <v>0.12831200000000001</v>
      </c>
      <c r="AE67" s="64">
        <v>0.12843199999999999</v>
      </c>
      <c r="AF67" s="64">
        <v>0.12853899999999999</v>
      </c>
      <c r="AG67" s="64">
        <v>0.128607</v>
      </c>
      <c r="AH67" s="64">
        <v>0.128636</v>
      </c>
      <c r="AI67" s="64">
        <v>0.12867700000000001</v>
      </c>
      <c r="AJ67" s="64">
        <v>0.12871099999999999</v>
      </c>
      <c r="AK67" s="62">
        <v>-1.323E-3</v>
      </c>
    </row>
    <row r="68" spans="1:37" ht="15" customHeight="1" x14ac:dyDescent="0.2">
      <c r="A68" s="57" t="s">
        <v>400</v>
      </c>
      <c r="B68" s="60" t="s">
        <v>401</v>
      </c>
      <c r="C68" s="64">
        <v>0.67915400000000004</v>
      </c>
      <c r="D68" s="64">
        <v>0.704264</v>
      </c>
      <c r="E68" s="64">
        <v>0.69070699999999996</v>
      </c>
      <c r="F68" s="64">
        <v>0.67319200000000001</v>
      </c>
      <c r="G68" s="64">
        <v>0.66001200000000004</v>
      </c>
      <c r="H68" s="64">
        <v>0.64785300000000001</v>
      </c>
      <c r="I68" s="64">
        <v>0.64044500000000004</v>
      </c>
      <c r="J68" s="64">
        <v>0.64146599999999998</v>
      </c>
      <c r="K68" s="64">
        <v>0.65329499999999996</v>
      </c>
      <c r="L68" s="64">
        <v>0.65733299999999995</v>
      </c>
      <c r="M68" s="64">
        <v>0.66464699999999999</v>
      </c>
      <c r="N68" s="64">
        <v>0.67361899999999997</v>
      </c>
      <c r="O68" s="64">
        <v>0.68086199999999997</v>
      </c>
      <c r="P68" s="64">
        <v>0.68296500000000004</v>
      </c>
      <c r="Q68" s="64">
        <v>0.68536399999999997</v>
      </c>
      <c r="R68" s="64">
        <v>0.69249499999999997</v>
      </c>
      <c r="S68" s="64">
        <v>0.69311199999999995</v>
      </c>
      <c r="T68" s="64">
        <v>0.696353</v>
      </c>
      <c r="U68" s="64">
        <v>0.69771799999999995</v>
      </c>
      <c r="V68" s="64">
        <v>0.70013599999999998</v>
      </c>
      <c r="W68" s="64">
        <v>0.70037899999999997</v>
      </c>
      <c r="X68" s="64">
        <v>0.70328400000000002</v>
      </c>
      <c r="Y68" s="64">
        <v>0.70642099999999997</v>
      </c>
      <c r="Z68" s="64">
        <v>0.71111000000000002</v>
      </c>
      <c r="AA68" s="64">
        <v>0.71557800000000005</v>
      </c>
      <c r="AB68" s="64">
        <v>0.72145199999999998</v>
      </c>
      <c r="AC68" s="64">
        <v>0.72530799999999995</v>
      </c>
      <c r="AD68" s="64">
        <v>0.73130899999999999</v>
      </c>
      <c r="AE68" s="64">
        <v>0.73650300000000002</v>
      </c>
      <c r="AF68" s="64">
        <v>0.74035300000000004</v>
      </c>
      <c r="AG68" s="64">
        <v>0.74532799999999999</v>
      </c>
      <c r="AH68" s="64">
        <v>0.75127999999999995</v>
      </c>
      <c r="AI68" s="64">
        <v>0.75793100000000002</v>
      </c>
      <c r="AJ68" s="64">
        <v>0.76431800000000005</v>
      </c>
      <c r="AK68" s="62">
        <v>2.5600000000000002E-3</v>
      </c>
    </row>
    <row r="69" spans="1:37" ht="15" customHeight="1" x14ac:dyDescent="0.2">
      <c r="B69" s="59" t="s">
        <v>402</v>
      </c>
      <c r="C69" s="65">
        <v>27.94257</v>
      </c>
      <c r="D69" s="65">
        <v>28.026734999999999</v>
      </c>
      <c r="E69" s="65">
        <v>28.228846000000001</v>
      </c>
      <c r="F69" s="65">
        <v>27.903879</v>
      </c>
      <c r="G69" s="65">
        <v>27.644587999999999</v>
      </c>
      <c r="H69" s="65">
        <v>27.407357999999999</v>
      </c>
      <c r="I69" s="65">
        <v>27.073978</v>
      </c>
      <c r="J69" s="65">
        <v>26.727428</v>
      </c>
      <c r="K69" s="65">
        <v>26.389702</v>
      </c>
      <c r="L69" s="65">
        <v>26.114325999999998</v>
      </c>
      <c r="M69" s="65">
        <v>25.847538</v>
      </c>
      <c r="N69" s="65">
        <v>25.628876000000002</v>
      </c>
      <c r="O69" s="65">
        <v>25.394987</v>
      </c>
      <c r="P69" s="65">
        <v>25.164408000000002</v>
      </c>
      <c r="Q69" s="65">
        <v>24.965509000000001</v>
      </c>
      <c r="R69" s="65">
        <v>24.785954</v>
      </c>
      <c r="S69" s="65">
        <v>24.624352999999999</v>
      </c>
      <c r="T69" s="65">
        <v>24.494696000000001</v>
      </c>
      <c r="U69" s="65">
        <v>24.384067999999999</v>
      </c>
      <c r="V69" s="65">
        <v>24.330423</v>
      </c>
      <c r="W69" s="65">
        <v>24.306944000000001</v>
      </c>
      <c r="X69" s="65">
        <v>24.314841999999999</v>
      </c>
      <c r="Y69" s="65">
        <v>24.336559000000001</v>
      </c>
      <c r="Z69" s="65">
        <v>24.369378999999999</v>
      </c>
      <c r="AA69" s="65">
        <v>24.426242999999999</v>
      </c>
      <c r="AB69" s="65">
        <v>24.496666000000001</v>
      </c>
      <c r="AC69" s="65">
        <v>24.595482000000001</v>
      </c>
      <c r="AD69" s="65">
        <v>24.704312999999999</v>
      </c>
      <c r="AE69" s="65">
        <v>24.832108000000002</v>
      </c>
      <c r="AF69" s="65">
        <v>24.966904</v>
      </c>
      <c r="AG69" s="65">
        <v>25.119624999999999</v>
      </c>
      <c r="AH69" s="65">
        <v>25.272991000000001</v>
      </c>
      <c r="AI69" s="65">
        <v>25.417335999999999</v>
      </c>
      <c r="AJ69" s="65">
        <v>25.565608999999998</v>
      </c>
      <c r="AK69" s="66">
        <v>-2.8679999999999999E-3</v>
      </c>
    </row>
    <row r="70" spans="1:37" ht="15.75" customHeight="1" x14ac:dyDescent="0.2"/>
    <row r="71" spans="1:37" ht="15" customHeight="1" x14ac:dyDescent="0.2">
      <c r="A71" s="57" t="s">
        <v>403</v>
      </c>
      <c r="B71" s="59" t="s">
        <v>404</v>
      </c>
    </row>
    <row r="72" spans="1:37" ht="15" customHeight="1" x14ac:dyDescent="0.2">
      <c r="A72" s="57" t="s">
        <v>405</v>
      </c>
      <c r="B72" s="60" t="s">
        <v>377</v>
      </c>
      <c r="C72" s="64">
        <v>8.3570670000000007</v>
      </c>
      <c r="D72" s="64">
        <v>8.3539349999999999</v>
      </c>
      <c r="E72" s="64">
        <v>8.3076089999999994</v>
      </c>
      <c r="F72" s="64">
        <v>8.2186229999999991</v>
      </c>
      <c r="G72" s="64">
        <v>8.0895259999999993</v>
      </c>
      <c r="H72" s="64">
        <v>7.9360229999999996</v>
      </c>
      <c r="I72" s="64">
        <v>7.7566699999999997</v>
      </c>
      <c r="J72" s="64">
        <v>7.5690900000000001</v>
      </c>
      <c r="K72" s="64">
        <v>7.3761210000000004</v>
      </c>
      <c r="L72" s="64">
        <v>7.2188210000000002</v>
      </c>
      <c r="M72" s="64">
        <v>7.0821639999999997</v>
      </c>
      <c r="N72" s="64">
        <v>6.9568019999999997</v>
      </c>
      <c r="O72" s="64">
        <v>6.8319229999999997</v>
      </c>
      <c r="P72" s="64">
        <v>6.7177870000000004</v>
      </c>
      <c r="Q72" s="64">
        <v>6.6090730000000004</v>
      </c>
      <c r="R72" s="64">
        <v>6.5074569999999996</v>
      </c>
      <c r="S72" s="64">
        <v>6.4145659999999998</v>
      </c>
      <c r="T72" s="64">
        <v>6.3313879999999996</v>
      </c>
      <c r="U72" s="64">
        <v>6.2531949999999998</v>
      </c>
      <c r="V72" s="64">
        <v>6.1960480000000002</v>
      </c>
      <c r="W72" s="64">
        <v>6.1511899999999997</v>
      </c>
      <c r="X72" s="64">
        <v>6.1163569999999998</v>
      </c>
      <c r="Y72" s="64">
        <v>6.0897269999999999</v>
      </c>
      <c r="Z72" s="64">
        <v>6.0710709999999999</v>
      </c>
      <c r="AA72" s="64">
        <v>6.0573420000000002</v>
      </c>
      <c r="AB72" s="64">
        <v>6.0499349999999996</v>
      </c>
      <c r="AC72" s="64">
        <v>6.0479339999999997</v>
      </c>
      <c r="AD72" s="64">
        <v>6.0520370000000003</v>
      </c>
      <c r="AE72" s="64">
        <v>6.059132</v>
      </c>
      <c r="AF72" s="64">
        <v>6.0667070000000001</v>
      </c>
      <c r="AG72" s="64">
        <v>6.0749329999999997</v>
      </c>
      <c r="AH72" s="64">
        <v>6.0858210000000001</v>
      </c>
      <c r="AI72" s="64">
        <v>6.103084</v>
      </c>
      <c r="AJ72" s="64">
        <v>6.1167850000000001</v>
      </c>
      <c r="AK72" s="62">
        <v>-9.6930000000000002E-3</v>
      </c>
    </row>
    <row r="73" spans="1:37" ht="15" customHeight="1" x14ac:dyDescent="0.2">
      <c r="A73" s="57" t="s">
        <v>406</v>
      </c>
      <c r="B73" s="60" t="s">
        <v>379</v>
      </c>
      <c r="C73" s="64">
        <v>0.461895</v>
      </c>
      <c r="D73" s="64">
        <v>0.46984500000000001</v>
      </c>
      <c r="E73" s="64">
        <v>0.476047</v>
      </c>
      <c r="F73" s="64">
        <v>0.47814800000000002</v>
      </c>
      <c r="G73" s="64">
        <v>0.478209</v>
      </c>
      <c r="H73" s="64">
        <v>0.47764200000000001</v>
      </c>
      <c r="I73" s="64">
        <v>0.47696100000000002</v>
      </c>
      <c r="J73" s="64">
        <v>0.47654299999999999</v>
      </c>
      <c r="K73" s="64">
        <v>0.478605</v>
      </c>
      <c r="L73" s="64">
        <v>0.47937099999999999</v>
      </c>
      <c r="M73" s="64">
        <v>0.48023900000000003</v>
      </c>
      <c r="N73" s="64">
        <v>0.48210500000000001</v>
      </c>
      <c r="O73" s="64">
        <v>0.48331299999999999</v>
      </c>
      <c r="P73" s="64">
        <v>0.48476900000000001</v>
      </c>
      <c r="Q73" s="64">
        <v>0.48663200000000001</v>
      </c>
      <c r="R73" s="64">
        <v>0.48895699999999997</v>
      </c>
      <c r="S73" s="64">
        <v>0.49220199999999997</v>
      </c>
      <c r="T73" s="64">
        <v>0.49682100000000001</v>
      </c>
      <c r="U73" s="64">
        <v>0.50174399999999997</v>
      </c>
      <c r="V73" s="64">
        <v>0.50734599999999996</v>
      </c>
      <c r="W73" s="64">
        <v>0.513656</v>
      </c>
      <c r="X73" s="64">
        <v>0.52018699999999995</v>
      </c>
      <c r="Y73" s="64">
        <v>0.52609600000000001</v>
      </c>
      <c r="Z73" s="64">
        <v>0.53204899999999999</v>
      </c>
      <c r="AA73" s="64">
        <v>0.537721</v>
      </c>
      <c r="AB73" s="64">
        <v>0.54346099999999997</v>
      </c>
      <c r="AC73" s="64">
        <v>0.54929799999999995</v>
      </c>
      <c r="AD73" s="64">
        <v>0.55602099999999999</v>
      </c>
      <c r="AE73" s="64">
        <v>0.56367699999999998</v>
      </c>
      <c r="AF73" s="64">
        <v>0.57010700000000003</v>
      </c>
      <c r="AG73" s="64">
        <v>0.57577999999999996</v>
      </c>
      <c r="AH73" s="64">
        <v>0.58205200000000001</v>
      </c>
      <c r="AI73" s="64">
        <v>0.59025700000000003</v>
      </c>
      <c r="AJ73" s="64">
        <v>0.59835700000000003</v>
      </c>
      <c r="AK73" s="62">
        <v>7.5839999999999996E-3</v>
      </c>
    </row>
    <row r="74" spans="1:37" ht="15" customHeight="1" x14ac:dyDescent="0.2">
      <c r="A74" s="57" t="s">
        <v>407</v>
      </c>
      <c r="B74" s="60" t="s">
        <v>381</v>
      </c>
      <c r="C74" s="64">
        <v>0.114317</v>
      </c>
      <c r="D74" s="64">
        <v>0.11476</v>
      </c>
      <c r="E74" s="64">
        <v>0.11513900000000001</v>
      </c>
      <c r="F74" s="64">
        <v>0.11552900000000001</v>
      </c>
      <c r="G74" s="64">
        <v>0.11588900000000001</v>
      </c>
      <c r="H74" s="64">
        <v>0.116242</v>
      </c>
      <c r="I74" s="64">
        <v>0.11659799999999999</v>
      </c>
      <c r="J74" s="64">
        <v>0.11692</v>
      </c>
      <c r="K74" s="64">
        <v>0.117326</v>
      </c>
      <c r="L74" s="64">
        <v>0.11769300000000001</v>
      </c>
      <c r="M74" s="64">
        <v>0.118046</v>
      </c>
      <c r="N74" s="64">
        <v>0.118423</v>
      </c>
      <c r="O74" s="64">
        <v>0.118812</v>
      </c>
      <c r="P74" s="64">
        <v>0.119135</v>
      </c>
      <c r="Q74" s="64">
        <v>0.119446</v>
      </c>
      <c r="R74" s="64">
        <v>0.119745</v>
      </c>
      <c r="S74" s="64">
        <v>0.119972</v>
      </c>
      <c r="T74" s="64">
        <v>0.120209</v>
      </c>
      <c r="U74" s="64">
        <v>0.120407</v>
      </c>
      <c r="V74" s="64">
        <v>0.120587</v>
      </c>
      <c r="W74" s="64">
        <v>0.120737</v>
      </c>
      <c r="X74" s="64">
        <v>0.12087100000000001</v>
      </c>
      <c r="Y74" s="64">
        <v>0.12098299999999999</v>
      </c>
      <c r="Z74" s="64">
        <v>0.121072</v>
      </c>
      <c r="AA74" s="64">
        <v>0.12113500000000001</v>
      </c>
      <c r="AB74" s="64">
        <v>0.12118</v>
      </c>
      <c r="AC74" s="64">
        <v>0.121198</v>
      </c>
      <c r="AD74" s="64">
        <v>0.121207</v>
      </c>
      <c r="AE74" s="64">
        <v>0.121198</v>
      </c>
      <c r="AF74" s="64">
        <v>0.12119000000000001</v>
      </c>
      <c r="AG74" s="64">
        <v>0.12119099999999999</v>
      </c>
      <c r="AH74" s="64">
        <v>0.121209</v>
      </c>
      <c r="AI74" s="64">
        <v>0.121258</v>
      </c>
      <c r="AJ74" s="64">
        <v>0.121337</v>
      </c>
      <c r="AK74" s="62">
        <v>1.743E-3</v>
      </c>
    </row>
    <row r="75" spans="1:37" ht="15" customHeight="1" x14ac:dyDescent="0.2">
      <c r="A75" s="57" t="s">
        <v>408</v>
      </c>
      <c r="B75" s="60" t="s">
        <v>383</v>
      </c>
      <c r="C75" s="64">
        <v>2.7160069999999998</v>
      </c>
      <c r="D75" s="64">
        <v>2.7514889999999999</v>
      </c>
      <c r="E75" s="64">
        <v>2.7956270000000001</v>
      </c>
      <c r="F75" s="64">
        <v>2.801202</v>
      </c>
      <c r="G75" s="64">
        <v>2.7933409999999999</v>
      </c>
      <c r="H75" s="64">
        <v>2.7925719999999998</v>
      </c>
      <c r="I75" s="64">
        <v>2.7923279999999999</v>
      </c>
      <c r="J75" s="64">
        <v>2.7865319999999998</v>
      </c>
      <c r="K75" s="64">
        <v>2.7798769999999999</v>
      </c>
      <c r="L75" s="64">
        <v>2.771582</v>
      </c>
      <c r="M75" s="64">
        <v>2.7526609999999998</v>
      </c>
      <c r="N75" s="64">
        <v>2.7370450000000002</v>
      </c>
      <c r="O75" s="64">
        <v>2.716828</v>
      </c>
      <c r="P75" s="64">
        <v>2.6957179999999998</v>
      </c>
      <c r="Q75" s="64">
        <v>2.6808909999999999</v>
      </c>
      <c r="R75" s="64">
        <v>2.665842</v>
      </c>
      <c r="S75" s="64">
        <v>2.6529590000000001</v>
      </c>
      <c r="T75" s="64">
        <v>2.648333</v>
      </c>
      <c r="U75" s="64">
        <v>2.6520820000000001</v>
      </c>
      <c r="V75" s="64">
        <v>2.6581860000000002</v>
      </c>
      <c r="W75" s="64">
        <v>2.66927</v>
      </c>
      <c r="X75" s="64">
        <v>2.6827860000000001</v>
      </c>
      <c r="Y75" s="64">
        <v>2.6957460000000002</v>
      </c>
      <c r="Z75" s="64">
        <v>2.7061679999999999</v>
      </c>
      <c r="AA75" s="64">
        <v>2.7223459999999999</v>
      </c>
      <c r="AB75" s="64">
        <v>2.7397399999999998</v>
      </c>
      <c r="AC75" s="64">
        <v>2.7604329999999999</v>
      </c>
      <c r="AD75" s="64">
        <v>2.7856770000000002</v>
      </c>
      <c r="AE75" s="64">
        <v>2.8128760000000002</v>
      </c>
      <c r="AF75" s="64">
        <v>2.842768</v>
      </c>
      <c r="AG75" s="64">
        <v>2.8770090000000001</v>
      </c>
      <c r="AH75" s="64">
        <v>2.911673</v>
      </c>
      <c r="AI75" s="64">
        <v>2.9400979999999999</v>
      </c>
      <c r="AJ75" s="64">
        <v>2.971311</v>
      </c>
      <c r="AK75" s="62">
        <v>2.405E-3</v>
      </c>
    </row>
    <row r="76" spans="1:37" ht="15" customHeight="1" x14ac:dyDescent="0.2">
      <c r="A76" s="57" t="s">
        <v>409</v>
      </c>
      <c r="B76" s="60" t="s">
        <v>385</v>
      </c>
      <c r="C76" s="64">
        <v>2.2033000000000001E-2</v>
      </c>
      <c r="D76" s="64">
        <v>2.2152999999999999E-2</v>
      </c>
      <c r="E76" s="64">
        <v>2.2502000000000001E-2</v>
      </c>
      <c r="F76" s="64">
        <v>2.2779000000000001E-2</v>
      </c>
      <c r="G76" s="64">
        <v>2.3067000000000001E-2</v>
      </c>
      <c r="H76" s="64">
        <v>2.3337E-2</v>
      </c>
      <c r="I76" s="64">
        <v>2.3605000000000001E-2</v>
      </c>
      <c r="J76" s="64">
        <v>2.3871E-2</v>
      </c>
      <c r="K76" s="64">
        <v>2.4159E-2</v>
      </c>
      <c r="L76" s="64">
        <v>2.4451000000000001E-2</v>
      </c>
      <c r="M76" s="64">
        <v>2.4708999999999998E-2</v>
      </c>
      <c r="N76" s="64">
        <v>2.503E-2</v>
      </c>
      <c r="O76" s="64">
        <v>2.5260000000000001E-2</v>
      </c>
      <c r="P76" s="64">
        <v>2.5547E-2</v>
      </c>
      <c r="Q76" s="64">
        <v>2.5814E-2</v>
      </c>
      <c r="R76" s="64">
        <v>2.6085000000000001E-2</v>
      </c>
      <c r="S76" s="64">
        <v>2.6365E-2</v>
      </c>
      <c r="T76" s="64">
        <v>2.6641000000000001E-2</v>
      </c>
      <c r="U76" s="64">
        <v>2.6911000000000001E-2</v>
      </c>
      <c r="V76" s="64">
        <v>2.7168000000000001E-2</v>
      </c>
      <c r="W76" s="64">
        <v>2.7444E-2</v>
      </c>
      <c r="X76" s="64">
        <v>2.7706000000000001E-2</v>
      </c>
      <c r="Y76" s="64">
        <v>2.7962000000000001E-2</v>
      </c>
      <c r="Z76" s="64">
        <v>2.8215E-2</v>
      </c>
      <c r="AA76" s="64">
        <v>2.8472999999999998E-2</v>
      </c>
      <c r="AB76" s="64">
        <v>2.8719999999999999E-2</v>
      </c>
      <c r="AC76" s="64">
        <v>2.8978E-2</v>
      </c>
      <c r="AD76" s="64">
        <v>2.9238E-2</v>
      </c>
      <c r="AE76" s="64">
        <v>2.9489999999999999E-2</v>
      </c>
      <c r="AF76" s="64">
        <v>2.9739999999999999E-2</v>
      </c>
      <c r="AG76" s="64">
        <v>2.9998E-2</v>
      </c>
      <c r="AH76" s="64">
        <v>3.0242999999999999E-2</v>
      </c>
      <c r="AI76" s="64">
        <v>3.0491000000000001E-2</v>
      </c>
      <c r="AJ76" s="64">
        <v>3.0724999999999999E-2</v>
      </c>
      <c r="AK76" s="62">
        <v>1.0272999999999999E-2</v>
      </c>
    </row>
    <row r="77" spans="1:37" ht="15" customHeight="1" x14ac:dyDescent="0.2">
      <c r="A77" s="57" t="s">
        <v>410</v>
      </c>
      <c r="B77" s="60" t="s">
        <v>387</v>
      </c>
      <c r="C77" s="64">
        <v>0.247806</v>
      </c>
      <c r="D77" s="64">
        <v>0.24640999999999999</v>
      </c>
      <c r="E77" s="64">
        <v>0.248031</v>
      </c>
      <c r="F77" s="64">
        <v>0.241643</v>
      </c>
      <c r="G77" s="64">
        <v>0.239089</v>
      </c>
      <c r="H77" s="64">
        <v>0.23643800000000001</v>
      </c>
      <c r="I77" s="64">
        <v>0.234871</v>
      </c>
      <c r="J77" s="64">
        <v>0.235787</v>
      </c>
      <c r="K77" s="64">
        <v>0.236205</v>
      </c>
      <c r="L77" s="64">
        <v>0.23671300000000001</v>
      </c>
      <c r="M77" s="64">
        <v>0.23600699999999999</v>
      </c>
      <c r="N77" s="64">
        <v>0.23603099999999999</v>
      </c>
      <c r="O77" s="64">
        <v>0.239233</v>
      </c>
      <c r="P77" s="64">
        <v>0.241282</v>
      </c>
      <c r="Q77" s="64">
        <v>0.24030399999999999</v>
      </c>
      <c r="R77" s="64">
        <v>0.23915700000000001</v>
      </c>
      <c r="S77" s="64">
        <v>0.23916699999999999</v>
      </c>
      <c r="T77" s="64">
        <v>0.23778099999999999</v>
      </c>
      <c r="U77" s="64">
        <v>0.237928</v>
      </c>
      <c r="V77" s="64">
        <v>0.23838699999999999</v>
      </c>
      <c r="W77" s="64">
        <v>0.23827699999999999</v>
      </c>
      <c r="X77" s="64">
        <v>0.23864199999999999</v>
      </c>
      <c r="Y77" s="64">
        <v>0.23896600000000001</v>
      </c>
      <c r="Z77" s="64">
        <v>0.23909900000000001</v>
      </c>
      <c r="AA77" s="64">
        <v>0.23912800000000001</v>
      </c>
      <c r="AB77" s="64">
        <v>0.238871</v>
      </c>
      <c r="AC77" s="64">
        <v>0.23844499999999999</v>
      </c>
      <c r="AD77" s="64">
        <v>0.238648</v>
      </c>
      <c r="AE77" s="64">
        <v>0.239036</v>
      </c>
      <c r="AF77" s="64">
        <v>0.23886399999999999</v>
      </c>
      <c r="AG77" s="64">
        <v>0.239014</v>
      </c>
      <c r="AH77" s="64">
        <v>0.239428</v>
      </c>
      <c r="AI77" s="64">
        <v>0.23977000000000001</v>
      </c>
      <c r="AJ77" s="64">
        <v>0.24032000000000001</v>
      </c>
      <c r="AK77" s="62">
        <v>-7.8200000000000003E-4</v>
      </c>
    </row>
    <row r="78" spans="1:37" ht="15" customHeight="1" x14ac:dyDescent="0.2">
      <c r="A78" s="57" t="s">
        <v>411</v>
      </c>
      <c r="B78" s="60" t="s">
        <v>389</v>
      </c>
      <c r="C78" s="64">
        <v>4.4738E-2</v>
      </c>
      <c r="D78" s="64">
        <v>4.4123999999999997E-2</v>
      </c>
      <c r="E78" s="64">
        <v>4.3216999999999998E-2</v>
      </c>
      <c r="F78" s="64">
        <v>4.1954999999999999E-2</v>
      </c>
      <c r="G78" s="64">
        <v>4.0583000000000001E-2</v>
      </c>
      <c r="H78" s="64">
        <v>3.95E-2</v>
      </c>
      <c r="I78" s="64">
        <v>3.8374999999999999E-2</v>
      </c>
      <c r="J78" s="64">
        <v>3.7148E-2</v>
      </c>
      <c r="K78" s="64">
        <v>3.5996E-2</v>
      </c>
      <c r="L78" s="64">
        <v>3.4914000000000001E-2</v>
      </c>
      <c r="M78" s="64">
        <v>3.3826000000000002E-2</v>
      </c>
      <c r="N78" s="64">
        <v>3.2674000000000002E-2</v>
      </c>
      <c r="O78" s="64">
        <v>3.1536000000000002E-2</v>
      </c>
      <c r="P78" s="64">
        <v>3.0388999999999999E-2</v>
      </c>
      <c r="Q78" s="64">
        <v>2.9779E-2</v>
      </c>
      <c r="R78" s="64">
        <v>2.9134E-2</v>
      </c>
      <c r="S78" s="64">
        <v>2.8524000000000001E-2</v>
      </c>
      <c r="T78" s="64">
        <v>2.7947E-2</v>
      </c>
      <c r="U78" s="64">
        <v>2.7394000000000002E-2</v>
      </c>
      <c r="V78" s="64">
        <v>2.6823E-2</v>
      </c>
      <c r="W78" s="64">
        <v>2.6329000000000002E-2</v>
      </c>
      <c r="X78" s="64">
        <v>2.5818000000000001E-2</v>
      </c>
      <c r="Y78" s="64">
        <v>2.5295000000000002E-2</v>
      </c>
      <c r="Z78" s="64">
        <v>2.4756E-2</v>
      </c>
      <c r="AA78" s="64">
        <v>2.4487999999999999E-2</v>
      </c>
      <c r="AB78" s="64">
        <v>2.4220999999999999E-2</v>
      </c>
      <c r="AC78" s="64">
        <v>2.3917999999999998E-2</v>
      </c>
      <c r="AD78" s="64">
        <v>2.3654999999999999E-2</v>
      </c>
      <c r="AE78" s="64">
        <v>2.3396E-2</v>
      </c>
      <c r="AF78" s="64">
        <v>2.3165999999999999E-2</v>
      </c>
      <c r="AG78" s="64">
        <v>2.2922000000000001E-2</v>
      </c>
      <c r="AH78" s="64">
        <v>2.2710999999999999E-2</v>
      </c>
      <c r="AI78" s="64">
        <v>2.2445E-2</v>
      </c>
      <c r="AJ78" s="64">
        <v>2.2214000000000001E-2</v>
      </c>
      <c r="AK78" s="62">
        <v>-2.1218000000000001E-2</v>
      </c>
    </row>
    <row r="79" spans="1:37" ht="15" customHeight="1" x14ac:dyDescent="0.2">
      <c r="A79" s="57" t="s">
        <v>412</v>
      </c>
      <c r="B79" s="60" t="s">
        <v>391</v>
      </c>
      <c r="C79" s="64">
        <v>0.42943900000000002</v>
      </c>
      <c r="D79" s="64">
        <v>0.41117599999999999</v>
      </c>
      <c r="E79" s="64">
        <v>0.46818199999999999</v>
      </c>
      <c r="F79" s="64">
        <v>0.39518500000000001</v>
      </c>
      <c r="G79" s="64">
        <v>0.39383200000000002</v>
      </c>
      <c r="H79" s="64">
        <v>0.415271</v>
      </c>
      <c r="I79" s="64">
        <v>0.41963800000000001</v>
      </c>
      <c r="J79" s="64">
        <v>0.42189599999999999</v>
      </c>
      <c r="K79" s="64">
        <v>0.42400599999999999</v>
      </c>
      <c r="L79" s="64">
        <v>0.42254700000000001</v>
      </c>
      <c r="M79" s="64">
        <v>0.421323</v>
      </c>
      <c r="N79" s="64">
        <v>0.42074600000000001</v>
      </c>
      <c r="O79" s="64">
        <v>0.42152099999999998</v>
      </c>
      <c r="P79" s="64">
        <v>0.418769</v>
      </c>
      <c r="Q79" s="64">
        <v>0.41855799999999999</v>
      </c>
      <c r="R79" s="64">
        <v>0.41854599999999997</v>
      </c>
      <c r="S79" s="64">
        <v>0.41857899999999998</v>
      </c>
      <c r="T79" s="64">
        <v>0.41833900000000002</v>
      </c>
      <c r="U79" s="64">
        <v>0.413132</v>
      </c>
      <c r="V79" s="64">
        <v>0.41299400000000003</v>
      </c>
      <c r="W79" s="64">
        <v>0.41191800000000001</v>
      </c>
      <c r="X79" s="64">
        <v>0.41175400000000001</v>
      </c>
      <c r="Y79" s="64">
        <v>0.41162500000000002</v>
      </c>
      <c r="Z79" s="64">
        <v>0.41157500000000002</v>
      </c>
      <c r="AA79" s="64">
        <v>0.41139300000000001</v>
      </c>
      <c r="AB79" s="64">
        <v>0.41084100000000001</v>
      </c>
      <c r="AC79" s="64">
        <v>0.41347400000000001</v>
      </c>
      <c r="AD79" s="64">
        <v>0.41115600000000002</v>
      </c>
      <c r="AE79" s="64">
        <v>0.411408</v>
      </c>
      <c r="AF79" s="64">
        <v>0.41030800000000001</v>
      </c>
      <c r="AG79" s="64">
        <v>0.410416</v>
      </c>
      <c r="AH79" s="64">
        <v>0.41064800000000001</v>
      </c>
      <c r="AI79" s="64">
        <v>0.41114299999999998</v>
      </c>
      <c r="AJ79" s="64">
        <v>0.41126200000000002</v>
      </c>
      <c r="AK79" s="62">
        <v>6.9999999999999999E-6</v>
      </c>
    </row>
    <row r="80" spans="1:37" ht="15" customHeight="1" x14ac:dyDescent="0.2">
      <c r="A80" s="57" t="s">
        <v>413</v>
      </c>
      <c r="B80" s="60" t="s">
        <v>393</v>
      </c>
      <c r="C80" s="64">
        <v>0.13158600000000001</v>
      </c>
      <c r="D80" s="64">
        <v>0.13158600000000001</v>
      </c>
      <c r="E80" s="64">
        <v>0.13194800000000001</v>
      </c>
      <c r="F80" s="64">
        <v>0.132101</v>
      </c>
      <c r="G80" s="64">
        <v>0.13231999999999999</v>
      </c>
      <c r="H80" s="64">
        <v>0.13250200000000001</v>
      </c>
      <c r="I80" s="64">
        <v>0.13266600000000001</v>
      </c>
      <c r="J80" s="64">
        <v>0.132766</v>
      </c>
      <c r="K80" s="64">
        <v>0.13287499999999999</v>
      </c>
      <c r="L80" s="64">
        <v>0.132989</v>
      </c>
      <c r="M80" s="64">
        <v>0.13302</v>
      </c>
      <c r="N80" s="64">
        <v>0.13315299999999999</v>
      </c>
      <c r="O80" s="64">
        <v>0.13314500000000001</v>
      </c>
      <c r="P80" s="64">
        <v>0.133131</v>
      </c>
      <c r="Q80" s="64">
        <v>0.13311100000000001</v>
      </c>
      <c r="R80" s="64">
        <v>0.133046</v>
      </c>
      <c r="S80" s="64">
        <v>0.13295199999999999</v>
      </c>
      <c r="T80" s="64">
        <v>0.132859</v>
      </c>
      <c r="U80" s="64">
        <v>0.13272400000000001</v>
      </c>
      <c r="V80" s="64">
        <v>0.132549</v>
      </c>
      <c r="W80" s="64">
        <v>0.132382</v>
      </c>
      <c r="X80" s="64">
        <v>0.13217799999999999</v>
      </c>
      <c r="Y80" s="64">
        <v>0.13195399999999999</v>
      </c>
      <c r="Z80" s="64">
        <v>0.131713</v>
      </c>
      <c r="AA80" s="64">
        <v>0.13145899999999999</v>
      </c>
      <c r="AB80" s="64">
        <v>0.13117799999999999</v>
      </c>
      <c r="AC80" s="64">
        <v>0.13090399999999999</v>
      </c>
      <c r="AD80" s="64">
        <v>0.13062399999999999</v>
      </c>
      <c r="AE80" s="64">
        <v>0.130325</v>
      </c>
      <c r="AF80" s="64">
        <v>0.13003500000000001</v>
      </c>
      <c r="AG80" s="64">
        <v>0.12975100000000001</v>
      </c>
      <c r="AH80" s="64">
        <v>0.12944</v>
      </c>
      <c r="AI80" s="64">
        <v>0.12912299999999999</v>
      </c>
      <c r="AJ80" s="64">
        <v>0.12870000000000001</v>
      </c>
      <c r="AK80" s="62">
        <v>-6.9300000000000004E-4</v>
      </c>
    </row>
    <row r="81" spans="1:37" ht="15" customHeight="1" x14ac:dyDescent="0.2">
      <c r="A81" s="57" t="s">
        <v>414</v>
      </c>
      <c r="B81" s="60" t="s">
        <v>395</v>
      </c>
      <c r="C81" s="64">
        <v>1.220852</v>
      </c>
      <c r="D81" s="64">
        <v>1.230324</v>
      </c>
      <c r="E81" s="64">
        <v>1.2486600000000001</v>
      </c>
      <c r="F81" s="64">
        <v>1.26464</v>
      </c>
      <c r="G81" s="64">
        <v>1.276783</v>
      </c>
      <c r="H81" s="64">
        <v>1.288014</v>
      </c>
      <c r="I81" s="64">
        <v>1.3005599999999999</v>
      </c>
      <c r="J81" s="64">
        <v>1.313879</v>
      </c>
      <c r="K81" s="64">
        <v>1.329037</v>
      </c>
      <c r="L81" s="64">
        <v>1.344096</v>
      </c>
      <c r="M81" s="64">
        <v>1.357828</v>
      </c>
      <c r="N81" s="64">
        <v>1.3760699999999999</v>
      </c>
      <c r="O81" s="64">
        <v>1.3905700000000001</v>
      </c>
      <c r="P81" s="64">
        <v>1.405368</v>
      </c>
      <c r="Q81" s="64">
        <v>1.4208229999999999</v>
      </c>
      <c r="R81" s="64">
        <v>1.435932</v>
      </c>
      <c r="S81" s="64">
        <v>1.451093</v>
      </c>
      <c r="T81" s="64">
        <v>1.466952</v>
      </c>
      <c r="U81" s="64">
        <v>1.48237</v>
      </c>
      <c r="V81" s="64">
        <v>1.4973890000000001</v>
      </c>
      <c r="W81" s="64">
        <v>1.5126189999999999</v>
      </c>
      <c r="X81" s="64">
        <v>1.5282009999999999</v>
      </c>
      <c r="Y81" s="64">
        <v>1.543366</v>
      </c>
      <c r="Z81" s="64">
        <v>1.5587120000000001</v>
      </c>
      <c r="AA81" s="64">
        <v>1.57402</v>
      </c>
      <c r="AB81" s="64">
        <v>1.58948</v>
      </c>
      <c r="AC81" s="64">
        <v>1.6062829999999999</v>
      </c>
      <c r="AD81" s="64">
        <v>1.6232819999999999</v>
      </c>
      <c r="AE81" s="64">
        <v>1.6414299999999999</v>
      </c>
      <c r="AF81" s="64">
        <v>1.659537</v>
      </c>
      <c r="AG81" s="64">
        <v>1.678453</v>
      </c>
      <c r="AH81" s="64">
        <v>1.6972750000000001</v>
      </c>
      <c r="AI81" s="64">
        <v>1.7159770000000001</v>
      </c>
      <c r="AJ81" s="64">
        <v>1.7342789999999999</v>
      </c>
      <c r="AK81" s="62">
        <v>1.0786E-2</v>
      </c>
    </row>
    <row r="82" spans="1:37" ht="15" customHeight="1" x14ac:dyDescent="0.2">
      <c r="A82" s="57" t="s">
        <v>415</v>
      </c>
      <c r="B82" s="60" t="s">
        <v>397</v>
      </c>
      <c r="C82" s="64">
        <v>0.257023</v>
      </c>
      <c r="D82" s="64">
        <v>0.267681</v>
      </c>
      <c r="E82" s="64">
        <v>0.28170699999999999</v>
      </c>
      <c r="F82" s="64">
        <v>0.28296199999999999</v>
      </c>
      <c r="G82" s="64">
        <v>0.27919899999999997</v>
      </c>
      <c r="H82" s="64">
        <v>0.27635799999999999</v>
      </c>
      <c r="I82" s="64">
        <v>0.26822800000000002</v>
      </c>
      <c r="J82" s="64">
        <v>0.26296999999999998</v>
      </c>
      <c r="K82" s="64">
        <v>0.26240599999999997</v>
      </c>
      <c r="L82" s="64">
        <v>0.26197100000000001</v>
      </c>
      <c r="M82" s="64">
        <v>0.26218000000000002</v>
      </c>
      <c r="N82" s="64">
        <v>0.263992</v>
      </c>
      <c r="O82" s="64">
        <v>0.26448300000000002</v>
      </c>
      <c r="P82" s="64">
        <v>0.26477400000000001</v>
      </c>
      <c r="Q82" s="64">
        <v>0.26505099999999998</v>
      </c>
      <c r="R82" s="64">
        <v>0.265316</v>
      </c>
      <c r="S82" s="64">
        <v>0.26555899999999999</v>
      </c>
      <c r="T82" s="64">
        <v>0.26580999999999999</v>
      </c>
      <c r="U82" s="64">
        <v>0.26604100000000003</v>
      </c>
      <c r="V82" s="64">
        <v>0.26626899999999998</v>
      </c>
      <c r="W82" s="64">
        <v>0.266486</v>
      </c>
      <c r="X82" s="64">
        <v>0.26670100000000002</v>
      </c>
      <c r="Y82" s="64">
        <v>0.26690999999999998</v>
      </c>
      <c r="Z82" s="64">
        <v>0.26711200000000002</v>
      </c>
      <c r="AA82" s="64">
        <v>0.26730700000000002</v>
      </c>
      <c r="AB82" s="64">
        <v>0.26749800000000001</v>
      </c>
      <c r="AC82" s="64">
        <v>0.26767999999999997</v>
      </c>
      <c r="AD82" s="64">
        <v>0.26785700000000001</v>
      </c>
      <c r="AE82" s="64">
        <v>0.26802599999999999</v>
      </c>
      <c r="AF82" s="64">
        <v>0.26818799999999998</v>
      </c>
      <c r="AG82" s="64">
        <v>0.26834400000000003</v>
      </c>
      <c r="AH82" s="64">
        <v>0.26849099999999998</v>
      </c>
      <c r="AI82" s="64">
        <v>0.26835799999999999</v>
      </c>
      <c r="AJ82" s="64">
        <v>0.26824700000000001</v>
      </c>
      <c r="AK82" s="62">
        <v>6.6000000000000005E-5</v>
      </c>
    </row>
    <row r="83" spans="1:37" ht="15" customHeight="1" x14ac:dyDescent="0.2">
      <c r="A83" s="57" t="s">
        <v>416</v>
      </c>
      <c r="B83" s="60" t="s">
        <v>399</v>
      </c>
      <c r="C83" s="64">
        <v>6.3920000000000005E-2</v>
      </c>
      <c r="D83" s="64">
        <v>6.3428999999999999E-2</v>
      </c>
      <c r="E83" s="64">
        <v>6.3116000000000005E-2</v>
      </c>
      <c r="F83" s="64">
        <v>6.2876000000000001E-2</v>
      </c>
      <c r="G83" s="64">
        <v>6.2650999999999998E-2</v>
      </c>
      <c r="H83" s="64">
        <v>6.2341000000000001E-2</v>
      </c>
      <c r="I83" s="64">
        <v>6.207E-2</v>
      </c>
      <c r="J83" s="64">
        <v>6.1821000000000001E-2</v>
      </c>
      <c r="K83" s="64">
        <v>6.1561999999999999E-2</v>
      </c>
      <c r="L83" s="64">
        <v>6.1322000000000002E-2</v>
      </c>
      <c r="M83" s="64">
        <v>6.1094000000000002E-2</v>
      </c>
      <c r="N83" s="64">
        <v>6.0897E-2</v>
      </c>
      <c r="O83" s="64">
        <v>6.0721999999999998E-2</v>
      </c>
      <c r="P83" s="64">
        <v>6.0592E-2</v>
      </c>
      <c r="Q83" s="64">
        <v>6.0527999999999998E-2</v>
      </c>
      <c r="R83" s="64">
        <v>6.0457999999999998E-2</v>
      </c>
      <c r="S83" s="64">
        <v>6.0409999999999998E-2</v>
      </c>
      <c r="T83" s="64">
        <v>6.0416999999999998E-2</v>
      </c>
      <c r="U83" s="64">
        <v>6.0419E-2</v>
      </c>
      <c r="V83" s="64">
        <v>6.0415000000000003E-2</v>
      </c>
      <c r="W83" s="64">
        <v>6.0426000000000001E-2</v>
      </c>
      <c r="X83" s="64">
        <v>6.0444999999999999E-2</v>
      </c>
      <c r="Y83" s="64">
        <v>6.0455000000000002E-2</v>
      </c>
      <c r="Z83" s="64">
        <v>6.0470999999999997E-2</v>
      </c>
      <c r="AA83" s="64">
        <v>6.0488E-2</v>
      </c>
      <c r="AB83" s="64">
        <v>6.0523E-2</v>
      </c>
      <c r="AC83" s="64">
        <v>6.0557E-2</v>
      </c>
      <c r="AD83" s="64">
        <v>6.0609999999999997E-2</v>
      </c>
      <c r="AE83" s="64">
        <v>6.0666999999999999E-2</v>
      </c>
      <c r="AF83" s="64">
        <v>6.0717E-2</v>
      </c>
      <c r="AG83" s="64">
        <v>6.0749999999999998E-2</v>
      </c>
      <c r="AH83" s="64">
        <v>6.0762999999999998E-2</v>
      </c>
      <c r="AI83" s="64">
        <v>6.0782999999999997E-2</v>
      </c>
      <c r="AJ83" s="64">
        <v>6.0798999999999999E-2</v>
      </c>
      <c r="AK83" s="62">
        <v>-1.323E-3</v>
      </c>
    </row>
    <row r="84" spans="1:37" ht="15" customHeight="1" x14ac:dyDescent="0.2">
      <c r="A84" s="57" t="s">
        <v>417</v>
      </c>
      <c r="B84" s="60" t="s">
        <v>401</v>
      </c>
      <c r="C84" s="64">
        <v>0.32080900000000001</v>
      </c>
      <c r="D84" s="64">
        <v>0.33267099999999999</v>
      </c>
      <c r="E84" s="64">
        <v>0.32626699999999997</v>
      </c>
      <c r="F84" s="64">
        <v>0.31799300000000003</v>
      </c>
      <c r="G84" s="64">
        <v>0.31176799999999999</v>
      </c>
      <c r="H84" s="64">
        <v>0.30602400000000002</v>
      </c>
      <c r="I84" s="64">
        <v>0.30252499999999999</v>
      </c>
      <c r="J84" s="64">
        <v>0.30300700000000003</v>
      </c>
      <c r="K84" s="64">
        <v>0.30859500000000001</v>
      </c>
      <c r="L84" s="64">
        <v>0.310502</v>
      </c>
      <c r="M84" s="64">
        <v>0.31395699999999999</v>
      </c>
      <c r="N84" s="64">
        <v>0.31819500000000001</v>
      </c>
      <c r="O84" s="64">
        <v>0.32161600000000001</v>
      </c>
      <c r="P84" s="64">
        <v>0.32261000000000001</v>
      </c>
      <c r="Q84" s="64">
        <v>0.323743</v>
      </c>
      <c r="R84" s="64">
        <v>0.32711200000000001</v>
      </c>
      <c r="S84" s="64">
        <v>0.327403</v>
      </c>
      <c r="T84" s="64">
        <v>0.328934</v>
      </c>
      <c r="U84" s="64">
        <v>0.32957799999999998</v>
      </c>
      <c r="V84" s="64">
        <v>0.33072099999999999</v>
      </c>
      <c r="W84" s="64">
        <v>0.33083499999999999</v>
      </c>
      <c r="X84" s="64">
        <v>0.332208</v>
      </c>
      <c r="Y84" s="64">
        <v>0.33368999999999999</v>
      </c>
      <c r="Z84" s="64">
        <v>0.33590500000000001</v>
      </c>
      <c r="AA84" s="64">
        <v>0.33801500000000001</v>
      </c>
      <c r="AB84" s="64">
        <v>0.34078999999999998</v>
      </c>
      <c r="AC84" s="64">
        <v>0.342611</v>
      </c>
      <c r="AD84" s="64">
        <v>0.34544599999999998</v>
      </c>
      <c r="AE84" s="64">
        <v>0.34789900000000001</v>
      </c>
      <c r="AF84" s="64">
        <v>0.34971799999999997</v>
      </c>
      <c r="AG84" s="64">
        <v>0.35206799999999999</v>
      </c>
      <c r="AH84" s="64">
        <v>0.35487999999999997</v>
      </c>
      <c r="AI84" s="64">
        <v>0.35802099999999998</v>
      </c>
      <c r="AJ84" s="64">
        <v>0.36103800000000003</v>
      </c>
      <c r="AK84" s="62">
        <v>2.5600000000000002E-3</v>
      </c>
    </row>
    <row r="85" spans="1:37" ht="15" customHeight="1" x14ac:dyDescent="0.2">
      <c r="B85" s="59" t="s">
        <v>402</v>
      </c>
      <c r="C85" s="65">
        <v>14.387494</v>
      </c>
      <c r="D85" s="65">
        <v>14.439582</v>
      </c>
      <c r="E85" s="65">
        <v>14.528051</v>
      </c>
      <c r="F85" s="65">
        <v>14.375638</v>
      </c>
      <c r="G85" s="65">
        <v>14.236257999999999</v>
      </c>
      <c r="H85" s="65">
        <v>14.102266</v>
      </c>
      <c r="I85" s="65">
        <v>13.925094</v>
      </c>
      <c r="J85" s="65">
        <v>13.742229</v>
      </c>
      <c r="K85" s="65">
        <v>13.56677</v>
      </c>
      <c r="L85" s="65">
        <v>13.416969999999999</v>
      </c>
      <c r="M85" s="65">
        <v>13.277055000000001</v>
      </c>
      <c r="N85" s="65">
        <v>13.161163999999999</v>
      </c>
      <c r="O85" s="65">
        <v>13.038962</v>
      </c>
      <c r="P85" s="65">
        <v>12.91987</v>
      </c>
      <c r="Q85" s="65">
        <v>12.813753</v>
      </c>
      <c r="R85" s="65">
        <v>12.716784000000001</v>
      </c>
      <c r="S85" s="65">
        <v>12.629751000000001</v>
      </c>
      <c r="T85" s="65">
        <v>12.562429</v>
      </c>
      <c r="U85" s="65">
        <v>12.503926</v>
      </c>
      <c r="V85" s="65">
        <v>12.474881</v>
      </c>
      <c r="W85" s="65">
        <v>12.461569000000001</v>
      </c>
      <c r="X85" s="65">
        <v>12.463853</v>
      </c>
      <c r="Y85" s="65">
        <v>12.472775</v>
      </c>
      <c r="Z85" s="65">
        <v>12.487916999999999</v>
      </c>
      <c r="AA85" s="65">
        <v>12.513312000000001</v>
      </c>
      <c r="AB85" s="65">
        <v>12.546438999999999</v>
      </c>
      <c r="AC85" s="65">
        <v>12.591713</v>
      </c>
      <c r="AD85" s="65">
        <v>12.645458</v>
      </c>
      <c r="AE85" s="65">
        <v>12.708558999999999</v>
      </c>
      <c r="AF85" s="65">
        <v>12.771045000000001</v>
      </c>
      <c r="AG85" s="65">
        <v>12.840629</v>
      </c>
      <c r="AH85" s="65">
        <v>12.914635000000001</v>
      </c>
      <c r="AI85" s="65">
        <v>12.990807</v>
      </c>
      <c r="AJ85" s="65">
        <v>13.065372</v>
      </c>
      <c r="AK85" s="66">
        <v>-3.1199999999999999E-3</v>
      </c>
    </row>
    <row r="87" spans="1:37" ht="15" customHeight="1" x14ac:dyDescent="0.2">
      <c r="B87" s="116" t="s">
        <v>418</v>
      </c>
      <c r="C87" s="117"/>
      <c r="D87" s="117"/>
      <c r="E87" s="117"/>
      <c r="F87" s="117"/>
      <c r="G87" s="117"/>
      <c r="H87" s="117"/>
      <c r="I87" s="117"/>
      <c r="J87" s="117"/>
      <c r="K87" s="117"/>
      <c r="L87" s="117"/>
      <c r="M87" s="117"/>
      <c r="N87" s="117"/>
      <c r="O87" s="117"/>
      <c r="P87" s="117"/>
      <c r="Q87" s="117"/>
      <c r="R87" s="117"/>
      <c r="S87" s="117"/>
      <c r="T87" s="117"/>
      <c r="U87" s="117"/>
      <c r="V87" s="117"/>
      <c r="W87" s="117"/>
      <c r="X87" s="117"/>
      <c r="Y87" s="117"/>
      <c r="Z87" s="117"/>
      <c r="AA87" s="117"/>
      <c r="AB87" s="117"/>
      <c r="AC87" s="117"/>
      <c r="AD87" s="117"/>
      <c r="AE87" s="117"/>
      <c r="AF87" s="117"/>
      <c r="AG87" s="117"/>
      <c r="AH87" s="117"/>
      <c r="AI87" s="117"/>
      <c r="AJ87" s="117"/>
      <c r="AK87" s="117"/>
    </row>
    <row r="88" spans="1:37" ht="15" customHeight="1" x14ac:dyDescent="0.2">
      <c r="B88" s="67" t="s">
        <v>419</v>
      </c>
    </row>
    <row r="89" spans="1:37" ht="15" customHeight="1" x14ac:dyDescent="0.2">
      <c r="B89" s="67" t="s">
        <v>420</v>
      </c>
    </row>
    <row r="90" spans="1:37" ht="15" customHeight="1" x14ac:dyDescent="0.2">
      <c r="B90" s="67" t="s">
        <v>421</v>
      </c>
    </row>
    <row r="91" spans="1:37" ht="15" customHeight="1" x14ac:dyDescent="0.2">
      <c r="B91" s="67" t="s">
        <v>422</v>
      </c>
    </row>
    <row r="92" spans="1:37" ht="15" customHeight="1" x14ac:dyDescent="0.2">
      <c r="B92" s="67" t="s">
        <v>423</v>
      </c>
    </row>
    <row r="93" spans="1:37" ht="15" customHeight="1" x14ac:dyDescent="0.2">
      <c r="B93" s="67" t="s">
        <v>424</v>
      </c>
    </row>
    <row r="94" spans="1:37" ht="15" customHeight="1" x14ac:dyDescent="0.2">
      <c r="B94" s="67" t="s">
        <v>425</v>
      </c>
    </row>
    <row r="95" spans="1:37" ht="15" customHeight="1" x14ac:dyDescent="0.2">
      <c r="B95" s="67" t="s">
        <v>426</v>
      </c>
    </row>
    <row r="96" spans="1:37" ht="15" customHeight="1" x14ac:dyDescent="0.2">
      <c r="B96" s="67" t="s">
        <v>427</v>
      </c>
    </row>
    <row r="97" spans="2:2" ht="15" customHeight="1" x14ac:dyDescent="0.2">
      <c r="B97" s="67" t="s">
        <v>428</v>
      </c>
    </row>
    <row r="98" spans="2:2" ht="15" customHeight="1" x14ac:dyDescent="0.2">
      <c r="B98" s="67" t="s">
        <v>429</v>
      </c>
    </row>
    <row r="99" spans="2:2" ht="15" customHeight="1" x14ac:dyDescent="0.2">
      <c r="B99" s="67" t="s">
        <v>430</v>
      </c>
    </row>
    <row r="100" spans="2:2" ht="15" customHeight="1" x14ac:dyDescent="0.2">
      <c r="B100" s="67" t="s">
        <v>431</v>
      </c>
    </row>
    <row r="101" spans="2:2" ht="15" customHeight="1" x14ac:dyDescent="0.2">
      <c r="B101" s="67" t="s">
        <v>432</v>
      </c>
    </row>
    <row r="102" spans="2:2" ht="15" customHeight="1" x14ac:dyDescent="0.2">
      <c r="B102" s="67" t="s">
        <v>433</v>
      </c>
    </row>
    <row r="103" spans="2:2" ht="15" customHeight="1" x14ac:dyDescent="0.2">
      <c r="B103" s="3" t="s">
        <v>434</v>
      </c>
    </row>
    <row r="104" spans="2:2" ht="15" customHeight="1" x14ac:dyDescent="0.2">
      <c r="B104" s="67" t="s">
        <v>435</v>
      </c>
    </row>
    <row r="105" spans="2:2" ht="15" customHeight="1" x14ac:dyDescent="0.2">
      <c r="B105" s="67" t="s">
        <v>436</v>
      </c>
    </row>
    <row r="106" spans="2:2" ht="15" customHeight="1" x14ac:dyDescent="0.2">
      <c r="B106" s="67" t="s">
        <v>437</v>
      </c>
    </row>
    <row r="107" spans="2:2" ht="15" customHeight="1" x14ac:dyDescent="0.2">
      <c r="B107" s="67" t="s">
        <v>438</v>
      </c>
    </row>
    <row r="108" spans="2:2" ht="15.75" customHeight="1" x14ac:dyDescent="0.2"/>
    <row r="109" spans="2:2" ht="15.75" customHeight="1" x14ac:dyDescent="0.2"/>
    <row r="110" spans="2:2" ht="15.75" customHeight="1" x14ac:dyDescent="0.2"/>
    <row r="111" spans="2:2" ht="15.75" customHeight="1" x14ac:dyDescent="0.2"/>
    <row r="112" spans="2: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
    <mergeCell ref="B87:AK87"/>
  </mergeCells>
  <pageMargins left="0.75" right="0.75" top="1" bottom="1" header="0" footer="0"/>
  <pageSetup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K1000"/>
  <sheetViews>
    <sheetView workbookViewId="0">
      <pane xSplit="2" ySplit="1" topLeftCell="C2" activePane="bottomRight" state="frozen"/>
      <selection pane="topRight" activeCell="C1" sqref="C1"/>
      <selection pane="bottomLeft" activeCell="A2" sqref="A2"/>
      <selection pane="bottomRight" activeCell="C2" sqref="C2"/>
    </sheetView>
  </sheetViews>
  <sheetFormatPr baseColWidth="10" defaultColWidth="14.5" defaultRowHeight="15" customHeight="1" x14ac:dyDescent="0.2"/>
  <cols>
    <col min="1" max="1" width="20.83203125" hidden="1" customWidth="1"/>
    <col min="2" max="2" width="45.6640625" customWidth="1"/>
    <col min="3" max="37" width="8.6640625" customWidth="1"/>
  </cols>
  <sheetData>
    <row r="1" spans="1:37" ht="15" customHeight="1" x14ac:dyDescent="0.2">
      <c r="B1" s="54" t="s">
        <v>296</v>
      </c>
      <c r="C1" s="55">
        <v>2017</v>
      </c>
      <c r="D1" s="55">
        <v>2018</v>
      </c>
      <c r="E1" s="55">
        <v>2019</v>
      </c>
      <c r="F1" s="55">
        <v>2020</v>
      </c>
      <c r="G1" s="55">
        <v>2021</v>
      </c>
      <c r="H1" s="55">
        <v>2022</v>
      </c>
      <c r="I1" s="55">
        <v>2023</v>
      </c>
      <c r="J1" s="55">
        <v>2024</v>
      </c>
      <c r="K1" s="55">
        <v>2025</v>
      </c>
      <c r="L1" s="55">
        <v>2026</v>
      </c>
      <c r="M1" s="55">
        <v>2027</v>
      </c>
      <c r="N1" s="55">
        <v>2028</v>
      </c>
      <c r="O1" s="55">
        <v>2029</v>
      </c>
      <c r="P1" s="55">
        <v>2030</v>
      </c>
      <c r="Q1" s="55">
        <v>2031</v>
      </c>
      <c r="R1" s="55">
        <v>2032</v>
      </c>
      <c r="S1" s="55">
        <v>2033</v>
      </c>
      <c r="T1" s="55">
        <v>2034</v>
      </c>
      <c r="U1" s="55">
        <v>2035</v>
      </c>
      <c r="V1" s="55">
        <v>2036</v>
      </c>
      <c r="W1" s="55">
        <v>2037</v>
      </c>
      <c r="X1" s="55">
        <v>2038</v>
      </c>
      <c r="Y1" s="55">
        <v>2039</v>
      </c>
      <c r="Z1" s="55">
        <v>2040</v>
      </c>
      <c r="AA1" s="55">
        <v>2041</v>
      </c>
      <c r="AB1" s="55">
        <v>2042</v>
      </c>
      <c r="AC1" s="55">
        <v>2043</v>
      </c>
      <c r="AD1" s="55">
        <v>2044</v>
      </c>
      <c r="AE1" s="55">
        <v>2045</v>
      </c>
      <c r="AF1" s="55">
        <v>2046</v>
      </c>
      <c r="AG1" s="55">
        <v>2047</v>
      </c>
      <c r="AH1" s="55">
        <v>2048</v>
      </c>
      <c r="AI1" s="55">
        <v>2049</v>
      </c>
      <c r="AJ1" s="55">
        <v>2050</v>
      </c>
    </row>
    <row r="3" spans="1:37" ht="15" customHeight="1" x14ac:dyDescent="0.2">
      <c r="C3" s="56" t="s">
        <v>297</v>
      </c>
      <c r="D3" s="56" t="s">
        <v>298</v>
      </c>
      <c r="E3" s="56"/>
      <c r="F3" s="56"/>
      <c r="G3" s="56"/>
    </row>
    <row r="4" spans="1:37" ht="15" customHeight="1" x14ac:dyDescent="0.2">
      <c r="C4" s="56" t="s">
        <v>299</v>
      </c>
      <c r="D4" s="56" t="s">
        <v>300</v>
      </c>
      <c r="E4" s="56"/>
      <c r="F4" s="56"/>
      <c r="G4" s="56" t="s">
        <v>301</v>
      </c>
    </row>
    <row r="5" spans="1:37" ht="15" customHeight="1" x14ac:dyDescent="0.2">
      <c r="C5" s="56" t="s">
        <v>302</v>
      </c>
      <c r="D5" s="56" t="s">
        <v>303</v>
      </c>
      <c r="E5" s="56"/>
      <c r="F5" s="56"/>
      <c r="G5" s="56"/>
    </row>
    <row r="6" spans="1:37" ht="15" customHeight="1" x14ac:dyDescent="0.2">
      <c r="C6" s="56" t="s">
        <v>304</v>
      </c>
      <c r="D6" s="56"/>
      <c r="E6" s="56" t="s">
        <v>305</v>
      </c>
      <c r="F6" s="56"/>
      <c r="G6" s="56"/>
    </row>
    <row r="10" spans="1:37" ht="15" customHeight="1" x14ac:dyDescent="0.2">
      <c r="A10" s="57" t="s">
        <v>439</v>
      </c>
      <c r="B10" s="58" t="s">
        <v>440</v>
      </c>
    </row>
    <row r="11" spans="1:37" ht="15" customHeight="1" x14ac:dyDescent="0.2">
      <c r="B11" s="54" t="s">
        <v>441</v>
      </c>
    </row>
    <row r="12" spans="1:37" ht="15" customHeight="1" x14ac:dyDescent="0.2">
      <c r="B12" s="54" t="s">
        <v>308</v>
      </c>
      <c r="C12" s="4" t="s">
        <v>308</v>
      </c>
      <c r="D12" s="4" t="s">
        <v>308</v>
      </c>
      <c r="E12" s="4" t="s">
        <v>308</v>
      </c>
      <c r="F12" s="4" t="s">
        <v>308</v>
      </c>
      <c r="G12" s="4" t="s">
        <v>308</v>
      </c>
      <c r="H12" s="4" t="s">
        <v>308</v>
      </c>
      <c r="I12" s="4" t="s">
        <v>308</v>
      </c>
      <c r="J12" s="4" t="s">
        <v>308</v>
      </c>
      <c r="K12" s="4" t="s">
        <v>308</v>
      </c>
      <c r="L12" s="4" t="s">
        <v>308</v>
      </c>
      <c r="M12" s="4" t="s">
        <v>308</v>
      </c>
      <c r="N12" s="4" t="s">
        <v>308</v>
      </c>
      <c r="O12" s="4" t="s">
        <v>308</v>
      </c>
      <c r="P12" s="4" t="s">
        <v>308</v>
      </c>
      <c r="Q12" s="4" t="s">
        <v>308</v>
      </c>
      <c r="R12" s="4" t="s">
        <v>308</v>
      </c>
      <c r="S12" s="4" t="s">
        <v>308</v>
      </c>
      <c r="T12" s="4" t="s">
        <v>308</v>
      </c>
      <c r="U12" s="4" t="s">
        <v>308</v>
      </c>
      <c r="V12" s="4" t="s">
        <v>308</v>
      </c>
      <c r="W12" s="4" t="s">
        <v>308</v>
      </c>
      <c r="X12" s="4" t="s">
        <v>308</v>
      </c>
      <c r="Y12" s="4" t="s">
        <v>308</v>
      </c>
      <c r="Z12" s="4" t="s">
        <v>308</v>
      </c>
      <c r="AA12" s="4" t="s">
        <v>308</v>
      </c>
      <c r="AB12" s="4" t="s">
        <v>308</v>
      </c>
      <c r="AC12" s="4" t="s">
        <v>308</v>
      </c>
      <c r="AD12" s="4" t="s">
        <v>308</v>
      </c>
      <c r="AE12" s="4" t="s">
        <v>308</v>
      </c>
      <c r="AF12" s="4" t="s">
        <v>308</v>
      </c>
      <c r="AG12" s="4" t="s">
        <v>308</v>
      </c>
      <c r="AH12" s="4" t="s">
        <v>308</v>
      </c>
      <c r="AI12" s="4" t="s">
        <v>308</v>
      </c>
      <c r="AJ12" s="4" t="s">
        <v>308</v>
      </c>
      <c r="AK12" s="4" t="s">
        <v>309</v>
      </c>
    </row>
    <row r="13" spans="1:37" ht="15" customHeight="1" x14ac:dyDescent="0.2">
      <c r="B13" s="55" t="s">
        <v>442</v>
      </c>
      <c r="C13" s="55">
        <v>2017</v>
      </c>
      <c r="D13" s="55">
        <v>2018</v>
      </c>
      <c r="E13" s="55">
        <v>2019</v>
      </c>
      <c r="F13" s="55">
        <v>2020</v>
      </c>
      <c r="G13" s="55">
        <v>2021</v>
      </c>
      <c r="H13" s="55">
        <v>2022</v>
      </c>
      <c r="I13" s="55">
        <v>2023</v>
      </c>
      <c r="J13" s="55">
        <v>2024</v>
      </c>
      <c r="K13" s="55">
        <v>2025</v>
      </c>
      <c r="L13" s="55">
        <v>2026</v>
      </c>
      <c r="M13" s="55">
        <v>2027</v>
      </c>
      <c r="N13" s="55">
        <v>2028</v>
      </c>
      <c r="O13" s="55">
        <v>2029</v>
      </c>
      <c r="P13" s="55">
        <v>2030</v>
      </c>
      <c r="Q13" s="55">
        <v>2031</v>
      </c>
      <c r="R13" s="55">
        <v>2032</v>
      </c>
      <c r="S13" s="55">
        <v>2033</v>
      </c>
      <c r="T13" s="55">
        <v>2034</v>
      </c>
      <c r="U13" s="55">
        <v>2035</v>
      </c>
      <c r="V13" s="55">
        <v>2036</v>
      </c>
      <c r="W13" s="55">
        <v>2037</v>
      </c>
      <c r="X13" s="55">
        <v>2038</v>
      </c>
      <c r="Y13" s="55">
        <v>2039</v>
      </c>
      <c r="Z13" s="55">
        <v>2040</v>
      </c>
      <c r="AA13" s="55">
        <v>2041</v>
      </c>
      <c r="AB13" s="55">
        <v>2042</v>
      </c>
      <c r="AC13" s="55">
        <v>2043</v>
      </c>
      <c r="AD13" s="55">
        <v>2044</v>
      </c>
      <c r="AE13" s="55">
        <v>2045</v>
      </c>
      <c r="AF13" s="55">
        <v>2046</v>
      </c>
      <c r="AG13" s="55">
        <v>2047</v>
      </c>
      <c r="AH13" s="55">
        <v>2048</v>
      </c>
      <c r="AI13" s="55">
        <v>2049</v>
      </c>
      <c r="AJ13" s="55">
        <v>2050</v>
      </c>
      <c r="AK13" s="55">
        <v>2050</v>
      </c>
    </row>
    <row r="15" spans="1:37" ht="15" customHeight="1" x14ac:dyDescent="0.2">
      <c r="A15" s="57" t="s">
        <v>443</v>
      </c>
      <c r="B15" s="59" t="s">
        <v>444</v>
      </c>
      <c r="C15" s="68">
        <v>15428.980469</v>
      </c>
      <c r="D15" s="68">
        <v>15405.497069999999</v>
      </c>
      <c r="E15" s="68">
        <v>15323.708984000001</v>
      </c>
      <c r="F15" s="68">
        <v>15159.971680000001</v>
      </c>
      <c r="G15" s="68">
        <v>14917.845703000001</v>
      </c>
      <c r="H15" s="68">
        <v>14628.935546999999</v>
      </c>
      <c r="I15" s="68">
        <v>14292.073242</v>
      </c>
      <c r="J15" s="68">
        <v>13935.911133</v>
      </c>
      <c r="K15" s="68">
        <v>13565.998046999999</v>
      </c>
      <c r="L15" s="68">
        <v>13277.203125</v>
      </c>
      <c r="M15" s="68">
        <v>13019.744140999999</v>
      </c>
      <c r="N15" s="68">
        <v>12784.965819999999</v>
      </c>
      <c r="O15" s="68">
        <v>12550.357421999999</v>
      </c>
      <c r="P15" s="68">
        <v>12335.547852</v>
      </c>
      <c r="Q15" s="68">
        <v>12134.970703000001</v>
      </c>
      <c r="R15" s="68">
        <v>11949.124023</v>
      </c>
      <c r="S15" s="68">
        <v>11778.060546999999</v>
      </c>
      <c r="T15" s="68">
        <v>11621.788086</v>
      </c>
      <c r="U15" s="68">
        <v>11477.595703000001</v>
      </c>
      <c r="V15" s="68">
        <v>11370.867188</v>
      </c>
      <c r="W15" s="68">
        <v>11287.214844</v>
      </c>
      <c r="X15" s="68">
        <v>11223.201171999999</v>
      </c>
      <c r="Y15" s="68">
        <v>11175.604492</v>
      </c>
      <c r="Z15" s="68">
        <v>11142.942383</v>
      </c>
      <c r="AA15" s="68">
        <v>11122.249023</v>
      </c>
      <c r="AB15" s="68">
        <v>11112.762694999999</v>
      </c>
      <c r="AC15" s="68">
        <v>11114.8125</v>
      </c>
      <c r="AD15" s="68">
        <v>11125.955078000001</v>
      </c>
      <c r="AE15" s="68">
        <v>11141.640625</v>
      </c>
      <c r="AF15" s="68">
        <v>11164.966796999999</v>
      </c>
      <c r="AG15" s="68">
        <v>11191.121094</v>
      </c>
      <c r="AH15" s="68">
        <v>11216.115234000001</v>
      </c>
      <c r="AI15" s="68">
        <v>11244.188477</v>
      </c>
      <c r="AJ15" s="68">
        <v>11271.484375</v>
      </c>
      <c r="AK15" s="66">
        <v>-9.7169999999999999E-3</v>
      </c>
    </row>
    <row r="16" spans="1:37" ht="15" customHeight="1" x14ac:dyDescent="0.2">
      <c r="A16" s="57" t="s">
        <v>445</v>
      </c>
      <c r="B16" s="60" t="s">
        <v>446</v>
      </c>
      <c r="C16" s="61">
        <v>15335.150390999999</v>
      </c>
      <c r="D16" s="61">
        <v>15269.456055000001</v>
      </c>
      <c r="E16" s="61">
        <v>15169.746094</v>
      </c>
      <c r="F16" s="61">
        <v>14974.8125</v>
      </c>
      <c r="G16" s="61">
        <v>14696.188477</v>
      </c>
      <c r="H16" s="61">
        <v>14372.848633</v>
      </c>
      <c r="I16" s="61">
        <v>14004.568359000001</v>
      </c>
      <c r="J16" s="61">
        <v>13595.412109000001</v>
      </c>
      <c r="K16" s="61">
        <v>13161.477539</v>
      </c>
      <c r="L16" s="61">
        <v>12844.557617</v>
      </c>
      <c r="M16" s="61">
        <v>12544.257812</v>
      </c>
      <c r="N16" s="61">
        <v>12271.507812</v>
      </c>
      <c r="O16" s="61">
        <v>11997.8125</v>
      </c>
      <c r="P16" s="61">
        <v>11740.967773</v>
      </c>
      <c r="Q16" s="61">
        <v>11512.417969</v>
      </c>
      <c r="R16" s="61">
        <v>11302.257812</v>
      </c>
      <c r="S16" s="61">
        <v>11104.021484000001</v>
      </c>
      <c r="T16" s="61">
        <v>10915.162109000001</v>
      </c>
      <c r="U16" s="61">
        <v>10746.730469</v>
      </c>
      <c r="V16" s="61">
        <v>10612.404296999999</v>
      </c>
      <c r="W16" s="61">
        <v>10502.84375</v>
      </c>
      <c r="X16" s="61">
        <v>10416.008789</v>
      </c>
      <c r="Y16" s="61">
        <v>10350.127930000001</v>
      </c>
      <c r="Z16" s="61">
        <v>10299.679688</v>
      </c>
      <c r="AA16" s="61">
        <v>10269.910156</v>
      </c>
      <c r="AB16" s="61">
        <v>10251.455078000001</v>
      </c>
      <c r="AC16" s="61">
        <v>10250.534180000001</v>
      </c>
      <c r="AD16" s="61">
        <v>10253.911133</v>
      </c>
      <c r="AE16" s="61">
        <v>10260.729492</v>
      </c>
      <c r="AF16" s="61">
        <v>10292.284180000001</v>
      </c>
      <c r="AG16" s="61">
        <v>10333.274414</v>
      </c>
      <c r="AH16" s="61">
        <v>10360.221680000001</v>
      </c>
      <c r="AI16" s="61">
        <v>10370.962890999999</v>
      </c>
      <c r="AJ16" s="61">
        <v>10381.070312</v>
      </c>
      <c r="AK16" s="62">
        <v>-1.1986E-2</v>
      </c>
    </row>
    <row r="17" spans="1:37" ht="15" customHeight="1" x14ac:dyDescent="0.2">
      <c r="A17" s="57" t="s">
        <v>447</v>
      </c>
      <c r="B17" s="60" t="s">
        <v>448</v>
      </c>
      <c r="C17" s="61">
        <v>9.1569839999999996</v>
      </c>
      <c r="D17" s="61">
        <v>43.012703000000002</v>
      </c>
      <c r="E17" s="61">
        <v>44.298954000000002</v>
      </c>
      <c r="F17" s="61">
        <v>52.465949999999999</v>
      </c>
      <c r="G17" s="61">
        <v>63.491283000000003</v>
      </c>
      <c r="H17" s="61">
        <v>71.578002999999995</v>
      </c>
      <c r="I17" s="61">
        <v>77.357467999999997</v>
      </c>
      <c r="J17" s="61">
        <v>104.88159899999999</v>
      </c>
      <c r="K17" s="61">
        <v>143.47879</v>
      </c>
      <c r="L17" s="61">
        <v>146.330536</v>
      </c>
      <c r="M17" s="61">
        <v>164.73542800000001</v>
      </c>
      <c r="N17" s="61">
        <v>178.723511</v>
      </c>
      <c r="O17" s="61">
        <v>194.286621</v>
      </c>
      <c r="P17" s="61">
        <v>212.83853099999999</v>
      </c>
      <c r="Q17" s="61">
        <v>217.02877799999999</v>
      </c>
      <c r="R17" s="61">
        <v>218.706253</v>
      </c>
      <c r="S17" s="61">
        <v>224.127533</v>
      </c>
      <c r="T17" s="61">
        <v>235.04330400000001</v>
      </c>
      <c r="U17" s="61">
        <v>238.42449999999999</v>
      </c>
      <c r="V17" s="61">
        <v>244.75335699999999</v>
      </c>
      <c r="W17" s="61">
        <v>249.607956</v>
      </c>
      <c r="X17" s="61">
        <v>251.68942300000001</v>
      </c>
      <c r="Y17" s="61">
        <v>249.42179899999999</v>
      </c>
      <c r="Z17" s="61">
        <v>246.14849899999999</v>
      </c>
      <c r="AA17" s="61">
        <v>234.973389</v>
      </c>
      <c r="AB17" s="61">
        <v>224.71127300000001</v>
      </c>
      <c r="AC17" s="61">
        <v>208.83667</v>
      </c>
      <c r="AD17" s="61">
        <v>198.043747</v>
      </c>
      <c r="AE17" s="61">
        <v>188.86973599999999</v>
      </c>
      <c r="AF17" s="61">
        <v>162.43597399999999</v>
      </c>
      <c r="AG17" s="61">
        <v>129.59371899999999</v>
      </c>
      <c r="AH17" s="61">
        <v>109.988777</v>
      </c>
      <c r="AI17" s="61">
        <v>109.858192</v>
      </c>
      <c r="AJ17" s="61">
        <v>110.01675400000001</v>
      </c>
      <c r="AK17" s="62">
        <v>2.9783E-2</v>
      </c>
    </row>
    <row r="18" spans="1:37" ht="15" customHeight="1" x14ac:dyDescent="0.2">
      <c r="A18" s="57" t="s">
        <v>449</v>
      </c>
      <c r="B18" s="60" t="s">
        <v>450</v>
      </c>
      <c r="C18" s="61">
        <v>60.853920000000002</v>
      </c>
      <c r="D18" s="61">
        <v>63.207065999999998</v>
      </c>
      <c r="E18" s="61">
        <v>68.963806000000005</v>
      </c>
      <c r="F18" s="61">
        <v>77.644913000000003</v>
      </c>
      <c r="G18" s="61">
        <v>85.732367999999994</v>
      </c>
      <c r="H18" s="61">
        <v>93.502289000000005</v>
      </c>
      <c r="I18" s="61">
        <v>100.80136899999999</v>
      </c>
      <c r="J18" s="61">
        <v>107.598206</v>
      </c>
      <c r="K18" s="61">
        <v>113.814278</v>
      </c>
      <c r="L18" s="61">
        <v>120.602844</v>
      </c>
      <c r="M18" s="61">
        <v>127.269402</v>
      </c>
      <c r="N18" s="61">
        <v>134.14170799999999</v>
      </c>
      <c r="O18" s="61">
        <v>140.60813899999999</v>
      </c>
      <c r="P18" s="61">
        <v>147.05969200000001</v>
      </c>
      <c r="Q18" s="61">
        <v>153.66433699999999</v>
      </c>
      <c r="R18" s="61">
        <v>159.30062899999999</v>
      </c>
      <c r="S18" s="61">
        <v>164.19001800000001</v>
      </c>
      <c r="T18" s="61">
        <v>168.79711900000001</v>
      </c>
      <c r="U18" s="61">
        <v>172.647324</v>
      </c>
      <c r="V18" s="61">
        <v>176.17077599999999</v>
      </c>
      <c r="W18" s="61">
        <v>179.40422100000001</v>
      </c>
      <c r="X18" s="61">
        <v>182.19274899999999</v>
      </c>
      <c r="Y18" s="61">
        <v>184.536057</v>
      </c>
      <c r="Z18" s="61">
        <v>187.16952499999999</v>
      </c>
      <c r="AA18" s="61">
        <v>189.247086</v>
      </c>
      <c r="AB18" s="61">
        <v>190.379639</v>
      </c>
      <c r="AC18" s="61">
        <v>191.20649700000001</v>
      </c>
      <c r="AD18" s="61">
        <v>191.812073</v>
      </c>
      <c r="AE18" s="61">
        <v>192.10318000000001</v>
      </c>
      <c r="AF18" s="61">
        <v>192.425049</v>
      </c>
      <c r="AG18" s="61">
        <v>192.67849699999999</v>
      </c>
      <c r="AH18" s="61">
        <v>192.679214</v>
      </c>
      <c r="AI18" s="61">
        <v>192.53387499999999</v>
      </c>
      <c r="AJ18" s="61">
        <v>192.14184599999999</v>
      </c>
      <c r="AK18" s="62">
        <v>3.5354999999999998E-2</v>
      </c>
    </row>
    <row r="19" spans="1:37" ht="15" customHeight="1" x14ac:dyDescent="0.2">
      <c r="A19" s="57" t="s">
        <v>451</v>
      </c>
      <c r="B19" s="60" t="s">
        <v>452</v>
      </c>
      <c r="C19" s="61">
        <v>8.0770090000000003</v>
      </c>
      <c r="D19" s="61">
        <v>6.9962720000000003</v>
      </c>
      <c r="E19" s="61">
        <v>5.8007540000000004</v>
      </c>
      <c r="F19" s="61">
        <v>5.3308289999999996</v>
      </c>
      <c r="G19" s="61">
        <v>5.01966</v>
      </c>
      <c r="H19" s="61">
        <v>4.7176429999999998</v>
      </c>
      <c r="I19" s="61">
        <v>4.4306369999999999</v>
      </c>
      <c r="J19" s="61">
        <v>4.1541180000000004</v>
      </c>
      <c r="K19" s="61">
        <v>3.9036010000000001</v>
      </c>
      <c r="L19" s="61">
        <v>3.6813410000000002</v>
      </c>
      <c r="M19" s="61">
        <v>3.4967679999999999</v>
      </c>
      <c r="N19" s="61">
        <v>3.33005</v>
      </c>
      <c r="O19" s="61">
        <v>3.1806969999999999</v>
      </c>
      <c r="P19" s="61">
        <v>3.0464380000000002</v>
      </c>
      <c r="Q19" s="61">
        <v>2.9362509999999999</v>
      </c>
      <c r="R19" s="61">
        <v>2.8520979999999998</v>
      </c>
      <c r="S19" s="61">
        <v>2.7820170000000002</v>
      </c>
      <c r="T19" s="61">
        <v>2.7439550000000001</v>
      </c>
      <c r="U19" s="61">
        <v>2.7154440000000002</v>
      </c>
      <c r="V19" s="61">
        <v>2.698159</v>
      </c>
      <c r="W19" s="61">
        <v>2.6841900000000001</v>
      </c>
      <c r="X19" s="61">
        <v>2.6790980000000002</v>
      </c>
      <c r="Y19" s="61">
        <v>2.6781470000000001</v>
      </c>
      <c r="Z19" s="61">
        <v>2.6794039999999999</v>
      </c>
      <c r="AA19" s="61">
        <v>2.6922079999999999</v>
      </c>
      <c r="AB19" s="61">
        <v>2.7077149999999999</v>
      </c>
      <c r="AC19" s="61">
        <v>2.7216269999999998</v>
      </c>
      <c r="AD19" s="61">
        <v>2.7357770000000001</v>
      </c>
      <c r="AE19" s="61">
        <v>2.7523939999999998</v>
      </c>
      <c r="AF19" s="61">
        <v>2.7694559999999999</v>
      </c>
      <c r="AG19" s="61">
        <v>2.7865679999999999</v>
      </c>
      <c r="AH19" s="61">
        <v>2.8049050000000002</v>
      </c>
      <c r="AI19" s="61">
        <v>2.818092</v>
      </c>
      <c r="AJ19" s="61">
        <v>2.8305720000000001</v>
      </c>
      <c r="AK19" s="62">
        <v>-2.7882000000000001E-2</v>
      </c>
    </row>
    <row r="20" spans="1:37" ht="15" customHeight="1" x14ac:dyDescent="0.2">
      <c r="A20" s="57" t="s">
        <v>453</v>
      </c>
      <c r="B20" s="60" t="s">
        <v>454</v>
      </c>
      <c r="C20" s="61">
        <v>3.931244</v>
      </c>
      <c r="D20" s="61">
        <v>4.3265010000000004</v>
      </c>
      <c r="E20" s="61">
        <v>4.0624180000000001</v>
      </c>
      <c r="F20" s="61">
        <v>3.9512130000000001</v>
      </c>
      <c r="G20" s="61">
        <v>3.6753840000000002</v>
      </c>
      <c r="H20" s="61">
        <v>3.3939149999999998</v>
      </c>
      <c r="I20" s="61">
        <v>3.1845400000000001</v>
      </c>
      <c r="J20" s="61">
        <v>2.967552</v>
      </c>
      <c r="K20" s="61">
        <v>2.772993</v>
      </c>
      <c r="L20" s="61">
        <v>2.5952959999999998</v>
      </c>
      <c r="M20" s="61">
        <v>2.482469</v>
      </c>
      <c r="N20" s="61">
        <v>2.3604159999999998</v>
      </c>
      <c r="O20" s="61">
        <v>2.2681010000000001</v>
      </c>
      <c r="P20" s="61">
        <v>2.162544</v>
      </c>
      <c r="Q20" s="61">
        <v>2.0674649999999999</v>
      </c>
      <c r="R20" s="61">
        <v>2.0058319999999998</v>
      </c>
      <c r="S20" s="61">
        <v>1.9528559999999999</v>
      </c>
      <c r="T20" s="61">
        <v>1.926577</v>
      </c>
      <c r="U20" s="61">
        <v>1.9053199999999999</v>
      </c>
      <c r="V20" s="61">
        <v>1.8984559999999999</v>
      </c>
      <c r="W20" s="61">
        <v>1.8916489999999999</v>
      </c>
      <c r="X20" s="61">
        <v>1.898957</v>
      </c>
      <c r="Y20" s="61">
        <v>1.910733</v>
      </c>
      <c r="Z20" s="61">
        <v>1.9252130000000001</v>
      </c>
      <c r="AA20" s="61">
        <v>1.9521839999999999</v>
      </c>
      <c r="AB20" s="61">
        <v>1.9897940000000001</v>
      </c>
      <c r="AC20" s="61">
        <v>2.0224250000000001</v>
      </c>
      <c r="AD20" s="61">
        <v>2.0561579999999999</v>
      </c>
      <c r="AE20" s="61">
        <v>2.0949239999999998</v>
      </c>
      <c r="AF20" s="61">
        <v>2.138347</v>
      </c>
      <c r="AG20" s="61">
        <v>2.1827390000000002</v>
      </c>
      <c r="AH20" s="61">
        <v>2.2323110000000002</v>
      </c>
      <c r="AI20" s="61">
        <v>2.279563</v>
      </c>
      <c r="AJ20" s="61">
        <v>2.3288139999999999</v>
      </c>
      <c r="AK20" s="62">
        <v>-1.917E-2</v>
      </c>
    </row>
    <row r="21" spans="1:37" ht="15" customHeight="1" x14ac:dyDescent="0.2">
      <c r="A21" s="57" t="s">
        <v>455</v>
      </c>
      <c r="B21" s="60" t="s">
        <v>456</v>
      </c>
      <c r="C21" s="61">
        <v>11.537136</v>
      </c>
      <c r="D21" s="61">
        <v>17.900618000000001</v>
      </c>
      <c r="E21" s="61">
        <v>29.66337</v>
      </c>
      <c r="F21" s="61">
        <v>43.691540000000003</v>
      </c>
      <c r="G21" s="61">
        <v>60.113934</v>
      </c>
      <c r="H21" s="61">
        <v>77.175849999999997</v>
      </c>
      <c r="I21" s="61">
        <v>94.003890999999996</v>
      </c>
      <c r="J21" s="61">
        <v>111.052177</v>
      </c>
      <c r="K21" s="61">
        <v>128.48336800000001</v>
      </c>
      <c r="L21" s="61">
        <v>145.28533899999999</v>
      </c>
      <c r="M21" s="61">
        <v>161.43392900000001</v>
      </c>
      <c r="N21" s="61">
        <v>177.16246000000001</v>
      </c>
      <c r="O21" s="61">
        <v>192.89389</v>
      </c>
      <c r="P21" s="61">
        <v>208.73147599999999</v>
      </c>
      <c r="Q21" s="61">
        <v>224.82223500000001</v>
      </c>
      <c r="R21" s="61">
        <v>240.96106</v>
      </c>
      <c r="S21" s="61">
        <v>257.17175300000002</v>
      </c>
      <c r="T21" s="61">
        <v>273.62857100000002</v>
      </c>
      <c r="U21" s="61">
        <v>290.11511200000001</v>
      </c>
      <c r="V21" s="61">
        <v>307.36251800000002</v>
      </c>
      <c r="W21" s="61">
        <v>324.78741500000001</v>
      </c>
      <c r="X21" s="61">
        <v>342.39038099999999</v>
      </c>
      <c r="Y21" s="61">
        <v>360.27218599999998</v>
      </c>
      <c r="Z21" s="61">
        <v>378.38275099999998</v>
      </c>
      <c r="AA21" s="61">
        <v>396.28463699999998</v>
      </c>
      <c r="AB21" s="61">
        <v>414.11938500000002</v>
      </c>
      <c r="AC21" s="61">
        <v>431.90869099999998</v>
      </c>
      <c r="AD21" s="61">
        <v>449.652466</v>
      </c>
      <c r="AE21" s="61">
        <v>467.21533199999999</v>
      </c>
      <c r="AF21" s="61">
        <v>484.91217</v>
      </c>
      <c r="AG21" s="61">
        <v>502.46365400000002</v>
      </c>
      <c r="AH21" s="61">
        <v>519.88464399999998</v>
      </c>
      <c r="AI21" s="61">
        <v>537.254456</v>
      </c>
      <c r="AJ21" s="61">
        <v>554.416382</v>
      </c>
      <c r="AK21" s="62">
        <v>0.11325</v>
      </c>
    </row>
    <row r="22" spans="1:37" ht="15" customHeight="1" x14ac:dyDescent="0.2">
      <c r="A22" s="57" t="s">
        <v>457</v>
      </c>
      <c r="B22" s="60" t="s">
        <v>458</v>
      </c>
      <c r="C22" s="61">
        <v>0.27376</v>
      </c>
      <c r="D22" s="61">
        <v>0.59876600000000002</v>
      </c>
      <c r="E22" s="61">
        <v>1.173962</v>
      </c>
      <c r="F22" s="61">
        <v>2.074811</v>
      </c>
      <c r="G22" s="61">
        <v>3.6237200000000001</v>
      </c>
      <c r="H22" s="61">
        <v>5.7200490000000004</v>
      </c>
      <c r="I22" s="61">
        <v>7.7269990000000002</v>
      </c>
      <c r="J22" s="61">
        <v>9.8447119999999995</v>
      </c>
      <c r="K22" s="61">
        <v>12.067842000000001</v>
      </c>
      <c r="L22" s="61">
        <v>14.150493000000001</v>
      </c>
      <c r="M22" s="61">
        <v>16.068527</v>
      </c>
      <c r="N22" s="61">
        <v>17.740499</v>
      </c>
      <c r="O22" s="61">
        <v>19.306999000000001</v>
      </c>
      <c r="P22" s="61">
        <v>20.741416999999998</v>
      </c>
      <c r="Q22" s="61">
        <v>22.034424000000001</v>
      </c>
      <c r="R22" s="61">
        <v>23.040400000000002</v>
      </c>
      <c r="S22" s="61">
        <v>23.813354</v>
      </c>
      <c r="T22" s="61">
        <v>24.486129999999999</v>
      </c>
      <c r="U22" s="61">
        <v>25.056366000000001</v>
      </c>
      <c r="V22" s="61">
        <v>25.579964</v>
      </c>
      <c r="W22" s="61">
        <v>25.995058</v>
      </c>
      <c r="X22" s="61">
        <v>26.341857999999998</v>
      </c>
      <c r="Y22" s="61">
        <v>26.657215000000001</v>
      </c>
      <c r="Z22" s="61">
        <v>26.957090000000001</v>
      </c>
      <c r="AA22" s="61">
        <v>27.189185999999999</v>
      </c>
      <c r="AB22" s="61">
        <v>27.399198999999999</v>
      </c>
      <c r="AC22" s="61">
        <v>27.583216</v>
      </c>
      <c r="AD22" s="61">
        <v>27.742733000000001</v>
      </c>
      <c r="AE22" s="61">
        <v>27.874962</v>
      </c>
      <c r="AF22" s="61">
        <v>28.002413000000001</v>
      </c>
      <c r="AG22" s="61">
        <v>28.141259999999999</v>
      </c>
      <c r="AH22" s="61">
        <v>28.302531999999999</v>
      </c>
      <c r="AI22" s="61">
        <v>28.480495000000001</v>
      </c>
      <c r="AJ22" s="61">
        <v>28.679655</v>
      </c>
      <c r="AK22" s="62">
        <v>0.128522</v>
      </c>
    </row>
    <row r="23" spans="1:37" ht="15.75" customHeight="1" x14ac:dyDescent="0.2"/>
    <row r="24" spans="1:37" ht="15" customHeight="1" x14ac:dyDescent="0.2">
      <c r="A24" s="57" t="s">
        <v>459</v>
      </c>
      <c r="B24" s="59" t="s">
        <v>460</v>
      </c>
      <c r="C24" s="68">
        <v>886.89825399999995</v>
      </c>
      <c r="D24" s="68">
        <v>901.04919400000006</v>
      </c>
      <c r="E24" s="68">
        <v>913.30731200000002</v>
      </c>
      <c r="F24" s="68">
        <v>917.23217799999998</v>
      </c>
      <c r="G24" s="68">
        <v>916.86462400000005</v>
      </c>
      <c r="H24" s="68">
        <v>915.28680399999996</v>
      </c>
      <c r="I24" s="68">
        <v>913.37457300000005</v>
      </c>
      <c r="J24" s="68">
        <v>910.667236</v>
      </c>
      <c r="K24" s="68">
        <v>911.52050799999995</v>
      </c>
      <c r="L24" s="68">
        <v>912.30297900000005</v>
      </c>
      <c r="M24" s="68">
        <v>912.036743</v>
      </c>
      <c r="N24" s="68">
        <v>913.76531999999997</v>
      </c>
      <c r="O24" s="68">
        <v>913.86468500000001</v>
      </c>
      <c r="P24" s="68">
        <v>913.95062299999995</v>
      </c>
      <c r="Q24" s="68">
        <v>916.18102999999996</v>
      </c>
      <c r="R24" s="68">
        <v>919.21929899999998</v>
      </c>
      <c r="S24" s="68">
        <v>923.73584000000005</v>
      </c>
      <c r="T24" s="68">
        <v>929.93817100000001</v>
      </c>
      <c r="U24" s="68">
        <v>937.46362299999998</v>
      </c>
      <c r="V24" s="68">
        <v>945.92535399999997</v>
      </c>
      <c r="W24" s="68">
        <v>955.72406000000001</v>
      </c>
      <c r="X24" s="68">
        <v>966.26245100000006</v>
      </c>
      <c r="Y24" s="68">
        <v>975.91790800000001</v>
      </c>
      <c r="Z24" s="68">
        <v>985.93042000000003</v>
      </c>
      <c r="AA24" s="68">
        <v>996.26336700000002</v>
      </c>
      <c r="AB24" s="68">
        <v>1006.739807</v>
      </c>
      <c r="AC24" s="68">
        <v>1018.405029</v>
      </c>
      <c r="AD24" s="68">
        <v>1030.961182</v>
      </c>
      <c r="AE24" s="68">
        <v>1044.946899</v>
      </c>
      <c r="AF24" s="68">
        <v>1059.743164</v>
      </c>
      <c r="AG24" s="68">
        <v>1074.5489500000001</v>
      </c>
      <c r="AH24" s="68">
        <v>1088.340698</v>
      </c>
      <c r="AI24" s="68">
        <v>1102.0864260000001</v>
      </c>
      <c r="AJ24" s="68">
        <v>1115.861206</v>
      </c>
      <c r="AK24" s="66">
        <v>6.7039999999999999E-3</v>
      </c>
    </row>
    <row r="25" spans="1:37" ht="15" customHeight="1" x14ac:dyDescent="0.2">
      <c r="A25" s="57" t="s">
        <v>461</v>
      </c>
      <c r="B25" s="60" t="s">
        <v>446</v>
      </c>
      <c r="C25" s="61">
        <v>606.36535600000002</v>
      </c>
      <c r="D25" s="61">
        <v>605.30755599999998</v>
      </c>
      <c r="E25" s="61">
        <v>607.949524</v>
      </c>
      <c r="F25" s="61">
        <v>604.13769500000001</v>
      </c>
      <c r="G25" s="61">
        <v>596.90875200000005</v>
      </c>
      <c r="H25" s="61">
        <v>589.81463599999995</v>
      </c>
      <c r="I25" s="61">
        <v>582.98095699999999</v>
      </c>
      <c r="J25" s="61">
        <v>571.22607400000004</v>
      </c>
      <c r="K25" s="61">
        <v>558.56311000000005</v>
      </c>
      <c r="L25" s="61">
        <v>555.41857900000002</v>
      </c>
      <c r="M25" s="61">
        <v>547.30902100000003</v>
      </c>
      <c r="N25" s="61">
        <v>541.48974599999997</v>
      </c>
      <c r="O25" s="61">
        <v>534.28338599999995</v>
      </c>
      <c r="P25" s="61">
        <v>526.783142</v>
      </c>
      <c r="Q25" s="61">
        <v>523.71209699999997</v>
      </c>
      <c r="R25" s="61">
        <v>523.11547900000005</v>
      </c>
      <c r="S25" s="61">
        <v>521.33709699999997</v>
      </c>
      <c r="T25" s="61">
        <v>519.05609100000004</v>
      </c>
      <c r="U25" s="61">
        <v>520.57098399999995</v>
      </c>
      <c r="V25" s="61">
        <v>521.24829099999999</v>
      </c>
      <c r="W25" s="61">
        <v>524.30822799999999</v>
      </c>
      <c r="X25" s="61">
        <v>529.17877199999998</v>
      </c>
      <c r="Y25" s="61">
        <v>536.13806199999999</v>
      </c>
      <c r="Z25" s="61">
        <v>543.30438200000003</v>
      </c>
      <c r="AA25" s="61">
        <v>554.95043899999996</v>
      </c>
      <c r="AB25" s="61">
        <v>565.55859399999997</v>
      </c>
      <c r="AC25" s="61">
        <v>579.68866000000003</v>
      </c>
      <c r="AD25" s="61">
        <v>591.68261700000005</v>
      </c>
      <c r="AE25" s="61">
        <v>603.73230000000001</v>
      </c>
      <c r="AF25" s="61">
        <v>627.194885</v>
      </c>
      <c r="AG25" s="61">
        <v>656.53930700000001</v>
      </c>
      <c r="AH25" s="61">
        <v>678.30609100000004</v>
      </c>
      <c r="AI25" s="61">
        <v>686.05108600000005</v>
      </c>
      <c r="AJ25" s="61">
        <v>693.75091599999996</v>
      </c>
      <c r="AK25" s="62">
        <v>4.2709999999999996E-3</v>
      </c>
    </row>
    <row r="26" spans="1:37" ht="15" customHeight="1" x14ac:dyDescent="0.2">
      <c r="A26" s="57" t="s">
        <v>462</v>
      </c>
      <c r="B26" s="60" t="s">
        <v>448</v>
      </c>
      <c r="C26" s="61">
        <v>1.2694559999999999</v>
      </c>
      <c r="D26" s="61">
        <v>6.8000879999999997</v>
      </c>
      <c r="E26" s="61">
        <v>7.8485060000000004</v>
      </c>
      <c r="F26" s="61">
        <v>10.106413999999999</v>
      </c>
      <c r="G26" s="61">
        <v>13.157337</v>
      </c>
      <c r="H26" s="61">
        <v>15.643520000000001</v>
      </c>
      <c r="I26" s="61">
        <v>17.898478999999998</v>
      </c>
      <c r="J26" s="61">
        <v>25.584816</v>
      </c>
      <c r="K26" s="61">
        <v>37.096310000000003</v>
      </c>
      <c r="L26" s="61">
        <v>39.877831</v>
      </c>
      <c r="M26" s="61">
        <v>47.133904000000001</v>
      </c>
      <c r="N26" s="61">
        <v>53.779693999999999</v>
      </c>
      <c r="O26" s="61">
        <v>61.241973999999999</v>
      </c>
      <c r="P26" s="61">
        <v>70.295379999999994</v>
      </c>
      <c r="Q26" s="61">
        <v>74.829680999999994</v>
      </c>
      <c r="R26" s="61">
        <v>79.007698000000005</v>
      </c>
      <c r="S26" s="61">
        <v>84.767646999999997</v>
      </c>
      <c r="T26" s="61">
        <v>93.049576000000002</v>
      </c>
      <c r="U26" s="61">
        <v>98.679580999999999</v>
      </c>
      <c r="V26" s="61">
        <v>105.63016500000001</v>
      </c>
      <c r="W26" s="61">
        <v>112.197945</v>
      </c>
      <c r="X26" s="61">
        <v>117.53334</v>
      </c>
      <c r="Y26" s="61">
        <v>121.15104700000001</v>
      </c>
      <c r="Z26" s="61">
        <v>124.08399199999999</v>
      </c>
      <c r="AA26" s="61">
        <v>123.46315</v>
      </c>
      <c r="AB26" s="61">
        <v>123.15036000000001</v>
      </c>
      <c r="AC26" s="61">
        <v>119.422455</v>
      </c>
      <c r="AD26" s="61">
        <v>118.49369</v>
      </c>
      <c r="AE26" s="61">
        <v>118.733879</v>
      </c>
      <c r="AF26" s="61">
        <v>107.510994</v>
      </c>
      <c r="AG26" s="61">
        <v>90.537163000000007</v>
      </c>
      <c r="AH26" s="61">
        <v>81.026687999999993</v>
      </c>
      <c r="AI26" s="61">
        <v>85.247459000000006</v>
      </c>
      <c r="AJ26" s="61">
        <v>89.920685000000006</v>
      </c>
      <c r="AK26" s="62">
        <v>8.4031999999999996E-2</v>
      </c>
    </row>
    <row r="27" spans="1:37" ht="15" customHeight="1" x14ac:dyDescent="0.2">
      <c r="A27" s="57" t="s">
        <v>463</v>
      </c>
      <c r="B27" s="60" t="s">
        <v>450</v>
      </c>
      <c r="C27" s="61">
        <v>278.04269399999998</v>
      </c>
      <c r="D27" s="61">
        <v>287.65640300000001</v>
      </c>
      <c r="E27" s="61">
        <v>296.228363</v>
      </c>
      <c r="F27" s="61">
        <v>301.69146699999999</v>
      </c>
      <c r="G27" s="61">
        <v>305.41622899999999</v>
      </c>
      <c r="H27" s="61">
        <v>308.36706500000003</v>
      </c>
      <c r="I27" s="61">
        <v>310.91235399999999</v>
      </c>
      <c r="J27" s="61">
        <v>312.15438799999998</v>
      </c>
      <c r="K27" s="61">
        <v>314.06976300000002</v>
      </c>
      <c r="L27" s="61">
        <v>315.123627</v>
      </c>
      <c r="M27" s="61">
        <v>315.64605699999998</v>
      </c>
      <c r="N27" s="61">
        <v>316.47167999999999</v>
      </c>
      <c r="O27" s="61">
        <v>316.24032599999998</v>
      </c>
      <c r="P27" s="61">
        <v>314.69564800000001</v>
      </c>
      <c r="Q27" s="61">
        <v>315.386505</v>
      </c>
      <c r="R27" s="61">
        <v>314.75930799999998</v>
      </c>
      <c r="S27" s="61">
        <v>315.19653299999999</v>
      </c>
      <c r="T27" s="61">
        <v>315.286224</v>
      </c>
      <c r="U27" s="61">
        <v>315.54571499999997</v>
      </c>
      <c r="V27" s="61">
        <v>316.24670400000002</v>
      </c>
      <c r="W27" s="61">
        <v>316.273346</v>
      </c>
      <c r="X27" s="61">
        <v>316.45166</v>
      </c>
      <c r="Y27" s="61">
        <v>315.36044299999998</v>
      </c>
      <c r="Z27" s="61">
        <v>315.10003699999999</v>
      </c>
      <c r="AA27" s="61">
        <v>314.21469100000002</v>
      </c>
      <c r="AB27" s="61">
        <v>314.199432</v>
      </c>
      <c r="AC27" s="61">
        <v>315.25479100000001</v>
      </c>
      <c r="AD27" s="61">
        <v>316.505493</v>
      </c>
      <c r="AE27" s="61">
        <v>317.94644199999999</v>
      </c>
      <c r="AF27" s="61">
        <v>320.25555400000002</v>
      </c>
      <c r="AG27" s="61">
        <v>322.41006499999997</v>
      </c>
      <c r="AH27" s="61">
        <v>323.64138800000001</v>
      </c>
      <c r="AI27" s="61">
        <v>325.08737200000002</v>
      </c>
      <c r="AJ27" s="61">
        <v>326.11346400000002</v>
      </c>
      <c r="AK27" s="62">
        <v>3.9290000000000002E-3</v>
      </c>
    </row>
    <row r="28" spans="1:37" ht="15" customHeight="1" x14ac:dyDescent="0.2">
      <c r="A28" s="57" t="s">
        <v>464</v>
      </c>
      <c r="B28" s="60" t="s">
        <v>454</v>
      </c>
      <c r="C28" s="61">
        <v>1.609E-3</v>
      </c>
      <c r="D28" s="61">
        <v>9.4325999999999993E-2</v>
      </c>
      <c r="E28" s="61">
        <v>0.18846099999999999</v>
      </c>
      <c r="F28" s="61">
        <v>0.27876299999999998</v>
      </c>
      <c r="G28" s="61">
        <v>0.36337999999999998</v>
      </c>
      <c r="H28" s="61">
        <v>0.44712600000000002</v>
      </c>
      <c r="I28" s="61">
        <v>0.52610999999999997</v>
      </c>
      <c r="J28" s="61">
        <v>0.60323300000000002</v>
      </c>
      <c r="K28" s="61">
        <v>0.65599700000000005</v>
      </c>
      <c r="L28" s="61">
        <v>0.70727399999999996</v>
      </c>
      <c r="M28" s="61">
        <v>0.75628099999999998</v>
      </c>
      <c r="N28" s="61">
        <v>0.80731200000000003</v>
      </c>
      <c r="O28" s="61">
        <v>0.85489499999999996</v>
      </c>
      <c r="P28" s="61">
        <v>0.90481800000000001</v>
      </c>
      <c r="Q28" s="61">
        <v>0.95170600000000005</v>
      </c>
      <c r="R28" s="61">
        <v>1.002084</v>
      </c>
      <c r="S28" s="61">
        <v>1.052915</v>
      </c>
      <c r="T28" s="61">
        <v>1.1075280000000001</v>
      </c>
      <c r="U28" s="61">
        <v>1.1627320000000001</v>
      </c>
      <c r="V28" s="61">
        <v>1.221336</v>
      </c>
      <c r="W28" s="61">
        <v>1.2831889999999999</v>
      </c>
      <c r="X28" s="61">
        <v>1.3456189999999999</v>
      </c>
      <c r="Y28" s="61">
        <v>1.412167</v>
      </c>
      <c r="Z28" s="61">
        <v>1.4769730000000001</v>
      </c>
      <c r="AA28" s="61">
        <v>1.5463089999999999</v>
      </c>
      <c r="AB28" s="61">
        <v>1.6127480000000001</v>
      </c>
      <c r="AC28" s="61">
        <v>1.6783729999999999</v>
      </c>
      <c r="AD28" s="61">
        <v>1.7484029999999999</v>
      </c>
      <c r="AE28" s="61">
        <v>1.8219860000000001</v>
      </c>
      <c r="AF28" s="61">
        <v>1.89697</v>
      </c>
      <c r="AG28" s="61">
        <v>1.9716309999999999</v>
      </c>
      <c r="AH28" s="61">
        <v>2.0540440000000002</v>
      </c>
      <c r="AI28" s="61">
        <v>2.1360269999999999</v>
      </c>
      <c r="AJ28" s="61">
        <v>2.2290230000000002</v>
      </c>
      <c r="AK28" s="62">
        <v>0.103879</v>
      </c>
    </row>
    <row r="29" spans="1:37" ht="15" customHeight="1" x14ac:dyDescent="0.2">
      <c r="A29" s="57" t="s">
        <v>465</v>
      </c>
      <c r="B29" s="60" t="s">
        <v>452</v>
      </c>
      <c r="C29" s="61">
        <v>1.2190970000000001</v>
      </c>
      <c r="D29" s="61">
        <v>1.1907669999999999</v>
      </c>
      <c r="E29" s="61">
        <v>1.0924970000000001</v>
      </c>
      <c r="F29" s="61">
        <v>0.95423199999999997</v>
      </c>
      <c r="G29" s="61">
        <v>0.89489200000000002</v>
      </c>
      <c r="H29" s="61">
        <v>0.83210700000000004</v>
      </c>
      <c r="I29" s="61">
        <v>0.81816</v>
      </c>
      <c r="J29" s="61">
        <v>0.80513400000000002</v>
      </c>
      <c r="K29" s="61">
        <v>0.78724899999999998</v>
      </c>
      <c r="L29" s="61">
        <v>0.77361199999999997</v>
      </c>
      <c r="M29" s="61">
        <v>0.75269200000000003</v>
      </c>
      <c r="N29" s="61">
        <v>0.73995500000000003</v>
      </c>
      <c r="O29" s="61">
        <v>0.73058800000000002</v>
      </c>
      <c r="P29" s="61">
        <v>0.72006199999999998</v>
      </c>
      <c r="Q29" s="61">
        <v>0.71318700000000002</v>
      </c>
      <c r="R29" s="61">
        <v>0.70891499999999996</v>
      </c>
      <c r="S29" s="61">
        <v>0.71754899999999999</v>
      </c>
      <c r="T29" s="61">
        <v>0.734263</v>
      </c>
      <c r="U29" s="61">
        <v>0.75947399999999998</v>
      </c>
      <c r="V29" s="61">
        <v>0.79141499999999998</v>
      </c>
      <c r="W29" s="61">
        <v>0.82972599999999996</v>
      </c>
      <c r="X29" s="61">
        <v>0.877413</v>
      </c>
      <c r="Y29" s="61">
        <v>0.93452500000000005</v>
      </c>
      <c r="Z29" s="61">
        <v>0.99819899999999995</v>
      </c>
      <c r="AA29" s="61">
        <v>1.073186</v>
      </c>
      <c r="AB29" s="61">
        <v>1.1556340000000001</v>
      </c>
      <c r="AC29" s="61">
        <v>1.24983</v>
      </c>
      <c r="AD29" s="61">
        <v>1.368331</v>
      </c>
      <c r="AE29" s="61">
        <v>1.4950699999999999</v>
      </c>
      <c r="AF29" s="61">
        <v>1.6109979999999999</v>
      </c>
      <c r="AG29" s="61">
        <v>1.7607680000000001</v>
      </c>
      <c r="AH29" s="61">
        <v>1.920488</v>
      </c>
      <c r="AI29" s="61">
        <v>2.110897</v>
      </c>
      <c r="AJ29" s="61">
        <v>2.3282159999999998</v>
      </c>
      <c r="AK29" s="62">
        <v>2.1173999999999998E-2</v>
      </c>
    </row>
    <row r="30" spans="1:37" ht="15" customHeight="1" x14ac:dyDescent="0.2">
      <c r="A30" s="57" t="s">
        <v>466</v>
      </c>
      <c r="B30" s="60" t="s">
        <v>456</v>
      </c>
      <c r="C30" s="61">
        <v>0</v>
      </c>
      <c r="D30" s="61">
        <v>0</v>
      </c>
      <c r="E30" s="61">
        <v>0</v>
      </c>
      <c r="F30" s="61">
        <v>6.3650999999999999E-2</v>
      </c>
      <c r="G30" s="61">
        <v>0.12402100000000001</v>
      </c>
      <c r="H30" s="61">
        <v>0.18240100000000001</v>
      </c>
      <c r="I30" s="61">
        <v>0.23846999999999999</v>
      </c>
      <c r="J30" s="61">
        <v>0.29357899999999998</v>
      </c>
      <c r="K30" s="61">
        <v>0.34808099999999997</v>
      </c>
      <c r="L30" s="61">
        <v>0.40206799999999998</v>
      </c>
      <c r="M30" s="61">
        <v>0.438809</v>
      </c>
      <c r="N30" s="61">
        <v>0.47697400000000001</v>
      </c>
      <c r="O30" s="61">
        <v>0.51349900000000004</v>
      </c>
      <c r="P30" s="61">
        <v>0.55158600000000002</v>
      </c>
      <c r="Q30" s="61">
        <v>0.58777000000000001</v>
      </c>
      <c r="R30" s="61">
        <v>0.62582899999999997</v>
      </c>
      <c r="S30" s="61">
        <v>0.66410400000000003</v>
      </c>
      <c r="T30" s="61">
        <v>0.704511</v>
      </c>
      <c r="U30" s="61">
        <v>0.74516099999999996</v>
      </c>
      <c r="V30" s="61">
        <v>0.78740399999999999</v>
      </c>
      <c r="W30" s="61">
        <v>0.83168399999999998</v>
      </c>
      <c r="X30" s="61">
        <v>0.87562399999999996</v>
      </c>
      <c r="Y30" s="61">
        <v>0.92164299999999999</v>
      </c>
      <c r="Z30" s="61">
        <v>0.96685500000000002</v>
      </c>
      <c r="AA30" s="61">
        <v>1.0155620000000001</v>
      </c>
      <c r="AB30" s="61">
        <v>1.0630539999999999</v>
      </c>
      <c r="AC30" s="61">
        <v>1.110935</v>
      </c>
      <c r="AD30" s="61">
        <v>1.1625779999999999</v>
      </c>
      <c r="AE30" s="61">
        <v>1.2173350000000001</v>
      </c>
      <c r="AF30" s="61">
        <v>1.273639</v>
      </c>
      <c r="AG30" s="61">
        <v>1.3301019999999999</v>
      </c>
      <c r="AH30" s="61">
        <v>1.3919870000000001</v>
      </c>
      <c r="AI30" s="61">
        <v>1.4536420000000001</v>
      </c>
      <c r="AJ30" s="61">
        <v>1.518894</v>
      </c>
      <c r="AK30" s="62" t="s">
        <v>467</v>
      </c>
    </row>
    <row r="31" spans="1:37" ht="15" customHeight="1" x14ac:dyDescent="0.2">
      <c r="A31" s="57" t="s">
        <v>468</v>
      </c>
      <c r="B31" s="60" t="s">
        <v>458</v>
      </c>
      <c r="C31" s="61">
        <v>0</v>
      </c>
      <c r="D31" s="61">
        <v>0</v>
      </c>
      <c r="E31" s="61">
        <v>0</v>
      </c>
      <c r="F31" s="61">
        <v>0</v>
      </c>
      <c r="G31" s="61">
        <v>0</v>
      </c>
      <c r="H31" s="61">
        <v>0</v>
      </c>
      <c r="I31" s="61">
        <v>0</v>
      </c>
      <c r="J31" s="61">
        <v>0</v>
      </c>
      <c r="K31" s="61">
        <v>0</v>
      </c>
      <c r="L31" s="61">
        <v>0</v>
      </c>
      <c r="M31" s="61">
        <v>0</v>
      </c>
      <c r="N31" s="61">
        <v>0</v>
      </c>
      <c r="O31" s="61">
        <v>0</v>
      </c>
      <c r="P31" s="61">
        <v>0</v>
      </c>
      <c r="Q31" s="61">
        <v>0</v>
      </c>
      <c r="R31" s="61">
        <v>0</v>
      </c>
      <c r="S31" s="61">
        <v>0</v>
      </c>
      <c r="T31" s="61">
        <v>0</v>
      </c>
      <c r="U31" s="61">
        <v>0</v>
      </c>
      <c r="V31" s="61">
        <v>0</v>
      </c>
      <c r="W31" s="61">
        <v>0</v>
      </c>
      <c r="X31" s="61">
        <v>0</v>
      </c>
      <c r="Y31" s="61">
        <v>0</v>
      </c>
      <c r="Z31" s="61">
        <v>0</v>
      </c>
      <c r="AA31" s="61">
        <v>0</v>
      </c>
      <c r="AB31" s="61">
        <v>0</v>
      </c>
      <c r="AC31" s="61">
        <v>0</v>
      </c>
      <c r="AD31" s="61">
        <v>0</v>
      </c>
      <c r="AE31" s="61">
        <v>0</v>
      </c>
      <c r="AF31" s="61">
        <v>0</v>
      </c>
      <c r="AG31" s="61">
        <v>0</v>
      </c>
      <c r="AH31" s="61">
        <v>0</v>
      </c>
      <c r="AI31" s="61">
        <v>0</v>
      </c>
      <c r="AJ31" s="61">
        <v>0</v>
      </c>
      <c r="AK31" s="62" t="s">
        <v>467</v>
      </c>
    </row>
    <row r="32" spans="1:37" ht="15.75" customHeight="1" x14ac:dyDescent="0.2"/>
    <row r="33" spans="1:37" ht="15" customHeight="1" x14ac:dyDescent="0.2">
      <c r="A33" s="57" t="s">
        <v>469</v>
      </c>
      <c r="B33" s="59" t="s">
        <v>470</v>
      </c>
      <c r="C33" s="68">
        <v>5649.7138670000004</v>
      </c>
      <c r="D33" s="68">
        <v>5725.2592770000001</v>
      </c>
      <c r="E33" s="68">
        <v>5818.2104490000002</v>
      </c>
      <c r="F33" s="68">
        <v>5830.0400390000004</v>
      </c>
      <c r="G33" s="68">
        <v>5814.6381840000004</v>
      </c>
      <c r="H33" s="68">
        <v>5814.2666019999997</v>
      </c>
      <c r="I33" s="68">
        <v>5813.0493159999996</v>
      </c>
      <c r="J33" s="68">
        <v>5804.3056640000004</v>
      </c>
      <c r="K33" s="68">
        <v>5792.9770509999998</v>
      </c>
      <c r="L33" s="68">
        <v>5777.2124020000001</v>
      </c>
      <c r="M33" s="68">
        <v>5741.1816410000001</v>
      </c>
      <c r="N33" s="68">
        <v>5710.9765619999998</v>
      </c>
      <c r="O33" s="68">
        <v>5669.7436520000001</v>
      </c>
      <c r="P33" s="68">
        <v>5629.2807620000003</v>
      </c>
      <c r="Q33" s="68">
        <v>5599.5834960000002</v>
      </c>
      <c r="R33" s="68">
        <v>5569.5664059999999</v>
      </c>
      <c r="S33" s="68">
        <v>5545.65625</v>
      </c>
      <c r="T33" s="68">
        <v>5537.8217770000001</v>
      </c>
      <c r="U33" s="68">
        <v>5547.3720700000003</v>
      </c>
      <c r="V33" s="68">
        <v>5561.8339839999999</v>
      </c>
      <c r="W33" s="68">
        <v>5587.001953</v>
      </c>
      <c r="X33" s="68">
        <v>5616.1782229999999</v>
      </c>
      <c r="Y33" s="68">
        <v>5643.7475590000004</v>
      </c>
      <c r="Z33" s="68">
        <v>5665.5419920000004</v>
      </c>
      <c r="AA33" s="68">
        <v>5698.0361329999996</v>
      </c>
      <c r="AB33" s="68">
        <v>5732.9047849999997</v>
      </c>
      <c r="AC33" s="68">
        <v>5773.46875</v>
      </c>
      <c r="AD33" s="68">
        <v>5824.3999020000001</v>
      </c>
      <c r="AE33" s="68">
        <v>5880.1401370000003</v>
      </c>
      <c r="AF33" s="68">
        <v>5936.2446289999998</v>
      </c>
      <c r="AG33" s="68">
        <v>5998.6572269999997</v>
      </c>
      <c r="AH33" s="68">
        <v>6065.2211909999996</v>
      </c>
      <c r="AI33" s="68">
        <v>6124.8315430000002</v>
      </c>
      <c r="AJ33" s="68">
        <v>6190.8994140000004</v>
      </c>
      <c r="AK33" s="66">
        <v>2.447E-3</v>
      </c>
    </row>
    <row r="34" spans="1:37" ht="15" customHeight="1" x14ac:dyDescent="0.2">
      <c r="A34" s="57" t="s">
        <v>471</v>
      </c>
      <c r="B34" s="60" t="s">
        <v>472</v>
      </c>
      <c r="C34" s="61">
        <v>524.60040300000003</v>
      </c>
      <c r="D34" s="61">
        <v>526.050659</v>
      </c>
      <c r="E34" s="61">
        <v>531.52697799999999</v>
      </c>
      <c r="F34" s="61">
        <v>534.25390600000003</v>
      </c>
      <c r="G34" s="61">
        <v>536.15460199999995</v>
      </c>
      <c r="H34" s="61">
        <v>538.68640100000005</v>
      </c>
      <c r="I34" s="61">
        <v>542.30346699999996</v>
      </c>
      <c r="J34" s="61">
        <v>545.79400599999997</v>
      </c>
      <c r="K34" s="61">
        <v>547.48040800000001</v>
      </c>
      <c r="L34" s="61">
        <v>552.80963099999997</v>
      </c>
      <c r="M34" s="61">
        <v>555.23925799999995</v>
      </c>
      <c r="N34" s="61">
        <v>559.45953399999996</v>
      </c>
      <c r="O34" s="61">
        <v>565.21630900000002</v>
      </c>
      <c r="P34" s="61">
        <v>567.23321499999997</v>
      </c>
      <c r="Q34" s="61">
        <v>575.14086899999995</v>
      </c>
      <c r="R34" s="61">
        <v>580.80810499999995</v>
      </c>
      <c r="S34" s="61">
        <v>587.01580799999999</v>
      </c>
      <c r="T34" s="61">
        <v>595.18499799999995</v>
      </c>
      <c r="U34" s="61">
        <v>604.73083499999996</v>
      </c>
      <c r="V34" s="61">
        <v>615.77203399999996</v>
      </c>
      <c r="W34" s="61">
        <v>626.92511000000002</v>
      </c>
      <c r="X34" s="61">
        <v>641.21844499999997</v>
      </c>
      <c r="Y34" s="61">
        <v>653.27844200000004</v>
      </c>
      <c r="Z34" s="61">
        <v>668.64556900000002</v>
      </c>
      <c r="AA34" s="61">
        <v>683.95617700000003</v>
      </c>
      <c r="AB34" s="61">
        <v>700.56817599999999</v>
      </c>
      <c r="AC34" s="61">
        <v>719.54101600000001</v>
      </c>
      <c r="AD34" s="61">
        <v>737.58557099999996</v>
      </c>
      <c r="AE34" s="61">
        <v>756.44464100000005</v>
      </c>
      <c r="AF34" s="61">
        <v>780.32104500000003</v>
      </c>
      <c r="AG34" s="61">
        <v>807.35449200000005</v>
      </c>
      <c r="AH34" s="61">
        <v>832.86004600000001</v>
      </c>
      <c r="AI34" s="61">
        <v>852.19982900000002</v>
      </c>
      <c r="AJ34" s="61">
        <v>872.95385699999997</v>
      </c>
      <c r="AK34" s="62">
        <v>1.5953999999999999E-2</v>
      </c>
    </row>
    <row r="35" spans="1:37" ht="15" customHeight="1" x14ac:dyDescent="0.2">
      <c r="A35" s="57" t="s">
        <v>473</v>
      </c>
      <c r="B35" s="60" t="s">
        <v>450</v>
      </c>
      <c r="C35" s="61">
        <v>5085.1342770000001</v>
      </c>
      <c r="D35" s="61">
        <v>5153.1601559999999</v>
      </c>
      <c r="E35" s="61">
        <v>5236.2329099999997</v>
      </c>
      <c r="F35" s="61">
        <v>5242.0927730000003</v>
      </c>
      <c r="G35" s="61">
        <v>5222.1313479999999</v>
      </c>
      <c r="H35" s="61">
        <v>5216.7358400000003</v>
      </c>
      <c r="I35" s="61">
        <v>5209.6865230000003</v>
      </c>
      <c r="J35" s="61">
        <v>5193.9990230000003</v>
      </c>
      <c r="K35" s="61">
        <v>5176.4580079999996</v>
      </c>
      <c r="L35" s="61">
        <v>5153.033203</v>
      </c>
      <c r="M35" s="61">
        <v>5111.0419920000004</v>
      </c>
      <c r="N35" s="61">
        <v>5072.7846680000002</v>
      </c>
      <c r="O35" s="61">
        <v>5021.736328</v>
      </c>
      <c r="P35" s="61">
        <v>4973.982422</v>
      </c>
      <c r="Q35" s="61">
        <v>4932.1289059999999</v>
      </c>
      <c r="R35" s="61">
        <v>4891.7700199999999</v>
      </c>
      <c r="S35" s="61">
        <v>4855.5639650000003</v>
      </c>
      <c r="T35" s="61">
        <v>4831.9931640000004</v>
      </c>
      <c r="U35" s="61">
        <v>4824.6523440000001</v>
      </c>
      <c r="V35" s="61">
        <v>4819.5981449999999</v>
      </c>
      <c r="W35" s="61">
        <v>4824.5913090000004</v>
      </c>
      <c r="X35" s="61">
        <v>4829.9501950000003</v>
      </c>
      <c r="Y35" s="61">
        <v>4835.8374020000001</v>
      </c>
      <c r="Z35" s="61">
        <v>4831.5805659999996</v>
      </c>
      <c r="AA35" s="61">
        <v>4838.6494140000004</v>
      </c>
      <c r="AB35" s="61">
        <v>4845.703125</v>
      </c>
      <c r="AC35" s="61">
        <v>4856.3198240000002</v>
      </c>
      <c r="AD35" s="61">
        <v>4875.8486329999996</v>
      </c>
      <c r="AE35" s="61">
        <v>4897.5234380000002</v>
      </c>
      <c r="AF35" s="61">
        <v>4917.9125979999999</v>
      </c>
      <c r="AG35" s="61">
        <v>4942.810547</v>
      </c>
      <c r="AH35" s="61">
        <v>4969.4038090000004</v>
      </c>
      <c r="AI35" s="61">
        <v>4989.3945309999999</v>
      </c>
      <c r="AJ35" s="61">
        <v>5013.7705079999996</v>
      </c>
      <c r="AK35" s="62">
        <v>-8.5700000000000001E-4</v>
      </c>
    </row>
    <row r="36" spans="1:37" ht="15" customHeight="1" x14ac:dyDescent="0.2">
      <c r="A36" s="57" t="s">
        <v>474</v>
      </c>
      <c r="B36" s="60" t="s">
        <v>452</v>
      </c>
      <c r="C36" s="61">
        <v>38.148581999999998</v>
      </c>
      <c r="D36" s="61">
        <v>41.969741999999997</v>
      </c>
      <c r="E36" s="61">
        <v>45.182625000000002</v>
      </c>
      <c r="F36" s="61">
        <v>47.002907</v>
      </c>
      <c r="G36" s="61">
        <v>48.040393999999999</v>
      </c>
      <c r="H36" s="61">
        <v>48.967399999999998</v>
      </c>
      <c r="I36" s="61">
        <v>49.663395000000001</v>
      </c>
      <c r="J36" s="61">
        <v>50.090133999999999</v>
      </c>
      <c r="K36" s="61">
        <v>50.380482000000001</v>
      </c>
      <c r="L36" s="61">
        <v>50.671726</v>
      </c>
      <c r="M36" s="61">
        <v>50.900291000000003</v>
      </c>
      <c r="N36" s="61">
        <v>51.443798000000001</v>
      </c>
      <c r="O36" s="61">
        <v>52.070354000000002</v>
      </c>
      <c r="P36" s="61">
        <v>53.034072999999999</v>
      </c>
      <c r="Q36" s="61">
        <v>54.412010000000002</v>
      </c>
      <c r="R36" s="61">
        <v>56.326270999999998</v>
      </c>
      <c r="S36" s="61">
        <v>58.965629999999997</v>
      </c>
      <c r="T36" s="61">
        <v>62.304535000000001</v>
      </c>
      <c r="U36" s="61">
        <v>66.323441000000003</v>
      </c>
      <c r="V36" s="61">
        <v>71.053864000000004</v>
      </c>
      <c r="W36" s="61">
        <v>76.538680999999997</v>
      </c>
      <c r="X36" s="61">
        <v>82.900161999999995</v>
      </c>
      <c r="Y36" s="61">
        <v>90.034897000000001</v>
      </c>
      <c r="Z36" s="61">
        <v>98.194076999999993</v>
      </c>
      <c r="AA36" s="61">
        <v>107.21453099999999</v>
      </c>
      <c r="AB36" s="61">
        <v>117.10681200000001</v>
      </c>
      <c r="AC36" s="61">
        <v>128.00065599999999</v>
      </c>
      <c r="AD36" s="61">
        <v>140.15522799999999</v>
      </c>
      <c r="AE36" s="61">
        <v>153.60005200000001</v>
      </c>
      <c r="AF36" s="61">
        <v>168.01939400000001</v>
      </c>
      <c r="AG36" s="61">
        <v>183.19897499999999</v>
      </c>
      <c r="AH36" s="61">
        <v>199.472443</v>
      </c>
      <c r="AI36" s="61">
        <v>216.06509399999999</v>
      </c>
      <c r="AJ36" s="61">
        <v>233.04260300000001</v>
      </c>
      <c r="AK36" s="62">
        <v>5.5031999999999998E-2</v>
      </c>
    </row>
    <row r="37" spans="1:37" ht="15" customHeight="1" x14ac:dyDescent="0.2">
      <c r="A37" s="57" t="s">
        <v>475</v>
      </c>
      <c r="B37" s="60" t="s">
        <v>454</v>
      </c>
      <c r="C37" s="61">
        <v>1.498156</v>
      </c>
      <c r="D37" s="61">
        <v>1.723063</v>
      </c>
      <c r="E37" s="61">
        <v>1.9532560000000001</v>
      </c>
      <c r="F37" s="61">
        <v>2.1466090000000002</v>
      </c>
      <c r="G37" s="61">
        <v>2.3086139999999999</v>
      </c>
      <c r="H37" s="61">
        <v>2.4561730000000002</v>
      </c>
      <c r="I37" s="61">
        <v>2.587135</v>
      </c>
      <c r="J37" s="61">
        <v>2.6920570000000001</v>
      </c>
      <c r="K37" s="61">
        <v>2.7961559999999999</v>
      </c>
      <c r="L37" s="61">
        <v>2.884792</v>
      </c>
      <c r="M37" s="61">
        <v>2.9673210000000001</v>
      </c>
      <c r="N37" s="61">
        <v>3.0204529999999998</v>
      </c>
      <c r="O37" s="61">
        <v>3.0823689999999999</v>
      </c>
      <c r="P37" s="61">
        <v>3.1368170000000002</v>
      </c>
      <c r="Q37" s="61">
        <v>3.1757390000000001</v>
      </c>
      <c r="R37" s="61">
        <v>3.251039</v>
      </c>
      <c r="S37" s="61">
        <v>3.3264490000000002</v>
      </c>
      <c r="T37" s="61">
        <v>3.4084379999999999</v>
      </c>
      <c r="U37" s="61">
        <v>3.5129380000000001</v>
      </c>
      <c r="V37" s="61">
        <v>3.6288209999999999</v>
      </c>
      <c r="W37" s="61">
        <v>3.7593489999999998</v>
      </c>
      <c r="X37" s="61">
        <v>3.9044560000000001</v>
      </c>
      <c r="Y37" s="61">
        <v>4.055053</v>
      </c>
      <c r="Z37" s="61">
        <v>4.2218419999999997</v>
      </c>
      <c r="AA37" s="61">
        <v>4.3932820000000001</v>
      </c>
      <c r="AB37" s="61">
        <v>4.5708580000000003</v>
      </c>
      <c r="AC37" s="61">
        <v>4.7522070000000003</v>
      </c>
      <c r="AD37" s="61">
        <v>4.9478350000000004</v>
      </c>
      <c r="AE37" s="61">
        <v>5.1629329999999998</v>
      </c>
      <c r="AF37" s="61">
        <v>5.3888749999999996</v>
      </c>
      <c r="AG37" s="61">
        <v>5.6731639999999999</v>
      </c>
      <c r="AH37" s="61">
        <v>5.8827150000000001</v>
      </c>
      <c r="AI37" s="61">
        <v>6.1420139999999996</v>
      </c>
      <c r="AJ37" s="61">
        <v>6.42971</v>
      </c>
      <c r="AK37" s="62">
        <v>4.2008999999999998E-2</v>
      </c>
    </row>
    <row r="38" spans="1:37" ht="15" customHeight="1" x14ac:dyDescent="0.2">
      <c r="A38" s="57" t="s">
        <v>476</v>
      </c>
      <c r="B38" s="60" t="s">
        <v>477</v>
      </c>
      <c r="C38" s="61">
        <v>0.3246</v>
      </c>
      <c r="D38" s="61">
        <v>1.628295</v>
      </c>
      <c r="E38" s="61">
        <v>1.8728560000000001</v>
      </c>
      <c r="F38" s="61">
        <v>2.4167239999999999</v>
      </c>
      <c r="G38" s="61">
        <v>3.2091850000000002</v>
      </c>
      <c r="H38" s="61">
        <v>3.917608</v>
      </c>
      <c r="I38" s="61">
        <v>4.5945869999999998</v>
      </c>
      <c r="J38" s="61">
        <v>6.8184430000000003</v>
      </c>
      <c r="K38" s="61">
        <v>10.255258</v>
      </c>
      <c r="L38" s="61">
        <v>11.512392</v>
      </c>
      <c r="M38" s="61">
        <v>14.055236000000001</v>
      </c>
      <c r="N38" s="61">
        <v>16.588408999999999</v>
      </c>
      <c r="O38" s="61">
        <v>19.274384000000001</v>
      </c>
      <c r="P38" s="61">
        <v>22.838697</v>
      </c>
      <c r="Q38" s="61">
        <v>24.972017000000001</v>
      </c>
      <c r="R38" s="61">
        <v>26.948195999999999</v>
      </c>
      <c r="S38" s="61">
        <v>29.578747</v>
      </c>
      <c r="T38" s="61">
        <v>32.954844999999999</v>
      </c>
      <c r="U38" s="61">
        <v>35.372706999999998</v>
      </c>
      <c r="V38" s="61">
        <v>38.156052000000003</v>
      </c>
      <c r="W38" s="61">
        <v>40.699623000000003</v>
      </c>
      <c r="X38" s="61">
        <v>42.815089999999998</v>
      </c>
      <c r="Y38" s="61">
        <v>44.225113</v>
      </c>
      <c r="Z38" s="61">
        <v>45.58128</v>
      </c>
      <c r="AA38" s="61">
        <v>45.490234000000001</v>
      </c>
      <c r="AB38" s="61">
        <v>45.583302000000003</v>
      </c>
      <c r="AC38" s="61">
        <v>44.426830000000002</v>
      </c>
      <c r="AD38" s="61">
        <v>44.315539999999999</v>
      </c>
      <c r="AE38" s="61">
        <v>44.653979999999997</v>
      </c>
      <c r="AF38" s="61">
        <v>40.592559999999999</v>
      </c>
      <c r="AG38" s="61">
        <v>34.289951000000002</v>
      </c>
      <c r="AH38" s="61">
        <v>30.860264000000001</v>
      </c>
      <c r="AI38" s="61">
        <v>32.801682</v>
      </c>
      <c r="AJ38" s="61">
        <v>34.905605000000001</v>
      </c>
      <c r="AK38" s="62">
        <v>0.100522</v>
      </c>
    </row>
    <row r="39" spans="1:37" ht="15" customHeight="1" x14ac:dyDescent="0.2">
      <c r="A39" s="57" t="s">
        <v>478</v>
      </c>
      <c r="B39" s="60" t="s">
        <v>456</v>
      </c>
      <c r="C39" s="61">
        <v>8.0459999999999993E-3</v>
      </c>
      <c r="D39" s="61">
        <v>0.48591800000000002</v>
      </c>
      <c r="E39" s="61">
        <v>0.94214200000000003</v>
      </c>
      <c r="F39" s="61">
        <v>1.38731</v>
      </c>
      <c r="G39" s="61">
        <v>1.8224180000000001</v>
      </c>
      <c r="H39" s="61">
        <v>2.2776480000000001</v>
      </c>
      <c r="I39" s="61">
        <v>2.732923</v>
      </c>
      <c r="J39" s="61">
        <v>3.1785909999999999</v>
      </c>
      <c r="K39" s="61">
        <v>3.6178560000000002</v>
      </c>
      <c r="L39" s="61">
        <v>4.0513430000000001</v>
      </c>
      <c r="M39" s="61">
        <v>4.4687080000000003</v>
      </c>
      <c r="N39" s="61">
        <v>4.9006959999999999</v>
      </c>
      <c r="O39" s="61">
        <v>5.3168170000000003</v>
      </c>
      <c r="P39" s="61">
        <v>5.7334230000000002</v>
      </c>
      <c r="Q39" s="61">
        <v>6.1516820000000001</v>
      </c>
      <c r="R39" s="61">
        <v>6.5743460000000002</v>
      </c>
      <c r="S39" s="61">
        <v>7.0175179999999999</v>
      </c>
      <c r="T39" s="61">
        <v>7.4776949999999998</v>
      </c>
      <c r="U39" s="61">
        <v>7.9604010000000001</v>
      </c>
      <c r="V39" s="61">
        <v>8.4700089999999992</v>
      </c>
      <c r="W39" s="61">
        <v>8.9905749999999998</v>
      </c>
      <c r="X39" s="61">
        <v>9.5339329999999993</v>
      </c>
      <c r="Y39" s="61">
        <v>10.09076</v>
      </c>
      <c r="Z39" s="61">
        <v>10.693087999999999</v>
      </c>
      <c r="AA39" s="61">
        <v>11.297967</v>
      </c>
      <c r="AB39" s="61">
        <v>11.913041</v>
      </c>
      <c r="AC39" s="61">
        <v>12.533806999999999</v>
      </c>
      <c r="AD39" s="61">
        <v>13.190310999999999</v>
      </c>
      <c r="AE39" s="61">
        <v>13.898199</v>
      </c>
      <c r="AF39" s="61">
        <v>14.634829</v>
      </c>
      <c r="AG39" s="61">
        <v>15.407667999999999</v>
      </c>
      <c r="AH39" s="61">
        <v>16.235731000000001</v>
      </c>
      <c r="AI39" s="61">
        <v>17.10915</v>
      </c>
      <c r="AJ39" s="61">
        <v>18.033408999999999</v>
      </c>
      <c r="AK39" s="62">
        <v>0.11956</v>
      </c>
    </row>
    <row r="40" spans="1:37" ht="15" customHeight="1" x14ac:dyDescent="0.2">
      <c r="A40" s="57" t="s">
        <v>479</v>
      </c>
      <c r="B40" s="60" t="s">
        <v>458</v>
      </c>
      <c r="C40" s="61">
        <v>0</v>
      </c>
      <c r="D40" s="61">
        <v>0.24136299999999999</v>
      </c>
      <c r="E40" s="61">
        <v>0.50012000000000001</v>
      </c>
      <c r="F40" s="61">
        <v>0.73979499999999998</v>
      </c>
      <c r="G40" s="61">
        <v>0.97150599999999998</v>
      </c>
      <c r="H40" s="61">
        <v>1.225471</v>
      </c>
      <c r="I40" s="61">
        <v>1.481001</v>
      </c>
      <c r="J40" s="61">
        <v>1.733284</v>
      </c>
      <c r="K40" s="61">
        <v>1.9886159999999999</v>
      </c>
      <c r="L40" s="61">
        <v>2.2491400000000001</v>
      </c>
      <c r="M40" s="61">
        <v>2.5088249999999999</v>
      </c>
      <c r="N40" s="61">
        <v>2.7788789999999999</v>
      </c>
      <c r="O40" s="61">
        <v>3.0470510000000002</v>
      </c>
      <c r="P40" s="61">
        <v>3.322155</v>
      </c>
      <c r="Q40" s="61">
        <v>3.6024060000000002</v>
      </c>
      <c r="R40" s="61">
        <v>3.8884569999999998</v>
      </c>
      <c r="S40" s="61">
        <v>4.1878330000000004</v>
      </c>
      <c r="T40" s="61">
        <v>4.4980789999999997</v>
      </c>
      <c r="U40" s="61">
        <v>4.8197599999999996</v>
      </c>
      <c r="V40" s="61">
        <v>5.155106</v>
      </c>
      <c r="W40" s="61">
        <v>5.4970689999999998</v>
      </c>
      <c r="X40" s="61">
        <v>5.8560509999999999</v>
      </c>
      <c r="Y40" s="61">
        <v>6.2261050000000004</v>
      </c>
      <c r="Z40" s="61">
        <v>6.6260190000000003</v>
      </c>
      <c r="AA40" s="61">
        <v>7.0352649999999999</v>
      </c>
      <c r="AB40" s="61">
        <v>7.4590690000000004</v>
      </c>
      <c r="AC40" s="61">
        <v>7.8945150000000002</v>
      </c>
      <c r="AD40" s="61">
        <v>8.3570410000000006</v>
      </c>
      <c r="AE40" s="61">
        <v>8.8565129999999996</v>
      </c>
      <c r="AF40" s="61">
        <v>9.3758490000000005</v>
      </c>
      <c r="AG40" s="61">
        <v>9.9222249999999992</v>
      </c>
      <c r="AH40" s="61">
        <v>10.505863</v>
      </c>
      <c r="AI40" s="61">
        <v>11.119579999999999</v>
      </c>
      <c r="AJ40" s="61">
        <v>11.763825000000001</v>
      </c>
      <c r="AK40" s="62">
        <v>0.129136</v>
      </c>
    </row>
    <row r="41" spans="1:37" ht="15.75" customHeight="1" x14ac:dyDescent="0.2"/>
    <row r="42" spans="1:37" ht="15.75" customHeight="1" x14ac:dyDescent="0.2"/>
    <row r="43" spans="1:37" ht="15" customHeight="1" x14ac:dyDescent="0.2">
      <c r="A43" s="57" t="s">
        <v>480</v>
      </c>
      <c r="B43" s="59" t="s">
        <v>481</v>
      </c>
      <c r="C43" s="68">
        <v>522.31347700000003</v>
      </c>
      <c r="D43" s="68">
        <v>519.29571499999997</v>
      </c>
      <c r="E43" s="68">
        <v>522.69519000000003</v>
      </c>
      <c r="F43" s="68">
        <v>509.17394999999999</v>
      </c>
      <c r="G43" s="68">
        <v>503.81243899999998</v>
      </c>
      <c r="H43" s="68">
        <v>498.28558299999997</v>
      </c>
      <c r="I43" s="68">
        <v>494.88436899999999</v>
      </c>
      <c r="J43" s="68">
        <v>496.939819</v>
      </c>
      <c r="K43" s="68">
        <v>497.74182100000002</v>
      </c>
      <c r="L43" s="68">
        <v>498.900238</v>
      </c>
      <c r="M43" s="68">
        <v>497.54708900000003</v>
      </c>
      <c r="N43" s="68">
        <v>497.65417500000001</v>
      </c>
      <c r="O43" s="68">
        <v>504.35424799999998</v>
      </c>
      <c r="P43" s="68">
        <v>508.73080399999998</v>
      </c>
      <c r="Q43" s="68">
        <v>506.71163899999999</v>
      </c>
      <c r="R43" s="68">
        <v>504.33160400000003</v>
      </c>
      <c r="S43" s="68">
        <v>504.46984900000001</v>
      </c>
      <c r="T43" s="68">
        <v>501.50994900000001</v>
      </c>
      <c r="U43" s="68">
        <v>501.86041299999999</v>
      </c>
      <c r="V43" s="68">
        <v>502.84713699999998</v>
      </c>
      <c r="W43" s="68">
        <v>502.67279100000002</v>
      </c>
      <c r="X43" s="68">
        <v>503.477844</v>
      </c>
      <c r="Y43" s="68">
        <v>504.19418300000001</v>
      </c>
      <c r="Z43" s="68">
        <v>504.51037600000001</v>
      </c>
      <c r="AA43" s="68">
        <v>504.60919200000001</v>
      </c>
      <c r="AB43" s="68">
        <v>504.09063700000002</v>
      </c>
      <c r="AC43" s="68">
        <v>503.24023399999999</v>
      </c>
      <c r="AD43" s="68">
        <v>503.68398999999999</v>
      </c>
      <c r="AE43" s="68">
        <v>504.540955</v>
      </c>
      <c r="AF43" s="68">
        <v>504.20459</v>
      </c>
      <c r="AG43" s="68">
        <v>504.54315200000002</v>
      </c>
      <c r="AH43" s="68">
        <v>505.44183299999997</v>
      </c>
      <c r="AI43" s="68">
        <v>506.188446</v>
      </c>
      <c r="AJ43" s="68">
        <v>507.372589</v>
      </c>
      <c r="AK43" s="66">
        <v>-7.2599999999999997E-4</v>
      </c>
    </row>
    <row r="44" spans="1:37" ht="15" customHeight="1" x14ac:dyDescent="0.2">
      <c r="A44" s="57" t="s">
        <v>482</v>
      </c>
      <c r="B44" s="60" t="s">
        <v>450</v>
      </c>
      <c r="C44" s="61">
        <v>522.31347700000003</v>
      </c>
      <c r="D44" s="61">
        <v>519.29571499999997</v>
      </c>
      <c r="E44" s="61">
        <v>522.69519000000003</v>
      </c>
      <c r="F44" s="61">
        <v>508.62905899999998</v>
      </c>
      <c r="G44" s="61">
        <v>502.19607500000001</v>
      </c>
      <c r="H44" s="61">
        <v>495.09234600000002</v>
      </c>
      <c r="I44" s="61">
        <v>489.60803199999998</v>
      </c>
      <c r="J44" s="61">
        <v>489.01086400000003</v>
      </c>
      <c r="K44" s="61">
        <v>485.47164900000001</v>
      </c>
      <c r="L44" s="61">
        <v>480.60494999999997</v>
      </c>
      <c r="M44" s="61">
        <v>471.72384599999998</v>
      </c>
      <c r="N44" s="61">
        <v>462.72113000000002</v>
      </c>
      <c r="O44" s="61">
        <v>458.26724200000001</v>
      </c>
      <c r="P44" s="61">
        <v>451.69775399999997</v>
      </c>
      <c r="Q44" s="61">
        <v>439.62548800000002</v>
      </c>
      <c r="R44" s="61">
        <v>427.54873700000002</v>
      </c>
      <c r="S44" s="61">
        <v>417.86636399999998</v>
      </c>
      <c r="T44" s="61">
        <v>405.88204999999999</v>
      </c>
      <c r="U44" s="61">
        <v>396.84536700000001</v>
      </c>
      <c r="V44" s="61">
        <v>388.501282</v>
      </c>
      <c r="W44" s="61">
        <v>379.45471199999997</v>
      </c>
      <c r="X44" s="61">
        <v>371.34112499999998</v>
      </c>
      <c r="Y44" s="61">
        <v>363.33615099999997</v>
      </c>
      <c r="Z44" s="61">
        <v>355.22128300000003</v>
      </c>
      <c r="AA44" s="61">
        <v>347.13797</v>
      </c>
      <c r="AB44" s="61">
        <v>338.82363900000001</v>
      </c>
      <c r="AC44" s="61">
        <v>330.49014299999999</v>
      </c>
      <c r="AD44" s="61">
        <v>323.191101</v>
      </c>
      <c r="AE44" s="61">
        <v>316.312073</v>
      </c>
      <c r="AF44" s="61">
        <v>308.84759500000001</v>
      </c>
      <c r="AG44" s="61">
        <v>301.96307400000001</v>
      </c>
      <c r="AH44" s="61">
        <v>295.55944799999997</v>
      </c>
      <c r="AI44" s="61">
        <v>289.20376599999997</v>
      </c>
      <c r="AJ44" s="61">
        <v>283.22842400000002</v>
      </c>
      <c r="AK44" s="62">
        <v>-1.8766000000000001E-2</v>
      </c>
    </row>
    <row r="45" spans="1:37" ht="15" customHeight="1" x14ac:dyDescent="0.2">
      <c r="A45" s="57" t="s">
        <v>483</v>
      </c>
      <c r="B45" s="60" t="s">
        <v>484</v>
      </c>
      <c r="C45" s="61">
        <v>0</v>
      </c>
      <c r="D45" s="61">
        <v>0</v>
      </c>
      <c r="E45" s="61">
        <v>0</v>
      </c>
      <c r="F45" s="61">
        <v>0</v>
      </c>
      <c r="G45" s="61">
        <v>0</v>
      </c>
      <c r="H45" s="61">
        <v>0</v>
      </c>
      <c r="I45" s="61">
        <v>0</v>
      </c>
      <c r="J45" s="61">
        <v>0</v>
      </c>
      <c r="K45" s="61">
        <v>0</v>
      </c>
      <c r="L45" s="61">
        <v>0</v>
      </c>
      <c r="M45" s="61">
        <v>0</v>
      </c>
      <c r="N45" s="61">
        <v>0</v>
      </c>
      <c r="O45" s="61">
        <v>0</v>
      </c>
      <c r="P45" s="61">
        <v>0</v>
      </c>
      <c r="Q45" s="61">
        <v>0</v>
      </c>
      <c r="R45" s="61">
        <v>0</v>
      </c>
      <c r="S45" s="61">
        <v>0</v>
      </c>
      <c r="T45" s="61">
        <v>0</v>
      </c>
      <c r="U45" s="61">
        <v>0</v>
      </c>
      <c r="V45" s="61">
        <v>0</v>
      </c>
      <c r="W45" s="61">
        <v>0</v>
      </c>
      <c r="X45" s="61">
        <v>0</v>
      </c>
      <c r="Y45" s="61">
        <v>0</v>
      </c>
      <c r="Z45" s="61">
        <v>0</v>
      </c>
      <c r="AA45" s="61">
        <v>0</v>
      </c>
      <c r="AB45" s="61">
        <v>0</v>
      </c>
      <c r="AC45" s="61">
        <v>0</v>
      </c>
      <c r="AD45" s="61">
        <v>0</v>
      </c>
      <c r="AE45" s="61">
        <v>0</v>
      </c>
      <c r="AF45" s="61">
        <v>0</v>
      </c>
      <c r="AG45" s="61">
        <v>0</v>
      </c>
      <c r="AH45" s="61">
        <v>0</v>
      </c>
      <c r="AI45" s="61">
        <v>0</v>
      </c>
      <c r="AJ45" s="61">
        <v>0</v>
      </c>
      <c r="AK45" s="62" t="s">
        <v>467</v>
      </c>
    </row>
    <row r="46" spans="1:37" ht="15" customHeight="1" x14ac:dyDescent="0.2">
      <c r="A46" s="57" t="s">
        <v>485</v>
      </c>
      <c r="B46" s="60" t="s">
        <v>486</v>
      </c>
      <c r="C46" s="61">
        <v>0</v>
      </c>
      <c r="D46" s="61">
        <v>0</v>
      </c>
      <c r="E46" s="61">
        <v>0</v>
      </c>
      <c r="F46" s="61">
        <v>0</v>
      </c>
      <c r="G46" s="61">
        <v>0</v>
      </c>
      <c r="H46" s="61">
        <v>0</v>
      </c>
      <c r="I46" s="61">
        <v>0</v>
      </c>
      <c r="J46" s="61">
        <v>0</v>
      </c>
      <c r="K46" s="61">
        <v>0</v>
      </c>
      <c r="L46" s="61">
        <v>0</v>
      </c>
      <c r="M46" s="61">
        <v>0</v>
      </c>
      <c r="N46" s="61">
        <v>0</v>
      </c>
      <c r="O46" s="61">
        <v>0</v>
      </c>
      <c r="P46" s="61">
        <v>0</v>
      </c>
      <c r="Q46" s="61">
        <v>0</v>
      </c>
      <c r="R46" s="61">
        <v>0</v>
      </c>
      <c r="S46" s="61">
        <v>0</v>
      </c>
      <c r="T46" s="61">
        <v>0</v>
      </c>
      <c r="U46" s="61">
        <v>0</v>
      </c>
      <c r="V46" s="61">
        <v>0</v>
      </c>
      <c r="W46" s="61">
        <v>0</v>
      </c>
      <c r="X46" s="61">
        <v>0</v>
      </c>
      <c r="Y46" s="61">
        <v>0</v>
      </c>
      <c r="Z46" s="61">
        <v>0</v>
      </c>
      <c r="AA46" s="61">
        <v>0</v>
      </c>
      <c r="AB46" s="61">
        <v>0</v>
      </c>
      <c r="AC46" s="61">
        <v>0</v>
      </c>
      <c r="AD46" s="61">
        <v>0</v>
      </c>
      <c r="AE46" s="61">
        <v>0</v>
      </c>
      <c r="AF46" s="61">
        <v>0</v>
      </c>
      <c r="AG46" s="61">
        <v>0</v>
      </c>
      <c r="AH46" s="61">
        <v>0</v>
      </c>
      <c r="AI46" s="61">
        <v>0</v>
      </c>
      <c r="AJ46" s="61">
        <v>0</v>
      </c>
      <c r="AK46" s="62" t="s">
        <v>467</v>
      </c>
    </row>
    <row r="47" spans="1:37" ht="15" customHeight="1" x14ac:dyDescent="0.2">
      <c r="A47" s="57" t="s">
        <v>487</v>
      </c>
      <c r="B47" s="60" t="s">
        <v>488</v>
      </c>
      <c r="C47" s="61">
        <v>0</v>
      </c>
      <c r="D47" s="61">
        <v>0</v>
      </c>
      <c r="E47" s="61">
        <v>0</v>
      </c>
      <c r="F47" s="61">
        <v>0.544906</v>
      </c>
      <c r="G47" s="61">
        <v>1.6163510000000001</v>
      </c>
      <c r="H47" s="61">
        <v>3.1932480000000001</v>
      </c>
      <c r="I47" s="61">
        <v>5.2763299999999997</v>
      </c>
      <c r="J47" s="61">
        <v>7.9289610000000001</v>
      </c>
      <c r="K47" s="61">
        <v>12.270179000000001</v>
      </c>
      <c r="L47" s="61">
        <v>18.295300000000001</v>
      </c>
      <c r="M47" s="61">
        <v>25.823232999999998</v>
      </c>
      <c r="N47" s="61">
        <v>34.933044000000002</v>
      </c>
      <c r="O47" s="61">
        <v>46.087021</v>
      </c>
      <c r="P47" s="61">
        <v>57.033062000000001</v>
      </c>
      <c r="Q47" s="61">
        <v>67.086143000000007</v>
      </c>
      <c r="R47" s="61">
        <v>76.782882999999998</v>
      </c>
      <c r="S47" s="61">
        <v>86.603499999999997</v>
      </c>
      <c r="T47" s="61">
        <v>95.627898999999999</v>
      </c>
      <c r="U47" s="61">
        <v>105.015038</v>
      </c>
      <c r="V47" s="61">
        <v>114.345848</v>
      </c>
      <c r="W47" s="61">
        <v>123.218079</v>
      </c>
      <c r="X47" s="61">
        <v>132.13673399999999</v>
      </c>
      <c r="Y47" s="61">
        <v>140.85803200000001</v>
      </c>
      <c r="Z47" s="61">
        <v>149.28909300000001</v>
      </c>
      <c r="AA47" s="61">
        <v>157.47122200000001</v>
      </c>
      <c r="AB47" s="61">
        <v>165.26701399999999</v>
      </c>
      <c r="AC47" s="61">
        <v>172.750092</v>
      </c>
      <c r="AD47" s="61">
        <v>180.49288899999999</v>
      </c>
      <c r="AE47" s="61">
        <v>188.22886700000001</v>
      </c>
      <c r="AF47" s="61">
        <v>195.356979</v>
      </c>
      <c r="AG47" s="61">
        <v>202.58007799999999</v>
      </c>
      <c r="AH47" s="61">
        <v>209.882385</v>
      </c>
      <c r="AI47" s="61">
        <v>216.98468</v>
      </c>
      <c r="AJ47" s="61">
        <v>224.14416499999999</v>
      </c>
      <c r="AK47" s="62" t="s">
        <v>467</v>
      </c>
    </row>
    <row r="48" spans="1:37" ht="15.75" customHeight="1" x14ac:dyDescent="0.2"/>
    <row r="49" spans="1:37" ht="15" customHeight="1" x14ac:dyDescent="0.2">
      <c r="A49" s="57" t="s">
        <v>489</v>
      </c>
      <c r="B49" s="59" t="s">
        <v>490</v>
      </c>
      <c r="C49" s="68">
        <v>94.504654000000002</v>
      </c>
      <c r="D49" s="68">
        <v>93.176033000000004</v>
      </c>
      <c r="E49" s="68">
        <v>91.310683999999995</v>
      </c>
      <c r="F49" s="68">
        <v>88.600655000000003</v>
      </c>
      <c r="G49" s="68">
        <v>85.676697000000004</v>
      </c>
      <c r="H49" s="68">
        <v>83.393082000000007</v>
      </c>
      <c r="I49" s="68">
        <v>80.994202000000001</v>
      </c>
      <c r="J49" s="68">
        <v>78.416793999999996</v>
      </c>
      <c r="K49" s="68">
        <v>75.963286999999994</v>
      </c>
      <c r="L49" s="68">
        <v>73.684005999999997</v>
      </c>
      <c r="M49" s="68">
        <v>71.398972000000001</v>
      </c>
      <c r="N49" s="68">
        <v>68.965057000000002</v>
      </c>
      <c r="O49" s="68">
        <v>66.545531999999994</v>
      </c>
      <c r="P49" s="68">
        <v>64.120543999999995</v>
      </c>
      <c r="Q49" s="68">
        <v>62.829025000000001</v>
      </c>
      <c r="R49" s="68">
        <v>61.462147000000002</v>
      </c>
      <c r="S49" s="68">
        <v>60.181702000000001</v>
      </c>
      <c r="T49" s="68">
        <v>58.948166000000001</v>
      </c>
      <c r="U49" s="68">
        <v>57.776997000000001</v>
      </c>
      <c r="V49" s="68">
        <v>56.567588999999998</v>
      </c>
      <c r="W49" s="68">
        <v>55.523350000000001</v>
      </c>
      <c r="X49" s="68">
        <v>54.441166000000003</v>
      </c>
      <c r="Y49" s="68">
        <v>53.333255999999999</v>
      </c>
      <c r="Z49" s="68">
        <v>52.192039000000001</v>
      </c>
      <c r="AA49" s="68">
        <v>51.627144000000001</v>
      </c>
      <c r="AB49" s="68">
        <v>51.063758999999997</v>
      </c>
      <c r="AC49" s="68">
        <v>50.425755000000002</v>
      </c>
      <c r="AD49" s="68">
        <v>49.870196999999997</v>
      </c>
      <c r="AE49" s="68">
        <v>49.323185000000002</v>
      </c>
      <c r="AF49" s="68">
        <v>48.837811000000002</v>
      </c>
      <c r="AG49" s="68">
        <v>48.322043999999998</v>
      </c>
      <c r="AH49" s="68">
        <v>47.877006999999999</v>
      </c>
      <c r="AI49" s="68">
        <v>47.314250999999999</v>
      </c>
      <c r="AJ49" s="68">
        <v>46.826476999999997</v>
      </c>
      <c r="AK49" s="66">
        <v>-2.1271999999999999E-2</v>
      </c>
    </row>
    <row r="50" spans="1:37" ht="15" customHeight="1" x14ac:dyDescent="0.2">
      <c r="A50" s="57" t="s">
        <v>491</v>
      </c>
      <c r="B50" s="60" t="s">
        <v>450</v>
      </c>
      <c r="C50" s="61">
        <v>91.653205999999997</v>
      </c>
      <c r="D50" s="61">
        <v>90.538925000000006</v>
      </c>
      <c r="E50" s="61">
        <v>88.023674</v>
      </c>
      <c r="F50" s="61">
        <v>85.752135999999993</v>
      </c>
      <c r="G50" s="61">
        <v>83.230179000000007</v>
      </c>
      <c r="H50" s="61">
        <v>81.042968999999999</v>
      </c>
      <c r="I50" s="61">
        <v>78.741394</v>
      </c>
      <c r="J50" s="61">
        <v>76.263205999999997</v>
      </c>
      <c r="K50" s="61">
        <v>73.903214000000006</v>
      </c>
      <c r="L50" s="61">
        <v>71.708343999999997</v>
      </c>
      <c r="M50" s="61">
        <v>69.507537999999997</v>
      </c>
      <c r="N50" s="61">
        <v>67.160042000000004</v>
      </c>
      <c r="O50" s="61">
        <v>64.824843999999999</v>
      </c>
      <c r="P50" s="61">
        <v>62.484051000000001</v>
      </c>
      <c r="Q50" s="61">
        <v>61.247570000000003</v>
      </c>
      <c r="R50" s="61">
        <v>59.936171999999999</v>
      </c>
      <c r="S50" s="61">
        <v>58.708778000000002</v>
      </c>
      <c r="T50" s="61">
        <v>57.525630999999997</v>
      </c>
      <c r="U50" s="61">
        <v>56.401947</v>
      </c>
      <c r="V50" s="61">
        <v>55.237507000000001</v>
      </c>
      <c r="W50" s="61">
        <v>54.235290999999997</v>
      </c>
      <c r="X50" s="61">
        <v>53.197944999999997</v>
      </c>
      <c r="Y50" s="61">
        <v>52.136215</v>
      </c>
      <c r="Z50" s="61">
        <v>51.012058000000003</v>
      </c>
      <c r="AA50" s="61">
        <v>50.399712000000001</v>
      </c>
      <c r="AB50" s="61">
        <v>49.786071999999997</v>
      </c>
      <c r="AC50" s="61">
        <v>49.096877999999997</v>
      </c>
      <c r="AD50" s="61">
        <v>48.484997</v>
      </c>
      <c r="AE50" s="61">
        <v>47.878188999999999</v>
      </c>
      <c r="AF50" s="61">
        <v>47.327674999999999</v>
      </c>
      <c r="AG50" s="61">
        <v>46.743977000000001</v>
      </c>
      <c r="AH50" s="61">
        <v>46.224663</v>
      </c>
      <c r="AI50" s="61">
        <v>45.587563000000003</v>
      </c>
      <c r="AJ50" s="61">
        <v>45.018428999999998</v>
      </c>
      <c r="AK50" s="62">
        <v>-2.1597999999999999E-2</v>
      </c>
    </row>
    <row r="51" spans="1:37" ht="15" customHeight="1" x14ac:dyDescent="0.2">
      <c r="A51" s="57" t="s">
        <v>492</v>
      </c>
      <c r="B51" s="60" t="s">
        <v>493</v>
      </c>
      <c r="C51" s="61">
        <v>2.5443410000000002</v>
      </c>
      <c r="D51" s="61">
        <v>2.271792</v>
      </c>
      <c r="E51" s="61">
        <v>2.8706550000000002</v>
      </c>
      <c r="F51" s="61">
        <v>2.3861240000000001</v>
      </c>
      <c r="G51" s="61">
        <v>1.9438960000000001</v>
      </c>
      <c r="H51" s="61">
        <v>1.809858</v>
      </c>
      <c r="I51" s="61">
        <v>1.6794629999999999</v>
      </c>
      <c r="J51" s="61">
        <v>1.553509</v>
      </c>
      <c r="K51" s="61">
        <v>1.4358820000000001</v>
      </c>
      <c r="L51" s="61">
        <v>1.3331900000000001</v>
      </c>
      <c r="M51" s="61">
        <v>1.2310399999999999</v>
      </c>
      <c r="N51" s="61">
        <v>1.131057</v>
      </c>
      <c r="O51" s="61">
        <v>1.0357799999999999</v>
      </c>
      <c r="P51" s="61">
        <v>0.94113199999999997</v>
      </c>
      <c r="Q51" s="61">
        <v>0.86363000000000001</v>
      </c>
      <c r="R51" s="61">
        <v>0.78897600000000001</v>
      </c>
      <c r="S51" s="61">
        <v>0.71611899999999995</v>
      </c>
      <c r="T51" s="61">
        <v>0.64781699999999998</v>
      </c>
      <c r="U51" s="61">
        <v>0.58395200000000003</v>
      </c>
      <c r="V51" s="61">
        <v>0.52879500000000002</v>
      </c>
      <c r="W51" s="61">
        <v>0.47258699999999998</v>
      </c>
      <c r="X51" s="61">
        <v>0.41093299999999999</v>
      </c>
      <c r="Y51" s="61">
        <v>0.347049</v>
      </c>
      <c r="Z51" s="61">
        <v>0.29088999999999998</v>
      </c>
      <c r="AA51" s="61">
        <v>0.28772700000000001</v>
      </c>
      <c r="AB51" s="61">
        <v>0.28458099999999997</v>
      </c>
      <c r="AC51" s="61">
        <v>0.28101199999999998</v>
      </c>
      <c r="AD51" s="61">
        <v>0.27790500000000001</v>
      </c>
      <c r="AE51" s="61">
        <v>0.27484199999999998</v>
      </c>
      <c r="AF51" s="61">
        <v>0.27213900000000002</v>
      </c>
      <c r="AG51" s="61">
        <v>0.269256</v>
      </c>
      <c r="AH51" s="61">
        <v>0.26677299999999998</v>
      </c>
      <c r="AI51" s="61">
        <v>0.26362200000000002</v>
      </c>
      <c r="AJ51" s="61">
        <v>0.26089600000000002</v>
      </c>
      <c r="AK51" s="62">
        <v>-6.5394999999999995E-2</v>
      </c>
    </row>
    <row r="52" spans="1:37" ht="15" customHeight="1" x14ac:dyDescent="0.2">
      <c r="A52" s="57" t="s">
        <v>494</v>
      </c>
      <c r="B52" s="60" t="s">
        <v>486</v>
      </c>
      <c r="C52" s="61">
        <v>0</v>
      </c>
      <c r="D52" s="61">
        <v>0</v>
      </c>
      <c r="E52" s="61">
        <v>0</v>
      </c>
      <c r="F52" s="61">
        <v>0</v>
      </c>
      <c r="G52" s="61">
        <v>0</v>
      </c>
      <c r="H52" s="61">
        <v>0</v>
      </c>
      <c r="I52" s="61">
        <v>0</v>
      </c>
      <c r="J52" s="61">
        <v>0</v>
      </c>
      <c r="K52" s="61">
        <v>0</v>
      </c>
      <c r="L52" s="61">
        <v>0</v>
      </c>
      <c r="M52" s="61">
        <v>0</v>
      </c>
      <c r="N52" s="61">
        <v>0</v>
      </c>
      <c r="O52" s="61">
        <v>0</v>
      </c>
      <c r="P52" s="61">
        <v>0</v>
      </c>
      <c r="Q52" s="61">
        <v>0</v>
      </c>
      <c r="R52" s="61">
        <v>0</v>
      </c>
      <c r="S52" s="61">
        <v>0</v>
      </c>
      <c r="T52" s="61">
        <v>0</v>
      </c>
      <c r="U52" s="61">
        <v>0</v>
      </c>
      <c r="V52" s="61">
        <v>0</v>
      </c>
      <c r="W52" s="61">
        <v>0</v>
      </c>
      <c r="X52" s="61">
        <v>0</v>
      </c>
      <c r="Y52" s="61">
        <v>0</v>
      </c>
      <c r="Z52" s="61">
        <v>0</v>
      </c>
      <c r="AA52" s="61">
        <v>0</v>
      </c>
      <c r="AB52" s="61">
        <v>0</v>
      </c>
      <c r="AC52" s="61">
        <v>0</v>
      </c>
      <c r="AD52" s="61">
        <v>0</v>
      </c>
      <c r="AE52" s="61">
        <v>0</v>
      </c>
      <c r="AF52" s="61">
        <v>0</v>
      </c>
      <c r="AG52" s="61">
        <v>0</v>
      </c>
      <c r="AH52" s="61">
        <v>0</v>
      </c>
      <c r="AI52" s="61">
        <v>0</v>
      </c>
      <c r="AJ52" s="61">
        <v>0</v>
      </c>
      <c r="AK52" s="62" t="s">
        <v>467</v>
      </c>
    </row>
    <row r="53" spans="1:37" ht="15" customHeight="1" x14ac:dyDescent="0.2">
      <c r="A53" s="57" t="s">
        <v>495</v>
      </c>
      <c r="B53" s="60" t="s">
        <v>488</v>
      </c>
      <c r="C53" s="61">
        <v>0.30710300000000001</v>
      </c>
      <c r="D53" s="61">
        <v>0.365315</v>
      </c>
      <c r="E53" s="61">
        <v>0.416356</v>
      </c>
      <c r="F53" s="61">
        <v>0.46239799999999998</v>
      </c>
      <c r="G53" s="61">
        <v>0.50262099999999998</v>
      </c>
      <c r="H53" s="61">
        <v>0.54025599999999996</v>
      </c>
      <c r="I53" s="61">
        <v>0.57334200000000002</v>
      </c>
      <c r="J53" s="61">
        <v>0.60007500000000003</v>
      </c>
      <c r="K53" s="61">
        <v>0.62419500000000006</v>
      </c>
      <c r="L53" s="61">
        <v>0.64247299999999996</v>
      </c>
      <c r="M53" s="61">
        <v>0.66039300000000001</v>
      </c>
      <c r="N53" s="61">
        <v>0.67395499999999997</v>
      </c>
      <c r="O53" s="61">
        <v>0.68490799999999996</v>
      </c>
      <c r="P53" s="61">
        <v>0.69536299999999995</v>
      </c>
      <c r="Q53" s="61">
        <v>0.71782500000000005</v>
      </c>
      <c r="R53" s="61">
        <v>0.73700100000000002</v>
      </c>
      <c r="S53" s="61">
        <v>0.75680400000000003</v>
      </c>
      <c r="T53" s="61">
        <v>0.77471900000000005</v>
      </c>
      <c r="U53" s="61">
        <v>0.79109499999999999</v>
      </c>
      <c r="V53" s="61">
        <v>0.80128299999999997</v>
      </c>
      <c r="W53" s="61">
        <v>0.81547199999999997</v>
      </c>
      <c r="X53" s="61">
        <v>0.83228800000000003</v>
      </c>
      <c r="Y53" s="61">
        <v>0.84999199999999997</v>
      </c>
      <c r="Z53" s="61">
        <v>0.88909300000000002</v>
      </c>
      <c r="AA53" s="61">
        <v>0.93970299999999995</v>
      </c>
      <c r="AB53" s="61">
        <v>0.99310500000000002</v>
      </c>
      <c r="AC53" s="61">
        <v>1.0478639999999999</v>
      </c>
      <c r="AD53" s="61">
        <v>1.1072960000000001</v>
      </c>
      <c r="AE53" s="61">
        <v>1.170156</v>
      </c>
      <c r="AF53" s="61">
        <v>1.237994</v>
      </c>
      <c r="AG53" s="61">
        <v>1.308813</v>
      </c>
      <c r="AH53" s="61">
        <v>1.385572</v>
      </c>
      <c r="AI53" s="61">
        <v>1.4630669999999999</v>
      </c>
      <c r="AJ53" s="61">
        <v>1.5471550000000001</v>
      </c>
      <c r="AK53" s="62">
        <v>4.6138999999999999E-2</v>
      </c>
    </row>
    <row r="54" spans="1:37" ht="15.75" customHeight="1" x14ac:dyDescent="0.2"/>
    <row r="55" spans="1:37" ht="15" customHeight="1" x14ac:dyDescent="0.2">
      <c r="A55" s="57" t="s">
        <v>496</v>
      </c>
      <c r="B55" s="59" t="s">
        <v>497</v>
      </c>
      <c r="C55" s="68">
        <v>960.14685099999997</v>
      </c>
      <c r="D55" s="68">
        <v>917.64831500000003</v>
      </c>
      <c r="E55" s="68">
        <v>1039.9399410000001</v>
      </c>
      <c r="F55" s="68">
        <v>861.38769500000001</v>
      </c>
      <c r="G55" s="68">
        <v>864.63275099999998</v>
      </c>
      <c r="H55" s="68">
        <v>921.43585199999995</v>
      </c>
      <c r="I55" s="68">
        <v>932.80645800000002</v>
      </c>
      <c r="J55" s="68">
        <v>938.77172900000005</v>
      </c>
      <c r="K55" s="68">
        <v>944.17797900000005</v>
      </c>
      <c r="L55" s="68">
        <v>940.25952099999995</v>
      </c>
      <c r="M55" s="68">
        <v>937.01995799999997</v>
      </c>
      <c r="N55" s="68">
        <v>935.38958700000001</v>
      </c>
      <c r="O55" s="68">
        <v>937.24493399999994</v>
      </c>
      <c r="P55" s="68">
        <v>929.83154300000001</v>
      </c>
      <c r="Q55" s="68">
        <v>929.154358</v>
      </c>
      <c r="R55" s="68">
        <v>928.99780299999998</v>
      </c>
      <c r="S55" s="68">
        <v>929.02294900000004</v>
      </c>
      <c r="T55" s="68">
        <v>928.19122300000004</v>
      </c>
      <c r="U55" s="68">
        <v>914.26904300000001</v>
      </c>
      <c r="V55" s="68">
        <v>913.76849400000003</v>
      </c>
      <c r="W55" s="68">
        <v>910.80358899999999</v>
      </c>
      <c r="X55" s="68">
        <v>910.24292000000003</v>
      </c>
      <c r="Y55" s="68">
        <v>909.77551300000005</v>
      </c>
      <c r="Z55" s="68">
        <v>909.51110800000004</v>
      </c>
      <c r="AA55" s="68">
        <v>908.90014599999995</v>
      </c>
      <c r="AB55" s="68">
        <v>907.31933600000002</v>
      </c>
      <c r="AC55" s="68">
        <v>914.15081799999996</v>
      </c>
      <c r="AD55" s="68">
        <v>907.85168499999997</v>
      </c>
      <c r="AE55" s="68">
        <v>908.36199999999997</v>
      </c>
      <c r="AF55" s="68">
        <v>905.30816700000003</v>
      </c>
      <c r="AG55" s="68">
        <v>905.43853799999999</v>
      </c>
      <c r="AH55" s="68">
        <v>905.90100099999995</v>
      </c>
      <c r="AI55" s="68">
        <v>907.053406</v>
      </c>
      <c r="AJ55" s="68">
        <v>907.21014400000001</v>
      </c>
      <c r="AK55" s="66">
        <v>-3.57E-4</v>
      </c>
    </row>
    <row r="56" spans="1:37" ht="15" customHeight="1" x14ac:dyDescent="0.2">
      <c r="A56" s="57" t="s">
        <v>498</v>
      </c>
      <c r="B56" s="60" t="s">
        <v>450</v>
      </c>
      <c r="C56" s="61">
        <v>285.263306</v>
      </c>
      <c r="D56" s="61">
        <v>284.82601899999997</v>
      </c>
      <c r="E56" s="61">
        <v>373.96890300000001</v>
      </c>
      <c r="F56" s="61">
        <v>494.09884599999998</v>
      </c>
      <c r="G56" s="61">
        <v>391.50769000000003</v>
      </c>
      <c r="H56" s="61">
        <v>314.95715300000001</v>
      </c>
      <c r="I56" s="61">
        <v>296.20208700000001</v>
      </c>
      <c r="J56" s="61">
        <v>285.24069200000002</v>
      </c>
      <c r="K56" s="61">
        <v>278.031769</v>
      </c>
      <c r="L56" s="61">
        <v>281.650757</v>
      </c>
      <c r="M56" s="61">
        <v>280.631348</v>
      </c>
      <c r="N56" s="61">
        <v>281.71130399999998</v>
      </c>
      <c r="O56" s="61">
        <v>280.30639600000001</v>
      </c>
      <c r="P56" s="61">
        <v>288.04791299999999</v>
      </c>
      <c r="Q56" s="61">
        <v>286.99865699999998</v>
      </c>
      <c r="R56" s="61">
        <v>286.33151199999998</v>
      </c>
      <c r="S56" s="61">
        <v>286.49920700000001</v>
      </c>
      <c r="T56" s="61">
        <v>287.07067899999998</v>
      </c>
      <c r="U56" s="61">
        <v>301.24890099999999</v>
      </c>
      <c r="V56" s="61">
        <v>300.15228300000001</v>
      </c>
      <c r="W56" s="61">
        <v>303.86437999999998</v>
      </c>
      <c r="X56" s="61">
        <v>303.56253099999998</v>
      </c>
      <c r="Y56" s="61">
        <v>302.87805200000003</v>
      </c>
      <c r="Z56" s="61">
        <v>303.27157599999998</v>
      </c>
      <c r="AA56" s="61">
        <v>303.63647500000002</v>
      </c>
      <c r="AB56" s="61">
        <v>303.445312</v>
      </c>
      <c r="AC56" s="61">
        <v>298.36987299999998</v>
      </c>
      <c r="AD56" s="61">
        <v>307.66924999999998</v>
      </c>
      <c r="AE56" s="61">
        <v>309.144409</v>
      </c>
      <c r="AF56" s="61">
        <v>315.045593</v>
      </c>
      <c r="AG56" s="61">
        <v>317.74377399999997</v>
      </c>
      <c r="AH56" s="61">
        <v>321.20062300000001</v>
      </c>
      <c r="AI56" s="61">
        <v>323.933899</v>
      </c>
      <c r="AJ56" s="61">
        <v>326.75662199999999</v>
      </c>
      <c r="AK56" s="62">
        <v>4.3010000000000001E-3</v>
      </c>
    </row>
    <row r="57" spans="1:37" ht="15" customHeight="1" x14ac:dyDescent="0.2">
      <c r="A57" s="57" t="s">
        <v>499</v>
      </c>
      <c r="B57" s="60" t="s">
        <v>493</v>
      </c>
      <c r="C57" s="61">
        <v>674.88354500000003</v>
      </c>
      <c r="D57" s="61">
        <v>625.86169400000006</v>
      </c>
      <c r="E57" s="61">
        <v>652.02740500000004</v>
      </c>
      <c r="F57" s="61">
        <v>349.82702599999999</v>
      </c>
      <c r="G57" s="61">
        <v>422.30859400000003</v>
      </c>
      <c r="H57" s="61">
        <v>564.66162099999997</v>
      </c>
      <c r="I57" s="61">
        <v>591.87237500000003</v>
      </c>
      <c r="J57" s="61">
        <v>605.63671899999997</v>
      </c>
      <c r="K57" s="61">
        <v>618.08343500000001</v>
      </c>
      <c r="L57" s="61">
        <v>607.13555899999994</v>
      </c>
      <c r="M57" s="61">
        <v>597.92907700000001</v>
      </c>
      <c r="N57" s="61">
        <v>592.59442100000001</v>
      </c>
      <c r="O57" s="61">
        <v>596.05401600000005</v>
      </c>
      <c r="P57" s="61">
        <v>575.94140600000003</v>
      </c>
      <c r="Q57" s="61">
        <v>572.93042000000003</v>
      </c>
      <c r="R57" s="61">
        <v>571.26422100000002</v>
      </c>
      <c r="S57" s="61">
        <v>570.04894999999999</v>
      </c>
      <c r="T57" s="61">
        <v>566.61694299999999</v>
      </c>
      <c r="U57" s="61">
        <v>530.089111</v>
      </c>
      <c r="V57" s="61">
        <v>527.55548099999999</v>
      </c>
      <c r="W57" s="61">
        <v>518.73828100000003</v>
      </c>
      <c r="X57" s="61">
        <v>516.01593000000003</v>
      </c>
      <c r="Y57" s="61">
        <v>513.54736300000002</v>
      </c>
      <c r="Z57" s="61">
        <v>511.546967</v>
      </c>
      <c r="AA57" s="61">
        <v>508.67346199999997</v>
      </c>
      <c r="AB57" s="61">
        <v>503.50537100000003</v>
      </c>
      <c r="AC57" s="61">
        <v>519.27526899999998</v>
      </c>
      <c r="AD57" s="61">
        <v>502.11007699999999</v>
      </c>
      <c r="AE57" s="61">
        <v>501.87503099999998</v>
      </c>
      <c r="AF57" s="61">
        <v>492.98715199999998</v>
      </c>
      <c r="AG57" s="61">
        <v>492.03060900000003</v>
      </c>
      <c r="AH57" s="61">
        <v>491.98278800000003</v>
      </c>
      <c r="AI57" s="61">
        <v>493.63382000000001</v>
      </c>
      <c r="AJ57" s="61">
        <v>492.72683699999999</v>
      </c>
      <c r="AK57" s="62">
        <v>-7.4460000000000004E-3</v>
      </c>
    </row>
    <row r="58" spans="1:37" ht="15" customHeight="1" x14ac:dyDescent="0.2">
      <c r="A58" s="57" t="s">
        <v>500</v>
      </c>
      <c r="B58" s="60" t="s">
        <v>486</v>
      </c>
      <c r="C58" s="61">
        <v>0</v>
      </c>
      <c r="D58" s="61">
        <v>0</v>
      </c>
      <c r="E58" s="61">
        <v>0</v>
      </c>
      <c r="F58" s="61">
        <v>0</v>
      </c>
      <c r="G58" s="61">
        <v>0</v>
      </c>
      <c r="H58" s="61">
        <v>0</v>
      </c>
      <c r="I58" s="61">
        <v>0</v>
      </c>
      <c r="J58" s="61">
        <v>0</v>
      </c>
      <c r="K58" s="61">
        <v>0</v>
      </c>
      <c r="L58" s="61">
        <v>0</v>
      </c>
      <c r="M58" s="61">
        <v>0</v>
      </c>
      <c r="N58" s="61">
        <v>0</v>
      </c>
      <c r="O58" s="61">
        <v>0</v>
      </c>
      <c r="P58" s="61">
        <v>0</v>
      </c>
      <c r="Q58" s="61">
        <v>0</v>
      </c>
      <c r="R58" s="61">
        <v>0</v>
      </c>
      <c r="S58" s="61">
        <v>0</v>
      </c>
      <c r="T58" s="61">
        <v>0</v>
      </c>
      <c r="U58" s="61">
        <v>0</v>
      </c>
      <c r="V58" s="61">
        <v>0</v>
      </c>
      <c r="W58" s="61">
        <v>0</v>
      </c>
      <c r="X58" s="61">
        <v>0</v>
      </c>
      <c r="Y58" s="61">
        <v>0</v>
      </c>
      <c r="Z58" s="61">
        <v>0</v>
      </c>
      <c r="AA58" s="61">
        <v>0</v>
      </c>
      <c r="AB58" s="61">
        <v>0</v>
      </c>
      <c r="AC58" s="61">
        <v>0</v>
      </c>
      <c r="AD58" s="61">
        <v>0</v>
      </c>
      <c r="AE58" s="61">
        <v>0</v>
      </c>
      <c r="AF58" s="61">
        <v>0</v>
      </c>
      <c r="AG58" s="61">
        <v>0</v>
      </c>
      <c r="AH58" s="61">
        <v>0</v>
      </c>
      <c r="AI58" s="61">
        <v>0</v>
      </c>
      <c r="AJ58" s="61">
        <v>0</v>
      </c>
      <c r="AK58" s="62" t="s">
        <v>467</v>
      </c>
    </row>
    <row r="59" spans="1:37" ht="15" customHeight="1" x14ac:dyDescent="0.2">
      <c r="A59" s="57" t="s">
        <v>501</v>
      </c>
      <c r="B59" s="60" t="s">
        <v>488</v>
      </c>
      <c r="C59" s="61">
        <v>0</v>
      </c>
      <c r="D59" s="61">
        <v>6.9605560000000004</v>
      </c>
      <c r="E59" s="61">
        <v>13.943656000000001</v>
      </c>
      <c r="F59" s="61">
        <v>17.461791999999999</v>
      </c>
      <c r="G59" s="61">
        <v>50.816451999999998</v>
      </c>
      <c r="H59" s="61">
        <v>41.817055000000003</v>
      </c>
      <c r="I59" s="61">
        <v>44.731971999999999</v>
      </c>
      <c r="J59" s="61">
        <v>47.894317999999998</v>
      </c>
      <c r="K59" s="61">
        <v>48.062716999999999</v>
      </c>
      <c r="L59" s="61">
        <v>51.473216999999998</v>
      </c>
      <c r="M59" s="61">
        <v>58.459518000000003</v>
      </c>
      <c r="N59" s="61">
        <v>61.083857999999999</v>
      </c>
      <c r="O59" s="61">
        <v>60.884529000000001</v>
      </c>
      <c r="P59" s="61">
        <v>65.842254999999994</v>
      </c>
      <c r="Q59" s="61">
        <v>69.225288000000006</v>
      </c>
      <c r="R59" s="61">
        <v>71.402107000000001</v>
      </c>
      <c r="S59" s="61">
        <v>72.474823000000001</v>
      </c>
      <c r="T59" s="61">
        <v>74.503608999999997</v>
      </c>
      <c r="U59" s="61">
        <v>82.931045999999995</v>
      </c>
      <c r="V59" s="61">
        <v>86.060730000000007</v>
      </c>
      <c r="W59" s="61">
        <v>88.200905000000006</v>
      </c>
      <c r="X59" s="61">
        <v>90.664412999999996</v>
      </c>
      <c r="Y59" s="61">
        <v>93.350127999999998</v>
      </c>
      <c r="Z59" s="61">
        <v>94.692588999999998</v>
      </c>
      <c r="AA59" s="61">
        <v>96.590179000000006</v>
      </c>
      <c r="AB59" s="61">
        <v>100.36863700000001</v>
      </c>
      <c r="AC59" s="61">
        <v>96.505661000000003</v>
      </c>
      <c r="AD59" s="61">
        <v>98.072402999999994</v>
      </c>
      <c r="AE59" s="61">
        <v>97.342567000000003</v>
      </c>
      <c r="AF59" s="61">
        <v>97.275435999999999</v>
      </c>
      <c r="AG59" s="61">
        <v>95.664139000000006</v>
      </c>
      <c r="AH59" s="61">
        <v>92.717597999999995</v>
      </c>
      <c r="AI59" s="61">
        <v>89.485657000000003</v>
      </c>
      <c r="AJ59" s="61">
        <v>87.726692</v>
      </c>
      <c r="AK59" s="62">
        <v>8.2405999999999993E-2</v>
      </c>
    </row>
    <row r="60" spans="1:37" ht="15.75" customHeight="1" x14ac:dyDescent="0.2"/>
    <row r="61" spans="1:37" ht="15" customHeight="1" x14ac:dyDescent="0.2">
      <c r="A61" s="57" t="s">
        <v>502</v>
      </c>
      <c r="B61" s="59" t="s">
        <v>503</v>
      </c>
      <c r="C61" s="68">
        <v>2523.8835450000001</v>
      </c>
      <c r="D61" s="68">
        <v>2543.4819339999999</v>
      </c>
      <c r="E61" s="68">
        <v>2581.4345699999999</v>
      </c>
      <c r="F61" s="68">
        <v>2614.51001</v>
      </c>
      <c r="G61" s="68">
        <v>2639.6379390000002</v>
      </c>
      <c r="H61" s="68">
        <v>2662.8723140000002</v>
      </c>
      <c r="I61" s="68">
        <v>2688.826172</v>
      </c>
      <c r="J61" s="68">
        <v>2716.3872070000002</v>
      </c>
      <c r="K61" s="68">
        <v>2747.7563479999999</v>
      </c>
      <c r="L61" s="68">
        <v>2778.9208979999999</v>
      </c>
      <c r="M61" s="68">
        <v>2807.338135</v>
      </c>
      <c r="N61" s="68">
        <v>2845.0900879999999</v>
      </c>
      <c r="O61" s="68">
        <v>2875.0952149999998</v>
      </c>
      <c r="P61" s="68">
        <v>2905.7216800000001</v>
      </c>
      <c r="Q61" s="68">
        <v>2937.7036130000001</v>
      </c>
      <c r="R61" s="68">
        <v>2968.9704590000001</v>
      </c>
      <c r="S61" s="68">
        <v>3000.345703</v>
      </c>
      <c r="T61" s="68">
        <v>3033.1635740000002</v>
      </c>
      <c r="U61" s="68">
        <v>3065.0688479999999</v>
      </c>
      <c r="V61" s="68">
        <v>3096.1477049999999</v>
      </c>
      <c r="W61" s="68">
        <v>3127.6625979999999</v>
      </c>
      <c r="X61" s="68">
        <v>3159.907471</v>
      </c>
      <c r="Y61" s="68">
        <v>3191.2871089999999</v>
      </c>
      <c r="Z61" s="68">
        <v>3223.0402829999998</v>
      </c>
      <c r="AA61" s="68">
        <v>3254.7138669999999</v>
      </c>
      <c r="AB61" s="68">
        <v>3286.7016600000002</v>
      </c>
      <c r="AC61" s="68">
        <v>3321.4682619999999</v>
      </c>
      <c r="AD61" s="68">
        <v>3356.641846</v>
      </c>
      <c r="AE61" s="68">
        <v>3394.1916500000002</v>
      </c>
      <c r="AF61" s="68">
        <v>3431.6545409999999</v>
      </c>
      <c r="AG61" s="68">
        <v>3470.7895509999998</v>
      </c>
      <c r="AH61" s="68">
        <v>3509.7302249999998</v>
      </c>
      <c r="AI61" s="68">
        <v>3548.4204100000002</v>
      </c>
      <c r="AJ61" s="68">
        <v>3586.2966310000002</v>
      </c>
      <c r="AK61" s="66">
        <v>1.0795000000000001E-2</v>
      </c>
    </row>
    <row r="62" spans="1:37" ht="15" customHeight="1" x14ac:dyDescent="0.2">
      <c r="A62" s="57" t="s">
        <v>504</v>
      </c>
      <c r="B62" s="60" t="s">
        <v>505</v>
      </c>
      <c r="C62" s="61">
        <v>2501.3615719999998</v>
      </c>
      <c r="D62" s="61">
        <v>2520.9882809999999</v>
      </c>
      <c r="E62" s="61">
        <v>2558.9643550000001</v>
      </c>
      <c r="F62" s="61">
        <v>2592.0590820000002</v>
      </c>
      <c r="G62" s="61">
        <v>2617.203125</v>
      </c>
      <c r="H62" s="61">
        <v>2640.4506839999999</v>
      </c>
      <c r="I62" s="61">
        <v>2666.4155270000001</v>
      </c>
      <c r="J62" s="61">
        <v>2693.985596</v>
      </c>
      <c r="K62" s="61">
        <v>2725.3623050000001</v>
      </c>
      <c r="L62" s="61">
        <v>2756.533203</v>
      </c>
      <c r="M62" s="61">
        <v>2784.9555660000001</v>
      </c>
      <c r="N62" s="61">
        <v>2822.7116700000001</v>
      </c>
      <c r="O62" s="61">
        <v>2852.7202149999998</v>
      </c>
      <c r="P62" s="61">
        <v>2883.3496089999999</v>
      </c>
      <c r="Q62" s="61">
        <v>2915.3339839999999</v>
      </c>
      <c r="R62" s="61">
        <v>2946.6027829999998</v>
      </c>
      <c r="S62" s="61">
        <v>2977.9797359999998</v>
      </c>
      <c r="T62" s="61">
        <v>3010.7990719999998</v>
      </c>
      <c r="U62" s="61">
        <v>3042.7053219999998</v>
      </c>
      <c r="V62" s="61">
        <v>3073.7851559999999</v>
      </c>
      <c r="W62" s="61">
        <v>3105.3007809999999</v>
      </c>
      <c r="X62" s="61">
        <v>3137.5463869999999</v>
      </c>
      <c r="Y62" s="61">
        <v>3168.9265140000002</v>
      </c>
      <c r="Z62" s="61">
        <v>3200.6801759999998</v>
      </c>
      <c r="AA62" s="61">
        <v>3232.3542480000001</v>
      </c>
      <c r="AB62" s="61">
        <v>3264.3422850000002</v>
      </c>
      <c r="AC62" s="61">
        <v>3299.1091310000002</v>
      </c>
      <c r="AD62" s="61">
        <v>3334.2829590000001</v>
      </c>
      <c r="AE62" s="61">
        <v>3371.8327640000002</v>
      </c>
      <c r="AF62" s="61">
        <v>3409.2958979999999</v>
      </c>
      <c r="AG62" s="61">
        <v>3448.4309079999998</v>
      </c>
      <c r="AH62" s="61">
        <v>3487.3718260000001</v>
      </c>
      <c r="AI62" s="61">
        <v>3526.0620119999999</v>
      </c>
      <c r="AJ62" s="61">
        <v>3563.938232</v>
      </c>
      <c r="AK62" s="62">
        <v>1.0878000000000001E-2</v>
      </c>
    </row>
    <row r="63" spans="1:37" ht="15" customHeight="1" x14ac:dyDescent="0.2">
      <c r="A63" s="57" t="s">
        <v>506</v>
      </c>
      <c r="B63" s="60" t="s">
        <v>507</v>
      </c>
      <c r="C63" s="61">
        <v>22.522085000000001</v>
      </c>
      <c r="D63" s="61">
        <v>22.493759000000001</v>
      </c>
      <c r="E63" s="61">
        <v>22.470324000000002</v>
      </c>
      <c r="F63" s="61">
        <v>22.450932999999999</v>
      </c>
      <c r="G63" s="61">
        <v>22.434891</v>
      </c>
      <c r="H63" s="61">
        <v>22.421617999999999</v>
      </c>
      <c r="I63" s="61">
        <v>22.410634999999999</v>
      </c>
      <c r="J63" s="61">
        <v>22.401547999999998</v>
      </c>
      <c r="K63" s="61">
        <v>22.394031999999999</v>
      </c>
      <c r="L63" s="61">
        <v>22.387812</v>
      </c>
      <c r="M63" s="61">
        <v>22.382666</v>
      </c>
      <c r="N63" s="61">
        <v>22.378406999999999</v>
      </c>
      <c r="O63" s="61">
        <v>22.374884000000002</v>
      </c>
      <c r="P63" s="61">
        <v>22.371969</v>
      </c>
      <c r="Q63" s="61">
        <v>22.369558000000001</v>
      </c>
      <c r="R63" s="61">
        <v>22.367563000000001</v>
      </c>
      <c r="S63" s="61">
        <v>22.365911000000001</v>
      </c>
      <c r="T63" s="61">
        <v>22.364546000000001</v>
      </c>
      <c r="U63" s="61">
        <v>22.363416999999998</v>
      </c>
      <c r="V63" s="61">
        <v>22.362480000000001</v>
      </c>
      <c r="W63" s="61">
        <v>22.361708</v>
      </c>
      <c r="X63" s="61">
        <v>22.361066999999998</v>
      </c>
      <c r="Y63" s="61">
        <v>22.360537999999998</v>
      </c>
      <c r="Z63" s="61">
        <v>22.360099999999999</v>
      </c>
      <c r="AA63" s="61">
        <v>22.359736999999999</v>
      </c>
      <c r="AB63" s="61">
        <v>22.359438000000001</v>
      </c>
      <c r="AC63" s="61">
        <v>22.359190000000002</v>
      </c>
      <c r="AD63" s="61">
        <v>22.358984</v>
      </c>
      <c r="AE63" s="61">
        <v>22.358813999999999</v>
      </c>
      <c r="AF63" s="61">
        <v>22.358673</v>
      </c>
      <c r="AG63" s="61">
        <v>22.358557000000001</v>
      </c>
      <c r="AH63" s="61">
        <v>22.358460999999998</v>
      </c>
      <c r="AI63" s="61">
        <v>22.358381000000001</v>
      </c>
      <c r="AJ63" s="61">
        <v>22.358315000000001</v>
      </c>
      <c r="AK63" s="62">
        <v>-1.8900000000000001E-4</v>
      </c>
    </row>
    <row r="64" spans="1:37" ht="15.75" customHeight="1" x14ac:dyDescent="0.2"/>
    <row r="65" spans="1:37" ht="15" customHeight="1" x14ac:dyDescent="0.2">
      <c r="A65" s="57" t="s">
        <v>508</v>
      </c>
      <c r="B65" s="59" t="s">
        <v>509</v>
      </c>
      <c r="C65" s="68">
        <v>535.69592299999999</v>
      </c>
      <c r="D65" s="68">
        <v>557.78417999999999</v>
      </c>
      <c r="E65" s="68">
        <v>587.65661599999999</v>
      </c>
      <c r="F65" s="68">
        <v>589.98644999999999</v>
      </c>
      <c r="G65" s="68">
        <v>581.88269000000003</v>
      </c>
      <c r="H65" s="68">
        <v>575.97540300000003</v>
      </c>
      <c r="I65" s="68">
        <v>559.00671399999999</v>
      </c>
      <c r="J65" s="68">
        <v>548.074524</v>
      </c>
      <c r="K65" s="68">
        <v>546.87756300000001</v>
      </c>
      <c r="L65" s="68">
        <v>545.98315400000001</v>
      </c>
      <c r="M65" s="68">
        <v>546.44183299999997</v>
      </c>
      <c r="N65" s="68">
        <v>550.221497</v>
      </c>
      <c r="O65" s="68">
        <v>551.22302200000001</v>
      </c>
      <c r="P65" s="68">
        <v>551.82995600000004</v>
      </c>
      <c r="Q65" s="68">
        <v>552.40789800000005</v>
      </c>
      <c r="R65" s="68">
        <v>552.957764</v>
      </c>
      <c r="S65" s="68">
        <v>553.48303199999998</v>
      </c>
      <c r="T65" s="68">
        <v>553.98565699999995</v>
      </c>
      <c r="U65" s="68">
        <v>554.464966</v>
      </c>
      <c r="V65" s="68">
        <v>554.93469200000004</v>
      </c>
      <c r="W65" s="68">
        <v>555.39172399999995</v>
      </c>
      <c r="X65" s="68">
        <v>555.83734100000004</v>
      </c>
      <c r="Y65" s="68">
        <v>556.27050799999995</v>
      </c>
      <c r="Z65" s="68">
        <v>556.69116199999996</v>
      </c>
      <c r="AA65" s="68">
        <v>557.09832800000004</v>
      </c>
      <c r="AB65" s="68">
        <v>557.49182099999996</v>
      </c>
      <c r="AC65" s="68">
        <v>557.87426800000003</v>
      </c>
      <c r="AD65" s="68">
        <v>558.23791500000004</v>
      </c>
      <c r="AE65" s="68">
        <v>558.589294</v>
      </c>
      <c r="AF65" s="68">
        <v>558.92456100000004</v>
      </c>
      <c r="AG65" s="68">
        <v>559.245361</v>
      </c>
      <c r="AH65" s="68">
        <v>559.550659</v>
      </c>
      <c r="AI65" s="68">
        <v>559.27002000000005</v>
      </c>
      <c r="AJ65" s="68">
        <v>559.03436299999998</v>
      </c>
      <c r="AK65" s="66">
        <v>6.9999999999999994E-5</v>
      </c>
    </row>
    <row r="66" spans="1:37" ht="15" customHeight="1" x14ac:dyDescent="0.2">
      <c r="A66" s="57" t="s">
        <v>510</v>
      </c>
      <c r="B66" s="60" t="s">
        <v>511</v>
      </c>
      <c r="C66" s="61">
        <v>411.78094499999997</v>
      </c>
      <c r="D66" s="61">
        <v>429.67706299999998</v>
      </c>
      <c r="E66" s="61">
        <v>447.25524899999999</v>
      </c>
      <c r="F66" s="61">
        <v>451.317047</v>
      </c>
      <c r="G66" s="61">
        <v>447.31091300000003</v>
      </c>
      <c r="H66" s="61">
        <v>442.75149499999998</v>
      </c>
      <c r="I66" s="61">
        <v>429.70361300000002</v>
      </c>
      <c r="J66" s="61">
        <v>421.29785199999998</v>
      </c>
      <c r="K66" s="61">
        <v>420.37631199999998</v>
      </c>
      <c r="L66" s="61">
        <v>419.68908699999997</v>
      </c>
      <c r="M66" s="61">
        <v>420.04205300000001</v>
      </c>
      <c r="N66" s="61">
        <v>422.947632</v>
      </c>
      <c r="O66" s="61">
        <v>423.71697999999998</v>
      </c>
      <c r="P66" s="61">
        <v>424.18457000000001</v>
      </c>
      <c r="Q66" s="61">
        <v>424.62884500000001</v>
      </c>
      <c r="R66" s="61">
        <v>425.051422</v>
      </c>
      <c r="S66" s="61">
        <v>425.45495599999998</v>
      </c>
      <c r="T66" s="61">
        <v>425.84115600000001</v>
      </c>
      <c r="U66" s="61">
        <v>426.212402</v>
      </c>
      <c r="V66" s="61">
        <v>426.57330300000001</v>
      </c>
      <c r="W66" s="61">
        <v>426.92501800000002</v>
      </c>
      <c r="X66" s="61">
        <v>427.267517</v>
      </c>
      <c r="Y66" s="61">
        <v>427.60040300000003</v>
      </c>
      <c r="Z66" s="61">
        <v>427.92352299999999</v>
      </c>
      <c r="AA66" s="61">
        <v>428.23648100000003</v>
      </c>
      <c r="AB66" s="61">
        <v>428.539062</v>
      </c>
      <c r="AC66" s="61">
        <v>428.83099399999998</v>
      </c>
      <c r="AD66" s="61">
        <v>429.11193800000001</v>
      </c>
      <c r="AE66" s="61">
        <v>429.38171399999999</v>
      </c>
      <c r="AF66" s="61">
        <v>429.64001500000001</v>
      </c>
      <c r="AG66" s="61">
        <v>429.88656600000002</v>
      </c>
      <c r="AH66" s="61">
        <v>430.12118500000003</v>
      </c>
      <c r="AI66" s="61">
        <v>429.90521200000001</v>
      </c>
      <c r="AJ66" s="61">
        <v>429.724152</v>
      </c>
      <c r="AK66" s="62">
        <v>3.0000000000000001E-6</v>
      </c>
    </row>
    <row r="67" spans="1:37" ht="15" customHeight="1" x14ac:dyDescent="0.2">
      <c r="A67" s="57" t="s">
        <v>512</v>
      </c>
      <c r="B67" s="60" t="s">
        <v>484</v>
      </c>
      <c r="C67" s="61">
        <v>19.091374999999999</v>
      </c>
      <c r="D67" s="61">
        <v>18.727858999999999</v>
      </c>
      <c r="E67" s="61">
        <v>26.547353999999999</v>
      </c>
      <c r="F67" s="61">
        <v>23.781448000000001</v>
      </c>
      <c r="G67" s="61">
        <v>20.703631999999999</v>
      </c>
      <c r="H67" s="61">
        <v>20.51643</v>
      </c>
      <c r="I67" s="61">
        <v>19.917072000000001</v>
      </c>
      <c r="J67" s="61">
        <v>19.530453000000001</v>
      </c>
      <c r="K67" s="61">
        <v>19.489598999999998</v>
      </c>
      <c r="L67" s="61">
        <v>19.457395999999999</v>
      </c>
      <c r="M67" s="61">
        <v>19.473237999999998</v>
      </c>
      <c r="N67" s="61">
        <v>19.607624000000001</v>
      </c>
      <c r="O67" s="61">
        <v>19.644047</v>
      </c>
      <c r="P67" s="61">
        <v>19.664268</v>
      </c>
      <c r="Q67" s="61">
        <v>19.684888999999998</v>
      </c>
      <c r="R67" s="61">
        <v>19.704618</v>
      </c>
      <c r="S67" s="61">
        <v>19.723618999999999</v>
      </c>
      <c r="T67" s="61">
        <v>19.741726</v>
      </c>
      <c r="U67" s="61">
        <v>19.755281</v>
      </c>
      <c r="V67" s="61">
        <v>19.772219</v>
      </c>
      <c r="W67" s="61">
        <v>19.788031</v>
      </c>
      <c r="X67" s="61">
        <v>19.803954999999998</v>
      </c>
      <c r="Y67" s="61">
        <v>19.819462000000001</v>
      </c>
      <c r="Z67" s="61">
        <v>19.834751000000001</v>
      </c>
      <c r="AA67" s="61">
        <v>19.849299999999999</v>
      </c>
      <c r="AB67" s="61">
        <v>19.863184</v>
      </c>
      <c r="AC67" s="61">
        <v>19.879411999999999</v>
      </c>
      <c r="AD67" s="61">
        <v>19.890582999999999</v>
      </c>
      <c r="AE67" s="61">
        <v>19.90353</v>
      </c>
      <c r="AF67" s="61">
        <v>19.914705000000001</v>
      </c>
      <c r="AG67" s="61">
        <v>19.926200999999999</v>
      </c>
      <c r="AH67" s="61">
        <v>19.93713</v>
      </c>
      <c r="AI67" s="61">
        <v>19.92745</v>
      </c>
      <c r="AJ67" s="61">
        <v>19.918989</v>
      </c>
      <c r="AK67" s="62">
        <v>1.9289999999999999E-3</v>
      </c>
    </row>
    <row r="68" spans="1:37" ht="15" customHeight="1" x14ac:dyDescent="0.2">
      <c r="A68" s="57" t="s">
        <v>513</v>
      </c>
      <c r="B68" s="60" t="s">
        <v>514</v>
      </c>
      <c r="C68" s="61">
        <v>104.823593</v>
      </c>
      <c r="D68" s="61">
        <v>109.379265</v>
      </c>
      <c r="E68" s="61">
        <v>113.853996</v>
      </c>
      <c r="F68" s="61">
        <v>114.88797</v>
      </c>
      <c r="G68" s="61">
        <v>113.86816399999999</v>
      </c>
      <c r="H68" s="61">
        <v>112.707504</v>
      </c>
      <c r="I68" s="61">
        <v>109.386002</v>
      </c>
      <c r="J68" s="61">
        <v>107.24623099999999</v>
      </c>
      <c r="K68" s="61">
        <v>107.011635</v>
      </c>
      <c r="L68" s="61">
        <v>106.83669999999999</v>
      </c>
      <c r="M68" s="61">
        <v>106.926537</v>
      </c>
      <c r="N68" s="61">
        <v>107.666206</v>
      </c>
      <c r="O68" s="61">
        <v>107.86203</v>
      </c>
      <c r="P68" s="61">
        <v>107.98107899999999</v>
      </c>
      <c r="Q68" s="61">
        <v>108.094154</v>
      </c>
      <c r="R68" s="61">
        <v>108.201736</v>
      </c>
      <c r="S68" s="61">
        <v>108.30444300000001</v>
      </c>
      <c r="T68" s="61">
        <v>108.402771</v>
      </c>
      <c r="U68" s="61">
        <v>108.497276</v>
      </c>
      <c r="V68" s="61">
        <v>108.58914900000001</v>
      </c>
      <c r="W68" s="61">
        <v>108.678696</v>
      </c>
      <c r="X68" s="61">
        <v>108.765869</v>
      </c>
      <c r="Y68" s="61">
        <v>108.850616</v>
      </c>
      <c r="Z68" s="61">
        <v>108.932877</v>
      </c>
      <c r="AA68" s="61">
        <v>109.012535</v>
      </c>
      <c r="AB68" s="61">
        <v>109.08955400000001</v>
      </c>
      <c r="AC68" s="61">
        <v>109.16387899999999</v>
      </c>
      <c r="AD68" s="61">
        <v>109.235382</v>
      </c>
      <c r="AE68" s="61">
        <v>109.304062</v>
      </c>
      <c r="AF68" s="61">
        <v>109.369827</v>
      </c>
      <c r="AG68" s="61">
        <v>109.43259399999999</v>
      </c>
      <c r="AH68" s="61">
        <v>109.49231</v>
      </c>
      <c r="AI68" s="61">
        <v>109.437332</v>
      </c>
      <c r="AJ68" s="61">
        <v>109.391251</v>
      </c>
      <c r="AK68" s="62">
        <v>3.0000000000000001E-6</v>
      </c>
    </row>
    <row r="69" spans="1:37" ht="15.75" customHeight="1" x14ac:dyDescent="0.2"/>
    <row r="70" spans="1:37" ht="15" customHeight="1" x14ac:dyDescent="0.2">
      <c r="A70" s="57" t="s">
        <v>515</v>
      </c>
      <c r="B70" s="59" t="s">
        <v>516</v>
      </c>
      <c r="C70" s="68">
        <v>236.25900300000001</v>
      </c>
      <c r="D70" s="68">
        <v>237.060562</v>
      </c>
      <c r="E70" s="68">
        <v>237.76503</v>
      </c>
      <c r="F70" s="68">
        <v>238.43888899999999</v>
      </c>
      <c r="G70" s="68">
        <v>239.09854100000001</v>
      </c>
      <c r="H70" s="68">
        <v>239.711578</v>
      </c>
      <c r="I70" s="68">
        <v>240.24525499999999</v>
      </c>
      <c r="J70" s="68">
        <v>240.77427700000001</v>
      </c>
      <c r="K70" s="68">
        <v>241.35845900000001</v>
      </c>
      <c r="L70" s="68">
        <v>241.871948</v>
      </c>
      <c r="M70" s="68">
        <v>242.303009</v>
      </c>
      <c r="N70" s="68">
        <v>242.66445899999999</v>
      </c>
      <c r="O70" s="68">
        <v>242.87593100000001</v>
      </c>
      <c r="P70" s="68">
        <v>242.82252500000001</v>
      </c>
      <c r="Q70" s="68">
        <v>242.45755</v>
      </c>
      <c r="R70" s="68">
        <v>241.58320599999999</v>
      </c>
      <c r="S70" s="68">
        <v>239.52969400000001</v>
      </c>
      <c r="T70" s="68">
        <v>238.89334099999999</v>
      </c>
      <c r="U70" s="68">
        <v>239.29054300000001</v>
      </c>
      <c r="V70" s="68">
        <v>239.64343299999999</v>
      </c>
      <c r="W70" s="68">
        <v>239.95526100000001</v>
      </c>
      <c r="X70" s="68">
        <v>240.22555500000001</v>
      </c>
      <c r="Y70" s="68">
        <v>240.45410200000001</v>
      </c>
      <c r="Z70" s="68">
        <v>240.64004499999999</v>
      </c>
      <c r="AA70" s="68">
        <v>240.77984599999999</v>
      </c>
      <c r="AB70" s="68">
        <v>240.87922699999999</v>
      </c>
      <c r="AC70" s="68">
        <v>240.942139</v>
      </c>
      <c r="AD70" s="68">
        <v>240.973816</v>
      </c>
      <c r="AE70" s="68">
        <v>240.986816</v>
      </c>
      <c r="AF70" s="68">
        <v>240.99580399999999</v>
      </c>
      <c r="AG70" s="68">
        <v>241.02160599999999</v>
      </c>
      <c r="AH70" s="68">
        <v>241.08538799999999</v>
      </c>
      <c r="AI70" s="68">
        <v>241.20442199999999</v>
      </c>
      <c r="AJ70" s="68">
        <v>241.39595</v>
      </c>
      <c r="AK70" s="66">
        <v>5.6599999999999999E-4</v>
      </c>
    </row>
    <row r="71" spans="1:37" ht="15" customHeight="1" x14ac:dyDescent="0.2">
      <c r="A71" s="57" t="s">
        <v>517</v>
      </c>
      <c r="B71" s="60" t="s">
        <v>518</v>
      </c>
      <c r="C71" s="61">
        <v>99.369827000000001</v>
      </c>
      <c r="D71" s="61">
        <v>99.438713000000007</v>
      </c>
      <c r="E71" s="61">
        <v>99.472228999999999</v>
      </c>
      <c r="F71" s="61">
        <v>99.505584999999996</v>
      </c>
      <c r="G71" s="61">
        <v>99.526343999999995</v>
      </c>
      <c r="H71" s="61">
        <v>99.541695000000004</v>
      </c>
      <c r="I71" s="61">
        <v>99.557747000000006</v>
      </c>
      <c r="J71" s="61">
        <v>99.547966000000002</v>
      </c>
      <c r="K71" s="61">
        <v>99.476646000000002</v>
      </c>
      <c r="L71" s="61">
        <v>99.396361999999996</v>
      </c>
      <c r="M71" s="61">
        <v>99.302657999999994</v>
      </c>
      <c r="N71" s="61">
        <v>99.182693</v>
      </c>
      <c r="O71" s="61">
        <v>99.048500000000004</v>
      </c>
      <c r="P71" s="61">
        <v>98.863533000000004</v>
      </c>
      <c r="Q71" s="61">
        <v>98.658394000000001</v>
      </c>
      <c r="R71" s="61">
        <v>98.430015999999995</v>
      </c>
      <c r="S71" s="61">
        <v>98.194892999999993</v>
      </c>
      <c r="T71" s="61">
        <v>97.939284999999998</v>
      </c>
      <c r="U71" s="61">
        <v>97.662361000000004</v>
      </c>
      <c r="V71" s="61">
        <v>97.363181999999995</v>
      </c>
      <c r="W71" s="61">
        <v>97.038230999999996</v>
      </c>
      <c r="X71" s="61">
        <v>96.680710000000005</v>
      </c>
      <c r="Y71" s="61">
        <v>96.284087999999997</v>
      </c>
      <c r="Z71" s="61">
        <v>95.842406999999994</v>
      </c>
      <c r="AA71" s="61">
        <v>95.347617999999997</v>
      </c>
      <c r="AB71" s="61">
        <v>94.802689000000001</v>
      </c>
      <c r="AC71" s="61">
        <v>94.208138000000005</v>
      </c>
      <c r="AD71" s="61">
        <v>93.565513999999993</v>
      </c>
      <c r="AE71" s="61">
        <v>92.884490999999997</v>
      </c>
      <c r="AF71" s="61">
        <v>92.177802999999997</v>
      </c>
      <c r="AG71" s="61">
        <v>91.466164000000006</v>
      </c>
      <c r="AH71" s="61">
        <v>90.772598000000002</v>
      </c>
      <c r="AI71" s="61">
        <v>90.117621999999997</v>
      </c>
      <c r="AJ71" s="61">
        <v>89.522925999999998</v>
      </c>
      <c r="AK71" s="62">
        <v>-3.277E-3</v>
      </c>
    </row>
    <row r="72" spans="1:37" ht="15" customHeight="1" x14ac:dyDescent="0.2">
      <c r="A72" s="57" t="s">
        <v>519</v>
      </c>
      <c r="B72" s="60" t="s">
        <v>520</v>
      </c>
      <c r="C72" s="61">
        <v>11.445287</v>
      </c>
      <c r="D72" s="61">
        <v>11.466092</v>
      </c>
      <c r="E72" s="61">
        <v>11.482542</v>
      </c>
      <c r="F72" s="61">
        <v>11.498786000000001</v>
      </c>
      <c r="G72" s="61">
        <v>11.513481000000001</v>
      </c>
      <c r="H72" s="61">
        <v>11.527476</v>
      </c>
      <c r="I72" s="61">
        <v>11.541475</v>
      </c>
      <c r="J72" s="61">
        <v>11.552413</v>
      </c>
      <c r="K72" s="61">
        <v>11.556156</v>
      </c>
      <c r="L72" s="61">
        <v>11.558802999999999</v>
      </c>
      <c r="M72" s="61">
        <v>11.55983</v>
      </c>
      <c r="N72" s="61">
        <v>11.557747000000001</v>
      </c>
      <c r="O72" s="61">
        <v>11.553972999999999</v>
      </c>
      <c r="P72" s="61">
        <v>11.544259</v>
      </c>
      <c r="Q72" s="61">
        <v>11.532173999999999</v>
      </c>
      <c r="R72" s="61">
        <v>11.517338000000001</v>
      </c>
      <c r="S72" s="61">
        <v>11.501655</v>
      </c>
      <c r="T72" s="61">
        <v>11.483509</v>
      </c>
      <c r="U72" s="61">
        <v>11.4628</v>
      </c>
      <c r="V72" s="61">
        <v>11.439425999999999</v>
      </c>
      <c r="W72" s="61">
        <v>11.412993999999999</v>
      </c>
      <c r="X72" s="61">
        <v>11.382687000000001</v>
      </c>
      <c r="Y72" s="61">
        <v>11.347727000000001</v>
      </c>
      <c r="Z72" s="61">
        <v>11.307388</v>
      </c>
      <c r="AA72" s="61">
        <v>11.260698</v>
      </c>
      <c r="AB72" s="61">
        <v>11.207986999999999</v>
      </c>
      <c r="AC72" s="61">
        <v>11.149298</v>
      </c>
      <c r="AD72" s="61">
        <v>11.084787</v>
      </c>
      <c r="AE72" s="61">
        <v>11.015580999999999</v>
      </c>
      <c r="AF72" s="61">
        <v>10.943103000000001</v>
      </c>
      <c r="AG72" s="61">
        <v>10.869602</v>
      </c>
      <c r="AH72" s="61">
        <v>10.797935000000001</v>
      </c>
      <c r="AI72" s="61">
        <v>10.730744</v>
      </c>
      <c r="AJ72" s="61">
        <v>10.670596</v>
      </c>
      <c r="AK72" s="62">
        <v>-2.2439999999999999E-3</v>
      </c>
    </row>
    <row r="73" spans="1:37" ht="15" customHeight="1" x14ac:dyDescent="0.2">
      <c r="A73" s="57" t="s">
        <v>521</v>
      </c>
      <c r="B73" s="60" t="s">
        <v>522</v>
      </c>
      <c r="C73" s="61">
        <v>1.4615E-2</v>
      </c>
      <c r="D73" s="61">
        <v>1.4637000000000001E-2</v>
      </c>
      <c r="E73" s="61">
        <v>1.4656000000000001E-2</v>
      </c>
      <c r="F73" s="61">
        <v>1.4678E-2</v>
      </c>
      <c r="G73" s="61">
        <v>1.4699E-2</v>
      </c>
      <c r="H73" s="61">
        <v>1.472E-2</v>
      </c>
      <c r="I73" s="61">
        <v>1.4742E-2</v>
      </c>
      <c r="J73" s="61">
        <v>1.4761E-2</v>
      </c>
      <c r="K73" s="61">
        <v>1.477E-2</v>
      </c>
      <c r="L73" s="61">
        <v>1.4777999999999999E-2</v>
      </c>
      <c r="M73" s="61">
        <v>1.4784E-2</v>
      </c>
      <c r="N73" s="61">
        <v>1.4785E-2</v>
      </c>
      <c r="O73" s="61">
        <v>1.4782999999999999E-2</v>
      </c>
      <c r="P73" s="61">
        <v>1.4774000000000001E-2</v>
      </c>
      <c r="Q73" s="61">
        <v>1.4761E-2</v>
      </c>
      <c r="R73" s="61">
        <v>1.4744E-2</v>
      </c>
      <c r="S73" s="61">
        <v>1.4725E-2</v>
      </c>
      <c r="T73" s="61">
        <v>1.4703000000000001E-2</v>
      </c>
      <c r="U73" s="61">
        <v>1.4677000000000001E-2</v>
      </c>
      <c r="V73" s="61">
        <v>1.4647E-2</v>
      </c>
      <c r="W73" s="61">
        <v>1.4612999999999999E-2</v>
      </c>
      <c r="X73" s="61">
        <v>1.4574E-2</v>
      </c>
      <c r="Y73" s="61">
        <v>1.4527999999999999E-2</v>
      </c>
      <c r="Z73" s="61">
        <v>1.4474000000000001E-2</v>
      </c>
      <c r="AA73" s="61">
        <v>1.4411999999999999E-2</v>
      </c>
      <c r="AB73" s="61">
        <v>1.4341E-2</v>
      </c>
      <c r="AC73" s="61">
        <v>1.4262E-2</v>
      </c>
      <c r="AD73" s="61">
        <v>1.4175E-2</v>
      </c>
      <c r="AE73" s="61">
        <v>1.4081E-2</v>
      </c>
      <c r="AF73" s="61">
        <v>1.3983000000000001E-2</v>
      </c>
      <c r="AG73" s="61">
        <v>1.3886000000000001E-2</v>
      </c>
      <c r="AH73" s="61">
        <v>1.3792E-2</v>
      </c>
      <c r="AI73" s="61">
        <v>1.3705E-2</v>
      </c>
      <c r="AJ73" s="61">
        <v>1.3627999999999999E-2</v>
      </c>
      <c r="AK73" s="62">
        <v>-2.2290000000000001E-3</v>
      </c>
    </row>
    <row r="74" spans="1:37" ht="15" customHeight="1" x14ac:dyDescent="0.2">
      <c r="A74" s="57" t="s">
        <v>523</v>
      </c>
      <c r="B74" s="60" t="s">
        <v>524</v>
      </c>
      <c r="C74" s="61">
        <v>63.032871</v>
      </c>
      <c r="D74" s="61">
        <v>62.981273999999999</v>
      </c>
      <c r="E74" s="61">
        <v>62.897621000000001</v>
      </c>
      <c r="F74" s="61">
        <v>62.801979000000003</v>
      </c>
      <c r="G74" s="61">
        <v>62.683661999999998</v>
      </c>
      <c r="H74" s="61">
        <v>62.542931000000003</v>
      </c>
      <c r="I74" s="61">
        <v>62.378132000000001</v>
      </c>
      <c r="J74" s="61">
        <v>62.165900999999998</v>
      </c>
      <c r="K74" s="61">
        <v>61.875275000000002</v>
      </c>
      <c r="L74" s="61">
        <v>61.527450999999999</v>
      </c>
      <c r="M74" s="61">
        <v>61.103484999999999</v>
      </c>
      <c r="N74" s="61">
        <v>60.572758</v>
      </c>
      <c r="O74" s="61">
        <v>59.908130999999997</v>
      </c>
      <c r="P74" s="61">
        <v>59.032299000000002</v>
      </c>
      <c r="Q74" s="61">
        <v>57.865509000000003</v>
      </c>
      <c r="R74" s="61">
        <v>56.198985999999998</v>
      </c>
      <c r="S74" s="61">
        <v>53.456135000000003</v>
      </c>
      <c r="T74" s="61">
        <v>52.173183000000002</v>
      </c>
      <c r="U74" s="61">
        <v>51.962135000000004</v>
      </c>
      <c r="V74" s="61">
        <v>51.739505999999999</v>
      </c>
      <c r="W74" s="61">
        <v>51.502856999999999</v>
      </c>
      <c r="X74" s="61">
        <v>51.248618999999998</v>
      </c>
      <c r="Y74" s="61">
        <v>50.973309</v>
      </c>
      <c r="Z74" s="61">
        <v>50.673667999999999</v>
      </c>
      <c r="AA74" s="61">
        <v>50.345627</v>
      </c>
      <c r="AB74" s="61">
        <v>49.990929000000001</v>
      </c>
      <c r="AC74" s="61">
        <v>49.610050000000001</v>
      </c>
      <c r="AD74" s="61">
        <v>49.204002000000003</v>
      </c>
      <c r="AE74" s="61">
        <v>48.778145000000002</v>
      </c>
      <c r="AF74" s="61">
        <v>48.340107000000003</v>
      </c>
      <c r="AG74" s="61">
        <v>47.902363000000001</v>
      </c>
      <c r="AH74" s="61">
        <v>47.477080999999998</v>
      </c>
      <c r="AI74" s="61">
        <v>47.073569999999997</v>
      </c>
      <c r="AJ74" s="61">
        <v>46.701732999999997</v>
      </c>
      <c r="AK74" s="62">
        <v>-9.3019999999999995E-3</v>
      </c>
    </row>
    <row r="75" spans="1:37" ht="15" customHeight="1" x14ac:dyDescent="0.2">
      <c r="A75" s="57" t="s">
        <v>525</v>
      </c>
      <c r="B75" s="60" t="s">
        <v>526</v>
      </c>
      <c r="C75" s="61">
        <v>22.909573000000002</v>
      </c>
      <c r="D75" s="61">
        <v>22.948392999999999</v>
      </c>
      <c r="E75" s="61">
        <v>22.977685999999999</v>
      </c>
      <c r="F75" s="61">
        <v>23.005244999999999</v>
      </c>
      <c r="G75" s="61">
        <v>23.027850999999998</v>
      </c>
      <c r="H75" s="61">
        <v>23.047478000000002</v>
      </c>
      <c r="I75" s="61">
        <v>23.065909999999999</v>
      </c>
      <c r="J75" s="61">
        <v>23.077224999999999</v>
      </c>
      <c r="K75" s="61">
        <v>23.073387</v>
      </c>
      <c r="L75" s="61">
        <v>23.066811000000001</v>
      </c>
      <c r="M75" s="61">
        <v>23.056746</v>
      </c>
      <c r="N75" s="61">
        <v>23.040264000000001</v>
      </c>
      <c r="O75" s="61">
        <v>23.020389999999999</v>
      </c>
      <c r="P75" s="61">
        <v>22.988669999999999</v>
      </c>
      <c r="Q75" s="61">
        <v>22.952103000000001</v>
      </c>
      <c r="R75" s="61">
        <v>22.909908000000001</v>
      </c>
      <c r="S75" s="61">
        <v>22.865794999999999</v>
      </c>
      <c r="T75" s="61">
        <v>22.816597000000002</v>
      </c>
      <c r="U75" s="61">
        <v>22.762229999999999</v>
      </c>
      <c r="V75" s="61">
        <v>22.702724</v>
      </c>
      <c r="W75" s="61">
        <v>22.637530999999999</v>
      </c>
      <c r="X75" s="61">
        <v>22.565052000000001</v>
      </c>
      <c r="Y75" s="61">
        <v>22.483809999999998</v>
      </c>
      <c r="Z75" s="61">
        <v>22.392496000000001</v>
      </c>
      <c r="AA75" s="61">
        <v>22.289165000000001</v>
      </c>
      <c r="AB75" s="61">
        <v>22.174461000000001</v>
      </c>
      <c r="AC75" s="61">
        <v>22.048438999999998</v>
      </c>
      <c r="AD75" s="61">
        <v>21.911407000000001</v>
      </c>
      <c r="AE75" s="61">
        <v>21.765518</v>
      </c>
      <c r="AF75" s="61">
        <v>21.613475999999999</v>
      </c>
      <c r="AG75" s="61">
        <v>21.45956</v>
      </c>
      <c r="AH75" s="61">
        <v>21.308823</v>
      </c>
      <c r="AI75" s="61">
        <v>21.166450999999999</v>
      </c>
      <c r="AJ75" s="61">
        <v>21.038235</v>
      </c>
      <c r="AK75" s="62">
        <v>-2.712E-3</v>
      </c>
    </row>
    <row r="76" spans="1:37" ht="15" customHeight="1" x14ac:dyDescent="0.2">
      <c r="A76" s="57" t="s">
        <v>527</v>
      </c>
      <c r="B76" s="60" t="s">
        <v>528</v>
      </c>
      <c r="C76" s="61">
        <v>1.462669</v>
      </c>
      <c r="D76" s="61">
        <v>1.4672320000000001</v>
      </c>
      <c r="E76" s="61">
        <v>1.4711719999999999</v>
      </c>
      <c r="F76" s="61">
        <v>1.474985</v>
      </c>
      <c r="G76" s="61">
        <v>1.478472</v>
      </c>
      <c r="H76" s="61">
        <v>1.481765</v>
      </c>
      <c r="I76" s="61">
        <v>1.484974</v>
      </c>
      <c r="J76" s="61">
        <v>1.4877100000000001</v>
      </c>
      <c r="K76" s="61">
        <v>1.489452</v>
      </c>
      <c r="L76" s="61">
        <v>1.4910000000000001</v>
      </c>
      <c r="M76" s="61">
        <v>1.492302</v>
      </c>
      <c r="N76" s="61">
        <v>1.493169</v>
      </c>
      <c r="O76" s="61">
        <v>1.4937929999999999</v>
      </c>
      <c r="P76" s="61">
        <v>1.4936259999999999</v>
      </c>
      <c r="Q76" s="61">
        <v>1.4931209999999999</v>
      </c>
      <c r="R76" s="61">
        <v>1.4922260000000001</v>
      </c>
      <c r="S76" s="61">
        <v>1.4911779999999999</v>
      </c>
      <c r="T76" s="61">
        <v>1.489771</v>
      </c>
      <c r="U76" s="61">
        <v>1.488</v>
      </c>
      <c r="V76" s="61">
        <v>1.4858659999999999</v>
      </c>
      <c r="W76" s="61">
        <v>1.4833400000000001</v>
      </c>
      <c r="X76" s="61">
        <v>1.4803170000000001</v>
      </c>
      <c r="Y76" s="61">
        <v>1.4766999999999999</v>
      </c>
      <c r="Z76" s="61">
        <v>1.472399</v>
      </c>
      <c r="AA76" s="61">
        <v>1.467285</v>
      </c>
      <c r="AB76" s="61">
        <v>1.4613959999999999</v>
      </c>
      <c r="AC76" s="61">
        <v>1.454731</v>
      </c>
      <c r="AD76" s="61">
        <v>1.4473069999999999</v>
      </c>
      <c r="AE76" s="61">
        <v>1.4392640000000001</v>
      </c>
      <c r="AF76" s="61">
        <v>1.430741</v>
      </c>
      <c r="AG76" s="61">
        <v>1.4219539999999999</v>
      </c>
      <c r="AH76" s="61">
        <v>1.413276</v>
      </c>
      <c r="AI76" s="61">
        <v>1.405116</v>
      </c>
      <c r="AJ76" s="61">
        <v>1.3978870000000001</v>
      </c>
      <c r="AK76" s="62">
        <v>-1.5120000000000001E-3</v>
      </c>
    </row>
    <row r="77" spans="1:37" ht="15" customHeight="1" x14ac:dyDescent="0.2">
      <c r="A77" s="57" t="s">
        <v>529</v>
      </c>
      <c r="B77" s="60" t="s">
        <v>530</v>
      </c>
      <c r="C77" s="61">
        <v>0.49046699999999999</v>
      </c>
      <c r="D77" s="61">
        <v>0.54665799999999998</v>
      </c>
      <c r="E77" s="61">
        <v>0.61404999999999998</v>
      </c>
      <c r="F77" s="61">
        <v>0.69532799999999995</v>
      </c>
      <c r="G77" s="61">
        <v>0.793516</v>
      </c>
      <c r="H77" s="61">
        <v>0.91260799999999997</v>
      </c>
      <c r="I77" s="61">
        <v>1.057723</v>
      </c>
      <c r="J77" s="61">
        <v>1.2351000000000001</v>
      </c>
      <c r="K77" s="61">
        <v>1.4527060000000001</v>
      </c>
      <c r="L77" s="61">
        <v>1.7225729999999999</v>
      </c>
      <c r="M77" s="61">
        <v>2.060505</v>
      </c>
      <c r="N77" s="61">
        <v>2.4889230000000002</v>
      </c>
      <c r="O77" s="61">
        <v>3.0423460000000002</v>
      </c>
      <c r="P77" s="61">
        <v>3.7747869999999999</v>
      </c>
      <c r="Q77" s="61">
        <v>4.7855939999999997</v>
      </c>
      <c r="R77" s="61">
        <v>6.2816559999999999</v>
      </c>
      <c r="S77" s="61">
        <v>8.8502270000000003</v>
      </c>
      <c r="T77" s="61">
        <v>9.9463259999999991</v>
      </c>
      <c r="U77" s="61">
        <v>9.9573160000000005</v>
      </c>
      <c r="V77" s="61">
        <v>9.9657990000000005</v>
      </c>
      <c r="W77" s="61">
        <v>9.9716830000000005</v>
      </c>
      <c r="X77" s="61">
        <v>9.9742409999999992</v>
      </c>
      <c r="Y77" s="61">
        <v>9.9728019999999997</v>
      </c>
      <c r="Z77" s="61">
        <v>9.9667870000000001</v>
      </c>
      <c r="AA77" s="61">
        <v>9.9552619999999994</v>
      </c>
      <c r="AB77" s="61">
        <v>9.9384370000000004</v>
      </c>
      <c r="AC77" s="61">
        <v>9.9162520000000001</v>
      </c>
      <c r="AD77" s="61">
        <v>9.8887789999999995</v>
      </c>
      <c r="AE77" s="61">
        <v>9.8569019999999998</v>
      </c>
      <c r="AF77" s="61">
        <v>9.8214330000000007</v>
      </c>
      <c r="AG77" s="61">
        <v>9.7839189999999991</v>
      </c>
      <c r="AH77" s="61">
        <v>9.7468699999999995</v>
      </c>
      <c r="AI77" s="61">
        <v>9.7132710000000007</v>
      </c>
      <c r="AJ77" s="61">
        <v>9.6861160000000002</v>
      </c>
      <c r="AK77" s="62">
        <v>9.3991000000000005E-2</v>
      </c>
    </row>
    <row r="78" spans="1:37" ht="15" customHeight="1" x14ac:dyDescent="0.2">
      <c r="A78" s="57" t="s">
        <v>531</v>
      </c>
      <c r="B78" s="60" t="s">
        <v>532</v>
      </c>
      <c r="C78" s="61">
        <v>1.4345E-2</v>
      </c>
      <c r="D78" s="61">
        <v>1.4429000000000001E-2</v>
      </c>
      <c r="E78" s="61">
        <v>1.4507000000000001E-2</v>
      </c>
      <c r="F78" s="61">
        <v>1.4583E-2</v>
      </c>
      <c r="G78" s="61">
        <v>1.4655E-2</v>
      </c>
      <c r="H78" s="61">
        <v>1.4723999999999999E-2</v>
      </c>
      <c r="I78" s="61">
        <v>1.4792E-2</v>
      </c>
      <c r="J78" s="61">
        <v>1.4853999999999999E-2</v>
      </c>
      <c r="K78" s="61">
        <v>1.4905E-2</v>
      </c>
      <c r="L78" s="61">
        <v>1.4954E-2</v>
      </c>
      <c r="M78" s="61">
        <v>1.4999999999999999E-2</v>
      </c>
      <c r="N78" s="61">
        <v>1.5041000000000001E-2</v>
      </c>
      <c r="O78" s="61">
        <v>1.508E-2</v>
      </c>
      <c r="P78" s="61">
        <v>1.511E-2</v>
      </c>
      <c r="Q78" s="61">
        <v>1.5136999999999999E-2</v>
      </c>
      <c r="R78" s="61">
        <v>1.516E-2</v>
      </c>
      <c r="S78" s="61">
        <v>1.5180000000000001E-2</v>
      </c>
      <c r="T78" s="61">
        <v>1.5195999999999999E-2</v>
      </c>
      <c r="U78" s="61">
        <v>1.5209E-2</v>
      </c>
      <c r="V78" s="61">
        <v>1.5217E-2</v>
      </c>
      <c r="W78" s="61">
        <v>1.5221E-2</v>
      </c>
      <c r="X78" s="61">
        <v>1.5221E-2</v>
      </c>
      <c r="Y78" s="61">
        <v>1.5214E-2</v>
      </c>
      <c r="Z78" s="61">
        <v>1.52E-2</v>
      </c>
      <c r="AA78" s="61">
        <v>1.5178000000000001E-2</v>
      </c>
      <c r="AB78" s="61">
        <v>1.5148E-2</v>
      </c>
      <c r="AC78" s="61">
        <v>1.5108999999999999E-2</v>
      </c>
      <c r="AD78" s="61">
        <v>1.5063E-2</v>
      </c>
      <c r="AE78" s="61">
        <v>1.5009E-2</v>
      </c>
      <c r="AF78" s="61">
        <v>1.4951000000000001E-2</v>
      </c>
      <c r="AG78" s="61">
        <v>1.4888999999999999E-2</v>
      </c>
      <c r="AH78" s="61">
        <v>1.4827E-2</v>
      </c>
      <c r="AI78" s="61">
        <v>1.4770999999999999E-2</v>
      </c>
      <c r="AJ78" s="61">
        <v>1.4725E-2</v>
      </c>
      <c r="AK78" s="62">
        <v>6.3500000000000004E-4</v>
      </c>
    </row>
    <row r="79" spans="1:37" ht="15" customHeight="1" x14ac:dyDescent="0.2">
      <c r="A79" s="57" t="s">
        <v>533</v>
      </c>
      <c r="B79" s="60" t="s">
        <v>534</v>
      </c>
      <c r="C79" s="61">
        <v>32.039715000000001</v>
      </c>
      <c r="D79" s="61">
        <v>32.314650999999998</v>
      </c>
      <c r="E79" s="61">
        <v>32.579014000000001</v>
      </c>
      <c r="F79" s="61">
        <v>32.846046000000001</v>
      </c>
      <c r="G79" s="61">
        <v>33.110317000000002</v>
      </c>
      <c r="H79" s="61">
        <v>33.374206999999998</v>
      </c>
      <c r="I79" s="61">
        <v>33.639603000000001</v>
      </c>
      <c r="J79" s="61">
        <v>33.897376999999999</v>
      </c>
      <c r="K79" s="61">
        <v>34.139076000000003</v>
      </c>
      <c r="L79" s="61">
        <v>34.378258000000002</v>
      </c>
      <c r="M79" s="61">
        <v>34.613281000000001</v>
      </c>
      <c r="N79" s="61">
        <v>34.839770999999999</v>
      </c>
      <c r="O79" s="61">
        <v>35.061768000000001</v>
      </c>
      <c r="P79" s="61">
        <v>35.280872000000002</v>
      </c>
      <c r="Q79" s="61">
        <v>35.495044999999998</v>
      </c>
      <c r="R79" s="61">
        <v>35.703170999999998</v>
      </c>
      <c r="S79" s="61">
        <v>35.912951999999997</v>
      </c>
      <c r="T79" s="61">
        <v>36.119307999999997</v>
      </c>
      <c r="U79" s="61">
        <v>36.321995000000001</v>
      </c>
      <c r="V79" s="61">
        <v>36.520729000000003</v>
      </c>
      <c r="W79" s="61">
        <v>36.715229000000001</v>
      </c>
      <c r="X79" s="61">
        <v>36.905312000000002</v>
      </c>
      <c r="Y79" s="61">
        <v>37.090851000000001</v>
      </c>
      <c r="Z79" s="61">
        <v>37.271832000000003</v>
      </c>
      <c r="AA79" s="61">
        <v>37.44838</v>
      </c>
      <c r="AB79" s="61">
        <v>37.620724000000003</v>
      </c>
      <c r="AC79" s="61">
        <v>37.789070000000002</v>
      </c>
      <c r="AD79" s="61">
        <v>37.953735000000002</v>
      </c>
      <c r="AE79" s="61">
        <v>38.115043999999997</v>
      </c>
      <c r="AF79" s="61">
        <v>38.273403000000002</v>
      </c>
      <c r="AG79" s="61">
        <v>38.429110999999999</v>
      </c>
      <c r="AH79" s="61">
        <v>38.582664000000001</v>
      </c>
      <c r="AI79" s="61">
        <v>38.734631</v>
      </c>
      <c r="AJ79" s="61">
        <v>38.885581999999999</v>
      </c>
      <c r="AK79" s="62">
        <v>5.8009999999999997E-3</v>
      </c>
    </row>
    <row r="80" spans="1:37" ht="15" customHeight="1" x14ac:dyDescent="0.2">
      <c r="A80" s="57" t="s">
        <v>535</v>
      </c>
      <c r="B80" s="60" t="s">
        <v>520</v>
      </c>
      <c r="C80" s="61">
        <v>0</v>
      </c>
      <c r="D80" s="61">
        <v>0</v>
      </c>
      <c r="E80" s="61">
        <v>0</v>
      </c>
      <c r="F80" s="61">
        <v>0</v>
      </c>
      <c r="G80" s="61">
        <v>0</v>
      </c>
      <c r="H80" s="61">
        <v>0</v>
      </c>
      <c r="I80" s="61">
        <v>0</v>
      </c>
      <c r="J80" s="61">
        <v>0</v>
      </c>
      <c r="K80" s="61">
        <v>0</v>
      </c>
      <c r="L80" s="61">
        <v>0</v>
      </c>
      <c r="M80" s="61">
        <v>0</v>
      </c>
      <c r="N80" s="61">
        <v>0</v>
      </c>
      <c r="O80" s="61">
        <v>0</v>
      </c>
      <c r="P80" s="61">
        <v>0</v>
      </c>
      <c r="Q80" s="61">
        <v>0</v>
      </c>
      <c r="R80" s="61">
        <v>0</v>
      </c>
      <c r="S80" s="61">
        <v>0</v>
      </c>
      <c r="T80" s="61">
        <v>0</v>
      </c>
      <c r="U80" s="61">
        <v>0</v>
      </c>
      <c r="V80" s="61">
        <v>0</v>
      </c>
      <c r="W80" s="61">
        <v>0</v>
      </c>
      <c r="X80" s="61">
        <v>0</v>
      </c>
      <c r="Y80" s="61">
        <v>0</v>
      </c>
      <c r="Z80" s="61">
        <v>0</v>
      </c>
      <c r="AA80" s="61">
        <v>0</v>
      </c>
      <c r="AB80" s="61">
        <v>0</v>
      </c>
      <c r="AC80" s="61">
        <v>0</v>
      </c>
      <c r="AD80" s="61">
        <v>0</v>
      </c>
      <c r="AE80" s="61">
        <v>0</v>
      </c>
      <c r="AF80" s="61">
        <v>0</v>
      </c>
      <c r="AG80" s="61">
        <v>0</v>
      </c>
      <c r="AH80" s="61">
        <v>0</v>
      </c>
      <c r="AI80" s="61">
        <v>0</v>
      </c>
      <c r="AJ80" s="61">
        <v>0</v>
      </c>
      <c r="AK80" s="62" t="s">
        <v>467</v>
      </c>
    </row>
    <row r="81" spans="1:37" ht="15" customHeight="1" x14ac:dyDescent="0.2">
      <c r="A81" s="57" t="s">
        <v>536</v>
      </c>
      <c r="B81" s="60" t="s">
        <v>522</v>
      </c>
      <c r="C81" s="61">
        <v>0</v>
      </c>
      <c r="D81" s="61">
        <v>0</v>
      </c>
      <c r="E81" s="61">
        <v>0</v>
      </c>
      <c r="F81" s="61">
        <v>0</v>
      </c>
      <c r="G81" s="61">
        <v>0</v>
      </c>
      <c r="H81" s="61">
        <v>0</v>
      </c>
      <c r="I81" s="61">
        <v>0</v>
      </c>
      <c r="J81" s="61">
        <v>0</v>
      </c>
      <c r="K81" s="61">
        <v>0</v>
      </c>
      <c r="L81" s="61">
        <v>0</v>
      </c>
      <c r="M81" s="61">
        <v>0</v>
      </c>
      <c r="N81" s="61">
        <v>0</v>
      </c>
      <c r="O81" s="61">
        <v>0</v>
      </c>
      <c r="P81" s="61">
        <v>0</v>
      </c>
      <c r="Q81" s="61">
        <v>0</v>
      </c>
      <c r="R81" s="61">
        <v>0</v>
      </c>
      <c r="S81" s="61">
        <v>0</v>
      </c>
      <c r="T81" s="61">
        <v>0</v>
      </c>
      <c r="U81" s="61">
        <v>0</v>
      </c>
      <c r="V81" s="61">
        <v>0</v>
      </c>
      <c r="W81" s="61">
        <v>0</v>
      </c>
      <c r="X81" s="61">
        <v>0</v>
      </c>
      <c r="Y81" s="61">
        <v>0</v>
      </c>
      <c r="Z81" s="61">
        <v>0</v>
      </c>
      <c r="AA81" s="61">
        <v>0</v>
      </c>
      <c r="AB81" s="61">
        <v>0</v>
      </c>
      <c r="AC81" s="61">
        <v>0</v>
      </c>
      <c r="AD81" s="61">
        <v>0</v>
      </c>
      <c r="AE81" s="61">
        <v>0</v>
      </c>
      <c r="AF81" s="61">
        <v>0</v>
      </c>
      <c r="AG81" s="61">
        <v>0</v>
      </c>
      <c r="AH81" s="61">
        <v>0</v>
      </c>
      <c r="AI81" s="61">
        <v>0</v>
      </c>
      <c r="AJ81" s="61">
        <v>0</v>
      </c>
      <c r="AK81" s="62" t="s">
        <v>467</v>
      </c>
    </row>
    <row r="82" spans="1:37" ht="15" customHeight="1" x14ac:dyDescent="0.2">
      <c r="A82" s="57" t="s">
        <v>537</v>
      </c>
      <c r="B82" s="60" t="s">
        <v>524</v>
      </c>
      <c r="C82" s="61">
        <v>32.039715000000001</v>
      </c>
      <c r="D82" s="61">
        <v>32.314650999999998</v>
      </c>
      <c r="E82" s="61">
        <v>32.579014000000001</v>
      </c>
      <c r="F82" s="61">
        <v>32.846046000000001</v>
      </c>
      <c r="G82" s="61">
        <v>33.110317000000002</v>
      </c>
      <c r="H82" s="61">
        <v>33.374206999999998</v>
      </c>
      <c r="I82" s="61">
        <v>33.639603000000001</v>
      </c>
      <c r="J82" s="61">
        <v>33.897376999999999</v>
      </c>
      <c r="K82" s="61">
        <v>34.139076000000003</v>
      </c>
      <c r="L82" s="61">
        <v>34.378258000000002</v>
      </c>
      <c r="M82" s="61">
        <v>34.613281000000001</v>
      </c>
      <c r="N82" s="61">
        <v>34.839770999999999</v>
      </c>
      <c r="O82" s="61">
        <v>35.061768000000001</v>
      </c>
      <c r="P82" s="61">
        <v>35.280872000000002</v>
      </c>
      <c r="Q82" s="61">
        <v>35.495044999999998</v>
      </c>
      <c r="R82" s="61">
        <v>35.703170999999998</v>
      </c>
      <c r="S82" s="61">
        <v>35.912951999999997</v>
      </c>
      <c r="T82" s="61">
        <v>36.119307999999997</v>
      </c>
      <c r="U82" s="61">
        <v>36.321995000000001</v>
      </c>
      <c r="V82" s="61">
        <v>36.520729000000003</v>
      </c>
      <c r="W82" s="61">
        <v>36.715229000000001</v>
      </c>
      <c r="X82" s="61">
        <v>36.905312000000002</v>
      </c>
      <c r="Y82" s="61">
        <v>37.090851000000001</v>
      </c>
      <c r="Z82" s="61">
        <v>37.271832000000003</v>
      </c>
      <c r="AA82" s="61">
        <v>37.44838</v>
      </c>
      <c r="AB82" s="61">
        <v>37.620724000000003</v>
      </c>
      <c r="AC82" s="61">
        <v>37.789070000000002</v>
      </c>
      <c r="AD82" s="61">
        <v>37.953735000000002</v>
      </c>
      <c r="AE82" s="61">
        <v>38.115043999999997</v>
      </c>
      <c r="AF82" s="61">
        <v>38.273403000000002</v>
      </c>
      <c r="AG82" s="61">
        <v>38.429110999999999</v>
      </c>
      <c r="AH82" s="61">
        <v>38.582664000000001</v>
      </c>
      <c r="AI82" s="61">
        <v>38.734631</v>
      </c>
      <c r="AJ82" s="61">
        <v>38.885581999999999</v>
      </c>
      <c r="AK82" s="62">
        <v>5.8009999999999997E-3</v>
      </c>
    </row>
    <row r="83" spans="1:37" ht="15" customHeight="1" x14ac:dyDescent="0.2">
      <c r="A83" s="57" t="s">
        <v>538</v>
      </c>
      <c r="B83" s="60" t="s">
        <v>526</v>
      </c>
      <c r="C83" s="61">
        <v>0</v>
      </c>
      <c r="D83" s="61">
        <v>0</v>
      </c>
      <c r="E83" s="61">
        <v>0</v>
      </c>
      <c r="F83" s="61">
        <v>0</v>
      </c>
      <c r="G83" s="61">
        <v>0</v>
      </c>
      <c r="H83" s="61">
        <v>0</v>
      </c>
      <c r="I83" s="61">
        <v>0</v>
      </c>
      <c r="J83" s="61">
        <v>0</v>
      </c>
      <c r="K83" s="61">
        <v>0</v>
      </c>
      <c r="L83" s="61">
        <v>0</v>
      </c>
      <c r="M83" s="61">
        <v>0</v>
      </c>
      <c r="N83" s="61">
        <v>0</v>
      </c>
      <c r="O83" s="61">
        <v>0</v>
      </c>
      <c r="P83" s="61">
        <v>0</v>
      </c>
      <c r="Q83" s="61">
        <v>0</v>
      </c>
      <c r="R83" s="61">
        <v>0</v>
      </c>
      <c r="S83" s="61">
        <v>0</v>
      </c>
      <c r="T83" s="61">
        <v>0</v>
      </c>
      <c r="U83" s="61">
        <v>0</v>
      </c>
      <c r="V83" s="61">
        <v>0</v>
      </c>
      <c r="W83" s="61">
        <v>0</v>
      </c>
      <c r="X83" s="61">
        <v>0</v>
      </c>
      <c r="Y83" s="61">
        <v>0</v>
      </c>
      <c r="Z83" s="61">
        <v>0</v>
      </c>
      <c r="AA83" s="61">
        <v>0</v>
      </c>
      <c r="AB83" s="61">
        <v>0</v>
      </c>
      <c r="AC83" s="61">
        <v>0</v>
      </c>
      <c r="AD83" s="61">
        <v>0</v>
      </c>
      <c r="AE83" s="61">
        <v>0</v>
      </c>
      <c r="AF83" s="61">
        <v>0</v>
      </c>
      <c r="AG83" s="61">
        <v>0</v>
      </c>
      <c r="AH83" s="61">
        <v>0</v>
      </c>
      <c r="AI83" s="61">
        <v>0</v>
      </c>
      <c r="AJ83" s="61">
        <v>0</v>
      </c>
      <c r="AK83" s="62" t="s">
        <v>467</v>
      </c>
    </row>
    <row r="84" spans="1:37" ht="15" customHeight="1" x14ac:dyDescent="0.2">
      <c r="A84" s="57" t="s">
        <v>539</v>
      </c>
      <c r="B84" s="60" t="s">
        <v>528</v>
      </c>
      <c r="C84" s="61">
        <v>0</v>
      </c>
      <c r="D84" s="61">
        <v>0</v>
      </c>
      <c r="E84" s="61">
        <v>0</v>
      </c>
      <c r="F84" s="61">
        <v>0</v>
      </c>
      <c r="G84" s="61">
        <v>0</v>
      </c>
      <c r="H84" s="61">
        <v>0</v>
      </c>
      <c r="I84" s="61">
        <v>0</v>
      </c>
      <c r="J84" s="61">
        <v>0</v>
      </c>
      <c r="K84" s="61">
        <v>0</v>
      </c>
      <c r="L84" s="61">
        <v>0</v>
      </c>
      <c r="M84" s="61">
        <v>0</v>
      </c>
      <c r="N84" s="61">
        <v>0</v>
      </c>
      <c r="O84" s="61">
        <v>0</v>
      </c>
      <c r="P84" s="61">
        <v>0</v>
      </c>
      <c r="Q84" s="61">
        <v>0</v>
      </c>
      <c r="R84" s="61">
        <v>0</v>
      </c>
      <c r="S84" s="61">
        <v>0</v>
      </c>
      <c r="T84" s="61">
        <v>0</v>
      </c>
      <c r="U84" s="61">
        <v>0</v>
      </c>
      <c r="V84" s="61">
        <v>0</v>
      </c>
      <c r="W84" s="61">
        <v>0</v>
      </c>
      <c r="X84" s="61">
        <v>0</v>
      </c>
      <c r="Y84" s="61">
        <v>0</v>
      </c>
      <c r="Z84" s="61">
        <v>0</v>
      </c>
      <c r="AA84" s="61">
        <v>0</v>
      </c>
      <c r="AB84" s="61">
        <v>0</v>
      </c>
      <c r="AC84" s="61">
        <v>0</v>
      </c>
      <c r="AD84" s="61">
        <v>0</v>
      </c>
      <c r="AE84" s="61">
        <v>0</v>
      </c>
      <c r="AF84" s="61">
        <v>0</v>
      </c>
      <c r="AG84" s="61">
        <v>0</v>
      </c>
      <c r="AH84" s="61">
        <v>0</v>
      </c>
      <c r="AI84" s="61">
        <v>0</v>
      </c>
      <c r="AJ84" s="61">
        <v>0</v>
      </c>
      <c r="AK84" s="62" t="s">
        <v>467</v>
      </c>
    </row>
    <row r="85" spans="1:37" ht="15" customHeight="1" x14ac:dyDescent="0.2">
      <c r="A85" s="57" t="s">
        <v>540</v>
      </c>
      <c r="B85" s="60" t="s">
        <v>530</v>
      </c>
      <c r="C85" s="61">
        <v>0</v>
      </c>
      <c r="D85" s="61">
        <v>0</v>
      </c>
      <c r="E85" s="61">
        <v>0</v>
      </c>
      <c r="F85" s="61">
        <v>0</v>
      </c>
      <c r="G85" s="61">
        <v>0</v>
      </c>
      <c r="H85" s="61">
        <v>0</v>
      </c>
      <c r="I85" s="61">
        <v>0</v>
      </c>
      <c r="J85" s="61">
        <v>0</v>
      </c>
      <c r="K85" s="61">
        <v>0</v>
      </c>
      <c r="L85" s="61">
        <v>0</v>
      </c>
      <c r="M85" s="61">
        <v>0</v>
      </c>
      <c r="N85" s="61">
        <v>0</v>
      </c>
      <c r="O85" s="61">
        <v>0</v>
      </c>
      <c r="P85" s="61">
        <v>0</v>
      </c>
      <c r="Q85" s="61">
        <v>0</v>
      </c>
      <c r="R85" s="61">
        <v>0</v>
      </c>
      <c r="S85" s="61">
        <v>0</v>
      </c>
      <c r="T85" s="61">
        <v>0</v>
      </c>
      <c r="U85" s="61">
        <v>0</v>
      </c>
      <c r="V85" s="61">
        <v>0</v>
      </c>
      <c r="W85" s="61">
        <v>0</v>
      </c>
      <c r="X85" s="61">
        <v>0</v>
      </c>
      <c r="Y85" s="61">
        <v>0</v>
      </c>
      <c r="Z85" s="61">
        <v>0</v>
      </c>
      <c r="AA85" s="61">
        <v>0</v>
      </c>
      <c r="AB85" s="61">
        <v>0</v>
      </c>
      <c r="AC85" s="61">
        <v>0</v>
      </c>
      <c r="AD85" s="61">
        <v>0</v>
      </c>
      <c r="AE85" s="61">
        <v>0</v>
      </c>
      <c r="AF85" s="61">
        <v>0</v>
      </c>
      <c r="AG85" s="61">
        <v>0</v>
      </c>
      <c r="AH85" s="61">
        <v>0</v>
      </c>
      <c r="AI85" s="61">
        <v>0</v>
      </c>
      <c r="AJ85" s="61">
        <v>0</v>
      </c>
      <c r="AK85" s="62" t="s">
        <v>467</v>
      </c>
    </row>
    <row r="86" spans="1:37" ht="15" customHeight="1" x14ac:dyDescent="0.2">
      <c r="A86" s="57" t="s">
        <v>541</v>
      </c>
      <c r="B86" s="60" t="s">
        <v>532</v>
      </c>
      <c r="C86" s="61">
        <v>0</v>
      </c>
      <c r="D86" s="61">
        <v>0</v>
      </c>
      <c r="E86" s="61">
        <v>0</v>
      </c>
      <c r="F86" s="61">
        <v>0</v>
      </c>
      <c r="G86" s="61">
        <v>0</v>
      </c>
      <c r="H86" s="61">
        <v>0</v>
      </c>
      <c r="I86" s="61">
        <v>0</v>
      </c>
      <c r="J86" s="61">
        <v>0</v>
      </c>
      <c r="K86" s="61">
        <v>0</v>
      </c>
      <c r="L86" s="61">
        <v>0</v>
      </c>
      <c r="M86" s="61">
        <v>0</v>
      </c>
      <c r="N86" s="61">
        <v>0</v>
      </c>
      <c r="O86" s="61">
        <v>0</v>
      </c>
      <c r="P86" s="61">
        <v>0</v>
      </c>
      <c r="Q86" s="61">
        <v>0</v>
      </c>
      <c r="R86" s="61">
        <v>0</v>
      </c>
      <c r="S86" s="61">
        <v>0</v>
      </c>
      <c r="T86" s="61">
        <v>0</v>
      </c>
      <c r="U86" s="61">
        <v>0</v>
      </c>
      <c r="V86" s="61">
        <v>0</v>
      </c>
      <c r="W86" s="61">
        <v>0</v>
      </c>
      <c r="X86" s="61">
        <v>0</v>
      </c>
      <c r="Y86" s="61">
        <v>0</v>
      </c>
      <c r="Z86" s="61">
        <v>0</v>
      </c>
      <c r="AA86" s="61">
        <v>0</v>
      </c>
      <c r="AB86" s="61">
        <v>0</v>
      </c>
      <c r="AC86" s="61">
        <v>0</v>
      </c>
      <c r="AD86" s="61">
        <v>0</v>
      </c>
      <c r="AE86" s="61">
        <v>0</v>
      </c>
      <c r="AF86" s="61">
        <v>0</v>
      </c>
      <c r="AG86" s="61">
        <v>0</v>
      </c>
      <c r="AH86" s="61">
        <v>0</v>
      </c>
      <c r="AI86" s="61">
        <v>0</v>
      </c>
      <c r="AJ86" s="61">
        <v>0</v>
      </c>
      <c r="AK86" s="62" t="s">
        <v>467</v>
      </c>
    </row>
    <row r="87" spans="1:37" ht="15" customHeight="1" x14ac:dyDescent="0.2">
      <c r="A87" s="57" t="s">
        <v>542</v>
      </c>
      <c r="B87" s="60" t="s">
        <v>543</v>
      </c>
      <c r="C87" s="61">
        <v>105.36889600000001</v>
      </c>
      <c r="D87" s="61">
        <v>105.882927</v>
      </c>
      <c r="E87" s="61">
        <v>106.356987</v>
      </c>
      <c r="F87" s="61">
        <v>106.811852</v>
      </c>
      <c r="G87" s="61">
        <v>107.284744</v>
      </c>
      <c r="H87" s="61">
        <v>107.73774</v>
      </c>
      <c r="I87" s="61">
        <v>108.135147</v>
      </c>
      <c r="J87" s="61">
        <v>108.59365099999999</v>
      </c>
      <c r="K87" s="61">
        <v>109.225121</v>
      </c>
      <c r="L87" s="61">
        <v>109.849632</v>
      </c>
      <c r="M87" s="61">
        <v>110.47736399999999</v>
      </c>
      <c r="N87" s="61">
        <v>111.160736</v>
      </c>
      <c r="O87" s="61">
        <v>111.83788300000001</v>
      </c>
      <c r="P87" s="61">
        <v>112.48278000000001</v>
      </c>
      <c r="Q87" s="61">
        <v>113.11958300000001</v>
      </c>
      <c r="R87" s="61">
        <v>113.761589</v>
      </c>
      <c r="S87" s="61">
        <v>114.301987</v>
      </c>
      <c r="T87" s="61">
        <v>114.810982</v>
      </c>
      <c r="U87" s="61">
        <v>115.29338799999999</v>
      </c>
      <c r="V87" s="61">
        <v>115.75518</v>
      </c>
      <c r="W87" s="61">
        <v>116.203316</v>
      </c>
      <c r="X87" s="61">
        <v>116.64357</v>
      </c>
      <c r="Y87" s="61">
        <v>117.081703</v>
      </c>
      <c r="Z87" s="61">
        <v>117.522255</v>
      </c>
      <c r="AA87" s="61">
        <v>117.968689</v>
      </c>
      <c r="AB87" s="61">
        <v>118.42372899999999</v>
      </c>
      <c r="AC87" s="61">
        <v>118.890556</v>
      </c>
      <c r="AD87" s="61">
        <v>119.372574</v>
      </c>
      <c r="AE87" s="61">
        <v>119.87326</v>
      </c>
      <c r="AF87" s="61">
        <v>120.394981</v>
      </c>
      <c r="AG87" s="61">
        <v>120.93901099999999</v>
      </c>
      <c r="AH87" s="61">
        <v>121.5056</v>
      </c>
      <c r="AI87" s="61">
        <v>122.093918</v>
      </c>
      <c r="AJ87" s="61">
        <v>122.70192</v>
      </c>
      <c r="AK87" s="62">
        <v>4.6179999999999997E-3</v>
      </c>
    </row>
    <row r="88" spans="1:37" ht="15" customHeight="1" x14ac:dyDescent="0.2">
      <c r="A88" s="57" t="s">
        <v>544</v>
      </c>
      <c r="B88" s="60" t="s">
        <v>520</v>
      </c>
      <c r="C88" s="61">
        <v>11.694694</v>
      </c>
      <c r="D88" s="61">
        <v>11.751745</v>
      </c>
      <c r="E88" s="61">
        <v>11.804358000000001</v>
      </c>
      <c r="F88" s="61">
        <v>11.854843000000001</v>
      </c>
      <c r="G88" s="61">
        <v>11.90733</v>
      </c>
      <c r="H88" s="61">
        <v>11.957606</v>
      </c>
      <c r="I88" s="61">
        <v>12.001713000000001</v>
      </c>
      <c r="J88" s="61">
        <v>12.052602</v>
      </c>
      <c r="K88" s="61">
        <v>12.122687000000001</v>
      </c>
      <c r="L88" s="61">
        <v>12.192</v>
      </c>
      <c r="M88" s="61">
        <v>12.261673</v>
      </c>
      <c r="N88" s="61">
        <v>12.337517</v>
      </c>
      <c r="O88" s="61">
        <v>12.412673</v>
      </c>
      <c r="P88" s="61">
        <v>12.484251</v>
      </c>
      <c r="Q88" s="61">
        <v>12.554926999999999</v>
      </c>
      <c r="R88" s="61">
        <v>12.626182</v>
      </c>
      <c r="S88" s="61">
        <v>12.686161</v>
      </c>
      <c r="T88" s="61">
        <v>12.742651</v>
      </c>
      <c r="U88" s="61">
        <v>12.796194</v>
      </c>
      <c r="V88" s="61">
        <v>12.847446</v>
      </c>
      <c r="W88" s="61">
        <v>12.897185</v>
      </c>
      <c r="X88" s="61">
        <v>12.946047</v>
      </c>
      <c r="Y88" s="61">
        <v>12.994674</v>
      </c>
      <c r="Z88" s="61">
        <v>13.043573</v>
      </c>
      <c r="AA88" s="61">
        <v>13.093121</v>
      </c>
      <c r="AB88" s="61">
        <v>13.143623</v>
      </c>
      <c r="AC88" s="61">
        <v>13.195437</v>
      </c>
      <c r="AD88" s="61">
        <v>13.248934999999999</v>
      </c>
      <c r="AE88" s="61">
        <v>13.304506</v>
      </c>
      <c r="AF88" s="61">
        <v>13.362410000000001</v>
      </c>
      <c r="AG88" s="61">
        <v>13.422791</v>
      </c>
      <c r="AH88" s="61">
        <v>13.485676</v>
      </c>
      <c r="AI88" s="61">
        <v>13.550972</v>
      </c>
      <c r="AJ88" s="61">
        <v>13.618452</v>
      </c>
      <c r="AK88" s="62">
        <v>4.6179999999999997E-3</v>
      </c>
    </row>
    <row r="89" spans="1:37" ht="15" customHeight="1" x14ac:dyDescent="0.2">
      <c r="A89" s="57" t="s">
        <v>545</v>
      </c>
      <c r="B89" s="60" t="s">
        <v>522</v>
      </c>
      <c r="C89" s="61">
        <v>0</v>
      </c>
      <c r="D89" s="61">
        <v>0</v>
      </c>
      <c r="E89" s="61">
        <v>0</v>
      </c>
      <c r="F89" s="61">
        <v>0</v>
      </c>
      <c r="G89" s="61">
        <v>0</v>
      </c>
      <c r="H89" s="61">
        <v>0</v>
      </c>
      <c r="I89" s="61">
        <v>0</v>
      </c>
      <c r="J89" s="61">
        <v>0</v>
      </c>
      <c r="K89" s="61">
        <v>0</v>
      </c>
      <c r="L89" s="61">
        <v>0</v>
      </c>
      <c r="M89" s="61">
        <v>0</v>
      </c>
      <c r="N89" s="61">
        <v>0</v>
      </c>
      <c r="O89" s="61">
        <v>0</v>
      </c>
      <c r="P89" s="61">
        <v>0</v>
      </c>
      <c r="Q89" s="61">
        <v>0</v>
      </c>
      <c r="R89" s="61">
        <v>0</v>
      </c>
      <c r="S89" s="61">
        <v>0</v>
      </c>
      <c r="T89" s="61">
        <v>0</v>
      </c>
      <c r="U89" s="61">
        <v>0</v>
      </c>
      <c r="V89" s="61">
        <v>0</v>
      </c>
      <c r="W89" s="61">
        <v>0</v>
      </c>
      <c r="X89" s="61">
        <v>0</v>
      </c>
      <c r="Y89" s="61">
        <v>0</v>
      </c>
      <c r="Z89" s="61">
        <v>0</v>
      </c>
      <c r="AA89" s="61">
        <v>0</v>
      </c>
      <c r="AB89" s="61">
        <v>0</v>
      </c>
      <c r="AC89" s="61">
        <v>0</v>
      </c>
      <c r="AD89" s="61">
        <v>0</v>
      </c>
      <c r="AE89" s="61">
        <v>0</v>
      </c>
      <c r="AF89" s="61">
        <v>0</v>
      </c>
      <c r="AG89" s="61">
        <v>0</v>
      </c>
      <c r="AH89" s="61">
        <v>0</v>
      </c>
      <c r="AI89" s="61">
        <v>0</v>
      </c>
      <c r="AJ89" s="61">
        <v>0</v>
      </c>
      <c r="AK89" s="62" t="s">
        <v>467</v>
      </c>
    </row>
    <row r="90" spans="1:37" ht="15" customHeight="1" x14ac:dyDescent="0.2">
      <c r="A90" s="57" t="s">
        <v>546</v>
      </c>
      <c r="B90" s="60" t="s">
        <v>524</v>
      </c>
      <c r="C90" s="61">
        <v>92.708397000000005</v>
      </c>
      <c r="D90" s="61">
        <v>93.138869999999997</v>
      </c>
      <c r="E90" s="61">
        <v>93.535438999999997</v>
      </c>
      <c r="F90" s="61">
        <v>93.910033999999996</v>
      </c>
      <c r="G90" s="61">
        <v>94.299271000000005</v>
      </c>
      <c r="H90" s="61">
        <v>94.670967000000005</v>
      </c>
      <c r="I90" s="61">
        <v>94.992751999999996</v>
      </c>
      <c r="J90" s="61">
        <v>95.366325000000003</v>
      </c>
      <c r="K90" s="61">
        <v>95.890761999999995</v>
      </c>
      <c r="L90" s="61">
        <v>96.408051</v>
      </c>
      <c r="M90" s="61">
        <v>96.925147999999993</v>
      </c>
      <c r="N90" s="61">
        <v>97.489684999999994</v>
      </c>
      <c r="O90" s="61">
        <v>98.050026000000003</v>
      </c>
      <c r="P90" s="61">
        <v>98.580726999999996</v>
      </c>
      <c r="Q90" s="61">
        <v>99.103240999999997</v>
      </c>
      <c r="R90" s="61">
        <v>99.628829999999994</v>
      </c>
      <c r="S90" s="61">
        <v>100.06416299999999</v>
      </c>
      <c r="T90" s="61">
        <v>100.471107</v>
      </c>
      <c r="U90" s="61">
        <v>100.85348500000001</v>
      </c>
      <c r="V90" s="61">
        <v>101.216263</v>
      </c>
      <c r="W90" s="61">
        <v>101.566948</v>
      </c>
      <c r="X90" s="61">
        <v>101.909584</v>
      </c>
      <c r="Y90" s="61">
        <v>102.24928300000001</v>
      </c>
      <c r="Z90" s="61">
        <v>102.590256</v>
      </c>
      <c r="AA90" s="61">
        <v>102.93573000000001</v>
      </c>
      <c r="AB90" s="61">
        <v>103.28775</v>
      </c>
      <c r="AC90" s="61">
        <v>103.64975</v>
      </c>
      <c r="AD90" s="61">
        <v>104.02514600000001</v>
      </c>
      <c r="AE90" s="61">
        <v>104.416489</v>
      </c>
      <c r="AF90" s="61">
        <v>104.826347</v>
      </c>
      <c r="AG90" s="61">
        <v>105.255989</v>
      </c>
      <c r="AH90" s="61">
        <v>105.704948</v>
      </c>
      <c r="AI90" s="61">
        <v>106.173073</v>
      </c>
      <c r="AJ90" s="61">
        <v>106.658134</v>
      </c>
      <c r="AK90" s="62">
        <v>4.2449999999999996E-3</v>
      </c>
    </row>
    <row r="91" spans="1:37" ht="15" customHeight="1" x14ac:dyDescent="0.2">
      <c r="A91" s="57" t="s">
        <v>547</v>
      </c>
      <c r="B91" s="60" t="s">
        <v>526</v>
      </c>
      <c r="C91" s="61">
        <v>0.875552</v>
      </c>
      <c r="D91" s="61">
        <v>0.90161800000000003</v>
      </c>
      <c r="E91" s="61">
        <v>0.92608699999999999</v>
      </c>
      <c r="F91" s="61">
        <v>0.95548200000000005</v>
      </c>
      <c r="G91" s="61">
        <v>0.98624800000000001</v>
      </c>
      <c r="H91" s="61">
        <v>1.0168809999999999</v>
      </c>
      <c r="I91" s="61">
        <v>1.048062</v>
      </c>
      <c r="J91" s="61">
        <v>1.081704</v>
      </c>
      <c r="K91" s="61">
        <v>1.1181099999999999</v>
      </c>
      <c r="L91" s="61">
        <v>1.1554880000000001</v>
      </c>
      <c r="M91" s="61">
        <v>1.1959169999999999</v>
      </c>
      <c r="N91" s="61">
        <v>1.238321</v>
      </c>
      <c r="O91" s="61">
        <v>1.279385</v>
      </c>
      <c r="P91" s="61">
        <v>1.3214600000000001</v>
      </c>
      <c r="Q91" s="61">
        <v>1.364525</v>
      </c>
      <c r="R91" s="61">
        <v>1.4091359999999999</v>
      </c>
      <c r="S91" s="61">
        <v>1.4537599999999999</v>
      </c>
      <c r="T91" s="61">
        <v>1.498877</v>
      </c>
      <c r="U91" s="61">
        <v>1.5449550000000001</v>
      </c>
      <c r="V91" s="61">
        <v>1.59232</v>
      </c>
      <c r="W91" s="61">
        <v>1.639645</v>
      </c>
      <c r="X91" s="61">
        <v>1.6880310000000001</v>
      </c>
      <c r="Y91" s="61">
        <v>1.7374540000000001</v>
      </c>
      <c r="Z91" s="61">
        <v>1.787768</v>
      </c>
      <c r="AA91" s="61">
        <v>1.838789</v>
      </c>
      <c r="AB91" s="61">
        <v>1.8909260000000001</v>
      </c>
      <c r="AC91" s="61">
        <v>1.943532</v>
      </c>
      <c r="AD91" s="61">
        <v>1.9962500000000001</v>
      </c>
      <c r="AE91" s="61">
        <v>2.0495920000000001</v>
      </c>
      <c r="AF91" s="61">
        <v>2.1030989999999998</v>
      </c>
      <c r="AG91" s="61">
        <v>2.1566429999999999</v>
      </c>
      <c r="AH91" s="61">
        <v>2.2109000000000001</v>
      </c>
      <c r="AI91" s="61">
        <v>2.265298</v>
      </c>
      <c r="AJ91" s="61">
        <v>2.320227</v>
      </c>
      <c r="AK91" s="62">
        <v>2.9978999999999999E-2</v>
      </c>
    </row>
    <row r="92" spans="1:37" ht="15" customHeight="1" x14ac:dyDescent="0.2">
      <c r="A92" s="57" t="s">
        <v>548</v>
      </c>
      <c r="B92" s="60" t="s">
        <v>528</v>
      </c>
      <c r="C92" s="61">
        <v>9.0253E-2</v>
      </c>
      <c r="D92" s="61">
        <v>9.0692999999999996E-2</v>
      </c>
      <c r="E92" s="61">
        <v>9.1098999999999999E-2</v>
      </c>
      <c r="F92" s="61">
        <v>9.1489000000000001E-2</v>
      </c>
      <c r="G92" s="61">
        <v>9.1894000000000003E-2</v>
      </c>
      <c r="H92" s="61">
        <v>9.2282000000000003E-2</v>
      </c>
      <c r="I92" s="61">
        <v>9.2621999999999996E-2</v>
      </c>
      <c r="J92" s="61">
        <v>9.3015E-2</v>
      </c>
      <c r="K92" s="61">
        <v>9.3556E-2</v>
      </c>
      <c r="L92" s="61">
        <v>9.4090999999999994E-2</v>
      </c>
      <c r="M92" s="61">
        <v>9.4629000000000005E-2</v>
      </c>
      <c r="N92" s="61">
        <v>9.5213999999999993E-2</v>
      </c>
      <c r="O92" s="61">
        <v>9.5794000000000004E-2</v>
      </c>
      <c r="P92" s="61">
        <v>9.6346000000000001E-2</v>
      </c>
      <c r="Q92" s="61">
        <v>9.6892000000000006E-2</v>
      </c>
      <c r="R92" s="61">
        <v>9.7442000000000001E-2</v>
      </c>
      <c r="S92" s="61">
        <v>9.7905000000000006E-2</v>
      </c>
      <c r="T92" s="61">
        <v>9.8340999999999998E-2</v>
      </c>
      <c r="U92" s="61">
        <v>9.8753999999999995E-2</v>
      </c>
      <c r="V92" s="61">
        <v>9.9149000000000001E-2</v>
      </c>
      <c r="W92" s="61">
        <v>9.9532999999999996E-2</v>
      </c>
      <c r="X92" s="61">
        <v>9.9909999999999999E-2</v>
      </c>
      <c r="Y92" s="61">
        <v>0.100286</v>
      </c>
      <c r="Z92" s="61">
        <v>0.100663</v>
      </c>
      <c r="AA92" s="61">
        <v>0.101045</v>
      </c>
      <c r="AB92" s="61">
        <v>0.101435</v>
      </c>
      <c r="AC92" s="61">
        <v>0.10183499999999999</v>
      </c>
      <c r="AD92" s="61">
        <v>0.10224800000000001</v>
      </c>
      <c r="AE92" s="61">
        <v>0.102677</v>
      </c>
      <c r="AF92" s="61">
        <v>0.10312399999999999</v>
      </c>
      <c r="AG92" s="61">
        <v>0.10359</v>
      </c>
      <c r="AH92" s="61">
        <v>0.104075</v>
      </c>
      <c r="AI92" s="61">
        <v>0.10457900000000001</v>
      </c>
      <c r="AJ92" s="61">
        <v>0.105099</v>
      </c>
      <c r="AK92" s="62">
        <v>4.6179999999999997E-3</v>
      </c>
    </row>
    <row r="93" spans="1:37" ht="15" customHeight="1" x14ac:dyDescent="0.2">
      <c r="A93" s="57" t="s">
        <v>549</v>
      </c>
      <c r="B93" s="60" t="s">
        <v>530</v>
      </c>
      <c r="C93" s="61">
        <v>0</v>
      </c>
      <c r="D93" s="61">
        <v>0</v>
      </c>
      <c r="E93" s="61">
        <v>0</v>
      </c>
      <c r="F93" s="61">
        <v>0</v>
      </c>
      <c r="G93" s="61">
        <v>0</v>
      </c>
      <c r="H93" s="61">
        <v>0</v>
      </c>
      <c r="I93" s="61">
        <v>0</v>
      </c>
      <c r="J93" s="61">
        <v>0</v>
      </c>
      <c r="K93" s="61">
        <v>0</v>
      </c>
      <c r="L93" s="61">
        <v>0</v>
      </c>
      <c r="M93" s="61">
        <v>0</v>
      </c>
      <c r="N93" s="61">
        <v>0</v>
      </c>
      <c r="O93" s="61">
        <v>0</v>
      </c>
      <c r="P93" s="61">
        <v>0</v>
      </c>
      <c r="Q93" s="61">
        <v>0</v>
      </c>
      <c r="R93" s="61">
        <v>0</v>
      </c>
      <c r="S93" s="61">
        <v>0</v>
      </c>
      <c r="T93" s="61">
        <v>0</v>
      </c>
      <c r="U93" s="61">
        <v>0</v>
      </c>
      <c r="V93" s="61">
        <v>0</v>
      </c>
      <c r="W93" s="61">
        <v>0</v>
      </c>
      <c r="X93" s="61">
        <v>0</v>
      </c>
      <c r="Y93" s="61">
        <v>0</v>
      </c>
      <c r="Z93" s="61">
        <v>0</v>
      </c>
      <c r="AA93" s="61">
        <v>0</v>
      </c>
      <c r="AB93" s="61">
        <v>0</v>
      </c>
      <c r="AC93" s="61">
        <v>0</v>
      </c>
      <c r="AD93" s="61">
        <v>0</v>
      </c>
      <c r="AE93" s="61">
        <v>0</v>
      </c>
      <c r="AF93" s="61">
        <v>0</v>
      </c>
      <c r="AG93" s="61">
        <v>0</v>
      </c>
      <c r="AH93" s="61">
        <v>0</v>
      </c>
      <c r="AI93" s="61">
        <v>0</v>
      </c>
      <c r="AJ93" s="61">
        <v>0</v>
      </c>
      <c r="AK93" s="62" t="s">
        <v>467</v>
      </c>
    </row>
    <row r="94" spans="1:37" ht="15" customHeight="1" x14ac:dyDescent="0.2">
      <c r="A94" s="57" t="s">
        <v>550</v>
      </c>
      <c r="B94" s="60" t="s">
        <v>532</v>
      </c>
      <c r="C94" s="61">
        <v>0</v>
      </c>
      <c r="D94" s="61">
        <v>0</v>
      </c>
      <c r="E94" s="61">
        <v>0</v>
      </c>
      <c r="F94" s="61">
        <v>0</v>
      </c>
      <c r="G94" s="61">
        <v>0</v>
      </c>
      <c r="H94" s="61">
        <v>0</v>
      </c>
      <c r="I94" s="61">
        <v>0</v>
      </c>
      <c r="J94" s="61">
        <v>0</v>
      </c>
      <c r="K94" s="61">
        <v>0</v>
      </c>
      <c r="L94" s="61">
        <v>0</v>
      </c>
      <c r="M94" s="61">
        <v>0</v>
      </c>
      <c r="N94" s="61">
        <v>0</v>
      </c>
      <c r="O94" s="61">
        <v>0</v>
      </c>
      <c r="P94" s="61">
        <v>0</v>
      </c>
      <c r="Q94" s="61">
        <v>0</v>
      </c>
      <c r="R94" s="61">
        <v>0</v>
      </c>
      <c r="S94" s="61">
        <v>0</v>
      </c>
      <c r="T94" s="61">
        <v>0</v>
      </c>
      <c r="U94" s="61">
        <v>0</v>
      </c>
      <c r="V94" s="61">
        <v>0</v>
      </c>
      <c r="W94" s="61">
        <v>0</v>
      </c>
      <c r="X94" s="61">
        <v>0</v>
      </c>
      <c r="Y94" s="61">
        <v>0</v>
      </c>
      <c r="Z94" s="61">
        <v>0</v>
      </c>
      <c r="AA94" s="61">
        <v>0</v>
      </c>
      <c r="AB94" s="61">
        <v>0</v>
      </c>
      <c r="AC94" s="61">
        <v>0</v>
      </c>
      <c r="AD94" s="61">
        <v>0</v>
      </c>
      <c r="AE94" s="61">
        <v>0</v>
      </c>
      <c r="AF94" s="61">
        <v>0</v>
      </c>
      <c r="AG94" s="61">
        <v>0</v>
      </c>
      <c r="AH94" s="61">
        <v>0</v>
      </c>
      <c r="AI94" s="61">
        <v>0</v>
      </c>
      <c r="AJ94" s="61">
        <v>0</v>
      </c>
      <c r="AK94" s="62" t="s">
        <v>467</v>
      </c>
    </row>
    <row r="95" spans="1:37" ht="15" customHeight="1" x14ac:dyDescent="0.2">
      <c r="A95" s="57" t="s">
        <v>551</v>
      </c>
      <c r="B95" s="59" t="s">
        <v>552</v>
      </c>
      <c r="C95" s="68">
        <v>46.543182000000002</v>
      </c>
      <c r="D95" s="68">
        <v>46.795616000000003</v>
      </c>
      <c r="E95" s="68">
        <v>47.529716000000001</v>
      </c>
      <c r="F95" s="68">
        <v>48.111797000000003</v>
      </c>
      <c r="G95" s="68">
        <v>48.721862999999999</v>
      </c>
      <c r="H95" s="68">
        <v>49.294060000000002</v>
      </c>
      <c r="I95" s="68">
        <v>49.853828</v>
      </c>
      <c r="J95" s="68">
        <v>50.421309999999998</v>
      </c>
      <c r="K95" s="68">
        <v>51.025573999999999</v>
      </c>
      <c r="L95" s="68">
        <v>51.643791</v>
      </c>
      <c r="M95" s="68">
        <v>52.195735999999997</v>
      </c>
      <c r="N95" s="68">
        <v>52.874577000000002</v>
      </c>
      <c r="O95" s="68">
        <v>53.353012</v>
      </c>
      <c r="P95" s="68">
        <v>53.960861000000001</v>
      </c>
      <c r="Q95" s="68">
        <v>54.52364</v>
      </c>
      <c r="R95" s="68">
        <v>55.095329</v>
      </c>
      <c r="S95" s="68">
        <v>55.691116000000001</v>
      </c>
      <c r="T95" s="68">
        <v>56.268394000000001</v>
      </c>
      <c r="U95" s="68">
        <v>56.838782999999999</v>
      </c>
      <c r="V95" s="68">
        <v>57.379852</v>
      </c>
      <c r="W95" s="68">
        <v>57.961891000000001</v>
      </c>
      <c r="X95" s="68">
        <v>58.514735999999999</v>
      </c>
      <c r="Y95" s="68">
        <v>59.055999999999997</v>
      </c>
      <c r="Z95" s="68">
        <v>59.589581000000003</v>
      </c>
      <c r="AA95" s="68">
        <v>60.132506999999997</v>
      </c>
      <c r="AB95" s="68">
        <v>60.652596000000003</v>
      </c>
      <c r="AC95" s="68">
        <v>61.198776000000002</v>
      </c>
      <c r="AD95" s="68">
        <v>61.744979999999998</v>
      </c>
      <c r="AE95" s="68">
        <v>62.277622000000001</v>
      </c>
      <c r="AF95" s="68">
        <v>62.803744999999999</v>
      </c>
      <c r="AG95" s="68">
        <v>63.347011999999999</v>
      </c>
      <c r="AH95" s="68">
        <v>63.862675000000003</v>
      </c>
      <c r="AI95" s="68">
        <v>64.386002000000005</v>
      </c>
      <c r="AJ95" s="68">
        <v>64.878013999999993</v>
      </c>
      <c r="AK95" s="66">
        <v>1.0262E-2</v>
      </c>
    </row>
    <row r="96" spans="1:37" ht="15" customHeight="1" x14ac:dyDescent="0.2">
      <c r="A96" s="57" t="s">
        <v>553</v>
      </c>
      <c r="B96" s="60" t="s">
        <v>554</v>
      </c>
      <c r="C96" s="61">
        <v>10.186204</v>
      </c>
      <c r="D96" s="61">
        <v>10.297212999999999</v>
      </c>
      <c r="E96" s="61">
        <v>10.405301</v>
      </c>
      <c r="F96" s="61">
        <v>10.514687</v>
      </c>
      <c r="G96" s="61">
        <v>10.623635</v>
      </c>
      <c r="H96" s="61">
        <v>10.732908999999999</v>
      </c>
      <c r="I96" s="61">
        <v>10.843113000000001</v>
      </c>
      <c r="J96" s="61">
        <v>10.951307</v>
      </c>
      <c r="K96" s="61">
        <v>11.054736999999999</v>
      </c>
      <c r="L96" s="61">
        <v>11.157768000000001</v>
      </c>
      <c r="M96" s="61">
        <v>11.25986</v>
      </c>
      <c r="N96" s="61">
        <v>11.359583000000001</v>
      </c>
      <c r="O96" s="61">
        <v>11.458235999999999</v>
      </c>
      <c r="P96" s="61">
        <v>11.556338</v>
      </c>
      <c r="Q96" s="61">
        <v>11.653212</v>
      </c>
      <c r="R96" s="61">
        <v>11.748480000000001</v>
      </c>
      <c r="S96" s="61">
        <v>11.844671999999999</v>
      </c>
      <c r="T96" s="61">
        <v>11.940115</v>
      </c>
      <c r="U96" s="61">
        <v>12.034717000000001</v>
      </c>
      <c r="V96" s="61">
        <v>12.128380999999999</v>
      </c>
      <c r="W96" s="61">
        <v>12.221003</v>
      </c>
      <c r="X96" s="61">
        <v>12.312512999999999</v>
      </c>
      <c r="Y96" s="61">
        <v>12.40286</v>
      </c>
      <c r="Z96" s="61">
        <v>12.492032999999999</v>
      </c>
      <c r="AA96" s="61">
        <v>12.580064</v>
      </c>
      <c r="AB96" s="61">
        <v>12.667017</v>
      </c>
      <c r="AC96" s="61">
        <v>12.752957</v>
      </c>
      <c r="AD96" s="61">
        <v>12.837978</v>
      </c>
      <c r="AE96" s="61">
        <v>12.922190000000001</v>
      </c>
      <c r="AF96" s="61">
        <v>13.005718999999999</v>
      </c>
      <c r="AG96" s="61">
        <v>13.088661</v>
      </c>
      <c r="AH96" s="61">
        <v>13.171181000000001</v>
      </c>
      <c r="AI96" s="61">
        <v>13.25347</v>
      </c>
      <c r="AJ96" s="61">
        <v>13.335722000000001</v>
      </c>
      <c r="AK96" s="62">
        <v>8.1130000000000004E-3</v>
      </c>
    </row>
    <row r="97" spans="1:37" ht="15" customHeight="1" x14ac:dyDescent="0.2">
      <c r="A97" s="57" t="s">
        <v>555</v>
      </c>
      <c r="B97" s="60" t="s">
        <v>530</v>
      </c>
      <c r="C97" s="61">
        <v>1.679244</v>
      </c>
      <c r="D97" s="61">
        <v>1.6975439999999999</v>
      </c>
      <c r="E97" s="61">
        <v>1.7153640000000001</v>
      </c>
      <c r="F97" s="61">
        <v>1.7333970000000001</v>
      </c>
      <c r="G97" s="61">
        <v>1.7513570000000001</v>
      </c>
      <c r="H97" s="61">
        <v>1.769371</v>
      </c>
      <c r="I97" s="61">
        <v>1.787539</v>
      </c>
      <c r="J97" s="61">
        <v>1.805375</v>
      </c>
      <c r="K97" s="61">
        <v>1.8224260000000001</v>
      </c>
      <c r="L97" s="61">
        <v>1.839412</v>
      </c>
      <c r="M97" s="61">
        <v>1.856241</v>
      </c>
      <c r="N97" s="61">
        <v>1.872682</v>
      </c>
      <c r="O97" s="61">
        <v>1.8889450000000001</v>
      </c>
      <c r="P97" s="61">
        <v>1.9051169999999999</v>
      </c>
      <c r="Q97" s="61">
        <v>1.921087</v>
      </c>
      <c r="R97" s="61">
        <v>1.936793</v>
      </c>
      <c r="S97" s="61">
        <v>1.9526509999999999</v>
      </c>
      <c r="T97" s="61">
        <v>1.9683850000000001</v>
      </c>
      <c r="U97" s="61">
        <v>1.9839800000000001</v>
      </c>
      <c r="V97" s="61">
        <v>1.9994209999999999</v>
      </c>
      <c r="W97" s="61">
        <v>2.0146899999999999</v>
      </c>
      <c r="X97" s="61">
        <v>2.0297770000000002</v>
      </c>
      <c r="Y97" s="61">
        <v>2.04467</v>
      </c>
      <c r="Z97" s="61">
        <v>2.0593710000000001</v>
      </c>
      <c r="AA97" s="61">
        <v>2.0738829999999999</v>
      </c>
      <c r="AB97" s="61">
        <v>2.0882179999999999</v>
      </c>
      <c r="AC97" s="61">
        <v>2.1023860000000001</v>
      </c>
      <c r="AD97" s="61">
        <v>2.1164019999999999</v>
      </c>
      <c r="AE97" s="61">
        <v>2.1302840000000001</v>
      </c>
      <c r="AF97" s="61">
        <v>2.1440540000000001</v>
      </c>
      <c r="AG97" s="61">
        <v>2.1577280000000001</v>
      </c>
      <c r="AH97" s="61">
        <v>2.171332</v>
      </c>
      <c r="AI97" s="61">
        <v>2.1848969999999999</v>
      </c>
      <c r="AJ97" s="61">
        <v>2.198458</v>
      </c>
      <c r="AK97" s="62">
        <v>8.1130000000000004E-3</v>
      </c>
    </row>
    <row r="98" spans="1:37" ht="15" customHeight="1" x14ac:dyDescent="0.2">
      <c r="A98" s="57" t="s">
        <v>556</v>
      </c>
      <c r="B98" s="60" t="s">
        <v>557</v>
      </c>
      <c r="C98" s="61">
        <v>8.5069599999999994</v>
      </c>
      <c r="D98" s="61">
        <v>8.5996690000000005</v>
      </c>
      <c r="E98" s="61">
        <v>8.6899379999999997</v>
      </c>
      <c r="F98" s="61">
        <v>8.7812900000000003</v>
      </c>
      <c r="G98" s="61">
        <v>8.8722779999999997</v>
      </c>
      <c r="H98" s="61">
        <v>8.9635379999999998</v>
      </c>
      <c r="I98" s="61">
        <v>9.055574</v>
      </c>
      <c r="J98" s="61">
        <v>9.1459320000000002</v>
      </c>
      <c r="K98" s="61">
        <v>9.2323109999999993</v>
      </c>
      <c r="L98" s="61">
        <v>9.3183570000000007</v>
      </c>
      <c r="M98" s="61">
        <v>9.4036190000000008</v>
      </c>
      <c r="N98" s="61">
        <v>9.4869009999999996</v>
      </c>
      <c r="O98" s="61">
        <v>9.5692909999999998</v>
      </c>
      <c r="P98" s="61">
        <v>9.6512209999999996</v>
      </c>
      <c r="Q98" s="61">
        <v>9.7321240000000007</v>
      </c>
      <c r="R98" s="61">
        <v>9.8116869999999992</v>
      </c>
      <c r="S98" s="61">
        <v>9.8920209999999997</v>
      </c>
      <c r="T98" s="61">
        <v>9.9717300000000009</v>
      </c>
      <c r="U98" s="61">
        <v>10.050736000000001</v>
      </c>
      <c r="V98" s="61">
        <v>10.128959999999999</v>
      </c>
      <c r="W98" s="61">
        <v>10.206312</v>
      </c>
      <c r="X98" s="61">
        <v>10.282736999999999</v>
      </c>
      <c r="Y98" s="61">
        <v>10.35819</v>
      </c>
      <c r="Z98" s="61">
        <v>10.432662000000001</v>
      </c>
      <c r="AA98" s="61">
        <v>10.506181</v>
      </c>
      <c r="AB98" s="61">
        <v>10.578799</v>
      </c>
      <c r="AC98" s="61">
        <v>10.650572</v>
      </c>
      <c r="AD98" s="61">
        <v>10.721577</v>
      </c>
      <c r="AE98" s="61">
        <v>10.791905</v>
      </c>
      <c r="AF98" s="61">
        <v>10.861665</v>
      </c>
      <c r="AG98" s="61">
        <v>10.930933</v>
      </c>
      <c r="AH98" s="61">
        <v>10.999848</v>
      </c>
      <c r="AI98" s="61">
        <v>11.068573000000001</v>
      </c>
      <c r="AJ98" s="61">
        <v>11.137264</v>
      </c>
      <c r="AK98" s="62">
        <v>8.1130000000000004E-3</v>
      </c>
    </row>
    <row r="99" spans="1:37" ht="15" customHeight="1" x14ac:dyDescent="0.2">
      <c r="A99" s="57" t="s">
        <v>558</v>
      </c>
      <c r="B99" s="60" t="s">
        <v>559</v>
      </c>
      <c r="C99" s="61">
        <v>0</v>
      </c>
      <c r="D99" s="61">
        <v>0</v>
      </c>
      <c r="E99" s="61">
        <v>0</v>
      </c>
      <c r="F99" s="61">
        <v>0</v>
      </c>
      <c r="G99" s="61">
        <v>0</v>
      </c>
      <c r="H99" s="61">
        <v>0</v>
      </c>
      <c r="I99" s="61">
        <v>0</v>
      </c>
      <c r="J99" s="61">
        <v>0</v>
      </c>
      <c r="K99" s="61">
        <v>0</v>
      </c>
      <c r="L99" s="61">
        <v>0</v>
      </c>
      <c r="M99" s="61">
        <v>0</v>
      </c>
      <c r="N99" s="61">
        <v>0</v>
      </c>
      <c r="O99" s="61">
        <v>0</v>
      </c>
      <c r="P99" s="61">
        <v>0</v>
      </c>
      <c r="Q99" s="61">
        <v>0</v>
      </c>
      <c r="R99" s="61">
        <v>0</v>
      </c>
      <c r="S99" s="61">
        <v>0</v>
      </c>
      <c r="T99" s="61">
        <v>0</v>
      </c>
      <c r="U99" s="61">
        <v>0</v>
      </c>
      <c r="V99" s="61">
        <v>0</v>
      </c>
      <c r="W99" s="61">
        <v>0</v>
      </c>
      <c r="X99" s="61">
        <v>0</v>
      </c>
      <c r="Y99" s="61">
        <v>0</v>
      </c>
      <c r="Z99" s="61">
        <v>0</v>
      </c>
      <c r="AA99" s="61">
        <v>0</v>
      </c>
      <c r="AB99" s="61">
        <v>0</v>
      </c>
      <c r="AC99" s="61">
        <v>0</v>
      </c>
      <c r="AD99" s="61">
        <v>0</v>
      </c>
      <c r="AE99" s="61">
        <v>0</v>
      </c>
      <c r="AF99" s="61">
        <v>0</v>
      </c>
      <c r="AG99" s="61">
        <v>0</v>
      </c>
      <c r="AH99" s="61">
        <v>0</v>
      </c>
      <c r="AI99" s="61">
        <v>0</v>
      </c>
      <c r="AJ99" s="61">
        <v>0</v>
      </c>
      <c r="AK99" s="62" t="s">
        <v>467</v>
      </c>
    </row>
    <row r="100" spans="1:37" ht="15" customHeight="1" x14ac:dyDescent="0.2">
      <c r="A100" s="57" t="s">
        <v>560</v>
      </c>
      <c r="B100" s="60" t="s">
        <v>561</v>
      </c>
      <c r="C100" s="61">
        <v>0</v>
      </c>
      <c r="D100" s="61">
        <v>0</v>
      </c>
      <c r="E100" s="61">
        <v>0</v>
      </c>
      <c r="F100" s="61">
        <v>0</v>
      </c>
      <c r="G100" s="61">
        <v>0</v>
      </c>
      <c r="H100" s="61">
        <v>0</v>
      </c>
      <c r="I100" s="61">
        <v>0</v>
      </c>
      <c r="J100" s="61">
        <v>0</v>
      </c>
      <c r="K100" s="61">
        <v>0</v>
      </c>
      <c r="L100" s="61">
        <v>0</v>
      </c>
      <c r="M100" s="61">
        <v>0</v>
      </c>
      <c r="N100" s="61">
        <v>0</v>
      </c>
      <c r="O100" s="61">
        <v>0</v>
      </c>
      <c r="P100" s="61">
        <v>0</v>
      </c>
      <c r="Q100" s="61">
        <v>0</v>
      </c>
      <c r="R100" s="61">
        <v>0</v>
      </c>
      <c r="S100" s="61">
        <v>0</v>
      </c>
      <c r="T100" s="61">
        <v>0</v>
      </c>
      <c r="U100" s="61">
        <v>0</v>
      </c>
      <c r="V100" s="61">
        <v>0</v>
      </c>
      <c r="W100" s="61">
        <v>0</v>
      </c>
      <c r="X100" s="61">
        <v>0</v>
      </c>
      <c r="Y100" s="61">
        <v>0</v>
      </c>
      <c r="Z100" s="61">
        <v>0</v>
      </c>
      <c r="AA100" s="61">
        <v>0</v>
      </c>
      <c r="AB100" s="61">
        <v>0</v>
      </c>
      <c r="AC100" s="61">
        <v>0</v>
      </c>
      <c r="AD100" s="61">
        <v>0</v>
      </c>
      <c r="AE100" s="61">
        <v>0</v>
      </c>
      <c r="AF100" s="61">
        <v>0</v>
      </c>
      <c r="AG100" s="61">
        <v>0</v>
      </c>
      <c r="AH100" s="61">
        <v>0</v>
      </c>
      <c r="AI100" s="61">
        <v>0</v>
      </c>
      <c r="AJ100" s="61">
        <v>0</v>
      </c>
      <c r="AK100" s="62" t="s">
        <v>467</v>
      </c>
    </row>
    <row r="101" spans="1:37" ht="15" customHeight="1" x14ac:dyDescent="0.2">
      <c r="A101" s="57" t="s">
        <v>562</v>
      </c>
      <c r="B101" s="60" t="s">
        <v>563</v>
      </c>
      <c r="C101" s="61">
        <v>15.999097000000001</v>
      </c>
      <c r="D101" s="61">
        <v>16.130721999999999</v>
      </c>
      <c r="E101" s="61">
        <v>16.316534000000001</v>
      </c>
      <c r="F101" s="61">
        <v>16.481345999999998</v>
      </c>
      <c r="G101" s="61">
        <v>16.641085</v>
      </c>
      <c r="H101" s="61">
        <v>16.795180999999999</v>
      </c>
      <c r="I101" s="61">
        <v>16.949228000000002</v>
      </c>
      <c r="J101" s="61">
        <v>17.103591999999999</v>
      </c>
      <c r="K101" s="61">
        <v>17.257421000000001</v>
      </c>
      <c r="L101" s="61">
        <v>17.411604000000001</v>
      </c>
      <c r="M101" s="61">
        <v>17.557075999999999</v>
      </c>
      <c r="N101" s="61">
        <v>17.719833000000001</v>
      </c>
      <c r="O101" s="61">
        <v>17.849571000000001</v>
      </c>
      <c r="P101" s="61">
        <v>17.987839000000001</v>
      </c>
      <c r="Q101" s="61">
        <v>18.116645999999999</v>
      </c>
      <c r="R101" s="61">
        <v>18.243845</v>
      </c>
      <c r="S101" s="61">
        <v>18.372828999999999</v>
      </c>
      <c r="T101" s="61">
        <v>18.497709</v>
      </c>
      <c r="U101" s="61">
        <v>18.617874</v>
      </c>
      <c r="V101" s="61">
        <v>18.729818000000002</v>
      </c>
      <c r="W101" s="61">
        <v>18.843767</v>
      </c>
      <c r="X101" s="61">
        <v>18.949031999999999</v>
      </c>
      <c r="Y101" s="61">
        <v>19.047654999999999</v>
      </c>
      <c r="Z101" s="61">
        <v>19.140422999999998</v>
      </c>
      <c r="AA101" s="61">
        <v>19.225750000000001</v>
      </c>
      <c r="AB101" s="61">
        <v>19.303459</v>
      </c>
      <c r="AC101" s="61">
        <v>19.379301000000002</v>
      </c>
      <c r="AD101" s="61">
        <v>19.451170000000001</v>
      </c>
      <c r="AE101" s="61">
        <v>19.519166999999999</v>
      </c>
      <c r="AF101" s="61">
        <v>19.590423999999999</v>
      </c>
      <c r="AG101" s="61">
        <v>19.670580000000001</v>
      </c>
      <c r="AH101" s="61">
        <v>19.757104999999999</v>
      </c>
      <c r="AI101" s="61">
        <v>19.856714</v>
      </c>
      <c r="AJ101" s="61">
        <v>19.965975</v>
      </c>
      <c r="AK101" s="62">
        <v>6.6880000000000004E-3</v>
      </c>
    </row>
    <row r="102" spans="1:37" ht="15" customHeight="1" x14ac:dyDescent="0.2">
      <c r="A102" s="57" t="s">
        <v>564</v>
      </c>
      <c r="B102" s="60" t="s">
        <v>530</v>
      </c>
      <c r="C102" s="61">
        <v>15.999097000000001</v>
      </c>
      <c r="D102" s="61">
        <v>16.130721999999999</v>
      </c>
      <c r="E102" s="61">
        <v>16.316534000000001</v>
      </c>
      <c r="F102" s="61">
        <v>16.481345999999998</v>
      </c>
      <c r="G102" s="61">
        <v>16.641085</v>
      </c>
      <c r="H102" s="61">
        <v>16.795180999999999</v>
      </c>
      <c r="I102" s="61">
        <v>16.949228000000002</v>
      </c>
      <c r="J102" s="61">
        <v>17.103591999999999</v>
      </c>
      <c r="K102" s="61">
        <v>17.257421000000001</v>
      </c>
      <c r="L102" s="61">
        <v>17.411604000000001</v>
      </c>
      <c r="M102" s="61">
        <v>17.557075999999999</v>
      </c>
      <c r="N102" s="61">
        <v>17.719833000000001</v>
      </c>
      <c r="O102" s="61">
        <v>17.849571000000001</v>
      </c>
      <c r="P102" s="61">
        <v>17.987839000000001</v>
      </c>
      <c r="Q102" s="61">
        <v>18.116645999999999</v>
      </c>
      <c r="R102" s="61">
        <v>18.243845</v>
      </c>
      <c r="S102" s="61">
        <v>18.372828999999999</v>
      </c>
      <c r="T102" s="61">
        <v>18.497709</v>
      </c>
      <c r="U102" s="61">
        <v>18.617874</v>
      </c>
      <c r="V102" s="61">
        <v>18.729818000000002</v>
      </c>
      <c r="W102" s="61">
        <v>18.843767</v>
      </c>
      <c r="X102" s="61">
        <v>18.949031999999999</v>
      </c>
      <c r="Y102" s="61">
        <v>19.047654999999999</v>
      </c>
      <c r="Z102" s="61">
        <v>19.140422999999998</v>
      </c>
      <c r="AA102" s="61">
        <v>19.225750000000001</v>
      </c>
      <c r="AB102" s="61">
        <v>19.303459</v>
      </c>
      <c r="AC102" s="61">
        <v>19.379301000000002</v>
      </c>
      <c r="AD102" s="61">
        <v>19.451170000000001</v>
      </c>
      <c r="AE102" s="61">
        <v>19.519166999999999</v>
      </c>
      <c r="AF102" s="61">
        <v>19.590423999999999</v>
      </c>
      <c r="AG102" s="61">
        <v>19.670580000000001</v>
      </c>
      <c r="AH102" s="61">
        <v>19.757104999999999</v>
      </c>
      <c r="AI102" s="61">
        <v>19.856714</v>
      </c>
      <c r="AJ102" s="61">
        <v>19.965975</v>
      </c>
      <c r="AK102" s="62">
        <v>6.6880000000000004E-3</v>
      </c>
    </row>
    <row r="103" spans="1:37" ht="15" customHeight="1" x14ac:dyDescent="0.2">
      <c r="A103" s="57" t="s">
        <v>565</v>
      </c>
      <c r="B103" s="60" t="s">
        <v>566</v>
      </c>
      <c r="C103" s="61">
        <v>20.357882</v>
      </c>
      <c r="D103" s="61">
        <v>20.36768</v>
      </c>
      <c r="E103" s="61">
        <v>20.807881999999999</v>
      </c>
      <c r="F103" s="61">
        <v>21.115765</v>
      </c>
      <c r="G103" s="61">
        <v>21.457144</v>
      </c>
      <c r="H103" s="61">
        <v>21.765969999999999</v>
      </c>
      <c r="I103" s="61">
        <v>22.061487</v>
      </c>
      <c r="J103" s="61">
        <v>22.366409000000001</v>
      </c>
      <c r="K103" s="61">
        <v>22.713412999999999</v>
      </c>
      <c r="L103" s="61">
        <v>23.074417</v>
      </c>
      <c r="M103" s="61">
        <v>23.378798</v>
      </c>
      <c r="N103" s="61">
        <v>23.795158000000001</v>
      </c>
      <c r="O103" s="61">
        <v>24.045202</v>
      </c>
      <c r="P103" s="61">
        <v>24.416687</v>
      </c>
      <c r="Q103" s="61">
        <v>24.753779999999999</v>
      </c>
      <c r="R103" s="61">
        <v>25.103003999999999</v>
      </c>
      <c r="S103" s="61">
        <v>25.473616</v>
      </c>
      <c r="T103" s="61">
        <v>25.830566000000001</v>
      </c>
      <c r="U103" s="61">
        <v>26.186191999999998</v>
      </c>
      <c r="V103" s="61">
        <v>26.521656</v>
      </c>
      <c r="W103" s="61">
        <v>26.897117999999999</v>
      </c>
      <c r="X103" s="61">
        <v>27.253191000000001</v>
      </c>
      <c r="Y103" s="61">
        <v>27.605484000000001</v>
      </c>
      <c r="Z103" s="61">
        <v>27.957125000000001</v>
      </c>
      <c r="AA103" s="61">
        <v>28.326695999999998</v>
      </c>
      <c r="AB103" s="61">
        <v>28.682119</v>
      </c>
      <c r="AC103" s="61">
        <v>29.066517000000001</v>
      </c>
      <c r="AD103" s="61">
        <v>29.455832000000001</v>
      </c>
      <c r="AE103" s="61">
        <v>29.836265999999998</v>
      </c>
      <c r="AF103" s="61">
        <v>30.207602999999999</v>
      </c>
      <c r="AG103" s="61">
        <v>30.587774</v>
      </c>
      <c r="AH103" s="61">
        <v>30.934388999999999</v>
      </c>
      <c r="AI103" s="61">
        <v>31.275814</v>
      </c>
      <c r="AJ103" s="61">
        <v>31.576312999999999</v>
      </c>
      <c r="AK103" s="62">
        <v>1.3795999999999999E-2</v>
      </c>
    </row>
    <row r="104" spans="1:37" ht="15" customHeight="1" x14ac:dyDescent="0.2">
      <c r="A104" s="57" t="s">
        <v>567</v>
      </c>
      <c r="B104" s="60" t="s">
        <v>530</v>
      </c>
      <c r="C104" s="61">
        <v>6.1437689999999998</v>
      </c>
      <c r="D104" s="61">
        <v>6.1830299999999996</v>
      </c>
      <c r="E104" s="61">
        <v>6.2875100000000002</v>
      </c>
      <c r="F104" s="61">
        <v>6.3673109999999999</v>
      </c>
      <c r="G104" s="61">
        <v>6.4455299999999998</v>
      </c>
      <c r="H104" s="61">
        <v>6.5159200000000004</v>
      </c>
      <c r="I104" s="61">
        <v>6.58683</v>
      </c>
      <c r="J104" s="61">
        <v>6.6612499999999999</v>
      </c>
      <c r="K104" s="61">
        <v>6.7441789999999999</v>
      </c>
      <c r="L104" s="61">
        <v>6.8294620000000004</v>
      </c>
      <c r="M104" s="61">
        <v>6.9060769999999998</v>
      </c>
      <c r="N104" s="61">
        <v>7.0030939999999999</v>
      </c>
      <c r="O104" s="61">
        <v>7.0842109999999998</v>
      </c>
      <c r="P104" s="61">
        <v>7.1679539999999999</v>
      </c>
      <c r="Q104" s="61">
        <v>7.2483979999999999</v>
      </c>
      <c r="R104" s="61">
        <v>7.3287519999999997</v>
      </c>
      <c r="S104" s="61">
        <v>7.411416</v>
      </c>
      <c r="T104" s="61">
        <v>7.4921049999999996</v>
      </c>
      <c r="U104" s="61">
        <v>7.5701780000000003</v>
      </c>
      <c r="V104" s="61">
        <v>7.6451849999999997</v>
      </c>
      <c r="W104" s="61">
        <v>7.7242959999999998</v>
      </c>
      <c r="X104" s="61">
        <v>7.8019730000000003</v>
      </c>
      <c r="Y104" s="61">
        <v>7.8781879999999997</v>
      </c>
      <c r="Z104" s="61">
        <v>7.9546950000000001</v>
      </c>
      <c r="AA104" s="61">
        <v>8.0337180000000004</v>
      </c>
      <c r="AB104" s="61">
        <v>8.1115209999999998</v>
      </c>
      <c r="AC104" s="61">
        <v>8.1914429999999996</v>
      </c>
      <c r="AD104" s="61">
        <v>8.2707499999999996</v>
      </c>
      <c r="AE104" s="61">
        <v>8.3484610000000004</v>
      </c>
      <c r="AF104" s="61">
        <v>8.424042</v>
      </c>
      <c r="AG104" s="61">
        <v>8.5011919999999996</v>
      </c>
      <c r="AH104" s="61">
        <v>8.5732330000000001</v>
      </c>
      <c r="AI104" s="61">
        <v>8.6404800000000002</v>
      </c>
      <c r="AJ104" s="61">
        <v>8.6977449999999994</v>
      </c>
      <c r="AK104" s="62">
        <v>1.0721E-2</v>
      </c>
    </row>
    <row r="105" spans="1:37" ht="15" customHeight="1" x14ac:dyDescent="0.2">
      <c r="A105" s="57" t="s">
        <v>568</v>
      </c>
      <c r="B105" s="60" t="s">
        <v>557</v>
      </c>
      <c r="C105" s="61">
        <v>14.214112</v>
      </c>
      <c r="D105" s="61">
        <v>14.184649</v>
      </c>
      <c r="E105" s="61">
        <v>14.520372</v>
      </c>
      <c r="F105" s="61">
        <v>14.748454000000001</v>
      </c>
      <c r="G105" s="61">
        <v>15.011614</v>
      </c>
      <c r="H105" s="61">
        <v>15.250050999999999</v>
      </c>
      <c r="I105" s="61">
        <v>15.474657000000001</v>
      </c>
      <c r="J105" s="61">
        <v>15.705159999999999</v>
      </c>
      <c r="K105" s="61">
        <v>15.969234</v>
      </c>
      <c r="L105" s="61">
        <v>16.244955000000001</v>
      </c>
      <c r="M105" s="61">
        <v>16.472721</v>
      </c>
      <c r="N105" s="61">
        <v>16.792065000000001</v>
      </c>
      <c r="O105" s="61">
        <v>16.960991</v>
      </c>
      <c r="P105" s="61">
        <v>17.248732</v>
      </c>
      <c r="Q105" s="61">
        <v>17.505382999999998</v>
      </c>
      <c r="R105" s="61">
        <v>17.774252000000001</v>
      </c>
      <c r="S105" s="61">
        <v>18.062201000000002</v>
      </c>
      <c r="T105" s="61">
        <v>18.338460999999999</v>
      </c>
      <c r="U105" s="61">
        <v>18.616014</v>
      </c>
      <c r="V105" s="61">
        <v>18.876470999999999</v>
      </c>
      <c r="W105" s="61">
        <v>19.172823000000001</v>
      </c>
      <c r="X105" s="61">
        <v>19.451218000000001</v>
      </c>
      <c r="Y105" s="61">
        <v>19.727297</v>
      </c>
      <c r="Z105" s="61">
        <v>20.00243</v>
      </c>
      <c r="AA105" s="61">
        <v>20.292978000000002</v>
      </c>
      <c r="AB105" s="61">
        <v>20.570599000000001</v>
      </c>
      <c r="AC105" s="61">
        <v>20.875071999999999</v>
      </c>
      <c r="AD105" s="61">
        <v>21.185081</v>
      </c>
      <c r="AE105" s="61">
        <v>21.487804000000001</v>
      </c>
      <c r="AF105" s="61">
        <v>21.783562</v>
      </c>
      <c r="AG105" s="61">
        <v>22.086582</v>
      </c>
      <c r="AH105" s="61">
        <v>22.361156000000001</v>
      </c>
      <c r="AI105" s="61">
        <v>22.635334</v>
      </c>
      <c r="AJ105" s="61">
        <v>22.878568999999999</v>
      </c>
      <c r="AK105" s="62">
        <v>1.5051E-2</v>
      </c>
    </row>
    <row r="106" spans="1:37" ht="15" customHeight="1" x14ac:dyDescent="0.2">
      <c r="A106" s="57" t="s">
        <v>569</v>
      </c>
      <c r="B106" s="60" t="s">
        <v>559</v>
      </c>
      <c r="C106" s="61">
        <v>0</v>
      </c>
      <c r="D106" s="61">
        <v>0</v>
      </c>
      <c r="E106" s="61">
        <v>0</v>
      </c>
      <c r="F106" s="61">
        <v>0</v>
      </c>
      <c r="G106" s="61">
        <v>0</v>
      </c>
      <c r="H106" s="61">
        <v>0</v>
      </c>
      <c r="I106" s="61">
        <v>0</v>
      </c>
      <c r="J106" s="61">
        <v>0</v>
      </c>
      <c r="K106" s="61">
        <v>0</v>
      </c>
      <c r="L106" s="61">
        <v>0</v>
      </c>
      <c r="M106" s="61">
        <v>0</v>
      </c>
      <c r="N106" s="61">
        <v>0</v>
      </c>
      <c r="O106" s="61">
        <v>0</v>
      </c>
      <c r="P106" s="61">
        <v>0</v>
      </c>
      <c r="Q106" s="61">
        <v>0</v>
      </c>
      <c r="R106" s="61">
        <v>0</v>
      </c>
      <c r="S106" s="61">
        <v>0</v>
      </c>
      <c r="T106" s="61">
        <v>0</v>
      </c>
      <c r="U106" s="61">
        <v>0</v>
      </c>
      <c r="V106" s="61">
        <v>0</v>
      </c>
      <c r="W106" s="61">
        <v>0</v>
      </c>
      <c r="X106" s="61">
        <v>0</v>
      </c>
      <c r="Y106" s="61">
        <v>0</v>
      </c>
      <c r="Z106" s="61">
        <v>0</v>
      </c>
      <c r="AA106" s="61">
        <v>0</v>
      </c>
      <c r="AB106" s="61">
        <v>0</v>
      </c>
      <c r="AC106" s="61">
        <v>0</v>
      </c>
      <c r="AD106" s="61">
        <v>0</v>
      </c>
      <c r="AE106" s="61">
        <v>0</v>
      </c>
      <c r="AF106" s="61">
        <v>0</v>
      </c>
      <c r="AG106" s="61">
        <v>0</v>
      </c>
      <c r="AH106" s="61">
        <v>0</v>
      </c>
      <c r="AI106" s="61">
        <v>0</v>
      </c>
      <c r="AJ106" s="61">
        <v>0</v>
      </c>
      <c r="AK106" s="62" t="s">
        <v>467</v>
      </c>
    </row>
    <row r="107" spans="1:37" ht="15" customHeight="1" x14ac:dyDescent="0.2">
      <c r="A107" s="57" t="s">
        <v>570</v>
      </c>
      <c r="B107" s="60" t="s">
        <v>561</v>
      </c>
      <c r="C107" s="61">
        <v>0</v>
      </c>
      <c r="D107" s="61">
        <v>0</v>
      </c>
      <c r="E107" s="61">
        <v>0</v>
      </c>
      <c r="F107" s="61">
        <v>0</v>
      </c>
      <c r="G107" s="61">
        <v>0</v>
      </c>
      <c r="H107" s="61">
        <v>0</v>
      </c>
      <c r="I107" s="61">
        <v>0</v>
      </c>
      <c r="J107" s="61">
        <v>0</v>
      </c>
      <c r="K107" s="61">
        <v>0</v>
      </c>
      <c r="L107" s="61">
        <v>0</v>
      </c>
      <c r="M107" s="61">
        <v>0</v>
      </c>
      <c r="N107" s="61">
        <v>0</v>
      </c>
      <c r="O107" s="61">
        <v>0</v>
      </c>
      <c r="P107" s="61">
        <v>0</v>
      </c>
      <c r="Q107" s="61">
        <v>0</v>
      </c>
      <c r="R107" s="61">
        <v>0</v>
      </c>
      <c r="S107" s="61">
        <v>0</v>
      </c>
      <c r="T107" s="61">
        <v>0</v>
      </c>
      <c r="U107" s="61">
        <v>0</v>
      </c>
      <c r="V107" s="61">
        <v>0</v>
      </c>
      <c r="W107" s="61">
        <v>0</v>
      </c>
      <c r="X107" s="61">
        <v>0</v>
      </c>
      <c r="Y107" s="61">
        <v>0</v>
      </c>
      <c r="Z107" s="61">
        <v>0</v>
      </c>
      <c r="AA107" s="61">
        <v>0</v>
      </c>
      <c r="AB107" s="61">
        <v>0</v>
      </c>
      <c r="AC107" s="61">
        <v>0</v>
      </c>
      <c r="AD107" s="61">
        <v>0</v>
      </c>
      <c r="AE107" s="61">
        <v>0</v>
      </c>
      <c r="AF107" s="61">
        <v>0</v>
      </c>
      <c r="AG107" s="61">
        <v>0</v>
      </c>
      <c r="AH107" s="61">
        <v>0</v>
      </c>
      <c r="AI107" s="61">
        <v>0</v>
      </c>
      <c r="AJ107" s="61">
        <v>0</v>
      </c>
      <c r="AK107" s="62" t="s">
        <v>467</v>
      </c>
    </row>
    <row r="108" spans="1:37" ht="15.75" customHeight="1" x14ac:dyDescent="0.2"/>
    <row r="109" spans="1:37" ht="15" customHeight="1" x14ac:dyDescent="0.2">
      <c r="A109" s="57" t="s">
        <v>571</v>
      </c>
      <c r="B109" s="59" t="s">
        <v>572</v>
      </c>
      <c r="C109" s="68">
        <v>242.86506700000001</v>
      </c>
      <c r="D109" s="68">
        <v>242.79818700000001</v>
      </c>
      <c r="E109" s="68">
        <v>243.499268</v>
      </c>
      <c r="F109" s="68">
        <v>243.797821</v>
      </c>
      <c r="G109" s="68">
        <v>244.15794399999999</v>
      </c>
      <c r="H109" s="68">
        <v>244.39501999999999</v>
      </c>
      <c r="I109" s="68">
        <v>244.57638499999999</v>
      </c>
      <c r="J109" s="68">
        <v>244.720505</v>
      </c>
      <c r="K109" s="68">
        <v>244.89648399999999</v>
      </c>
      <c r="L109" s="68">
        <v>245.08663899999999</v>
      </c>
      <c r="M109" s="68">
        <v>245.121307</v>
      </c>
      <c r="N109" s="68">
        <v>245.346497</v>
      </c>
      <c r="O109" s="68">
        <v>245.31044</v>
      </c>
      <c r="P109" s="68">
        <v>245.287949</v>
      </c>
      <c r="Q109" s="68">
        <v>245.21646100000001</v>
      </c>
      <c r="R109" s="68">
        <v>245.07678200000001</v>
      </c>
      <c r="S109" s="68">
        <v>244.892517</v>
      </c>
      <c r="T109" s="68">
        <v>244.69248999999999</v>
      </c>
      <c r="U109" s="68">
        <v>244.41064499999999</v>
      </c>
      <c r="V109" s="68">
        <v>244.05093400000001</v>
      </c>
      <c r="W109" s="68">
        <v>243.70379600000001</v>
      </c>
      <c r="X109" s="68">
        <v>243.28808599999999</v>
      </c>
      <c r="Y109" s="68">
        <v>242.82324199999999</v>
      </c>
      <c r="Z109" s="68">
        <v>242.323669</v>
      </c>
      <c r="AA109" s="68">
        <v>241.79251099999999</v>
      </c>
      <c r="AB109" s="68">
        <v>241.21249399999999</v>
      </c>
      <c r="AC109" s="68">
        <v>240.62974500000001</v>
      </c>
      <c r="AD109" s="68">
        <v>240.037994</v>
      </c>
      <c r="AE109" s="68">
        <v>239.40690599999999</v>
      </c>
      <c r="AF109" s="68">
        <v>238.78274500000001</v>
      </c>
      <c r="AG109" s="68">
        <v>238.14810199999999</v>
      </c>
      <c r="AH109" s="68">
        <v>237.453339</v>
      </c>
      <c r="AI109" s="68">
        <v>236.735229</v>
      </c>
      <c r="AJ109" s="68">
        <v>235.958923</v>
      </c>
      <c r="AK109" s="66">
        <v>-8.9300000000000002E-4</v>
      </c>
    </row>
    <row r="110" spans="1:37" ht="15" customHeight="1" x14ac:dyDescent="0.2">
      <c r="A110" s="57" t="s">
        <v>573</v>
      </c>
      <c r="B110" s="60" t="s">
        <v>574</v>
      </c>
      <c r="C110" s="61">
        <v>191.36454800000001</v>
      </c>
      <c r="D110" s="61">
        <v>190.832367</v>
      </c>
      <c r="E110" s="61">
        <v>190.20715300000001</v>
      </c>
      <c r="F110" s="61">
        <v>189.55967699999999</v>
      </c>
      <c r="G110" s="61">
        <v>188.87768600000001</v>
      </c>
      <c r="H110" s="61">
        <v>188.15933200000001</v>
      </c>
      <c r="I110" s="61">
        <v>187.40133700000001</v>
      </c>
      <c r="J110" s="61">
        <v>186.602295</v>
      </c>
      <c r="K110" s="61">
        <v>185.76179500000001</v>
      </c>
      <c r="L110" s="61">
        <v>184.88085899999999</v>
      </c>
      <c r="M110" s="61">
        <v>183.956131</v>
      </c>
      <c r="N110" s="61">
        <v>182.98594700000001</v>
      </c>
      <c r="O110" s="61">
        <v>181.96875</v>
      </c>
      <c r="P110" s="61">
        <v>180.90400700000001</v>
      </c>
      <c r="Q110" s="61">
        <v>179.79145800000001</v>
      </c>
      <c r="R110" s="61">
        <v>178.63125600000001</v>
      </c>
      <c r="S110" s="61">
        <v>177.424194</v>
      </c>
      <c r="T110" s="61">
        <v>176.17131000000001</v>
      </c>
      <c r="U110" s="61">
        <v>174.87384</v>
      </c>
      <c r="V110" s="61">
        <v>173.53327899999999</v>
      </c>
      <c r="W110" s="61">
        <v>172.15123</v>
      </c>
      <c r="X110" s="61">
        <v>170.729401</v>
      </c>
      <c r="Y110" s="61">
        <v>169.26956200000001</v>
      </c>
      <c r="Z110" s="61">
        <v>167.77354399999999</v>
      </c>
      <c r="AA110" s="61">
        <v>166.24323999999999</v>
      </c>
      <c r="AB110" s="61">
        <v>164.68083200000001</v>
      </c>
      <c r="AC110" s="61">
        <v>163.08828700000001</v>
      </c>
      <c r="AD110" s="61">
        <v>161.46795700000001</v>
      </c>
      <c r="AE110" s="61">
        <v>159.82218900000001</v>
      </c>
      <c r="AF110" s="61">
        <v>158.15313699999999</v>
      </c>
      <c r="AG110" s="61">
        <v>156.46227999999999</v>
      </c>
      <c r="AH110" s="61">
        <v>154.75143399999999</v>
      </c>
      <c r="AI110" s="61">
        <v>153.02230800000001</v>
      </c>
      <c r="AJ110" s="61">
        <v>151.27630600000001</v>
      </c>
      <c r="AK110" s="62">
        <v>-7.2329999999999998E-3</v>
      </c>
    </row>
    <row r="111" spans="1:37" ht="15" customHeight="1" x14ac:dyDescent="0.2">
      <c r="A111" s="57" t="s">
        <v>575</v>
      </c>
      <c r="B111" s="60" t="s">
        <v>450</v>
      </c>
      <c r="C111" s="61">
        <v>51.500518999999997</v>
      </c>
      <c r="D111" s="61">
        <v>51.965815999999997</v>
      </c>
      <c r="E111" s="61">
        <v>53.292121999999999</v>
      </c>
      <c r="F111" s="61">
        <v>54.238151999999999</v>
      </c>
      <c r="G111" s="61">
        <v>55.280253999999999</v>
      </c>
      <c r="H111" s="61">
        <v>56.235686999999999</v>
      </c>
      <c r="I111" s="61">
        <v>57.175052999999998</v>
      </c>
      <c r="J111" s="61">
        <v>58.118209999999998</v>
      </c>
      <c r="K111" s="61">
        <v>59.134692999999999</v>
      </c>
      <c r="L111" s="61">
        <v>60.205787999999998</v>
      </c>
      <c r="M111" s="61">
        <v>61.165173000000003</v>
      </c>
      <c r="N111" s="61">
        <v>62.360554</v>
      </c>
      <c r="O111" s="61">
        <v>63.341693999999997</v>
      </c>
      <c r="P111" s="61">
        <v>64.383942000000005</v>
      </c>
      <c r="Q111" s="61">
        <v>65.425003000000004</v>
      </c>
      <c r="R111" s="61">
        <v>66.445526000000001</v>
      </c>
      <c r="S111" s="61">
        <v>67.468329999999995</v>
      </c>
      <c r="T111" s="61">
        <v>68.521179000000004</v>
      </c>
      <c r="U111" s="61">
        <v>69.536811999999998</v>
      </c>
      <c r="V111" s="61">
        <v>70.517662000000001</v>
      </c>
      <c r="W111" s="61">
        <v>71.552566999999996</v>
      </c>
      <c r="X111" s="61">
        <v>72.558678</v>
      </c>
      <c r="Y111" s="61">
        <v>73.55368</v>
      </c>
      <c r="Z111" s="61">
        <v>74.550117</v>
      </c>
      <c r="AA111" s="61">
        <v>75.549271000000005</v>
      </c>
      <c r="AB111" s="61">
        <v>76.531661999999997</v>
      </c>
      <c r="AC111" s="61">
        <v>77.541458000000006</v>
      </c>
      <c r="AD111" s="61">
        <v>78.570044999999993</v>
      </c>
      <c r="AE111" s="61">
        <v>79.584716999999998</v>
      </c>
      <c r="AF111" s="61">
        <v>80.629600999999994</v>
      </c>
      <c r="AG111" s="61">
        <v>81.685828999999998</v>
      </c>
      <c r="AH111" s="61">
        <v>82.701911999999993</v>
      </c>
      <c r="AI111" s="61">
        <v>83.712913999999998</v>
      </c>
      <c r="AJ111" s="61">
        <v>84.682616999999993</v>
      </c>
      <c r="AK111" s="62">
        <v>1.5377E-2</v>
      </c>
    </row>
    <row r="112" spans="1:37" ht="15.75" customHeight="1" x14ac:dyDescent="0.2"/>
    <row r="113" spans="1:37" ht="15" customHeight="1" x14ac:dyDescent="0.2">
      <c r="A113" s="57" t="s">
        <v>576</v>
      </c>
      <c r="B113" s="60" t="s">
        <v>577</v>
      </c>
      <c r="C113" s="61">
        <v>135.31770299999999</v>
      </c>
      <c r="D113" s="61">
        <v>134.27882399999999</v>
      </c>
      <c r="E113" s="61">
        <v>133.616714</v>
      </c>
      <c r="F113" s="61">
        <v>133.108994</v>
      </c>
      <c r="G113" s="61">
        <v>132.632172</v>
      </c>
      <c r="H113" s="61">
        <v>131.97607400000001</v>
      </c>
      <c r="I113" s="61">
        <v>131.40249600000001</v>
      </c>
      <c r="J113" s="61">
        <v>130.875092</v>
      </c>
      <c r="K113" s="61">
        <v>130.32766699999999</v>
      </c>
      <c r="L113" s="61">
        <v>129.819489</v>
      </c>
      <c r="M113" s="61">
        <v>129.33656300000001</v>
      </c>
      <c r="N113" s="61">
        <v>128.91828899999999</v>
      </c>
      <c r="O113" s="61">
        <v>128.549362</v>
      </c>
      <c r="P113" s="61">
        <v>128.27327</v>
      </c>
      <c r="Q113" s="61">
        <v>128.137878</v>
      </c>
      <c r="R113" s="61">
        <v>127.990532</v>
      </c>
      <c r="S113" s="61">
        <v>127.88732899999999</v>
      </c>
      <c r="T113" s="61">
        <v>127.90370900000001</v>
      </c>
      <c r="U113" s="61">
        <v>127.907028</v>
      </c>
      <c r="V113" s="61">
        <v>127.89865899999999</v>
      </c>
      <c r="W113" s="61">
        <v>127.921967</v>
      </c>
      <c r="X113" s="61">
        <v>127.96122</v>
      </c>
      <c r="Y113" s="61">
        <v>127.98297100000001</v>
      </c>
      <c r="Z113" s="61">
        <v>128.01707500000001</v>
      </c>
      <c r="AA113" s="61">
        <v>128.05204800000001</v>
      </c>
      <c r="AB113" s="61">
        <v>128.12657200000001</v>
      </c>
      <c r="AC113" s="61">
        <v>128.19894400000001</v>
      </c>
      <c r="AD113" s="61">
        <v>128.31225599999999</v>
      </c>
      <c r="AE113" s="61">
        <v>128.43161000000001</v>
      </c>
      <c r="AF113" s="61">
        <v>128.538681</v>
      </c>
      <c r="AG113" s="61">
        <v>128.60691800000001</v>
      </c>
      <c r="AH113" s="61">
        <v>128.635727</v>
      </c>
      <c r="AI113" s="61">
        <v>128.67669699999999</v>
      </c>
      <c r="AJ113" s="61">
        <v>128.71118200000001</v>
      </c>
      <c r="AK113" s="62">
        <v>-1.323E-3</v>
      </c>
    </row>
    <row r="114" spans="1:37" ht="15" customHeight="1" x14ac:dyDescent="0.2">
      <c r="A114" s="57" t="s">
        <v>578</v>
      </c>
      <c r="B114" s="60" t="s">
        <v>579</v>
      </c>
      <c r="C114" s="61">
        <v>679.153503</v>
      </c>
      <c r="D114" s="61">
        <v>704.263733</v>
      </c>
      <c r="E114" s="61">
        <v>690.70654300000001</v>
      </c>
      <c r="F114" s="61">
        <v>673.19164999999998</v>
      </c>
      <c r="G114" s="61">
        <v>660.01245100000006</v>
      </c>
      <c r="H114" s="61">
        <v>647.85308799999996</v>
      </c>
      <c r="I114" s="61">
        <v>640.444885</v>
      </c>
      <c r="J114" s="61">
        <v>641.46557600000006</v>
      </c>
      <c r="K114" s="61">
        <v>653.29547100000002</v>
      </c>
      <c r="L114" s="61">
        <v>657.33300799999995</v>
      </c>
      <c r="M114" s="61">
        <v>664.64691200000004</v>
      </c>
      <c r="N114" s="61">
        <v>673.61926300000005</v>
      </c>
      <c r="O114" s="61">
        <v>680.86157200000002</v>
      </c>
      <c r="P114" s="61">
        <v>682.96490500000004</v>
      </c>
      <c r="Q114" s="61">
        <v>685.36377000000005</v>
      </c>
      <c r="R114" s="61">
        <v>692.49523899999997</v>
      </c>
      <c r="S114" s="61">
        <v>693.11206100000004</v>
      </c>
      <c r="T114" s="61">
        <v>696.35351600000001</v>
      </c>
      <c r="U114" s="61">
        <v>697.71765100000005</v>
      </c>
      <c r="V114" s="61">
        <v>700.13562000000002</v>
      </c>
      <c r="W114" s="61">
        <v>700.378784</v>
      </c>
      <c r="X114" s="61">
        <v>703.28393600000004</v>
      </c>
      <c r="Y114" s="61">
        <v>706.42126499999995</v>
      </c>
      <c r="Z114" s="61">
        <v>711.11010699999997</v>
      </c>
      <c r="AA114" s="61">
        <v>715.57800299999997</v>
      </c>
      <c r="AB114" s="61">
        <v>721.45178199999998</v>
      </c>
      <c r="AC114" s="61">
        <v>725.307861</v>
      </c>
      <c r="AD114" s="61">
        <v>731.30902100000003</v>
      </c>
      <c r="AE114" s="61">
        <v>736.50280799999996</v>
      </c>
      <c r="AF114" s="61">
        <v>740.35290499999996</v>
      </c>
      <c r="AG114" s="61">
        <v>745.32843000000003</v>
      </c>
      <c r="AH114" s="61">
        <v>751.28027299999997</v>
      </c>
      <c r="AI114" s="61">
        <v>757.93084699999997</v>
      </c>
      <c r="AJ114" s="61">
        <v>764.31817599999999</v>
      </c>
      <c r="AK114" s="62">
        <v>2.5600000000000002E-3</v>
      </c>
    </row>
    <row r="115" spans="1:37" ht="15.75" customHeight="1" x14ac:dyDescent="0.2"/>
    <row r="116" spans="1:37" ht="15" customHeight="1" x14ac:dyDescent="0.2">
      <c r="A116" s="57" t="s">
        <v>580</v>
      </c>
      <c r="B116" s="59" t="s">
        <v>581</v>
      </c>
      <c r="C116" s="68">
        <v>27942.273438</v>
      </c>
      <c r="D116" s="68">
        <v>28028.386718999998</v>
      </c>
      <c r="E116" s="68">
        <v>28231.378906000002</v>
      </c>
      <c r="F116" s="68">
        <v>27907.550781000002</v>
      </c>
      <c r="G116" s="68">
        <v>27649.613281000002</v>
      </c>
      <c r="H116" s="68">
        <v>27413.679688</v>
      </c>
      <c r="I116" s="68">
        <v>27081.539062</v>
      </c>
      <c r="J116" s="68">
        <v>26737.728515999999</v>
      </c>
      <c r="K116" s="68">
        <v>26403.916015999999</v>
      </c>
      <c r="L116" s="68">
        <v>26130.222656000002</v>
      </c>
      <c r="M116" s="68">
        <v>25866.310547000001</v>
      </c>
      <c r="N116" s="68">
        <v>25650.449218999998</v>
      </c>
      <c r="O116" s="68">
        <v>25419.376952999999</v>
      </c>
      <c r="P116" s="68">
        <v>25192.322265999999</v>
      </c>
      <c r="Q116" s="68">
        <v>24995.238281000002</v>
      </c>
      <c r="R116" s="68">
        <v>24816.873047000001</v>
      </c>
      <c r="S116" s="68">
        <v>24656.070312</v>
      </c>
      <c r="T116" s="68">
        <v>24529.458984000001</v>
      </c>
      <c r="U116" s="68">
        <v>24422.037109000001</v>
      </c>
      <c r="V116" s="68">
        <v>24372.001952999999</v>
      </c>
      <c r="W116" s="68">
        <v>24351.914062</v>
      </c>
      <c r="X116" s="68">
        <v>24362.824218999998</v>
      </c>
      <c r="Y116" s="68">
        <v>24386.867188</v>
      </c>
      <c r="Z116" s="68">
        <v>24422.039062</v>
      </c>
      <c r="AA116" s="68">
        <v>24479.832031000002</v>
      </c>
      <c r="AB116" s="68">
        <v>24551.398438</v>
      </c>
      <c r="AC116" s="68">
        <v>24650.125</v>
      </c>
      <c r="AD116" s="68">
        <v>24759.980468999998</v>
      </c>
      <c r="AE116" s="68">
        <v>24889.339843999998</v>
      </c>
      <c r="AF116" s="68">
        <v>25021.359375</v>
      </c>
      <c r="AG116" s="68">
        <v>25169.119140999999</v>
      </c>
      <c r="AH116" s="68">
        <v>25320.494140999999</v>
      </c>
      <c r="AI116" s="68">
        <v>25468.285156000002</v>
      </c>
      <c r="AJ116" s="68">
        <v>25620.25</v>
      </c>
      <c r="AK116" s="66">
        <v>-2.8029999999999999E-3</v>
      </c>
    </row>
    <row r="118" spans="1:37" ht="15" customHeight="1" x14ac:dyDescent="0.2">
      <c r="B118" s="116" t="s">
        <v>582</v>
      </c>
      <c r="C118" s="117"/>
      <c r="D118" s="117"/>
      <c r="E118" s="117"/>
      <c r="F118" s="117"/>
      <c r="G118" s="117"/>
      <c r="H118" s="117"/>
      <c r="I118" s="117"/>
      <c r="J118" s="117"/>
      <c r="K118" s="117"/>
      <c r="L118" s="117"/>
      <c r="M118" s="117"/>
      <c r="N118" s="117"/>
      <c r="O118" s="117"/>
      <c r="P118" s="117"/>
      <c r="Q118" s="117"/>
      <c r="R118" s="117"/>
      <c r="S118" s="117"/>
      <c r="T118" s="117"/>
      <c r="U118" s="117"/>
      <c r="V118" s="117"/>
      <c r="W118" s="117"/>
      <c r="X118" s="117"/>
      <c r="Y118" s="117"/>
      <c r="Z118" s="117"/>
      <c r="AA118" s="117"/>
      <c r="AB118" s="117"/>
      <c r="AC118" s="117"/>
      <c r="AD118" s="117"/>
      <c r="AE118" s="117"/>
      <c r="AF118" s="117"/>
      <c r="AG118" s="117"/>
      <c r="AH118" s="117"/>
      <c r="AI118" s="117"/>
      <c r="AJ118" s="117"/>
      <c r="AK118" s="117"/>
    </row>
    <row r="119" spans="1:37" ht="15" customHeight="1" x14ac:dyDescent="0.2">
      <c r="B119" s="67" t="s">
        <v>583</v>
      </c>
    </row>
    <row r="120" spans="1:37" ht="15" customHeight="1" x14ac:dyDescent="0.2">
      <c r="B120" s="67" t="s">
        <v>584</v>
      </c>
    </row>
    <row r="121" spans="1:37" ht="15" customHeight="1" x14ac:dyDescent="0.2">
      <c r="B121" s="67" t="s">
        <v>585</v>
      </c>
    </row>
    <row r="122" spans="1:37" ht="15" customHeight="1" x14ac:dyDescent="0.2">
      <c r="B122" s="67" t="s">
        <v>586</v>
      </c>
    </row>
    <row r="123" spans="1:37" ht="15" customHeight="1" x14ac:dyDescent="0.2">
      <c r="B123" s="67" t="s">
        <v>425</v>
      </c>
    </row>
    <row r="124" spans="1:37" ht="15" customHeight="1" x14ac:dyDescent="0.2">
      <c r="B124" s="67" t="s">
        <v>587</v>
      </c>
    </row>
    <row r="125" spans="1:37" ht="15" customHeight="1" x14ac:dyDescent="0.2">
      <c r="B125" s="67" t="s">
        <v>588</v>
      </c>
    </row>
    <row r="126" spans="1:37" ht="15" customHeight="1" x14ac:dyDescent="0.2">
      <c r="B126" s="67" t="s">
        <v>589</v>
      </c>
    </row>
    <row r="127" spans="1:37" ht="15" customHeight="1" x14ac:dyDescent="0.2">
      <c r="B127" s="67" t="s">
        <v>590</v>
      </c>
    </row>
    <row r="128" spans="1:37" ht="15" customHeight="1" x14ac:dyDescent="0.2">
      <c r="B128" s="67" t="s">
        <v>591</v>
      </c>
    </row>
    <row r="129" spans="2:2" ht="15" customHeight="1" x14ac:dyDescent="0.2">
      <c r="B129" s="67" t="s">
        <v>592</v>
      </c>
    </row>
    <row r="130" spans="2:2" ht="15" customHeight="1" x14ac:dyDescent="0.2">
      <c r="B130" s="67" t="s">
        <v>593</v>
      </c>
    </row>
    <row r="131" spans="2:2" ht="15" customHeight="1" x14ac:dyDescent="0.2">
      <c r="B131" s="67" t="s">
        <v>594</v>
      </c>
    </row>
    <row r="132" spans="2:2" ht="15" customHeight="1" x14ac:dyDescent="0.2">
      <c r="B132" s="67" t="s">
        <v>595</v>
      </c>
    </row>
    <row r="133" spans="2:2" ht="15.75" customHeight="1" x14ac:dyDescent="0.2"/>
    <row r="134" spans="2:2" ht="15.75" customHeight="1" x14ac:dyDescent="0.2"/>
    <row r="135" spans="2:2" ht="15.75" customHeight="1" x14ac:dyDescent="0.2"/>
    <row r="136" spans="2:2" ht="15.75" customHeight="1" x14ac:dyDescent="0.2"/>
    <row r="137" spans="2:2" ht="15.75" customHeight="1" x14ac:dyDescent="0.2"/>
    <row r="138" spans="2:2" ht="15.75" customHeight="1" x14ac:dyDescent="0.2"/>
    <row r="139" spans="2:2" ht="15.75" customHeight="1" x14ac:dyDescent="0.2"/>
    <row r="140" spans="2:2" ht="15.75" customHeight="1" x14ac:dyDescent="0.2"/>
    <row r="141" spans="2:2" ht="15.75" customHeight="1" x14ac:dyDescent="0.2"/>
    <row r="142" spans="2:2" ht="15.75" customHeight="1" x14ac:dyDescent="0.2"/>
    <row r="143" spans="2:2" ht="15.75" customHeight="1" x14ac:dyDescent="0.2"/>
    <row r="144" spans="2:2"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
    <mergeCell ref="B118:AK118"/>
  </mergeCells>
  <pageMargins left="0.75" right="0.75" top="1" bottom="1" header="0" footer="0"/>
  <pageSetup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K1000"/>
  <sheetViews>
    <sheetView workbookViewId="0">
      <pane xSplit="2" ySplit="1" topLeftCell="C2" activePane="bottomRight" state="frozen"/>
      <selection pane="topRight" activeCell="C1" sqref="C1"/>
      <selection pane="bottomLeft" activeCell="A2" sqref="A2"/>
      <selection pane="bottomRight" activeCell="C2" sqref="C2"/>
    </sheetView>
  </sheetViews>
  <sheetFormatPr baseColWidth="10" defaultColWidth="14.5" defaultRowHeight="15" customHeight="1" x14ac:dyDescent="0.2"/>
  <cols>
    <col min="1" max="1" width="20.83203125" hidden="1" customWidth="1"/>
    <col min="2" max="2" width="45.6640625" customWidth="1"/>
    <col min="3" max="37" width="8.6640625" customWidth="1"/>
  </cols>
  <sheetData>
    <row r="1" spans="1:37" ht="15" customHeight="1" x14ac:dyDescent="0.2">
      <c r="B1" s="54" t="s">
        <v>296</v>
      </c>
      <c r="C1" s="55">
        <v>2017</v>
      </c>
      <c r="D1" s="55">
        <v>2018</v>
      </c>
      <c r="E1" s="55">
        <v>2019</v>
      </c>
      <c r="F1" s="55">
        <v>2020</v>
      </c>
      <c r="G1" s="55">
        <v>2021</v>
      </c>
      <c r="H1" s="55">
        <v>2022</v>
      </c>
      <c r="I1" s="55">
        <v>2023</v>
      </c>
      <c r="J1" s="55">
        <v>2024</v>
      </c>
      <c r="K1" s="55">
        <v>2025</v>
      </c>
      <c r="L1" s="55">
        <v>2026</v>
      </c>
      <c r="M1" s="55">
        <v>2027</v>
      </c>
      <c r="N1" s="55">
        <v>2028</v>
      </c>
      <c r="O1" s="55">
        <v>2029</v>
      </c>
      <c r="P1" s="55">
        <v>2030</v>
      </c>
      <c r="Q1" s="55">
        <v>2031</v>
      </c>
      <c r="R1" s="55">
        <v>2032</v>
      </c>
      <c r="S1" s="55">
        <v>2033</v>
      </c>
      <c r="T1" s="55">
        <v>2034</v>
      </c>
      <c r="U1" s="55">
        <v>2035</v>
      </c>
      <c r="V1" s="55">
        <v>2036</v>
      </c>
      <c r="W1" s="55">
        <v>2037</v>
      </c>
      <c r="X1" s="55">
        <v>2038</v>
      </c>
      <c r="Y1" s="55">
        <v>2039</v>
      </c>
      <c r="Z1" s="55">
        <v>2040</v>
      </c>
      <c r="AA1" s="55">
        <v>2041</v>
      </c>
      <c r="AB1" s="55">
        <v>2042</v>
      </c>
      <c r="AC1" s="55">
        <v>2043</v>
      </c>
      <c r="AD1" s="55">
        <v>2044</v>
      </c>
      <c r="AE1" s="55">
        <v>2045</v>
      </c>
      <c r="AF1" s="55">
        <v>2046</v>
      </c>
      <c r="AG1" s="55">
        <v>2047</v>
      </c>
      <c r="AH1" s="55">
        <v>2048</v>
      </c>
      <c r="AI1" s="55">
        <v>2049</v>
      </c>
      <c r="AJ1" s="55">
        <v>2050</v>
      </c>
    </row>
    <row r="3" spans="1:37" ht="15" customHeight="1" x14ac:dyDescent="0.2">
      <c r="C3" s="56" t="s">
        <v>297</v>
      </c>
      <c r="D3" s="56" t="s">
        <v>298</v>
      </c>
      <c r="E3" s="56"/>
      <c r="F3" s="56"/>
      <c r="G3" s="56"/>
    </row>
    <row r="4" spans="1:37" ht="15" customHeight="1" x14ac:dyDescent="0.2">
      <c r="C4" s="56" t="s">
        <v>299</v>
      </c>
      <c r="D4" s="56" t="s">
        <v>300</v>
      </c>
      <c r="E4" s="56"/>
      <c r="F4" s="56"/>
      <c r="G4" s="56" t="s">
        <v>301</v>
      </c>
    </row>
    <row r="5" spans="1:37" ht="15" customHeight="1" x14ac:dyDescent="0.2">
      <c r="C5" s="56" t="s">
        <v>302</v>
      </c>
      <c r="D5" s="56" t="s">
        <v>303</v>
      </c>
      <c r="E5" s="56"/>
      <c r="F5" s="56"/>
      <c r="G5" s="56"/>
    </row>
    <row r="6" spans="1:37" ht="15" customHeight="1" x14ac:dyDescent="0.2">
      <c r="C6" s="56" t="s">
        <v>304</v>
      </c>
      <c r="D6" s="56"/>
      <c r="E6" s="56" t="s">
        <v>305</v>
      </c>
      <c r="F6" s="56"/>
      <c r="G6" s="56"/>
    </row>
    <row r="10" spans="1:37" ht="15" customHeight="1" x14ac:dyDescent="0.2">
      <c r="A10" s="57" t="s">
        <v>596</v>
      </c>
      <c r="B10" s="58" t="s">
        <v>597</v>
      </c>
    </row>
    <row r="11" spans="1:37" ht="15" customHeight="1" x14ac:dyDescent="0.2">
      <c r="B11" s="54" t="s">
        <v>598</v>
      </c>
    </row>
    <row r="12" spans="1:37" ht="15" customHeight="1" x14ac:dyDescent="0.2">
      <c r="B12" s="54" t="s">
        <v>308</v>
      </c>
      <c r="C12" s="4" t="s">
        <v>308</v>
      </c>
      <c r="D12" s="4" t="s">
        <v>308</v>
      </c>
      <c r="E12" s="4" t="s">
        <v>308</v>
      </c>
      <c r="F12" s="4" t="s">
        <v>308</v>
      </c>
      <c r="G12" s="4" t="s">
        <v>308</v>
      </c>
      <c r="H12" s="4" t="s">
        <v>308</v>
      </c>
      <c r="I12" s="4" t="s">
        <v>308</v>
      </c>
      <c r="J12" s="4" t="s">
        <v>308</v>
      </c>
      <c r="K12" s="4" t="s">
        <v>308</v>
      </c>
      <c r="L12" s="4" t="s">
        <v>308</v>
      </c>
      <c r="M12" s="4" t="s">
        <v>308</v>
      </c>
      <c r="N12" s="4" t="s">
        <v>308</v>
      </c>
      <c r="O12" s="4" t="s">
        <v>308</v>
      </c>
      <c r="P12" s="4" t="s">
        <v>308</v>
      </c>
      <c r="Q12" s="4" t="s">
        <v>308</v>
      </c>
      <c r="R12" s="4" t="s">
        <v>308</v>
      </c>
      <c r="S12" s="4" t="s">
        <v>308</v>
      </c>
      <c r="T12" s="4" t="s">
        <v>308</v>
      </c>
      <c r="U12" s="4" t="s">
        <v>308</v>
      </c>
      <c r="V12" s="4" t="s">
        <v>308</v>
      </c>
      <c r="W12" s="4" t="s">
        <v>308</v>
      </c>
      <c r="X12" s="4" t="s">
        <v>308</v>
      </c>
      <c r="Y12" s="4" t="s">
        <v>308</v>
      </c>
      <c r="Z12" s="4" t="s">
        <v>308</v>
      </c>
      <c r="AA12" s="4" t="s">
        <v>308</v>
      </c>
      <c r="AB12" s="4" t="s">
        <v>308</v>
      </c>
      <c r="AC12" s="4" t="s">
        <v>308</v>
      </c>
      <c r="AD12" s="4" t="s">
        <v>308</v>
      </c>
      <c r="AE12" s="4" t="s">
        <v>308</v>
      </c>
      <c r="AF12" s="4" t="s">
        <v>308</v>
      </c>
      <c r="AG12" s="4" t="s">
        <v>308</v>
      </c>
      <c r="AH12" s="4" t="s">
        <v>308</v>
      </c>
      <c r="AI12" s="4" t="s">
        <v>308</v>
      </c>
      <c r="AJ12" s="4" t="s">
        <v>308</v>
      </c>
      <c r="AK12" s="4" t="s">
        <v>309</v>
      </c>
    </row>
    <row r="13" spans="1:37" ht="15" customHeight="1" x14ac:dyDescent="0.2">
      <c r="B13" s="55" t="s">
        <v>599</v>
      </c>
      <c r="C13" s="55">
        <v>2017</v>
      </c>
      <c r="D13" s="55">
        <v>2018</v>
      </c>
      <c r="E13" s="55">
        <v>2019</v>
      </c>
      <c r="F13" s="55">
        <v>2020</v>
      </c>
      <c r="G13" s="55">
        <v>2021</v>
      </c>
      <c r="H13" s="55">
        <v>2022</v>
      </c>
      <c r="I13" s="55">
        <v>2023</v>
      </c>
      <c r="J13" s="55">
        <v>2024</v>
      </c>
      <c r="K13" s="55">
        <v>2025</v>
      </c>
      <c r="L13" s="55">
        <v>2026</v>
      </c>
      <c r="M13" s="55">
        <v>2027</v>
      </c>
      <c r="N13" s="55">
        <v>2028</v>
      </c>
      <c r="O13" s="55">
        <v>2029</v>
      </c>
      <c r="P13" s="55">
        <v>2030</v>
      </c>
      <c r="Q13" s="55">
        <v>2031</v>
      </c>
      <c r="R13" s="55">
        <v>2032</v>
      </c>
      <c r="S13" s="55">
        <v>2033</v>
      </c>
      <c r="T13" s="55">
        <v>2034</v>
      </c>
      <c r="U13" s="55">
        <v>2035</v>
      </c>
      <c r="V13" s="55">
        <v>2036</v>
      </c>
      <c r="W13" s="55">
        <v>2037</v>
      </c>
      <c r="X13" s="55">
        <v>2038</v>
      </c>
      <c r="Y13" s="55">
        <v>2039</v>
      </c>
      <c r="Z13" s="55">
        <v>2040</v>
      </c>
      <c r="AA13" s="55">
        <v>2041</v>
      </c>
      <c r="AB13" s="55">
        <v>2042</v>
      </c>
      <c r="AC13" s="55">
        <v>2043</v>
      </c>
      <c r="AD13" s="55">
        <v>2044</v>
      </c>
      <c r="AE13" s="55">
        <v>2045</v>
      </c>
      <c r="AF13" s="55">
        <v>2046</v>
      </c>
      <c r="AG13" s="55">
        <v>2047</v>
      </c>
      <c r="AH13" s="55">
        <v>2048</v>
      </c>
      <c r="AI13" s="55">
        <v>2049</v>
      </c>
      <c r="AJ13" s="55">
        <v>2050</v>
      </c>
      <c r="AK13" s="55">
        <v>2050</v>
      </c>
    </row>
    <row r="15" spans="1:37" ht="15" customHeight="1" x14ac:dyDescent="0.2">
      <c r="B15" s="59" t="s">
        <v>600</v>
      </c>
    </row>
    <row r="16" spans="1:37" ht="15" customHeight="1" x14ac:dyDescent="0.2">
      <c r="B16" s="59" t="s">
        <v>601</v>
      </c>
    </row>
    <row r="17" spans="1:37" ht="15" customHeight="1" x14ac:dyDescent="0.2">
      <c r="A17" s="57" t="s">
        <v>602</v>
      </c>
      <c r="B17" s="60" t="s">
        <v>603</v>
      </c>
      <c r="C17" s="64">
        <v>122.711388</v>
      </c>
      <c r="D17" s="64">
        <v>123.13561199999999</v>
      </c>
      <c r="E17" s="64">
        <v>123.253426</v>
      </c>
      <c r="F17" s="64">
        <v>123.222893</v>
      </c>
      <c r="G17" s="64">
        <v>123.055527</v>
      </c>
      <c r="H17" s="64">
        <v>122.718056</v>
      </c>
      <c r="I17" s="64">
        <v>122.458916</v>
      </c>
      <c r="J17" s="64">
        <v>122.266251</v>
      </c>
      <c r="K17" s="64">
        <v>122.137253</v>
      </c>
      <c r="L17" s="64">
        <v>122.025963</v>
      </c>
      <c r="M17" s="64">
        <v>121.91326100000001</v>
      </c>
      <c r="N17" s="64">
        <v>121.73737300000001</v>
      </c>
      <c r="O17" s="64">
        <v>121.48992200000001</v>
      </c>
      <c r="P17" s="64">
        <v>121.22287799999999</v>
      </c>
      <c r="Q17" s="64">
        <v>121.018806</v>
      </c>
      <c r="R17" s="64">
        <v>120.824837</v>
      </c>
      <c r="S17" s="64">
        <v>120.67057800000001</v>
      </c>
      <c r="T17" s="64">
        <v>120.57617999999999</v>
      </c>
      <c r="U17" s="64">
        <v>120.540047</v>
      </c>
      <c r="V17" s="64">
        <v>120.566536</v>
      </c>
      <c r="W17" s="64">
        <v>120.675819</v>
      </c>
      <c r="X17" s="64">
        <v>120.892532</v>
      </c>
      <c r="Y17" s="64">
        <v>121.176064</v>
      </c>
      <c r="Z17" s="64">
        <v>121.52526899999999</v>
      </c>
      <c r="AA17" s="64">
        <v>121.93285400000001</v>
      </c>
      <c r="AB17" s="64">
        <v>122.37874600000001</v>
      </c>
      <c r="AC17" s="64">
        <v>122.83847799999999</v>
      </c>
      <c r="AD17" s="64">
        <v>123.325874</v>
      </c>
      <c r="AE17" s="64">
        <v>123.819046</v>
      </c>
      <c r="AF17" s="64">
        <v>124.296104</v>
      </c>
      <c r="AG17" s="64">
        <v>124.714691</v>
      </c>
      <c r="AH17" s="64">
        <v>125.055206</v>
      </c>
      <c r="AI17" s="64">
        <v>125.339851</v>
      </c>
      <c r="AJ17" s="64">
        <v>125.55564099999999</v>
      </c>
      <c r="AK17" s="62">
        <v>6.0800000000000003E-4</v>
      </c>
    </row>
    <row r="18" spans="1:37" ht="15" customHeight="1" x14ac:dyDescent="0.2">
      <c r="A18" s="57" t="s">
        <v>604</v>
      </c>
      <c r="B18" s="60" t="s">
        <v>605</v>
      </c>
      <c r="C18" s="64">
        <v>0.80363300000000004</v>
      </c>
      <c r="D18" s="64">
        <v>0.77767799999999998</v>
      </c>
      <c r="E18" s="64">
        <v>0.76626399999999995</v>
      </c>
      <c r="F18" s="64">
        <v>0.77007899999999996</v>
      </c>
      <c r="G18" s="64">
        <v>0.77811399999999997</v>
      </c>
      <c r="H18" s="64">
        <v>0.79295099999999996</v>
      </c>
      <c r="I18" s="64">
        <v>0.81676300000000002</v>
      </c>
      <c r="J18" s="64">
        <v>0.849333</v>
      </c>
      <c r="K18" s="64">
        <v>0.89379699999999995</v>
      </c>
      <c r="L18" s="64">
        <v>0.95229900000000001</v>
      </c>
      <c r="M18" s="64">
        <v>1.026648</v>
      </c>
      <c r="N18" s="64">
        <v>1.123837</v>
      </c>
      <c r="O18" s="64">
        <v>1.2353099999999999</v>
      </c>
      <c r="P18" s="64">
        <v>1.3639650000000001</v>
      </c>
      <c r="Q18" s="64">
        <v>1.498988</v>
      </c>
      <c r="R18" s="64">
        <v>1.636628</v>
      </c>
      <c r="S18" s="64">
        <v>1.7710429999999999</v>
      </c>
      <c r="T18" s="64">
        <v>1.910757</v>
      </c>
      <c r="U18" s="64">
        <v>2.043822</v>
      </c>
      <c r="V18" s="64">
        <v>2.1684929999999998</v>
      </c>
      <c r="W18" s="64">
        <v>2.287811</v>
      </c>
      <c r="X18" s="64">
        <v>2.3990659999999999</v>
      </c>
      <c r="Y18" s="64">
        <v>2.5013429999999999</v>
      </c>
      <c r="Z18" s="64">
        <v>2.594395</v>
      </c>
      <c r="AA18" s="64">
        <v>2.6775060000000002</v>
      </c>
      <c r="AB18" s="64">
        <v>2.7483840000000002</v>
      </c>
      <c r="AC18" s="64">
        <v>2.8071419999999998</v>
      </c>
      <c r="AD18" s="64">
        <v>2.8553700000000002</v>
      </c>
      <c r="AE18" s="64">
        <v>2.8919410000000001</v>
      </c>
      <c r="AF18" s="64">
        <v>2.9201109999999999</v>
      </c>
      <c r="AG18" s="64">
        <v>2.939851</v>
      </c>
      <c r="AH18" s="64">
        <v>2.9504570000000001</v>
      </c>
      <c r="AI18" s="64">
        <v>2.9536880000000001</v>
      </c>
      <c r="AJ18" s="64">
        <v>2.949322</v>
      </c>
      <c r="AK18" s="62">
        <v>4.2536999999999998E-2</v>
      </c>
    </row>
    <row r="19" spans="1:37" ht="15" customHeight="1" x14ac:dyDescent="0.2">
      <c r="A19" s="57" t="s">
        <v>606</v>
      </c>
      <c r="B19" s="60" t="s">
        <v>607</v>
      </c>
      <c r="C19" s="64">
        <v>123.515022</v>
      </c>
      <c r="D19" s="64">
        <v>123.913292</v>
      </c>
      <c r="E19" s="64">
        <v>124.01969099999999</v>
      </c>
      <c r="F19" s="64">
        <v>123.99297300000001</v>
      </c>
      <c r="G19" s="64">
        <v>123.833641</v>
      </c>
      <c r="H19" s="64">
        <v>123.511009</v>
      </c>
      <c r="I19" s="64">
        <v>123.27568100000001</v>
      </c>
      <c r="J19" s="64">
        <v>123.115585</v>
      </c>
      <c r="K19" s="64">
        <v>123.031052</v>
      </c>
      <c r="L19" s="64">
        <v>122.978264</v>
      </c>
      <c r="M19" s="64">
        <v>122.939911</v>
      </c>
      <c r="N19" s="64">
        <v>122.861214</v>
      </c>
      <c r="O19" s="64">
        <v>122.725235</v>
      </c>
      <c r="P19" s="64">
        <v>122.586845</v>
      </c>
      <c r="Q19" s="64">
        <v>122.517792</v>
      </c>
      <c r="R19" s="64">
        <v>122.46146400000001</v>
      </c>
      <c r="S19" s="64">
        <v>122.44162</v>
      </c>
      <c r="T19" s="64">
        <v>122.48693799999999</v>
      </c>
      <c r="U19" s="64">
        <v>122.58387</v>
      </c>
      <c r="V19" s="64">
        <v>122.73503100000001</v>
      </c>
      <c r="W19" s="64">
        <v>122.96363100000001</v>
      </c>
      <c r="X19" s="64">
        <v>123.291595</v>
      </c>
      <c r="Y19" s="64">
        <v>123.677406</v>
      </c>
      <c r="Z19" s="64">
        <v>124.11966700000001</v>
      </c>
      <c r="AA19" s="64">
        <v>124.610359</v>
      </c>
      <c r="AB19" s="64">
        <v>125.127129</v>
      </c>
      <c r="AC19" s="64">
        <v>125.645622</v>
      </c>
      <c r="AD19" s="64">
        <v>126.18124400000001</v>
      </c>
      <c r="AE19" s="64">
        <v>126.710983</v>
      </c>
      <c r="AF19" s="64">
        <v>127.216217</v>
      </c>
      <c r="AG19" s="64">
        <v>127.65454099999999</v>
      </c>
      <c r="AH19" s="64">
        <v>128.005661</v>
      </c>
      <c r="AI19" s="64">
        <v>128.293533</v>
      </c>
      <c r="AJ19" s="64">
        <v>128.50495900000001</v>
      </c>
      <c r="AK19" s="62">
        <v>1.1379999999999999E-3</v>
      </c>
    </row>
    <row r="21" spans="1:37" ht="15" customHeight="1" x14ac:dyDescent="0.2">
      <c r="B21" s="59" t="s">
        <v>608</v>
      </c>
    </row>
    <row r="22" spans="1:37" ht="15" customHeight="1" x14ac:dyDescent="0.2">
      <c r="A22" s="57" t="s">
        <v>609</v>
      </c>
      <c r="B22" s="60" t="s">
        <v>610</v>
      </c>
      <c r="C22" s="64">
        <v>4.813383</v>
      </c>
      <c r="D22" s="64">
        <v>4.9274870000000002</v>
      </c>
      <c r="E22" s="64">
        <v>5.0174000000000003</v>
      </c>
      <c r="F22" s="64">
        <v>5.0864140000000004</v>
      </c>
      <c r="G22" s="64">
        <v>5.1302940000000001</v>
      </c>
      <c r="H22" s="64">
        <v>5.1469769999999997</v>
      </c>
      <c r="I22" s="64">
        <v>5.1391349999999996</v>
      </c>
      <c r="J22" s="64">
        <v>5.1092199999999997</v>
      </c>
      <c r="K22" s="64">
        <v>5.0563950000000002</v>
      </c>
      <c r="L22" s="64">
        <v>4.9806549999999996</v>
      </c>
      <c r="M22" s="64">
        <v>4.8872010000000001</v>
      </c>
      <c r="N22" s="64">
        <v>4.7889109999999997</v>
      </c>
      <c r="O22" s="64">
        <v>4.689025</v>
      </c>
      <c r="P22" s="64">
        <v>4.6049100000000003</v>
      </c>
      <c r="Q22" s="64">
        <v>4.539237</v>
      </c>
      <c r="R22" s="64">
        <v>4.4896120000000002</v>
      </c>
      <c r="S22" s="64">
        <v>4.4580489999999999</v>
      </c>
      <c r="T22" s="64">
        <v>4.454955</v>
      </c>
      <c r="U22" s="64">
        <v>4.4690200000000004</v>
      </c>
      <c r="V22" s="64">
        <v>4.4983430000000002</v>
      </c>
      <c r="W22" s="64">
        <v>4.5483359999999999</v>
      </c>
      <c r="X22" s="64">
        <v>4.6099009999999998</v>
      </c>
      <c r="Y22" s="64">
        <v>4.6743249999999996</v>
      </c>
      <c r="Z22" s="64">
        <v>4.7395889999999996</v>
      </c>
      <c r="AA22" s="64">
        <v>4.7978860000000001</v>
      </c>
      <c r="AB22" s="64">
        <v>4.8464650000000002</v>
      </c>
      <c r="AC22" s="64">
        <v>4.8809430000000003</v>
      </c>
      <c r="AD22" s="64">
        <v>4.9052309999999997</v>
      </c>
      <c r="AE22" s="64">
        <v>4.9192679999999998</v>
      </c>
      <c r="AF22" s="64">
        <v>4.911937</v>
      </c>
      <c r="AG22" s="64">
        <v>4.890924</v>
      </c>
      <c r="AH22" s="64">
        <v>4.8608859999999998</v>
      </c>
      <c r="AI22" s="64">
        <v>4.8253360000000001</v>
      </c>
      <c r="AJ22" s="64">
        <v>4.7844499999999996</v>
      </c>
      <c r="AK22" s="62">
        <v>-9.2000000000000003E-4</v>
      </c>
    </row>
    <row r="23" spans="1:37" ht="15" customHeight="1" x14ac:dyDescent="0.2">
      <c r="A23" s="57" t="s">
        <v>611</v>
      </c>
      <c r="B23" s="60" t="s">
        <v>612</v>
      </c>
      <c r="C23" s="64">
        <v>0.195882</v>
      </c>
      <c r="D23" s="64">
        <v>0.20896100000000001</v>
      </c>
      <c r="E23" s="64">
        <v>0.26003399999999999</v>
      </c>
      <c r="F23" s="64">
        <v>0.31379299999999999</v>
      </c>
      <c r="G23" s="64">
        <v>0.37232500000000002</v>
      </c>
      <c r="H23" s="64">
        <v>0.440716</v>
      </c>
      <c r="I23" s="64">
        <v>0.51358800000000004</v>
      </c>
      <c r="J23" s="64">
        <v>0.595387</v>
      </c>
      <c r="K23" s="64">
        <v>0.680871</v>
      </c>
      <c r="L23" s="64">
        <v>0.76010900000000003</v>
      </c>
      <c r="M23" s="64">
        <v>0.83716800000000002</v>
      </c>
      <c r="N23" s="64">
        <v>0.90648899999999999</v>
      </c>
      <c r="O23" s="64">
        <v>0.97245700000000002</v>
      </c>
      <c r="P23" s="64">
        <v>1.033574</v>
      </c>
      <c r="Q23" s="64">
        <v>1.092179</v>
      </c>
      <c r="R23" s="64">
        <v>1.1431819999999999</v>
      </c>
      <c r="S23" s="64">
        <v>1.1913020000000001</v>
      </c>
      <c r="T23" s="64">
        <v>1.236534</v>
      </c>
      <c r="U23" s="64">
        <v>1.278813</v>
      </c>
      <c r="V23" s="64">
        <v>1.317466</v>
      </c>
      <c r="W23" s="64">
        <v>1.351504</v>
      </c>
      <c r="X23" s="64">
        <v>1.382852</v>
      </c>
      <c r="Y23" s="64">
        <v>1.412077</v>
      </c>
      <c r="Z23" s="64">
        <v>1.4393530000000001</v>
      </c>
      <c r="AA23" s="64">
        <v>1.4636130000000001</v>
      </c>
      <c r="AB23" s="64">
        <v>1.4861219999999999</v>
      </c>
      <c r="AC23" s="64">
        <v>1.5071429999999999</v>
      </c>
      <c r="AD23" s="64">
        <v>1.527547</v>
      </c>
      <c r="AE23" s="64">
        <v>1.5473460000000001</v>
      </c>
      <c r="AF23" s="64">
        <v>1.566476</v>
      </c>
      <c r="AG23" s="64">
        <v>1.585167</v>
      </c>
      <c r="AH23" s="64">
        <v>1.604149</v>
      </c>
      <c r="AI23" s="64">
        <v>1.6231009999999999</v>
      </c>
      <c r="AJ23" s="64">
        <v>1.6421349999999999</v>
      </c>
      <c r="AK23" s="62">
        <v>6.6545999999999994E-2</v>
      </c>
    </row>
    <row r="24" spans="1:37" ht="15" customHeight="1" x14ac:dyDescent="0.2">
      <c r="A24" s="57" t="s">
        <v>613</v>
      </c>
      <c r="B24" s="60" t="s">
        <v>614</v>
      </c>
      <c r="C24" s="64">
        <v>0.134602</v>
      </c>
      <c r="D24" s="64">
        <v>0.1797</v>
      </c>
      <c r="E24" s="64">
        <v>0.34625699999999998</v>
      </c>
      <c r="F24" s="64">
        <v>0.55608199999999997</v>
      </c>
      <c r="G24" s="64">
        <v>0.77667699999999995</v>
      </c>
      <c r="H24" s="64">
        <v>1.003166</v>
      </c>
      <c r="I24" s="64">
        <v>1.2493110000000001</v>
      </c>
      <c r="J24" s="64">
        <v>1.523463</v>
      </c>
      <c r="K24" s="64">
        <v>1.820851</v>
      </c>
      <c r="L24" s="64">
        <v>2.114036</v>
      </c>
      <c r="M24" s="64">
        <v>2.4068559999999999</v>
      </c>
      <c r="N24" s="64">
        <v>2.7007989999999999</v>
      </c>
      <c r="O24" s="64">
        <v>3.0041220000000002</v>
      </c>
      <c r="P24" s="64">
        <v>3.3059180000000001</v>
      </c>
      <c r="Q24" s="64">
        <v>3.6230389999999999</v>
      </c>
      <c r="R24" s="64">
        <v>3.9541189999999999</v>
      </c>
      <c r="S24" s="64">
        <v>4.3014279999999996</v>
      </c>
      <c r="T24" s="64">
        <v>4.6650460000000002</v>
      </c>
      <c r="U24" s="64">
        <v>5.0422789999999997</v>
      </c>
      <c r="V24" s="64">
        <v>5.4321270000000004</v>
      </c>
      <c r="W24" s="64">
        <v>5.8333079999999997</v>
      </c>
      <c r="X24" s="64">
        <v>6.250597</v>
      </c>
      <c r="Y24" s="64">
        <v>6.6845869999999996</v>
      </c>
      <c r="Z24" s="64">
        <v>7.1370630000000004</v>
      </c>
      <c r="AA24" s="64">
        <v>7.5911920000000004</v>
      </c>
      <c r="AB24" s="64">
        <v>8.0453189999999992</v>
      </c>
      <c r="AC24" s="64">
        <v>8.4977610000000006</v>
      </c>
      <c r="AD24" s="64">
        <v>8.9499510000000004</v>
      </c>
      <c r="AE24" s="64">
        <v>9.4008109999999991</v>
      </c>
      <c r="AF24" s="64">
        <v>9.8492630000000005</v>
      </c>
      <c r="AG24" s="64">
        <v>10.290888000000001</v>
      </c>
      <c r="AH24" s="64">
        <v>10.725593999999999</v>
      </c>
      <c r="AI24" s="64">
        <v>11.15103</v>
      </c>
      <c r="AJ24" s="64">
        <v>11.564273</v>
      </c>
      <c r="AK24" s="62">
        <v>0.138985</v>
      </c>
    </row>
    <row r="25" spans="1:37" ht="15" customHeight="1" x14ac:dyDescent="0.2">
      <c r="A25" s="57" t="s">
        <v>615</v>
      </c>
      <c r="B25" s="60" t="s">
        <v>616</v>
      </c>
      <c r="C25" s="64">
        <v>3.0849999999999999E-2</v>
      </c>
      <c r="D25" s="64">
        <v>0.16612099999999999</v>
      </c>
      <c r="E25" s="64">
        <v>0.382303</v>
      </c>
      <c r="F25" s="64">
        <v>0.66412700000000002</v>
      </c>
      <c r="G25" s="64">
        <v>1.020759</v>
      </c>
      <c r="H25" s="64">
        <v>1.3957999999999999</v>
      </c>
      <c r="I25" s="64">
        <v>1.793634</v>
      </c>
      <c r="J25" s="64">
        <v>2.2012960000000001</v>
      </c>
      <c r="K25" s="64">
        <v>2.6139060000000001</v>
      </c>
      <c r="L25" s="64">
        <v>3.02542</v>
      </c>
      <c r="M25" s="64">
        <v>3.4440759999999999</v>
      </c>
      <c r="N25" s="64">
        <v>3.8752620000000002</v>
      </c>
      <c r="O25" s="64">
        <v>4.3217679999999996</v>
      </c>
      <c r="P25" s="64">
        <v>4.798095</v>
      </c>
      <c r="Q25" s="64">
        <v>5.3051310000000003</v>
      </c>
      <c r="R25" s="64">
        <v>5.8360919999999998</v>
      </c>
      <c r="S25" s="64">
        <v>6.3865220000000003</v>
      </c>
      <c r="T25" s="64">
        <v>6.9509720000000002</v>
      </c>
      <c r="U25" s="64">
        <v>7.521293</v>
      </c>
      <c r="V25" s="64">
        <v>8.0904500000000006</v>
      </c>
      <c r="W25" s="64">
        <v>8.6554120000000001</v>
      </c>
      <c r="X25" s="64">
        <v>9.2123369999999998</v>
      </c>
      <c r="Y25" s="64">
        <v>9.7565880000000007</v>
      </c>
      <c r="Z25" s="64">
        <v>10.286201</v>
      </c>
      <c r="AA25" s="64">
        <v>10.805350000000001</v>
      </c>
      <c r="AB25" s="64">
        <v>11.314354</v>
      </c>
      <c r="AC25" s="64">
        <v>11.817442</v>
      </c>
      <c r="AD25" s="64">
        <v>12.315123</v>
      </c>
      <c r="AE25" s="64">
        <v>12.804375</v>
      </c>
      <c r="AF25" s="64">
        <v>13.284402999999999</v>
      </c>
      <c r="AG25" s="64">
        <v>13.750420999999999</v>
      </c>
      <c r="AH25" s="64">
        <v>14.200466</v>
      </c>
      <c r="AI25" s="64">
        <v>14.636414</v>
      </c>
      <c r="AJ25" s="64">
        <v>15.054511</v>
      </c>
      <c r="AK25" s="62">
        <v>0.15123500000000001</v>
      </c>
    </row>
    <row r="26" spans="1:37" ht="15" customHeight="1" x14ac:dyDescent="0.2">
      <c r="A26" s="57" t="s">
        <v>617</v>
      </c>
      <c r="B26" s="60" t="s">
        <v>618</v>
      </c>
      <c r="C26" s="64">
        <v>0.16691600000000001</v>
      </c>
      <c r="D26" s="64">
        <v>0.194989</v>
      </c>
      <c r="E26" s="64">
        <v>0.225908</v>
      </c>
      <c r="F26" s="64">
        <v>0.26109599999999999</v>
      </c>
      <c r="G26" s="64">
        <v>0.31172699999999998</v>
      </c>
      <c r="H26" s="64">
        <v>0.37029200000000001</v>
      </c>
      <c r="I26" s="64">
        <v>0.43260799999999999</v>
      </c>
      <c r="J26" s="64">
        <v>0.49841299999999999</v>
      </c>
      <c r="K26" s="64">
        <v>0.56885699999999995</v>
      </c>
      <c r="L26" s="64">
        <v>0.63854999999999995</v>
      </c>
      <c r="M26" s="64">
        <v>0.707152</v>
      </c>
      <c r="N26" s="64">
        <v>0.77343600000000001</v>
      </c>
      <c r="O26" s="64">
        <v>0.83669300000000002</v>
      </c>
      <c r="P26" s="64">
        <v>0.89693800000000001</v>
      </c>
      <c r="Q26" s="64">
        <v>0.95449200000000001</v>
      </c>
      <c r="R26" s="64">
        <v>1.009833</v>
      </c>
      <c r="S26" s="64">
        <v>1.0626230000000001</v>
      </c>
      <c r="T26" s="64">
        <v>1.1131059999999999</v>
      </c>
      <c r="U26" s="64">
        <v>1.160533</v>
      </c>
      <c r="V26" s="64">
        <v>1.2051320000000001</v>
      </c>
      <c r="W26" s="64">
        <v>1.246999</v>
      </c>
      <c r="X26" s="64">
        <v>1.284144</v>
      </c>
      <c r="Y26" s="64">
        <v>1.318235</v>
      </c>
      <c r="Z26" s="64">
        <v>1.3493790000000001</v>
      </c>
      <c r="AA26" s="64">
        <v>1.377192</v>
      </c>
      <c r="AB26" s="64">
        <v>1.4018889999999999</v>
      </c>
      <c r="AC26" s="64">
        <v>1.423813</v>
      </c>
      <c r="AD26" s="64">
        <v>1.443546</v>
      </c>
      <c r="AE26" s="64">
        <v>1.46105</v>
      </c>
      <c r="AF26" s="64">
        <v>1.476283</v>
      </c>
      <c r="AG26" s="64">
        <v>1.489851</v>
      </c>
      <c r="AH26" s="64">
        <v>1.502311</v>
      </c>
      <c r="AI26" s="64">
        <v>1.513587</v>
      </c>
      <c r="AJ26" s="64">
        <v>1.524038</v>
      </c>
      <c r="AK26" s="62">
        <v>6.6364999999999993E-2</v>
      </c>
    </row>
    <row r="27" spans="1:37" ht="15" customHeight="1" x14ac:dyDescent="0.2">
      <c r="A27" s="57" t="s">
        <v>619</v>
      </c>
      <c r="B27" s="60" t="s">
        <v>620</v>
      </c>
      <c r="C27" s="64">
        <v>0.157999</v>
      </c>
      <c r="D27" s="64">
        <v>0.26472200000000001</v>
      </c>
      <c r="E27" s="64">
        <v>0.37692300000000001</v>
      </c>
      <c r="F27" s="64">
        <v>0.49369499999999999</v>
      </c>
      <c r="G27" s="64">
        <v>0.60185500000000003</v>
      </c>
      <c r="H27" s="64">
        <v>0.69971099999999997</v>
      </c>
      <c r="I27" s="64">
        <v>0.79237599999999997</v>
      </c>
      <c r="J27" s="64">
        <v>0.88319000000000003</v>
      </c>
      <c r="K27" s="64">
        <v>0.96906899999999996</v>
      </c>
      <c r="L27" s="64">
        <v>1.0540259999999999</v>
      </c>
      <c r="M27" s="64">
        <v>1.1402159999999999</v>
      </c>
      <c r="N27" s="64">
        <v>1.227819</v>
      </c>
      <c r="O27" s="64">
        <v>1.322794</v>
      </c>
      <c r="P27" s="64">
        <v>1.4196310000000001</v>
      </c>
      <c r="Q27" s="64">
        <v>1.517574</v>
      </c>
      <c r="R27" s="64">
        <v>1.6157440000000001</v>
      </c>
      <c r="S27" s="64">
        <v>1.7120740000000001</v>
      </c>
      <c r="T27" s="64">
        <v>1.8072490000000001</v>
      </c>
      <c r="U27" s="64">
        <v>1.900304</v>
      </c>
      <c r="V27" s="64">
        <v>1.9930349999999999</v>
      </c>
      <c r="W27" s="64">
        <v>2.0857410000000001</v>
      </c>
      <c r="X27" s="64">
        <v>2.1792760000000002</v>
      </c>
      <c r="Y27" s="64">
        <v>2.2736450000000001</v>
      </c>
      <c r="Z27" s="64">
        <v>2.3693629999999999</v>
      </c>
      <c r="AA27" s="64">
        <v>2.4638450000000001</v>
      </c>
      <c r="AB27" s="64">
        <v>2.5574439999999998</v>
      </c>
      <c r="AC27" s="64">
        <v>2.649464</v>
      </c>
      <c r="AD27" s="64">
        <v>2.7395489999999998</v>
      </c>
      <c r="AE27" s="64">
        <v>2.8268789999999999</v>
      </c>
      <c r="AF27" s="64">
        <v>2.9105050000000001</v>
      </c>
      <c r="AG27" s="64">
        <v>2.9894959999999999</v>
      </c>
      <c r="AH27" s="64">
        <v>3.0641250000000002</v>
      </c>
      <c r="AI27" s="64">
        <v>3.1337060000000001</v>
      </c>
      <c r="AJ27" s="64">
        <v>3.198083</v>
      </c>
      <c r="AK27" s="62">
        <v>8.0975000000000005E-2</v>
      </c>
    </row>
    <row r="28" spans="1:37" ht="15" customHeight="1" x14ac:dyDescent="0.2">
      <c r="A28" s="57" t="s">
        <v>621</v>
      </c>
      <c r="B28" s="60" t="s">
        <v>622</v>
      </c>
      <c r="C28" s="64">
        <v>0</v>
      </c>
      <c r="D28" s="64">
        <v>0</v>
      </c>
      <c r="E28" s="64">
        <v>0</v>
      </c>
      <c r="F28" s="64">
        <v>0</v>
      </c>
      <c r="G28" s="64">
        <v>0</v>
      </c>
      <c r="H28" s="64">
        <v>0</v>
      </c>
      <c r="I28" s="64">
        <v>0</v>
      </c>
      <c r="J28" s="64">
        <v>0</v>
      </c>
      <c r="K28" s="64">
        <v>0</v>
      </c>
      <c r="L28" s="64">
        <v>0</v>
      </c>
      <c r="M28" s="64">
        <v>0</v>
      </c>
      <c r="N28" s="64">
        <v>0</v>
      </c>
      <c r="O28" s="64">
        <v>0</v>
      </c>
      <c r="P28" s="64">
        <v>1.106E-3</v>
      </c>
      <c r="Q28" s="64">
        <v>6.045E-3</v>
      </c>
      <c r="R28" s="64">
        <v>1.4296E-2</v>
      </c>
      <c r="S28" s="64">
        <v>2.4434999999999998E-2</v>
      </c>
      <c r="T28" s="64">
        <v>3.5562999999999997E-2</v>
      </c>
      <c r="U28" s="64">
        <v>4.7097E-2</v>
      </c>
      <c r="V28" s="64">
        <v>5.8715999999999997E-2</v>
      </c>
      <c r="W28" s="64">
        <v>7.0455000000000004E-2</v>
      </c>
      <c r="X28" s="64">
        <v>8.2170000000000007E-2</v>
      </c>
      <c r="Y28" s="64">
        <v>9.3822000000000003E-2</v>
      </c>
      <c r="Z28" s="64">
        <v>0.10548399999999999</v>
      </c>
      <c r="AA28" s="64">
        <v>0.117164</v>
      </c>
      <c r="AB28" s="64">
        <v>0.12867700000000001</v>
      </c>
      <c r="AC28" s="64">
        <v>0.139957</v>
      </c>
      <c r="AD28" s="64">
        <v>0.15096000000000001</v>
      </c>
      <c r="AE28" s="64">
        <v>0.16147400000000001</v>
      </c>
      <c r="AF28" s="64">
        <v>0.171426</v>
      </c>
      <c r="AG28" s="64">
        <v>0.180641</v>
      </c>
      <c r="AH28" s="64">
        <v>0.188912</v>
      </c>
      <c r="AI28" s="64">
        <v>0.19629099999999999</v>
      </c>
      <c r="AJ28" s="64">
        <v>0.20271900000000001</v>
      </c>
      <c r="AK28" s="62" t="s">
        <v>467</v>
      </c>
    </row>
    <row r="29" spans="1:37" ht="15" customHeight="1" x14ac:dyDescent="0.2">
      <c r="A29" s="57" t="s">
        <v>623</v>
      </c>
      <c r="B29" s="60" t="s">
        <v>624</v>
      </c>
      <c r="C29" s="64">
        <v>3.7064629999999998</v>
      </c>
      <c r="D29" s="64">
        <v>4.1356450000000002</v>
      </c>
      <c r="E29" s="64">
        <v>4.5493259999999998</v>
      </c>
      <c r="F29" s="64">
        <v>4.9446120000000002</v>
      </c>
      <c r="G29" s="64">
        <v>5.3175369999999997</v>
      </c>
      <c r="H29" s="64">
        <v>5.6657719999999996</v>
      </c>
      <c r="I29" s="64">
        <v>6.0134660000000002</v>
      </c>
      <c r="J29" s="64">
        <v>6.3649370000000003</v>
      </c>
      <c r="K29" s="64">
        <v>6.7036470000000001</v>
      </c>
      <c r="L29" s="64">
        <v>7.0463329999999997</v>
      </c>
      <c r="M29" s="64">
        <v>7.3953179999999996</v>
      </c>
      <c r="N29" s="64">
        <v>7.7492720000000004</v>
      </c>
      <c r="O29" s="64">
        <v>8.1104719999999997</v>
      </c>
      <c r="P29" s="64">
        <v>8.4798100000000005</v>
      </c>
      <c r="Q29" s="64">
        <v>8.8593720000000005</v>
      </c>
      <c r="R29" s="64">
        <v>9.2361450000000005</v>
      </c>
      <c r="S29" s="64">
        <v>9.6082610000000006</v>
      </c>
      <c r="T29" s="64">
        <v>9.9712049999999994</v>
      </c>
      <c r="U29" s="64">
        <v>10.323838</v>
      </c>
      <c r="V29" s="64">
        <v>10.665428</v>
      </c>
      <c r="W29" s="64">
        <v>10.998904</v>
      </c>
      <c r="X29" s="64">
        <v>11.323565</v>
      </c>
      <c r="Y29" s="64">
        <v>11.633993</v>
      </c>
      <c r="Z29" s="64">
        <v>11.931743000000001</v>
      </c>
      <c r="AA29" s="64">
        <v>12.216390000000001</v>
      </c>
      <c r="AB29" s="64">
        <v>12.484378</v>
      </c>
      <c r="AC29" s="64">
        <v>12.734292</v>
      </c>
      <c r="AD29" s="64">
        <v>12.967893999999999</v>
      </c>
      <c r="AE29" s="64">
        <v>13.183614</v>
      </c>
      <c r="AF29" s="64">
        <v>13.379956999999999</v>
      </c>
      <c r="AG29" s="64">
        <v>13.55348</v>
      </c>
      <c r="AH29" s="64">
        <v>13.704230000000001</v>
      </c>
      <c r="AI29" s="64">
        <v>13.834745</v>
      </c>
      <c r="AJ29" s="64">
        <v>13.944232</v>
      </c>
      <c r="AK29" s="62">
        <v>3.8712999999999997E-2</v>
      </c>
    </row>
    <row r="30" spans="1:37" ht="15" customHeight="1" x14ac:dyDescent="0.2">
      <c r="A30" s="57" t="s">
        <v>625</v>
      </c>
      <c r="B30" s="60" t="s">
        <v>626</v>
      </c>
      <c r="C30" s="64">
        <v>2.9741E-2</v>
      </c>
      <c r="D30" s="64">
        <v>2.4521000000000001E-2</v>
      </c>
      <c r="E30" s="64">
        <v>1.9040999999999999E-2</v>
      </c>
      <c r="F30" s="64">
        <v>1.7267999999999999E-2</v>
      </c>
      <c r="G30" s="64">
        <v>1.6330000000000001E-2</v>
      </c>
      <c r="H30" s="64">
        <v>1.5495999999999999E-2</v>
      </c>
      <c r="I30" s="64">
        <v>1.4768E-2</v>
      </c>
      <c r="J30" s="64">
        <v>1.4121E-2</v>
      </c>
      <c r="K30" s="64">
        <v>1.3533E-2</v>
      </c>
      <c r="L30" s="64">
        <v>1.3041000000000001E-2</v>
      </c>
      <c r="M30" s="64">
        <v>1.2605E-2</v>
      </c>
      <c r="N30" s="64">
        <v>1.2236E-2</v>
      </c>
      <c r="O30" s="64">
        <v>1.1926000000000001E-2</v>
      </c>
      <c r="P30" s="64">
        <v>1.1697000000000001E-2</v>
      </c>
      <c r="Q30" s="64">
        <v>1.1563E-2</v>
      </c>
      <c r="R30" s="64">
        <v>1.1480000000000001E-2</v>
      </c>
      <c r="S30" s="64">
        <v>1.1457E-2</v>
      </c>
      <c r="T30" s="64">
        <v>1.1497E-2</v>
      </c>
      <c r="U30" s="64">
        <v>1.1577E-2</v>
      </c>
      <c r="V30" s="64">
        <v>1.1684999999999999E-2</v>
      </c>
      <c r="W30" s="64">
        <v>1.1779E-2</v>
      </c>
      <c r="X30" s="64">
        <v>1.1887999999999999E-2</v>
      </c>
      <c r="Y30" s="64">
        <v>1.2001E-2</v>
      </c>
      <c r="Z30" s="64">
        <v>1.2114E-2</v>
      </c>
      <c r="AA30" s="64">
        <v>1.227E-2</v>
      </c>
      <c r="AB30" s="64">
        <v>1.2376E-2</v>
      </c>
      <c r="AC30" s="64">
        <v>1.2532E-2</v>
      </c>
      <c r="AD30" s="64">
        <v>1.2681E-2</v>
      </c>
      <c r="AE30" s="64">
        <v>1.2822E-2</v>
      </c>
      <c r="AF30" s="64">
        <v>1.2952E-2</v>
      </c>
      <c r="AG30" s="64">
        <v>1.307E-2</v>
      </c>
      <c r="AH30" s="64">
        <v>1.3174999999999999E-2</v>
      </c>
      <c r="AI30" s="64">
        <v>1.3271E-2</v>
      </c>
      <c r="AJ30" s="64">
        <v>1.3357000000000001E-2</v>
      </c>
      <c r="AK30" s="62">
        <v>-1.8804000000000001E-2</v>
      </c>
    </row>
    <row r="31" spans="1:37" ht="15" customHeight="1" x14ac:dyDescent="0.2">
      <c r="A31" s="57" t="s">
        <v>627</v>
      </c>
      <c r="B31" s="60" t="s">
        <v>628</v>
      </c>
      <c r="C31" s="64">
        <v>4.8749000000000001E-2</v>
      </c>
      <c r="D31" s="64">
        <v>4.7324999999999999E-2</v>
      </c>
      <c r="E31" s="64">
        <v>4.6073999999999997E-2</v>
      </c>
      <c r="F31" s="64">
        <v>4.4930999999999999E-2</v>
      </c>
      <c r="G31" s="64">
        <v>4.3952999999999999E-2</v>
      </c>
      <c r="H31" s="64">
        <v>4.3007999999999998E-2</v>
      </c>
      <c r="I31" s="64">
        <v>4.2172000000000001E-2</v>
      </c>
      <c r="J31" s="64">
        <v>4.1301999999999998E-2</v>
      </c>
      <c r="K31" s="64">
        <v>4.0327000000000002E-2</v>
      </c>
      <c r="L31" s="64">
        <v>3.9335000000000002E-2</v>
      </c>
      <c r="M31" s="64">
        <v>3.8346999999999999E-2</v>
      </c>
      <c r="N31" s="64">
        <v>3.7448000000000002E-2</v>
      </c>
      <c r="O31" s="64">
        <v>3.6693999999999997E-2</v>
      </c>
      <c r="P31" s="64">
        <v>3.6110999999999997E-2</v>
      </c>
      <c r="Q31" s="64">
        <v>3.5749999999999997E-2</v>
      </c>
      <c r="R31" s="64">
        <v>3.5506000000000003E-2</v>
      </c>
      <c r="S31" s="64">
        <v>3.5422000000000002E-2</v>
      </c>
      <c r="T31" s="64">
        <v>3.5499999999999997E-2</v>
      </c>
      <c r="U31" s="64">
        <v>3.5654999999999999E-2</v>
      </c>
      <c r="V31" s="64">
        <v>3.5860000000000003E-2</v>
      </c>
      <c r="W31" s="64">
        <v>3.6055999999999998E-2</v>
      </c>
      <c r="X31" s="64">
        <v>3.6274000000000001E-2</v>
      </c>
      <c r="Y31" s="64">
        <v>3.6511000000000002E-2</v>
      </c>
      <c r="Z31" s="64">
        <v>3.6762000000000003E-2</v>
      </c>
      <c r="AA31" s="64">
        <v>3.7109999999999997E-2</v>
      </c>
      <c r="AB31" s="64">
        <v>3.7472999999999999E-2</v>
      </c>
      <c r="AC31" s="64">
        <v>3.7821E-2</v>
      </c>
      <c r="AD31" s="64">
        <v>3.8169000000000002E-2</v>
      </c>
      <c r="AE31" s="64">
        <v>3.8504999999999998E-2</v>
      </c>
      <c r="AF31" s="64">
        <v>3.8822000000000002E-2</v>
      </c>
      <c r="AG31" s="64">
        <v>3.9100999999999997E-2</v>
      </c>
      <c r="AH31" s="64">
        <v>3.934E-2</v>
      </c>
      <c r="AI31" s="64">
        <v>3.9555E-2</v>
      </c>
      <c r="AJ31" s="64">
        <v>3.9738000000000002E-2</v>
      </c>
      <c r="AK31" s="62">
        <v>-5.4450000000000002E-3</v>
      </c>
    </row>
    <row r="32" spans="1:37" ht="15" customHeight="1" x14ac:dyDescent="0.2">
      <c r="A32" s="57" t="s">
        <v>629</v>
      </c>
      <c r="B32" s="60" t="s">
        <v>630</v>
      </c>
      <c r="C32" s="64">
        <v>4.3940000000000003E-3</v>
      </c>
      <c r="D32" s="64">
        <v>4.45E-3</v>
      </c>
      <c r="E32" s="64">
        <v>4.5329999999999997E-3</v>
      </c>
      <c r="F32" s="64">
        <v>4.6360000000000004E-3</v>
      </c>
      <c r="G32" s="64">
        <v>4.7609999999999996E-3</v>
      </c>
      <c r="H32" s="64">
        <v>4.8669999999999998E-3</v>
      </c>
      <c r="I32" s="64">
        <v>4.9829999999999996E-3</v>
      </c>
      <c r="J32" s="64">
        <v>5.1079999999999997E-3</v>
      </c>
      <c r="K32" s="64">
        <v>5.2329999999999998E-3</v>
      </c>
      <c r="L32" s="64">
        <v>5.365E-3</v>
      </c>
      <c r="M32" s="64">
        <v>5.5040000000000002E-3</v>
      </c>
      <c r="N32" s="64">
        <v>5.646E-3</v>
      </c>
      <c r="O32" s="64">
        <v>5.7920000000000003E-3</v>
      </c>
      <c r="P32" s="64">
        <v>5.9430000000000004E-3</v>
      </c>
      <c r="Q32" s="64">
        <v>6.1009999999999997E-3</v>
      </c>
      <c r="R32" s="64">
        <v>6.2529999999999999E-3</v>
      </c>
      <c r="S32" s="64">
        <v>6.4070000000000004E-3</v>
      </c>
      <c r="T32" s="64">
        <v>6.5620000000000001E-3</v>
      </c>
      <c r="U32" s="64">
        <v>6.711E-3</v>
      </c>
      <c r="V32" s="64">
        <v>6.855E-3</v>
      </c>
      <c r="W32" s="64">
        <v>6.9979999999999999E-3</v>
      </c>
      <c r="X32" s="64">
        <v>7.1370000000000001E-3</v>
      </c>
      <c r="Y32" s="64">
        <v>7.2760000000000003E-3</v>
      </c>
      <c r="Z32" s="64">
        <v>7.4190000000000002E-3</v>
      </c>
      <c r="AA32" s="64">
        <v>7.5290000000000001E-3</v>
      </c>
      <c r="AB32" s="64">
        <v>7.6730000000000001E-3</v>
      </c>
      <c r="AC32" s="64">
        <v>7.8250000000000004E-3</v>
      </c>
      <c r="AD32" s="64">
        <v>7.9819999999999995E-3</v>
      </c>
      <c r="AE32" s="64">
        <v>8.1410000000000007E-3</v>
      </c>
      <c r="AF32" s="64">
        <v>8.3009999999999994E-3</v>
      </c>
      <c r="AG32" s="64">
        <v>8.4600000000000005E-3</v>
      </c>
      <c r="AH32" s="64">
        <v>8.6149999999999994E-3</v>
      </c>
      <c r="AI32" s="64">
        <v>8.7720000000000003E-3</v>
      </c>
      <c r="AJ32" s="64">
        <v>8.9269999999999992E-3</v>
      </c>
      <c r="AK32" s="62">
        <v>2.1996999999999999E-2</v>
      </c>
    </row>
    <row r="33" spans="1:37" ht="15" customHeight="1" x14ac:dyDescent="0.2">
      <c r="A33" s="57" t="s">
        <v>631</v>
      </c>
      <c r="B33" s="60" t="s">
        <v>632</v>
      </c>
      <c r="C33" s="64">
        <v>8.6130000000000009E-3</v>
      </c>
      <c r="D33" s="64">
        <v>8.5850000000000006E-3</v>
      </c>
      <c r="E33" s="64">
        <v>8.5859999999999999E-3</v>
      </c>
      <c r="F33" s="64">
        <v>8.6289999999999995E-3</v>
      </c>
      <c r="G33" s="64">
        <v>8.7180000000000001E-3</v>
      </c>
      <c r="H33" s="64">
        <v>8.7860000000000004E-3</v>
      </c>
      <c r="I33" s="64">
        <v>8.8739999999999999E-3</v>
      </c>
      <c r="J33" s="64">
        <v>8.9720000000000008E-3</v>
      </c>
      <c r="K33" s="64">
        <v>9.0679999999999997E-3</v>
      </c>
      <c r="L33" s="64">
        <v>9.1699999999999993E-3</v>
      </c>
      <c r="M33" s="64">
        <v>9.2770000000000005E-3</v>
      </c>
      <c r="N33" s="64">
        <v>9.3860000000000002E-3</v>
      </c>
      <c r="O33" s="64">
        <v>9.5029999999999993E-3</v>
      </c>
      <c r="P33" s="64">
        <v>9.6240000000000006E-3</v>
      </c>
      <c r="Q33" s="64">
        <v>9.7599999999999996E-3</v>
      </c>
      <c r="R33" s="64">
        <v>9.8919999999999998E-3</v>
      </c>
      <c r="S33" s="64">
        <v>1.0033E-2</v>
      </c>
      <c r="T33" s="64">
        <v>1.0184E-2</v>
      </c>
      <c r="U33" s="64">
        <v>1.0331E-2</v>
      </c>
      <c r="V33" s="64">
        <v>1.0470999999999999E-2</v>
      </c>
      <c r="W33" s="64">
        <v>1.0604000000000001E-2</v>
      </c>
      <c r="X33" s="64">
        <v>1.0730999999999999E-2</v>
      </c>
      <c r="Y33" s="64">
        <v>1.0855E-2</v>
      </c>
      <c r="Z33" s="64">
        <v>1.098E-2</v>
      </c>
      <c r="AA33" s="64">
        <v>1.1036000000000001E-2</v>
      </c>
      <c r="AB33" s="64">
        <v>1.1147000000000001E-2</v>
      </c>
      <c r="AC33" s="64">
        <v>1.1264E-2</v>
      </c>
      <c r="AD33" s="64">
        <v>1.1381E-2</v>
      </c>
      <c r="AE33" s="64">
        <v>1.1495E-2</v>
      </c>
      <c r="AF33" s="64">
        <v>1.1603E-2</v>
      </c>
      <c r="AG33" s="64">
        <v>1.1702000000000001E-2</v>
      </c>
      <c r="AH33" s="64">
        <v>1.1789000000000001E-2</v>
      </c>
      <c r="AI33" s="64">
        <v>1.1868999999999999E-2</v>
      </c>
      <c r="AJ33" s="64">
        <v>1.1939999999999999E-2</v>
      </c>
      <c r="AK33" s="62">
        <v>1.0362E-2</v>
      </c>
    </row>
    <row r="34" spans="1:37" ht="15" customHeight="1" x14ac:dyDescent="0.2">
      <c r="A34" s="57" t="s">
        <v>633</v>
      </c>
      <c r="B34" s="60" t="s">
        <v>634</v>
      </c>
      <c r="C34" s="64">
        <v>0</v>
      </c>
      <c r="D34" s="64">
        <v>0</v>
      </c>
      <c r="E34" s="64">
        <v>0</v>
      </c>
      <c r="F34" s="64">
        <v>0</v>
      </c>
      <c r="G34" s="64">
        <v>0</v>
      </c>
      <c r="H34" s="64">
        <v>0</v>
      </c>
      <c r="I34" s="64">
        <v>0</v>
      </c>
      <c r="J34" s="64">
        <v>0</v>
      </c>
      <c r="K34" s="64">
        <v>0</v>
      </c>
      <c r="L34" s="64">
        <v>0</v>
      </c>
      <c r="M34" s="64">
        <v>0</v>
      </c>
      <c r="N34" s="64">
        <v>0</v>
      </c>
      <c r="O34" s="64">
        <v>0</v>
      </c>
      <c r="P34" s="64">
        <v>0</v>
      </c>
      <c r="Q34" s="64">
        <v>0</v>
      </c>
      <c r="R34" s="64">
        <v>0</v>
      </c>
      <c r="S34" s="64">
        <v>0</v>
      </c>
      <c r="T34" s="64">
        <v>0</v>
      </c>
      <c r="U34" s="64">
        <v>0</v>
      </c>
      <c r="V34" s="64">
        <v>0</v>
      </c>
      <c r="W34" s="64">
        <v>0</v>
      </c>
      <c r="X34" s="64">
        <v>0</v>
      </c>
      <c r="Y34" s="64">
        <v>0</v>
      </c>
      <c r="Z34" s="64">
        <v>0</v>
      </c>
      <c r="AA34" s="64">
        <v>0</v>
      </c>
      <c r="AB34" s="64">
        <v>0</v>
      </c>
      <c r="AC34" s="64">
        <v>0</v>
      </c>
      <c r="AD34" s="64">
        <v>0</v>
      </c>
      <c r="AE34" s="64">
        <v>0</v>
      </c>
      <c r="AF34" s="64">
        <v>0</v>
      </c>
      <c r="AG34" s="64">
        <v>0</v>
      </c>
      <c r="AH34" s="64">
        <v>0</v>
      </c>
      <c r="AI34" s="64">
        <v>0</v>
      </c>
      <c r="AJ34" s="64">
        <v>0</v>
      </c>
      <c r="AK34" s="62" t="s">
        <v>467</v>
      </c>
    </row>
    <row r="35" spans="1:37" ht="15" customHeight="1" x14ac:dyDescent="0.2">
      <c r="A35" s="57" t="s">
        <v>635</v>
      </c>
      <c r="B35" s="60" t="s">
        <v>636</v>
      </c>
      <c r="C35" s="64">
        <v>2.82E-3</v>
      </c>
      <c r="D35" s="64">
        <v>5.5430000000000002E-3</v>
      </c>
      <c r="E35" s="64">
        <v>1.0657E-2</v>
      </c>
      <c r="F35" s="64">
        <v>1.9237000000000001E-2</v>
      </c>
      <c r="G35" s="64">
        <v>3.4423000000000002E-2</v>
      </c>
      <c r="H35" s="64">
        <v>5.6417000000000002E-2</v>
      </c>
      <c r="I35" s="64">
        <v>7.9184000000000004E-2</v>
      </c>
      <c r="J35" s="64">
        <v>0.104646</v>
      </c>
      <c r="K35" s="64">
        <v>0.13215099999999999</v>
      </c>
      <c r="L35" s="64">
        <v>0.15907099999999999</v>
      </c>
      <c r="M35" s="64">
        <v>0.185275</v>
      </c>
      <c r="N35" s="64">
        <v>0.209316</v>
      </c>
      <c r="O35" s="64">
        <v>0.232766</v>
      </c>
      <c r="P35" s="64">
        <v>0.25512400000000002</v>
      </c>
      <c r="Q35" s="64">
        <v>0.27656599999999998</v>
      </c>
      <c r="R35" s="64">
        <v>0.294879</v>
      </c>
      <c r="S35" s="64">
        <v>0.31181300000000001</v>
      </c>
      <c r="T35" s="64">
        <v>0.32760899999999998</v>
      </c>
      <c r="U35" s="64">
        <v>0.34204299999999999</v>
      </c>
      <c r="V35" s="64">
        <v>0.35509499999999999</v>
      </c>
      <c r="W35" s="64">
        <v>0.36593399999999998</v>
      </c>
      <c r="X35" s="64">
        <v>0.375168</v>
      </c>
      <c r="Y35" s="64">
        <v>0.38295000000000001</v>
      </c>
      <c r="Z35" s="64">
        <v>0.38947900000000002</v>
      </c>
      <c r="AA35" s="64">
        <v>0.39469300000000002</v>
      </c>
      <c r="AB35" s="64">
        <v>0.39886899999999997</v>
      </c>
      <c r="AC35" s="64">
        <v>0.40228199999999997</v>
      </c>
      <c r="AD35" s="64">
        <v>0.405169</v>
      </c>
      <c r="AE35" s="64">
        <v>0.40759899999999999</v>
      </c>
      <c r="AF35" s="64">
        <v>0.40962799999999999</v>
      </c>
      <c r="AG35" s="64">
        <v>0.41149400000000003</v>
      </c>
      <c r="AH35" s="64">
        <v>0.41349999999999998</v>
      </c>
      <c r="AI35" s="64">
        <v>0.41558899999999999</v>
      </c>
      <c r="AJ35" s="64">
        <v>0.41783100000000001</v>
      </c>
      <c r="AK35" s="62">
        <v>0.14462700000000001</v>
      </c>
    </row>
    <row r="36" spans="1:37" ht="15" customHeight="1" x14ac:dyDescent="0.2">
      <c r="A36" s="57" t="s">
        <v>637</v>
      </c>
      <c r="B36" s="60" t="s">
        <v>638</v>
      </c>
      <c r="C36" s="64">
        <v>9.3004119999999997</v>
      </c>
      <c r="D36" s="64">
        <v>10.168049</v>
      </c>
      <c r="E36" s="64">
        <v>11.247043</v>
      </c>
      <c r="F36" s="64">
        <v>12.414519</v>
      </c>
      <c r="G36" s="64">
        <v>13.639360999999999</v>
      </c>
      <c r="H36" s="64">
        <v>14.851008999999999</v>
      </c>
      <c r="I36" s="64">
        <v>16.084098999999998</v>
      </c>
      <c r="J36" s="64">
        <v>17.350054</v>
      </c>
      <c r="K36" s="64">
        <v>18.613907000000001</v>
      </c>
      <c r="L36" s="64">
        <v>19.845109999999998</v>
      </c>
      <c r="M36" s="64">
        <v>21.068995999999999</v>
      </c>
      <c r="N36" s="64">
        <v>22.296021</v>
      </c>
      <c r="O36" s="64">
        <v>23.554010000000002</v>
      </c>
      <c r="P36" s="64">
        <v>24.858481999999999</v>
      </c>
      <c r="Q36" s="64">
        <v>26.236809000000001</v>
      </c>
      <c r="R36" s="64">
        <v>27.657029999999999</v>
      </c>
      <c r="S36" s="64">
        <v>29.119824999999999</v>
      </c>
      <c r="T36" s="64">
        <v>30.625978</v>
      </c>
      <c r="U36" s="64">
        <v>32.149498000000001</v>
      </c>
      <c r="V36" s="64">
        <v>33.680664</v>
      </c>
      <c r="W36" s="64">
        <v>35.222031000000001</v>
      </c>
      <c r="X36" s="64">
        <v>36.766041000000001</v>
      </c>
      <c r="Y36" s="64">
        <v>38.296866999999999</v>
      </c>
      <c r="Z36" s="64">
        <v>39.814929999999997</v>
      </c>
      <c r="AA36" s="64">
        <v>41.295268999999998</v>
      </c>
      <c r="AB36" s="64">
        <v>42.732185000000001</v>
      </c>
      <c r="AC36" s="64">
        <v>44.122540000000001</v>
      </c>
      <c r="AD36" s="64">
        <v>45.475185000000003</v>
      </c>
      <c r="AE36" s="64">
        <v>46.783378999999996</v>
      </c>
      <c r="AF36" s="64">
        <v>48.031551</v>
      </c>
      <c r="AG36" s="64">
        <v>49.214694999999999</v>
      </c>
      <c r="AH36" s="64">
        <v>50.337093000000003</v>
      </c>
      <c r="AI36" s="64">
        <v>51.403258999999998</v>
      </c>
      <c r="AJ36" s="64">
        <v>52.406235000000002</v>
      </c>
      <c r="AK36" s="62">
        <v>5.2579000000000001E-2</v>
      </c>
    </row>
    <row r="37" spans="1:37" ht="15.75" customHeight="1" x14ac:dyDescent="0.2"/>
    <row r="38" spans="1:37" ht="15" customHeight="1" x14ac:dyDescent="0.2">
      <c r="A38" s="57" t="s">
        <v>639</v>
      </c>
      <c r="B38" s="59" t="s">
        <v>640</v>
      </c>
      <c r="C38" s="65">
        <v>132.81542999999999</v>
      </c>
      <c r="D38" s="65">
        <v>134.081345</v>
      </c>
      <c r="E38" s="65">
        <v>135.266739</v>
      </c>
      <c r="F38" s="65">
        <v>136.40748600000001</v>
      </c>
      <c r="G38" s="65">
        <v>137.473007</v>
      </c>
      <c r="H38" s="65">
        <v>138.36201500000001</v>
      </c>
      <c r="I38" s="65">
        <v>139.35977199999999</v>
      </c>
      <c r="J38" s="65">
        <v>140.46563699999999</v>
      </c>
      <c r="K38" s="65">
        <v>141.644958</v>
      </c>
      <c r="L38" s="65">
        <v>142.82337999999999</v>
      </c>
      <c r="M38" s="65">
        <v>144.00891100000001</v>
      </c>
      <c r="N38" s="65">
        <v>145.15722700000001</v>
      </c>
      <c r="O38" s="65">
        <v>146.27925099999999</v>
      </c>
      <c r="P38" s="65">
        <v>147.44532799999999</v>
      </c>
      <c r="Q38" s="65">
        <v>148.75460799999999</v>
      </c>
      <c r="R38" s="65">
        <v>150.11850000000001</v>
      </c>
      <c r="S38" s="65">
        <v>151.56144699999999</v>
      </c>
      <c r="T38" s="65">
        <v>153.11291499999999</v>
      </c>
      <c r="U38" s="65">
        <v>154.73336800000001</v>
      </c>
      <c r="V38" s="65">
        <v>156.415695</v>
      </c>
      <c r="W38" s="65">
        <v>158.18566899999999</v>
      </c>
      <c r="X38" s="65">
        <v>160.05763200000001</v>
      </c>
      <c r="Y38" s="65">
        <v>161.97427400000001</v>
      </c>
      <c r="Z38" s="65">
        <v>163.93460099999999</v>
      </c>
      <c r="AA38" s="65">
        <v>165.90562399999999</v>
      </c>
      <c r="AB38" s="65">
        <v>167.85931400000001</v>
      </c>
      <c r="AC38" s="65">
        <v>169.768158</v>
      </c>
      <c r="AD38" s="65">
        <v>171.65643299999999</v>
      </c>
      <c r="AE38" s="65">
        <v>173.49435399999999</v>
      </c>
      <c r="AF38" s="65">
        <v>175.247772</v>
      </c>
      <c r="AG38" s="65">
        <v>176.86923200000001</v>
      </c>
      <c r="AH38" s="65">
        <v>178.342758</v>
      </c>
      <c r="AI38" s="65">
        <v>179.69679300000001</v>
      </c>
      <c r="AJ38" s="65">
        <v>180.91119399999999</v>
      </c>
      <c r="AK38" s="66">
        <v>9.4050000000000002E-3</v>
      </c>
    </row>
    <row r="39" spans="1:37" ht="15.75" customHeight="1" x14ac:dyDescent="0.2"/>
    <row r="40" spans="1:37" ht="15" customHeight="1" x14ac:dyDescent="0.2">
      <c r="B40" s="59" t="s">
        <v>641</v>
      </c>
    </row>
    <row r="41" spans="1:37" ht="15" customHeight="1" x14ac:dyDescent="0.2">
      <c r="B41" s="59" t="s">
        <v>642</v>
      </c>
    </row>
    <row r="42" spans="1:37" ht="15" customHeight="1" x14ac:dyDescent="0.2">
      <c r="A42" s="57" t="s">
        <v>643</v>
      </c>
      <c r="B42" s="60" t="s">
        <v>603</v>
      </c>
      <c r="C42" s="64">
        <v>105.139511</v>
      </c>
      <c r="D42" s="64">
        <v>105.253494</v>
      </c>
      <c r="E42" s="64">
        <v>105.412773</v>
      </c>
      <c r="F42" s="64">
        <v>105.558807</v>
      </c>
      <c r="G42" s="64">
        <v>105.75747699999999</v>
      </c>
      <c r="H42" s="64">
        <v>105.866913</v>
      </c>
      <c r="I42" s="64">
        <v>106.05435900000001</v>
      </c>
      <c r="J42" s="64">
        <v>106.25108299999999</v>
      </c>
      <c r="K42" s="64">
        <v>106.377174</v>
      </c>
      <c r="L42" s="64">
        <v>106.488991</v>
      </c>
      <c r="M42" s="64">
        <v>106.440292</v>
      </c>
      <c r="N42" s="64">
        <v>106.242165</v>
      </c>
      <c r="O42" s="64">
        <v>105.843925</v>
      </c>
      <c r="P42" s="64">
        <v>105.324333</v>
      </c>
      <c r="Q42" s="64">
        <v>104.768936</v>
      </c>
      <c r="R42" s="64">
        <v>104.12988300000001</v>
      </c>
      <c r="S42" s="64">
        <v>103.454353</v>
      </c>
      <c r="T42" s="64">
        <v>102.716255</v>
      </c>
      <c r="U42" s="64">
        <v>101.89417299999999</v>
      </c>
      <c r="V42" s="64">
        <v>100.996574</v>
      </c>
      <c r="W42" s="64">
        <v>100.068527</v>
      </c>
      <c r="X42" s="64">
        <v>99.134406999999996</v>
      </c>
      <c r="Y42" s="64">
        <v>98.203331000000006</v>
      </c>
      <c r="Z42" s="64">
        <v>97.292336000000006</v>
      </c>
      <c r="AA42" s="64">
        <v>96.440726999999995</v>
      </c>
      <c r="AB42" s="64">
        <v>95.633842000000001</v>
      </c>
      <c r="AC42" s="64">
        <v>94.880959000000004</v>
      </c>
      <c r="AD42" s="64">
        <v>94.201819999999998</v>
      </c>
      <c r="AE42" s="64">
        <v>93.576583999999997</v>
      </c>
      <c r="AF42" s="64">
        <v>93.036606000000006</v>
      </c>
      <c r="AG42" s="64">
        <v>92.538169999999994</v>
      </c>
      <c r="AH42" s="64">
        <v>92.052879000000004</v>
      </c>
      <c r="AI42" s="64">
        <v>91.603560999999999</v>
      </c>
      <c r="AJ42" s="64">
        <v>91.180695</v>
      </c>
      <c r="AK42" s="62">
        <v>-4.4749999999999998E-3</v>
      </c>
    </row>
    <row r="43" spans="1:37" ht="15" customHeight="1" x14ac:dyDescent="0.2">
      <c r="A43" s="57" t="s">
        <v>644</v>
      </c>
      <c r="B43" s="60" t="s">
        <v>605</v>
      </c>
      <c r="C43" s="64">
        <v>0.42924699999999999</v>
      </c>
      <c r="D43" s="64">
        <v>0.49420199999999997</v>
      </c>
      <c r="E43" s="64">
        <v>0.61248999999999998</v>
      </c>
      <c r="F43" s="64">
        <v>0.77735299999999996</v>
      </c>
      <c r="G43" s="64">
        <v>0.94335400000000003</v>
      </c>
      <c r="H43" s="64">
        <v>1.1087450000000001</v>
      </c>
      <c r="I43" s="64">
        <v>1.2744530000000001</v>
      </c>
      <c r="J43" s="64">
        <v>1.4367719999999999</v>
      </c>
      <c r="K43" s="64">
        <v>1.5949359999999999</v>
      </c>
      <c r="L43" s="64">
        <v>1.745153</v>
      </c>
      <c r="M43" s="64">
        <v>1.879648</v>
      </c>
      <c r="N43" s="64">
        <v>2.0001920000000002</v>
      </c>
      <c r="O43" s="64">
        <v>2.1044109999999998</v>
      </c>
      <c r="P43" s="64">
        <v>2.1947589999999999</v>
      </c>
      <c r="Q43" s="64">
        <v>2.2745340000000001</v>
      </c>
      <c r="R43" s="64">
        <v>2.3392170000000001</v>
      </c>
      <c r="S43" s="64">
        <v>2.3898839999999999</v>
      </c>
      <c r="T43" s="64">
        <v>2.42916</v>
      </c>
      <c r="U43" s="64">
        <v>2.4565990000000002</v>
      </c>
      <c r="V43" s="64">
        <v>2.4731709999999998</v>
      </c>
      <c r="W43" s="64">
        <v>2.4825330000000001</v>
      </c>
      <c r="X43" s="64">
        <v>2.4844629999999999</v>
      </c>
      <c r="Y43" s="64">
        <v>2.4790489999999998</v>
      </c>
      <c r="Z43" s="64">
        <v>2.467787</v>
      </c>
      <c r="AA43" s="64">
        <v>2.4527730000000001</v>
      </c>
      <c r="AB43" s="64">
        <v>2.4335010000000001</v>
      </c>
      <c r="AC43" s="64">
        <v>2.4112559999999998</v>
      </c>
      <c r="AD43" s="64">
        <v>2.3880159999999999</v>
      </c>
      <c r="AE43" s="64">
        <v>2.3633959999999998</v>
      </c>
      <c r="AF43" s="64">
        <v>2.340392</v>
      </c>
      <c r="AG43" s="64">
        <v>2.3181419999999999</v>
      </c>
      <c r="AH43" s="64">
        <v>2.2950819999999998</v>
      </c>
      <c r="AI43" s="64">
        <v>2.2718639999999999</v>
      </c>
      <c r="AJ43" s="64">
        <v>2.2481930000000001</v>
      </c>
      <c r="AK43" s="62">
        <v>4.8480000000000002E-2</v>
      </c>
    </row>
    <row r="44" spans="1:37" ht="15" customHeight="1" x14ac:dyDescent="0.2">
      <c r="A44" s="57" t="s">
        <v>645</v>
      </c>
      <c r="B44" s="60" t="s">
        <v>646</v>
      </c>
      <c r="C44" s="64">
        <v>105.56875599999999</v>
      </c>
      <c r="D44" s="64">
        <v>105.747696</v>
      </c>
      <c r="E44" s="64">
        <v>106.025261</v>
      </c>
      <c r="F44" s="64">
        <v>106.33615899999999</v>
      </c>
      <c r="G44" s="64">
        <v>106.700829</v>
      </c>
      <c r="H44" s="64">
        <v>106.975655</v>
      </c>
      <c r="I44" s="64">
        <v>107.328812</v>
      </c>
      <c r="J44" s="64">
        <v>107.687859</v>
      </c>
      <c r="K44" s="64">
        <v>107.97210699999999</v>
      </c>
      <c r="L44" s="64">
        <v>108.234146</v>
      </c>
      <c r="M44" s="64">
        <v>108.31993900000001</v>
      </c>
      <c r="N44" s="64">
        <v>108.242355</v>
      </c>
      <c r="O44" s="64">
        <v>107.948334</v>
      </c>
      <c r="P44" s="64">
        <v>107.51908899999999</v>
      </c>
      <c r="Q44" s="64">
        <v>107.04347199999999</v>
      </c>
      <c r="R44" s="64">
        <v>106.46910099999999</v>
      </c>
      <c r="S44" s="64">
        <v>105.844238</v>
      </c>
      <c r="T44" s="64">
        <v>105.145416</v>
      </c>
      <c r="U44" s="64">
        <v>104.350769</v>
      </c>
      <c r="V44" s="64">
        <v>103.469742</v>
      </c>
      <c r="W44" s="64">
        <v>102.551064</v>
      </c>
      <c r="X44" s="64">
        <v>101.61887400000001</v>
      </c>
      <c r="Y44" s="64">
        <v>100.68238100000001</v>
      </c>
      <c r="Z44" s="64">
        <v>99.760124000000005</v>
      </c>
      <c r="AA44" s="64">
        <v>98.893501000000001</v>
      </c>
      <c r="AB44" s="64">
        <v>98.067345000000003</v>
      </c>
      <c r="AC44" s="64">
        <v>97.292213000000004</v>
      </c>
      <c r="AD44" s="64">
        <v>96.589836000000005</v>
      </c>
      <c r="AE44" s="64">
        <v>95.939980000000006</v>
      </c>
      <c r="AF44" s="64">
        <v>95.376998999999998</v>
      </c>
      <c r="AG44" s="64">
        <v>94.856316000000007</v>
      </c>
      <c r="AH44" s="64">
        <v>94.347960999999998</v>
      </c>
      <c r="AI44" s="64">
        <v>93.875427000000002</v>
      </c>
      <c r="AJ44" s="64">
        <v>93.428886000000006</v>
      </c>
      <c r="AK44" s="62">
        <v>-3.8630000000000001E-3</v>
      </c>
    </row>
    <row r="45" spans="1:37" ht="15.75" customHeight="1" x14ac:dyDescent="0.2"/>
    <row r="46" spans="1:37" ht="15" customHeight="1" x14ac:dyDescent="0.2">
      <c r="B46" s="59" t="s">
        <v>647</v>
      </c>
    </row>
    <row r="47" spans="1:37" ht="15" customHeight="1" x14ac:dyDescent="0.2">
      <c r="A47" s="57" t="s">
        <v>648</v>
      </c>
      <c r="B47" s="60" t="s">
        <v>610</v>
      </c>
      <c r="C47" s="64">
        <v>14.630129999999999</v>
      </c>
      <c r="D47" s="64">
        <v>14.801981</v>
      </c>
      <c r="E47" s="64">
        <v>14.933042</v>
      </c>
      <c r="F47" s="64">
        <v>15.002501000000001</v>
      </c>
      <c r="G47" s="64">
        <v>15.005728</v>
      </c>
      <c r="H47" s="64">
        <v>14.935081</v>
      </c>
      <c r="I47" s="64">
        <v>14.811185999999999</v>
      </c>
      <c r="J47" s="64">
        <v>14.627807000000001</v>
      </c>
      <c r="K47" s="64">
        <v>14.400931</v>
      </c>
      <c r="L47" s="64">
        <v>14.151474</v>
      </c>
      <c r="M47" s="64">
        <v>13.899592</v>
      </c>
      <c r="N47" s="64">
        <v>13.675065999999999</v>
      </c>
      <c r="O47" s="64">
        <v>13.478799</v>
      </c>
      <c r="P47" s="64">
        <v>13.334288000000001</v>
      </c>
      <c r="Q47" s="64">
        <v>13.208500000000001</v>
      </c>
      <c r="R47" s="64">
        <v>13.089256000000001</v>
      </c>
      <c r="S47" s="64">
        <v>12.990664000000001</v>
      </c>
      <c r="T47" s="64">
        <v>12.925666</v>
      </c>
      <c r="U47" s="64">
        <v>12.876668</v>
      </c>
      <c r="V47" s="64">
        <v>12.851568</v>
      </c>
      <c r="W47" s="64">
        <v>12.851305999999999</v>
      </c>
      <c r="X47" s="64">
        <v>12.860448999999999</v>
      </c>
      <c r="Y47" s="64">
        <v>12.872560999999999</v>
      </c>
      <c r="Z47" s="64">
        <v>12.882545</v>
      </c>
      <c r="AA47" s="64">
        <v>12.869472999999999</v>
      </c>
      <c r="AB47" s="64">
        <v>12.829853</v>
      </c>
      <c r="AC47" s="64">
        <v>12.755886</v>
      </c>
      <c r="AD47" s="64">
        <v>12.661153000000001</v>
      </c>
      <c r="AE47" s="64">
        <v>12.546265</v>
      </c>
      <c r="AF47" s="64">
        <v>12.388064</v>
      </c>
      <c r="AG47" s="64">
        <v>12.208496999999999</v>
      </c>
      <c r="AH47" s="64">
        <v>12.017944999999999</v>
      </c>
      <c r="AI47" s="64">
        <v>11.825339</v>
      </c>
      <c r="AJ47" s="64">
        <v>11.632047999999999</v>
      </c>
      <c r="AK47" s="62">
        <v>-7.5030000000000001E-3</v>
      </c>
    </row>
    <row r="48" spans="1:37" ht="15" customHeight="1" x14ac:dyDescent="0.2">
      <c r="A48" s="57" t="s">
        <v>649</v>
      </c>
      <c r="B48" s="60" t="s">
        <v>612</v>
      </c>
      <c r="C48" s="64">
        <v>4.0569999999999998E-3</v>
      </c>
      <c r="D48" s="64">
        <v>9.3340000000000003E-3</v>
      </c>
      <c r="E48" s="64">
        <v>3.1371000000000003E-2</v>
      </c>
      <c r="F48" s="64">
        <v>6.1463999999999998E-2</v>
      </c>
      <c r="G48" s="64">
        <v>0.10489</v>
      </c>
      <c r="H48" s="64">
        <v>0.16166900000000001</v>
      </c>
      <c r="I48" s="64">
        <v>0.21954199999999999</v>
      </c>
      <c r="J48" s="64">
        <v>0.282775</v>
      </c>
      <c r="K48" s="64">
        <v>0.35006300000000001</v>
      </c>
      <c r="L48" s="64">
        <v>0.41643400000000003</v>
      </c>
      <c r="M48" s="64">
        <v>0.48152499999999998</v>
      </c>
      <c r="N48" s="64">
        <v>0.54253899999999999</v>
      </c>
      <c r="O48" s="64">
        <v>0.60282500000000006</v>
      </c>
      <c r="P48" s="64">
        <v>0.66133900000000001</v>
      </c>
      <c r="Q48" s="64">
        <v>0.71889800000000004</v>
      </c>
      <c r="R48" s="64">
        <v>0.77085199999999998</v>
      </c>
      <c r="S48" s="64">
        <v>0.82148100000000002</v>
      </c>
      <c r="T48" s="64">
        <v>0.87182599999999999</v>
      </c>
      <c r="U48" s="64">
        <v>0.92218299999999997</v>
      </c>
      <c r="V48" s="64">
        <v>0.973333</v>
      </c>
      <c r="W48" s="64">
        <v>1.0244169999999999</v>
      </c>
      <c r="X48" s="64">
        <v>1.0776129999999999</v>
      </c>
      <c r="Y48" s="64">
        <v>1.133643</v>
      </c>
      <c r="Z48" s="64">
        <v>1.1934579999999999</v>
      </c>
      <c r="AA48" s="64">
        <v>1.2568429999999999</v>
      </c>
      <c r="AB48" s="64">
        <v>1.3243529999999999</v>
      </c>
      <c r="AC48" s="64">
        <v>1.3967149999999999</v>
      </c>
      <c r="AD48" s="64">
        <v>1.475077</v>
      </c>
      <c r="AE48" s="64">
        <v>1.559884</v>
      </c>
      <c r="AF48" s="64">
        <v>1.6523680000000001</v>
      </c>
      <c r="AG48" s="64">
        <v>1.753064</v>
      </c>
      <c r="AH48" s="64">
        <v>1.8630720000000001</v>
      </c>
      <c r="AI48" s="64">
        <v>1.9833099999999999</v>
      </c>
      <c r="AJ48" s="64">
        <v>2.1148280000000002</v>
      </c>
      <c r="AK48" s="62">
        <v>0.18467600000000001</v>
      </c>
    </row>
    <row r="49" spans="1:37" ht="15" customHeight="1" x14ac:dyDescent="0.2">
      <c r="A49" s="57" t="s">
        <v>650</v>
      </c>
      <c r="B49" s="60" t="s">
        <v>614</v>
      </c>
      <c r="C49" s="64">
        <v>2.434E-3</v>
      </c>
      <c r="D49" s="64">
        <v>5.4559999999999999E-3</v>
      </c>
      <c r="E49" s="64">
        <v>1.1627E-2</v>
      </c>
      <c r="F49" s="64">
        <v>2.1975999999999999E-2</v>
      </c>
      <c r="G49" s="64">
        <v>4.0388E-2</v>
      </c>
      <c r="H49" s="64">
        <v>6.7035999999999998E-2</v>
      </c>
      <c r="I49" s="64">
        <v>9.4705999999999999E-2</v>
      </c>
      <c r="J49" s="64">
        <v>0.125752</v>
      </c>
      <c r="K49" s="64">
        <v>0.15960299999999999</v>
      </c>
      <c r="L49" s="64">
        <v>0.19302800000000001</v>
      </c>
      <c r="M49" s="64">
        <v>0.225858</v>
      </c>
      <c r="N49" s="64">
        <v>0.25657000000000002</v>
      </c>
      <c r="O49" s="64">
        <v>0.28684100000000001</v>
      </c>
      <c r="P49" s="64">
        <v>0.31610500000000002</v>
      </c>
      <c r="Q49" s="64">
        <v>0.34448400000000001</v>
      </c>
      <c r="R49" s="64">
        <v>0.36932100000000001</v>
      </c>
      <c r="S49" s="64">
        <v>0.39272400000000002</v>
      </c>
      <c r="T49" s="64">
        <v>0.41498400000000002</v>
      </c>
      <c r="U49" s="64">
        <v>0.435888</v>
      </c>
      <c r="V49" s="64">
        <v>0.45556200000000002</v>
      </c>
      <c r="W49" s="64">
        <v>0.47337800000000002</v>
      </c>
      <c r="X49" s="64">
        <v>0.49004199999999998</v>
      </c>
      <c r="Y49" s="64">
        <v>0.50568100000000005</v>
      </c>
      <c r="Z49" s="64">
        <v>0.52043399999999995</v>
      </c>
      <c r="AA49" s="64">
        <v>0.534049</v>
      </c>
      <c r="AB49" s="64">
        <v>0.54662900000000003</v>
      </c>
      <c r="AC49" s="64">
        <v>0.55830800000000003</v>
      </c>
      <c r="AD49" s="64">
        <v>0.56925999999999999</v>
      </c>
      <c r="AE49" s="64">
        <v>0.57946900000000001</v>
      </c>
      <c r="AF49" s="64">
        <v>0.58900799999999998</v>
      </c>
      <c r="AG49" s="64">
        <v>0.59804500000000005</v>
      </c>
      <c r="AH49" s="64">
        <v>0.60676799999999997</v>
      </c>
      <c r="AI49" s="64">
        <v>0.615205</v>
      </c>
      <c r="AJ49" s="64">
        <v>0.62351699999999999</v>
      </c>
      <c r="AK49" s="62">
        <v>0.159608</v>
      </c>
    </row>
    <row r="50" spans="1:37" ht="15" customHeight="1" x14ac:dyDescent="0.2">
      <c r="A50" s="57" t="s">
        <v>651</v>
      </c>
      <c r="B50" s="60" t="s">
        <v>616</v>
      </c>
      <c r="C50" s="64">
        <v>1.3519999999999999E-3</v>
      </c>
      <c r="D50" s="64">
        <v>3.8960000000000002E-3</v>
      </c>
      <c r="E50" s="64">
        <v>9.2490000000000003E-3</v>
      </c>
      <c r="F50" s="64">
        <v>1.8109E-2</v>
      </c>
      <c r="G50" s="64">
        <v>3.3702000000000003E-2</v>
      </c>
      <c r="H50" s="64">
        <v>5.6245999999999997E-2</v>
      </c>
      <c r="I50" s="64">
        <v>7.9688999999999996E-2</v>
      </c>
      <c r="J50" s="64">
        <v>0.10602399999999999</v>
      </c>
      <c r="K50" s="64">
        <v>0.13480500000000001</v>
      </c>
      <c r="L50" s="64">
        <v>0.16331599999999999</v>
      </c>
      <c r="M50" s="64">
        <v>0.19142000000000001</v>
      </c>
      <c r="N50" s="64">
        <v>0.21787500000000001</v>
      </c>
      <c r="O50" s="64">
        <v>0.24405499999999999</v>
      </c>
      <c r="P50" s="64">
        <v>0.26950000000000002</v>
      </c>
      <c r="Q50" s="64">
        <v>0.29430200000000001</v>
      </c>
      <c r="R50" s="64">
        <v>0.31630000000000003</v>
      </c>
      <c r="S50" s="64">
        <v>0.33713199999999999</v>
      </c>
      <c r="T50" s="64">
        <v>0.35702099999999998</v>
      </c>
      <c r="U50" s="64">
        <v>0.37575599999999998</v>
      </c>
      <c r="V50" s="64">
        <v>0.39341100000000001</v>
      </c>
      <c r="W50" s="64">
        <v>0.40947299999999998</v>
      </c>
      <c r="X50" s="64">
        <v>0.42447600000000002</v>
      </c>
      <c r="Y50" s="64">
        <v>0.4385</v>
      </c>
      <c r="Z50" s="64">
        <v>0.45164100000000001</v>
      </c>
      <c r="AA50" s="64">
        <v>0.4637</v>
      </c>
      <c r="AB50" s="64">
        <v>0.47473900000000002</v>
      </c>
      <c r="AC50" s="64">
        <v>0.48487000000000002</v>
      </c>
      <c r="AD50" s="64">
        <v>0.49423099999999998</v>
      </c>
      <c r="AE50" s="64">
        <v>0.50278999999999996</v>
      </c>
      <c r="AF50" s="64">
        <v>0.51060399999999995</v>
      </c>
      <c r="AG50" s="64">
        <v>0.51780499999999996</v>
      </c>
      <c r="AH50" s="64">
        <v>0.524536</v>
      </c>
      <c r="AI50" s="64">
        <v>0.53081900000000004</v>
      </c>
      <c r="AJ50" s="64">
        <v>0.53677399999999997</v>
      </c>
      <c r="AK50" s="62">
        <v>0.166408</v>
      </c>
    </row>
    <row r="51" spans="1:37" ht="15" customHeight="1" x14ac:dyDescent="0.2">
      <c r="A51" s="57" t="s">
        <v>652</v>
      </c>
      <c r="B51" s="60" t="s">
        <v>618</v>
      </c>
      <c r="C51" s="64">
        <v>2.5121000000000001E-2</v>
      </c>
      <c r="D51" s="64">
        <v>4.9593999999999999E-2</v>
      </c>
      <c r="E51" s="64">
        <v>8.2252000000000006E-2</v>
      </c>
      <c r="F51" s="64">
        <v>0.119889</v>
      </c>
      <c r="G51" s="64">
        <v>0.17269000000000001</v>
      </c>
      <c r="H51" s="64">
        <v>0.23292499999999999</v>
      </c>
      <c r="I51" s="64">
        <v>0.29628500000000002</v>
      </c>
      <c r="J51" s="64">
        <v>0.36230600000000002</v>
      </c>
      <c r="K51" s="64">
        <v>0.43214599999999997</v>
      </c>
      <c r="L51" s="64">
        <v>0.500502</v>
      </c>
      <c r="M51" s="64">
        <v>0.56686700000000001</v>
      </c>
      <c r="N51" s="64">
        <v>0.62982400000000005</v>
      </c>
      <c r="O51" s="64">
        <v>0.69098700000000002</v>
      </c>
      <c r="P51" s="64">
        <v>0.75003200000000003</v>
      </c>
      <c r="Q51" s="64">
        <v>0.80679500000000004</v>
      </c>
      <c r="R51" s="64">
        <v>0.861263</v>
      </c>
      <c r="S51" s="64">
        <v>0.91349999999999998</v>
      </c>
      <c r="T51" s="64">
        <v>0.96390699999999996</v>
      </c>
      <c r="U51" s="64">
        <v>1.0124379999999999</v>
      </c>
      <c r="V51" s="64">
        <v>1.0597380000000001</v>
      </c>
      <c r="W51" s="64">
        <v>1.1065769999999999</v>
      </c>
      <c r="X51" s="64">
        <v>1.1511020000000001</v>
      </c>
      <c r="Y51" s="64">
        <v>1.1954940000000001</v>
      </c>
      <c r="Z51" s="64">
        <v>1.240289</v>
      </c>
      <c r="AA51" s="64">
        <v>1.285596</v>
      </c>
      <c r="AB51" s="64">
        <v>1.3315760000000001</v>
      </c>
      <c r="AC51" s="64">
        <v>1.3788320000000001</v>
      </c>
      <c r="AD51" s="64">
        <v>1.4281520000000001</v>
      </c>
      <c r="AE51" s="64">
        <v>1.479411</v>
      </c>
      <c r="AF51" s="64">
        <v>1.533245</v>
      </c>
      <c r="AG51" s="64">
        <v>1.5900749999999999</v>
      </c>
      <c r="AH51" s="64">
        <v>1.6502589999999999</v>
      </c>
      <c r="AI51" s="64">
        <v>1.7142029999999999</v>
      </c>
      <c r="AJ51" s="64">
        <v>1.7824420000000001</v>
      </c>
      <c r="AK51" s="62">
        <v>0.118438</v>
      </c>
    </row>
    <row r="52" spans="1:37" ht="15" customHeight="1" x14ac:dyDescent="0.2">
      <c r="A52" s="57" t="s">
        <v>653</v>
      </c>
      <c r="B52" s="60" t="s">
        <v>620</v>
      </c>
      <c r="C52" s="64">
        <v>7.5779999999999997E-3</v>
      </c>
      <c r="D52" s="64">
        <v>2.2682000000000001E-2</v>
      </c>
      <c r="E52" s="64">
        <v>4.2734000000000001E-2</v>
      </c>
      <c r="F52" s="64">
        <v>6.6281999999999994E-2</v>
      </c>
      <c r="G52" s="64">
        <v>9.8640000000000005E-2</v>
      </c>
      <c r="H52" s="64">
        <v>0.135015</v>
      </c>
      <c r="I52" s="64">
        <v>0.17297399999999999</v>
      </c>
      <c r="J52" s="64">
        <v>0.212365</v>
      </c>
      <c r="K52" s="64">
        <v>0.25395000000000001</v>
      </c>
      <c r="L52" s="64">
        <v>0.29453600000000002</v>
      </c>
      <c r="M52" s="64">
        <v>0.33385300000000001</v>
      </c>
      <c r="N52" s="64">
        <v>0.37099900000000002</v>
      </c>
      <c r="O52" s="64">
        <v>0.406912</v>
      </c>
      <c r="P52" s="64">
        <v>0.441305</v>
      </c>
      <c r="Q52" s="64">
        <v>0.47390700000000002</v>
      </c>
      <c r="R52" s="64">
        <v>0.50460300000000002</v>
      </c>
      <c r="S52" s="64">
        <v>0.533447</v>
      </c>
      <c r="T52" s="64">
        <v>0.560693</v>
      </c>
      <c r="U52" s="64">
        <v>0.58627300000000004</v>
      </c>
      <c r="V52" s="64">
        <v>0.61053000000000002</v>
      </c>
      <c r="W52" s="64">
        <v>0.63386600000000004</v>
      </c>
      <c r="X52" s="64">
        <v>0.655196</v>
      </c>
      <c r="Y52" s="64">
        <v>0.67562299999999997</v>
      </c>
      <c r="Z52" s="64">
        <v>0.69552499999999995</v>
      </c>
      <c r="AA52" s="64">
        <v>0.71487500000000004</v>
      </c>
      <c r="AB52" s="64">
        <v>0.73379799999999995</v>
      </c>
      <c r="AC52" s="64">
        <v>0.75258199999999997</v>
      </c>
      <c r="AD52" s="64">
        <v>0.77157600000000004</v>
      </c>
      <c r="AE52" s="64">
        <v>0.79069800000000001</v>
      </c>
      <c r="AF52" s="64">
        <v>0.81014900000000001</v>
      </c>
      <c r="AG52" s="64">
        <v>0.83021599999999995</v>
      </c>
      <c r="AH52" s="64">
        <v>0.85112500000000002</v>
      </c>
      <c r="AI52" s="64">
        <v>0.87299300000000002</v>
      </c>
      <c r="AJ52" s="64">
        <v>0.89610599999999996</v>
      </c>
      <c r="AK52" s="62">
        <v>0.12175</v>
      </c>
    </row>
    <row r="53" spans="1:37" ht="15" customHeight="1" x14ac:dyDescent="0.2">
      <c r="A53" s="57" t="s">
        <v>654</v>
      </c>
      <c r="B53" s="60" t="s">
        <v>622</v>
      </c>
      <c r="C53" s="64">
        <v>0</v>
      </c>
      <c r="D53" s="64">
        <v>0</v>
      </c>
      <c r="E53" s="64">
        <v>0</v>
      </c>
      <c r="F53" s="64">
        <v>0</v>
      </c>
      <c r="G53" s="64">
        <v>0</v>
      </c>
      <c r="H53" s="64">
        <v>0</v>
      </c>
      <c r="I53" s="64">
        <v>0</v>
      </c>
      <c r="J53" s="64">
        <v>0</v>
      </c>
      <c r="K53" s="64">
        <v>0</v>
      </c>
      <c r="L53" s="64">
        <v>1.2999999999999999E-5</v>
      </c>
      <c r="M53" s="64">
        <v>3.0000000000000001E-5</v>
      </c>
      <c r="N53" s="64">
        <v>5.1E-5</v>
      </c>
      <c r="O53" s="64">
        <v>7.7999999999999999E-5</v>
      </c>
      <c r="P53" s="64">
        <v>1.2E-4</v>
      </c>
      <c r="Q53" s="64">
        <v>1.7799999999999999E-4</v>
      </c>
      <c r="R53" s="64">
        <v>2.4800000000000001E-4</v>
      </c>
      <c r="S53" s="64">
        <v>3.3100000000000002E-4</v>
      </c>
      <c r="T53" s="64">
        <v>4.2900000000000002E-4</v>
      </c>
      <c r="U53" s="64">
        <v>5.4199999999999995E-4</v>
      </c>
      <c r="V53" s="64">
        <v>6.7199999999999996E-4</v>
      </c>
      <c r="W53" s="64">
        <v>8.2100000000000001E-4</v>
      </c>
      <c r="X53" s="64">
        <v>9.8700000000000003E-4</v>
      </c>
      <c r="Y53" s="64">
        <v>1.1709999999999999E-3</v>
      </c>
      <c r="Z53" s="64">
        <v>1.3699999999999999E-3</v>
      </c>
      <c r="AA53" s="64">
        <v>1.583E-3</v>
      </c>
      <c r="AB53" s="64">
        <v>1.805E-3</v>
      </c>
      <c r="AC53" s="64">
        <v>2.0339999999999998E-3</v>
      </c>
      <c r="AD53" s="64">
        <v>2.2680000000000001E-3</v>
      </c>
      <c r="AE53" s="64">
        <v>2.503E-3</v>
      </c>
      <c r="AF53" s="64">
        <v>2.738E-3</v>
      </c>
      <c r="AG53" s="64">
        <v>2.97E-3</v>
      </c>
      <c r="AH53" s="64">
        <v>3.1939999999999998E-3</v>
      </c>
      <c r="AI53" s="64">
        <v>3.4120000000000001E-3</v>
      </c>
      <c r="AJ53" s="64">
        <v>3.6210000000000001E-3</v>
      </c>
      <c r="AK53" s="62" t="s">
        <v>467</v>
      </c>
    </row>
    <row r="54" spans="1:37" ht="15" customHeight="1" x14ac:dyDescent="0.2">
      <c r="A54" s="57" t="s">
        <v>655</v>
      </c>
      <c r="B54" s="60" t="s">
        <v>624</v>
      </c>
      <c r="C54" s="64">
        <v>0.50648700000000002</v>
      </c>
      <c r="D54" s="64">
        <v>0.53976199999999996</v>
      </c>
      <c r="E54" s="64">
        <v>0.57232700000000003</v>
      </c>
      <c r="F54" s="64">
        <v>0.60652600000000001</v>
      </c>
      <c r="G54" s="64">
        <v>0.64035799999999998</v>
      </c>
      <c r="H54" s="64">
        <v>0.67476899999999995</v>
      </c>
      <c r="I54" s="64">
        <v>0.71213899999999997</v>
      </c>
      <c r="J54" s="64">
        <v>0.75264600000000004</v>
      </c>
      <c r="K54" s="64">
        <v>0.79256099999999996</v>
      </c>
      <c r="L54" s="64">
        <v>0.83470500000000003</v>
      </c>
      <c r="M54" s="64">
        <v>0.87672399999999995</v>
      </c>
      <c r="N54" s="64">
        <v>0.91906399999999999</v>
      </c>
      <c r="O54" s="64">
        <v>0.96228899999999995</v>
      </c>
      <c r="P54" s="64">
        <v>1.0056620000000001</v>
      </c>
      <c r="Q54" s="64">
        <v>1.0520560000000001</v>
      </c>
      <c r="R54" s="64">
        <v>1.1005819999999999</v>
      </c>
      <c r="S54" s="64">
        <v>1.151416</v>
      </c>
      <c r="T54" s="64">
        <v>1.204037</v>
      </c>
      <c r="U54" s="64">
        <v>1.257612</v>
      </c>
      <c r="V54" s="64">
        <v>1.311985</v>
      </c>
      <c r="W54" s="64">
        <v>1.367049</v>
      </c>
      <c r="X54" s="64">
        <v>1.4231240000000001</v>
      </c>
      <c r="Y54" s="64">
        <v>1.4802759999999999</v>
      </c>
      <c r="Z54" s="64">
        <v>1.538538</v>
      </c>
      <c r="AA54" s="64">
        <v>1.5982780000000001</v>
      </c>
      <c r="AB54" s="64">
        <v>1.6590069999999999</v>
      </c>
      <c r="AC54" s="64">
        <v>1.7211749999999999</v>
      </c>
      <c r="AD54" s="64">
        <v>1.7857050000000001</v>
      </c>
      <c r="AE54" s="64">
        <v>1.8524700000000001</v>
      </c>
      <c r="AF54" s="64">
        <v>1.922612</v>
      </c>
      <c r="AG54" s="64">
        <v>1.995738</v>
      </c>
      <c r="AH54" s="64">
        <v>2.07186</v>
      </c>
      <c r="AI54" s="64">
        <v>2.1520380000000001</v>
      </c>
      <c r="AJ54" s="64">
        <v>2.2365699999999999</v>
      </c>
      <c r="AK54" s="62">
        <v>4.5426000000000001E-2</v>
      </c>
    </row>
    <row r="55" spans="1:37" ht="15" customHeight="1" x14ac:dyDescent="0.2">
      <c r="A55" s="57" t="s">
        <v>656</v>
      </c>
      <c r="B55" s="60" t="s">
        <v>626</v>
      </c>
      <c r="C55" s="64">
        <v>2.5413999999999999E-2</v>
      </c>
      <c r="D55" s="64">
        <v>2.0525999999999999E-2</v>
      </c>
      <c r="E55" s="64">
        <v>1.5344E-2</v>
      </c>
      <c r="F55" s="64">
        <v>1.3883E-2</v>
      </c>
      <c r="G55" s="64">
        <v>1.3240999999999999E-2</v>
      </c>
      <c r="H55" s="64">
        <v>1.2692999999999999E-2</v>
      </c>
      <c r="I55" s="64">
        <v>1.2274999999999999E-2</v>
      </c>
      <c r="J55" s="64">
        <v>1.1974E-2</v>
      </c>
      <c r="K55" s="64">
        <v>1.1714E-2</v>
      </c>
      <c r="L55" s="64">
        <v>1.1549E-2</v>
      </c>
      <c r="M55" s="64">
        <v>1.1433E-2</v>
      </c>
      <c r="N55" s="64">
        <v>1.1358E-2</v>
      </c>
      <c r="O55" s="64">
        <v>1.1244000000000001E-2</v>
      </c>
      <c r="P55" s="64">
        <v>1.1219E-2</v>
      </c>
      <c r="Q55" s="64">
        <v>1.1226E-2</v>
      </c>
      <c r="R55" s="64">
        <v>1.1243E-2</v>
      </c>
      <c r="S55" s="64">
        <v>1.1265000000000001E-2</v>
      </c>
      <c r="T55" s="64">
        <v>1.1339999999999999E-2</v>
      </c>
      <c r="U55" s="64">
        <v>1.14E-2</v>
      </c>
      <c r="V55" s="64">
        <v>1.1462E-2</v>
      </c>
      <c r="W55" s="64">
        <v>1.1520000000000001E-2</v>
      </c>
      <c r="X55" s="64">
        <v>1.1573999999999999E-2</v>
      </c>
      <c r="Y55" s="64">
        <v>1.1616E-2</v>
      </c>
      <c r="Z55" s="64">
        <v>1.1641E-2</v>
      </c>
      <c r="AA55" s="64">
        <v>1.1698E-2</v>
      </c>
      <c r="AB55" s="64">
        <v>1.1717E-2</v>
      </c>
      <c r="AC55" s="64">
        <v>1.1769E-2</v>
      </c>
      <c r="AD55" s="64">
        <v>1.1818E-2</v>
      </c>
      <c r="AE55" s="64">
        <v>1.1861E-2</v>
      </c>
      <c r="AF55" s="64">
        <v>1.1901999999999999E-2</v>
      </c>
      <c r="AG55" s="64">
        <v>1.1938000000000001E-2</v>
      </c>
      <c r="AH55" s="64">
        <v>1.1967999999999999E-2</v>
      </c>
      <c r="AI55" s="64">
        <v>1.1996E-2</v>
      </c>
      <c r="AJ55" s="64">
        <v>1.2023000000000001E-2</v>
      </c>
      <c r="AK55" s="62">
        <v>-1.6576E-2</v>
      </c>
    </row>
    <row r="56" spans="1:37" ht="15" customHeight="1" x14ac:dyDescent="0.2">
      <c r="A56" s="57" t="s">
        <v>657</v>
      </c>
      <c r="B56" s="60" t="s">
        <v>628</v>
      </c>
      <c r="C56" s="64">
        <v>3.7657000000000003E-2</v>
      </c>
      <c r="D56" s="64">
        <v>3.7762999999999998E-2</v>
      </c>
      <c r="E56" s="64">
        <v>3.7748999999999998E-2</v>
      </c>
      <c r="F56" s="64">
        <v>3.7561999999999998E-2</v>
      </c>
      <c r="G56" s="64">
        <v>3.7274000000000002E-2</v>
      </c>
      <c r="H56" s="64">
        <v>3.6736999999999999E-2</v>
      </c>
      <c r="I56" s="64">
        <v>3.6159999999999998E-2</v>
      </c>
      <c r="J56" s="64">
        <v>3.5561000000000002E-2</v>
      </c>
      <c r="K56" s="64">
        <v>3.4923999999999997E-2</v>
      </c>
      <c r="L56" s="64">
        <v>3.4355999999999998E-2</v>
      </c>
      <c r="M56" s="64">
        <v>3.3772999999999997E-2</v>
      </c>
      <c r="N56" s="64">
        <v>3.3225999999999999E-2</v>
      </c>
      <c r="O56" s="64">
        <v>3.2631E-2</v>
      </c>
      <c r="P56" s="64">
        <v>3.2126000000000002E-2</v>
      </c>
      <c r="Q56" s="64">
        <v>3.1699999999999999E-2</v>
      </c>
      <c r="R56" s="64">
        <v>3.1296999999999998E-2</v>
      </c>
      <c r="S56" s="64">
        <v>3.0935000000000001E-2</v>
      </c>
      <c r="T56" s="64">
        <v>3.0710999999999999E-2</v>
      </c>
      <c r="U56" s="64">
        <v>3.0467999999999999E-2</v>
      </c>
      <c r="V56" s="64">
        <v>3.0249000000000002E-2</v>
      </c>
      <c r="W56" s="64">
        <v>3.0057E-2</v>
      </c>
      <c r="X56" s="64">
        <v>2.9884000000000001E-2</v>
      </c>
      <c r="Y56" s="64">
        <v>2.9693000000000001E-2</v>
      </c>
      <c r="Z56" s="64">
        <v>2.9485000000000001E-2</v>
      </c>
      <c r="AA56" s="64">
        <v>2.9312999999999999E-2</v>
      </c>
      <c r="AB56" s="64">
        <v>2.9135000000000001E-2</v>
      </c>
      <c r="AC56" s="64">
        <v>2.8972000000000001E-2</v>
      </c>
      <c r="AD56" s="64">
        <v>2.8844000000000002E-2</v>
      </c>
      <c r="AE56" s="64">
        <v>2.8736999999999999E-2</v>
      </c>
      <c r="AF56" s="64">
        <v>2.8656000000000001E-2</v>
      </c>
      <c r="AG56" s="64">
        <v>2.8587999999999999E-2</v>
      </c>
      <c r="AH56" s="64">
        <v>2.8518000000000002E-2</v>
      </c>
      <c r="AI56" s="64">
        <v>2.8472000000000001E-2</v>
      </c>
      <c r="AJ56" s="64">
        <v>2.8441000000000001E-2</v>
      </c>
      <c r="AK56" s="62">
        <v>-8.8199999999999997E-3</v>
      </c>
    </row>
    <row r="57" spans="1:37" ht="15" customHeight="1" x14ac:dyDescent="0.2">
      <c r="A57" s="57" t="s">
        <v>658</v>
      </c>
      <c r="B57" s="60" t="s">
        <v>630</v>
      </c>
      <c r="C57" s="64">
        <v>1.6438999999999999E-2</v>
      </c>
      <c r="D57" s="64">
        <v>1.6369000000000002E-2</v>
      </c>
      <c r="E57" s="64">
        <v>1.6400999999999999E-2</v>
      </c>
      <c r="F57" s="64">
        <v>1.6532000000000002E-2</v>
      </c>
      <c r="G57" s="64">
        <v>1.6698000000000001E-2</v>
      </c>
      <c r="H57" s="64">
        <v>1.6816000000000001E-2</v>
      </c>
      <c r="I57" s="64">
        <v>1.6972999999999999E-2</v>
      </c>
      <c r="J57" s="64">
        <v>1.7155E-2</v>
      </c>
      <c r="K57" s="64">
        <v>1.7333999999999999E-2</v>
      </c>
      <c r="L57" s="64">
        <v>1.7568E-2</v>
      </c>
      <c r="M57" s="64">
        <v>1.7808999999999998E-2</v>
      </c>
      <c r="N57" s="64">
        <v>1.8048000000000002E-2</v>
      </c>
      <c r="O57" s="64">
        <v>1.8273999999999999E-2</v>
      </c>
      <c r="P57" s="64">
        <v>1.8488999999999998E-2</v>
      </c>
      <c r="Q57" s="64">
        <v>1.8709E-2</v>
      </c>
      <c r="R57" s="64">
        <v>1.8915999999999999E-2</v>
      </c>
      <c r="S57" s="64">
        <v>1.9118E-2</v>
      </c>
      <c r="T57" s="64">
        <v>1.9393000000000001E-2</v>
      </c>
      <c r="U57" s="64">
        <v>1.966E-2</v>
      </c>
      <c r="V57" s="64">
        <v>1.9942999999999999E-2</v>
      </c>
      <c r="W57" s="64">
        <v>2.0230000000000001E-2</v>
      </c>
      <c r="X57" s="64">
        <v>2.0524000000000001E-2</v>
      </c>
      <c r="Y57" s="64">
        <v>2.0816000000000001E-2</v>
      </c>
      <c r="Z57" s="64">
        <v>2.1111999999999999E-2</v>
      </c>
      <c r="AA57" s="64">
        <v>2.146E-2</v>
      </c>
      <c r="AB57" s="64">
        <v>2.1847999999999999E-2</v>
      </c>
      <c r="AC57" s="64">
        <v>2.2256000000000001E-2</v>
      </c>
      <c r="AD57" s="64">
        <v>2.2689000000000001E-2</v>
      </c>
      <c r="AE57" s="64">
        <v>2.3143E-2</v>
      </c>
      <c r="AF57" s="64">
        <v>2.3629000000000001E-2</v>
      </c>
      <c r="AG57" s="64">
        <v>2.4139000000000001E-2</v>
      </c>
      <c r="AH57" s="64">
        <v>2.4673E-2</v>
      </c>
      <c r="AI57" s="64">
        <v>2.5235E-2</v>
      </c>
      <c r="AJ57" s="64">
        <v>2.5822000000000001E-2</v>
      </c>
      <c r="AK57" s="62">
        <v>1.4347E-2</v>
      </c>
    </row>
    <row r="58" spans="1:37" ht="15" customHeight="1" x14ac:dyDescent="0.2">
      <c r="A58" s="57" t="s">
        <v>659</v>
      </c>
      <c r="B58" s="60" t="s">
        <v>632</v>
      </c>
      <c r="C58" s="64">
        <v>7.5659000000000004E-2</v>
      </c>
      <c r="D58" s="64">
        <v>7.0139000000000007E-2</v>
      </c>
      <c r="E58" s="64">
        <v>6.5111000000000002E-2</v>
      </c>
      <c r="F58" s="64">
        <v>6.0407000000000002E-2</v>
      </c>
      <c r="G58" s="64">
        <v>5.5988000000000003E-2</v>
      </c>
      <c r="H58" s="64">
        <v>5.1640999999999999E-2</v>
      </c>
      <c r="I58" s="64">
        <v>4.7572999999999997E-2</v>
      </c>
      <c r="J58" s="64">
        <v>4.3778999999999998E-2</v>
      </c>
      <c r="K58" s="64">
        <v>4.0233999999999999E-2</v>
      </c>
      <c r="L58" s="64">
        <v>3.7014999999999999E-2</v>
      </c>
      <c r="M58" s="64">
        <v>3.4067E-2</v>
      </c>
      <c r="N58" s="64">
        <v>3.1424000000000001E-2</v>
      </c>
      <c r="O58" s="64">
        <v>2.9003000000000001E-2</v>
      </c>
      <c r="P58" s="64">
        <v>2.6832000000000002E-2</v>
      </c>
      <c r="Q58" s="64">
        <v>2.4958000000000001E-2</v>
      </c>
      <c r="R58" s="64">
        <v>2.3342999999999999E-2</v>
      </c>
      <c r="S58" s="64">
        <v>2.1950999999999998E-2</v>
      </c>
      <c r="T58" s="64">
        <v>2.1010999999999998E-2</v>
      </c>
      <c r="U58" s="64">
        <v>2.0157999999999999E-2</v>
      </c>
      <c r="V58" s="64">
        <v>1.949E-2</v>
      </c>
      <c r="W58" s="64">
        <v>1.8943999999999999E-2</v>
      </c>
      <c r="X58" s="64">
        <v>1.8491E-2</v>
      </c>
      <c r="Y58" s="64">
        <v>1.8051999999999999E-2</v>
      </c>
      <c r="Z58" s="64">
        <v>1.7573999999999999E-2</v>
      </c>
      <c r="AA58" s="64">
        <v>1.7481E-2</v>
      </c>
      <c r="AB58" s="64">
        <v>1.7371999999999999E-2</v>
      </c>
      <c r="AC58" s="64">
        <v>1.7269E-2</v>
      </c>
      <c r="AD58" s="64">
        <v>1.7187000000000001E-2</v>
      </c>
      <c r="AE58" s="64">
        <v>1.7118000000000001E-2</v>
      </c>
      <c r="AF58" s="64">
        <v>1.7063999999999999E-2</v>
      </c>
      <c r="AG58" s="64">
        <v>1.7017999999999998E-2</v>
      </c>
      <c r="AH58" s="64">
        <v>1.6969999999999999E-2</v>
      </c>
      <c r="AI58" s="64">
        <v>1.6936E-2</v>
      </c>
      <c r="AJ58" s="64">
        <v>1.6912E-2</v>
      </c>
      <c r="AK58" s="62">
        <v>-4.3478000000000003E-2</v>
      </c>
    </row>
    <row r="59" spans="1:37" ht="15" customHeight="1" x14ac:dyDescent="0.2">
      <c r="A59" s="57" t="s">
        <v>660</v>
      </c>
      <c r="B59" s="60" t="s">
        <v>634</v>
      </c>
      <c r="C59" s="64">
        <v>0</v>
      </c>
      <c r="D59" s="64">
        <v>0</v>
      </c>
      <c r="E59" s="64">
        <v>0</v>
      </c>
      <c r="F59" s="64">
        <v>0</v>
      </c>
      <c r="G59" s="64">
        <v>0</v>
      </c>
      <c r="H59" s="64">
        <v>0</v>
      </c>
      <c r="I59" s="64">
        <v>0</v>
      </c>
      <c r="J59" s="64">
        <v>0</v>
      </c>
      <c r="K59" s="64">
        <v>0</v>
      </c>
      <c r="L59" s="64">
        <v>0</v>
      </c>
      <c r="M59" s="64">
        <v>0</v>
      </c>
      <c r="N59" s="64">
        <v>0</v>
      </c>
      <c r="O59" s="64">
        <v>0</v>
      </c>
      <c r="P59" s="64">
        <v>0</v>
      </c>
      <c r="Q59" s="64">
        <v>0</v>
      </c>
      <c r="R59" s="64">
        <v>0</v>
      </c>
      <c r="S59" s="64">
        <v>0</v>
      </c>
      <c r="T59" s="64">
        <v>0</v>
      </c>
      <c r="U59" s="64">
        <v>0</v>
      </c>
      <c r="V59" s="64">
        <v>0</v>
      </c>
      <c r="W59" s="64">
        <v>0</v>
      </c>
      <c r="X59" s="64">
        <v>0</v>
      </c>
      <c r="Y59" s="64">
        <v>0</v>
      </c>
      <c r="Z59" s="64">
        <v>0</v>
      </c>
      <c r="AA59" s="64">
        <v>0</v>
      </c>
      <c r="AB59" s="64">
        <v>0</v>
      </c>
      <c r="AC59" s="64">
        <v>0</v>
      </c>
      <c r="AD59" s="64">
        <v>0</v>
      </c>
      <c r="AE59" s="64">
        <v>0</v>
      </c>
      <c r="AF59" s="64">
        <v>0</v>
      </c>
      <c r="AG59" s="64">
        <v>0</v>
      </c>
      <c r="AH59" s="64">
        <v>0</v>
      </c>
      <c r="AI59" s="64">
        <v>0</v>
      </c>
      <c r="AJ59" s="64">
        <v>0</v>
      </c>
      <c r="AK59" s="62" t="s">
        <v>467</v>
      </c>
    </row>
    <row r="60" spans="1:37" ht="15" customHeight="1" x14ac:dyDescent="0.2">
      <c r="A60" s="57" t="s">
        <v>661</v>
      </c>
      <c r="B60" s="60" t="s">
        <v>636</v>
      </c>
      <c r="C60" s="64">
        <v>1.3519999999999999E-3</v>
      </c>
      <c r="D60" s="64">
        <v>3.8960000000000002E-3</v>
      </c>
      <c r="E60" s="64">
        <v>8.8199999999999997E-3</v>
      </c>
      <c r="F60" s="64">
        <v>1.7229000000000001E-2</v>
      </c>
      <c r="G60" s="64">
        <v>3.2226999999999999E-2</v>
      </c>
      <c r="H60" s="64">
        <v>5.4024000000000003E-2</v>
      </c>
      <c r="I60" s="64">
        <v>7.6591999999999993E-2</v>
      </c>
      <c r="J60" s="64">
        <v>0.101827</v>
      </c>
      <c r="K60" s="64">
        <v>0.12907399999999999</v>
      </c>
      <c r="L60" s="64">
        <v>0.15567800000000001</v>
      </c>
      <c r="M60" s="64">
        <v>0.18148500000000001</v>
      </c>
      <c r="N60" s="64">
        <v>0.20503299999999999</v>
      </c>
      <c r="O60" s="64">
        <v>0.22781399999999999</v>
      </c>
      <c r="P60" s="64">
        <v>0.24924099999999999</v>
      </c>
      <c r="Q60" s="64">
        <v>0.26943</v>
      </c>
      <c r="R60" s="64">
        <v>0.28598800000000002</v>
      </c>
      <c r="S60" s="64">
        <v>0.300819</v>
      </c>
      <c r="T60" s="64">
        <v>0.31423699999999999</v>
      </c>
      <c r="U60" s="64">
        <v>0.32615499999999997</v>
      </c>
      <c r="V60" s="64">
        <v>0.33676600000000001</v>
      </c>
      <c r="W60" s="64">
        <v>0.34548299999999998</v>
      </c>
      <c r="X60" s="64">
        <v>0.35309299999999999</v>
      </c>
      <c r="Y60" s="64">
        <v>0.35981099999999999</v>
      </c>
      <c r="Z60" s="64">
        <v>0.365811</v>
      </c>
      <c r="AA60" s="64">
        <v>0.37095400000000001</v>
      </c>
      <c r="AB60" s="64">
        <v>0.37542799999999998</v>
      </c>
      <c r="AC60" s="64">
        <v>0.37936999999999999</v>
      </c>
      <c r="AD60" s="64">
        <v>0.382905</v>
      </c>
      <c r="AE60" s="64">
        <v>0.38605200000000001</v>
      </c>
      <c r="AF60" s="64">
        <v>0.388876</v>
      </c>
      <c r="AG60" s="64">
        <v>0.39155299999999998</v>
      </c>
      <c r="AH60" s="64">
        <v>0.39425300000000002</v>
      </c>
      <c r="AI60" s="64">
        <v>0.39693600000000001</v>
      </c>
      <c r="AJ60" s="64">
        <v>0.39972000000000002</v>
      </c>
      <c r="AK60" s="62">
        <v>0.15571199999999999</v>
      </c>
    </row>
    <row r="61" spans="1:37" ht="15" customHeight="1" x14ac:dyDescent="0.2">
      <c r="A61" s="57" t="s">
        <v>662</v>
      </c>
      <c r="B61" s="60" t="s">
        <v>663</v>
      </c>
      <c r="C61" s="64">
        <v>15.333682</v>
      </c>
      <c r="D61" s="64">
        <v>15.5814</v>
      </c>
      <c r="E61" s="64">
        <v>15.826027</v>
      </c>
      <c r="F61" s="64">
        <v>16.042359999999999</v>
      </c>
      <c r="G61" s="64">
        <v>16.251823000000002</v>
      </c>
      <c r="H61" s="64">
        <v>16.434652</v>
      </c>
      <c r="I61" s="64">
        <v>16.576094000000001</v>
      </c>
      <c r="J61" s="64">
        <v>16.679971999999999</v>
      </c>
      <c r="K61" s="64">
        <v>16.757339000000002</v>
      </c>
      <c r="L61" s="64">
        <v>16.810176999999999</v>
      </c>
      <c r="M61" s="64">
        <v>16.854437000000001</v>
      </c>
      <c r="N61" s="64">
        <v>16.911076000000001</v>
      </c>
      <c r="O61" s="64">
        <v>16.991752999999999</v>
      </c>
      <c r="P61" s="64">
        <v>17.116258999999999</v>
      </c>
      <c r="Q61" s="64">
        <v>17.255146</v>
      </c>
      <c r="R61" s="64">
        <v>17.383210999999999</v>
      </c>
      <c r="S61" s="64">
        <v>17.524781999999998</v>
      </c>
      <c r="T61" s="64">
        <v>17.695255</v>
      </c>
      <c r="U61" s="64">
        <v>17.875202000000002</v>
      </c>
      <c r="V61" s="64">
        <v>18.074707</v>
      </c>
      <c r="W61" s="64">
        <v>18.293119000000001</v>
      </c>
      <c r="X61" s="64">
        <v>18.516556000000001</v>
      </c>
      <c r="Y61" s="64">
        <v>18.742934999999999</v>
      </c>
      <c r="Z61" s="64">
        <v>18.969421000000001</v>
      </c>
      <c r="AA61" s="64">
        <v>19.175301000000001</v>
      </c>
      <c r="AB61" s="64">
        <v>19.357256</v>
      </c>
      <c r="AC61" s="64">
        <v>19.510038000000002</v>
      </c>
      <c r="AD61" s="64">
        <v>19.650866000000001</v>
      </c>
      <c r="AE61" s="64">
        <v>19.780398999999999</v>
      </c>
      <c r="AF61" s="64">
        <v>19.878917999999999</v>
      </c>
      <c r="AG61" s="64">
        <v>19.969647999999999</v>
      </c>
      <c r="AH61" s="64">
        <v>20.065142000000002</v>
      </c>
      <c r="AI61" s="64">
        <v>20.176891000000001</v>
      </c>
      <c r="AJ61" s="64">
        <v>20.308823</v>
      </c>
      <c r="AK61" s="62">
        <v>8.3149999999999995E-3</v>
      </c>
    </row>
    <row r="62" spans="1:37" ht="15.75" customHeight="1" x14ac:dyDescent="0.2"/>
    <row r="63" spans="1:37" ht="15" customHeight="1" x14ac:dyDescent="0.2">
      <c r="A63" s="57" t="s">
        <v>664</v>
      </c>
      <c r="B63" s="59" t="s">
        <v>665</v>
      </c>
      <c r="C63" s="65">
        <v>120.902435</v>
      </c>
      <c r="D63" s="65">
        <v>121.329094</v>
      </c>
      <c r="E63" s="65">
        <v>121.851288</v>
      </c>
      <c r="F63" s="65">
        <v>122.378517</v>
      </c>
      <c r="G63" s="65">
        <v>122.952652</v>
      </c>
      <c r="H63" s="65">
        <v>123.410309</v>
      </c>
      <c r="I63" s="65">
        <v>123.90490699999999</v>
      </c>
      <c r="J63" s="65">
        <v>124.367828</v>
      </c>
      <c r="K63" s="65">
        <v>124.729446</v>
      </c>
      <c r="L63" s="65">
        <v>125.044327</v>
      </c>
      <c r="M63" s="65">
        <v>125.17437700000001</v>
      </c>
      <c r="N63" s="65">
        <v>125.15342699999999</v>
      </c>
      <c r="O63" s="65">
        <v>124.94008599999999</v>
      </c>
      <c r="P63" s="65">
        <v>124.635345</v>
      </c>
      <c r="Q63" s="65">
        <v>124.298615</v>
      </c>
      <c r="R63" s="65">
        <v>123.85231</v>
      </c>
      <c r="S63" s="65">
        <v>123.36901899999999</v>
      </c>
      <c r="T63" s="65">
        <v>122.84066799999999</v>
      </c>
      <c r="U63" s="65">
        <v>122.225967</v>
      </c>
      <c r="V63" s="65">
        <v>121.544449</v>
      </c>
      <c r="W63" s="65">
        <v>120.844185</v>
      </c>
      <c r="X63" s="65">
        <v>120.135429</v>
      </c>
      <c r="Y63" s="65">
        <v>119.425316</v>
      </c>
      <c r="Z63" s="65">
        <v>118.729546</v>
      </c>
      <c r="AA63" s="65">
        <v>118.06880200000001</v>
      </c>
      <c r="AB63" s="65">
        <v>117.424599</v>
      </c>
      <c r="AC63" s="65">
        <v>116.802254</v>
      </c>
      <c r="AD63" s="65">
        <v>116.2407</v>
      </c>
      <c r="AE63" s="65">
        <v>115.720383</v>
      </c>
      <c r="AF63" s="65">
        <v>115.25592</v>
      </c>
      <c r="AG63" s="65">
        <v>114.82596599999999</v>
      </c>
      <c r="AH63" s="65">
        <v>114.413101</v>
      </c>
      <c r="AI63" s="65">
        <v>114.052322</v>
      </c>
      <c r="AJ63" s="65">
        <v>113.737709</v>
      </c>
      <c r="AK63" s="66">
        <v>-2.0170000000000001E-3</v>
      </c>
    </row>
    <row r="64" spans="1:37" ht="15.75" customHeight="1" x14ac:dyDescent="0.2"/>
    <row r="65" spans="1:37" ht="15" customHeight="1" x14ac:dyDescent="0.2">
      <c r="A65" s="57" t="s">
        <v>666</v>
      </c>
      <c r="B65" s="59" t="s">
        <v>667</v>
      </c>
      <c r="C65" s="65">
        <v>253.71786499999999</v>
      </c>
      <c r="D65" s="65">
        <v>255.41043099999999</v>
      </c>
      <c r="E65" s="65">
        <v>257.118042</v>
      </c>
      <c r="F65" s="65">
        <v>258.78601099999997</v>
      </c>
      <c r="G65" s="65">
        <v>260.425659</v>
      </c>
      <c r="H65" s="65">
        <v>261.77233899999999</v>
      </c>
      <c r="I65" s="65">
        <v>263.264679</v>
      </c>
      <c r="J65" s="65">
        <v>264.83346599999999</v>
      </c>
      <c r="K65" s="65">
        <v>266.37439000000001</v>
      </c>
      <c r="L65" s="65">
        <v>267.867706</v>
      </c>
      <c r="M65" s="65">
        <v>269.183289</v>
      </c>
      <c r="N65" s="65">
        <v>270.31066900000002</v>
      </c>
      <c r="O65" s="65">
        <v>271.21933000000001</v>
      </c>
      <c r="P65" s="65">
        <v>272.08068800000001</v>
      </c>
      <c r="Q65" s="65">
        <v>273.053223</v>
      </c>
      <c r="R65" s="65">
        <v>273.97082499999999</v>
      </c>
      <c r="S65" s="65">
        <v>274.93048099999999</v>
      </c>
      <c r="T65" s="65">
        <v>275.95358299999998</v>
      </c>
      <c r="U65" s="65">
        <v>276.95935100000003</v>
      </c>
      <c r="V65" s="65">
        <v>277.96014400000001</v>
      </c>
      <c r="W65" s="65">
        <v>279.02984600000002</v>
      </c>
      <c r="X65" s="65">
        <v>280.19305400000002</v>
      </c>
      <c r="Y65" s="65">
        <v>281.39959700000003</v>
      </c>
      <c r="Z65" s="65">
        <v>282.664154</v>
      </c>
      <c r="AA65" s="65">
        <v>283.97442599999999</v>
      </c>
      <c r="AB65" s="65">
        <v>285.283905</v>
      </c>
      <c r="AC65" s="65">
        <v>286.570404</v>
      </c>
      <c r="AD65" s="65">
        <v>287.89712500000002</v>
      </c>
      <c r="AE65" s="65">
        <v>289.21472199999999</v>
      </c>
      <c r="AF65" s="65">
        <v>290.503693</v>
      </c>
      <c r="AG65" s="65">
        <v>291.69519000000003</v>
      </c>
      <c r="AH65" s="65">
        <v>292.75585899999999</v>
      </c>
      <c r="AI65" s="65">
        <v>293.74911500000002</v>
      </c>
      <c r="AJ65" s="65">
        <v>294.64889499999998</v>
      </c>
      <c r="AK65" s="66">
        <v>4.4759999999999999E-3</v>
      </c>
    </row>
    <row r="67" spans="1:37" ht="15" customHeight="1" x14ac:dyDescent="0.2">
      <c r="B67" s="116" t="s">
        <v>668</v>
      </c>
      <c r="C67" s="117"/>
      <c r="D67" s="117"/>
      <c r="E67" s="117"/>
      <c r="F67" s="117"/>
      <c r="G67" s="117"/>
      <c r="H67" s="117"/>
      <c r="I67" s="117"/>
      <c r="J67" s="117"/>
      <c r="K67" s="117"/>
      <c r="L67" s="117"/>
      <c r="M67" s="117"/>
      <c r="N67" s="117"/>
      <c r="O67" s="117"/>
      <c r="P67" s="117"/>
      <c r="Q67" s="117"/>
      <c r="R67" s="117"/>
      <c r="S67" s="117"/>
      <c r="T67" s="117"/>
      <c r="U67" s="117"/>
      <c r="V67" s="117"/>
      <c r="W67" s="117"/>
      <c r="X67" s="117"/>
      <c r="Y67" s="117"/>
      <c r="Z67" s="117"/>
      <c r="AA67" s="117"/>
      <c r="AB67" s="117"/>
      <c r="AC67" s="117"/>
      <c r="AD67" s="117"/>
      <c r="AE67" s="117"/>
      <c r="AF67" s="117"/>
      <c r="AG67" s="117"/>
      <c r="AH67" s="117"/>
      <c r="AI67" s="117"/>
      <c r="AJ67" s="117"/>
      <c r="AK67" s="117"/>
    </row>
    <row r="68" spans="1:37" ht="15" customHeight="1" x14ac:dyDescent="0.2">
      <c r="B68" s="67" t="s">
        <v>669</v>
      </c>
    </row>
    <row r="69" spans="1:37" ht="15" customHeight="1" x14ac:dyDescent="0.2">
      <c r="B69" s="67" t="s">
        <v>587</v>
      </c>
    </row>
    <row r="70" spans="1:37" ht="15" customHeight="1" x14ac:dyDescent="0.2">
      <c r="B70" s="67" t="s">
        <v>670</v>
      </c>
    </row>
    <row r="71" spans="1:37" ht="15" customHeight="1" x14ac:dyDescent="0.2">
      <c r="B71" s="67" t="s">
        <v>671</v>
      </c>
    </row>
    <row r="72" spans="1:37" ht="15" customHeight="1" x14ac:dyDescent="0.2">
      <c r="B72" s="67" t="s">
        <v>672</v>
      </c>
    </row>
    <row r="73" spans="1:37" ht="15" customHeight="1" x14ac:dyDescent="0.2">
      <c r="B73" s="67" t="s">
        <v>673</v>
      </c>
    </row>
    <row r="74" spans="1:37" ht="15" customHeight="1" x14ac:dyDescent="0.2">
      <c r="B74" s="67" t="s">
        <v>674</v>
      </c>
    </row>
    <row r="75" spans="1:37" ht="15" customHeight="1" x14ac:dyDescent="0.2">
      <c r="B75" s="67" t="s">
        <v>675</v>
      </c>
    </row>
    <row r="76" spans="1:37" ht="15" customHeight="1" x14ac:dyDescent="0.2">
      <c r="B76" s="67" t="s">
        <v>676</v>
      </c>
    </row>
    <row r="77" spans="1:37" ht="15.75" customHeight="1" x14ac:dyDescent="0.2"/>
    <row r="78" spans="1:37" ht="15.75" customHeight="1" x14ac:dyDescent="0.2"/>
    <row r="79" spans="1:37" ht="15.75" customHeight="1" x14ac:dyDescent="0.2"/>
    <row r="80" spans="1:37"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
    <mergeCell ref="B67:AK67"/>
  </mergeCells>
  <pageMargins left="0.75" right="0.75" top="1" bottom="1" header="0" footer="0"/>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J1000"/>
  <sheetViews>
    <sheetView workbookViewId="0"/>
  </sheetViews>
  <sheetFormatPr baseColWidth="10" defaultColWidth="14.5" defaultRowHeight="15" customHeight="1" x14ac:dyDescent="0.2"/>
  <cols>
    <col min="1" max="1" width="34.6640625" customWidth="1"/>
    <col min="2" max="36" width="8.6640625" customWidth="1"/>
  </cols>
  <sheetData>
    <row r="1" spans="1:36" ht="14.25" customHeight="1" x14ac:dyDescent="0.2">
      <c r="A1" s="54" t="s">
        <v>296</v>
      </c>
      <c r="B1" s="55">
        <v>2017</v>
      </c>
      <c r="C1" s="55">
        <v>2018</v>
      </c>
      <c r="D1" s="55">
        <v>2019</v>
      </c>
      <c r="E1" s="55">
        <v>2020</v>
      </c>
      <c r="F1" s="55">
        <v>2021</v>
      </c>
      <c r="G1" s="55">
        <v>2022</v>
      </c>
      <c r="H1" s="55">
        <v>2023</v>
      </c>
      <c r="I1" s="55">
        <v>2024</v>
      </c>
      <c r="J1" s="55">
        <v>2025</v>
      </c>
      <c r="K1" s="55">
        <v>2026</v>
      </c>
      <c r="L1" s="55">
        <v>2027</v>
      </c>
      <c r="M1" s="55">
        <v>2028</v>
      </c>
      <c r="N1" s="55">
        <v>2029</v>
      </c>
      <c r="O1" s="55">
        <v>2030</v>
      </c>
      <c r="P1" s="55">
        <v>2031</v>
      </c>
      <c r="Q1" s="55">
        <v>2032</v>
      </c>
      <c r="R1" s="55">
        <v>2033</v>
      </c>
      <c r="S1" s="55">
        <v>2034</v>
      </c>
      <c r="T1" s="55">
        <v>2035</v>
      </c>
      <c r="U1" s="55">
        <v>2036</v>
      </c>
      <c r="V1" s="55">
        <v>2037</v>
      </c>
      <c r="W1" s="55">
        <v>2038</v>
      </c>
      <c r="X1" s="55">
        <v>2039</v>
      </c>
      <c r="Y1" s="55">
        <v>2040</v>
      </c>
      <c r="Z1" s="55">
        <v>2041</v>
      </c>
      <c r="AA1" s="55">
        <v>2042</v>
      </c>
      <c r="AB1" s="55">
        <v>2043</v>
      </c>
      <c r="AC1" s="55">
        <v>2044</v>
      </c>
      <c r="AD1" s="55">
        <v>2045</v>
      </c>
      <c r="AE1" s="55">
        <v>2046</v>
      </c>
      <c r="AF1" s="55">
        <v>2047</v>
      </c>
      <c r="AG1" s="55">
        <v>2048</v>
      </c>
      <c r="AH1" s="55">
        <v>2049</v>
      </c>
      <c r="AI1" s="55">
        <v>2050</v>
      </c>
    </row>
    <row r="2" spans="1:36" ht="14.25" customHeight="1" x14ac:dyDescent="0.2"/>
    <row r="3" spans="1:36" ht="14.25" customHeight="1" x14ac:dyDescent="0.2">
      <c r="B3" s="56" t="s">
        <v>297</v>
      </c>
      <c r="C3" s="56" t="s">
        <v>298</v>
      </c>
      <c r="D3" s="56"/>
      <c r="E3" s="56"/>
      <c r="F3" s="56"/>
    </row>
    <row r="4" spans="1:36" ht="14.25" customHeight="1" x14ac:dyDescent="0.2">
      <c r="B4" s="56" t="s">
        <v>299</v>
      </c>
      <c r="C4" s="56" t="s">
        <v>300</v>
      </c>
      <c r="D4" s="56"/>
      <c r="E4" s="56"/>
      <c r="F4" s="56" t="s">
        <v>301</v>
      </c>
    </row>
    <row r="5" spans="1:36" ht="14.25" customHeight="1" x14ac:dyDescent="0.2">
      <c r="B5" s="56" t="s">
        <v>302</v>
      </c>
      <c r="C5" s="56" t="s">
        <v>303</v>
      </c>
      <c r="D5" s="56"/>
      <c r="E5" s="56"/>
      <c r="F5" s="56"/>
    </row>
    <row r="6" spans="1:36" ht="14.25" customHeight="1" x14ac:dyDescent="0.2">
      <c r="B6" s="56" t="s">
        <v>304</v>
      </c>
      <c r="C6" s="56"/>
      <c r="D6" s="56" t="s">
        <v>305</v>
      </c>
      <c r="E6" s="56"/>
      <c r="F6" s="56"/>
    </row>
    <row r="7" spans="1:36" ht="14.25" customHeight="1" x14ac:dyDescent="0.2"/>
    <row r="8" spans="1:36" ht="14.25" customHeight="1" x14ac:dyDescent="0.2"/>
    <row r="9" spans="1:36" ht="14.25" customHeight="1" x14ac:dyDescent="0.2"/>
    <row r="10" spans="1:36" ht="14.25" customHeight="1" x14ac:dyDescent="0.2">
      <c r="A10" s="58" t="s">
        <v>677</v>
      </c>
    </row>
    <row r="11" spans="1:36" ht="14.25" customHeight="1" x14ac:dyDescent="0.2">
      <c r="A11" s="54" t="s">
        <v>678</v>
      </c>
    </row>
    <row r="12" spans="1:36" ht="14.25" customHeight="1" x14ac:dyDescent="0.2">
      <c r="A12" s="54" t="s">
        <v>308</v>
      </c>
      <c r="B12" s="4" t="s">
        <v>308</v>
      </c>
      <c r="C12" s="4" t="s">
        <v>308</v>
      </c>
      <c r="D12" s="4" t="s">
        <v>308</v>
      </c>
      <c r="E12" s="4" t="s">
        <v>308</v>
      </c>
      <c r="F12" s="4" t="s">
        <v>308</v>
      </c>
      <c r="G12" s="4" t="s">
        <v>308</v>
      </c>
      <c r="H12" s="4" t="s">
        <v>308</v>
      </c>
      <c r="I12" s="4" t="s">
        <v>308</v>
      </c>
      <c r="J12" s="4" t="s">
        <v>308</v>
      </c>
      <c r="K12" s="4" t="s">
        <v>308</v>
      </c>
      <c r="L12" s="4" t="s">
        <v>308</v>
      </c>
      <c r="M12" s="4" t="s">
        <v>308</v>
      </c>
      <c r="N12" s="4" t="s">
        <v>308</v>
      </c>
      <c r="O12" s="4" t="s">
        <v>308</v>
      </c>
      <c r="P12" s="4" t="s">
        <v>308</v>
      </c>
      <c r="Q12" s="4" t="s">
        <v>308</v>
      </c>
      <c r="R12" s="4" t="s">
        <v>308</v>
      </c>
      <c r="S12" s="4" t="s">
        <v>308</v>
      </c>
      <c r="T12" s="4" t="s">
        <v>308</v>
      </c>
      <c r="U12" s="4" t="s">
        <v>308</v>
      </c>
      <c r="V12" s="4" t="s">
        <v>308</v>
      </c>
      <c r="W12" s="4" t="s">
        <v>308</v>
      </c>
      <c r="X12" s="4" t="s">
        <v>308</v>
      </c>
      <c r="Y12" s="4" t="s">
        <v>308</v>
      </c>
      <c r="Z12" s="4" t="s">
        <v>308</v>
      </c>
      <c r="AA12" s="4" t="s">
        <v>308</v>
      </c>
      <c r="AB12" s="4" t="s">
        <v>308</v>
      </c>
      <c r="AC12" s="4" t="s">
        <v>308</v>
      </c>
      <c r="AD12" s="4" t="s">
        <v>308</v>
      </c>
      <c r="AE12" s="4" t="s">
        <v>308</v>
      </c>
      <c r="AF12" s="4" t="s">
        <v>308</v>
      </c>
      <c r="AG12" s="4" t="s">
        <v>308</v>
      </c>
      <c r="AH12" s="4" t="s">
        <v>308</v>
      </c>
      <c r="AI12" s="4" t="s">
        <v>308</v>
      </c>
      <c r="AJ12" s="4" t="s">
        <v>309</v>
      </c>
    </row>
    <row r="13" spans="1:36" ht="14.25" customHeight="1" x14ac:dyDescent="0.2">
      <c r="A13" s="55" t="s">
        <v>599</v>
      </c>
      <c r="B13" s="55">
        <v>2017</v>
      </c>
      <c r="C13" s="55">
        <v>2018</v>
      </c>
      <c r="D13" s="55">
        <v>2019</v>
      </c>
      <c r="E13" s="55">
        <v>2020</v>
      </c>
      <c r="F13" s="55">
        <v>2021</v>
      </c>
      <c r="G13" s="55">
        <v>2022</v>
      </c>
      <c r="H13" s="55">
        <v>2023</v>
      </c>
      <c r="I13" s="55">
        <v>2024</v>
      </c>
      <c r="J13" s="55">
        <v>2025</v>
      </c>
      <c r="K13" s="55">
        <v>2026</v>
      </c>
      <c r="L13" s="55">
        <v>2027</v>
      </c>
      <c r="M13" s="55">
        <v>2028</v>
      </c>
      <c r="N13" s="55">
        <v>2029</v>
      </c>
      <c r="O13" s="55">
        <v>2030</v>
      </c>
      <c r="P13" s="55">
        <v>2031</v>
      </c>
      <c r="Q13" s="55">
        <v>2032</v>
      </c>
      <c r="R13" s="55">
        <v>2033</v>
      </c>
      <c r="S13" s="55">
        <v>2034</v>
      </c>
      <c r="T13" s="55">
        <v>2035</v>
      </c>
      <c r="U13" s="55">
        <v>2036</v>
      </c>
      <c r="V13" s="55">
        <v>2037</v>
      </c>
      <c r="W13" s="55">
        <v>2038</v>
      </c>
      <c r="X13" s="55">
        <v>2039</v>
      </c>
      <c r="Y13" s="55">
        <v>2040</v>
      </c>
      <c r="Z13" s="55">
        <v>2041</v>
      </c>
      <c r="AA13" s="55">
        <v>2042</v>
      </c>
      <c r="AB13" s="55">
        <v>2043</v>
      </c>
      <c r="AC13" s="55">
        <v>2044</v>
      </c>
      <c r="AD13" s="55">
        <v>2045</v>
      </c>
      <c r="AE13" s="55">
        <v>2046</v>
      </c>
      <c r="AF13" s="55">
        <v>2047</v>
      </c>
      <c r="AG13" s="55">
        <v>2048</v>
      </c>
      <c r="AH13" s="55">
        <v>2049</v>
      </c>
      <c r="AI13" s="55">
        <v>2050</v>
      </c>
      <c r="AJ13" s="55">
        <v>2050</v>
      </c>
    </row>
    <row r="14" spans="1:36" ht="14.25" customHeight="1" x14ac:dyDescent="0.2"/>
    <row r="15" spans="1:36" ht="14.25" customHeight="1" x14ac:dyDescent="0.2">
      <c r="A15" s="59" t="s">
        <v>600</v>
      </c>
    </row>
    <row r="16" spans="1:36" ht="14.25" customHeight="1" x14ac:dyDescent="0.2">
      <c r="A16" s="59" t="s">
        <v>601</v>
      </c>
    </row>
    <row r="17" spans="1:36" ht="14.25" customHeight="1" x14ac:dyDescent="0.2">
      <c r="A17" s="60" t="s">
        <v>603</v>
      </c>
      <c r="B17" s="63">
        <v>7371.9702150000003</v>
      </c>
      <c r="C17" s="63">
        <v>7080.1284180000002</v>
      </c>
      <c r="D17" s="63">
        <v>6829.1464839999999</v>
      </c>
      <c r="E17" s="63">
        <v>6601.2846680000002</v>
      </c>
      <c r="F17" s="63">
        <v>6353.9370120000003</v>
      </c>
      <c r="G17" s="63">
        <v>6067.2626950000003</v>
      </c>
      <c r="H17" s="63">
        <v>5844.3706050000001</v>
      </c>
      <c r="I17" s="63">
        <v>5649.4609380000002</v>
      </c>
      <c r="J17" s="63">
        <v>5455.2924800000001</v>
      </c>
      <c r="K17" s="63">
        <v>5284.8515619999998</v>
      </c>
      <c r="L17" s="63">
        <v>5145.4555659999996</v>
      </c>
      <c r="M17" s="63">
        <v>5037.1123049999997</v>
      </c>
      <c r="N17" s="63">
        <v>4944.9086909999996</v>
      </c>
      <c r="O17" s="63">
        <v>4872.5463870000003</v>
      </c>
      <c r="P17" s="63">
        <v>4831.9936520000001</v>
      </c>
      <c r="Q17" s="63">
        <v>4803.5083009999998</v>
      </c>
      <c r="R17" s="63">
        <v>4789.1767579999996</v>
      </c>
      <c r="S17" s="63">
        <v>4794.857422</v>
      </c>
      <c r="T17" s="63">
        <v>4802.4829099999997</v>
      </c>
      <c r="U17" s="63">
        <v>4807.3720700000003</v>
      </c>
      <c r="V17" s="63">
        <v>4816.5205079999996</v>
      </c>
      <c r="W17" s="63">
        <v>4831.4565430000002</v>
      </c>
      <c r="X17" s="63">
        <v>4845.2734380000002</v>
      </c>
      <c r="Y17" s="63">
        <v>4861.3164059999999</v>
      </c>
      <c r="Z17" s="63">
        <v>4875.794922</v>
      </c>
      <c r="AA17" s="63">
        <v>4906.9985349999997</v>
      </c>
      <c r="AB17" s="63">
        <v>4938.2998049999997</v>
      </c>
      <c r="AC17" s="63">
        <v>4975.7329099999997</v>
      </c>
      <c r="AD17" s="63">
        <v>5014.7568359999996</v>
      </c>
      <c r="AE17" s="63">
        <v>5050.2016599999997</v>
      </c>
      <c r="AF17" s="63">
        <v>5075.9467770000001</v>
      </c>
      <c r="AG17" s="63">
        <v>5092.0063479999999</v>
      </c>
      <c r="AH17" s="63">
        <v>5108.1767579999996</v>
      </c>
      <c r="AI17" s="63">
        <v>5119.501953</v>
      </c>
      <c r="AJ17" s="62">
        <v>-1.0081E-2</v>
      </c>
    </row>
    <row r="18" spans="1:36" ht="14.25" customHeight="1" x14ac:dyDescent="0.2">
      <c r="A18" s="60" t="s">
        <v>605</v>
      </c>
      <c r="B18" s="63">
        <v>36.27449</v>
      </c>
      <c r="C18" s="63">
        <v>34.634597999999997</v>
      </c>
      <c r="D18" s="63">
        <v>33.361243999999999</v>
      </c>
      <c r="E18" s="63">
        <v>32.168747000000003</v>
      </c>
      <c r="F18" s="63">
        <v>31.076329999999999</v>
      </c>
      <c r="G18" s="63">
        <v>30.188026000000001</v>
      </c>
      <c r="H18" s="63">
        <v>29.550236000000002</v>
      </c>
      <c r="I18" s="63">
        <v>29.274616000000002</v>
      </c>
      <c r="J18" s="63">
        <v>29.323958999999999</v>
      </c>
      <c r="K18" s="63">
        <v>29.752870999999999</v>
      </c>
      <c r="L18" s="63">
        <v>30.607013999999999</v>
      </c>
      <c r="M18" s="63">
        <v>32.005032</v>
      </c>
      <c r="N18" s="63">
        <v>33.928902000000001</v>
      </c>
      <c r="O18" s="63">
        <v>36.285336000000001</v>
      </c>
      <c r="P18" s="63">
        <v>39.100268999999997</v>
      </c>
      <c r="Q18" s="63">
        <v>42.410435</v>
      </c>
      <c r="R18" s="63">
        <v>45.892429</v>
      </c>
      <c r="S18" s="63">
        <v>49.415874000000002</v>
      </c>
      <c r="T18" s="63">
        <v>52.904530000000001</v>
      </c>
      <c r="U18" s="63">
        <v>56.316932999999999</v>
      </c>
      <c r="V18" s="63">
        <v>59.591991</v>
      </c>
      <c r="W18" s="63">
        <v>62.733749000000003</v>
      </c>
      <c r="X18" s="63">
        <v>65.506279000000006</v>
      </c>
      <c r="Y18" s="63">
        <v>68.342262000000005</v>
      </c>
      <c r="Z18" s="63">
        <v>71.432770000000005</v>
      </c>
      <c r="AA18" s="63">
        <v>74.275611999999995</v>
      </c>
      <c r="AB18" s="63">
        <v>76.890845999999996</v>
      </c>
      <c r="AC18" s="63">
        <v>79.383583000000002</v>
      </c>
      <c r="AD18" s="63">
        <v>81.697388000000004</v>
      </c>
      <c r="AE18" s="63">
        <v>83.770638000000005</v>
      </c>
      <c r="AF18" s="63">
        <v>85.548278999999994</v>
      </c>
      <c r="AG18" s="63">
        <v>87.061745000000002</v>
      </c>
      <c r="AH18" s="63">
        <v>88.426215999999997</v>
      </c>
      <c r="AI18" s="63">
        <v>89.601012999999995</v>
      </c>
      <c r="AJ18" s="62">
        <v>3.0148999999999999E-2</v>
      </c>
    </row>
    <row r="19" spans="1:36" ht="14.25" customHeight="1" x14ac:dyDescent="0.2">
      <c r="A19" s="60" t="s">
        <v>607</v>
      </c>
      <c r="B19" s="63">
        <v>7408.2446289999998</v>
      </c>
      <c r="C19" s="63">
        <v>7114.7631840000004</v>
      </c>
      <c r="D19" s="63">
        <v>6862.5078119999998</v>
      </c>
      <c r="E19" s="63">
        <v>6633.4536129999997</v>
      </c>
      <c r="F19" s="63">
        <v>6385.0131840000004</v>
      </c>
      <c r="G19" s="63">
        <v>6097.4506840000004</v>
      </c>
      <c r="H19" s="63">
        <v>5873.9208980000003</v>
      </c>
      <c r="I19" s="63">
        <v>5678.7353519999997</v>
      </c>
      <c r="J19" s="63">
        <v>5484.6162109999996</v>
      </c>
      <c r="K19" s="63">
        <v>5314.6044920000004</v>
      </c>
      <c r="L19" s="63">
        <v>5176.0625</v>
      </c>
      <c r="M19" s="63">
        <v>5069.1171880000002</v>
      </c>
      <c r="N19" s="63">
        <v>4978.8374020000001</v>
      </c>
      <c r="O19" s="63">
        <v>4908.8315430000002</v>
      </c>
      <c r="P19" s="63">
        <v>4871.09375</v>
      </c>
      <c r="Q19" s="63">
        <v>4845.9189450000003</v>
      </c>
      <c r="R19" s="63">
        <v>4835.0693359999996</v>
      </c>
      <c r="S19" s="63">
        <v>4844.2734380000002</v>
      </c>
      <c r="T19" s="63">
        <v>4855.3872069999998</v>
      </c>
      <c r="U19" s="63">
        <v>4863.6889650000003</v>
      </c>
      <c r="V19" s="63">
        <v>4876.1123049999997</v>
      </c>
      <c r="W19" s="63">
        <v>4894.1904299999997</v>
      </c>
      <c r="X19" s="63">
        <v>4910.7797849999997</v>
      </c>
      <c r="Y19" s="63">
        <v>4929.6586909999996</v>
      </c>
      <c r="Z19" s="63">
        <v>4947.2275390000004</v>
      </c>
      <c r="AA19" s="63">
        <v>4981.2739259999998</v>
      </c>
      <c r="AB19" s="63">
        <v>5015.1904299999997</v>
      </c>
      <c r="AC19" s="63">
        <v>5055.1166990000002</v>
      </c>
      <c r="AD19" s="63">
        <v>5096.4541019999997</v>
      </c>
      <c r="AE19" s="63">
        <v>5133.9721680000002</v>
      </c>
      <c r="AF19" s="63">
        <v>5161.4951170000004</v>
      </c>
      <c r="AG19" s="63">
        <v>5179.0678710000002</v>
      </c>
      <c r="AH19" s="63">
        <v>5196.6030270000001</v>
      </c>
      <c r="AI19" s="63">
        <v>5209.1030270000001</v>
      </c>
      <c r="AJ19" s="62">
        <v>-9.6950000000000005E-3</v>
      </c>
    </row>
    <row r="20" spans="1:36" ht="14.25" customHeight="1" x14ac:dyDescent="0.2"/>
    <row r="21" spans="1:36" ht="14.25" customHeight="1" x14ac:dyDescent="0.2">
      <c r="A21" s="59" t="s">
        <v>608</v>
      </c>
    </row>
    <row r="22" spans="1:36" ht="14.25" customHeight="1" x14ac:dyDescent="0.2">
      <c r="A22" s="60" t="s">
        <v>610</v>
      </c>
      <c r="B22" s="63">
        <v>511.11575299999998</v>
      </c>
      <c r="C22" s="63">
        <v>478.46389799999997</v>
      </c>
      <c r="D22" s="63">
        <v>449.45297199999999</v>
      </c>
      <c r="E22" s="63">
        <v>424.69723499999998</v>
      </c>
      <c r="F22" s="63">
        <v>402.74319500000001</v>
      </c>
      <c r="G22" s="63">
        <v>382.87866200000002</v>
      </c>
      <c r="H22" s="63">
        <v>366.91580199999999</v>
      </c>
      <c r="I22" s="63">
        <v>353.37148999999999</v>
      </c>
      <c r="J22" s="63">
        <v>339.53933699999999</v>
      </c>
      <c r="K22" s="63">
        <v>326.47366299999999</v>
      </c>
      <c r="L22" s="63">
        <v>314.83779900000002</v>
      </c>
      <c r="M22" s="63">
        <v>304.31475799999998</v>
      </c>
      <c r="N22" s="63">
        <v>295.27282700000001</v>
      </c>
      <c r="O22" s="63">
        <v>287.59777800000001</v>
      </c>
      <c r="P22" s="63">
        <v>281.00631700000002</v>
      </c>
      <c r="Q22" s="63">
        <v>275.71218900000002</v>
      </c>
      <c r="R22" s="63">
        <v>268.42645299999998</v>
      </c>
      <c r="S22" s="63">
        <v>264.54257200000001</v>
      </c>
      <c r="T22" s="63">
        <v>261.50460800000002</v>
      </c>
      <c r="U22" s="63">
        <v>257.21893299999999</v>
      </c>
      <c r="V22" s="63">
        <v>255.833527</v>
      </c>
      <c r="W22" s="63">
        <v>256.27121</v>
      </c>
      <c r="X22" s="63">
        <v>256.02444500000001</v>
      </c>
      <c r="Y22" s="63">
        <v>256.04959100000002</v>
      </c>
      <c r="Z22" s="63">
        <v>257.86187699999999</v>
      </c>
      <c r="AA22" s="63">
        <v>259.80474900000002</v>
      </c>
      <c r="AB22" s="63">
        <v>261.60952800000001</v>
      </c>
      <c r="AC22" s="63">
        <v>263.68194599999998</v>
      </c>
      <c r="AD22" s="63">
        <v>265.73525999999998</v>
      </c>
      <c r="AE22" s="63">
        <v>267.46734600000002</v>
      </c>
      <c r="AF22" s="63">
        <v>268.63150000000002</v>
      </c>
      <c r="AG22" s="63">
        <v>269.34265099999999</v>
      </c>
      <c r="AH22" s="63">
        <v>270.069366</v>
      </c>
      <c r="AI22" s="63">
        <v>270.60082999999997</v>
      </c>
      <c r="AJ22" s="62">
        <v>-1.7652999999999999E-2</v>
      </c>
    </row>
    <row r="23" spans="1:36" ht="14.25" customHeight="1" x14ac:dyDescent="0.2">
      <c r="A23" s="60" t="s">
        <v>612</v>
      </c>
      <c r="B23" s="63">
        <v>16.729153</v>
      </c>
      <c r="C23" s="63">
        <v>20.657087000000001</v>
      </c>
      <c r="D23" s="63">
        <v>27.360132</v>
      </c>
      <c r="E23" s="63">
        <v>38.507461999999997</v>
      </c>
      <c r="F23" s="63">
        <v>58.855564000000001</v>
      </c>
      <c r="G23" s="63">
        <v>86.718010000000007</v>
      </c>
      <c r="H23" s="63">
        <v>107.621788</v>
      </c>
      <c r="I23" s="63">
        <v>127.79937</v>
      </c>
      <c r="J23" s="63">
        <v>147.580658</v>
      </c>
      <c r="K23" s="63">
        <v>162.45521500000001</v>
      </c>
      <c r="L23" s="63">
        <v>174.36814899999999</v>
      </c>
      <c r="M23" s="63">
        <v>182.75604200000001</v>
      </c>
      <c r="N23" s="63">
        <v>191.37200899999999</v>
      </c>
      <c r="O23" s="63">
        <v>199.05635100000001</v>
      </c>
      <c r="P23" s="63">
        <v>205.86239599999999</v>
      </c>
      <c r="Q23" s="63">
        <v>207.292374</v>
      </c>
      <c r="R23" s="63">
        <v>207.92167699999999</v>
      </c>
      <c r="S23" s="63">
        <v>208.547684</v>
      </c>
      <c r="T23" s="63">
        <v>208.94152800000001</v>
      </c>
      <c r="U23" s="63">
        <v>209.33637999999999</v>
      </c>
      <c r="V23" s="63">
        <v>208.28656000000001</v>
      </c>
      <c r="W23" s="63">
        <v>207.108093</v>
      </c>
      <c r="X23" s="63">
        <v>206.08805799999999</v>
      </c>
      <c r="Y23" s="63">
        <v>205.28021200000001</v>
      </c>
      <c r="Z23" s="63">
        <v>204.172516</v>
      </c>
      <c r="AA23" s="63">
        <v>202.876938</v>
      </c>
      <c r="AB23" s="63">
        <v>201.63252299999999</v>
      </c>
      <c r="AC23" s="63">
        <v>200.49288899999999</v>
      </c>
      <c r="AD23" s="63">
        <v>199.18789699999999</v>
      </c>
      <c r="AE23" s="63">
        <v>197.60823099999999</v>
      </c>
      <c r="AF23" s="63">
        <v>195.93048099999999</v>
      </c>
      <c r="AG23" s="63">
        <v>194.64279199999999</v>
      </c>
      <c r="AH23" s="63">
        <v>193.492142</v>
      </c>
      <c r="AI23" s="63">
        <v>192.652039</v>
      </c>
      <c r="AJ23" s="62">
        <v>7.2267999999999999E-2</v>
      </c>
    </row>
    <row r="24" spans="1:36" ht="14.25" customHeight="1" x14ac:dyDescent="0.2">
      <c r="A24" s="60" t="s">
        <v>614</v>
      </c>
      <c r="B24" s="63">
        <v>17.607057999999999</v>
      </c>
      <c r="C24" s="63">
        <v>20.498280000000001</v>
      </c>
      <c r="D24" s="63">
        <v>25.010632999999999</v>
      </c>
      <c r="E24" s="63">
        <v>31.898012000000001</v>
      </c>
      <c r="F24" s="63">
        <v>44.304336999999997</v>
      </c>
      <c r="G24" s="63">
        <v>61.182189999999999</v>
      </c>
      <c r="H24" s="63">
        <v>74.254997000000003</v>
      </c>
      <c r="I24" s="63">
        <v>87.112717000000004</v>
      </c>
      <c r="J24" s="63">
        <v>100.442863</v>
      </c>
      <c r="K24" s="63">
        <v>111.06916</v>
      </c>
      <c r="L24" s="63">
        <v>120.257942</v>
      </c>
      <c r="M24" s="63">
        <v>127.656944</v>
      </c>
      <c r="N24" s="63">
        <v>135.499405</v>
      </c>
      <c r="O24" s="63">
        <v>143.17463699999999</v>
      </c>
      <c r="P24" s="63">
        <v>150.68356299999999</v>
      </c>
      <c r="Q24" s="63">
        <v>155.95600899999999</v>
      </c>
      <c r="R24" s="63">
        <v>160.968842</v>
      </c>
      <c r="S24" s="63">
        <v>166.03836100000001</v>
      </c>
      <c r="T24" s="63">
        <v>170.895996</v>
      </c>
      <c r="U24" s="63">
        <v>175.66331500000001</v>
      </c>
      <c r="V24" s="63">
        <v>179.67787200000001</v>
      </c>
      <c r="W24" s="63">
        <v>183.31980899999999</v>
      </c>
      <c r="X24" s="63">
        <v>186.70941199999999</v>
      </c>
      <c r="Y24" s="63">
        <v>189.951233</v>
      </c>
      <c r="Z24" s="63">
        <v>192.71830700000001</v>
      </c>
      <c r="AA24" s="63">
        <v>195.21589700000001</v>
      </c>
      <c r="AB24" s="63">
        <v>197.511246</v>
      </c>
      <c r="AC24" s="63">
        <v>199.68571499999999</v>
      </c>
      <c r="AD24" s="63">
        <v>201.55767800000001</v>
      </c>
      <c r="AE24" s="63">
        <v>203.00758400000001</v>
      </c>
      <c r="AF24" s="63">
        <v>204.09112500000001</v>
      </c>
      <c r="AG24" s="63">
        <v>205.106979</v>
      </c>
      <c r="AH24" s="63">
        <v>206.00126599999999</v>
      </c>
      <c r="AI24" s="63">
        <v>206.85379</v>
      </c>
      <c r="AJ24" s="62">
        <v>7.4912999999999993E-2</v>
      </c>
    </row>
    <row r="25" spans="1:36" ht="14.25" customHeight="1" x14ac:dyDescent="0.2">
      <c r="A25" s="60" t="s">
        <v>616</v>
      </c>
      <c r="B25" s="63">
        <v>2.0203380000000002</v>
      </c>
      <c r="C25" s="63">
        <v>4.6008139999999997</v>
      </c>
      <c r="D25" s="63">
        <v>8.5121249999999993</v>
      </c>
      <c r="E25" s="63">
        <v>14.281381</v>
      </c>
      <c r="F25" s="63">
        <v>24.641897</v>
      </c>
      <c r="G25" s="63">
        <v>38.877814999999998</v>
      </c>
      <c r="H25" s="63">
        <v>50.024135999999999</v>
      </c>
      <c r="I25" s="63">
        <v>61.108116000000003</v>
      </c>
      <c r="J25" s="63">
        <v>72.797729000000004</v>
      </c>
      <c r="K25" s="63">
        <v>82.364006000000003</v>
      </c>
      <c r="L25" s="63">
        <v>90.874656999999999</v>
      </c>
      <c r="M25" s="63">
        <v>98.077515000000005</v>
      </c>
      <c r="N25" s="63">
        <v>105.81053199999999</v>
      </c>
      <c r="O25" s="63">
        <v>113.55384100000001</v>
      </c>
      <c r="P25" s="63">
        <v>121.27568100000001</v>
      </c>
      <c r="Q25" s="63">
        <v>127.244232</v>
      </c>
      <c r="R25" s="63">
        <v>133.08639500000001</v>
      </c>
      <c r="S25" s="63">
        <v>139.008026</v>
      </c>
      <c r="T25" s="63">
        <v>144.751541</v>
      </c>
      <c r="U25" s="63">
        <v>150.38073700000001</v>
      </c>
      <c r="V25" s="63">
        <v>155.38296500000001</v>
      </c>
      <c r="W25" s="63">
        <v>160.11111500000001</v>
      </c>
      <c r="X25" s="63">
        <v>164.54209900000001</v>
      </c>
      <c r="Y25" s="63">
        <v>168.77954099999999</v>
      </c>
      <c r="Z25" s="63">
        <v>172.549789</v>
      </c>
      <c r="AA25" s="63">
        <v>175.83978300000001</v>
      </c>
      <c r="AB25" s="63">
        <v>178.83517499999999</v>
      </c>
      <c r="AC25" s="63">
        <v>181.65036000000001</v>
      </c>
      <c r="AD25" s="63">
        <v>184.121475</v>
      </c>
      <c r="AE25" s="63">
        <v>186.15417500000001</v>
      </c>
      <c r="AF25" s="63">
        <v>187.78633099999999</v>
      </c>
      <c r="AG25" s="63">
        <v>189.27424600000001</v>
      </c>
      <c r="AH25" s="63">
        <v>190.59030200000001</v>
      </c>
      <c r="AI25" s="63">
        <v>191.798889</v>
      </c>
      <c r="AJ25" s="62">
        <v>0.12363499999999999</v>
      </c>
    </row>
    <row r="26" spans="1:36" ht="14.25" customHeight="1" x14ac:dyDescent="0.2">
      <c r="A26" s="60" t="s">
        <v>618</v>
      </c>
      <c r="B26" s="63">
        <v>27.493435000000002</v>
      </c>
      <c r="C26" s="63">
        <v>47.756512000000001</v>
      </c>
      <c r="D26" s="63">
        <v>61.921107999999997</v>
      </c>
      <c r="E26" s="63">
        <v>73.892128</v>
      </c>
      <c r="F26" s="63">
        <v>98.197982999999994</v>
      </c>
      <c r="G26" s="63">
        <v>124.747124</v>
      </c>
      <c r="H26" s="63">
        <v>148.60919200000001</v>
      </c>
      <c r="I26" s="63">
        <v>170.45541399999999</v>
      </c>
      <c r="J26" s="63">
        <v>192.13012699999999</v>
      </c>
      <c r="K26" s="63">
        <v>208.81935100000001</v>
      </c>
      <c r="L26" s="63">
        <v>222.19538900000001</v>
      </c>
      <c r="M26" s="63">
        <v>232.89068599999999</v>
      </c>
      <c r="N26" s="63">
        <v>243.50195299999999</v>
      </c>
      <c r="O26" s="63">
        <v>253.57401999999999</v>
      </c>
      <c r="P26" s="63">
        <v>262.399719</v>
      </c>
      <c r="Q26" s="63">
        <v>270.025238</v>
      </c>
      <c r="R26" s="63">
        <v>276.50988799999999</v>
      </c>
      <c r="S26" s="63">
        <v>282.25479100000001</v>
      </c>
      <c r="T26" s="63">
        <v>287.14035000000001</v>
      </c>
      <c r="U26" s="63">
        <v>291.69143700000001</v>
      </c>
      <c r="V26" s="63">
        <v>296.22598299999999</v>
      </c>
      <c r="W26" s="63">
        <v>298.35107399999998</v>
      </c>
      <c r="X26" s="63">
        <v>300.177887</v>
      </c>
      <c r="Y26" s="63">
        <v>302.00103799999999</v>
      </c>
      <c r="Z26" s="63">
        <v>303.19149800000002</v>
      </c>
      <c r="AA26" s="63">
        <v>304.06268299999999</v>
      </c>
      <c r="AB26" s="63">
        <v>304.74264499999998</v>
      </c>
      <c r="AC26" s="63">
        <v>305.47451799999999</v>
      </c>
      <c r="AD26" s="63">
        <v>305.90945399999998</v>
      </c>
      <c r="AE26" s="63">
        <v>305.80581699999999</v>
      </c>
      <c r="AF26" s="63">
        <v>305.64022799999998</v>
      </c>
      <c r="AG26" s="63">
        <v>305.70504799999998</v>
      </c>
      <c r="AH26" s="63">
        <v>305.78054800000001</v>
      </c>
      <c r="AI26" s="63">
        <v>306.117188</v>
      </c>
      <c r="AJ26" s="62">
        <v>5.9776000000000003E-2</v>
      </c>
    </row>
    <row r="27" spans="1:36" ht="14.25" customHeight="1" x14ac:dyDescent="0.2">
      <c r="A27" s="60" t="s">
        <v>620</v>
      </c>
      <c r="B27" s="63">
        <v>15.178844</v>
      </c>
      <c r="C27" s="63">
        <v>27.388926000000001</v>
      </c>
      <c r="D27" s="63">
        <v>35.885829999999999</v>
      </c>
      <c r="E27" s="63">
        <v>42.959640999999998</v>
      </c>
      <c r="F27" s="63">
        <v>57.462017000000003</v>
      </c>
      <c r="G27" s="63">
        <v>73.360611000000006</v>
      </c>
      <c r="H27" s="63">
        <v>87.718491</v>
      </c>
      <c r="I27" s="63">
        <v>100.942505</v>
      </c>
      <c r="J27" s="63">
        <v>114.151939</v>
      </c>
      <c r="K27" s="63">
        <v>124.47277099999999</v>
      </c>
      <c r="L27" s="63">
        <v>132.92837499999999</v>
      </c>
      <c r="M27" s="63">
        <v>139.91068999999999</v>
      </c>
      <c r="N27" s="63">
        <v>146.980423</v>
      </c>
      <c r="O27" s="63">
        <v>153.86222799999999</v>
      </c>
      <c r="P27" s="63">
        <v>160.12591599999999</v>
      </c>
      <c r="Q27" s="63">
        <v>165.76589999999999</v>
      </c>
      <c r="R27" s="63">
        <v>170.79997299999999</v>
      </c>
      <c r="S27" s="63">
        <v>175.45233200000001</v>
      </c>
      <c r="T27" s="63">
        <v>179.62088</v>
      </c>
      <c r="U27" s="63">
        <v>183.54804999999999</v>
      </c>
      <c r="V27" s="63">
        <v>187.45822100000001</v>
      </c>
      <c r="W27" s="63">
        <v>190.060104</v>
      </c>
      <c r="X27" s="63">
        <v>192.47463999999999</v>
      </c>
      <c r="Y27" s="63">
        <v>194.85781900000001</v>
      </c>
      <c r="Z27" s="63">
        <v>196.83073400000001</v>
      </c>
      <c r="AA27" s="63">
        <v>198.45822100000001</v>
      </c>
      <c r="AB27" s="63">
        <v>199.88355999999999</v>
      </c>
      <c r="AC27" s="63">
        <v>201.269409</v>
      </c>
      <c r="AD27" s="63">
        <v>202.39781199999999</v>
      </c>
      <c r="AE27" s="63">
        <v>203.116501</v>
      </c>
      <c r="AF27" s="63">
        <v>203.704803</v>
      </c>
      <c r="AG27" s="63">
        <v>204.34178199999999</v>
      </c>
      <c r="AH27" s="63">
        <v>204.91387900000001</v>
      </c>
      <c r="AI27" s="63">
        <v>205.57221999999999</v>
      </c>
      <c r="AJ27" s="62">
        <v>6.5015000000000003E-2</v>
      </c>
    </row>
    <row r="28" spans="1:36" ht="14.25" customHeight="1" x14ac:dyDescent="0.2">
      <c r="A28" s="60" t="s">
        <v>622</v>
      </c>
      <c r="B28" s="63">
        <v>0</v>
      </c>
      <c r="C28" s="63">
        <v>0</v>
      </c>
      <c r="D28" s="63">
        <v>0</v>
      </c>
      <c r="E28" s="63">
        <v>0</v>
      </c>
      <c r="F28" s="63">
        <v>0</v>
      </c>
      <c r="G28" s="63">
        <v>0</v>
      </c>
      <c r="H28" s="63">
        <v>0</v>
      </c>
      <c r="I28" s="63">
        <v>0</v>
      </c>
      <c r="J28" s="63">
        <v>0</v>
      </c>
      <c r="K28" s="63">
        <v>0</v>
      </c>
      <c r="L28" s="63">
        <v>0</v>
      </c>
      <c r="M28" s="63">
        <v>0</v>
      </c>
      <c r="N28" s="63">
        <v>0</v>
      </c>
      <c r="O28" s="63">
        <v>7.1669999999999998E-3</v>
      </c>
      <c r="P28" s="63">
        <v>1.5644999999999999E-2</v>
      </c>
      <c r="Q28" s="63">
        <v>2.6058999999999999E-2</v>
      </c>
      <c r="R28" s="63">
        <v>3.9258000000000001E-2</v>
      </c>
      <c r="S28" s="63">
        <v>5.6256E-2</v>
      </c>
      <c r="T28" s="63">
        <v>7.8018000000000004E-2</v>
      </c>
      <c r="U28" s="63">
        <v>0.105416</v>
      </c>
      <c r="V28" s="63">
        <v>0.13957600000000001</v>
      </c>
      <c r="W28" s="63">
        <v>0.18164</v>
      </c>
      <c r="X28" s="63">
        <v>0.232373</v>
      </c>
      <c r="Y28" s="63">
        <v>0.29263499999999998</v>
      </c>
      <c r="Z28" s="63">
        <v>0.36273</v>
      </c>
      <c r="AA28" s="63">
        <v>0.44226700000000002</v>
      </c>
      <c r="AB28" s="63">
        <v>0.53056400000000004</v>
      </c>
      <c r="AC28" s="63">
        <v>0.62697199999999997</v>
      </c>
      <c r="AD28" s="63">
        <v>0.72961200000000004</v>
      </c>
      <c r="AE28" s="63">
        <v>0.83621299999999998</v>
      </c>
      <c r="AF28" s="63">
        <v>0.94408700000000001</v>
      </c>
      <c r="AG28" s="63">
        <v>1.0511809999999999</v>
      </c>
      <c r="AH28" s="63">
        <v>1.156428</v>
      </c>
      <c r="AI28" s="63">
        <v>1.2579149999999999</v>
      </c>
      <c r="AJ28" s="62" t="s">
        <v>467</v>
      </c>
    </row>
    <row r="29" spans="1:36" ht="14.25" customHeight="1" x14ac:dyDescent="0.2">
      <c r="A29" s="60" t="s">
        <v>624</v>
      </c>
      <c r="B29" s="63">
        <v>285.89840700000002</v>
      </c>
      <c r="C29" s="63">
        <v>287.20181300000002</v>
      </c>
      <c r="D29" s="63">
        <v>288.25820900000002</v>
      </c>
      <c r="E29" s="63">
        <v>292.286835</v>
      </c>
      <c r="F29" s="63">
        <v>296.58084100000002</v>
      </c>
      <c r="G29" s="63">
        <v>300.03002900000001</v>
      </c>
      <c r="H29" s="63">
        <v>304.36773699999998</v>
      </c>
      <c r="I29" s="63">
        <v>309.33282500000001</v>
      </c>
      <c r="J29" s="63">
        <v>314.592468</v>
      </c>
      <c r="K29" s="63">
        <v>320.09225500000002</v>
      </c>
      <c r="L29" s="63">
        <v>326.948914</v>
      </c>
      <c r="M29" s="63">
        <v>335.58908100000002</v>
      </c>
      <c r="N29" s="63">
        <v>346.04965199999998</v>
      </c>
      <c r="O29" s="63">
        <v>358.24456800000002</v>
      </c>
      <c r="P29" s="63">
        <v>373.54473899999999</v>
      </c>
      <c r="Q29" s="63">
        <v>389.16043100000002</v>
      </c>
      <c r="R29" s="63">
        <v>405.82107500000001</v>
      </c>
      <c r="S29" s="63">
        <v>423.89910900000001</v>
      </c>
      <c r="T29" s="63">
        <v>441.21945199999999</v>
      </c>
      <c r="U29" s="63">
        <v>458.55599999999998</v>
      </c>
      <c r="V29" s="63">
        <v>475.06921399999999</v>
      </c>
      <c r="W29" s="63">
        <v>490.70992999999999</v>
      </c>
      <c r="X29" s="63">
        <v>505.60229500000003</v>
      </c>
      <c r="Y29" s="63">
        <v>519.73821999999996</v>
      </c>
      <c r="Z29" s="63">
        <v>533.29260299999999</v>
      </c>
      <c r="AA29" s="63">
        <v>546.32794200000001</v>
      </c>
      <c r="AB29" s="63">
        <v>558.32428000000004</v>
      </c>
      <c r="AC29" s="63">
        <v>569.76525900000001</v>
      </c>
      <c r="AD29" s="63">
        <v>580.37707499999999</v>
      </c>
      <c r="AE29" s="63">
        <v>589.86657700000001</v>
      </c>
      <c r="AF29" s="63">
        <v>597.92193599999996</v>
      </c>
      <c r="AG29" s="63">
        <v>604.65307600000006</v>
      </c>
      <c r="AH29" s="63">
        <v>610.65795900000001</v>
      </c>
      <c r="AI29" s="63">
        <v>615.71661400000005</v>
      </c>
      <c r="AJ29" s="62">
        <v>2.4118000000000001E-2</v>
      </c>
    </row>
    <row r="30" spans="1:36" ht="14.25" customHeight="1" x14ac:dyDescent="0.2">
      <c r="A30" s="60" t="s">
        <v>626</v>
      </c>
      <c r="B30" s="63">
        <v>24.762091000000002</v>
      </c>
      <c r="C30" s="63">
        <v>19.656492</v>
      </c>
      <c r="D30" s="63">
        <v>14.278668</v>
      </c>
      <c r="E30" s="63">
        <v>12.589105</v>
      </c>
      <c r="F30" s="63">
        <v>11.704148999999999</v>
      </c>
      <c r="G30" s="63">
        <v>10.891492</v>
      </c>
      <c r="H30" s="63">
        <v>10.134369</v>
      </c>
      <c r="I30" s="63">
        <v>9.4139510000000008</v>
      </c>
      <c r="J30" s="63">
        <v>8.7405000000000008</v>
      </c>
      <c r="K30" s="63">
        <v>8.1571239999999996</v>
      </c>
      <c r="L30" s="63">
        <v>7.6398330000000003</v>
      </c>
      <c r="M30" s="63">
        <v>7.1782779999999997</v>
      </c>
      <c r="N30" s="63">
        <v>6.7816559999999999</v>
      </c>
      <c r="O30" s="63">
        <v>6.4352640000000001</v>
      </c>
      <c r="P30" s="63">
        <v>6.1553589999999998</v>
      </c>
      <c r="Q30" s="63">
        <v>5.9047070000000001</v>
      </c>
      <c r="R30" s="63">
        <v>5.7151969999999999</v>
      </c>
      <c r="S30" s="63">
        <v>5.5747450000000001</v>
      </c>
      <c r="T30" s="63">
        <v>5.4708030000000001</v>
      </c>
      <c r="U30" s="63">
        <v>5.395168</v>
      </c>
      <c r="V30" s="63">
        <v>5.3009719999999998</v>
      </c>
      <c r="W30" s="63">
        <v>5.2381970000000004</v>
      </c>
      <c r="X30" s="63">
        <v>5.1937870000000004</v>
      </c>
      <c r="Y30" s="63">
        <v>5.166048</v>
      </c>
      <c r="Z30" s="63">
        <v>5.1950609999999999</v>
      </c>
      <c r="AA30" s="63">
        <v>5.1853410000000002</v>
      </c>
      <c r="AB30" s="63">
        <v>5.235277</v>
      </c>
      <c r="AC30" s="63">
        <v>5.2851920000000003</v>
      </c>
      <c r="AD30" s="63">
        <v>5.3333769999999996</v>
      </c>
      <c r="AE30" s="63">
        <v>5.3783859999999999</v>
      </c>
      <c r="AF30" s="63">
        <v>5.4181410000000003</v>
      </c>
      <c r="AG30" s="63">
        <v>5.4519330000000004</v>
      </c>
      <c r="AH30" s="63">
        <v>5.4822280000000001</v>
      </c>
      <c r="AI30" s="63">
        <v>5.5078490000000002</v>
      </c>
      <c r="AJ30" s="62">
        <v>-3.8976999999999998E-2</v>
      </c>
    </row>
    <row r="31" spans="1:36" ht="14.25" customHeight="1" x14ac:dyDescent="0.2">
      <c r="A31" s="60" t="s">
        <v>628</v>
      </c>
      <c r="B31" s="63">
        <v>43.051434</v>
      </c>
      <c r="C31" s="63">
        <v>41.769711000000001</v>
      </c>
      <c r="D31" s="63">
        <v>40.663792000000001</v>
      </c>
      <c r="E31" s="63">
        <v>39.66666</v>
      </c>
      <c r="F31" s="63">
        <v>38.835835000000003</v>
      </c>
      <c r="G31" s="63">
        <v>38.053775999999999</v>
      </c>
      <c r="H31" s="63">
        <v>37.387520000000002</v>
      </c>
      <c r="I31" s="63">
        <v>36.694813000000003</v>
      </c>
      <c r="J31" s="63">
        <v>35.904800000000002</v>
      </c>
      <c r="K31" s="63">
        <v>35.101031999999996</v>
      </c>
      <c r="L31" s="63">
        <v>34.315047999999997</v>
      </c>
      <c r="M31" s="63">
        <v>33.600487000000001</v>
      </c>
      <c r="N31" s="63">
        <v>33.026080999999998</v>
      </c>
      <c r="O31" s="63">
        <v>32.582988999999998</v>
      </c>
      <c r="P31" s="63">
        <v>32.328654999999998</v>
      </c>
      <c r="Q31" s="63">
        <v>32.158268</v>
      </c>
      <c r="R31" s="63">
        <v>32.142291999999998</v>
      </c>
      <c r="S31" s="63">
        <v>32.262881999999998</v>
      </c>
      <c r="T31" s="63">
        <v>32.444240999999998</v>
      </c>
      <c r="U31" s="63">
        <v>32.659702000000003</v>
      </c>
      <c r="V31" s="63">
        <v>32.842982999999997</v>
      </c>
      <c r="W31" s="63">
        <v>33.045158000000001</v>
      </c>
      <c r="X31" s="63">
        <v>33.261687999999999</v>
      </c>
      <c r="Y31" s="63">
        <v>33.490184999999997</v>
      </c>
      <c r="Z31" s="63">
        <v>33.811455000000002</v>
      </c>
      <c r="AA31" s="63">
        <v>34.144599999999997</v>
      </c>
      <c r="AB31" s="63">
        <v>34.459479999999999</v>
      </c>
      <c r="AC31" s="63">
        <v>34.771132999999999</v>
      </c>
      <c r="AD31" s="63">
        <v>35.070194000000001</v>
      </c>
      <c r="AE31" s="63">
        <v>35.347095000000003</v>
      </c>
      <c r="AF31" s="63">
        <v>35.586945</v>
      </c>
      <c r="AG31" s="63">
        <v>35.786406999999997</v>
      </c>
      <c r="AH31" s="63">
        <v>35.963493</v>
      </c>
      <c r="AI31" s="63">
        <v>36.109707</v>
      </c>
      <c r="AJ31" s="62">
        <v>-4.5399999999999998E-3</v>
      </c>
    </row>
    <row r="32" spans="1:36" ht="14.25" customHeight="1" x14ac:dyDescent="0.2">
      <c r="A32" s="60" t="s">
        <v>630</v>
      </c>
      <c r="B32" s="63">
        <v>4.2546949999999999</v>
      </c>
      <c r="C32" s="63">
        <v>4.1717240000000002</v>
      </c>
      <c r="D32" s="63">
        <v>4.1106350000000003</v>
      </c>
      <c r="E32" s="63">
        <v>4.0729340000000001</v>
      </c>
      <c r="F32" s="63">
        <v>4.0609869999999999</v>
      </c>
      <c r="G32" s="63">
        <v>4.0406040000000001</v>
      </c>
      <c r="H32" s="63">
        <v>4.0353839999999996</v>
      </c>
      <c r="I32" s="63">
        <v>4.0386610000000003</v>
      </c>
      <c r="J32" s="63">
        <v>4.0467230000000001</v>
      </c>
      <c r="K32" s="63">
        <v>4.0623950000000004</v>
      </c>
      <c r="L32" s="63">
        <v>4.0848329999999997</v>
      </c>
      <c r="M32" s="63">
        <v>4.1098150000000002</v>
      </c>
      <c r="N32" s="63">
        <v>4.1395920000000004</v>
      </c>
      <c r="O32" s="63">
        <v>4.1726409999999996</v>
      </c>
      <c r="P32" s="63">
        <v>4.2127699999999999</v>
      </c>
      <c r="Q32" s="63">
        <v>4.2534070000000002</v>
      </c>
      <c r="R32" s="63">
        <v>4.3014900000000003</v>
      </c>
      <c r="S32" s="63">
        <v>4.3572420000000003</v>
      </c>
      <c r="T32" s="63">
        <v>4.4126479999999999</v>
      </c>
      <c r="U32" s="63">
        <v>4.466545</v>
      </c>
      <c r="V32" s="63">
        <v>4.5185069999999996</v>
      </c>
      <c r="W32" s="63">
        <v>4.5686960000000001</v>
      </c>
      <c r="X32" s="63">
        <v>4.6187259999999997</v>
      </c>
      <c r="Y32" s="63">
        <v>4.6704629999999998</v>
      </c>
      <c r="Z32" s="63">
        <v>4.6861110000000004</v>
      </c>
      <c r="AA32" s="63">
        <v>4.7319399999999998</v>
      </c>
      <c r="AB32" s="63">
        <v>4.7804719999999996</v>
      </c>
      <c r="AC32" s="63">
        <v>4.829637</v>
      </c>
      <c r="AD32" s="63">
        <v>4.8774800000000003</v>
      </c>
      <c r="AE32" s="63">
        <v>4.922688</v>
      </c>
      <c r="AF32" s="63">
        <v>4.9636199999999997</v>
      </c>
      <c r="AG32" s="63">
        <v>4.999352</v>
      </c>
      <c r="AH32" s="63">
        <v>5.0317489999999996</v>
      </c>
      <c r="AI32" s="63">
        <v>5.0599049999999997</v>
      </c>
      <c r="AJ32" s="62">
        <v>6.0499999999999998E-3</v>
      </c>
    </row>
    <row r="33" spans="1:36" ht="14.25" customHeight="1" x14ac:dyDescent="0.2">
      <c r="A33" s="60" t="s">
        <v>632</v>
      </c>
      <c r="B33" s="63">
        <v>8.5438810000000007</v>
      </c>
      <c r="C33" s="63">
        <v>8.4456670000000003</v>
      </c>
      <c r="D33" s="63">
        <v>8.3784430000000008</v>
      </c>
      <c r="E33" s="63">
        <v>8.3540960000000002</v>
      </c>
      <c r="F33" s="63">
        <v>8.3788830000000001</v>
      </c>
      <c r="G33" s="63">
        <v>8.3872180000000007</v>
      </c>
      <c r="H33" s="63">
        <v>8.4179180000000002</v>
      </c>
      <c r="I33" s="63">
        <v>8.4584849999999996</v>
      </c>
      <c r="J33" s="63">
        <v>8.5004220000000004</v>
      </c>
      <c r="K33" s="63">
        <v>8.5488009999999992</v>
      </c>
      <c r="L33" s="63">
        <v>8.6035310000000003</v>
      </c>
      <c r="M33" s="63">
        <v>8.6621600000000001</v>
      </c>
      <c r="N33" s="63">
        <v>8.7297220000000006</v>
      </c>
      <c r="O33" s="63">
        <v>8.8036779999999997</v>
      </c>
      <c r="P33" s="63">
        <v>8.8945469999999993</v>
      </c>
      <c r="Q33" s="63">
        <v>8.9859969999999993</v>
      </c>
      <c r="R33" s="63">
        <v>9.0917390000000005</v>
      </c>
      <c r="S33" s="63">
        <v>9.2132039999999993</v>
      </c>
      <c r="T33" s="63">
        <v>9.3346979999999995</v>
      </c>
      <c r="U33" s="63">
        <v>9.4522969999999997</v>
      </c>
      <c r="V33" s="63">
        <v>9.5660589999999992</v>
      </c>
      <c r="W33" s="63">
        <v>9.6758129999999998</v>
      </c>
      <c r="X33" s="63">
        <v>9.7835730000000005</v>
      </c>
      <c r="Y33" s="63">
        <v>9.894577</v>
      </c>
      <c r="Z33" s="63">
        <v>9.935765</v>
      </c>
      <c r="AA33" s="63">
        <v>10.03303</v>
      </c>
      <c r="AB33" s="63">
        <v>10.13458</v>
      </c>
      <c r="AC33" s="63">
        <v>10.237174</v>
      </c>
      <c r="AD33" s="63">
        <v>10.336849000000001</v>
      </c>
      <c r="AE33" s="63">
        <v>10.430821999999999</v>
      </c>
      <c r="AF33" s="63">
        <v>10.515491000000001</v>
      </c>
      <c r="AG33" s="63">
        <v>10.58902</v>
      </c>
      <c r="AH33" s="63">
        <v>10.655549000000001</v>
      </c>
      <c r="AI33" s="63">
        <v>10.713072</v>
      </c>
      <c r="AJ33" s="62">
        <v>7.4590000000000004E-3</v>
      </c>
    </row>
    <row r="34" spans="1:36" ht="14.25" customHeight="1" x14ac:dyDescent="0.2">
      <c r="A34" s="60" t="s">
        <v>634</v>
      </c>
      <c r="B34" s="63">
        <v>0</v>
      </c>
      <c r="C34" s="63">
        <v>0</v>
      </c>
      <c r="D34" s="63">
        <v>0</v>
      </c>
      <c r="E34" s="63">
        <v>0</v>
      </c>
      <c r="F34" s="63">
        <v>0</v>
      </c>
      <c r="G34" s="63">
        <v>0</v>
      </c>
      <c r="H34" s="63">
        <v>0</v>
      </c>
      <c r="I34" s="63">
        <v>0</v>
      </c>
      <c r="J34" s="63">
        <v>0</v>
      </c>
      <c r="K34" s="63">
        <v>0</v>
      </c>
      <c r="L34" s="63">
        <v>0</v>
      </c>
      <c r="M34" s="63">
        <v>0</v>
      </c>
      <c r="N34" s="63">
        <v>0</v>
      </c>
      <c r="O34" s="63">
        <v>0</v>
      </c>
      <c r="P34" s="63">
        <v>0</v>
      </c>
      <c r="Q34" s="63">
        <v>0</v>
      </c>
      <c r="R34" s="63">
        <v>0</v>
      </c>
      <c r="S34" s="63">
        <v>0</v>
      </c>
      <c r="T34" s="63">
        <v>0</v>
      </c>
      <c r="U34" s="63">
        <v>0</v>
      </c>
      <c r="V34" s="63">
        <v>0</v>
      </c>
      <c r="W34" s="63">
        <v>0</v>
      </c>
      <c r="X34" s="63">
        <v>0</v>
      </c>
      <c r="Y34" s="63">
        <v>0</v>
      </c>
      <c r="Z34" s="63">
        <v>0</v>
      </c>
      <c r="AA34" s="63">
        <v>0</v>
      </c>
      <c r="AB34" s="63">
        <v>0</v>
      </c>
      <c r="AC34" s="63">
        <v>0</v>
      </c>
      <c r="AD34" s="63">
        <v>0</v>
      </c>
      <c r="AE34" s="63">
        <v>0</v>
      </c>
      <c r="AF34" s="63">
        <v>0</v>
      </c>
      <c r="AG34" s="63">
        <v>0</v>
      </c>
      <c r="AH34" s="63">
        <v>0</v>
      </c>
      <c r="AI34" s="63">
        <v>0</v>
      </c>
      <c r="AJ34" s="62" t="s">
        <v>467</v>
      </c>
    </row>
    <row r="35" spans="1:36" ht="14.25" customHeight="1" x14ac:dyDescent="0.2">
      <c r="A35" s="60" t="s">
        <v>636</v>
      </c>
      <c r="B35" s="63">
        <v>1.791733</v>
      </c>
      <c r="C35" s="63">
        <v>3.9130280000000002</v>
      </c>
      <c r="D35" s="63">
        <v>7.3412920000000002</v>
      </c>
      <c r="E35" s="63">
        <v>12.716816</v>
      </c>
      <c r="F35" s="63">
        <v>22.484204999999999</v>
      </c>
      <c r="G35" s="63">
        <v>35.895598999999997</v>
      </c>
      <c r="H35" s="63">
        <v>46.042434999999998</v>
      </c>
      <c r="I35" s="63">
        <v>55.843387999999997</v>
      </c>
      <c r="J35" s="63">
        <v>65.458495999999997</v>
      </c>
      <c r="K35" s="63">
        <v>72.712524000000002</v>
      </c>
      <c r="L35" s="63">
        <v>78.662711999999999</v>
      </c>
      <c r="M35" s="63">
        <v>82.673927000000006</v>
      </c>
      <c r="N35" s="63">
        <v>86.785347000000002</v>
      </c>
      <c r="O35" s="63">
        <v>90.392159000000007</v>
      </c>
      <c r="P35" s="63">
        <v>93.543633</v>
      </c>
      <c r="Q35" s="63">
        <v>94.070487999999997</v>
      </c>
      <c r="R35" s="63">
        <v>94.196999000000005</v>
      </c>
      <c r="S35" s="63">
        <v>94.297370999999998</v>
      </c>
      <c r="T35" s="63">
        <v>94.282639000000003</v>
      </c>
      <c r="U35" s="63">
        <v>94.309196</v>
      </c>
      <c r="V35" s="63">
        <v>93.646759000000003</v>
      </c>
      <c r="W35" s="63">
        <v>92.970855999999998</v>
      </c>
      <c r="X35" s="63">
        <v>92.361785999999995</v>
      </c>
      <c r="Y35" s="63">
        <v>91.901336999999998</v>
      </c>
      <c r="Z35" s="63">
        <v>91.261939999999996</v>
      </c>
      <c r="AA35" s="63">
        <v>90.529808000000003</v>
      </c>
      <c r="AB35" s="63">
        <v>89.832999999999998</v>
      </c>
      <c r="AC35" s="63">
        <v>89.196915000000004</v>
      </c>
      <c r="AD35" s="63">
        <v>88.489784</v>
      </c>
      <c r="AE35" s="63">
        <v>87.662338000000005</v>
      </c>
      <c r="AF35" s="63">
        <v>86.801460000000006</v>
      </c>
      <c r="AG35" s="63">
        <v>86.140152</v>
      </c>
      <c r="AH35" s="63">
        <v>85.552406000000005</v>
      </c>
      <c r="AI35" s="63">
        <v>85.122894000000002</v>
      </c>
      <c r="AJ35" s="62">
        <v>0.10102700000000001</v>
      </c>
    </row>
    <row r="36" spans="1:36" ht="14.25" customHeight="1" x14ac:dyDescent="0.2">
      <c r="A36" s="60" t="s">
        <v>638</v>
      </c>
      <c r="B36" s="63">
        <v>958.446777</v>
      </c>
      <c r="C36" s="63">
        <v>964.52404799999999</v>
      </c>
      <c r="D36" s="63">
        <v>971.17382799999996</v>
      </c>
      <c r="E36" s="63">
        <v>995.92236300000002</v>
      </c>
      <c r="F36" s="63">
        <v>1068.2498780000001</v>
      </c>
      <c r="G36" s="63">
        <v>1165.063232</v>
      </c>
      <c r="H36" s="63">
        <v>1245.530029</v>
      </c>
      <c r="I36" s="63">
        <v>1324.571899</v>
      </c>
      <c r="J36" s="63">
        <v>1403.8861079999999</v>
      </c>
      <c r="K36" s="63">
        <v>1464.3283690000001</v>
      </c>
      <c r="L36" s="63">
        <v>1515.7172849999999</v>
      </c>
      <c r="M36" s="63">
        <v>1557.420288</v>
      </c>
      <c r="N36" s="63">
        <v>1603.949341</v>
      </c>
      <c r="O36" s="63">
        <v>1651.4575199999999</v>
      </c>
      <c r="P36" s="63">
        <v>1700.048706</v>
      </c>
      <c r="Q36" s="63">
        <v>1736.5551760000001</v>
      </c>
      <c r="R36" s="63">
        <v>1769.0214840000001</v>
      </c>
      <c r="S36" s="63">
        <v>1805.504639</v>
      </c>
      <c r="T36" s="63">
        <v>1840.0974120000001</v>
      </c>
      <c r="U36" s="63">
        <v>1872.783203</v>
      </c>
      <c r="V36" s="63">
        <v>1903.9492190000001</v>
      </c>
      <c r="W36" s="63">
        <v>1931.6116939999999</v>
      </c>
      <c r="X36" s="63">
        <v>1957.0710449999999</v>
      </c>
      <c r="Y36" s="63">
        <v>1982.072754</v>
      </c>
      <c r="Z36" s="63">
        <v>2005.870361</v>
      </c>
      <c r="AA36" s="63">
        <v>2027.6533199999999</v>
      </c>
      <c r="AB36" s="63">
        <v>2047.5123289999999</v>
      </c>
      <c r="AC36" s="63">
        <v>2066.9670409999999</v>
      </c>
      <c r="AD36" s="63">
        <v>2084.123779</v>
      </c>
      <c r="AE36" s="63">
        <v>2097.60376</v>
      </c>
      <c r="AF36" s="63">
        <v>2107.936279</v>
      </c>
      <c r="AG36" s="63">
        <v>2117.0847170000002</v>
      </c>
      <c r="AH36" s="63">
        <v>2125.3471679999998</v>
      </c>
      <c r="AI36" s="63">
        <v>2133.0827640000002</v>
      </c>
      <c r="AJ36" s="62">
        <v>2.5113E-2</v>
      </c>
    </row>
    <row r="37" spans="1:36" ht="14.25" customHeight="1" x14ac:dyDescent="0.2"/>
    <row r="38" spans="1:36" ht="14.25" customHeight="1" x14ac:dyDescent="0.2">
      <c r="A38" s="60" t="s">
        <v>679</v>
      </c>
      <c r="B38" s="63">
        <v>8366.6914059999999</v>
      </c>
      <c r="C38" s="63">
        <v>8079.2871089999999</v>
      </c>
      <c r="D38" s="63">
        <v>7833.6816410000001</v>
      </c>
      <c r="E38" s="63">
        <v>7629.3759769999997</v>
      </c>
      <c r="F38" s="63">
        <v>7453.2631840000004</v>
      </c>
      <c r="G38" s="63">
        <v>7262.513672</v>
      </c>
      <c r="H38" s="63">
        <v>7119.451172</v>
      </c>
      <c r="I38" s="63">
        <v>7003.3071289999998</v>
      </c>
      <c r="J38" s="63">
        <v>6888.5024409999996</v>
      </c>
      <c r="K38" s="63">
        <v>6778.9326170000004</v>
      </c>
      <c r="L38" s="63">
        <v>6691.7797849999997</v>
      </c>
      <c r="M38" s="63">
        <v>6626.5375979999999</v>
      </c>
      <c r="N38" s="63">
        <v>6582.7866210000002</v>
      </c>
      <c r="O38" s="63">
        <v>6560.2890619999998</v>
      </c>
      <c r="P38" s="63">
        <v>6571.142578</v>
      </c>
      <c r="Q38" s="63">
        <v>6582.4741210000002</v>
      </c>
      <c r="R38" s="63">
        <v>6604.0908200000003</v>
      </c>
      <c r="S38" s="63">
        <v>6649.7783200000003</v>
      </c>
      <c r="T38" s="63">
        <v>6695.484375</v>
      </c>
      <c r="U38" s="63">
        <v>6736.4721680000002</v>
      </c>
      <c r="V38" s="63">
        <v>6780.0615230000003</v>
      </c>
      <c r="W38" s="63">
        <v>6825.8022460000002</v>
      </c>
      <c r="X38" s="63">
        <v>6867.8505859999996</v>
      </c>
      <c r="Y38" s="63">
        <v>6911.7314450000003</v>
      </c>
      <c r="Z38" s="63">
        <v>6953.0976559999999</v>
      </c>
      <c r="AA38" s="63">
        <v>7008.9272460000002</v>
      </c>
      <c r="AB38" s="63">
        <v>7062.7026370000003</v>
      </c>
      <c r="AC38" s="63">
        <v>7122.0839839999999</v>
      </c>
      <c r="AD38" s="63">
        <v>7180.578125</v>
      </c>
      <c r="AE38" s="63">
        <v>7231.576172</v>
      </c>
      <c r="AF38" s="63">
        <v>7269.4316410000001</v>
      </c>
      <c r="AG38" s="63">
        <v>7296.1523440000001</v>
      </c>
      <c r="AH38" s="63">
        <v>7321.9501950000003</v>
      </c>
      <c r="AI38" s="63">
        <v>7342.185547</v>
      </c>
      <c r="AJ38" s="62">
        <v>-2.9849999999999998E-3</v>
      </c>
    </row>
    <row r="39" spans="1:36" ht="14.25" customHeight="1" x14ac:dyDescent="0.2"/>
    <row r="40" spans="1:36" ht="14.25" customHeight="1" x14ac:dyDescent="0.2">
      <c r="A40" s="59" t="s">
        <v>641</v>
      </c>
    </row>
    <row r="41" spans="1:36" ht="14.25" customHeight="1" x14ac:dyDescent="0.2">
      <c r="A41" s="59" t="s">
        <v>642</v>
      </c>
    </row>
    <row r="42" spans="1:36" ht="14.25" customHeight="1" x14ac:dyDescent="0.2">
      <c r="A42" s="60" t="s">
        <v>603</v>
      </c>
      <c r="B42" s="63">
        <v>7246.3935549999997</v>
      </c>
      <c r="C42" s="63">
        <v>6918.1567379999997</v>
      </c>
      <c r="D42" s="63">
        <v>6671.7885740000002</v>
      </c>
      <c r="E42" s="63">
        <v>6446.013672</v>
      </c>
      <c r="F42" s="63">
        <v>6195.5532229999999</v>
      </c>
      <c r="G42" s="63">
        <v>5901.5932620000003</v>
      </c>
      <c r="H42" s="63">
        <v>5643.6831050000001</v>
      </c>
      <c r="I42" s="63">
        <v>5403.4282229999999</v>
      </c>
      <c r="J42" s="63">
        <v>5170.8061520000001</v>
      </c>
      <c r="K42" s="63">
        <v>4977.8222660000001</v>
      </c>
      <c r="L42" s="63">
        <v>4794.5034180000002</v>
      </c>
      <c r="M42" s="63">
        <v>4631.8896480000003</v>
      </c>
      <c r="N42" s="63">
        <v>4467.5825199999999</v>
      </c>
      <c r="O42" s="63">
        <v>4316.2309569999998</v>
      </c>
      <c r="P42" s="63">
        <v>4183.9936520000001</v>
      </c>
      <c r="Q42" s="63">
        <v>4067.7192380000001</v>
      </c>
      <c r="R42" s="63">
        <v>3960.1584469999998</v>
      </c>
      <c r="S42" s="63">
        <v>3878.3803710000002</v>
      </c>
      <c r="T42" s="63">
        <v>3794.8823240000002</v>
      </c>
      <c r="U42" s="63">
        <v>3716.8549800000001</v>
      </c>
      <c r="V42" s="63">
        <v>3650.8701169999999</v>
      </c>
      <c r="W42" s="63">
        <v>3595.4575199999999</v>
      </c>
      <c r="X42" s="63">
        <v>3539.1740719999998</v>
      </c>
      <c r="Y42" s="63">
        <v>3482.2897950000001</v>
      </c>
      <c r="Z42" s="63">
        <v>3430.4377439999998</v>
      </c>
      <c r="AA42" s="63">
        <v>3392.5439449999999</v>
      </c>
      <c r="AB42" s="63">
        <v>3359.0134280000002</v>
      </c>
      <c r="AC42" s="63">
        <v>3333.2414549999999</v>
      </c>
      <c r="AD42" s="63">
        <v>3312.3496089999999</v>
      </c>
      <c r="AE42" s="63">
        <v>3296.7739259999998</v>
      </c>
      <c r="AF42" s="63">
        <v>3283.0090329999998</v>
      </c>
      <c r="AG42" s="63">
        <v>3268.0139159999999</v>
      </c>
      <c r="AH42" s="63">
        <v>3257.6108399999998</v>
      </c>
      <c r="AI42" s="63">
        <v>3249.4812010000001</v>
      </c>
      <c r="AJ42" s="62">
        <v>-2.3338000000000001E-2</v>
      </c>
    </row>
    <row r="43" spans="1:36" ht="14.25" customHeight="1" x14ac:dyDescent="0.2">
      <c r="A43" s="60" t="s">
        <v>605</v>
      </c>
      <c r="B43" s="63">
        <v>41.382171999999997</v>
      </c>
      <c r="C43" s="63">
        <v>42.698996999999999</v>
      </c>
      <c r="D43" s="63">
        <v>44.364071000000003</v>
      </c>
      <c r="E43" s="63">
        <v>46.257710000000003</v>
      </c>
      <c r="F43" s="63">
        <v>48.453228000000003</v>
      </c>
      <c r="G43" s="63">
        <v>50.588619000000001</v>
      </c>
      <c r="H43" s="63">
        <v>52.864319000000002</v>
      </c>
      <c r="I43" s="63">
        <v>55.209023000000002</v>
      </c>
      <c r="J43" s="63">
        <v>57.750847</v>
      </c>
      <c r="K43" s="63">
        <v>60.522007000000002</v>
      </c>
      <c r="L43" s="63">
        <v>63.331169000000003</v>
      </c>
      <c r="M43" s="63">
        <v>66.269981000000001</v>
      </c>
      <c r="N43" s="63">
        <v>69.269203000000005</v>
      </c>
      <c r="O43" s="63">
        <v>72.408432000000005</v>
      </c>
      <c r="P43" s="63">
        <v>75.742446999999999</v>
      </c>
      <c r="Q43" s="63">
        <v>79.010193000000001</v>
      </c>
      <c r="R43" s="63">
        <v>82.312454000000002</v>
      </c>
      <c r="S43" s="63">
        <v>85.648612999999997</v>
      </c>
      <c r="T43" s="63">
        <v>88.872924999999995</v>
      </c>
      <c r="U43" s="63">
        <v>91.930289999999999</v>
      </c>
      <c r="V43" s="63">
        <v>94.908355999999998</v>
      </c>
      <c r="W43" s="63">
        <v>97.827019000000007</v>
      </c>
      <c r="X43" s="63">
        <v>100.332542</v>
      </c>
      <c r="Y43" s="63">
        <v>102.56604799999999</v>
      </c>
      <c r="Z43" s="63">
        <v>104.835144</v>
      </c>
      <c r="AA43" s="63">
        <v>106.980484</v>
      </c>
      <c r="AB43" s="63">
        <v>108.93512699999999</v>
      </c>
      <c r="AC43" s="63">
        <v>110.800369</v>
      </c>
      <c r="AD43" s="63">
        <v>112.499229</v>
      </c>
      <c r="AE43" s="63">
        <v>114.05725099999999</v>
      </c>
      <c r="AF43" s="63">
        <v>115.420418</v>
      </c>
      <c r="AG43" s="63">
        <v>116.55399300000001</v>
      </c>
      <c r="AH43" s="63">
        <v>117.592682</v>
      </c>
      <c r="AI43" s="63">
        <v>118.52370500000001</v>
      </c>
      <c r="AJ43" s="62">
        <v>3.2419000000000003E-2</v>
      </c>
    </row>
    <row r="44" spans="1:36" ht="14.25" customHeight="1" x14ac:dyDescent="0.2">
      <c r="A44" s="60" t="s">
        <v>646</v>
      </c>
      <c r="B44" s="63">
        <v>7287.7758789999998</v>
      </c>
      <c r="C44" s="63">
        <v>6960.8559569999998</v>
      </c>
      <c r="D44" s="63">
        <v>6716.1528319999998</v>
      </c>
      <c r="E44" s="63">
        <v>6492.2714839999999</v>
      </c>
      <c r="F44" s="63">
        <v>6244.0063479999999</v>
      </c>
      <c r="G44" s="63">
        <v>5952.1816410000001</v>
      </c>
      <c r="H44" s="63">
        <v>5696.5473629999997</v>
      </c>
      <c r="I44" s="63">
        <v>5458.6372069999998</v>
      </c>
      <c r="J44" s="63">
        <v>5228.5571289999998</v>
      </c>
      <c r="K44" s="63">
        <v>5038.3442379999997</v>
      </c>
      <c r="L44" s="63">
        <v>4857.8344729999999</v>
      </c>
      <c r="M44" s="63">
        <v>4698.1596680000002</v>
      </c>
      <c r="N44" s="63">
        <v>4536.8515619999998</v>
      </c>
      <c r="O44" s="63">
        <v>4388.6391599999997</v>
      </c>
      <c r="P44" s="63">
        <v>4259.736328</v>
      </c>
      <c r="Q44" s="63">
        <v>4146.7294920000004</v>
      </c>
      <c r="R44" s="63">
        <v>4042.4709469999998</v>
      </c>
      <c r="S44" s="63">
        <v>3964.0290530000002</v>
      </c>
      <c r="T44" s="63">
        <v>3883.7553710000002</v>
      </c>
      <c r="U44" s="63">
        <v>3808.7851559999999</v>
      </c>
      <c r="V44" s="63">
        <v>3745.7785640000002</v>
      </c>
      <c r="W44" s="63">
        <v>3693.2844239999999</v>
      </c>
      <c r="X44" s="63">
        <v>3639.5065920000002</v>
      </c>
      <c r="Y44" s="63">
        <v>3584.8559570000002</v>
      </c>
      <c r="Z44" s="63">
        <v>3535.2729490000002</v>
      </c>
      <c r="AA44" s="63">
        <v>3499.524414</v>
      </c>
      <c r="AB44" s="63">
        <v>3467.9484859999998</v>
      </c>
      <c r="AC44" s="63">
        <v>3444.0417480000001</v>
      </c>
      <c r="AD44" s="63">
        <v>3424.8488769999999</v>
      </c>
      <c r="AE44" s="63">
        <v>3410.8310550000001</v>
      </c>
      <c r="AF44" s="63">
        <v>3398.429443</v>
      </c>
      <c r="AG44" s="63">
        <v>3384.5678710000002</v>
      </c>
      <c r="AH44" s="63">
        <v>3375.2036130000001</v>
      </c>
      <c r="AI44" s="63">
        <v>3368.0048830000001</v>
      </c>
      <c r="AJ44" s="62">
        <v>-2.2431E-2</v>
      </c>
    </row>
    <row r="45" spans="1:36" ht="14.25" customHeight="1" x14ac:dyDescent="0.2"/>
    <row r="46" spans="1:36" ht="14.25" customHeight="1" x14ac:dyDescent="0.2">
      <c r="A46" s="59" t="s">
        <v>647</v>
      </c>
    </row>
    <row r="47" spans="1:36" ht="14.25" customHeight="1" x14ac:dyDescent="0.2">
      <c r="A47" s="60" t="s">
        <v>610</v>
      </c>
      <c r="B47" s="63">
        <v>1808.5120850000001</v>
      </c>
      <c r="C47" s="63">
        <v>1728.703491</v>
      </c>
      <c r="D47" s="63">
        <v>1672.0482179999999</v>
      </c>
      <c r="E47" s="63">
        <v>1623.0905760000001</v>
      </c>
      <c r="F47" s="63">
        <v>1576.2102050000001</v>
      </c>
      <c r="G47" s="63">
        <v>1524.999268</v>
      </c>
      <c r="H47" s="63">
        <v>1474.2567140000001</v>
      </c>
      <c r="I47" s="63">
        <v>1422.114746</v>
      </c>
      <c r="J47" s="63">
        <v>1367.8939210000001</v>
      </c>
      <c r="K47" s="63">
        <v>1316.536621</v>
      </c>
      <c r="L47" s="63">
        <v>1259.8172609999999</v>
      </c>
      <c r="M47" s="63">
        <v>1202.942871</v>
      </c>
      <c r="N47" s="63">
        <v>1148.322754</v>
      </c>
      <c r="O47" s="63">
        <v>1097.4195560000001</v>
      </c>
      <c r="P47" s="63">
        <v>1051.8110349999999</v>
      </c>
      <c r="Q47" s="63">
        <v>1005.387573</v>
      </c>
      <c r="R47" s="63">
        <v>965.19415300000003</v>
      </c>
      <c r="S47" s="63">
        <v>932.59173599999997</v>
      </c>
      <c r="T47" s="63">
        <v>902.03295900000001</v>
      </c>
      <c r="U47" s="63">
        <v>873.16699200000005</v>
      </c>
      <c r="V47" s="63">
        <v>850.17321800000002</v>
      </c>
      <c r="W47" s="63">
        <v>827.339111</v>
      </c>
      <c r="X47" s="63">
        <v>809.15545699999996</v>
      </c>
      <c r="Y47" s="63">
        <v>800.29821800000002</v>
      </c>
      <c r="Z47" s="63">
        <v>793.341003</v>
      </c>
      <c r="AA47" s="63">
        <v>787.93701199999998</v>
      </c>
      <c r="AB47" s="63">
        <v>783.10162400000002</v>
      </c>
      <c r="AC47" s="63">
        <v>779.93682899999999</v>
      </c>
      <c r="AD47" s="63">
        <v>777.37530500000003</v>
      </c>
      <c r="AE47" s="63">
        <v>775.46582000000001</v>
      </c>
      <c r="AF47" s="63">
        <v>773.56652799999995</v>
      </c>
      <c r="AG47" s="63">
        <v>771.20446800000002</v>
      </c>
      <c r="AH47" s="63">
        <v>769.79888900000003</v>
      </c>
      <c r="AI47" s="63">
        <v>769.04467799999998</v>
      </c>
      <c r="AJ47" s="62">
        <v>-2.4993999999999999E-2</v>
      </c>
    </row>
    <row r="48" spans="1:36" ht="14.25" customHeight="1" x14ac:dyDescent="0.2">
      <c r="A48" s="60" t="s">
        <v>612</v>
      </c>
      <c r="B48" s="63">
        <v>4.0571169999999999</v>
      </c>
      <c r="C48" s="63">
        <v>7.67889</v>
      </c>
      <c r="D48" s="63">
        <v>14.070017999999999</v>
      </c>
      <c r="E48" s="63">
        <v>24.976068000000001</v>
      </c>
      <c r="F48" s="63">
        <v>44.970486000000001</v>
      </c>
      <c r="G48" s="63">
        <v>72.269538999999995</v>
      </c>
      <c r="H48" s="63">
        <v>92.483611999999994</v>
      </c>
      <c r="I48" s="63">
        <v>111.88061500000001</v>
      </c>
      <c r="J48" s="63">
        <v>130.708313</v>
      </c>
      <c r="K48" s="63">
        <v>144.362595</v>
      </c>
      <c r="L48" s="63">
        <v>155.05455000000001</v>
      </c>
      <c r="M48" s="63">
        <v>161.606674</v>
      </c>
      <c r="N48" s="63">
        <v>168.39707899999999</v>
      </c>
      <c r="O48" s="63">
        <v>174.41203300000001</v>
      </c>
      <c r="P48" s="63">
        <v>179.93606600000001</v>
      </c>
      <c r="Q48" s="63">
        <v>180.46211199999999</v>
      </c>
      <c r="R48" s="63">
        <v>180.88584900000001</v>
      </c>
      <c r="S48" s="63">
        <v>181.65399199999999</v>
      </c>
      <c r="T48" s="63">
        <v>182.36262500000001</v>
      </c>
      <c r="U48" s="63">
        <v>183.13923600000001</v>
      </c>
      <c r="V48" s="63">
        <v>182.337738</v>
      </c>
      <c r="W48" s="63">
        <v>181.30346700000001</v>
      </c>
      <c r="X48" s="63">
        <v>180.219345</v>
      </c>
      <c r="Y48" s="63">
        <v>179.28389000000001</v>
      </c>
      <c r="Z48" s="63">
        <v>177.88909899999999</v>
      </c>
      <c r="AA48" s="63">
        <v>176.22923299999999</v>
      </c>
      <c r="AB48" s="63">
        <v>174.59745799999999</v>
      </c>
      <c r="AC48" s="63">
        <v>173.069534</v>
      </c>
      <c r="AD48" s="63">
        <v>171.418091</v>
      </c>
      <c r="AE48" s="63">
        <v>169.65438800000001</v>
      </c>
      <c r="AF48" s="63">
        <v>167.919006</v>
      </c>
      <c r="AG48" s="63">
        <v>166.46618699999999</v>
      </c>
      <c r="AH48" s="63">
        <v>165.191147</v>
      </c>
      <c r="AI48" s="63">
        <v>164.29925499999999</v>
      </c>
      <c r="AJ48" s="62">
        <v>0.100457</v>
      </c>
    </row>
    <row r="49" spans="1:36" ht="14.25" customHeight="1" x14ac:dyDescent="0.2">
      <c r="A49" s="60" t="s">
        <v>614</v>
      </c>
      <c r="B49" s="63">
        <v>2.4342700000000002</v>
      </c>
      <c r="C49" s="63">
        <v>4.4719429999999996</v>
      </c>
      <c r="D49" s="63">
        <v>8.3142379999999996</v>
      </c>
      <c r="E49" s="63">
        <v>14.724959999999999</v>
      </c>
      <c r="F49" s="63">
        <v>26.464835999999998</v>
      </c>
      <c r="G49" s="63">
        <v>42.443066000000002</v>
      </c>
      <c r="H49" s="63">
        <v>54.360236999999998</v>
      </c>
      <c r="I49" s="63">
        <v>65.881614999999996</v>
      </c>
      <c r="J49" s="63">
        <v>77.334952999999999</v>
      </c>
      <c r="K49" s="63">
        <v>85.901168999999996</v>
      </c>
      <c r="L49" s="63">
        <v>92.813156000000006</v>
      </c>
      <c r="M49" s="63">
        <v>97.589020000000005</v>
      </c>
      <c r="N49" s="63">
        <v>102.628632</v>
      </c>
      <c r="O49" s="63">
        <v>107.43253300000001</v>
      </c>
      <c r="P49" s="63">
        <v>112.121826</v>
      </c>
      <c r="Q49" s="63">
        <v>114.181404</v>
      </c>
      <c r="R49" s="63">
        <v>116.308403</v>
      </c>
      <c r="S49" s="63">
        <v>118.715919</v>
      </c>
      <c r="T49" s="63">
        <v>121.103127</v>
      </c>
      <c r="U49" s="63">
        <v>123.503761</v>
      </c>
      <c r="V49" s="63">
        <v>125.07165500000001</v>
      </c>
      <c r="W49" s="63">
        <v>126.444847</v>
      </c>
      <c r="X49" s="63">
        <v>127.679581</v>
      </c>
      <c r="Y49" s="63">
        <v>128.894867</v>
      </c>
      <c r="Z49" s="63">
        <v>129.75550799999999</v>
      </c>
      <c r="AA49" s="63">
        <v>130.31860399999999</v>
      </c>
      <c r="AB49" s="63">
        <v>130.786224</v>
      </c>
      <c r="AC49" s="63">
        <v>131.25943000000001</v>
      </c>
      <c r="AD49" s="63">
        <v>131.56918300000001</v>
      </c>
      <c r="AE49" s="63">
        <v>131.72770700000001</v>
      </c>
      <c r="AF49" s="63">
        <v>131.79061899999999</v>
      </c>
      <c r="AG49" s="63">
        <v>131.889038</v>
      </c>
      <c r="AH49" s="63">
        <v>132.02505500000001</v>
      </c>
      <c r="AI49" s="63">
        <v>132.30924999999999</v>
      </c>
      <c r="AJ49" s="62">
        <v>0.11165899999999999</v>
      </c>
    </row>
    <row r="50" spans="1:36" ht="14.25" customHeight="1" x14ac:dyDescent="0.2">
      <c r="A50" s="60" t="s">
        <v>616</v>
      </c>
      <c r="B50" s="63">
        <v>1.3523719999999999</v>
      </c>
      <c r="C50" s="63">
        <v>3.3487399999999998</v>
      </c>
      <c r="D50" s="63">
        <v>7.0740189999999998</v>
      </c>
      <c r="E50" s="63">
        <v>12.658982</v>
      </c>
      <c r="F50" s="63">
        <v>22.601164000000001</v>
      </c>
      <c r="G50" s="63">
        <v>36.133232</v>
      </c>
      <c r="H50" s="63">
        <v>46.284461999999998</v>
      </c>
      <c r="I50" s="63">
        <v>56.144249000000002</v>
      </c>
      <c r="J50" s="63">
        <v>66.014328000000006</v>
      </c>
      <c r="K50" s="63">
        <v>73.503097999999994</v>
      </c>
      <c r="L50" s="63">
        <v>79.635848999999993</v>
      </c>
      <c r="M50" s="63">
        <v>84.048903999999993</v>
      </c>
      <c r="N50" s="63">
        <v>88.723388999999997</v>
      </c>
      <c r="O50" s="63">
        <v>93.254088999999993</v>
      </c>
      <c r="P50" s="63">
        <v>97.724304000000004</v>
      </c>
      <c r="Q50" s="63">
        <v>100.10778000000001</v>
      </c>
      <c r="R50" s="63">
        <v>102.534103</v>
      </c>
      <c r="S50" s="63">
        <v>105.168221</v>
      </c>
      <c r="T50" s="63">
        <v>107.738174</v>
      </c>
      <c r="U50" s="63">
        <v>110.263992</v>
      </c>
      <c r="V50" s="63">
        <v>112.07724</v>
      </c>
      <c r="W50" s="63">
        <v>113.66598500000001</v>
      </c>
      <c r="X50" s="63">
        <v>115.07415</v>
      </c>
      <c r="Y50" s="63">
        <v>116.41018699999999</v>
      </c>
      <c r="Z50" s="63">
        <v>117.401955</v>
      </c>
      <c r="AA50" s="63">
        <v>118.09176600000001</v>
      </c>
      <c r="AB50" s="63">
        <v>118.66124000000001</v>
      </c>
      <c r="AC50" s="63">
        <v>119.20481100000001</v>
      </c>
      <c r="AD50" s="63">
        <v>119.582375</v>
      </c>
      <c r="AE50" s="63">
        <v>119.811859</v>
      </c>
      <c r="AF50" s="63">
        <v>119.933914</v>
      </c>
      <c r="AG50" s="63">
        <v>120.058044</v>
      </c>
      <c r="AH50" s="63">
        <v>120.200508</v>
      </c>
      <c r="AI50" s="63">
        <v>120.454971</v>
      </c>
      <c r="AJ50" s="62">
        <v>0.118467</v>
      </c>
    </row>
    <row r="51" spans="1:36" ht="14.25" customHeight="1" x14ac:dyDescent="0.2">
      <c r="A51" s="60" t="s">
        <v>618</v>
      </c>
      <c r="B51" s="63">
        <v>14.059927</v>
      </c>
      <c r="C51" s="63">
        <v>33.867480999999998</v>
      </c>
      <c r="D51" s="63">
        <v>47.501086999999998</v>
      </c>
      <c r="E51" s="63">
        <v>58.779975999999998</v>
      </c>
      <c r="F51" s="63">
        <v>82.123283000000001</v>
      </c>
      <c r="G51" s="63">
        <v>107.606224</v>
      </c>
      <c r="H51" s="63">
        <v>130.126755</v>
      </c>
      <c r="I51" s="63">
        <v>150.64883399999999</v>
      </c>
      <c r="J51" s="63">
        <v>170.97135900000001</v>
      </c>
      <c r="K51" s="63">
        <v>186.24288899999999</v>
      </c>
      <c r="L51" s="63">
        <v>198.08401499999999</v>
      </c>
      <c r="M51" s="63">
        <v>207.173035</v>
      </c>
      <c r="N51" s="63">
        <v>216.18995699999999</v>
      </c>
      <c r="O51" s="63">
        <v>224.81605500000001</v>
      </c>
      <c r="P51" s="63">
        <v>232.44833399999999</v>
      </c>
      <c r="Q51" s="63">
        <v>239.21669</v>
      </c>
      <c r="R51" s="63">
        <v>245.17602500000001</v>
      </c>
      <c r="S51" s="63">
        <v>250.57281499999999</v>
      </c>
      <c r="T51" s="63">
        <v>255.197754</v>
      </c>
      <c r="U51" s="63">
        <v>259.500427</v>
      </c>
      <c r="V51" s="63">
        <v>263.80853300000001</v>
      </c>
      <c r="W51" s="63">
        <v>265.55874599999999</v>
      </c>
      <c r="X51" s="63">
        <v>266.98156699999998</v>
      </c>
      <c r="Y51" s="63">
        <v>268.37713600000001</v>
      </c>
      <c r="Z51" s="63">
        <v>269.278595</v>
      </c>
      <c r="AA51" s="63">
        <v>269.76037600000001</v>
      </c>
      <c r="AB51" s="63">
        <v>270.16494799999998</v>
      </c>
      <c r="AC51" s="63">
        <v>270.63491800000003</v>
      </c>
      <c r="AD51" s="63">
        <v>270.81329299999999</v>
      </c>
      <c r="AE51" s="63">
        <v>270.60458399999999</v>
      </c>
      <c r="AF51" s="63">
        <v>270.33123799999998</v>
      </c>
      <c r="AG51" s="63">
        <v>270.08505200000002</v>
      </c>
      <c r="AH51" s="63">
        <v>269.832855</v>
      </c>
      <c r="AI51" s="63">
        <v>269.88742100000002</v>
      </c>
      <c r="AJ51" s="62">
        <v>6.7011000000000001E-2</v>
      </c>
    </row>
    <row r="52" spans="1:36" ht="14.25" customHeight="1" x14ac:dyDescent="0.2">
      <c r="A52" s="60" t="s">
        <v>620</v>
      </c>
      <c r="B52" s="63">
        <v>6.6441850000000002</v>
      </c>
      <c r="C52" s="63">
        <v>18.527199</v>
      </c>
      <c r="D52" s="63">
        <v>26.711493999999998</v>
      </c>
      <c r="E52" s="63">
        <v>33.417397000000001</v>
      </c>
      <c r="F52" s="63">
        <v>47.392609</v>
      </c>
      <c r="G52" s="63">
        <v>62.689999</v>
      </c>
      <c r="H52" s="63">
        <v>76.274780000000007</v>
      </c>
      <c r="I52" s="63">
        <v>88.734482</v>
      </c>
      <c r="J52" s="63">
        <v>101.15465500000001</v>
      </c>
      <c r="K52" s="63">
        <v>110.63201100000001</v>
      </c>
      <c r="L52" s="63">
        <v>118.139473</v>
      </c>
      <c r="M52" s="63">
        <v>124.085159</v>
      </c>
      <c r="N52" s="63">
        <v>130.06710799999999</v>
      </c>
      <c r="O52" s="63">
        <v>135.89210499999999</v>
      </c>
      <c r="P52" s="63">
        <v>141.191238</v>
      </c>
      <c r="Q52" s="63">
        <v>146.01522800000001</v>
      </c>
      <c r="R52" s="63">
        <v>150.39111299999999</v>
      </c>
      <c r="S52" s="63">
        <v>154.44998200000001</v>
      </c>
      <c r="T52" s="63">
        <v>158.04373200000001</v>
      </c>
      <c r="U52" s="63">
        <v>161.42623900000001</v>
      </c>
      <c r="V52" s="63">
        <v>164.79023699999999</v>
      </c>
      <c r="W52" s="63">
        <v>166.70668000000001</v>
      </c>
      <c r="X52" s="63">
        <v>168.361572</v>
      </c>
      <c r="Y52" s="63">
        <v>169.93559300000001</v>
      </c>
      <c r="Z52" s="63">
        <v>171.19950900000001</v>
      </c>
      <c r="AA52" s="63">
        <v>172.10789500000001</v>
      </c>
      <c r="AB52" s="63">
        <v>172.90095500000001</v>
      </c>
      <c r="AC52" s="63">
        <v>173.68682899999999</v>
      </c>
      <c r="AD52" s="63">
        <v>174.24731399999999</v>
      </c>
      <c r="AE52" s="63">
        <v>174.531113</v>
      </c>
      <c r="AF52" s="63">
        <v>174.72813400000001</v>
      </c>
      <c r="AG52" s="63">
        <v>174.89192199999999</v>
      </c>
      <c r="AH52" s="63">
        <v>175.01719700000001</v>
      </c>
      <c r="AI52" s="63">
        <v>175.29255699999999</v>
      </c>
      <c r="AJ52" s="62">
        <v>7.2749999999999995E-2</v>
      </c>
    </row>
    <row r="53" spans="1:36" ht="14.25" customHeight="1" x14ac:dyDescent="0.2">
      <c r="A53" s="60" t="s">
        <v>622</v>
      </c>
      <c r="B53" s="63">
        <v>0</v>
      </c>
      <c r="C53" s="63">
        <v>0</v>
      </c>
      <c r="D53" s="63">
        <v>0</v>
      </c>
      <c r="E53" s="63">
        <v>0</v>
      </c>
      <c r="F53" s="63">
        <v>0</v>
      </c>
      <c r="G53" s="63">
        <v>0</v>
      </c>
      <c r="H53" s="63">
        <v>0</v>
      </c>
      <c r="I53" s="63">
        <v>0</v>
      </c>
      <c r="J53" s="63">
        <v>0</v>
      </c>
      <c r="K53" s="63">
        <v>1.2101000000000001E-2</v>
      </c>
      <c r="L53" s="63">
        <v>2.5291000000000001E-2</v>
      </c>
      <c r="M53" s="63">
        <v>4.0601999999999999E-2</v>
      </c>
      <c r="N53" s="63">
        <v>5.8852000000000002E-2</v>
      </c>
      <c r="O53" s="63">
        <v>8.1395999999999996E-2</v>
      </c>
      <c r="P53" s="63">
        <v>0.109568</v>
      </c>
      <c r="Q53" s="63">
        <v>0.14400099999999999</v>
      </c>
      <c r="R53" s="63">
        <v>0.18637899999999999</v>
      </c>
      <c r="S53" s="63">
        <v>0.23791699999999999</v>
      </c>
      <c r="T53" s="63">
        <v>0.29914600000000002</v>
      </c>
      <c r="U53" s="63">
        <v>0.37045899999999998</v>
      </c>
      <c r="V53" s="63">
        <v>0.45259300000000002</v>
      </c>
      <c r="W53" s="63">
        <v>0.54483199999999998</v>
      </c>
      <c r="X53" s="63">
        <v>0.64542999999999995</v>
      </c>
      <c r="Y53" s="63">
        <v>0.75295400000000001</v>
      </c>
      <c r="Z53" s="63">
        <v>0.865568</v>
      </c>
      <c r="AA53" s="63">
        <v>0.97983299999999995</v>
      </c>
      <c r="AB53" s="63">
        <v>1.0944069999999999</v>
      </c>
      <c r="AC53" s="63">
        <v>1.2090860000000001</v>
      </c>
      <c r="AD53" s="63">
        <v>1.3213440000000001</v>
      </c>
      <c r="AE53" s="63">
        <v>1.4304490000000001</v>
      </c>
      <c r="AF53" s="63">
        <v>1.534381</v>
      </c>
      <c r="AG53" s="63">
        <v>1.631786</v>
      </c>
      <c r="AH53" s="63">
        <v>1.724057</v>
      </c>
      <c r="AI53" s="63">
        <v>1.8106059999999999</v>
      </c>
      <c r="AJ53" s="62" t="s">
        <v>467</v>
      </c>
    </row>
    <row r="54" spans="1:36" ht="14.25" customHeight="1" x14ac:dyDescent="0.2">
      <c r="A54" s="60" t="s">
        <v>624</v>
      </c>
      <c r="B54" s="63">
        <v>57.529429999999998</v>
      </c>
      <c r="C54" s="63">
        <v>53.278785999999997</v>
      </c>
      <c r="D54" s="63">
        <v>48.866954999999997</v>
      </c>
      <c r="E54" s="63">
        <v>48.736362</v>
      </c>
      <c r="F54" s="63">
        <v>49.752322999999997</v>
      </c>
      <c r="G54" s="63">
        <v>50.991115999999998</v>
      </c>
      <c r="H54" s="63">
        <v>52.687663999999998</v>
      </c>
      <c r="I54" s="63">
        <v>54.925429999999999</v>
      </c>
      <c r="J54" s="63">
        <v>57.783881999999998</v>
      </c>
      <c r="K54" s="63">
        <v>61.491402000000001</v>
      </c>
      <c r="L54" s="63">
        <v>65.798157000000003</v>
      </c>
      <c r="M54" s="63">
        <v>70.799385000000001</v>
      </c>
      <c r="N54" s="63">
        <v>76.350189</v>
      </c>
      <c r="O54" s="63">
        <v>82.484443999999996</v>
      </c>
      <c r="P54" s="63">
        <v>88.848526000000007</v>
      </c>
      <c r="Q54" s="63">
        <v>95.576172</v>
      </c>
      <c r="R54" s="63">
        <v>101.971352</v>
      </c>
      <c r="S54" s="63">
        <v>108.70105</v>
      </c>
      <c r="T54" s="63">
        <v>115.223099</v>
      </c>
      <c r="U54" s="63">
        <v>121.561989</v>
      </c>
      <c r="V54" s="63">
        <v>127.61434199999999</v>
      </c>
      <c r="W54" s="63">
        <v>133.27621500000001</v>
      </c>
      <c r="X54" s="63">
        <v>138.44198600000001</v>
      </c>
      <c r="Y54" s="63">
        <v>143.11161799999999</v>
      </c>
      <c r="Z54" s="63">
        <v>147.26765399999999</v>
      </c>
      <c r="AA54" s="63">
        <v>150.86445599999999</v>
      </c>
      <c r="AB54" s="63">
        <v>154.08944700000001</v>
      </c>
      <c r="AC54" s="63">
        <v>157.15660099999999</v>
      </c>
      <c r="AD54" s="63">
        <v>159.92186000000001</v>
      </c>
      <c r="AE54" s="63">
        <v>162.44158899999999</v>
      </c>
      <c r="AF54" s="63">
        <v>164.618011</v>
      </c>
      <c r="AG54" s="63">
        <v>166.396637</v>
      </c>
      <c r="AH54" s="63">
        <v>168.045807</v>
      </c>
      <c r="AI54" s="63">
        <v>169.53814700000001</v>
      </c>
      <c r="AJ54" s="62">
        <v>3.6835E-2</v>
      </c>
    </row>
    <row r="55" spans="1:36" ht="14.25" customHeight="1" x14ac:dyDescent="0.2">
      <c r="A55" s="60" t="s">
        <v>626</v>
      </c>
      <c r="B55" s="63">
        <v>24.724743</v>
      </c>
      <c r="C55" s="63">
        <v>19.859348000000001</v>
      </c>
      <c r="D55" s="63">
        <v>14.680317000000001</v>
      </c>
      <c r="E55" s="63">
        <v>13.189590000000001</v>
      </c>
      <c r="F55" s="63">
        <v>12.465335</v>
      </c>
      <c r="G55" s="63">
        <v>11.756211</v>
      </c>
      <c r="H55" s="63">
        <v>11.083871</v>
      </c>
      <c r="I55" s="63">
        <v>10.455625</v>
      </c>
      <c r="J55" s="63">
        <v>9.8439929999999993</v>
      </c>
      <c r="K55" s="63">
        <v>9.3053260000000009</v>
      </c>
      <c r="L55" s="63">
        <v>8.8202269999999992</v>
      </c>
      <c r="M55" s="63">
        <v>8.3901260000000004</v>
      </c>
      <c r="N55" s="63">
        <v>7.940099</v>
      </c>
      <c r="O55" s="63">
        <v>7.5954230000000003</v>
      </c>
      <c r="P55" s="63">
        <v>7.2924239999999996</v>
      </c>
      <c r="Q55" s="63">
        <v>7.0202340000000003</v>
      </c>
      <c r="R55" s="63">
        <v>6.7758419999999999</v>
      </c>
      <c r="S55" s="63">
        <v>6.6008449999999996</v>
      </c>
      <c r="T55" s="63">
        <v>6.4330569999999998</v>
      </c>
      <c r="U55" s="63">
        <v>6.2911700000000002</v>
      </c>
      <c r="V55" s="63">
        <v>6.1696530000000003</v>
      </c>
      <c r="W55" s="63">
        <v>6.0658950000000003</v>
      </c>
      <c r="X55" s="63">
        <v>5.9654410000000002</v>
      </c>
      <c r="Y55" s="63">
        <v>5.8622649999999998</v>
      </c>
      <c r="Z55" s="63">
        <v>5.8079580000000002</v>
      </c>
      <c r="AA55" s="63">
        <v>5.7257629999999997</v>
      </c>
      <c r="AB55" s="63">
        <v>5.6892180000000003</v>
      </c>
      <c r="AC55" s="63">
        <v>5.6593150000000003</v>
      </c>
      <c r="AD55" s="63">
        <v>5.6335119999999996</v>
      </c>
      <c r="AE55" s="63">
        <v>5.6125920000000002</v>
      </c>
      <c r="AF55" s="63">
        <v>5.5942439999999998</v>
      </c>
      <c r="AG55" s="63">
        <v>5.5759749999999997</v>
      </c>
      <c r="AH55" s="63">
        <v>5.5621330000000002</v>
      </c>
      <c r="AI55" s="63">
        <v>5.5516629999999996</v>
      </c>
      <c r="AJ55" s="62">
        <v>-3.9047999999999999E-2</v>
      </c>
    </row>
    <row r="56" spans="1:36" ht="14.25" customHeight="1" x14ac:dyDescent="0.2">
      <c r="A56" s="60" t="s">
        <v>628</v>
      </c>
      <c r="B56" s="63">
        <v>37.197139999999997</v>
      </c>
      <c r="C56" s="63">
        <v>37.315528999999998</v>
      </c>
      <c r="D56" s="63">
        <v>37.309806999999999</v>
      </c>
      <c r="E56" s="63">
        <v>37.126621</v>
      </c>
      <c r="F56" s="63">
        <v>36.839725000000001</v>
      </c>
      <c r="G56" s="63">
        <v>36.304240999999998</v>
      </c>
      <c r="H56" s="63">
        <v>35.724079000000003</v>
      </c>
      <c r="I56" s="63">
        <v>35.119129000000001</v>
      </c>
      <c r="J56" s="63">
        <v>34.47345</v>
      </c>
      <c r="K56" s="63">
        <v>33.892124000000003</v>
      </c>
      <c r="L56" s="63">
        <v>33.293273999999997</v>
      </c>
      <c r="M56" s="63">
        <v>32.730460999999998</v>
      </c>
      <c r="N56" s="63">
        <v>32.119880999999999</v>
      </c>
      <c r="O56" s="63">
        <v>31.600567000000002</v>
      </c>
      <c r="P56" s="63">
        <v>31.160404</v>
      </c>
      <c r="Q56" s="63">
        <v>30.744526</v>
      </c>
      <c r="R56" s="63">
        <v>30.370612999999999</v>
      </c>
      <c r="S56" s="63">
        <v>30.134913999999998</v>
      </c>
      <c r="T56" s="63">
        <v>29.880434000000001</v>
      </c>
      <c r="U56" s="63">
        <v>29.649422000000001</v>
      </c>
      <c r="V56" s="63">
        <v>29.446999000000002</v>
      </c>
      <c r="W56" s="63">
        <v>29.263313</v>
      </c>
      <c r="X56" s="63">
        <v>29.062242999999999</v>
      </c>
      <c r="Y56" s="63">
        <v>28.842033000000001</v>
      </c>
      <c r="Z56" s="63">
        <v>28.658337</v>
      </c>
      <c r="AA56" s="63">
        <v>28.468005999999999</v>
      </c>
      <c r="AB56" s="63">
        <v>28.292096999999998</v>
      </c>
      <c r="AC56" s="63">
        <v>28.150133</v>
      </c>
      <c r="AD56" s="63">
        <v>28.028652000000001</v>
      </c>
      <c r="AE56" s="63">
        <v>27.932307999999999</v>
      </c>
      <c r="AF56" s="63">
        <v>27.847995999999998</v>
      </c>
      <c r="AG56" s="63">
        <v>27.762222000000001</v>
      </c>
      <c r="AH56" s="63">
        <v>27.698891</v>
      </c>
      <c r="AI56" s="63">
        <v>27.652334</v>
      </c>
      <c r="AJ56" s="62">
        <v>-9.3220000000000004E-3</v>
      </c>
    </row>
    <row r="57" spans="1:36" ht="14.25" customHeight="1" x14ac:dyDescent="0.2">
      <c r="A57" s="60" t="s">
        <v>630</v>
      </c>
      <c r="B57" s="63">
        <v>15.536106999999999</v>
      </c>
      <c r="C57" s="63">
        <v>14.459949</v>
      </c>
      <c r="D57" s="63">
        <v>13.504262000000001</v>
      </c>
      <c r="E57" s="63">
        <v>12.644981</v>
      </c>
      <c r="F57" s="63">
        <v>11.871395</v>
      </c>
      <c r="G57" s="63">
        <v>11.127613</v>
      </c>
      <c r="H57" s="63">
        <v>10.45</v>
      </c>
      <c r="I57" s="63">
        <v>9.8281609999999997</v>
      </c>
      <c r="J57" s="63">
        <v>9.2536780000000007</v>
      </c>
      <c r="K57" s="63">
        <v>8.7380510000000005</v>
      </c>
      <c r="L57" s="63">
        <v>8.2639549999999993</v>
      </c>
      <c r="M57" s="63">
        <v>7.8389230000000003</v>
      </c>
      <c r="N57" s="63">
        <v>7.443721</v>
      </c>
      <c r="O57" s="63">
        <v>7.085744</v>
      </c>
      <c r="P57" s="63">
        <v>6.7733020000000002</v>
      </c>
      <c r="Q57" s="63">
        <v>6.4976390000000004</v>
      </c>
      <c r="R57" s="63">
        <v>6.2524449999999998</v>
      </c>
      <c r="S57" s="63">
        <v>6.0845570000000002</v>
      </c>
      <c r="T57" s="63">
        <v>5.9238939999999998</v>
      </c>
      <c r="U57" s="63">
        <v>5.7907039999999999</v>
      </c>
      <c r="V57" s="63">
        <v>5.6766360000000002</v>
      </c>
      <c r="W57" s="63">
        <v>5.5777349999999997</v>
      </c>
      <c r="X57" s="63">
        <v>5.4789979999999998</v>
      </c>
      <c r="Y57" s="63">
        <v>5.3745979999999998</v>
      </c>
      <c r="Z57" s="63">
        <v>5.3212820000000001</v>
      </c>
      <c r="AA57" s="63">
        <v>5.2812279999999996</v>
      </c>
      <c r="AB57" s="63">
        <v>5.2462070000000001</v>
      </c>
      <c r="AC57" s="63">
        <v>5.2170969999999999</v>
      </c>
      <c r="AD57" s="63">
        <v>5.1917520000000001</v>
      </c>
      <c r="AE57" s="63">
        <v>5.1707159999999996</v>
      </c>
      <c r="AF57" s="63">
        <v>5.1522209999999999</v>
      </c>
      <c r="AG57" s="63">
        <v>5.1342220000000003</v>
      </c>
      <c r="AH57" s="63">
        <v>5.1202059999999996</v>
      </c>
      <c r="AI57" s="63">
        <v>5.1093010000000003</v>
      </c>
      <c r="AJ57" s="62">
        <v>-3.1987000000000002E-2</v>
      </c>
    </row>
    <row r="58" spans="1:36" ht="14.25" customHeight="1" x14ac:dyDescent="0.2">
      <c r="A58" s="60" t="s">
        <v>632</v>
      </c>
      <c r="B58" s="63">
        <v>75.654488000000001</v>
      </c>
      <c r="C58" s="63">
        <v>70.127173999999997</v>
      </c>
      <c r="D58" s="63">
        <v>65.092727999999994</v>
      </c>
      <c r="E58" s="63">
        <v>60.381431999999997</v>
      </c>
      <c r="F58" s="63">
        <v>55.956242000000003</v>
      </c>
      <c r="G58" s="63">
        <v>51.602642000000003</v>
      </c>
      <c r="H58" s="63">
        <v>47.528503000000001</v>
      </c>
      <c r="I58" s="63">
        <v>43.728642000000001</v>
      </c>
      <c r="J58" s="63">
        <v>40.178066000000001</v>
      </c>
      <c r="K58" s="63">
        <v>36.954608999999998</v>
      </c>
      <c r="L58" s="63">
        <v>34.001389000000003</v>
      </c>
      <c r="M58" s="63">
        <v>31.354206000000001</v>
      </c>
      <c r="N58" s="63">
        <v>28.929303999999998</v>
      </c>
      <c r="O58" s="63">
        <v>26.754397999999998</v>
      </c>
      <c r="P58" s="63">
        <v>24.876833000000001</v>
      </c>
      <c r="Q58" s="63">
        <v>23.259001000000001</v>
      </c>
      <c r="R58" s="63">
        <v>21.86487</v>
      </c>
      <c r="S58" s="63">
        <v>20.921804000000002</v>
      </c>
      <c r="T58" s="63">
        <v>20.067416999999999</v>
      </c>
      <c r="U58" s="63">
        <v>19.397000999999999</v>
      </c>
      <c r="V58" s="63">
        <v>18.849516000000001</v>
      </c>
      <c r="W58" s="63">
        <v>18.395195000000001</v>
      </c>
      <c r="X58" s="63">
        <v>17.954615</v>
      </c>
      <c r="Y58" s="63">
        <v>17.475425999999999</v>
      </c>
      <c r="Z58" s="63">
        <v>17.380531000000001</v>
      </c>
      <c r="AA58" s="63">
        <v>17.269787000000001</v>
      </c>
      <c r="AB58" s="63">
        <v>17.165451000000001</v>
      </c>
      <c r="AC58" s="63">
        <v>17.082087999999999</v>
      </c>
      <c r="AD58" s="63">
        <v>17.011189000000002</v>
      </c>
      <c r="AE58" s="63">
        <v>16.955887000000001</v>
      </c>
      <c r="AF58" s="63">
        <v>16.907574</v>
      </c>
      <c r="AG58" s="63">
        <v>16.857616</v>
      </c>
      <c r="AH58" s="63">
        <v>16.821451</v>
      </c>
      <c r="AI58" s="63">
        <v>16.795465</v>
      </c>
      <c r="AJ58" s="62">
        <v>-4.3679999999999997E-2</v>
      </c>
    </row>
    <row r="59" spans="1:36" ht="14.25" customHeight="1" x14ac:dyDescent="0.2">
      <c r="A59" s="60" t="s">
        <v>634</v>
      </c>
      <c r="B59" s="63">
        <v>0</v>
      </c>
      <c r="C59" s="63">
        <v>0</v>
      </c>
      <c r="D59" s="63">
        <v>0</v>
      </c>
      <c r="E59" s="63">
        <v>0</v>
      </c>
      <c r="F59" s="63">
        <v>0</v>
      </c>
      <c r="G59" s="63">
        <v>0</v>
      </c>
      <c r="H59" s="63">
        <v>0</v>
      </c>
      <c r="I59" s="63">
        <v>0</v>
      </c>
      <c r="J59" s="63">
        <v>0</v>
      </c>
      <c r="K59" s="63">
        <v>0</v>
      </c>
      <c r="L59" s="63">
        <v>0</v>
      </c>
      <c r="M59" s="63">
        <v>0</v>
      </c>
      <c r="N59" s="63">
        <v>0</v>
      </c>
      <c r="O59" s="63">
        <v>0</v>
      </c>
      <c r="P59" s="63">
        <v>0</v>
      </c>
      <c r="Q59" s="63">
        <v>0</v>
      </c>
      <c r="R59" s="63">
        <v>0</v>
      </c>
      <c r="S59" s="63">
        <v>0</v>
      </c>
      <c r="T59" s="63">
        <v>0</v>
      </c>
      <c r="U59" s="63">
        <v>0</v>
      </c>
      <c r="V59" s="63">
        <v>0</v>
      </c>
      <c r="W59" s="63">
        <v>0</v>
      </c>
      <c r="X59" s="63">
        <v>0</v>
      </c>
      <c r="Y59" s="63">
        <v>0</v>
      </c>
      <c r="Z59" s="63">
        <v>0</v>
      </c>
      <c r="AA59" s="63">
        <v>0</v>
      </c>
      <c r="AB59" s="63">
        <v>0</v>
      </c>
      <c r="AC59" s="63">
        <v>0</v>
      </c>
      <c r="AD59" s="63">
        <v>0</v>
      </c>
      <c r="AE59" s="63">
        <v>0</v>
      </c>
      <c r="AF59" s="63">
        <v>0</v>
      </c>
      <c r="AG59" s="63">
        <v>0</v>
      </c>
      <c r="AH59" s="63">
        <v>0</v>
      </c>
      <c r="AI59" s="63">
        <v>0</v>
      </c>
      <c r="AJ59" s="62" t="s">
        <v>467</v>
      </c>
    </row>
    <row r="60" spans="1:36" ht="14.25" customHeight="1" x14ac:dyDescent="0.2">
      <c r="A60" s="60" t="s">
        <v>636</v>
      </c>
      <c r="B60" s="63">
        <v>1.3523719999999999</v>
      </c>
      <c r="C60" s="63">
        <v>3.3487399999999998</v>
      </c>
      <c r="D60" s="63">
        <v>6.645105</v>
      </c>
      <c r="E60" s="63">
        <v>11.891937</v>
      </c>
      <c r="F60" s="63">
        <v>21.463958999999999</v>
      </c>
      <c r="G60" s="63">
        <v>34.547173000000001</v>
      </c>
      <c r="H60" s="63">
        <v>44.213630999999999</v>
      </c>
      <c r="I60" s="63">
        <v>53.464401000000002</v>
      </c>
      <c r="J60" s="63">
        <v>62.412399000000001</v>
      </c>
      <c r="K60" s="63">
        <v>68.830169999999995</v>
      </c>
      <c r="L60" s="63">
        <v>73.786804000000004</v>
      </c>
      <c r="M60" s="63">
        <v>76.675612999999998</v>
      </c>
      <c r="N60" s="63">
        <v>79.645331999999996</v>
      </c>
      <c r="O60" s="63">
        <v>82.186638000000002</v>
      </c>
      <c r="P60" s="63">
        <v>84.451271000000006</v>
      </c>
      <c r="Q60" s="63">
        <v>84.202933999999999</v>
      </c>
      <c r="R60" s="63">
        <v>83.885329999999996</v>
      </c>
      <c r="S60" s="63">
        <v>83.718788000000004</v>
      </c>
      <c r="T60" s="63">
        <v>83.521248</v>
      </c>
      <c r="U60" s="63">
        <v>83.362885000000006</v>
      </c>
      <c r="V60" s="63">
        <v>82.416290000000004</v>
      </c>
      <c r="W60" s="63">
        <v>81.377609000000007</v>
      </c>
      <c r="X60" s="63">
        <v>80.342956999999998</v>
      </c>
      <c r="Y60" s="63">
        <v>79.408034999999998</v>
      </c>
      <c r="Z60" s="63">
        <v>78.279624999999996</v>
      </c>
      <c r="AA60" s="63">
        <v>77.059867999999994</v>
      </c>
      <c r="AB60" s="63">
        <v>75.885643000000002</v>
      </c>
      <c r="AC60" s="63">
        <v>74.786490999999998</v>
      </c>
      <c r="AD60" s="63">
        <v>73.655838000000003</v>
      </c>
      <c r="AE60" s="63">
        <v>72.496573999999995</v>
      </c>
      <c r="AF60" s="63">
        <v>71.381332</v>
      </c>
      <c r="AG60" s="63">
        <v>70.435012999999998</v>
      </c>
      <c r="AH60" s="63">
        <v>69.597290000000001</v>
      </c>
      <c r="AI60" s="63">
        <v>68.967674000000002</v>
      </c>
      <c r="AJ60" s="62">
        <v>9.9144999999999997E-2</v>
      </c>
    </row>
    <row r="61" spans="1:36" ht="14.25" customHeight="1" x14ac:dyDescent="0.2">
      <c r="A61" s="60" t="s">
        <v>663</v>
      </c>
      <c r="B61" s="63">
        <v>2049.054443</v>
      </c>
      <c r="C61" s="63">
        <v>1994.9873050000001</v>
      </c>
      <c r="D61" s="63">
        <v>1961.8183590000001</v>
      </c>
      <c r="E61" s="63">
        <v>1951.6188959999999</v>
      </c>
      <c r="F61" s="63">
        <v>1988.111572</v>
      </c>
      <c r="G61" s="63">
        <v>2042.4700929999999</v>
      </c>
      <c r="H61" s="63">
        <v>2075.4741210000002</v>
      </c>
      <c r="I61" s="63">
        <v>2102.9257809999999</v>
      </c>
      <c r="J61" s="63">
        <v>2128.0229490000002</v>
      </c>
      <c r="K61" s="63">
        <v>2136.4018550000001</v>
      </c>
      <c r="L61" s="63">
        <v>2127.5334469999998</v>
      </c>
      <c r="M61" s="63">
        <v>2105.2751459999999</v>
      </c>
      <c r="N61" s="63">
        <v>2086.8164059999999</v>
      </c>
      <c r="O61" s="63">
        <v>2071.014893</v>
      </c>
      <c r="P61" s="63">
        <v>2058.7451169999999</v>
      </c>
      <c r="Q61" s="63">
        <v>2032.8154300000001</v>
      </c>
      <c r="R61" s="63">
        <v>2011.7963870000001</v>
      </c>
      <c r="S61" s="63">
        <v>1999.552612</v>
      </c>
      <c r="T61" s="63">
        <v>1987.826904</v>
      </c>
      <c r="U61" s="63">
        <v>1977.424438</v>
      </c>
      <c r="V61" s="63">
        <v>1968.8847659999999</v>
      </c>
      <c r="W61" s="63">
        <v>1955.5195309999999</v>
      </c>
      <c r="X61" s="63">
        <v>1945.3632809999999</v>
      </c>
      <c r="Y61" s="63">
        <v>1944.0269780000001</v>
      </c>
      <c r="Z61" s="63">
        <v>1942.4467770000001</v>
      </c>
      <c r="AA61" s="63">
        <v>1940.0938719999999</v>
      </c>
      <c r="AB61" s="63">
        <v>1937.6748050000001</v>
      </c>
      <c r="AC61" s="63">
        <v>1937.053101</v>
      </c>
      <c r="AD61" s="63">
        <v>1935.7700199999999</v>
      </c>
      <c r="AE61" s="63">
        <v>1933.835693</v>
      </c>
      <c r="AF61" s="63">
        <v>1931.305298</v>
      </c>
      <c r="AG61" s="63">
        <v>1928.3881839999999</v>
      </c>
      <c r="AH61" s="63">
        <v>1926.635376</v>
      </c>
      <c r="AI61" s="63">
        <v>1926.713135</v>
      </c>
      <c r="AJ61" s="62">
        <v>-1.088E-3</v>
      </c>
    </row>
    <row r="62" spans="1:36" ht="14.25" customHeight="1" x14ac:dyDescent="0.2"/>
    <row r="63" spans="1:36" ht="14.25" customHeight="1" x14ac:dyDescent="0.2">
      <c r="A63" s="60" t="s">
        <v>680</v>
      </c>
      <c r="B63" s="63">
        <v>9336.8300780000009</v>
      </c>
      <c r="C63" s="63">
        <v>8955.84375</v>
      </c>
      <c r="D63" s="63">
        <v>8677.9707030000009</v>
      </c>
      <c r="E63" s="63">
        <v>8443.890625</v>
      </c>
      <c r="F63" s="63">
        <v>8232.1181639999995</v>
      </c>
      <c r="G63" s="63">
        <v>7994.6518550000001</v>
      </c>
      <c r="H63" s="63">
        <v>7772.0214839999999</v>
      </c>
      <c r="I63" s="63">
        <v>7561.5629879999997</v>
      </c>
      <c r="J63" s="63">
        <v>7356.580078</v>
      </c>
      <c r="K63" s="63">
        <v>7174.7460940000001</v>
      </c>
      <c r="L63" s="63">
        <v>6985.3681640000004</v>
      </c>
      <c r="M63" s="63">
        <v>6803.4345700000003</v>
      </c>
      <c r="N63" s="63">
        <v>6623.6679690000001</v>
      </c>
      <c r="O63" s="63">
        <v>6459.654297</v>
      </c>
      <c r="P63" s="63">
        <v>6318.4814450000003</v>
      </c>
      <c r="Q63" s="63">
        <v>6179.544922</v>
      </c>
      <c r="R63" s="63">
        <v>6054.267578</v>
      </c>
      <c r="S63" s="63">
        <v>5963.5815430000002</v>
      </c>
      <c r="T63" s="63">
        <v>5871.5820309999999</v>
      </c>
      <c r="U63" s="63">
        <v>5786.2094729999999</v>
      </c>
      <c r="V63" s="63">
        <v>5714.6630859999996</v>
      </c>
      <c r="W63" s="63">
        <v>5648.8037109999996</v>
      </c>
      <c r="X63" s="63">
        <v>5584.8701170000004</v>
      </c>
      <c r="Y63" s="63">
        <v>5528.8828119999998</v>
      </c>
      <c r="Z63" s="63">
        <v>5477.7197269999997</v>
      </c>
      <c r="AA63" s="63">
        <v>5439.6181640000004</v>
      </c>
      <c r="AB63" s="63">
        <v>5405.623047</v>
      </c>
      <c r="AC63" s="63">
        <v>5381.0947269999997</v>
      </c>
      <c r="AD63" s="63">
        <v>5360.6191410000001</v>
      </c>
      <c r="AE63" s="63">
        <v>5344.6669920000004</v>
      </c>
      <c r="AF63" s="63">
        <v>5329.7348629999997</v>
      </c>
      <c r="AG63" s="63">
        <v>5312.9560549999997</v>
      </c>
      <c r="AH63" s="63">
        <v>5301.8388670000004</v>
      </c>
      <c r="AI63" s="63">
        <v>5294.7177730000003</v>
      </c>
      <c r="AJ63" s="62">
        <v>-1.6291E-2</v>
      </c>
    </row>
    <row r="64" spans="1:36" ht="14.25" customHeight="1" x14ac:dyDescent="0.2"/>
    <row r="65" spans="1:36" ht="14.25" customHeight="1" x14ac:dyDescent="0.2">
      <c r="A65" s="59" t="s">
        <v>681</v>
      </c>
      <c r="B65" s="69">
        <v>17703.521484000001</v>
      </c>
      <c r="C65" s="69">
        <v>17035.130859000001</v>
      </c>
      <c r="D65" s="69">
        <v>16511.652343999998</v>
      </c>
      <c r="E65" s="69">
        <v>16073.266602</v>
      </c>
      <c r="F65" s="69">
        <v>15685.380859000001</v>
      </c>
      <c r="G65" s="69">
        <v>15257.166015999999</v>
      </c>
      <c r="H65" s="69">
        <v>14891.472656</v>
      </c>
      <c r="I65" s="69">
        <v>14564.870117</v>
      </c>
      <c r="J65" s="69">
        <v>14245.082031</v>
      </c>
      <c r="K65" s="69">
        <v>13953.678711</v>
      </c>
      <c r="L65" s="69">
        <v>13677.148438</v>
      </c>
      <c r="M65" s="69">
        <v>13429.972656</v>
      </c>
      <c r="N65" s="69">
        <v>13206.455078000001</v>
      </c>
      <c r="O65" s="69">
        <v>13019.943359000001</v>
      </c>
      <c r="P65" s="69">
        <v>12889.624023</v>
      </c>
      <c r="Q65" s="69">
        <v>12762.019531</v>
      </c>
      <c r="R65" s="69">
        <v>12658.358398</v>
      </c>
      <c r="S65" s="69">
        <v>12613.359375</v>
      </c>
      <c r="T65" s="69">
        <v>12567.066406</v>
      </c>
      <c r="U65" s="69">
        <v>12522.681640999999</v>
      </c>
      <c r="V65" s="69">
        <v>12494.724609000001</v>
      </c>
      <c r="W65" s="69">
        <v>12474.605469</v>
      </c>
      <c r="X65" s="69">
        <v>12452.720703000001</v>
      </c>
      <c r="Y65" s="69">
        <v>12440.614258</v>
      </c>
      <c r="Z65" s="69">
        <v>12430.817383</v>
      </c>
      <c r="AA65" s="69">
        <v>12448.544921999999</v>
      </c>
      <c r="AB65" s="69">
        <v>12468.326171999999</v>
      </c>
      <c r="AC65" s="69">
        <v>12503.178711</v>
      </c>
      <c r="AD65" s="69">
        <v>12541.197265999999</v>
      </c>
      <c r="AE65" s="69">
        <v>12576.243164</v>
      </c>
      <c r="AF65" s="69">
        <v>12599.166015999999</v>
      </c>
      <c r="AG65" s="69">
        <v>12609.108398</v>
      </c>
      <c r="AH65" s="69">
        <v>12623.789062</v>
      </c>
      <c r="AI65" s="69">
        <v>12636.903319999999</v>
      </c>
      <c r="AJ65" s="66">
        <v>-9.2899999999999996E-3</v>
      </c>
    </row>
    <row r="66" spans="1:36" ht="14.25" customHeight="1" x14ac:dyDescent="0.2"/>
    <row r="67" spans="1:36" ht="14.25" customHeight="1" x14ac:dyDescent="0.2">
      <c r="A67" s="59" t="s">
        <v>682</v>
      </c>
    </row>
    <row r="68" spans="1:36" ht="14.25" customHeight="1" x14ac:dyDescent="0.2">
      <c r="A68" s="60" t="s">
        <v>683</v>
      </c>
      <c r="B68" s="63">
        <v>7719.5703119999998</v>
      </c>
      <c r="C68" s="63">
        <v>7388.2309569999998</v>
      </c>
      <c r="D68" s="63">
        <v>7087.642578</v>
      </c>
      <c r="E68" s="63">
        <v>6865.140625</v>
      </c>
      <c r="F68" s="63">
        <v>6654.2314450000003</v>
      </c>
      <c r="G68" s="63">
        <v>6436.3603519999997</v>
      </c>
      <c r="H68" s="63">
        <v>6240.0571289999998</v>
      </c>
      <c r="I68" s="63">
        <v>6086.2958980000003</v>
      </c>
      <c r="J68" s="63">
        <v>5945.1088870000003</v>
      </c>
      <c r="K68" s="63">
        <v>5840.4575199999999</v>
      </c>
      <c r="L68" s="63">
        <v>5739.8950199999999</v>
      </c>
      <c r="M68" s="63">
        <v>5606.6079099999997</v>
      </c>
      <c r="N68" s="63">
        <v>5527.8784180000002</v>
      </c>
      <c r="O68" s="63">
        <v>5411.7368159999996</v>
      </c>
      <c r="P68" s="63">
        <v>5354.6982420000004</v>
      </c>
      <c r="Q68" s="63">
        <v>5272.4379879999997</v>
      </c>
      <c r="R68" s="63">
        <v>5186.1616210000002</v>
      </c>
      <c r="S68" s="63">
        <v>5093.2338870000003</v>
      </c>
      <c r="T68" s="63">
        <v>5030.6259769999997</v>
      </c>
      <c r="U68" s="63">
        <v>4935.1713870000003</v>
      </c>
      <c r="V68" s="63">
        <v>4839.9873049999997</v>
      </c>
      <c r="W68" s="63">
        <v>4775.5126950000003</v>
      </c>
      <c r="X68" s="63">
        <v>4677.2441410000001</v>
      </c>
      <c r="Y68" s="63">
        <v>4609.8876950000003</v>
      </c>
      <c r="Z68" s="63">
        <v>4512.2568359999996</v>
      </c>
      <c r="AA68" s="63">
        <v>4424.7724609999996</v>
      </c>
      <c r="AB68" s="63">
        <v>4376.5546880000002</v>
      </c>
      <c r="AC68" s="63">
        <v>4307.4790039999998</v>
      </c>
      <c r="AD68" s="63">
        <v>4217.9301759999998</v>
      </c>
      <c r="AE68" s="63">
        <v>4134.1152339999999</v>
      </c>
      <c r="AF68" s="63">
        <v>4040.6430660000001</v>
      </c>
      <c r="AG68" s="63">
        <v>3938.7502439999998</v>
      </c>
      <c r="AH68" s="63">
        <v>3834.2426759999998</v>
      </c>
      <c r="AI68" s="63">
        <v>3716.6845699999999</v>
      </c>
      <c r="AJ68" s="62">
        <v>-2.1242E-2</v>
      </c>
    </row>
    <row r="69" spans="1:36" ht="14.25" customHeight="1" x14ac:dyDescent="0.2">
      <c r="A69" s="60" t="s">
        <v>684</v>
      </c>
      <c r="B69" s="63">
        <v>4734.8305659999996</v>
      </c>
      <c r="C69" s="63">
        <v>4869.4165039999998</v>
      </c>
      <c r="D69" s="63">
        <v>4994.8984380000002</v>
      </c>
      <c r="E69" s="63">
        <v>5136.4125979999999</v>
      </c>
      <c r="F69" s="63">
        <v>5280.9340819999998</v>
      </c>
      <c r="G69" s="63">
        <v>5411.830078</v>
      </c>
      <c r="H69" s="63">
        <v>5541.6503910000001</v>
      </c>
      <c r="I69" s="63">
        <v>5665.4833980000003</v>
      </c>
      <c r="J69" s="63">
        <v>5786.7778319999998</v>
      </c>
      <c r="K69" s="63">
        <v>5888.1127930000002</v>
      </c>
      <c r="L69" s="63">
        <v>5994.6206050000001</v>
      </c>
      <c r="M69" s="63">
        <v>6081.5439450000003</v>
      </c>
      <c r="N69" s="63">
        <v>6182.7690430000002</v>
      </c>
      <c r="O69" s="63">
        <v>6187.3178710000002</v>
      </c>
      <c r="P69" s="63">
        <v>6329.3393550000001</v>
      </c>
      <c r="Q69" s="63">
        <v>6366.8569340000004</v>
      </c>
      <c r="R69" s="63">
        <v>6439.7314450000003</v>
      </c>
      <c r="S69" s="63">
        <v>6462.2377930000002</v>
      </c>
      <c r="T69" s="63">
        <v>6492.1420900000003</v>
      </c>
      <c r="U69" s="63">
        <v>6513.841797</v>
      </c>
      <c r="V69" s="63">
        <v>6488.8759769999997</v>
      </c>
      <c r="W69" s="63">
        <v>6496.8198240000002</v>
      </c>
      <c r="X69" s="63">
        <v>6427.4121089999999</v>
      </c>
      <c r="Y69" s="63">
        <v>6421.892578</v>
      </c>
      <c r="Z69" s="63">
        <v>6360.7797849999997</v>
      </c>
      <c r="AA69" s="63">
        <v>6373.4692379999997</v>
      </c>
      <c r="AB69" s="63">
        <v>6429.1484380000002</v>
      </c>
      <c r="AC69" s="63">
        <v>6454.4072269999997</v>
      </c>
      <c r="AD69" s="63">
        <v>6465.8505859999996</v>
      </c>
      <c r="AE69" s="63">
        <v>6491.5834960000002</v>
      </c>
      <c r="AF69" s="63">
        <v>6548.5473629999997</v>
      </c>
      <c r="AG69" s="63">
        <v>6545.8237300000001</v>
      </c>
      <c r="AH69" s="63">
        <v>6568.4580079999996</v>
      </c>
      <c r="AI69" s="63">
        <v>6566.4033200000003</v>
      </c>
      <c r="AJ69" s="62">
        <v>9.3869999999999995E-3</v>
      </c>
    </row>
    <row r="70" spans="1:36" ht="14.25" customHeight="1" x14ac:dyDescent="0.2">
      <c r="A70" s="60" t="s">
        <v>685</v>
      </c>
      <c r="B70" s="70">
        <v>4.1408E-2</v>
      </c>
      <c r="C70" s="63">
        <v>0.70137300000000002</v>
      </c>
      <c r="D70" s="63">
        <v>1.4154880000000001</v>
      </c>
      <c r="E70" s="63">
        <v>2.1695639999999998</v>
      </c>
      <c r="F70" s="63">
        <v>2.9484409999999999</v>
      </c>
      <c r="G70" s="63">
        <v>3.7367460000000001</v>
      </c>
      <c r="H70" s="63">
        <v>4.5513950000000003</v>
      </c>
      <c r="I70" s="63">
        <v>5.3837210000000004</v>
      </c>
      <c r="J70" s="63">
        <v>6.2296670000000001</v>
      </c>
      <c r="K70" s="63">
        <v>7.0928319999999996</v>
      </c>
      <c r="L70" s="63">
        <v>7.9707220000000003</v>
      </c>
      <c r="M70" s="63">
        <v>8.871048</v>
      </c>
      <c r="N70" s="63">
        <v>9.7950199999999992</v>
      </c>
      <c r="O70" s="63">
        <v>10.737355000000001</v>
      </c>
      <c r="P70" s="63">
        <v>11.706683</v>
      </c>
      <c r="Q70" s="63">
        <v>12.689833</v>
      </c>
      <c r="R70" s="63">
        <v>13.689785000000001</v>
      </c>
      <c r="S70" s="63">
        <v>14.709307000000001</v>
      </c>
      <c r="T70" s="63">
        <v>15.742058999999999</v>
      </c>
      <c r="U70" s="63">
        <v>16.785549</v>
      </c>
      <c r="V70" s="63">
        <v>17.843605</v>
      </c>
      <c r="W70" s="63">
        <v>18.916347999999999</v>
      </c>
      <c r="X70" s="63">
        <v>19.998864999999999</v>
      </c>
      <c r="Y70" s="63">
        <v>21.093316999999999</v>
      </c>
      <c r="Z70" s="63">
        <v>22.199601999999999</v>
      </c>
      <c r="AA70" s="63">
        <v>23.312925</v>
      </c>
      <c r="AB70" s="63">
        <v>24.43572</v>
      </c>
      <c r="AC70" s="63">
        <v>25.576822</v>
      </c>
      <c r="AD70" s="63">
        <v>26.733946</v>
      </c>
      <c r="AE70" s="63">
        <v>27.907084000000001</v>
      </c>
      <c r="AF70" s="63">
        <v>29.090540000000001</v>
      </c>
      <c r="AG70" s="63">
        <v>30.282028</v>
      </c>
      <c r="AH70" s="63">
        <v>31.489688999999998</v>
      </c>
      <c r="AI70" s="63">
        <v>32.866543</v>
      </c>
      <c r="AJ70" s="62">
        <v>0.12775</v>
      </c>
    </row>
    <row r="71" spans="1:36" ht="14.25" customHeight="1" x14ac:dyDescent="0.2">
      <c r="A71" s="60" t="s">
        <v>686</v>
      </c>
      <c r="B71" s="63">
        <v>11.380197000000001</v>
      </c>
      <c r="C71" s="63">
        <v>11.591989999999999</v>
      </c>
      <c r="D71" s="63">
        <v>11.791846</v>
      </c>
      <c r="E71" s="63">
        <v>11.972598</v>
      </c>
      <c r="F71" s="63">
        <v>12.129579</v>
      </c>
      <c r="G71" s="63">
        <v>12.254408</v>
      </c>
      <c r="H71" s="63">
        <v>12.358032</v>
      </c>
      <c r="I71" s="63">
        <v>12.450001</v>
      </c>
      <c r="J71" s="63">
        <v>12.501683</v>
      </c>
      <c r="K71" s="63">
        <v>12.644959</v>
      </c>
      <c r="L71" s="63">
        <v>12.585588</v>
      </c>
      <c r="M71" s="63">
        <v>12.631204</v>
      </c>
      <c r="N71" s="63">
        <v>12.793310999999999</v>
      </c>
      <c r="O71" s="63">
        <v>12.801377</v>
      </c>
      <c r="P71" s="63">
        <v>12.897332</v>
      </c>
      <c r="Q71" s="63">
        <v>12.829886999999999</v>
      </c>
      <c r="R71" s="63">
        <v>12.896102000000001</v>
      </c>
      <c r="S71" s="63">
        <v>13.000175</v>
      </c>
      <c r="T71" s="63">
        <v>13.198858</v>
      </c>
      <c r="U71" s="63">
        <v>13.460276</v>
      </c>
      <c r="V71" s="63">
        <v>13.745989</v>
      </c>
      <c r="W71" s="63">
        <v>14.203264000000001</v>
      </c>
      <c r="X71" s="63">
        <v>14.751232999999999</v>
      </c>
      <c r="Y71" s="63">
        <v>15.396376999999999</v>
      </c>
      <c r="Z71" s="63">
        <v>16.143673</v>
      </c>
      <c r="AA71" s="63">
        <v>17.000696000000001</v>
      </c>
      <c r="AB71" s="63">
        <v>18.029859999999999</v>
      </c>
      <c r="AC71" s="63">
        <v>19.466069999999998</v>
      </c>
      <c r="AD71" s="63">
        <v>20.841642</v>
      </c>
      <c r="AE71" s="63">
        <v>21.642703999999998</v>
      </c>
      <c r="AF71" s="63">
        <v>23.187176000000001</v>
      </c>
      <c r="AG71" s="63">
        <v>24.523056</v>
      </c>
      <c r="AH71" s="63">
        <v>26.456913</v>
      </c>
      <c r="AI71" s="63">
        <v>28.691246</v>
      </c>
      <c r="AJ71" s="62">
        <v>2.8726000000000002E-2</v>
      </c>
    </row>
    <row r="72" spans="1:36" ht="14.25" customHeight="1" x14ac:dyDescent="0.2">
      <c r="A72" s="60" t="s">
        <v>687</v>
      </c>
      <c r="B72" s="63">
        <v>1302.9929199999999</v>
      </c>
      <c r="C72" s="63">
        <v>1582.981689</v>
      </c>
      <c r="D72" s="63">
        <v>1863.994629</v>
      </c>
      <c r="E72" s="63">
        <v>2139.0832519999999</v>
      </c>
      <c r="F72" s="63">
        <v>2403.6533199999999</v>
      </c>
      <c r="G72" s="63">
        <v>2651.4191890000002</v>
      </c>
      <c r="H72" s="63">
        <v>2889.064453</v>
      </c>
      <c r="I72" s="63">
        <v>3115.6584469999998</v>
      </c>
      <c r="J72" s="63">
        <v>3330.8793949999999</v>
      </c>
      <c r="K72" s="63">
        <v>3537.4926759999998</v>
      </c>
      <c r="L72" s="63">
        <v>3737.2482909999999</v>
      </c>
      <c r="M72" s="63">
        <v>3936.6464839999999</v>
      </c>
      <c r="N72" s="63">
        <v>4138.1142579999996</v>
      </c>
      <c r="O72" s="63">
        <v>4340.3222660000001</v>
      </c>
      <c r="P72" s="63">
        <v>4546.0874020000001</v>
      </c>
      <c r="Q72" s="63">
        <v>4752.5361329999996</v>
      </c>
      <c r="R72" s="63">
        <v>4961.3339839999999</v>
      </c>
      <c r="S72" s="63">
        <v>5173.3618159999996</v>
      </c>
      <c r="T72" s="63">
        <v>5387.3041990000002</v>
      </c>
      <c r="U72" s="63">
        <v>5603.0229490000002</v>
      </c>
      <c r="V72" s="63">
        <v>5821.9697269999997</v>
      </c>
      <c r="W72" s="63">
        <v>6044.5913090000004</v>
      </c>
      <c r="X72" s="63">
        <v>6269.9936520000001</v>
      </c>
      <c r="Y72" s="63">
        <v>6499.1191410000001</v>
      </c>
      <c r="Z72" s="63">
        <v>6732.5561520000001</v>
      </c>
      <c r="AA72" s="63">
        <v>6985.046875</v>
      </c>
      <c r="AB72" s="63">
        <v>7225.904297</v>
      </c>
      <c r="AC72" s="63">
        <v>7461.1777339999999</v>
      </c>
      <c r="AD72" s="63">
        <v>7716.9853519999997</v>
      </c>
      <c r="AE72" s="63">
        <v>7959.8720700000003</v>
      </c>
      <c r="AF72" s="63">
        <v>8247.3818360000005</v>
      </c>
      <c r="AG72" s="63">
        <v>8476.3046880000002</v>
      </c>
      <c r="AH72" s="63">
        <v>8733.7236329999996</v>
      </c>
      <c r="AI72" s="63">
        <v>8985.9667969999991</v>
      </c>
      <c r="AJ72" s="62">
        <v>5.5759999999999997E-2</v>
      </c>
    </row>
    <row r="73" spans="1:36" ht="14.25" customHeight="1" x14ac:dyDescent="0.2">
      <c r="A73" s="60" t="s">
        <v>688</v>
      </c>
      <c r="B73" s="63">
        <v>0</v>
      </c>
      <c r="C73" s="63">
        <v>0</v>
      </c>
      <c r="D73" s="63">
        <v>0</v>
      </c>
      <c r="E73" s="63">
        <v>0.95045599999999997</v>
      </c>
      <c r="F73" s="63">
        <v>1.933605</v>
      </c>
      <c r="G73" s="63">
        <v>2.9274279999999999</v>
      </c>
      <c r="H73" s="63">
        <v>3.9554510000000001</v>
      </c>
      <c r="I73" s="63">
        <v>5.0101969999999998</v>
      </c>
      <c r="J73" s="63">
        <v>6.0880580000000002</v>
      </c>
      <c r="K73" s="63">
        <v>7.1933230000000004</v>
      </c>
      <c r="L73" s="63">
        <v>8.3215219999999999</v>
      </c>
      <c r="M73" s="63">
        <v>9.4818940000000005</v>
      </c>
      <c r="N73" s="63">
        <v>10.678307999999999</v>
      </c>
      <c r="O73" s="63">
        <v>11.902115</v>
      </c>
      <c r="P73" s="63">
        <v>13.163356</v>
      </c>
      <c r="Q73" s="63">
        <v>14.44487</v>
      </c>
      <c r="R73" s="63">
        <v>15.752129999999999</v>
      </c>
      <c r="S73" s="63">
        <v>17.086781999999999</v>
      </c>
      <c r="T73" s="63">
        <v>18.440033</v>
      </c>
      <c r="U73" s="63">
        <v>19.808685000000001</v>
      </c>
      <c r="V73" s="63">
        <v>21.197168000000001</v>
      </c>
      <c r="W73" s="63">
        <v>22.605139000000001</v>
      </c>
      <c r="X73" s="63">
        <v>24.026015999999998</v>
      </c>
      <c r="Y73" s="63">
        <v>25.462081999999999</v>
      </c>
      <c r="Z73" s="63">
        <v>26.912808999999999</v>
      </c>
      <c r="AA73" s="63">
        <v>28.371765</v>
      </c>
      <c r="AB73" s="63">
        <v>29.841652</v>
      </c>
      <c r="AC73" s="63">
        <v>31.333255999999999</v>
      </c>
      <c r="AD73" s="63">
        <v>32.843403000000002</v>
      </c>
      <c r="AE73" s="63">
        <v>34.371765000000003</v>
      </c>
      <c r="AF73" s="63">
        <v>35.911068</v>
      </c>
      <c r="AG73" s="63">
        <v>37.458168000000001</v>
      </c>
      <c r="AH73" s="63">
        <v>39.023144000000002</v>
      </c>
      <c r="AI73" s="63">
        <v>40.603518999999999</v>
      </c>
      <c r="AJ73" s="62" t="s">
        <v>467</v>
      </c>
    </row>
    <row r="74" spans="1:36" ht="14.25" customHeight="1" x14ac:dyDescent="0.2">
      <c r="A74" s="60" t="s">
        <v>689</v>
      </c>
      <c r="B74" s="63">
        <v>0</v>
      </c>
      <c r="C74" s="63">
        <v>0</v>
      </c>
      <c r="D74" s="63">
        <v>0</v>
      </c>
      <c r="E74" s="63">
        <v>1.0643419999999999</v>
      </c>
      <c r="F74" s="63">
        <v>2.1652939999999998</v>
      </c>
      <c r="G74" s="63">
        <v>3.2781989999999999</v>
      </c>
      <c r="H74" s="63">
        <v>4.4294019999999996</v>
      </c>
      <c r="I74" s="63">
        <v>5.6105299999999998</v>
      </c>
      <c r="J74" s="63">
        <v>6.8175429999999997</v>
      </c>
      <c r="K74" s="63">
        <v>8.0552419999999998</v>
      </c>
      <c r="L74" s="63">
        <v>9.3186250000000008</v>
      </c>
      <c r="M74" s="63">
        <v>10.618035000000001</v>
      </c>
      <c r="N74" s="63">
        <v>11.957807000000001</v>
      </c>
      <c r="O74" s="63">
        <v>13.328256</v>
      </c>
      <c r="P74" s="63">
        <v>14.740617</v>
      </c>
      <c r="Q74" s="63">
        <v>16.175695000000001</v>
      </c>
      <c r="R74" s="63">
        <v>17.639583999999999</v>
      </c>
      <c r="S74" s="63">
        <v>19.134169</v>
      </c>
      <c r="T74" s="63">
        <v>20.649557000000001</v>
      </c>
      <c r="U74" s="63">
        <v>22.182213000000001</v>
      </c>
      <c r="V74" s="63">
        <v>23.737061000000001</v>
      </c>
      <c r="W74" s="63">
        <v>25.313745000000001</v>
      </c>
      <c r="X74" s="63">
        <v>26.904866999999999</v>
      </c>
      <c r="Y74" s="63">
        <v>28.513020000000001</v>
      </c>
      <c r="Z74" s="63">
        <v>30.137557999999999</v>
      </c>
      <c r="AA74" s="63">
        <v>31.771341</v>
      </c>
      <c r="AB74" s="63">
        <v>33.417361999999997</v>
      </c>
      <c r="AC74" s="63">
        <v>35.087681000000003</v>
      </c>
      <c r="AD74" s="63">
        <v>36.778759000000001</v>
      </c>
      <c r="AE74" s="63">
        <v>38.490276000000001</v>
      </c>
      <c r="AF74" s="63">
        <v>40.213996999999999</v>
      </c>
      <c r="AG74" s="63">
        <v>41.946503</v>
      </c>
      <c r="AH74" s="63">
        <v>43.698996999999999</v>
      </c>
      <c r="AI74" s="63">
        <v>45.468727000000001</v>
      </c>
      <c r="AJ74" s="62" t="s">
        <v>467</v>
      </c>
    </row>
    <row r="75" spans="1:36" ht="14.25" customHeight="1" x14ac:dyDescent="0.2">
      <c r="A75" s="60" t="s">
        <v>690</v>
      </c>
      <c r="B75" s="63">
        <v>0</v>
      </c>
      <c r="C75" s="63">
        <v>0</v>
      </c>
      <c r="D75" s="63">
        <v>0</v>
      </c>
      <c r="E75" s="63">
        <v>1.0387869999999999</v>
      </c>
      <c r="F75" s="63">
        <v>2.113305</v>
      </c>
      <c r="G75" s="63">
        <v>3.1994910000000001</v>
      </c>
      <c r="H75" s="63">
        <v>4.3230529999999998</v>
      </c>
      <c r="I75" s="63">
        <v>5.4758209999999998</v>
      </c>
      <c r="J75" s="63">
        <v>6.6538529999999998</v>
      </c>
      <c r="K75" s="63">
        <v>7.8618360000000003</v>
      </c>
      <c r="L75" s="63">
        <v>9.0948820000000001</v>
      </c>
      <c r="M75" s="63">
        <v>10.363097</v>
      </c>
      <c r="N75" s="63">
        <v>11.670700999999999</v>
      </c>
      <c r="O75" s="63">
        <v>13.008245000000001</v>
      </c>
      <c r="P75" s="63">
        <v>14.386697</v>
      </c>
      <c r="Q75" s="63">
        <v>15.787312999999999</v>
      </c>
      <c r="R75" s="63">
        <v>17.216061</v>
      </c>
      <c r="S75" s="63">
        <v>18.674757</v>
      </c>
      <c r="T75" s="63">
        <v>20.153763000000001</v>
      </c>
      <c r="U75" s="63">
        <v>21.649628</v>
      </c>
      <c r="V75" s="63">
        <v>23.167133</v>
      </c>
      <c r="W75" s="63">
        <v>24.705960999999999</v>
      </c>
      <c r="X75" s="63">
        <v>26.258873000000001</v>
      </c>
      <c r="Y75" s="63">
        <v>27.828410999999999</v>
      </c>
      <c r="Z75" s="63">
        <v>29.413962999999999</v>
      </c>
      <c r="AA75" s="63">
        <v>31.008499</v>
      </c>
      <c r="AB75" s="63">
        <v>32.615009000000001</v>
      </c>
      <c r="AC75" s="63">
        <v>34.245224</v>
      </c>
      <c r="AD75" s="63">
        <v>35.895702</v>
      </c>
      <c r="AE75" s="63">
        <v>37.566124000000002</v>
      </c>
      <c r="AF75" s="63">
        <v>39.248488999999999</v>
      </c>
      <c r="AG75" s="63">
        <v>40.939388000000001</v>
      </c>
      <c r="AH75" s="63">
        <v>42.649796000000002</v>
      </c>
      <c r="AI75" s="63">
        <v>44.377026000000001</v>
      </c>
      <c r="AJ75" s="62" t="s">
        <v>467</v>
      </c>
    </row>
    <row r="76" spans="1:36" ht="14.25" customHeight="1" x14ac:dyDescent="0.2">
      <c r="A76" s="60" t="s">
        <v>691</v>
      </c>
      <c r="B76" s="63">
        <v>0</v>
      </c>
      <c r="C76" s="63">
        <v>0</v>
      </c>
      <c r="D76" s="63">
        <v>0</v>
      </c>
      <c r="E76" s="63">
        <v>0</v>
      </c>
      <c r="F76" s="63">
        <v>0</v>
      </c>
      <c r="G76" s="63">
        <v>0</v>
      </c>
      <c r="H76" s="63">
        <v>0</v>
      </c>
      <c r="I76" s="63">
        <v>0</v>
      </c>
      <c r="J76" s="63">
        <v>0</v>
      </c>
      <c r="K76" s="63">
        <v>0</v>
      </c>
      <c r="L76" s="63">
        <v>0</v>
      </c>
      <c r="M76" s="63">
        <v>0</v>
      </c>
      <c r="N76" s="63">
        <v>0</v>
      </c>
      <c r="O76" s="63">
        <v>0</v>
      </c>
      <c r="P76" s="63">
        <v>0</v>
      </c>
      <c r="Q76" s="63">
        <v>0</v>
      </c>
      <c r="R76" s="63">
        <v>0</v>
      </c>
      <c r="S76" s="63">
        <v>0</v>
      </c>
      <c r="T76" s="63">
        <v>0</v>
      </c>
      <c r="U76" s="63">
        <v>0</v>
      </c>
      <c r="V76" s="63">
        <v>0</v>
      </c>
      <c r="W76" s="63">
        <v>0</v>
      </c>
      <c r="X76" s="63">
        <v>0</v>
      </c>
      <c r="Y76" s="63">
        <v>0</v>
      </c>
      <c r="Z76" s="63">
        <v>0</v>
      </c>
      <c r="AA76" s="63">
        <v>0</v>
      </c>
      <c r="AB76" s="63">
        <v>0</v>
      </c>
      <c r="AC76" s="63">
        <v>0</v>
      </c>
      <c r="AD76" s="63">
        <v>0</v>
      </c>
      <c r="AE76" s="63">
        <v>0</v>
      </c>
      <c r="AF76" s="63">
        <v>0</v>
      </c>
      <c r="AG76" s="63">
        <v>0</v>
      </c>
      <c r="AH76" s="63">
        <v>0</v>
      </c>
      <c r="AI76" s="63">
        <v>0</v>
      </c>
      <c r="AJ76" s="62" t="s">
        <v>467</v>
      </c>
    </row>
    <row r="77" spans="1:36" ht="14.25" customHeight="1" x14ac:dyDescent="0.2">
      <c r="A77" s="59" t="s">
        <v>692</v>
      </c>
      <c r="B77" s="69">
        <v>13768.814453000001</v>
      </c>
      <c r="C77" s="69">
        <v>13852.921875</v>
      </c>
      <c r="D77" s="69">
        <v>13959.742188</v>
      </c>
      <c r="E77" s="69">
        <v>14157.832031</v>
      </c>
      <c r="F77" s="69">
        <v>14360.109375</v>
      </c>
      <c r="G77" s="69">
        <v>14525.005859000001</v>
      </c>
      <c r="H77" s="69">
        <v>14700.389648</v>
      </c>
      <c r="I77" s="69">
        <v>14901.367188</v>
      </c>
      <c r="J77" s="69">
        <v>15101.057617</v>
      </c>
      <c r="K77" s="69">
        <v>15308.912109000001</v>
      </c>
      <c r="L77" s="69">
        <v>15519.054688</v>
      </c>
      <c r="M77" s="69">
        <v>15676.763671999999</v>
      </c>
      <c r="N77" s="69">
        <v>15905.657227</v>
      </c>
      <c r="O77" s="69">
        <v>16001.154296999999</v>
      </c>
      <c r="P77" s="69">
        <v>16297.018555000001</v>
      </c>
      <c r="Q77" s="69">
        <v>16463.759765999999</v>
      </c>
      <c r="R77" s="69">
        <v>16664.419922000001</v>
      </c>
      <c r="S77" s="69">
        <v>16811.4375</v>
      </c>
      <c r="T77" s="69">
        <v>16998.257812</v>
      </c>
      <c r="U77" s="69">
        <v>17145.921875</v>
      </c>
      <c r="V77" s="69">
        <v>17250.523438</v>
      </c>
      <c r="W77" s="69">
        <v>17422.667968999998</v>
      </c>
      <c r="X77" s="69">
        <v>17486.589843999998</v>
      </c>
      <c r="Y77" s="69">
        <v>17649.195312</v>
      </c>
      <c r="Z77" s="69">
        <v>17730.398438</v>
      </c>
      <c r="AA77" s="69">
        <v>17914.751952999999</v>
      </c>
      <c r="AB77" s="69">
        <v>18169.949218999998</v>
      </c>
      <c r="AC77" s="69">
        <v>18368.775390999999</v>
      </c>
      <c r="AD77" s="69">
        <v>18553.863281000002</v>
      </c>
      <c r="AE77" s="69">
        <v>18745.548827999999</v>
      </c>
      <c r="AF77" s="69">
        <v>19004.224609000001</v>
      </c>
      <c r="AG77" s="69">
        <v>19136.029297000001</v>
      </c>
      <c r="AH77" s="69">
        <v>19319.744140999999</v>
      </c>
      <c r="AI77" s="69">
        <v>19461.0625</v>
      </c>
      <c r="AJ77" s="66">
        <v>1.0678999999999999E-2</v>
      </c>
    </row>
    <row r="78" spans="1:36" ht="14.25" customHeight="1" x14ac:dyDescent="0.2"/>
    <row r="79" spans="1:36" ht="14.25" customHeight="1" x14ac:dyDescent="0.2">
      <c r="A79" s="116" t="s">
        <v>693</v>
      </c>
      <c r="B79" s="117"/>
      <c r="C79" s="117"/>
      <c r="D79" s="117"/>
      <c r="E79" s="117"/>
      <c r="F79" s="117"/>
      <c r="G79" s="117"/>
      <c r="H79" s="117"/>
      <c r="I79" s="117"/>
      <c r="J79" s="117"/>
      <c r="K79" s="117"/>
      <c r="L79" s="117"/>
      <c r="M79" s="117"/>
      <c r="N79" s="117"/>
      <c r="O79" s="117"/>
      <c r="P79" s="117"/>
      <c r="Q79" s="117"/>
      <c r="R79" s="117"/>
      <c r="S79" s="117"/>
      <c r="T79" s="117"/>
      <c r="U79" s="117"/>
      <c r="V79" s="117"/>
      <c r="W79" s="117"/>
      <c r="X79" s="117"/>
      <c r="Y79" s="117"/>
      <c r="Z79" s="117"/>
      <c r="AA79" s="117"/>
      <c r="AB79" s="117"/>
      <c r="AC79" s="117"/>
      <c r="AD79" s="117"/>
      <c r="AE79" s="117"/>
      <c r="AF79" s="117"/>
      <c r="AG79" s="117"/>
      <c r="AH79" s="117"/>
      <c r="AI79" s="117"/>
      <c r="AJ79" s="117"/>
    </row>
    <row r="80" spans="1:36" ht="14.25" customHeight="1" x14ac:dyDescent="0.2">
      <c r="A80" s="67" t="s">
        <v>584</v>
      </c>
    </row>
    <row r="81" spans="1:1" ht="14.25" customHeight="1" x14ac:dyDescent="0.2">
      <c r="A81" s="67" t="s">
        <v>669</v>
      </c>
    </row>
    <row r="82" spans="1:1" ht="14.25" customHeight="1" x14ac:dyDescent="0.2">
      <c r="A82" s="67" t="s">
        <v>587</v>
      </c>
    </row>
    <row r="83" spans="1:1" ht="14.25" customHeight="1" x14ac:dyDescent="0.2">
      <c r="A83" s="67" t="s">
        <v>670</v>
      </c>
    </row>
    <row r="84" spans="1:1" ht="14.25" customHeight="1" x14ac:dyDescent="0.2">
      <c r="A84" s="67" t="s">
        <v>694</v>
      </c>
    </row>
    <row r="85" spans="1:1" ht="14.25" customHeight="1" x14ac:dyDescent="0.2">
      <c r="A85" s="67" t="s">
        <v>695</v>
      </c>
    </row>
    <row r="86" spans="1:1" ht="14.25" customHeight="1" x14ac:dyDescent="0.2">
      <c r="A86" s="67" t="s">
        <v>696</v>
      </c>
    </row>
    <row r="87" spans="1:1" ht="14.25" customHeight="1" x14ac:dyDescent="0.2">
      <c r="A87" s="67" t="s">
        <v>697</v>
      </c>
    </row>
    <row r="88" spans="1:1" ht="14.25" customHeight="1" x14ac:dyDescent="0.2"/>
    <row r="89" spans="1:1" ht="14.25" customHeight="1" x14ac:dyDescent="0.2"/>
    <row r="90" spans="1:1" ht="14.25" customHeight="1" x14ac:dyDescent="0.2"/>
    <row r="91" spans="1:1" ht="14.25" customHeight="1" x14ac:dyDescent="0.2"/>
    <row r="92" spans="1:1" ht="14.25" customHeight="1" x14ac:dyDescent="0.2"/>
    <row r="93" spans="1:1" ht="14.25" customHeight="1" x14ac:dyDescent="0.2"/>
    <row r="94" spans="1:1" ht="14.25" customHeight="1" x14ac:dyDescent="0.2"/>
    <row r="95" spans="1:1" ht="14.25" customHeight="1" x14ac:dyDescent="0.2"/>
    <row r="96" spans="1:1"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mergeCells count="1">
    <mergeCell ref="A79:AJ79"/>
  </mergeCells>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K1000"/>
  <sheetViews>
    <sheetView workbookViewId="0">
      <pane xSplit="2" ySplit="1" topLeftCell="C2" activePane="bottomRight" state="frozen"/>
      <selection pane="topRight" activeCell="C1" sqref="C1"/>
      <selection pane="bottomLeft" activeCell="A2" sqref="A2"/>
      <selection pane="bottomRight" activeCell="C2" sqref="C2"/>
    </sheetView>
  </sheetViews>
  <sheetFormatPr baseColWidth="10" defaultColWidth="14.5" defaultRowHeight="15" customHeight="1" x14ac:dyDescent="0.2"/>
  <cols>
    <col min="1" max="1" width="20.83203125" hidden="1" customWidth="1"/>
    <col min="2" max="2" width="45.6640625" customWidth="1"/>
    <col min="3" max="37" width="8.6640625" customWidth="1"/>
  </cols>
  <sheetData>
    <row r="1" spans="1:37" ht="15" customHeight="1" x14ac:dyDescent="0.2">
      <c r="B1" s="54" t="s">
        <v>296</v>
      </c>
      <c r="C1" s="55">
        <v>2017</v>
      </c>
      <c r="D1" s="55">
        <v>2018</v>
      </c>
      <c r="E1" s="55">
        <v>2019</v>
      </c>
      <c r="F1" s="55">
        <v>2020</v>
      </c>
      <c r="G1" s="55">
        <v>2021</v>
      </c>
      <c r="H1" s="55">
        <v>2022</v>
      </c>
      <c r="I1" s="55">
        <v>2023</v>
      </c>
      <c r="J1" s="55">
        <v>2024</v>
      </c>
      <c r="K1" s="55">
        <v>2025</v>
      </c>
      <c r="L1" s="55">
        <v>2026</v>
      </c>
      <c r="M1" s="55">
        <v>2027</v>
      </c>
      <c r="N1" s="55">
        <v>2028</v>
      </c>
      <c r="O1" s="55">
        <v>2029</v>
      </c>
      <c r="P1" s="55">
        <v>2030</v>
      </c>
      <c r="Q1" s="55">
        <v>2031</v>
      </c>
      <c r="R1" s="55">
        <v>2032</v>
      </c>
      <c r="S1" s="55">
        <v>2033</v>
      </c>
      <c r="T1" s="55">
        <v>2034</v>
      </c>
      <c r="U1" s="55">
        <v>2035</v>
      </c>
      <c r="V1" s="55">
        <v>2036</v>
      </c>
      <c r="W1" s="55">
        <v>2037</v>
      </c>
      <c r="X1" s="55">
        <v>2038</v>
      </c>
      <c r="Y1" s="55">
        <v>2039</v>
      </c>
      <c r="Z1" s="55">
        <v>2040</v>
      </c>
      <c r="AA1" s="55">
        <v>2041</v>
      </c>
      <c r="AB1" s="55">
        <v>2042</v>
      </c>
      <c r="AC1" s="55">
        <v>2043</v>
      </c>
      <c r="AD1" s="55">
        <v>2044</v>
      </c>
      <c r="AE1" s="55">
        <v>2045</v>
      </c>
      <c r="AF1" s="55">
        <v>2046</v>
      </c>
      <c r="AG1" s="55">
        <v>2047</v>
      </c>
      <c r="AH1" s="55">
        <v>2048</v>
      </c>
      <c r="AI1" s="55">
        <v>2049</v>
      </c>
      <c r="AJ1" s="55">
        <v>2050</v>
      </c>
    </row>
    <row r="3" spans="1:37" ht="15" customHeight="1" x14ac:dyDescent="0.2">
      <c r="C3" s="56" t="s">
        <v>297</v>
      </c>
      <c r="D3" s="56" t="s">
        <v>298</v>
      </c>
      <c r="E3" s="56"/>
      <c r="F3" s="56"/>
      <c r="G3" s="56"/>
    </row>
    <row r="4" spans="1:37" ht="15" customHeight="1" x14ac:dyDescent="0.2">
      <c r="C4" s="56" t="s">
        <v>299</v>
      </c>
      <c r="D4" s="56" t="s">
        <v>300</v>
      </c>
      <c r="E4" s="56"/>
      <c r="F4" s="56"/>
      <c r="G4" s="56" t="s">
        <v>301</v>
      </c>
    </row>
    <row r="5" spans="1:37" ht="15" customHeight="1" x14ac:dyDescent="0.2">
      <c r="C5" s="56" t="s">
        <v>302</v>
      </c>
      <c r="D5" s="56" t="s">
        <v>303</v>
      </c>
      <c r="E5" s="56"/>
      <c r="F5" s="56"/>
      <c r="G5" s="56"/>
    </row>
    <row r="6" spans="1:37" ht="15" customHeight="1" x14ac:dyDescent="0.2">
      <c r="C6" s="56" t="s">
        <v>304</v>
      </c>
      <c r="D6" s="56"/>
      <c r="E6" s="56" t="s">
        <v>305</v>
      </c>
      <c r="F6" s="56"/>
      <c r="G6" s="56"/>
    </row>
    <row r="10" spans="1:37" ht="15" customHeight="1" x14ac:dyDescent="0.2">
      <c r="A10" s="57" t="s">
        <v>698</v>
      </c>
      <c r="B10" s="58" t="s">
        <v>699</v>
      </c>
    </row>
    <row r="11" spans="1:37" ht="15" customHeight="1" x14ac:dyDescent="0.2">
      <c r="B11" s="54" t="s">
        <v>308</v>
      </c>
    </row>
    <row r="12" spans="1:37" ht="15" customHeight="1" x14ac:dyDescent="0.2">
      <c r="B12" s="54" t="s">
        <v>308</v>
      </c>
      <c r="C12" s="4" t="s">
        <v>308</v>
      </c>
      <c r="D12" s="4" t="s">
        <v>308</v>
      </c>
      <c r="E12" s="4" t="s">
        <v>308</v>
      </c>
      <c r="F12" s="4" t="s">
        <v>308</v>
      </c>
      <c r="G12" s="4" t="s">
        <v>308</v>
      </c>
      <c r="H12" s="4" t="s">
        <v>308</v>
      </c>
      <c r="I12" s="4" t="s">
        <v>308</v>
      </c>
      <c r="J12" s="4" t="s">
        <v>308</v>
      </c>
      <c r="K12" s="4" t="s">
        <v>308</v>
      </c>
      <c r="L12" s="4" t="s">
        <v>308</v>
      </c>
      <c r="M12" s="4" t="s">
        <v>308</v>
      </c>
      <c r="N12" s="4" t="s">
        <v>308</v>
      </c>
      <c r="O12" s="4" t="s">
        <v>308</v>
      </c>
      <c r="P12" s="4" t="s">
        <v>308</v>
      </c>
      <c r="Q12" s="4" t="s">
        <v>308</v>
      </c>
      <c r="R12" s="4" t="s">
        <v>308</v>
      </c>
      <c r="S12" s="4" t="s">
        <v>308</v>
      </c>
      <c r="T12" s="4" t="s">
        <v>308</v>
      </c>
      <c r="U12" s="4" t="s">
        <v>308</v>
      </c>
      <c r="V12" s="4" t="s">
        <v>308</v>
      </c>
      <c r="W12" s="4" t="s">
        <v>308</v>
      </c>
      <c r="X12" s="4" t="s">
        <v>308</v>
      </c>
      <c r="Y12" s="4" t="s">
        <v>308</v>
      </c>
      <c r="Z12" s="4" t="s">
        <v>308</v>
      </c>
      <c r="AA12" s="4" t="s">
        <v>308</v>
      </c>
      <c r="AB12" s="4" t="s">
        <v>308</v>
      </c>
      <c r="AC12" s="4" t="s">
        <v>308</v>
      </c>
      <c r="AD12" s="4" t="s">
        <v>308</v>
      </c>
      <c r="AE12" s="4" t="s">
        <v>308</v>
      </c>
      <c r="AF12" s="4" t="s">
        <v>308</v>
      </c>
      <c r="AG12" s="4" t="s">
        <v>308</v>
      </c>
      <c r="AH12" s="4" t="s">
        <v>308</v>
      </c>
      <c r="AI12" s="4" t="s">
        <v>308</v>
      </c>
      <c r="AJ12" s="4" t="s">
        <v>308</v>
      </c>
      <c r="AK12" s="4" t="s">
        <v>309</v>
      </c>
    </row>
    <row r="13" spans="1:37" ht="15" customHeight="1" x14ac:dyDescent="0.2">
      <c r="B13" s="55" t="s">
        <v>700</v>
      </c>
      <c r="C13" s="55">
        <v>2017</v>
      </c>
      <c r="D13" s="55">
        <v>2018</v>
      </c>
      <c r="E13" s="55">
        <v>2019</v>
      </c>
      <c r="F13" s="55">
        <v>2020</v>
      </c>
      <c r="G13" s="55">
        <v>2021</v>
      </c>
      <c r="H13" s="55">
        <v>2022</v>
      </c>
      <c r="I13" s="55">
        <v>2023</v>
      </c>
      <c r="J13" s="55">
        <v>2024</v>
      </c>
      <c r="K13" s="55">
        <v>2025</v>
      </c>
      <c r="L13" s="55">
        <v>2026</v>
      </c>
      <c r="M13" s="55">
        <v>2027</v>
      </c>
      <c r="N13" s="55">
        <v>2028</v>
      </c>
      <c r="O13" s="55">
        <v>2029</v>
      </c>
      <c r="P13" s="55">
        <v>2030</v>
      </c>
      <c r="Q13" s="55">
        <v>2031</v>
      </c>
      <c r="R13" s="55">
        <v>2032</v>
      </c>
      <c r="S13" s="55">
        <v>2033</v>
      </c>
      <c r="T13" s="55">
        <v>2034</v>
      </c>
      <c r="U13" s="55">
        <v>2035</v>
      </c>
      <c r="V13" s="55">
        <v>2036</v>
      </c>
      <c r="W13" s="55">
        <v>2037</v>
      </c>
      <c r="X13" s="55">
        <v>2038</v>
      </c>
      <c r="Y13" s="55">
        <v>2039</v>
      </c>
      <c r="Z13" s="55">
        <v>2040</v>
      </c>
      <c r="AA13" s="55">
        <v>2041</v>
      </c>
      <c r="AB13" s="55">
        <v>2042</v>
      </c>
      <c r="AC13" s="55">
        <v>2043</v>
      </c>
      <c r="AD13" s="55">
        <v>2044</v>
      </c>
      <c r="AE13" s="55">
        <v>2045</v>
      </c>
      <c r="AF13" s="55">
        <v>2046</v>
      </c>
      <c r="AG13" s="55">
        <v>2047</v>
      </c>
      <c r="AH13" s="55">
        <v>2048</v>
      </c>
      <c r="AI13" s="55">
        <v>2049</v>
      </c>
      <c r="AJ13" s="55">
        <v>2050</v>
      </c>
      <c r="AK13" s="55">
        <v>2050</v>
      </c>
    </row>
    <row r="15" spans="1:37" ht="15" customHeight="1" x14ac:dyDescent="0.2">
      <c r="B15" s="59" t="s">
        <v>701</v>
      </c>
    </row>
    <row r="16" spans="1:37" ht="15" customHeight="1" x14ac:dyDescent="0.2">
      <c r="A16" s="57" t="s">
        <v>702</v>
      </c>
      <c r="B16" s="60" t="s">
        <v>703</v>
      </c>
      <c r="C16" s="61">
        <v>8556.9023440000001</v>
      </c>
      <c r="D16" s="61">
        <v>8782.7519530000009</v>
      </c>
      <c r="E16" s="61">
        <v>9019.6269530000009</v>
      </c>
      <c r="F16" s="61">
        <v>9262.3251949999994</v>
      </c>
      <c r="G16" s="61">
        <v>9501.4599610000005</v>
      </c>
      <c r="H16" s="61">
        <v>9729.5791019999997</v>
      </c>
      <c r="I16" s="61">
        <v>9969.7880860000005</v>
      </c>
      <c r="J16" s="61">
        <v>10204.913086</v>
      </c>
      <c r="K16" s="61">
        <v>10430.269531</v>
      </c>
      <c r="L16" s="61">
        <v>10648.473633</v>
      </c>
      <c r="M16" s="61">
        <v>10852.223633</v>
      </c>
      <c r="N16" s="61">
        <v>11042.506836</v>
      </c>
      <c r="O16" s="61">
        <v>11223.458008</v>
      </c>
      <c r="P16" s="61">
        <v>11390.759765999999</v>
      </c>
      <c r="Q16" s="61">
        <v>11531.973633</v>
      </c>
      <c r="R16" s="61">
        <v>11661.179688</v>
      </c>
      <c r="S16" s="61">
        <v>11786.005859000001</v>
      </c>
      <c r="T16" s="61">
        <v>11908.086914</v>
      </c>
      <c r="U16" s="61">
        <v>12029.011719</v>
      </c>
      <c r="V16" s="61">
        <v>12151.535156</v>
      </c>
      <c r="W16" s="61">
        <v>12270.730469</v>
      </c>
      <c r="X16" s="61">
        <v>12380.964844</v>
      </c>
      <c r="Y16" s="61">
        <v>12484.449219</v>
      </c>
      <c r="Z16" s="61">
        <v>12586.021484000001</v>
      </c>
      <c r="AA16" s="61">
        <v>12693.678711</v>
      </c>
      <c r="AB16" s="61">
        <v>12808.977539</v>
      </c>
      <c r="AC16" s="61">
        <v>12934.625</v>
      </c>
      <c r="AD16" s="61">
        <v>13066.676758</v>
      </c>
      <c r="AE16" s="61">
        <v>13197.980469</v>
      </c>
      <c r="AF16" s="61">
        <v>13335.503906</v>
      </c>
      <c r="AG16" s="61">
        <v>13474.514648</v>
      </c>
      <c r="AH16" s="61">
        <v>13582.809569999999</v>
      </c>
      <c r="AI16" s="61">
        <v>13686.998046999999</v>
      </c>
      <c r="AJ16" s="61">
        <v>13793.740234000001</v>
      </c>
      <c r="AK16" s="62">
        <v>1.4206999999999999E-2</v>
      </c>
    </row>
    <row r="17" spans="1:37" ht="15" customHeight="1" x14ac:dyDescent="0.2">
      <c r="A17" s="57" t="s">
        <v>704</v>
      </c>
      <c r="B17" s="60" t="s">
        <v>705</v>
      </c>
      <c r="C17" s="61">
        <v>4405.7470700000003</v>
      </c>
      <c r="D17" s="61">
        <v>4580.6210940000001</v>
      </c>
      <c r="E17" s="61">
        <v>4767.1191410000001</v>
      </c>
      <c r="F17" s="61">
        <v>4954.3759769999997</v>
      </c>
      <c r="G17" s="61">
        <v>5137.8740230000003</v>
      </c>
      <c r="H17" s="61">
        <v>5314.2446289999998</v>
      </c>
      <c r="I17" s="61">
        <v>5481.6171880000002</v>
      </c>
      <c r="J17" s="61">
        <v>5641.0351559999999</v>
      </c>
      <c r="K17" s="61">
        <v>5793.4423829999996</v>
      </c>
      <c r="L17" s="61">
        <v>5942.5722660000001</v>
      </c>
      <c r="M17" s="61">
        <v>6081.3491210000002</v>
      </c>
      <c r="N17" s="61">
        <v>6208.0654299999997</v>
      </c>
      <c r="O17" s="61">
        <v>6332.1660160000001</v>
      </c>
      <c r="P17" s="61">
        <v>6447.1357420000004</v>
      </c>
      <c r="Q17" s="61">
        <v>6548.4848629999997</v>
      </c>
      <c r="R17" s="61">
        <v>6642.4721680000002</v>
      </c>
      <c r="S17" s="61">
        <v>6735.1372069999998</v>
      </c>
      <c r="T17" s="61">
        <v>6826.0551759999998</v>
      </c>
      <c r="U17" s="61">
        <v>6919.5888670000004</v>
      </c>
      <c r="V17" s="61">
        <v>7013.2285160000001</v>
      </c>
      <c r="W17" s="61">
        <v>7104.6142579999996</v>
      </c>
      <c r="X17" s="61">
        <v>7191.4741210000002</v>
      </c>
      <c r="Y17" s="61">
        <v>7275.2055659999996</v>
      </c>
      <c r="Z17" s="61">
        <v>7358.6494140000004</v>
      </c>
      <c r="AA17" s="61">
        <v>7447.1684569999998</v>
      </c>
      <c r="AB17" s="61">
        <v>7542.9023440000001</v>
      </c>
      <c r="AC17" s="61">
        <v>7648.9716799999997</v>
      </c>
      <c r="AD17" s="61">
        <v>7762.8100590000004</v>
      </c>
      <c r="AE17" s="61">
        <v>7883.0073240000002</v>
      </c>
      <c r="AF17" s="61">
        <v>8006.3334960000002</v>
      </c>
      <c r="AG17" s="61">
        <v>8131.9057620000003</v>
      </c>
      <c r="AH17" s="61">
        <v>8258.0644530000009</v>
      </c>
      <c r="AI17" s="61">
        <v>8382.7822269999997</v>
      </c>
      <c r="AJ17" s="61">
        <v>8503.1767579999996</v>
      </c>
      <c r="AK17" s="62">
        <v>1.9519000000000002E-2</v>
      </c>
    </row>
    <row r="18" spans="1:37" ht="15" customHeight="1" x14ac:dyDescent="0.2">
      <c r="A18" s="57" t="s">
        <v>706</v>
      </c>
      <c r="B18" s="60" t="s">
        <v>707</v>
      </c>
      <c r="C18" s="61">
        <v>1249.9582519999999</v>
      </c>
      <c r="D18" s="61">
        <v>1226.3085940000001</v>
      </c>
      <c r="E18" s="61">
        <v>1211.7889399999999</v>
      </c>
      <c r="F18" s="61">
        <v>1204.849121</v>
      </c>
      <c r="G18" s="61">
        <v>1200.5604249999999</v>
      </c>
      <c r="H18" s="61">
        <v>1196.7436520000001</v>
      </c>
      <c r="I18" s="61">
        <v>1210.2567140000001</v>
      </c>
      <c r="J18" s="61">
        <v>1227.424927</v>
      </c>
      <c r="K18" s="61">
        <v>1246.3420410000001</v>
      </c>
      <c r="L18" s="61">
        <v>1266.6892089999999</v>
      </c>
      <c r="M18" s="61">
        <v>1287.3786620000001</v>
      </c>
      <c r="N18" s="61">
        <v>1311.4263920000001</v>
      </c>
      <c r="O18" s="61">
        <v>1333.6723629999999</v>
      </c>
      <c r="P18" s="61">
        <v>1355.8520510000001</v>
      </c>
      <c r="Q18" s="61">
        <v>1380.2044679999999</v>
      </c>
      <c r="R18" s="61">
        <v>1404.798706</v>
      </c>
      <c r="S18" s="61">
        <v>1429.8125</v>
      </c>
      <c r="T18" s="61">
        <v>1455.495361</v>
      </c>
      <c r="U18" s="61">
        <v>1481.3813479999999</v>
      </c>
      <c r="V18" s="61">
        <v>1507.3610839999999</v>
      </c>
      <c r="W18" s="61">
        <v>1533.820557</v>
      </c>
      <c r="X18" s="61">
        <v>1560.936768</v>
      </c>
      <c r="Y18" s="61">
        <v>1588.354004</v>
      </c>
      <c r="Z18" s="61">
        <v>1616.299561</v>
      </c>
      <c r="AA18" s="61">
        <v>1643.5124510000001</v>
      </c>
      <c r="AB18" s="61">
        <v>1671.450928</v>
      </c>
      <c r="AC18" s="61">
        <v>1700.086182</v>
      </c>
      <c r="AD18" s="61">
        <v>1729.3637699999999</v>
      </c>
      <c r="AE18" s="61">
        <v>1759.553711</v>
      </c>
      <c r="AF18" s="61">
        <v>1790.502686</v>
      </c>
      <c r="AG18" s="61">
        <v>1822.3066409999999</v>
      </c>
      <c r="AH18" s="61">
        <v>1854.5722659999999</v>
      </c>
      <c r="AI18" s="61">
        <v>1886.94397</v>
      </c>
      <c r="AJ18" s="61">
        <v>1919.10376</v>
      </c>
      <c r="AK18" s="62">
        <v>1.4094000000000001E-2</v>
      </c>
    </row>
    <row r="19" spans="1:37" ht="15" customHeight="1" x14ac:dyDescent="0.2">
      <c r="A19" s="57" t="s">
        <v>708</v>
      </c>
      <c r="B19" s="60" t="s">
        <v>709</v>
      </c>
      <c r="C19" s="61">
        <v>2901.1972660000001</v>
      </c>
      <c r="D19" s="61">
        <v>2975.82251</v>
      </c>
      <c r="E19" s="61">
        <v>3040.7182619999999</v>
      </c>
      <c r="F19" s="61">
        <v>3103.1000979999999</v>
      </c>
      <c r="G19" s="61">
        <v>3163.0253910000001</v>
      </c>
      <c r="H19" s="61">
        <v>3218.5908199999999</v>
      </c>
      <c r="I19" s="61">
        <v>3277.913818</v>
      </c>
      <c r="J19" s="61">
        <v>3336.4533689999998</v>
      </c>
      <c r="K19" s="61">
        <v>3390.4858399999998</v>
      </c>
      <c r="L19" s="61">
        <v>3439.2116700000001</v>
      </c>
      <c r="M19" s="61">
        <v>3483.4963379999999</v>
      </c>
      <c r="N19" s="61">
        <v>3523.014893</v>
      </c>
      <c r="O19" s="61">
        <v>3557.6196289999998</v>
      </c>
      <c r="P19" s="61">
        <v>3587.7714839999999</v>
      </c>
      <c r="Q19" s="61">
        <v>3603.2839359999998</v>
      </c>
      <c r="R19" s="61">
        <v>3613.9089359999998</v>
      </c>
      <c r="S19" s="61">
        <v>3621.0561520000001</v>
      </c>
      <c r="T19" s="61">
        <v>3626.5358890000002</v>
      </c>
      <c r="U19" s="61">
        <v>3628.0410160000001</v>
      </c>
      <c r="V19" s="61">
        <v>3630.9458009999998</v>
      </c>
      <c r="W19" s="61">
        <v>3632.296143</v>
      </c>
      <c r="X19" s="61">
        <v>3628.5541990000002</v>
      </c>
      <c r="Y19" s="61">
        <v>3620.8891600000002</v>
      </c>
      <c r="Z19" s="61">
        <v>3611.0717770000001</v>
      </c>
      <c r="AA19" s="61">
        <v>3602.9982909999999</v>
      </c>
      <c r="AB19" s="61">
        <v>3594.624268</v>
      </c>
      <c r="AC19" s="61">
        <v>3585.5673830000001</v>
      </c>
      <c r="AD19" s="61">
        <v>3574.5031739999999</v>
      </c>
      <c r="AE19" s="61">
        <v>3555.4194339999999</v>
      </c>
      <c r="AF19" s="61">
        <v>3538.6679690000001</v>
      </c>
      <c r="AG19" s="61">
        <v>3520.3015140000002</v>
      </c>
      <c r="AH19" s="61">
        <v>3470.1728520000001</v>
      </c>
      <c r="AI19" s="61">
        <v>3417.2719729999999</v>
      </c>
      <c r="AJ19" s="61">
        <v>3371.459961</v>
      </c>
      <c r="AK19" s="62">
        <v>3.908E-3</v>
      </c>
    </row>
    <row r="20" spans="1:37" ht="15" customHeight="1" x14ac:dyDescent="0.2">
      <c r="A20" s="57" t="s">
        <v>710</v>
      </c>
      <c r="B20" s="60" t="s">
        <v>711</v>
      </c>
      <c r="C20" s="61">
        <v>943.51129200000003</v>
      </c>
      <c r="D20" s="61">
        <v>955.47820999999999</v>
      </c>
      <c r="E20" s="61">
        <v>965.68420400000002</v>
      </c>
      <c r="F20" s="61">
        <v>975.39331100000004</v>
      </c>
      <c r="G20" s="61">
        <v>983.72399900000005</v>
      </c>
      <c r="H20" s="61">
        <v>991.57067900000004</v>
      </c>
      <c r="I20" s="61">
        <v>998.42816200000004</v>
      </c>
      <c r="J20" s="61">
        <v>1005.692871</v>
      </c>
      <c r="K20" s="61">
        <v>1013.0766599999999</v>
      </c>
      <c r="L20" s="61">
        <v>1020.372253</v>
      </c>
      <c r="M20" s="61">
        <v>1028.220337</v>
      </c>
      <c r="N20" s="61">
        <v>1036.2879640000001</v>
      </c>
      <c r="O20" s="61">
        <v>1044.5876459999999</v>
      </c>
      <c r="P20" s="61">
        <v>1053.4700929999999</v>
      </c>
      <c r="Q20" s="61">
        <v>1066.4025879999999</v>
      </c>
      <c r="R20" s="61">
        <v>1080.8320309999999</v>
      </c>
      <c r="S20" s="61">
        <v>1096.2680660000001</v>
      </c>
      <c r="T20" s="61">
        <v>1113.413818</v>
      </c>
      <c r="U20" s="61">
        <v>1132.0180660000001</v>
      </c>
      <c r="V20" s="61">
        <v>1151.430298</v>
      </c>
      <c r="W20" s="61">
        <v>1171.689331</v>
      </c>
      <c r="X20" s="61">
        <v>1192.083496</v>
      </c>
      <c r="Y20" s="61">
        <v>1213.365112</v>
      </c>
      <c r="Z20" s="61">
        <v>1234.8870850000001</v>
      </c>
      <c r="AA20" s="61">
        <v>1256.5039059999999</v>
      </c>
      <c r="AB20" s="61">
        <v>1278.2723390000001</v>
      </c>
      <c r="AC20" s="61">
        <v>1302.144775</v>
      </c>
      <c r="AD20" s="61">
        <v>1326.232788</v>
      </c>
      <c r="AE20" s="61">
        <v>1350.650879</v>
      </c>
      <c r="AF20" s="61">
        <v>1376.5986330000001</v>
      </c>
      <c r="AG20" s="61">
        <v>1403.0471190000001</v>
      </c>
      <c r="AH20" s="61">
        <v>1430.3583980000001</v>
      </c>
      <c r="AI20" s="61">
        <v>1458.2211910000001</v>
      </c>
      <c r="AJ20" s="61">
        <v>1486.9780270000001</v>
      </c>
      <c r="AK20" s="62">
        <v>1.3917000000000001E-2</v>
      </c>
    </row>
    <row r="21" spans="1:37" ht="15" customHeight="1" x14ac:dyDescent="0.2">
      <c r="A21" s="57" t="s">
        <v>712</v>
      </c>
      <c r="B21" s="60" t="s">
        <v>705</v>
      </c>
      <c r="C21" s="61">
        <v>347.49163800000002</v>
      </c>
      <c r="D21" s="61">
        <v>351.68676799999997</v>
      </c>
      <c r="E21" s="61">
        <v>355.52121</v>
      </c>
      <c r="F21" s="61">
        <v>359.29711900000001</v>
      </c>
      <c r="G21" s="61">
        <v>363.10363799999999</v>
      </c>
      <c r="H21" s="61">
        <v>366.97637900000001</v>
      </c>
      <c r="I21" s="61">
        <v>371.09191900000002</v>
      </c>
      <c r="J21" s="61">
        <v>375.798248</v>
      </c>
      <c r="K21" s="61">
        <v>380.30651899999998</v>
      </c>
      <c r="L21" s="61">
        <v>384.65927099999999</v>
      </c>
      <c r="M21" s="61">
        <v>389.5</v>
      </c>
      <c r="N21" s="61">
        <v>394.540344</v>
      </c>
      <c r="O21" s="61">
        <v>399.66220099999998</v>
      </c>
      <c r="P21" s="61">
        <v>404.95083599999998</v>
      </c>
      <c r="Q21" s="61">
        <v>413.44174199999998</v>
      </c>
      <c r="R21" s="61">
        <v>422.31045499999999</v>
      </c>
      <c r="S21" s="61">
        <v>430.98635899999999</v>
      </c>
      <c r="T21" s="61">
        <v>440.59252900000001</v>
      </c>
      <c r="U21" s="61">
        <v>450.60235599999999</v>
      </c>
      <c r="V21" s="61">
        <v>460.68810999999999</v>
      </c>
      <c r="W21" s="61">
        <v>471.09948700000001</v>
      </c>
      <c r="X21" s="61">
        <v>481.92071499999997</v>
      </c>
      <c r="Y21" s="61">
        <v>492.669464</v>
      </c>
      <c r="Z21" s="61">
        <v>503.30917399999998</v>
      </c>
      <c r="AA21" s="61">
        <v>514.15026899999998</v>
      </c>
      <c r="AB21" s="61">
        <v>525.20074499999998</v>
      </c>
      <c r="AC21" s="61">
        <v>536.42437700000005</v>
      </c>
      <c r="AD21" s="61">
        <v>547.72558600000002</v>
      </c>
      <c r="AE21" s="61">
        <v>559.30627400000003</v>
      </c>
      <c r="AF21" s="61">
        <v>571.11621100000002</v>
      </c>
      <c r="AG21" s="61">
        <v>583.00988800000005</v>
      </c>
      <c r="AH21" s="61">
        <v>595.11346400000002</v>
      </c>
      <c r="AI21" s="61">
        <v>607.55224599999997</v>
      </c>
      <c r="AJ21" s="61">
        <v>620.11358600000005</v>
      </c>
      <c r="AK21" s="62">
        <v>1.7881999999999999E-2</v>
      </c>
    </row>
    <row r="22" spans="1:37" ht="15" customHeight="1" x14ac:dyDescent="0.2">
      <c r="A22" s="57" t="s">
        <v>713</v>
      </c>
      <c r="B22" s="60" t="s">
        <v>707</v>
      </c>
      <c r="C22" s="61">
        <v>133.458969</v>
      </c>
      <c r="D22" s="61">
        <v>137.450165</v>
      </c>
      <c r="E22" s="61">
        <v>140.91111799999999</v>
      </c>
      <c r="F22" s="61">
        <v>144.76733400000001</v>
      </c>
      <c r="G22" s="61">
        <v>148.60453799999999</v>
      </c>
      <c r="H22" s="61">
        <v>152.51004</v>
      </c>
      <c r="I22" s="61">
        <v>155.28857400000001</v>
      </c>
      <c r="J22" s="61">
        <v>158.88928200000001</v>
      </c>
      <c r="K22" s="61">
        <v>163.175354</v>
      </c>
      <c r="L22" s="61">
        <v>167.457077</v>
      </c>
      <c r="M22" s="61">
        <v>172.07141100000001</v>
      </c>
      <c r="N22" s="61">
        <v>176.88241600000001</v>
      </c>
      <c r="O22" s="61">
        <v>181.836411</v>
      </c>
      <c r="P22" s="61">
        <v>186.98680100000001</v>
      </c>
      <c r="Q22" s="61">
        <v>192.68434099999999</v>
      </c>
      <c r="R22" s="61">
        <v>198.66828899999999</v>
      </c>
      <c r="S22" s="61">
        <v>205.063828</v>
      </c>
      <c r="T22" s="61">
        <v>211.78491199999999</v>
      </c>
      <c r="U22" s="61">
        <v>218.69899000000001</v>
      </c>
      <c r="V22" s="61">
        <v>225.74146999999999</v>
      </c>
      <c r="W22" s="61">
        <v>233.07916299999999</v>
      </c>
      <c r="X22" s="61">
        <v>240.76821899999999</v>
      </c>
      <c r="Y22" s="61">
        <v>248.52847299999999</v>
      </c>
      <c r="Z22" s="61">
        <v>256.55908199999999</v>
      </c>
      <c r="AA22" s="61">
        <v>264.60687300000001</v>
      </c>
      <c r="AB22" s="61">
        <v>272.90585299999998</v>
      </c>
      <c r="AC22" s="61">
        <v>281.43685900000003</v>
      </c>
      <c r="AD22" s="61">
        <v>290.14291400000002</v>
      </c>
      <c r="AE22" s="61">
        <v>299.15225199999998</v>
      </c>
      <c r="AF22" s="61">
        <v>308.43719499999997</v>
      </c>
      <c r="AG22" s="61">
        <v>317.90780599999999</v>
      </c>
      <c r="AH22" s="61">
        <v>327.64639299999999</v>
      </c>
      <c r="AI22" s="61">
        <v>337.73715199999998</v>
      </c>
      <c r="AJ22" s="61">
        <v>348.04156499999999</v>
      </c>
      <c r="AK22" s="62">
        <v>2.9458999999999999E-2</v>
      </c>
    </row>
    <row r="23" spans="1:37" ht="15" customHeight="1" x14ac:dyDescent="0.2">
      <c r="A23" s="57" t="s">
        <v>714</v>
      </c>
      <c r="B23" s="60" t="s">
        <v>709</v>
      </c>
      <c r="C23" s="61">
        <v>462.56066900000002</v>
      </c>
      <c r="D23" s="61">
        <v>466.34127799999999</v>
      </c>
      <c r="E23" s="61">
        <v>469.25186200000002</v>
      </c>
      <c r="F23" s="61">
        <v>471.32885700000003</v>
      </c>
      <c r="G23" s="61">
        <v>472.01580799999999</v>
      </c>
      <c r="H23" s="61">
        <v>472.08425899999997</v>
      </c>
      <c r="I23" s="61">
        <v>472.04766799999999</v>
      </c>
      <c r="J23" s="61">
        <v>471.005402</v>
      </c>
      <c r="K23" s="61">
        <v>469.59481799999998</v>
      </c>
      <c r="L23" s="61">
        <v>468.25592</v>
      </c>
      <c r="M23" s="61">
        <v>466.64889499999998</v>
      </c>
      <c r="N23" s="61">
        <v>464.86523399999999</v>
      </c>
      <c r="O23" s="61">
        <v>463.08902</v>
      </c>
      <c r="P23" s="61">
        <v>461.53250100000002</v>
      </c>
      <c r="Q23" s="61">
        <v>460.27652</v>
      </c>
      <c r="R23" s="61">
        <v>459.85320999999999</v>
      </c>
      <c r="S23" s="61">
        <v>460.217896</v>
      </c>
      <c r="T23" s="61">
        <v>461.036316</v>
      </c>
      <c r="U23" s="61">
        <v>462.71673600000003</v>
      </c>
      <c r="V23" s="61">
        <v>465.00073200000003</v>
      </c>
      <c r="W23" s="61">
        <v>467.51068099999998</v>
      </c>
      <c r="X23" s="61">
        <v>469.39453099999997</v>
      </c>
      <c r="Y23" s="61">
        <v>472.167145</v>
      </c>
      <c r="Z23" s="61">
        <v>475.01876800000002</v>
      </c>
      <c r="AA23" s="61">
        <v>477.74670400000002</v>
      </c>
      <c r="AB23" s="61">
        <v>480.16574100000003</v>
      </c>
      <c r="AC23" s="61">
        <v>484.28359999999998</v>
      </c>
      <c r="AD23" s="61">
        <v>488.36428799999999</v>
      </c>
      <c r="AE23" s="61">
        <v>492.19238300000001</v>
      </c>
      <c r="AF23" s="61">
        <v>497.04519699999997</v>
      </c>
      <c r="AG23" s="61">
        <v>502.12933299999997</v>
      </c>
      <c r="AH23" s="61">
        <v>507.59851099999997</v>
      </c>
      <c r="AI23" s="61">
        <v>512.93176300000005</v>
      </c>
      <c r="AJ23" s="61">
        <v>518.82287599999995</v>
      </c>
      <c r="AK23" s="62">
        <v>3.3379999999999998E-3</v>
      </c>
    </row>
    <row r="24" spans="1:37" ht="15" customHeight="1" x14ac:dyDescent="0.2">
      <c r="A24" s="57" t="s">
        <v>715</v>
      </c>
      <c r="B24" s="60" t="s">
        <v>716</v>
      </c>
      <c r="C24" s="61">
        <v>796.98584000000005</v>
      </c>
      <c r="D24" s="61">
        <v>839.57763699999998</v>
      </c>
      <c r="E24" s="61">
        <v>884.27136199999995</v>
      </c>
      <c r="F24" s="61">
        <v>930.293091</v>
      </c>
      <c r="G24" s="61">
        <v>977.94812000000002</v>
      </c>
      <c r="H24" s="61">
        <v>1026.4445800000001</v>
      </c>
      <c r="I24" s="61">
        <v>1075.5313719999999</v>
      </c>
      <c r="J24" s="61">
        <v>1125.2771</v>
      </c>
      <c r="K24" s="61">
        <v>1175.0249020000001</v>
      </c>
      <c r="L24" s="61">
        <v>1224.775513</v>
      </c>
      <c r="M24" s="61">
        <v>1274.926514</v>
      </c>
      <c r="N24" s="61">
        <v>1325.411255</v>
      </c>
      <c r="O24" s="61">
        <v>1376.3717039999999</v>
      </c>
      <c r="P24" s="61">
        <v>1427.966553</v>
      </c>
      <c r="Q24" s="61">
        <v>1481.3637699999999</v>
      </c>
      <c r="R24" s="61">
        <v>1536.000732</v>
      </c>
      <c r="S24" s="61">
        <v>1593.1342770000001</v>
      </c>
      <c r="T24" s="61">
        <v>1651.739014</v>
      </c>
      <c r="U24" s="61">
        <v>1711.9141850000001</v>
      </c>
      <c r="V24" s="61">
        <v>1773.0913089999999</v>
      </c>
      <c r="W24" s="61">
        <v>1835.2092290000001</v>
      </c>
      <c r="X24" s="61">
        <v>1897.5297849999999</v>
      </c>
      <c r="Y24" s="61">
        <v>1959.7639160000001</v>
      </c>
      <c r="Z24" s="61">
        <v>2026.4384769999999</v>
      </c>
      <c r="AA24" s="61">
        <v>2091.6047359999998</v>
      </c>
      <c r="AB24" s="61">
        <v>2156.7302249999998</v>
      </c>
      <c r="AC24" s="61">
        <v>2222.123047</v>
      </c>
      <c r="AD24" s="61">
        <v>2287.3015140000002</v>
      </c>
      <c r="AE24" s="61">
        <v>2351.8916020000001</v>
      </c>
      <c r="AF24" s="61">
        <v>2416.4614259999998</v>
      </c>
      <c r="AG24" s="61">
        <v>2480.9340820000002</v>
      </c>
      <c r="AH24" s="61">
        <v>2545.7692870000001</v>
      </c>
      <c r="AI24" s="61">
        <v>2611.0966800000001</v>
      </c>
      <c r="AJ24" s="61">
        <v>2676.4121089999999</v>
      </c>
      <c r="AK24" s="62">
        <v>3.6893000000000002E-2</v>
      </c>
    </row>
    <row r="25" spans="1:37" ht="15" customHeight="1" x14ac:dyDescent="0.2">
      <c r="A25" s="57" t="s">
        <v>717</v>
      </c>
      <c r="B25" s="60" t="s">
        <v>705</v>
      </c>
      <c r="C25" s="61">
        <v>464.09075899999999</v>
      </c>
      <c r="D25" s="61">
        <v>491.81036399999999</v>
      </c>
      <c r="E25" s="61">
        <v>520.07006799999999</v>
      </c>
      <c r="F25" s="61">
        <v>549.21630900000002</v>
      </c>
      <c r="G25" s="61">
        <v>579.80004899999994</v>
      </c>
      <c r="H25" s="61">
        <v>610.90905799999996</v>
      </c>
      <c r="I25" s="61">
        <v>642.51501499999995</v>
      </c>
      <c r="J25" s="61">
        <v>674.60150099999998</v>
      </c>
      <c r="K25" s="61">
        <v>706.95031700000004</v>
      </c>
      <c r="L25" s="61">
        <v>739.44824200000005</v>
      </c>
      <c r="M25" s="61">
        <v>772.189392</v>
      </c>
      <c r="N25" s="61">
        <v>805.01385500000004</v>
      </c>
      <c r="O25" s="61">
        <v>838.02710000000002</v>
      </c>
      <c r="P25" s="61">
        <v>871.440247</v>
      </c>
      <c r="Q25" s="61">
        <v>905.85418700000002</v>
      </c>
      <c r="R25" s="61">
        <v>941.25347899999997</v>
      </c>
      <c r="S25" s="61">
        <v>978.48937999999998</v>
      </c>
      <c r="T25" s="61">
        <v>1016.623352</v>
      </c>
      <c r="U25" s="61">
        <v>1055.971558</v>
      </c>
      <c r="V25" s="61">
        <v>1096.1636960000001</v>
      </c>
      <c r="W25" s="61">
        <v>1136.701172</v>
      </c>
      <c r="X25" s="61">
        <v>1177.181763</v>
      </c>
      <c r="Y25" s="61">
        <v>1217.765625</v>
      </c>
      <c r="Z25" s="61">
        <v>1257.4083250000001</v>
      </c>
      <c r="AA25" s="61">
        <v>1297.9844969999999</v>
      </c>
      <c r="AB25" s="61">
        <v>1338.2177730000001</v>
      </c>
      <c r="AC25" s="61">
        <v>1378.380249</v>
      </c>
      <c r="AD25" s="61">
        <v>1418.2329099999999</v>
      </c>
      <c r="AE25" s="61">
        <v>1457.335327</v>
      </c>
      <c r="AF25" s="61">
        <v>1495.8237300000001</v>
      </c>
      <c r="AG25" s="61">
        <v>1534.267212</v>
      </c>
      <c r="AH25" s="61">
        <v>1572.772827</v>
      </c>
      <c r="AI25" s="61">
        <v>1611.2152100000001</v>
      </c>
      <c r="AJ25" s="61">
        <v>1649.3123780000001</v>
      </c>
      <c r="AK25" s="62">
        <v>3.8537000000000002E-2</v>
      </c>
    </row>
    <row r="26" spans="1:37" ht="15" customHeight="1" x14ac:dyDescent="0.2">
      <c r="A26" s="57" t="s">
        <v>718</v>
      </c>
      <c r="B26" s="60" t="s">
        <v>707</v>
      </c>
      <c r="C26" s="61">
        <v>43.643805999999998</v>
      </c>
      <c r="D26" s="61">
        <v>47.312587999999998</v>
      </c>
      <c r="E26" s="61">
        <v>52.574126999999997</v>
      </c>
      <c r="F26" s="61">
        <v>58.302418000000003</v>
      </c>
      <c r="G26" s="61">
        <v>64.243317000000005</v>
      </c>
      <c r="H26" s="61">
        <v>70.490555000000001</v>
      </c>
      <c r="I26" s="61">
        <v>76.814864999999998</v>
      </c>
      <c r="J26" s="61">
        <v>83.313896</v>
      </c>
      <c r="K26" s="61">
        <v>89.580978000000002</v>
      </c>
      <c r="L26" s="61">
        <v>95.766639999999995</v>
      </c>
      <c r="M26" s="61">
        <v>102.16319300000001</v>
      </c>
      <c r="N26" s="61">
        <v>108.835701</v>
      </c>
      <c r="O26" s="61">
        <v>115.78057099999999</v>
      </c>
      <c r="P26" s="61">
        <v>122.89415</v>
      </c>
      <c r="Q26" s="61">
        <v>130.721542</v>
      </c>
      <c r="R26" s="61">
        <v>138.69105500000001</v>
      </c>
      <c r="S26" s="61">
        <v>147.13983200000001</v>
      </c>
      <c r="T26" s="61">
        <v>155.975311</v>
      </c>
      <c r="U26" s="61">
        <v>164.90103099999999</v>
      </c>
      <c r="V26" s="61">
        <v>173.935059</v>
      </c>
      <c r="W26" s="61">
        <v>183.14485199999999</v>
      </c>
      <c r="X26" s="61">
        <v>192.67659</v>
      </c>
      <c r="Y26" s="61">
        <v>202.08793600000001</v>
      </c>
      <c r="Z26" s="61">
        <v>216.991882</v>
      </c>
      <c r="AA26" s="61">
        <v>228.007553</v>
      </c>
      <c r="AB26" s="61">
        <v>239.185272</v>
      </c>
      <c r="AC26" s="61">
        <v>250.58801299999999</v>
      </c>
      <c r="AD26" s="61">
        <v>262.04852299999999</v>
      </c>
      <c r="AE26" s="61">
        <v>273.75885</v>
      </c>
      <c r="AF26" s="61">
        <v>285.66186499999998</v>
      </c>
      <c r="AG26" s="61">
        <v>297.50311299999998</v>
      </c>
      <c r="AH26" s="61">
        <v>309.624908</v>
      </c>
      <c r="AI26" s="61">
        <v>322.23168900000002</v>
      </c>
      <c r="AJ26" s="61">
        <v>335.08297700000003</v>
      </c>
      <c r="AK26" s="62">
        <v>6.3085000000000002E-2</v>
      </c>
    </row>
    <row r="27" spans="1:37" ht="15" customHeight="1" x14ac:dyDescent="0.2">
      <c r="A27" s="57" t="s">
        <v>719</v>
      </c>
      <c r="B27" s="60" t="s">
        <v>709</v>
      </c>
      <c r="C27" s="61">
        <v>289.251282</v>
      </c>
      <c r="D27" s="61">
        <v>300.45474200000001</v>
      </c>
      <c r="E27" s="61">
        <v>311.62719700000002</v>
      </c>
      <c r="F27" s="61">
        <v>322.77432299999998</v>
      </c>
      <c r="G27" s="61">
        <v>333.904785</v>
      </c>
      <c r="H27" s="61">
        <v>345.04495200000002</v>
      </c>
      <c r="I27" s="61">
        <v>356.20147700000001</v>
      </c>
      <c r="J27" s="61">
        <v>367.36163299999998</v>
      </c>
      <c r="K27" s="61">
        <v>378.49359099999998</v>
      </c>
      <c r="L27" s="61">
        <v>389.56057700000002</v>
      </c>
      <c r="M27" s="61">
        <v>400.573914</v>
      </c>
      <c r="N27" s="61">
        <v>411.56170700000001</v>
      </c>
      <c r="O27" s="61">
        <v>422.56405599999999</v>
      </c>
      <c r="P27" s="61">
        <v>433.63217200000003</v>
      </c>
      <c r="Q27" s="61">
        <v>444.78805499999999</v>
      </c>
      <c r="R27" s="61">
        <v>456.056152</v>
      </c>
      <c r="S27" s="61">
        <v>467.50509599999998</v>
      </c>
      <c r="T27" s="61">
        <v>479.14031999999997</v>
      </c>
      <c r="U27" s="61">
        <v>491.04165599999999</v>
      </c>
      <c r="V27" s="61">
        <v>502.99252300000001</v>
      </c>
      <c r="W27" s="61">
        <v>515.363159</v>
      </c>
      <c r="X27" s="61">
        <v>527.67132600000002</v>
      </c>
      <c r="Y27" s="61">
        <v>539.91033900000002</v>
      </c>
      <c r="Z27" s="61">
        <v>552.03826900000001</v>
      </c>
      <c r="AA27" s="61">
        <v>565.61261000000002</v>
      </c>
      <c r="AB27" s="61">
        <v>579.32720900000004</v>
      </c>
      <c r="AC27" s="61">
        <v>593.15472399999999</v>
      </c>
      <c r="AD27" s="61">
        <v>607.01995799999997</v>
      </c>
      <c r="AE27" s="61">
        <v>620.79736300000002</v>
      </c>
      <c r="AF27" s="61">
        <v>634.97595200000001</v>
      </c>
      <c r="AG27" s="61">
        <v>649.16375700000003</v>
      </c>
      <c r="AH27" s="61">
        <v>663.37152100000003</v>
      </c>
      <c r="AI27" s="61">
        <v>677.64984100000004</v>
      </c>
      <c r="AJ27" s="61">
        <v>692.01672399999995</v>
      </c>
      <c r="AK27" s="62">
        <v>2.6415000000000001E-2</v>
      </c>
    </row>
    <row r="28" spans="1:37" ht="15" customHeight="1" x14ac:dyDescent="0.2">
      <c r="A28" s="57" t="s">
        <v>720</v>
      </c>
      <c r="B28" s="60" t="s">
        <v>721</v>
      </c>
      <c r="C28" s="61">
        <v>1477.640625</v>
      </c>
      <c r="D28" s="61">
        <v>1537.9442140000001</v>
      </c>
      <c r="E28" s="61">
        <v>1600.9001459999999</v>
      </c>
      <c r="F28" s="61">
        <v>1664.796875</v>
      </c>
      <c r="G28" s="61">
        <v>1731.3389890000001</v>
      </c>
      <c r="H28" s="61">
        <v>1799.0371090000001</v>
      </c>
      <c r="I28" s="61">
        <v>1870.2844239999999</v>
      </c>
      <c r="J28" s="61">
        <v>1943.7966309999999</v>
      </c>
      <c r="K28" s="61">
        <v>2020.861328</v>
      </c>
      <c r="L28" s="61">
        <v>2100.123047</v>
      </c>
      <c r="M28" s="61">
        <v>2181.130615</v>
      </c>
      <c r="N28" s="61">
        <v>2262.4345699999999</v>
      </c>
      <c r="O28" s="61">
        <v>2344.9106449999999</v>
      </c>
      <c r="P28" s="61">
        <v>2429.6127929999998</v>
      </c>
      <c r="Q28" s="61">
        <v>2515.7250979999999</v>
      </c>
      <c r="R28" s="61">
        <v>2602.9426269999999</v>
      </c>
      <c r="S28" s="61">
        <v>2691.263672</v>
      </c>
      <c r="T28" s="61">
        <v>2781.4213869999999</v>
      </c>
      <c r="U28" s="61">
        <v>2869.4990229999999</v>
      </c>
      <c r="V28" s="61">
        <v>2959.3786620000001</v>
      </c>
      <c r="W28" s="61">
        <v>3051.1520999999998</v>
      </c>
      <c r="X28" s="61">
        <v>3138.8989259999998</v>
      </c>
      <c r="Y28" s="61">
        <v>3229.9348140000002</v>
      </c>
      <c r="Z28" s="61">
        <v>3315.4174800000001</v>
      </c>
      <c r="AA28" s="61">
        <v>3399.6748050000001</v>
      </c>
      <c r="AB28" s="61">
        <v>3484.8608399999998</v>
      </c>
      <c r="AC28" s="61">
        <v>3570.4174800000001</v>
      </c>
      <c r="AD28" s="61">
        <v>3650.2607419999999</v>
      </c>
      <c r="AE28" s="61">
        <v>3732.0913089999999</v>
      </c>
      <c r="AF28" s="61">
        <v>3814.3090820000002</v>
      </c>
      <c r="AG28" s="61">
        <v>3890.9575199999999</v>
      </c>
      <c r="AH28" s="61">
        <v>3968.3007809999999</v>
      </c>
      <c r="AI28" s="61">
        <v>4045.6965329999998</v>
      </c>
      <c r="AJ28" s="61">
        <v>4123.2807620000003</v>
      </c>
      <c r="AK28" s="62">
        <v>3.1299E-2</v>
      </c>
    </row>
    <row r="29" spans="1:37" ht="15" customHeight="1" x14ac:dyDescent="0.2">
      <c r="A29" s="57" t="s">
        <v>722</v>
      </c>
      <c r="B29" s="60" t="s">
        <v>705</v>
      </c>
      <c r="C29" s="61">
        <v>868.67413299999998</v>
      </c>
      <c r="D29" s="61">
        <v>896.67144800000005</v>
      </c>
      <c r="E29" s="61">
        <v>926.48419200000001</v>
      </c>
      <c r="F29" s="61">
        <v>956.35528599999998</v>
      </c>
      <c r="G29" s="61">
        <v>988.12280299999998</v>
      </c>
      <c r="H29" s="61">
        <v>1020.4381100000001</v>
      </c>
      <c r="I29" s="61">
        <v>1055.986328</v>
      </c>
      <c r="J29" s="61">
        <v>1092.7008060000001</v>
      </c>
      <c r="K29" s="61">
        <v>1132.5812989999999</v>
      </c>
      <c r="L29" s="61">
        <v>1174.3077390000001</v>
      </c>
      <c r="M29" s="61">
        <v>1217.4964600000001</v>
      </c>
      <c r="N29" s="61">
        <v>1260.6766359999999</v>
      </c>
      <c r="O29" s="61">
        <v>1304.711914</v>
      </c>
      <c r="P29" s="61">
        <v>1350.6567379999999</v>
      </c>
      <c r="Q29" s="61">
        <v>1397.7298579999999</v>
      </c>
      <c r="R29" s="61">
        <v>1445.754639</v>
      </c>
      <c r="S29" s="61">
        <v>1494.846558</v>
      </c>
      <c r="T29" s="61">
        <v>1545.0363769999999</v>
      </c>
      <c r="U29" s="61">
        <v>1594.8629149999999</v>
      </c>
      <c r="V29" s="61">
        <v>1645.9967039999999</v>
      </c>
      <c r="W29" s="61">
        <v>1697.166138</v>
      </c>
      <c r="X29" s="61">
        <v>1747.1420900000001</v>
      </c>
      <c r="Y29" s="61">
        <v>1797.276001</v>
      </c>
      <c r="Z29" s="61">
        <v>1846.071289</v>
      </c>
      <c r="AA29" s="61">
        <v>1893.9700929999999</v>
      </c>
      <c r="AB29" s="61">
        <v>1941.3614500000001</v>
      </c>
      <c r="AC29" s="61">
        <v>1988.2071530000001</v>
      </c>
      <c r="AD29" s="61">
        <v>2034.4643550000001</v>
      </c>
      <c r="AE29" s="61">
        <v>2079.6594239999999</v>
      </c>
      <c r="AF29" s="61">
        <v>2124.0607909999999</v>
      </c>
      <c r="AG29" s="61">
        <v>2167.7014159999999</v>
      </c>
      <c r="AH29" s="61">
        <v>2210.7739259999998</v>
      </c>
      <c r="AI29" s="61">
        <v>2253.5390619999998</v>
      </c>
      <c r="AJ29" s="61">
        <v>2296.0263669999999</v>
      </c>
      <c r="AK29" s="62">
        <v>2.9818999999999998E-2</v>
      </c>
    </row>
    <row r="30" spans="1:37" ht="15" customHeight="1" x14ac:dyDescent="0.2">
      <c r="A30" s="57" t="s">
        <v>723</v>
      </c>
      <c r="B30" s="60" t="s">
        <v>707</v>
      </c>
      <c r="C30" s="61">
        <v>177.341904</v>
      </c>
      <c r="D30" s="61">
        <v>189.897797</v>
      </c>
      <c r="E30" s="61">
        <v>202.98152200000001</v>
      </c>
      <c r="F30" s="61">
        <v>216.59660299999999</v>
      </c>
      <c r="G30" s="61">
        <v>230.69987499999999</v>
      </c>
      <c r="H30" s="61">
        <v>245.14355499999999</v>
      </c>
      <c r="I30" s="61">
        <v>260.05935699999998</v>
      </c>
      <c r="J30" s="61">
        <v>275.38146999999998</v>
      </c>
      <c r="K30" s="61">
        <v>290.88775600000002</v>
      </c>
      <c r="L30" s="61">
        <v>306.54586799999998</v>
      </c>
      <c r="M30" s="61">
        <v>322.31506300000001</v>
      </c>
      <c r="N30" s="61">
        <v>338.20446800000002</v>
      </c>
      <c r="O30" s="61">
        <v>354.19509900000003</v>
      </c>
      <c r="P30" s="61">
        <v>370.28729199999998</v>
      </c>
      <c r="Q30" s="61">
        <v>386.47100799999998</v>
      </c>
      <c r="R30" s="61">
        <v>402.73406999999997</v>
      </c>
      <c r="S30" s="61">
        <v>419.06997699999999</v>
      </c>
      <c r="T30" s="61">
        <v>435.45803799999999</v>
      </c>
      <c r="U30" s="61">
        <v>451.85861199999999</v>
      </c>
      <c r="V30" s="61">
        <v>468.26617399999998</v>
      </c>
      <c r="W30" s="61">
        <v>484.71914700000002</v>
      </c>
      <c r="X30" s="61">
        <v>501.25210600000003</v>
      </c>
      <c r="Y30" s="61">
        <v>517.77410899999995</v>
      </c>
      <c r="Z30" s="61">
        <v>534.25744599999996</v>
      </c>
      <c r="AA30" s="61">
        <v>550.66381799999999</v>
      </c>
      <c r="AB30" s="61">
        <v>566.90008499999999</v>
      </c>
      <c r="AC30" s="61">
        <v>582.86279300000001</v>
      </c>
      <c r="AD30" s="61">
        <v>598.52435300000002</v>
      </c>
      <c r="AE30" s="61">
        <v>613.91351299999997</v>
      </c>
      <c r="AF30" s="61">
        <v>629.03729199999998</v>
      </c>
      <c r="AG30" s="61">
        <v>643.85858199999996</v>
      </c>
      <c r="AH30" s="61">
        <v>658.35260000000005</v>
      </c>
      <c r="AI30" s="61">
        <v>672.50537099999997</v>
      </c>
      <c r="AJ30" s="61">
        <v>686.34808299999997</v>
      </c>
      <c r="AK30" s="62">
        <v>4.0969999999999999E-2</v>
      </c>
    </row>
    <row r="31" spans="1:37" ht="15" customHeight="1" x14ac:dyDescent="0.2">
      <c r="A31" s="57" t="s">
        <v>724</v>
      </c>
      <c r="B31" s="60" t="s">
        <v>709</v>
      </c>
      <c r="C31" s="61">
        <v>431.62469499999997</v>
      </c>
      <c r="D31" s="61">
        <v>451.37496900000002</v>
      </c>
      <c r="E31" s="61">
        <v>471.43438700000002</v>
      </c>
      <c r="F31" s="61">
        <v>491.84494000000001</v>
      </c>
      <c r="G31" s="61">
        <v>512.51635699999997</v>
      </c>
      <c r="H31" s="61">
        <v>533.45538299999998</v>
      </c>
      <c r="I31" s="61">
        <v>554.238831</v>
      </c>
      <c r="J31" s="61">
        <v>575.714294</v>
      </c>
      <c r="K31" s="61">
        <v>597.39227300000005</v>
      </c>
      <c r="L31" s="61">
        <v>619.26934800000004</v>
      </c>
      <c r="M31" s="61">
        <v>641.319031</v>
      </c>
      <c r="N31" s="61">
        <v>663.55352800000003</v>
      </c>
      <c r="O31" s="61">
        <v>686.00372300000004</v>
      </c>
      <c r="P31" s="61">
        <v>708.66863999999998</v>
      </c>
      <c r="Q31" s="61">
        <v>731.52404799999999</v>
      </c>
      <c r="R31" s="61">
        <v>754.45385699999997</v>
      </c>
      <c r="S31" s="61">
        <v>777.34704599999998</v>
      </c>
      <c r="T31" s="61">
        <v>800.92687999999998</v>
      </c>
      <c r="U31" s="61">
        <v>822.77734399999997</v>
      </c>
      <c r="V31" s="61">
        <v>845.11566200000004</v>
      </c>
      <c r="W31" s="61">
        <v>869.26684599999999</v>
      </c>
      <c r="X31" s="61">
        <v>890.50476100000003</v>
      </c>
      <c r="Y31" s="61">
        <v>914.88482699999997</v>
      </c>
      <c r="Z31" s="61">
        <v>935.08892800000001</v>
      </c>
      <c r="AA31" s="61">
        <v>955.04095500000005</v>
      </c>
      <c r="AB31" s="61">
        <v>976.599243</v>
      </c>
      <c r="AC31" s="61">
        <v>999.34759499999996</v>
      </c>
      <c r="AD31" s="61">
        <v>1017.272034</v>
      </c>
      <c r="AE31" s="61">
        <v>1038.518311</v>
      </c>
      <c r="AF31" s="61">
        <v>1061.2109379999999</v>
      </c>
      <c r="AG31" s="61">
        <v>1079.397461</v>
      </c>
      <c r="AH31" s="61">
        <v>1099.1741939999999</v>
      </c>
      <c r="AI31" s="61">
        <v>1119.6521</v>
      </c>
      <c r="AJ31" s="61">
        <v>1140.9063719999999</v>
      </c>
      <c r="AK31" s="62">
        <v>2.9401E-2</v>
      </c>
    </row>
    <row r="32" spans="1:37" ht="15" customHeight="1" x14ac:dyDescent="0.2">
      <c r="A32" s="57" t="s">
        <v>725</v>
      </c>
      <c r="B32" s="60" t="s">
        <v>726</v>
      </c>
      <c r="C32" s="61">
        <v>6469.9868159999996</v>
      </c>
      <c r="D32" s="61">
        <v>6709.330078</v>
      </c>
      <c r="E32" s="61">
        <v>6947.4467770000001</v>
      </c>
      <c r="F32" s="61">
        <v>7183.3847660000001</v>
      </c>
      <c r="G32" s="61">
        <v>7416.1372069999998</v>
      </c>
      <c r="H32" s="61">
        <v>7645.1948240000002</v>
      </c>
      <c r="I32" s="61">
        <v>7870.6787109999996</v>
      </c>
      <c r="J32" s="61">
        <v>8091.9873049999997</v>
      </c>
      <c r="K32" s="61">
        <v>8308.2060550000006</v>
      </c>
      <c r="L32" s="61">
        <v>8520.4150389999995</v>
      </c>
      <c r="M32" s="61">
        <v>8727.4648440000001</v>
      </c>
      <c r="N32" s="61">
        <v>8927.78125</v>
      </c>
      <c r="O32" s="61">
        <v>9121.4033199999994</v>
      </c>
      <c r="P32" s="61">
        <v>9307.3125</v>
      </c>
      <c r="Q32" s="61">
        <v>9490.1621090000008</v>
      </c>
      <c r="R32" s="61">
        <v>9669.2734380000002</v>
      </c>
      <c r="S32" s="61">
        <v>9845.1386719999991</v>
      </c>
      <c r="T32" s="61">
        <v>10017.084961</v>
      </c>
      <c r="U32" s="61">
        <v>10185.121094</v>
      </c>
      <c r="V32" s="61">
        <v>10345.557617</v>
      </c>
      <c r="W32" s="61">
        <v>10498.040039</v>
      </c>
      <c r="X32" s="61">
        <v>10645.753906</v>
      </c>
      <c r="Y32" s="61">
        <v>10780.290039</v>
      </c>
      <c r="Z32" s="61">
        <v>10918.349609000001</v>
      </c>
      <c r="AA32" s="61">
        <v>11053.876953000001</v>
      </c>
      <c r="AB32" s="61">
        <v>11189.546875</v>
      </c>
      <c r="AC32" s="61">
        <v>11325.998046999999</v>
      </c>
      <c r="AD32" s="61">
        <v>11462.277344</v>
      </c>
      <c r="AE32" s="61">
        <v>11598.004883</v>
      </c>
      <c r="AF32" s="61">
        <v>11733.375</v>
      </c>
      <c r="AG32" s="61">
        <v>11890.436523</v>
      </c>
      <c r="AH32" s="61">
        <v>12050.144531</v>
      </c>
      <c r="AI32" s="61">
        <v>12215.412109000001</v>
      </c>
      <c r="AJ32" s="61">
        <v>12388.110352</v>
      </c>
      <c r="AK32" s="62">
        <v>1.9349000000000002E-2</v>
      </c>
    </row>
    <row r="33" spans="1:37" ht="15" customHeight="1" x14ac:dyDescent="0.2">
      <c r="A33" s="57" t="s">
        <v>727</v>
      </c>
      <c r="B33" s="60" t="s">
        <v>705</v>
      </c>
      <c r="C33" s="61">
        <v>3703.3229980000001</v>
      </c>
      <c r="D33" s="61">
        <v>3874.5222170000002</v>
      </c>
      <c r="E33" s="61">
        <v>4046.6586910000001</v>
      </c>
      <c r="F33" s="61">
        <v>4219.1118159999996</v>
      </c>
      <c r="G33" s="61">
        <v>4391.2436520000001</v>
      </c>
      <c r="H33" s="61">
        <v>4562.7128910000001</v>
      </c>
      <c r="I33" s="61">
        <v>4733.5976559999999</v>
      </c>
      <c r="J33" s="61">
        <v>4903.6450199999999</v>
      </c>
      <c r="K33" s="61">
        <v>5072.6923829999996</v>
      </c>
      <c r="L33" s="61">
        <v>5240.2426759999998</v>
      </c>
      <c r="M33" s="61">
        <v>5405.8671880000002</v>
      </c>
      <c r="N33" s="61">
        <v>5568.7504879999997</v>
      </c>
      <c r="O33" s="61">
        <v>5726.5263670000004</v>
      </c>
      <c r="P33" s="61">
        <v>5880.4726559999999</v>
      </c>
      <c r="Q33" s="61">
        <v>6030.6547849999997</v>
      </c>
      <c r="R33" s="61">
        <v>6177.5961909999996</v>
      </c>
      <c r="S33" s="61">
        <v>6321.5209960000002</v>
      </c>
      <c r="T33" s="61">
        <v>6461.654297</v>
      </c>
      <c r="U33" s="61">
        <v>6597.6958009999998</v>
      </c>
      <c r="V33" s="61">
        <v>6729.9067379999997</v>
      </c>
      <c r="W33" s="61">
        <v>6854.9536129999997</v>
      </c>
      <c r="X33" s="61">
        <v>6971.7680659999996</v>
      </c>
      <c r="Y33" s="61">
        <v>7081.9624020000001</v>
      </c>
      <c r="Z33" s="61">
        <v>7186.9819340000004</v>
      </c>
      <c r="AA33" s="61">
        <v>7288.4995120000003</v>
      </c>
      <c r="AB33" s="61">
        <v>7388.1206050000001</v>
      </c>
      <c r="AC33" s="61">
        <v>7487.5722660000001</v>
      </c>
      <c r="AD33" s="61">
        <v>7585.8979490000002</v>
      </c>
      <c r="AE33" s="61">
        <v>7682.7075199999999</v>
      </c>
      <c r="AF33" s="61">
        <v>7778.1733400000003</v>
      </c>
      <c r="AG33" s="61">
        <v>7871.8232420000004</v>
      </c>
      <c r="AH33" s="61">
        <v>7964.3715819999998</v>
      </c>
      <c r="AI33" s="61">
        <v>8057.3378910000001</v>
      </c>
      <c r="AJ33" s="61">
        <v>8153.0107420000004</v>
      </c>
      <c r="AK33" s="62">
        <v>2.3521E-2</v>
      </c>
    </row>
    <row r="34" spans="1:37" ht="15" customHeight="1" x14ac:dyDescent="0.2">
      <c r="A34" s="57" t="s">
        <v>728</v>
      </c>
      <c r="B34" s="60" t="s">
        <v>707</v>
      </c>
      <c r="C34" s="61">
        <v>1197.8133539999999</v>
      </c>
      <c r="D34" s="61">
        <v>1246.6088870000001</v>
      </c>
      <c r="E34" s="61">
        <v>1295.179077</v>
      </c>
      <c r="F34" s="61">
        <v>1343.4682620000001</v>
      </c>
      <c r="G34" s="61">
        <v>1391.3382570000001</v>
      </c>
      <c r="H34" s="61">
        <v>1438.7592770000001</v>
      </c>
      <c r="I34" s="61">
        <v>1485.7613530000001</v>
      </c>
      <c r="J34" s="61">
        <v>1531.940552</v>
      </c>
      <c r="K34" s="61">
        <v>1576.386841</v>
      </c>
      <c r="L34" s="61">
        <v>1620.3726810000001</v>
      </c>
      <c r="M34" s="61">
        <v>1662.9125979999999</v>
      </c>
      <c r="N34" s="61">
        <v>1702.92749</v>
      </c>
      <c r="O34" s="61">
        <v>1742.356323</v>
      </c>
      <c r="P34" s="61">
        <v>1778.2491460000001</v>
      </c>
      <c r="Q34" s="61">
        <v>1814.6721190000001</v>
      </c>
      <c r="R34" s="61">
        <v>1849.9907229999999</v>
      </c>
      <c r="S34" s="61">
        <v>1884.102539</v>
      </c>
      <c r="T34" s="61">
        <v>1916.9111330000001</v>
      </c>
      <c r="U34" s="61">
        <v>1948.7333980000001</v>
      </c>
      <c r="V34" s="61">
        <v>1979.903564</v>
      </c>
      <c r="W34" s="61">
        <v>2009.6557620000001</v>
      </c>
      <c r="X34" s="61">
        <v>2040.539307</v>
      </c>
      <c r="Y34" s="61">
        <v>2065.6286620000001</v>
      </c>
      <c r="Z34" s="61">
        <v>2097.0771479999999</v>
      </c>
      <c r="AA34" s="61">
        <v>2129.0759280000002</v>
      </c>
      <c r="AB34" s="61">
        <v>2161.679932</v>
      </c>
      <c r="AC34" s="61">
        <v>2194.7248540000001</v>
      </c>
      <c r="AD34" s="61">
        <v>2228.1723630000001</v>
      </c>
      <c r="AE34" s="61">
        <v>2261.8781739999999</v>
      </c>
      <c r="AF34" s="61">
        <v>2295.7185060000002</v>
      </c>
      <c r="AG34" s="61">
        <v>2352.0607909999999</v>
      </c>
      <c r="AH34" s="61">
        <v>2410.9411620000001</v>
      </c>
      <c r="AI34" s="61">
        <v>2473.4638669999999</v>
      </c>
      <c r="AJ34" s="61">
        <v>2538.9121089999999</v>
      </c>
      <c r="AK34" s="62">
        <v>2.2477E-2</v>
      </c>
    </row>
    <row r="35" spans="1:37" ht="15" customHeight="1" x14ac:dyDescent="0.2">
      <c r="A35" s="57" t="s">
        <v>729</v>
      </c>
      <c r="B35" s="60" t="s">
        <v>709</v>
      </c>
      <c r="C35" s="61">
        <v>1568.8507079999999</v>
      </c>
      <c r="D35" s="61">
        <v>1588.199341</v>
      </c>
      <c r="E35" s="61">
        <v>1605.609009</v>
      </c>
      <c r="F35" s="61">
        <v>1620.8045649999999</v>
      </c>
      <c r="G35" s="61">
        <v>1633.5550539999999</v>
      </c>
      <c r="H35" s="61">
        <v>1643.7226559999999</v>
      </c>
      <c r="I35" s="61">
        <v>1651.3195800000001</v>
      </c>
      <c r="J35" s="61">
        <v>1656.4017329999999</v>
      </c>
      <c r="K35" s="61">
        <v>1659.1273189999999</v>
      </c>
      <c r="L35" s="61">
        <v>1659.8001710000001</v>
      </c>
      <c r="M35" s="61">
        <v>1658.684937</v>
      </c>
      <c r="N35" s="61">
        <v>1656.1032709999999</v>
      </c>
      <c r="O35" s="61">
        <v>1652.52063</v>
      </c>
      <c r="P35" s="61">
        <v>1648.590698</v>
      </c>
      <c r="Q35" s="61">
        <v>1644.8344729999999</v>
      </c>
      <c r="R35" s="61">
        <v>1641.6866460000001</v>
      </c>
      <c r="S35" s="61">
        <v>1639.515991</v>
      </c>
      <c r="T35" s="61">
        <v>1638.5198969999999</v>
      </c>
      <c r="U35" s="61">
        <v>1638.69165</v>
      </c>
      <c r="V35" s="61">
        <v>1635.7467039999999</v>
      </c>
      <c r="W35" s="61">
        <v>1633.430664</v>
      </c>
      <c r="X35" s="61">
        <v>1633.4464109999999</v>
      </c>
      <c r="Y35" s="61">
        <v>1632.6994629999999</v>
      </c>
      <c r="Z35" s="61">
        <v>1634.2907709999999</v>
      </c>
      <c r="AA35" s="61">
        <v>1636.30188</v>
      </c>
      <c r="AB35" s="61">
        <v>1639.7457280000001</v>
      </c>
      <c r="AC35" s="61">
        <v>1643.7014160000001</v>
      </c>
      <c r="AD35" s="61">
        <v>1648.2075199999999</v>
      </c>
      <c r="AE35" s="61">
        <v>1653.4189449999999</v>
      </c>
      <c r="AF35" s="61">
        <v>1659.4829099999999</v>
      </c>
      <c r="AG35" s="61">
        <v>1666.5529790000001</v>
      </c>
      <c r="AH35" s="61">
        <v>1674.832275</v>
      </c>
      <c r="AI35" s="61">
        <v>1684.6103519999999</v>
      </c>
      <c r="AJ35" s="61">
        <v>1696.187866</v>
      </c>
      <c r="AK35" s="62">
        <v>2.0579999999999999E-3</v>
      </c>
    </row>
    <row r="36" spans="1:37" ht="15" customHeight="1" x14ac:dyDescent="0.2">
      <c r="A36" s="57" t="s">
        <v>730</v>
      </c>
      <c r="B36" s="60" t="s">
        <v>731</v>
      </c>
      <c r="C36" s="61">
        <v>1359.2039789999999</v>
      </c>
      <c r="D36" s="61">
        <v>1369.3127440000001</v>
      </c>
      <c r="E36" s="61">
        <v>1379.3229980000001</v>
      </c>
      <c r="F36" s="61">
        <v>1391.385986</v>
      </c>
      <c r="G36" s="61">
        <v>1403.835693</v>
      </c>
      <c r="H36" s="61">
        <v>1419.2583010000001</v>
      </c>
      <c r="I36" s="61">
        <v>1448.4960940000001</v>
      </c>
      <c r="J36" s="61">
        <v>1478.064453</v>
      </c>
      <c r="K36" s="61">
        <v>1510.796875</v>
      </c>
      <c r="L36" s="61">
        <v>1543.6757809999999</v>
      </c>
      <c r="M36" s="61">
        <v>1578.9682620000001</v>
      </c>
      <c r="N36" s="61">
        <v>1614.1362300000001</v>
      </c>
      <c r="O36" s="61">
        <v>1651.634033</v>
      </c>
      <c r="P36" s="61">
        <v>1689.750732</v>
      </c>
      <c r="Q36" s="61">
        <v>1740.8610839999999</v>
      </c>
      <c r="R36" s="61">
        <v>1795.309937</v>
      </c>
      <c r="S36" s="61">
        <v>1853.1914059999999</v>
      </c>
      <c r="T36" s="61">
        <v>1913.60376</v>
      </c>
      <c r="U36" s="61">
        <v>1977.8479</v>
      </c>
      <c r="V36" s="61">
        <v>2042.4748540000001</v>
      </c>
      <c r="W36" s="61">
        <v>2110.945557</v>
      </c>
      <c r="X36" s="61">
        <v>2183.9602049999999</v>
      </c>
      <c r="Y36" s="61">
        <v>2261.54126</v>
      </c>
      <c r="Z36" s="61">
        <v>2347.6184079999998</v>
      </c>
      <c r="AA36" s="61">
        <v>2436.4643550000001</v>
      </c>
      <c r="AB36" s="61">
        <v>2530.3549800000001</v>
      </c>
      <c r="AC36" s="61">
        <v>2629.6677249999998</v>
      </c>
      <c r="AD36" s="61">
        <v>2734.4638669999999</v>
      </c>
      <c r="AE36" s="61">
        <v>2844.7460940000001</v>
      </c>
      <c r="AF36" s="61">
        <v>2959.296143</v>
      </c>
      <c r="AG36" s="61">
        <v>3079.4279790000001</v>
      </c>
      <c r="AH36" s="61">
        <v>3205.2280270000001</v>
      </c>
      <c r="AI36" s="61">
        <v>3337.0161130000001</v>
      </c>
      <c r="AJ36" s="61">
        <v>3474.83374</v>
      </c>
      <c r="AK36" s="62">
        <v>2.9529E-2</v>
      </c>
    </row>
    <row r="37" spans="1:37" ht="15" customHeight="1" x14ac:dyDescent="0.2">
      <c r="A37" s="57" t="s">
        <v>732</v>
      </c>
      <c r="B37" s="60" t="s">
        <v>705</v>
      </c>
      <c r="C37" s="61">
        <v>607.953979</v>
      </c>
      <c r="D37" s="61">
        <v>606.88861099999997</v>
      </c>
      <c r="E37" s="61">
        <v>606.92608600000005</v>
      </c>
      <c r="F37" s="61">
        <v>608.32055700000001</v>
      </c>
      <c r="G37" s="61">
        <v>609.49395800000002</v>
      </c>
      <c r="H37" s="61">
        <v>613.88934300000005</v>
      </c>
      <c r="I37" s="61">
        <v>631.87908900000002</v>
      </c>
      <c r="J37" s="61">
        <v>650.90508999999997</v>
      </c>
      <c r="K37" s="61">
        <v>672.21917699999995</v>
      </c>
      <c r="L37" s="61">
        <v>694.35601799999995</v>
      </c>
      <c r="M37" s="61">
        <v>717.23980700000004</v>
      </c>
      <c r="N37" s="61">
        <v>739.71936000000005</v>
      </c>
      <c r="O37" s="61">
        <v>764.24530000000004</v>
      </c>
      <c r="P37" s="61">
        <v>789.70165999999995</v>
      </c>
      <c r="Q37" s="61">
        <v>820.808899</v>
      </c>
      <c r="R37" s="61">
        <v>852.95581100000004</v>
      </c>
      <c r="S37" s="61">
        <v>887.88818400000002</v>
      </c>
      <c r="T37" s="61">
        <v>924.80334500000004</v>
      </c>
      <c r="U37" s="61">
        <v>963.56658900000002</v>
      </c>
      <c r="V37" s="61">
        <v>1002.215027</v>
      </c>
      <c r="W37" s="61">
        <v>1044.680908</v>
      </c>
      <c r="X37" s="61">
        <v>1089.0356449999999</v>
      </c>
      <c r="Y37" s="61">
        <v>1135.5133060000001</v>
      </c>
      <c r="Z37" s="61">
        <v>1187.4077150000001</v>
      </c>
      <c r="AA37" s="61">
        <v>1239.033447</v>
      </c>
      <c r="AB37" s="61">
        <v>1292.720703</v>
      </c>
      <c r="AC37" s="61">
        <v>1348.8752440000001</v>
      </c>
      <c r="AD37" s="61">
        <v>1407.685303</v>
      </c>
      <c r="AE37" s="61">
        <v>1469.3168949999999</v>
      </c>
      <c r="AF37" s="61">
        <v>1533.778198</v>
      </c>
      <c r="AG37" s="61">
        <v>1600.4326169999999</v>
      </c>
      <c r="AH37" s="61">
        <v>1670.403564</v>
      </c>
      <c r="AI37" s="61">
        <v>1744.00647</v>
      </c>
      <c r="AJ37" s="61">
        <v>1821.218018</v>
      </c>
      <c r="AK37" s="62">
        <v>3.4937999999999997E-2</v>
      </c>
    </row>
    <row r="38" spans="1:37" ht="15" customHeight="1" x14ac:dyDescent="0.2">
      <c r="A38" s="57" t="s">
        <v>733</v>
      </c>
      <c r="B38" s="60" t="s">
        <v>707</v>
      </c>
      <c r="C38" s="61">
        <v>211.20426900000001</v>
      </c>
      <c r="D38" s="61">
        <v>222.942825</v>
      </c>
      <c r="E38" s="61">
        <v>234.10734600000001</v>
      </c>
      <c r="F38" s="61">
        <v>247.20568800000001</v>
      </c>
      <c r="G38" s="61">
        <v>260.73577899999998</v>
      </c>
      <c r="H38" s="61">
        <v>274.58999599999999</v>
      </c>
      <c r="I38" s="61">
        <v>289.129547</v>
      </c>
      <c r="J38" s="61">
        <v>304.15417500000001</v>
      </c>
      <c r="K38" s="61">
        <v>319.64181500000001</v>
      </c>
      <c r="L38" s="61">
        <v>334.73031600000002</v>
      </c>
      <c r="M38" s="61">
        <v>351.49865699999998</v>
      </c>
      <c r="N38" s="61">
        <v>369.040955</v>
      </c>
      <c r="O38" s="61">
        <v>387.364349</v>
      </c>
      <c r="P38" s="61">
        <v>406.52908300000001</v>
      </c>
      <c r="Q38" s="61">
        <v>426.59787</v>
      </c>
      <c r="R38" s="61">
        <v>447.35546900000003</v>
      </c>
      <c r="S38" s="61">
        <v>468.96127300000001</v>
      </c>
      <c r="T38" s="61">
        <v>490.39752199999998</v>
      </c>
      <c r="U38" s="61">
        <v>513.72070299999996</v>
      </c>
      <c r="V38" s="61">
        <v>538.03698699999995</v>
      </c>
      <c r="W38" s="61">
        <v>563.30780000000004</v>
      </c>
      <c r="X38" s="61">
        <v>589.51892099999998</v>
      </c>
      <c r="Y38" s="61">
        <v>616.74249299999997</v>
      </c>
      <c r="Z38" s="61">
        <v>644.96807899999999</v>
      </c>
      <c r="AA38" s="61">
        <v>674.11047399999995</v>
      </c>
      <c r="AB38" s="61">
        <v>704.14202899999998</v>
      </c>
      <c r="AC38" s="61">
        <v>735.06426999999996</v>
      </c>
      <c r="AD38" s="61">
        <v>766.88793899999996</v>
      </c>
      <c r="AE38" s="61">
        <v>799.57794200000001</v>
      </c>
      <c r="AF38" s="61">
        <v>832.12823500000002</v>
      </c>
      <c r="AG38" s="61">
        <v>866.645081</v>
      </c>
      <c r="AH38" s="61">
        <v>902.16241500000001</v>
      </c>
      <c r="AI38" s="61">
        <v>938.72778300000004</v>
      </c>
      <c r="AJ38" s="61">
        <v>976.38500999999997</v>
      </c>
      <c r="AK38" s="62">
        <v>4.7236E-2</v>
      </c>
    </row>
    <row r="39" spans="1:37" ht="15" customHeight="1" x14ac:dyDescent="0.2">
      <c r="A39" s="57" t="s">
        <v>734</v>
      </c>
      <c r="B39" s="60" t="s">
        <v>709</v>
      </c>
      <c r="C39" s="61">
        <v>540.04571499999997</v>
      </c>
      <c r="D39" s="61">
        <v>539.48126200000002</v>
      </c>
      <c r="E39" s="61">
        <v>538.28949</v>
      </c>
      <c r="F39" s="61">
        <v>535.85974099999999</v>
      </c>
      <c r="G39" s="61">
        <v>533.60601799999995</v>
      </c>
      <c r="H39" s="61">
        <v>530.77886999999998</v>
      </c>
      <c r="I39" s="61">
        <v>527.48742700000003</v>
      </c>
      <c r="J39" s="61">
        <v>523.00518799999998</v>
      </c>
      <c r="K39" s="61">
        <v>518.93585199999995</v>
      </c>
      <c r="L39" s="61">
        <v>514.58947799999999</v>
      </c>
      <c r="M39" s="61">
        <v>510.22976699999998</v>
      </c>
      <c r="N39" s="61">
        <v>505.37591600000002</v>
      </c>
      <c r="O39" s="61">
        <v>500.02435300000002</v>
      </c>
      <c r="P39" s="61">
        <v>493.520081</v>
      </c>
      <c r="Q39" s="61">
        <v>493.454407</v>
      </c>
      <c r="R39" s="61">
        <v>494.998627</v>
      </c>
      <c r="S39" s="61">
        <v>496.34188799999998</v>
      </c>
      <c r="T39" s="61">
        <v>498.40289300000001</v>
      </c>
      <c r="U39" s="61">
        <v>500.560608</v>
      </c>
      <c r="V39" s="61">
        <v>502.22289999999998</v>
      </c>
      <c r="W39" s="61">
        <v>502.95669600000002</v>
      </c>
      <c r="X39" s="61">
        <v>505.40570100000002</v>
      </c>
      <c r="Y39" s="61">
        <v>509.28549199999998</v>
      </c>
      <c r="Z39" s="61">
        <v>515.24267599999996</v>
      </c>
      <c r="AA39" s="61">
        <v>523.32031199999994</v>
      </c>
      <c r="AB39" s="61">
        <v>533.49218800000006</v>
      </c>
      <c r="AC39" s="61">
        <v>545.72820999999999</v>
      </c>
      <c r="AD39" s="61">
        <v>559.89056400000004</v>
      </c>
      <c r="AE39" s="61">
        <v>575.85131799999999</v>
      </c>
      <c r="AF39" s="61">
        <v>593.38970900000004</v>
      </c>
      <c r="AG39" s="61">
        <v>612.350281</v>
      </c>
      <c r="AH39" s="61">
        <v>632.66216999999995</v>
      </c>
      <c r="AI39" s="61">
        <v>654.28161599999999</v>
      </c>
      <c r="AJ39" s="61">
        <v>677.23065199999996</v>
      </c>
      <c r="AK39" s="62">
        <v>7.1320000000000003E-3</v>
      </c>
    </row>
    <row r="40" spans="1:37" ht="15" customHeight="1" x14ac:dyDescent="0.2">
      <c r="A40" s="57" t="s">
        <v>735</v>
      </c>
      <c r="B40" s="60" t="s">
        <v>736</v>
      </c>
      <c r="C40" s="61">
        <v>1923.151245</v>
      </c>
      <c r="D40" s="61">
        <v>2016.3983149999999</v>
      </c>
      <c r="E40" s="61">
        <v>2112.6477049999999</v>
      </c>
      <c r="F40" s="61">
        <v>2211.4155270000001</v>
      </c>
      <c r="G40" s="61">
        <v>2320.1520999999998</v>
      </c>
      <c r="H40" s="61">
        <v>2423.9343260000001</v>
      </c>
      <c r="I40" s="61">
        <v>2528.266846</v>
      </c>
      <c r="J40" s="61">
        <v>2628.8911130000001</v>
      </c>
      <c r="K40" s="61">
        <v>2729.96875</v>
      </c>
      <c r="L40" s="61">
        <v>2847.7163089999999</v>
      </c>
      <c r="M40" s="61">
        <v>2948.616211</v>
      </c>
      <c r="N40" s="61">
        <v>3069</v>
      </c>
      <c r="O40" s="61">
        <v>3171.2209469999998</v>
      </c>
      <c r="P40" s="61">
        <v>3275.2316890000002</v>
      </c>
      <c r="Q40" s="61">
        <v>3396.3461910000001</v>
      </c>
      <c r="R40" s="61">
        <v>3519.6845699999999</v>
      </c>
      <c r="S40" s="61">
        <v>3630.6872560000002</v>
      </c>
      <c r="T40" s="61">
        <v>3755.669922</v>
      </c>
      <c r="U40" s="61">
        <v>3883.711182</v>
      </c>
      <c r="V40" s="61">
        <v>4014.6464839999999</v>
      </c>
      <c r="W40" s="61">
        <v>4147.2993159999996</v>
      </c>
      <c r="X40" s="61">
        <v>4280.6054690000001</v>
      </c>
      <c r="Y40" s="61">
        <v>4416.9833980000003</v>
      </c>
      <c r="Z40" s="61">
        <v>4583.4775390000004</v>
      </c>
      <c r="AA40" s="61">
        <v>4720.8837890000004</v>
      </c>
      <c r="AB40" s="61">
        <v>4885.7563479999999</v>
      </c>
      <c r="AC40" s="61">
        <v>5022.1704099999997</v>
      </c>
      <c r="AD40" s="61">
        <v>5200.6850590000004</v>
      </c>
      <c r="AE40" s="61">
        <v>5334.5859380000002</v>
      </c>
      <c r="AF40" s="61">
        <v>5513.3759769999997</v>
      </c>
      <c r="AG40" s="61">
        <v>5635.4379879999997</v>
      </c>
      <c r="AH40" s="61">
        <v>5770.8251950000003</v>
      </c>
      <c r="AI40" s="61">
        <v>5909.736328</v>
      </c>
      <c r="AJ40" s="61">
        <v>6045.4736329999996</v>
      </c>
      <c r="AK40" s="62">
        <v>3.4908000000000002E-2</v>
      </c>
    </row>
    <row r="41" spans="1:37" ht="15" customHeight="1" x14ac:dyDescent="0.2">
      <c r="A41" s="57" t="s">
        <v>737</v>
      </c>
      <c r="B41" s="60" t="s">
        <v>705</v>
      </c>
      <c r="C41" s="61">
        <v>796.29760699999997</v>
      </c>
      <c r="D41" s="61">
        <v>833.50915499999996</v>
      </c>
      <c r="E41" s="61">
        <v>873.03411900000003</v>
      </c>
      <c r="F41" s="61">
        <v>913.90039100000001</v>
      </c>
      <c r="G41" s="61">
        <v>956.12579300000004</v>
      </c>
      <c r="H41" s="61">
        <v>999.18878199999995</v>
      </c>
      <c r="I41" s="61">
        <v>1044.95813</v>
      </c>
      <c r="J41" s="61">
        <v>1092.1547849999999</v>
      </c>
      <c r="K41" s="61">
        <v>1140.7441409999999</v>
      </c>
      <c r="L41" s="61">
        <v>1190.5158690000001</v>
      </c>
      <c r="M41" s="61">
        <v>1241.3286129999999</v>
      </c>
      <c r="N41" s="61">
        <v>1291.0783690000001</v>
      </c>
      <c r="O41" s="61">
        <v>1343.3066409999999</v>
      </c>
      <c r="P41" s="61">
        <v>1395.9609379999999</v>
      </c>
      <c r="Q41" s="61">
        <v>1449.1429439999999</v>
      </c>
      <c r="R41" s="61">
        <v>1503.2014160000001</v>
      </c>
      <c r="S41" s="61">
        <v>1558.5489500000001</v>
      </c>
      <c r="T41" s="61">
        <v>1615.2867429999999</v>
      </c>
      <c r="U41" s="61">
        <v>1673.1967770000001</v>
      </c>
      <c r="V41" s="61">
        <v>1732.309082</v>
      </c>
      <c r="W41" s="61">
        <v>1792.2979740000001</v>
      </c>
      <c r="X41" s="61">
        <v>1851.9064940000001</v>
      </c>
      <c r="Y41" s="61">
        <v>1913.694702</v>
      </c>
      <c r="Z41" s="61">
        <v>1976.798462</v>
      </c>
      <c r="AA41" s="61">
        <v>2041.3127440000001</v>
      </c>
      <c r="AB41" s="61">
        <v>2106.7690429999998</v>
      </c>
      <c r="AC41" s="61">
        <v>2173.0434570000002</v>
      </c>
      <c r="AD41" s="61">
        <v>2239.9194339999999</v>
      </c>
      <c r="AE41" s="61">
        <v>2306.7333979999999</v>
      </c>
      <c r="AF41" s="61">
        <v>2373.7189939999998</v>
      </c>
      <c r="AG41" s="61">
        <v>2439.8715820000002</v>
      </c>
      <c r="AH41" s="61">
        <v>2504.531982</v>
      </c>
      <c r="AI41" s="61">
        <v>2567.9826659999999</v>
      </c>
      <c r="AJ41" s="61">
        <v>2630.9533689999998</v>
      </c>
      <c r="AK41" s="62">
        <v>3.6573000000000001E-2</v>
      </c>
    </row>
    <row r="42" spans="1:37" ht="15" customHeight="1" x14ac:dyDescent="0.2">
      <c r="A42" s="57" t="s">
        <v>738</v>
      </c>
      <c r="B42" s="60" t="s">
        <v>707</v>
      </c>
      <c r="C42" s="61">
        <v>905.64068599999996</v>
      </c>
      <c r="D42" s="61">
        <v>960.63830600000006</v>
      </c>
      <c r="E42" s="61">
        <v>1016.496521</v>
      </c>
      <c r="F42" s="61">
        <v>1073.724976</v>
      </c>
      <c r="G42" s="61">
        <v>1139.809082</v>
      </c>
      <c r="H42" s="61">
        <v>1200.38562</v>
      </c>
      <c r="I42" s="61">
        <v>1259.1129149999999</v>
      </c>
      <c r="J42" s="61">
        <v>1313.0382079999999</v>
      </c>
      <c r="K42" s="61">
        <v>1366.3648679999999</v>
      </c>
      <c r="L42" s="61">
        <v>1435.4729</v>
      </c>
      <c r="M42" s="61">
        <v>1487.222534</v>
      </c>
      <c r="N42" s="61">
        <v>1559.2769780000001</v>
      </c>
      <c r="O42" s="61">
        <v>1610.7358400000001</v>
      </c>
      <c r="P42" s="61">
        <v>1663.5157469999999</v>
      </c>
      <c r="Q42" s="61">
        <v>1732.7520750000001</v>
      </c>
      <c r="R42" s="61">
        <v>1803.178101</v>
      </c>
      <c r="S42" s="61">
        <v>1859.7322999999999</v>
      </c>
      <c r="T42" s="61">
        <v>1928.516357</v>
      </c>
      <c r="U42" s="61">
        <v>1998.8012699999999</v>
      </c>
      <c r="V42" s="61">
        <v>2070.3842770000001</v>
      </c>
      <c r="W42" s="61">
        <v>2142.977539</v>
      </c>
      <c r="X42" s="61">
        <v>2216.2729490000002</v>
      </c>
      <c r="Y42" s="61">
        <v>2290.4440920000002</v>
      </c>
      <c r="Z42" s="61">
        <v>2392.211182</v>
      </c>
      <c r="AA42" s="61">
        <v>2464.0722660000001</v>
      </c>
      <c r="AB42" s="61">
        <v>2561.485107</v>
      </c>
      <c r="AC42" s="61">
        <v>2630.359375</v>
      </c>
      <c r="AD42" s="61">
        <v>2739.5310060000002</v>
      </c>
      <c r="AE42" s="61">
        <v>2803.9638669999999</v>
      </c>
      <c r="AF42" s="61">
        <v>2912.8676759999998</v>
      </c>
      <c r="AG42" s="61">
        <v>2965.9028320000002</v>
      </c>
      <c r="AH42" s="61">
        <v>3033.5268550000001</v>
      </c>
      <c r="AI42" s="61">
        <v>3105.5649410000001</v>
      </c>
      <c r="AJ42" s="61">
        <v>3174.0622560000002</v>
      </c>
      <c r="AK42" s="62">
        <v>3.8054999999999999E-2</v>
      </c>
    </row>
    <row r="43" spans="1:37" ht="15" customHeight="1" x14ac:dyDescent="0.2">
      <c r="A43" s="57" t="s">
        <v>739</v>
      </c>
      <c r="B43" s="60" t="s">
        <v>709</v>
      </c>
      <c r="C43" s="61">
        <v>221.21302800000001</v>
      </c>
      <c r="D43" s="61">
        <v>222.2509</v>
      </c>
      <c r="E43" s="61">
        <v>223.11705000000001</v>
      </c>
      <c r="F43" s="61">
        <v>223.79014599999999</v>
      </c>
      <c r="G43" s="61">
        <v>224.21734599999999</v>
      </c>
      <c r="H43" s="61">
        <v>224.35992400000001</v>
      </c>
      <c r="I43" s="61">
        <v>224.19577000000001</v>
      </c>
      <c r="J43" s="61">
        <v>223.698318</v>
      </c>
      <c r="K43" s="61">
        <v>222.85998499999999</v>
      </c>
      <c r="L43" s="61">
        <v>221.727585</v>
      </c>
      <c r="M43" s="61">
        <v>220.06485000000001</v>
      </c>
      <c r="N43" s="61">
        <v>218.644531</v>
      </c>
      <c r="O43" s="61">
        <v>217.178482</v>
      </c>
      <c r="P43" s="61">
        <v>215.75508099999999</v>
      </c>
      <c r="Q43" s="61">
        <v>214.45124799999999</v>
      </c>
      <c r="R43" s="61">
        <v>213.305206</v>
      </c>
      <c r="S43" s="61">
        <v>212.40597500000001</v>
      </c>
      <c r="T43" s="61">
        <v>211.866806</v>
      </c>
      <c r="U43" s="61">
        <v>211.71324200000001</v>
      </c>
      <c r="V43" s="61">
        <v>211.95313999999999</v>
      </c>
      <c r="W43" s="61">
        <v>212.02387999999999</v>
      </c>
      <c r="X43" s="61">
        <v>212.42585800000001</v>
      </c>
      <c r="Y43" s="61">
        <v>212.84466599999999</v>
      </c>
      <c r="Z43" s="61">
        <v>214.46769699999999</v>
      </c>
      <c r="AA43" s="61">
        <v>215.49920700000001</v>
      </c>
      <c r="AB43" s="61">
        <v>217.50251800000001</v>
      </c>
      <c r="AC43" s="61">
        <v>218.767471</v>
      </c>
      <c r="AD43" s="61">
        <v>221.23474100000001</v>
      </c>
      <c r="AE43" s="61">
        <v>223.888824</v>
      </c>
      <c r="AF43" s="61">
        <v>226.78890999999999</v>
      </c>
      <c r="AG43" s="61">
        <v>229.66345200000001</v>
      </c>
      <c r="AH43" s="61">
        <v>232.76660200000001</v>
      </c>
      <c r="AI43" s="61">
        <v>236.188492</v>
      </c>
      <c r="AJ43" s="61">
        <v>240.45796200000001</v>
      </c>
      <c r="AK43" s="62">
        <v>2.464E-3</v>
      </c>
    </row>
    <row r="44" spans="1:37" ht="15" customHeight="1" x14ac:dyDescent="0.2">
      <c r="A44" s="57" t="s">
        <v>740</v>
      </c>
      <c r="B44" s="60" t="s">
        <v>741</v>
      </c>
      <c r="C44" s="61">
        <v>1627.0563959999999</v>
      </c>
      <c r="D44" s="61">
        <v>1656.049072</v>
      </c>
      <c r="E44" s="61">
        <v>1688.3538820000001</v>
      </c>
      <c r="F44" s="61">
        <v>1721.8793949999999</v>
      </c>
      <c r="G44" s="61">
        <v>1755.8984379999999</v>
      </c>
      <c r="H44" s="61">
        <v>1785.213135</v>
      </c>
      <c r="I44" s="61">
        <v>1809.697754</v>
      </c>
      <c r="J44" s="61">
        <v>1827.3476559999999</v>
      </c>
      <c r="K44" s="61">
        <v>1852.1552730000001</v>
      </c>
      <c r="L44" s="61">
        <v>1874.0119629999999</v>
      </c>
      <c r="M44" s="61">
        <v>1889.5063479999999</v>
      </c>
      <c r="N44" s="61">
        <v>1896.494385</v>
      </c>
      <c r="O44" s="61">
        <v>1908.606812</v>
      </c>
      <c r="P44" s="61">
        <v>1928.4957280000001</v>
      </c>
      <c r="Q44" s="61">
        <v>1952.008789</v>
      </c>
      <c r="R44" s="61">
        <v>1974.491577</v>
      </c>
      <c r="S44" s="61">
        <v>2000.920654</v>
      </c>
      <c r="T44" s="61">
        <v>2023.3070070000001</v>
      </c>
      <c r="U44" s="61">
        <v>2048.607422</v>
      </c>
      <c r="V44" s="61">
        <v>2066.2482909999999</v>
      </c>
      <c r="W44" s="61">
        <v>2092.51001</v>
      </c>
      <c r="X44" s="61">
        <v>2108.686768</v>
      </c>
      <c r="Y44" s="61">
        <v>2129.217529</v>
      </c>
      <c r="Z44" s="61">
        <v>2144.4267580000001</v>
      </c>
      <c r="AA44" s="61">
        <v>2168.9025879999999</v>
      </c>
      <c r="AB44" s="61">
        <v>2203.953125</v>
      </c>
      <c r="AC44" s="61">
        <v>2238.908203</v>
      </c>
      <c r="AD44" s="61">
        <v>2272.157471</v>
      </c>
      <c r="AE44" s="61">
        <v>2305.0834960000002</v>
      </c>
      <c r="AF44" s="61">
        <v>2338.9572750000002</v>
      </c>
      <c r="AG44" s="61">
        <v>2373.6291500000002</v>
      </c>
      <c r="AH44" s="61">
        <v>2401.8332519999999</v>
      </c>
      <c r="AI44" s="61">
        <v>2436.89624</v>
      </c>
      <c r="AJ44" s="61">
        <v>2475.241211</v>
      </c>
      <c r="AK44" s="62">
        <v>1.2638999999999999E-2</v>
      </c>
    </row>
    <row r="45" spans="1:37" ht="15" customHeight="1" x14ac:dyDescent="0.2">
      <c r="A45" s="57" t="s">
        <v>742</v>
      </c>
      <c r="B45" s="60" t="s">
        <v>705</v>
      </c>
      <c r="C45" s="61">
        <v>1008.9212649999999</v>
      </c>
      <c r="D45" s="61">
        <v>1024.0604249999999</v>
      </c>
      <c r="E45" s="61">
        <v>1042.8481449999999</v>
      </c>
      <c r="F45" s="61">
        <v>1063.1676030000001</v>
      </c>
      <c r="G45" s="61">
        <v>1084.3842770000001</v>
      </c>
      <c r="H45" s="61">
        <v>1101.358154</v>
      </c>
      <c r="I45" s="61">
        <v>1114.0051269999999</v>
      </c>
      <c r="J45" s="61">
        <v>1120.3149410000001</v>
      </c>
      <c r="K45" s="61">
        <v>1135.272827</v>
      </c>
      <c r="L45" s="61">
        <v>1146.8710940000001</v>
      </c>
      <c r="M45" s="61">
        <v>1153.0241699999999</v>
      </c>
      <c r="N45" s="61">
        <v>1151.6351320000001</v>
      </c>
      <c r="O45" s="61">
        <v>1157.533081</v>
      </c>
      <c r="P45" s="61">
        <v>1164.2230219999999</v>
      </c>
      <c r="Q45" s="61">
        <v>1171.828857</v>
      </c>
      <c r="R45" s="61">
        <v>1181.499268</v>
      </c>
      <c r="S45" s="61">
        <v>1190.7692870000001</v>
      </c>
      <c r="T45" s="61">
        <v>1196.997437</v>
      </c>
      <c r="U45" s="61">
        <v>1207.003052</v>
      </c>
      <c r="V45" s="61">
        <v>1216.725586</v>
      </c>
      <c r="W45" s="61">
        <v>1225.0670170000001</v>
      </c>
      <c r="X45" s="61">
        <v>1224.1254879999999</v>
      </c>
      <c r="Y45" s="61">
        <v>1227.2430420000001</v>
      </c>
      <c r="Z45" s="61">
        <v>1226.518677</v>
      </c>
      <c r="AA45" s="61">
        <v>1230.0977780000001</v>
      </c>
      <c r="AB45" s="61">
        <v>1244.970703</v>
      </c>
      <c r="AC45" s="61">
        <v>1260.563232</v>
      </c>
      <c r="AD45" s="61">
        <v>1275.1547849999999</v>
      </c>
      <c r="AE45" s="61">
        <v>1287.192871</v>
      </c>
      <c r="AF45" s="61">
        <v>1301.9788820000001</v>
      </c>
      <c r="AG45" s="61">
        <v>1316.4930420000001</v>
      </c>
      <c r="AH45" s="61">
        <v>1328.27478</v>
      </c>
      <c r="AI45" s="61">
        <v>1344.4632570000001</v>
      </c>
      <c r="AJ45" s="61">
        <v>1362.2771</v>
      </c>
      <c r="AK45" s="62">
        <v>8.9580000000000007E-3</v>
      </c>
    </row>
    <row r="46" spans="1:37" ht="15" customHeight="1" x14ac:dyDescent="0.2">
      <c r="A46" s="57" t="s">
        <v>743</v>
      </c>
      <c r="B46" s="60" t="s">
        <v>707</v>
      </c>
      <c r="C46" s="61">
        <v>209.837234</v>
      </c>
      <c r="D46" s="61">
        <v>214.50366199999999</v>
      </c>
      <c r="E46" s="61">
        <v>218.97323600000001</v>
      </c>
      <c r="F46" s="61">
        <v>223.272156</v>
      </c>
      <c r="G46" s="61">
        <v>227.391739</v>
      </c>
      <c r="H46" s="61">
        <v>231.308212</v>
      </c>
      <c r="I46" s="61">
        <v>234.97541799999999</v>
      </c>
      <c r="J46" s="61">
        <v>238.386719</v>
      </c>
      <c r="K46" s="61">
        <v>240.553741</v>
      </c>
      <c r="L46" s="61">
        <v>243.38324</v>
      </c>
      <c r="M46" s="61">
        <v>245.84494000000001</v>
      </c>
      <c r="N46" s="61">
        <v>247.89111299999999</v>
      </c>
      <c r="O46" s="61">
        <v>249.984375</v>
      </c>
      <c r="P46" s="61">
        <v>256.17126500000001</v>
      </c>
      <c r="Q46" s="61">
        <v>264.96478300000001</v>
      </c>
      <c r="R46" s="61">
        <v>270.07568400000002</v>
      </c>
      <c r="S46" s="61">
        <v>280.44961499999999</v>
      </c>
      <c r="T46" s="61">
        <v>290.647491</v>
      </c>
      <c r="U46" s="61">
        <v>300.86203</v>
      </c>
      <c r="V46" s="61">
        <v>311.10580399999998</v>
      </c>
      <c r="W46" s="61">
        <v>321.60574300000002</v>
      </c>
      <c r="X46" s="61">
        <v>332.20992999999999</v>
      </c>
      <c r="Y46" s="61">
        <v>343.07543900000002</v>
      </c>
      <c r="Z46" s="61">
        <v>351.47152699999998</v>
      </c>
      <c r="AA46" s="61">
        <v>362.87756300000001</v>
      </c>
      <c r="AB46" s="61">
        <v>374.55166600000001</v>
      </c>
      <c r="AC46" s="61">
        <v>386.48288000000002</v>
      </c>
      <c r="AD46" s="61">
        <v>398.76312300000001</v>
      </c>
      <c r="AE46" s="61">
        <v>411.34954800000003</v>
      </c>
      <c r="AF46" s="61">
        <v>424.23852499999998</v>
      </c>
      <c r="AG46" s="61">
        <v>437.33651700000001</v>
      </c>
      <c r="AH46" s="61">
        <v>450.85098299999999</v>
      </c>
      <c r="AI46" s="61">
        <v>464.94073500000002</v>
      </c>
      <c r="AJ46" s="61">
        <v>479.79397599999999</v>
      </c>
      <c r="AK46" s="62">
        <v>2.5475999999999999E-2</v>
      </c>
    </row>
    <row r="47" spans="1:37" ht="15" customHeight="1" x14ac:dyDescent="0.2">
      <c r="A47" s="57" t="s">
        <v>744</v>
      </c>
      <c r="B47" s="60" t="s">
        <v>709</v>
      </c>
      <c r="C47" s="61">
        <v>408.297821</v>
      </c>
      <c r="D47" s="61">
        <v>417.48492399999998</v>
      </c>
      <c r="E47" s="61">
        <v>426.53250100000002</v>
      </c>
      <c r="F47" s="61">
        <v>435.43975799999998</v>
      </c>
      <c r="G47" s="61">
        <v>444.12249800000001</v>
      </c>
      <c r="H47" s="61">
        <v>452.54672199999999</v>
      </c>
      <c r="I47" s="61">
        <v>460.71710200000001</v>
      </c>
      <c r="J47" s="61">
        <v>468.64599600000003</v>
      </c>
      <c r="K47" s="61">
        <v>476.32870500000001</v>
      </c>
      <c r="L47" s="61">
        <v>483.75762900000001</v>
      </c>
      <c r="M47" s="61">
        <v>490.63723800000002</v>
      </c>
      <c r="N47" s="61">
        <v>496.96810900000003</v>
      </c>
      <c r="O47" s="61">
        <v>501.08932499999997</v>
      </c>
      <c r="P47" s="61">
        <v>508.101471</v>
      </c>
      <c r="Q47" s="61">
        <v>515.215149</v>
      </c>
      <c r="R47" s="61">
        <v>522.91662599999995</v>
      </c>
      <c r="S47" s="61">
        <v>529.70184300000005</v>
      </c>
      <c r="T47" s="61">
        <v>535.66210899999999</v>
      </c>
      <c r="U47" s="61">
        <v>540.74237100000005</v>
      </c>
      <c r="V47" s="61">
        <v>538.41687000000002</v>
      </c>
      <c r="W47" s="61">
        <v>545.837219</v>
      </c>
      <c r="X47" s="61">
        <v>552.35125700000003</v>
      </c>
      <c r="Y47" s="61">
        <v>558.89898700000003</v>
      </c>
      <c r="Z47" s="61">
        <v>566.43646200000001</v>
      </c>
      <c r="AA47" s="61">
        <v>575.92724599999997</v>
      </c>
      <c r="AB47" s="61">
        <v>584.43090800000004</v>
      </c>
      <c r="AC47" s="61">
        <v>591.86218299999996</v>
      </c>
      <c r="AD47" s="61">
        <v>598.23944100000006</v>
      </c>
      <c r="AE47" s="61">
        <v>606.54113800000005</v>
      </c>
      <c r="AF47" s="61">
        <v>612.73980700000004</v>
      </c>
      <c r="AG47" s="61">
        <v>619.79949999999997</v>
      </c>
      <c r="AH47" s="61">
        <v>622.707581</v>
      </c>
      <c r="AI47" s="61">
        <v>627.49224900000002</v>
      </c>
      <c r="AJ47" s="61">
        <v>633.17022699999995</v>
      </c>
      <c r="AK47" s="62">
        <v>1.3100000000000001E-2</v>
      </c>
    </row>
    <row r="48" spans="1:37" ht="15" customHeight="1" x14ac:dyDescent="0.2">
      <c r="A48" s="57" t="s">
        <v>745</v>
      </c>
      <c r="B48" s="60" t="s">
        <v>746</v>
      </c>
      <c r="C48" s="61">
        <v>3803.5832519999999</v>
      </c>
      <c r="D48" s="61">
        <v>4216.2641599999997</v>
      </c>
      <c r="E48" s="61">
        <v>4652.0673829999996</v>
      </c>
      <c r="F48" s="61">
        <v>5110.8017579999996</v>
      </c>
      <c r="G48" s="61">
        <v>5585.4775390000004</v>
      </c>
      <c r="H48" s="61">
        <v>6084.2148440000001</v>
      </c>
      <c r="I48" s="61">
        <v>6572.0180659999996</v>
      </c>
      <c r="J48" s="61">
        <v>7081.408203</v>
      </c>
      <c r="K48" s="61">
        <v>7614.5078119999998</v>
      </c>
      <c r="L48" s="61">
        <v>8153.8632809999999</v>
      </c>
      <c r="M48" s="61">
        <v>8732.9394530000009</v>
      </c>
      <c r="N48" s="61">
        <v>9311.3466800000006</v>
      </c>
      <c r="O48" s="61">
        <v>9935.1699219999991</v>
      </c>
      <c r="P48" s="61">
        <v>10576.15625</v>
      </c>
      <c r="Q48" s="61">
        <v>11203.165039</v>
      </c>
      <c r="R48" s="61">
        <v>11851.530273</v>
      </c>
      <c r="S48" s="61">
        <v>12532.708008</v>
      </c>
      <c r="T48" s="61">
        <v>13222.043944999999</v>
      </c>
      <c r="U48" s="61">
        <v>13935.317383</v>
      </c>
      <c r="V48" s="61">
        <v>14668.458984000001</v>
      </c>
      <c r="W48" s="61">
        <v>15420.896484000001</v>
      </c>
      <c r="X48" s="61">
        <v>16193.955078000001</v>
      </c>
      <c r="Y48" s="61">
        <v>16969.734375</v>
      </c>
      <c r="Z48" s="61">
        <v>17684.958984000001</v>
      </c>
      <c r="AA48" s="61">
        <v>18484.921875</v>
      </c>
      <c r="AB48" s="61">
        <v>19271.332031000002</v>
      </c>
      <c r="AC48" s="61">
        <v>20093.810547000001</v>
      </c>
      <c r="AD48" s="61">
        <v>20880.982422000001</v>
      </c>
      <c r="AE48" s="61">
        <v>21714.992188</v>
      </c>
      <c r="AF48" s="61">
        <v>22505.863281000002</v>
      </c>
      <c r="AG48" s="61">
        <v>23332.845702999999</v>
      </c>
      <c r="AH48" s="61">
        <v>24161.570312</v>
      </c>
      <c r="AI48" s="61">
        <v>24990.556640999999</v>
      </c>
      <c r="AJ48" s="61">
        <v>25816.9375</v>
      </c>
      <c r="AK48" s="62">
        <v>5.8262000000000001E-2</v>
      </c>
    </row>
    <row r="49" spans="1:37" ht="15" customHeight="1" x14ac:dyDescent="0.2">
      <c r="A49" s="57" t="s">
        <v>747</v>
      </c>
      <c r="B49" s="60" t="s">
        <v>705</v>
      </c>
      <c r="C49" s="61">
        <v>2910.6538089999999</v>
      </c>
      <c r="D49" s="61">
        <v>3234.766846</v>
      </c>
      <c r="E49" s="61">
        <v>3577.360107</v>
      </c>
      <c r="F49" s="61">
        <v>3938.3286130000001</v>
      </c>
      <c r="G49" s="61">
        <v>4317.5356449999999</v>
      </c>
      <c r="H49" s="61">
        <v>4709.1152339999999</v>
      </c>
      <c r="I49" s="61">
        <v>5101.1967770000001</v>
      </c>
      <c r="J49" s="61">
        <v>5511.0297849999997</v>
      </c>
      <c r="K49" s="61">
        <v>5940.888672</v>
      </c>
      <c r="L49" s="61">
        <v>6390.408203</v>
      </c>
      <c r="M49" s="61">
        <v>6858.4506840000004</v>
      </c>
      <c r="N49" s="61">
        <v>7345.0073240000002</v>
      </c>
      <c r="O49" s="61">
        <v>7849.751953</v>
      </c>
      <c r="P49" s="61">
        <v>8371.6982420000004</v>
      </c>
      <c r="Q49" s="61">
        <v>8896.1210940000001</v>
      </c>
      <c r="R49" s="61">
        <v>9437.3867190000001</v>
      </c>
      <c r="S49" s="61">
        <v>9995.8525389999995</v>
      </c>
      <c r="T49" s="61">
        <v>10570.341796999999</v>
      </c>
      <c r="U49" s="61">
        <v>11162.499023</v>
      </c>
      <c r="V49" s="61">
        <v>11769.097656</v>
      </c>
      <c r="W49" s="61">
        <v>12389.739258</v>
      </c>
      <c r="X49" s="61">
        <v>13025.659180000001</v>
      </c>
      <c r="Y49" s="61">
        <v>13658.46875</v>
      </c>
      <c r="Z49" s="61">
        <v>14258.640625</v>
      </c>
      <c r="AA49" s="61">
        <v>14904.350586</v>
      </c>
      <c r="AB49" s="61">
        <v>15558.594727</v>
      </c>
      <c r="AC49" s="61">
        <v>16217.874023</v>
      </c>
      <c r="AD49" s="61">
        <v>16879.830077999999</v>
      </c>
      <c r="AE49" s="61">
        <v>17544.878906000002</v>
      </c>
      <c r="AF49" s="61">
        <v>18211.613281000002</v>
      </c>
      <c r="AG49" s="61">
        <v>18882.671875</v>
      </c>
      <c r="AH49" s="61">
        <v>19552.771484000001</v>
      </c>
      <c r="AI49" s="61">
        <v>20220.951172000001</v>
      </c>
      <c r="AJ49" s="61">
        <v>20888.732422000001</v>
      </c>
      <c r="AK49" s="62">
        <v>6.0021999999999999E-2</v>
      </c>
    </row>
    <row r="50" spans="1:37" ht="15" customHeight="1" x14ac:dyDescent="0.2">
      <c r="A50" s="57" t="s">
        <v>748</v>
      </c>
      <c r="B50" s="60" t="s">
        <v>707</v>
      </c>
      <c r="C50" s="61">
        <v>648.84509300000002</v>
      </c>
      <c r="D50" s="61">
        <v>716.34777799999995</v>
      </c>
      <c r="E50" s="61">
        <v>787.495544</v>
      </c>
      <c r="F50" s="61">
        <v>862.22198500000002</v>
      </c>
      <c r="G50" s="61">
        <v>933.672729</v>
      </c>
      <c r="H50" s="61">
        <v>1015.7366940000001</v>
      </c>
      <c r="I50" s="61">
        <v>1085.358643</v>
      </c>
      <c r="J50" s="61">
        <v>1157.758789</v>
      </c>
      <c r="K50" s="61">
        <v>1232.81897</v>
      </c>
      <c r="L50" s="61">
        <v>1293.5363769999999</v>
      </c>
      <c r="M50" s="61">
        <v>1374.513794</v>
      </c>
      <c r="N50" s="61">
        <v>1435.349976</v>
      </c>
      <c r="O50" s="61">
        <v>1522.4910890000001</v>
      </c>
      <c r="P50" s="61">
        <v>1608.745361</v>
      </c>
      <c r="Q50" s="61">
        <v>1677.735962</v>
      </c>
      <c r="R50" s="61">
        <v>1750.4704589999999</v>
      </c>
      <c r="S50" s="61">
        <v>1838.0153809999999</v>
      </c>
      <c r="T50" s="61">
        <v>1917.9073490000001</v>
      </c>
      <c r="U50" s="61">
        <v>2002.30249</v>
      </c>
      <c r="V50" s="61">
        <v>2091.3635250000002</v>
      </c>
      <c r="W50" s="61">
        <v>2184.9291990000002</v>
      </c>
      <c r="X50" s="61">
        <v>2283.0825199999999</v>
      </c>
      <c r="Y50" s="61">
        <v>2386.3359380000002</v>
      </c>
      <c r="Z50" s="61">
        <v>2461.0258789999998</v>
      </c>
      <c r="AA50" s="61">
        <v>2574.2272950000001</v>
      </c>
      <c r="AB50" s="61">
        <v>2664.6586910000001</v>
      </c>
      <c r="AC50" s="61">
        <v>2785.4204100000002</v>
      </c>
      <c r="AD50" s="61">
        <v>2867.483154</v>
      </c>
      <c r="AE50" s="61">
        <v>2992.5742190000001</v>
      </c>
      <c r="AF50" s="61">
        <v>3072.110596</v>
      </c>
      <c r="AG50" s="61">
        <v>3184.7951659999999</v>
      </c>
      <c r="AH50" s="61">
        <v>3278.1171880000002</v>
      </c>
      <c r="AI50" s="61">
        <v>3360.47876</v>
      </c>
      <c r="AJ50" s="61">
        <v>3441.3718260000001</v>
      </c>
      <c r="AK50" s="62">
        <v>5.0268E-2</v>
      </c>
    </row>
    <row r="51" spans="1:37" ht="15" customHeight="1" x14ac:dyDescent="0.2">
      <c r="A51" s="57" t="s">
        <v>749</v>
      </c>
      <c r="B51" s="60" t="s">
        <v>709</v>
      </c>
      <c r="C51" s="61">
        <v>244.084137</v>
      </c>
      <c r="D51" s="61">
        <v>265.149475</v>
      </c>
      <c r="E51" s="61">
        <v>287.211975</v>
      </c>
      <c r="F51" s="61">
        <v>310.25073200000003</v>
      </c>
      <c r="G51" s="61">
        <v>334.26925699999998</v>
      </c>
      <c r="H51" s="61">
        <v>359.36267099999998</v>
      </c>
      <c r="I51" s="61">
        <v>385.46246300000001</v>
      </c>
      <c r="J51" s="61">
        <v>412.619507</v>
      </c>
      <c r="K51" s="61">
        <v>440.80041499999999</v>
      </c>
      <c r="L51" s="61">
        <v>469.91888399999999</v>
      </c>
      <c r="M51" s="61">
        <v>499.97442599999999</v>
      </c>
      <c r="N51" s="61">
        <v>530.98919699999999</v>
      </c>
      <c r="O51" s="61">
        <v>562.92663600000003</v>
      </c>
      <c r="P51" s="61">
        <v>595.71289100000001</v>
      </c>
      <c r="Q51" s="61">
        <v>629.30780000000004</v>
      </c>
      <c r="R51" s="61">
        <v>663.67279099999996</v>
      </c>
      <c r="S51" s="61">
        <v>698.840149</v>
      </c>
      <c r="T51" s="61">
        <v>733.79528800000003</v>
      </c>
      <c r="U51" s="61">
        <v>770.51605199999995</v>
      </c>
      <c r="V51" s="61">
        <v>807.99804700000004</v>
      </c>
      <c r="W51" s="61">
        <v>846.22900400000003</v>
      </c>
      <c r="X51" s="61">
        <v>885.21319600000004</v>
      </c>
      <c r="Y51" s="61">
        <v>924.93029799999999</v>
      </c>
      <c r="Z51" s="61">
        <v>965.29370100000006</v>
      </c>
      <c r="AA51" s="61">
        <v>1006.342957</v>
      </c>
      <c r="AB51" s="61">
        <v>1048.078491</v>
      </c>
      <c r="AC51" s="61">
        <v>1090.5153809999999</v>
      </c>
      <c r="AD51" s="61">
        <v>1133.669922</v>
      </c>
      <c r="AE51" s="61">
        <v>1177.5397949999999</v>
      </c>
      <c r="AF51" s="61">
        <v>1222.1383060000001</v>
      </c>
      <c r="AG51" s="61">
        <v>1265.3795170000001</v>
      </c>
      <c r="AH51" s="61">
        <v>1330.6820070000001</v>
      </c>
      <c r="AI51" s="61">
        <v>1409.126831</v>
      </c>
      <c r="AJ51" s="61">
        <v>1486.8332519999999</v>
      </c>
      <c r="AK51" s="62">
        <v>5.5356000000000002E-2</v>
      </c>
    </row>
    <row r="52" spans="1:37" ht="15" customHeight="1" x14ac:dyDescent="0.2">
      <c r="A52" s="57" t="s">
        <v>750</v>
      </c>
      <c r="B52" s="60" t="s">
        <v>751</v>
      </c>
      <c r="C52" s="61">
        <v>1073.529297</v>
      </c>
      <c r="D52" s="61">
        <v>1139.967529</v>
      </c>
      <c r="E52" s="61">
        <v>1206.746582</v>
      </c>
      <c r="F52" s="61">
        <v>1273.2727050000001</v>
      </c>
      <c r="G52" s="61">
        <v>1339.828857</v>
      </c>
      <c r="H52" s="61">
        <v>1405.7633060000001</v>
      </c>
      <c r="I52" s="61">
        <v>1471.2232670000001</v>
      </c>
      <c r="J52" s="61">
        <v>1537.129639</v>
      </c>
      <c r="K52" s="61">
        <v>1602.3081050000001</v>
      </c>
      <c r="L52" s="61">
        <v>1666.5920410000001</v>
      </c>
      <c r="M52" s="61">
        <v>1729.8450929999999</v>
      </c>
      <c r="N52" s="61">
        <v>1792.087524</v>
      </c>
      <c r="O52" s="61">
        <v>1853.1607670000001</v>
      </c>
      <c r="P52" s="61">
        <v>1912.8673100000001</v>
      </c>
      <c r="Q52" s="61">
        <v>1970.9219969999999</v>
      </c>
      <c r="R52" s="61">
        <v>2027.3603519999999</v>
      </c>
      <c r="S52" s="61">
        <v>2081.8984380000002</v>
      </c>
      <c r="T52" s="61">
        <v>2134.6098630000001</v>
      </c>
      <c r="U52" s="61">
        <v>2185.525635</v>
      </c>
      <c r="V52" s="61">
        <v>2234.701904</v>
      </c>
      <c r="W52" s="61">
        <v>2282.294922</v>
      </c>
      <c r="X52" s="61">
        <v>2328.1831050000001</v>
      </c>
      <c r="Y52" s="61">
        <v>2372.1232909999999</v>
      </c>
      <c r="Z52" s="61">
        <v>2413.9873050000001</v>
      </c>
      <c r="AA52" s="61">
        <v>2454.2172850000002</v>
      </c>
      <c r="AB52" s="61">
        <v>2492.7463379999999</v>
      </c>
      <c r="AC52" s="61">
        <v>2528.6291500000002</v>
      </c>
      <c r="AD52" s="61">
        <v>2563.6809079999998</v>
      </c>
      <c r="AE52" s="61">
        <v>2597.017578</v>
      </c>
      <c r="AF52" s="61">
        <v>2628.3947750000002</v>
      </c>
      <c r="AG52" s="61">
        <v>2657.6899410000001</v>
      </c>
      <c r="AH52" s="61">
        <v>2685.1108399999998</v>
      </c>
      <c r="AI52" s="61">
        <v>2710.9626459999999</v>
      </c>
      <c r="AJ52" s="61">
        <v>2734.8364259999998</v>
      </c>
      <c r="AK52" s="62">
        <v>2.7723000000000001E-2</v>
      </c>
    </row>
    <row r="53" spans="1:37" ht="15" customHeight="1" x14ac:dyDescent="0.2">
      <c r="A53" s="57" t="s">
        <v>752</v>
      </c>
      <c r="B53" s="60" t="s">
        <v>705</v>
      </c>
      <c r="C53" s="61">
        <v>469.40670799999998</v>
      </c>
      <c r="D53" s="61">
        <v>502.40566999999999</v>
      </c>
      <c r="E53" s="61">
        <v>535.76355000000001</v>
      </c>
      <c r="F53" s="61">
        <v>569.21246299999996</v>
      </c>
      <c r="G53" s="61">
        <v>602.90325900000005</v>
      </c>
      <c r="H53" s="61">
        <v>636.29235800000004</v>
      </c>
      <c r="I53" s="61">
        <v>669.60272199999997</v>
      </c>
      <c r="J53" s="61">
        <v>703.92553699999996</v>
      </c>
      <c r="K53" s="61">
        <v>738.25152600000001</v>
      </c>
      <c r="L53" s="61">
        <v>772.50585899999999</v>
      </c>
      <c r="M53" s="61">
        <v>806.58007799999996</v>
      </c>
      <c r="N53" s="61">
        <v>840.44317599999999</v>
      </c>
      <c r="O53" s="61">
        <v>874.03424099999995</v>
      </c>
      <c r="P53" s="61">
        <v>907.24713099999997</v>
      </c>
      <c r="Q53" s="61">
        <v>939.86187700000005</v>
      </c>
      <c r="R53" s="61">
        <v>971.94665499999996</v>
      </c>
      <c r="S53" s="61">
        <v>1003.194641</v>
      </c>
      <c r="T53" s="61">
        <v>1033.6396480000001</v>
      </c>
      <c r="U53" s="61">
        <v>1063.181763</v>
      </c>
      <c r="V53" s="61">
        <v>1091.725952</v>
      </c>
      <c r="W53" s="61">
        <v>1119.365845</v>
      </c>
      <c r="X53" s="61">
        <v>1145.9754640000001</v>
      </c>
      <c r="Y53" s="61">
        <v>1171.3955080000001</v>
      </c>
      <c r="Z53" s="61">
        <v>1195.48938</v>
      </c>
      <c r="AA53" s="61">
        <v>1218.630371</v>
      </c>
      <c r="AB53" s="61">
        <v>1240.746948</v>
      </c>
      <c r="AC53" s="61">
        <v>1261.88501</v>
      </c>
      <c r="AD53" s="61">
        <v>1281.8442379999999</v>
      </c>
      <c r="AE53" s="61">
        <v>1300.767578</v>
      </c>
      <c r="AF53" s="61">
        <v>1318.436768</v>
      </c>
      <c r="AG53" s="61">
        <v>1334.7418210000001</v>
      </c>
      <c r="AH53" s="61">
        <v>1349.8826899999999</v>
      </c>
      <c r="AI53" s="61">
        <v>1364.0974120000001</v>
      </c>
      <c r="AJ53" s="61">
        <v>1376.913452</v>
      </c>
      <c r="AK53" s="62">
        <v>3.2008000000000002E-2</v>
      </c>
    </row>
    <row r="54" spans="1:37" ht="15" customHeight="1" x14ac:dyDescent="0.2">
      <c r="A54" s="57" t="s">
        <v>753</v>
      </c>
      <c r="B54" s="60" t="s">
        <v>707</v>
      </c>
      <c r="C54" s="61">
        <v>493.83142099999998</v>
      </c>
      <c r="D54" s="61">
        <v>521.944885</v>
      </c>
      <c r="E54" s="61">
        <v>550.05743399999994</v>
      </c>
      <c r="F54" s="61">
        <v>577.89855999999997</v>
      </c>
      <c r="G54" s="61">
        <v>605.57928500000003</v>
      </c>
      <c r="H54" s="61">
        <v>633.01238999999998</v>
      </c>
      <c r="I54" s="61">
        <v>660.14031999999997</v>
      </c>
      <c r="J54" s="61">
        <v>686.80395499999997</v>
      </c>
      <c r="K54" s="61">
        <v>712.85314900000003</v>
      </c>
      <c r="L54" s="61">
        <v>738.20996100000002</v>
      </c>
      <c r="M54" s="61">
        <v>762.85906999999997</v>
      </c>
      <c r="N54" s="61">
        <v>786.86163299999998</v>
      </c>
      <c r="O54" s="61">
        <v>810.131531</v>
      </c>
      <c r="P54" s="61">
        <v>832.59283400000004</v>
      </c>
      <c r="Q54" s="61">
        <v>854.19750999999997</v>
      </c>
      <c r="R54" s="61">
        <v>874.91931199999999</v>
      </c>
      <c r="S54" s="61">
        <v>894.78045699999996</v>
      </c>
      <c r="T54" s="61">
        <v>913.82043499999997</v>
      </c>
      <c r="U54" s="61">
        <v>932.168091</v>
      </c>
      <c r="V54" s="61">
        <v>949.98010299999999</v>
      </c>
      <c r="W54" s="61">
        <v>967.31426999999996</v>
      </c>
      <c r="X54" s="61">
        <v>984.16107199999999</v>
      </c>
      <c r="Y54" s="61">
        <v>1000.41394</v>
      </c>
      <c r="Z54" s="61">
        <v>1016.061462</v>
      </c>
      <c r="AA54" s="61">
        <v>1031.1560059999999</v>
      </c>
      <c r="AB54" s="61">
        <v>1045.694702</v>
      </c>
      <c r="AC54" s="61">
        <v>1059.6751710000001</v>
      </c>
      <c r="AD54" s="61">
        <v>1073.094482</v>
      </c>
      <c r="AE54" s="61">
        <v>1085.9097899999999</v>
      </c>
      <c r="AF54" s="61">
        <v>1098.0706789999999</v>
      </c>
      <c r="AG54" s="61">
        <v>1109.5379640000001</v>
      </c>
      <c r="AH54" s="61">
        <v>1120.3092039999999</v>
      </c>
      <c r="AI54" s="61">
        <v>1130.4525149999999</v>
      </c>
      <c r="AJ54" s="61">
        <v>1140.029419</v>
      </c>
      <c r="AK54" s="62">
        <v>2.4714E-2</v>
      </c>
    </row>
    <row r="55" spans="1:37" ht="15" customHeight="1" x14ac:dyDescent="0.2">
      <c r="A55" s="57" t="s">
        <v>754</v>
      </c>
      <c r="B55" s="60" t="s">
        <v>709</v>
      </c>
      <c r="C55" s="61">
        <v>110.291077</v>
      </c>
      <c r="D55" s="61">
        <v>115.61694300000001</v>
      </c>
      <c r="E55" s="61">
        <v>120.925545</v>
      </c>
      <c r="F55" s="61">
        <v>126.161568</v>
      </c>
      <c r="G55" s="61">
        <v>131.34625199999999</v>
      </c>
      <c r="H55" s="61">
        <v>136.458664</v>
      </c>
      <c r="I55" s="61">
        <v>141.48019400000001</v>
      </c>
      <c r="J55" s="61">
        <v>146.400116</v>
      </c>
      <c r="K55" s="61">
        <v>151.203384</v>
      </c>
      <c r="L55" s="61">
        <v>155.87616</v>
      </c>
      <c r="M55" s="61">
        <v>160.405914</v>
      </c>
      <c r="N55" s="61">
        <v>164.78270000000001</v>
      </c>
      <c r="O55" s="61">
        <v>168.99496500000001</v>
      </c>
      <c r="P55" s="61">
        <v>173.02737400000001</v>
      </c>
      <c r="Q55" s="61">
        <v>176.86264</v>
      </c>
      <c r="R55" s="61">
        <v>180.49444600000001</v>
      </c>
      <c r="S55" s="61">
        <v>183.923416</v>
      </c>
      <c r="T55" s="61">
        <v>187.14982599999999</v>
      </c>
      <c r="U55" s="61">
        <v>190.17567399999999</v>
      </c>
      <c r="V55" s="61">
        <v>192.995926</v>
      </c>
      <c r="W55" s="61">
        <v>195.614868</v>
      </c>
      <c r="X55" s="61">
        <v>198.046539</v>
      </c>
      <c r="Y55" s="61">
        <v>200.31366</v>
      </c>
      <c r="Z55" s="61">
        <v>202.436508</v>
      </c>
      <c r="AA55" s="61">
        <v>204.43083200000001</v>
      </c>
      <c r="AB55" s="61">
        <v>206.304779</v>
      </c>
      <c r="AC55" s="61">
        <v>207.06918300000001</v>
      </c>
      <c r="AD55" s="61">
        <v>208.742233</v>
      </c>
      <c r="AE55" s="61">
        <v>210.340363</v>
      </c>
      <c r="AF55" s="61">
        <v>211.88751199999999</v>
      </c>
      <c r="AG55" s="61">
        <v>213.41017199999999</v>
      </c>
      <c r="AH55" s="61">
        <v>214.91892999999999</v>
      </c>
      <c r="AI55" s="61">
        <v>216.412903</v>
      </c>
      <c r="AJ55" s="61">
        <v>217.89359999999999</v>
      </c>
      <c r="AK55" s="62">
        <v>2.0001000000000001E-2</v>
      </c>
    </row>
    <row r="56" spans="1:37" ht="15" customHeight="1" x14ac:dyDescent="0.2">
      <c r="A56" s="57" t="s">
        <v>755</v>
      </c>
      <c r="B56" s="60" t="s">
        <v>756</v>
      </c>
      <c r="C56" s="61">
        <v>2455.9228520000001</v>
      </c>
      <c r="D56" s="61">
        <v>2676.7683109999998</v>
      </c>
      <c r="E56" s="61">
        <v>2907.726807</v>
      </c>
      <c r="F56" s="61">
        <v>3147.8520509999998</v>
      </c>
      <c r="G56" s="61">
        <v>3397.4064939999998</v>
      </c>
      <c r="H56" s="61">
        <v>3657.1701659999999</v>
      </c>
      <c r="I56" s="61">
        <v>3927.7646479999999</v>
      </c>
      <c r="J56" s="61">
        <v>4209.6123049999997</v>
      </c>
      <c r="K56" s="61">
        <v>4502.0869140000004</v>
      </c>
      <c r="L56" s="61">
        <v>4804.8491210000002</v>
      </c>
      <c r="M56" s="61">
        <v>5118.8378910000001</v>
      </c>
      <c r="N56" s="61">
        <v>5445.6098629999997</v>
      </c>
      <c r="O56" s="61">
        <v>5784.7734380000002</v>
      </c>
      <c r="P56" s="61">
        <v>6137.029297</v>
      </c>
      <c r="Q56" s="61">
        <v>6500.0400390000004</v>
      </c>
      <c r="R56" s="61">
        <v>6873.9721680000002</v>
      </c>
      <c r="S56" s="61">
        <v>7261.7158200000003</v>
      </c>
      <c r="T56" s="61">
        <v>7662.2182620000003</v>
      </c>
      <c r="U56" s="61">
        <v>8077.1000979999999</v>
      </c>
      <c r="V56" s="61">
        <v>8506.0205079999996</v>
      </c>
      <c r="W56" s="61">
        <v>8948.1611329999996</v>
      </c>
      <c r="X56" s="61">
        <v>9402.7832030000009</v>
      </c>
      <c r="Y56" s="61">
        <v>9874.1738280000009</v>
      </c>
      <c r="Z56" s="61">
        <v>10358.449219</v>
      </c>
      <c r="AA56" s="61">
        <v>10857.279296999999</v>
      </c>
      <c r="AB56" s="61">
        <v>11369.658203000001</v>
      </c>
      <c r="AC56" s="61">
        <v>11893.966796999999</v>
      </c>
      <c r="AD56" s="61">
        <v>12428.986328000001</v>
      </c>
      <c r="AE56" s="61">
        <v>12975.392578000001</v>
      </c>
      <c r="AF56" s="61">
        <v>13531.023438</v>
      </c>
      <c r="AG56" s="61">
        <v>14097.841796999999</v>
      </c>
      <c r="AH56" s="61">
        <v>14672.125</v>
      </c>
      <c r="AI56" s="61">
        <v>15257.526367</v>
      </c>
      <c r="AJ56" s="61">
        <v>15854.038086</v>
      </c>
      <c r="AK56" s="62">
        <v>5.7161999999999998E-2</v>
      </c>
    </row>
    <row r="57" spans="1:37" ht="15" customHeight="1" x14ac:dyDescent="0.2">
      <c r="A57" s="57" t="s">
        <v>757</v>
      </c>
      <c r="B57" s="60" t="s">
        <v>705</v>
      </c>
      <c r="C57" s="61">
        <v>1374.3798830000001</v>
      </c>
      <c r="D57" s="61">
        <v>1508.306519</v>
      </c>
      <c r="E57" s="61">
        <v>1648.9857179999999</v>
      </c>
      <c r="F57" s="61">
        <v>1795.5273440000001</v>
      </c>
      <c r="G57" s="61">
        <v>1948.143311</v>
      </c>
      <c r="H57" s="61">
        <v>2107.3854980000001</v>
      </c>
      <c r="I57" s="61">
        <v>2273.7451169999999</v>
      </c>
      <c r="J57" s="61">
        <v>2447.5520019999999</v>
      </c>
      <c r="K57" s="61">
        <v>2628.6545409999999</v>
      </c>
      <c r="L57" s="61">
        <v>2816.288086</v>
      </c>
      <c r="M57" s="61">
        <v>3010.892578</v>
      </c>
      <c r="N57" s="61">
        <v>3214.5317380000001</v>
      </c>
      <c r="O57" s="61">
        <v>3426.3620609999998</v>
      </c>
      <c r="P57" s="61">
        <v>3647.7080080000001</v>
      </c>
      <c r="Q57" s="61">
        <v>3876.7856449999999</v>
      </c>
      <c r="R57" s="61">
        <v>4113.7329099999997</v>
      </c>
      <c r="S57" s="61">
        <v>4359.2773440000001</v>
      </c>
      <c r="T57" s="61">
        <v>4611.9746089999999</v>
      </c>
      <c r="U57" s="61">
        <v>4875.7880859999996</v>
      </c>
      <c r="V57" s="61">
        <v>5148.3583980000003</v>
      </c>
      <c r="W57" s="61">
        <v>5430.0834960000002</v>
      </c>
      <c r="X57" s="61">
        <v>5721.0595700000003</v>
      </c>
      <c r="Y57" s="61">
        <v>6020.9594729999999</v>
      </c>
      <c r="Z57" s="61">
        <v>6329.7939450000003</v>
      </c>
      <c r="AA57" s="61">
        <v>6647.3676759999998</v>
      </c>
      <c r="AB57" s="61">
        <v>6972.8486329999996</v>
      </c>
      <c r="AC57" s="61">
        <v>7305.3813479999999</v>
      </c>
      <c r="AD57" s="61">
        <v>7644.3662109999996</v>
      </c>
      <c r="AE57" s="61">
        <v>7989.6860349999997</v>
      </c>
      <c r="AF57" s="61">
        <v>8340.8476559999999</v>
      </c>
      <c r="AG57" s="61">
        <v>8697.5888670000004</v>
      </c>
      <c r="AH57" s="61">
        <v>9059.6328119999998</v>
      </c>
      <c r="AI57" s="61">
        <v>9427.5029300000006</v>
      </c>
      <c r="AJ57" s="61">
        <v>9801.1337889999995</v>
      </c>
      <c r="AK57" s="62">
        <v>6.0228999999999998E-2</v>
      </c>
    </row>
    <row r="58" spans="1:37" ht="15" customHeight="1" x14ac:dyDescent="0.2">
      <c r="A58" s="57" t="s">
        <v>758</v>
      </c>
      <c r="B58" s="60" t="s">
        <v>707</v>
      </c>
      <c r="C58" s="61">
        <v>615.89868200000001</v>
      </c>
      <c r="D58" s="61">
        <v>667.83630400000004</v>
      </c>
      <c r="E58" s="61">
        <v>721.82281499999999</v>
      </c>
      <c r="F58" s="61">
        <v>777.84899900000005</v>
      </c>
      <c r="G58" s="61">
        <v>835.94671600000004</v>
      </c>
      <c r="H58" s="61">
        <v>896.24804700000004</v>
      </c>
      <c r="I58" s="61">
        <v>958.81378199999995</v>
      </c>
      <c r="J58" s="61">
        <v>1023.674927</v>
      </c>
      <c r="K58" s="61">
        <v>1090.7364500000001</v>
      </c>
      <c r="L58" s="61">
        <v>1159.9880370000001</v>
      </c>
      <c r="M58" s="61">
        <v>1231.5039059999999</v>
      </c>
      <c r="N58" s="61">
        <v>1305.322388</v>
      </c>
      <c r="O58" s="61">
        <v>1381.4105219999999</v>
      </c>
      <c r="P58" s="61">
        <v>1459.6557620000001</v>
      </c>
      <c r="Q58" s="61">
        <v>1539.9567870000001</v>
      </c>
      <c r="R58" s="61">
        <v>1622.1655270000001</v>
      </c>
      <c r="S58" s="61">
        <v>1705.3682859999999</v>
      </c>
      <c r="T58" s="61">
        <v>1791.7039789999999</v>
      </c>
      <c r="U58" s="61">
        <v>1880.285889</v>
      </c>
      <c r="V58" s="61">
        <v>1971.286987</v>
      </c>
      <c r="W58" s="61">
        <v>2064.9128420000002</v>
      </c>
      <c r="X58" s="61">
        <v>2159.3459469999998</v>
      </c>
      <c r="Y58" s="61">
        <v>2258.8688959999999</v>
      </c>
      <c r="Z58" s="61">
        <v>2360.5209960000002</v>
      </c>
      <c r="AA58" s="61">
        <v>2466.3532709999999</v>
      </c>
      <c r="AB58" s="61">
        <v>2575.1279300000001</v>
      </c>
      <c r="AC58" s="61">
        <v>2686.8686520000001</v>
      </c>
      <c r="AD58" s="61">
        <v>2801.5522460000002</v>
      </c>
      <c r="AE58" s="61">
        <v>2919.1813959999999</v>
      </c>
      <c r="AF58" s="61">
        <v>3038.6953119999998</v>
      </c>
      <c r="AG58" s="61">
        <v>3161.976318</v>
      </c>
      <c r="AH58" s="61">
        <v>3286.0119629999999</v>
      </c>
      <c r="AI58" s="61">
        <v>3413.8413089999999</v>
      </c>
      <c r="AJ58" s="61">
        <v>3545.3857419999999</v>
      </c>
      <c r="AK58" s="62">
        <v>5.3552000000000002E-2</v>
      </c>
    </row>
    <row r="59" spans="1:37" ht="15" customHeight="1" x14ac:dyDescent="0.2">
      <c r="A59" s="57" t="s">
        <v>759</v>
      </c>
      <c r="B59" s="60" t="s">
        <v>709</v>
      </c>
      <c r="C59" s="61">
        <v>465.644409</v>
      </c>
      <c r="D59" s="61">
        <v>500.62539700000002</v>
      </c>
      <c r="E59" s="61">
        <v>536.91815199999996</v>
      </c>
      <c r="F59" s="61">
        <v>574.47558600000002</v>
      </c>
      <c r="G59" s="61">
        <v>613.31634499999996</v>
      </c>
      <c r="H59" s="61">
        <v>653.53668200000004</v>
      </c>
      <c r="I59" s="61">
        <v>695.20593299999996</v>
      </c>
      <c r="J59" s="61">
        <v>738.38531499999999</v>
      </c>
      <c r="K59" s="61">
        <v>782.69604500000003</v>
      </c>
      <c r="L59" s="61">
        <v>828.57293700000002</v>
      </c>
      <c r="M59" s="61">
        <v>876.44134499999996</v>
      </c>
      <c r="N59" s="61">
        <v>925.75585899999999</v>
      </c>
      <c r="O59" s="61">
        <v>977.00116000000003</v>
      </c>
      <c r="P59" s="61">
        <v>1029.665283</v>
      </c>
      <c r="Q59" s="61">
        <v>1083.2979740000001</v>
      </c>
      <c r="R59" s="61">
        <v>1138.0738530000001</v>
      </c>
      <c r="S59" s="61">
        <v>1197.070068</v>
      </c>
      <c r="T59" s="61">
        <v>1258.5395510000001</v>
      </c>
      <c r="U59" s="61">
        <v>1321.025879</v>
      </c>
      <c r="V59" s="61">
        <v>1386.374634</v>
      </c>
      <c r="W59" s="61">
        <v>1453.164673</v>
      </c>
      <c r="X59" s="61">
        <v>1522.3779300000001</v>
      </c>
      <c r="Y59" s="61">
        <v>1594.3460689999999</v>
      </c>
      <c r="Z59" s="61">
        <v>1668.135254</v>
      </c>
      <c r="AA59" s="61">
        <v>1743.5589600000001</v>
      </c>
      <c r="AB59" s="61">
        <v>1821.682129</v>
      </c>
      <c r="AC59" s="61">
        <v>1901.716797</v>
      </c>
      <c r="AD59" s="61">
        <v>1983.0688479999999</v>
      </c>
      <c r="AE59" s="61">
        <v>2066.525635</v>
      </c>
      <c r="AF59" s="61">
        <v>2151.4799800000001</v>
      </c>
      <c r="AG59" s="61">
        <v>2238.2768550000001</v>
      </c>
      <c r="AH59" s="61">
        <v>2326.4804690000001</v>
      </c>
      <c r="AI59" s="61">
        <v>2416.1826169999999</v>
      </c>
      <c r="AJ59" s="61">
        <v>2507.5185550000001</v>
      </c>
      <c r="AK59" s="62">
        <v>5.1638999999999997E-2</v>
      </c>
    </row>
    <row r="60" spans="1:37" ht="15" customHeight="1" x14ac:dyDescent="0.2">
      <c r="A60" s="57" t="s">
        <v>760</v>
      </c>
      <c r="B60" s="60" t="s">
        <v>761</v>
      </c>
      <c r="C60" s="61">
        <v>796.59088099999997</v>
      </c>
      <c r="D60" s="61">
        <v>855.34045400000002</v>
      </c>
      <c r="E60" s="61">
        <v>917.00402799999995</v>
      </c>
      <c r="F60" s="61">
        <v>981.89013699999998</v>
      </c>
      <c r="G60" s="61">
        <v>1050.0329589999999</v>
      </c>
      <c r="H60" s="61">
        <v>1122.115356</v>
      </c>
      <c r="I60" s="61">
        <v>1198.7114260000001</v>
      </c>
      <c r="J60" s="61">
        <v>1280.029297</v>
      </c>
      <c r="K60" s="61">
        <v>1365.959717</v>
      </c>
      <c r="L60" s="61">
        <v>1456.7989500000001</v>
      </c>
      <c r="M60" s="61">
        <v>1552.814453</v>
      </c>
      <c r="N60" s="61">
        <v>1653.7142329999999</v>
      </c>
      <c r="O60" s="61">
        <v>1760.547607</v>
      </c>
      <c r="P60" s="61">
        <v>1872.5151370000001</v>
      </c>
      <c r="Q60" s="61">
        <v>1990.5124510000001</v>
      </c>
      <c r="R60" s="61">
        <v>2114.54126</v>
      </c>
      <c r="S60" s="61">
        <v>2247.609375</v>
      </c>
      <c r="T60" s="61">
        <v>2388.5078119999998</v>
      </c>
      <c r="U60" s="61">
        <v>2536.5178219999998</v>
      </c>
      <c r="V60" s="61">
        <v>2690.9926759999998</v>
      </c>
      <c r="W60" s="61">
        <v>2853.9213869999999</v>
      </c>
      <c r="X60" s="61">
        <v>3022.8603520000001</v>
      </c>
      <c r="Y60" s="61">
        <v>3217.1108399999998</v>
      </c>
      <c r="Z60" s="61">
        <v>3452.7954100000002</v>
      </c>
      <c r="AA60" s="61">
        <v>3673.2133789999998</v>
      </c>
      <c r="AB60" s="61">
        <v>3904.1665039999998</v>
      </c>
      <c r="AC60" s="61">
        <v>4146.3125</v>
      </c>
      <c r="AD60" s="61">
        <v>4400.4233400000003</v>
      </c>
      <c r="AE60" s="61">
        <v>4679.1391599999997</v>
      </c>
      <c r="AF60" s="61">
        <v>4975.2890619999998</v>
      </c>
      <c r="AG60" s="61">
        <v>5283.4731449999999</v>
      </c>
      <c r="AH60" s="61">
        <v>5608.0756840000004</v>
      </c>
      <c r="AI60" s="61">
        <v>5951.4326170000004</v>
      </c>
      <c r="AJ60" s="61">
        <v>6310.6108400000003</v>
      </c>
      <c r="AK60" s="62">
        <v>6.4444000000000001E-2</v>
      </c>
    </row>
    <row r="61" spans="1:37" ht="15" customHeight="1" x14ac:dyDescent="0.2">
      <c r="A61" s="57" t="s">
        <v>762</v>
      </c>
      <c r="B61" s="60" t="s">
        <v>705</v>
      </c>
      <c r="C61" s="61">
        <v>535.11596699999996</v>
      </c>
      <c r="D61" s="61">
        <v>574.69287099999997</v>
      </c>
      <c r="E61" s="61">
        <v>616.62622099999999</v>
      </c>
      <c r="F61" s="61">
        <v>661.01641800000004</v>
      </c>
      <c r="G61" s="61">
        <v>707.98113999999998</v>
      </c>
      <c r="H61" s="61">
        <v>757.71844499999997</v>
      </c>
      <c r="I61" s="61">
        <v>810.42889400000001</v>
      </c>
      <c r="J61" s="61">
        <v>866.26641800000004</v>
      </c>
      <c r="K61" s="61">
        <v>925.46704099999999</v>
      </c>
      <c r="L61" s="61">
        <v>988.28979500000003</v>
      </c>
      <c r="M61" s="61">
        <v>1054.768433</v>
      </c>
      <c r="N61" s="61">
        <v>1125.109009</v>
      </c>
      <c r="O61" s="61">
        <v>1199.6850589999999</v>
      </c>
      <c r="P61" s="61">
        <v>1278.300659</v>
      </c>
      <c r="Q61" s="61">
        <v>1360.9654539999999</v>
      </c>
      <c r="R61" s="61">
        <v>1447.672241</v>
      </c>
      <c r="S61" s="61">
        <v>1539.087158</v>
      </c>
      <c r="T61" s="61">
        <v>1635.510986</v>
      </c>
      <c r="U61" s="61">
        <v>1737.0214840000001</v>
      </c>
      <c r="V61" s="61">
        <v>1842.717163</v>
      </c>
      <c r="W61" s="61">
        <v>1954.559082</v>
      </c>
      <c r="X61" s="61">
        <v>2071.3420409999999</v>
      </c>
      <c r="Y61" s="61">
        <v>2210.0639649999998</v>
      </c>
      <c r="Z61" s="61">
        <v>2385.2473140000002</v>
      </c>
      <c r="AA61" s="61">
        <v>2545.344482</v>
      </c>
      <c r="AB61" s="61">
        <v>2713.4411620000001</v>
      </c>
      <c r="AC61" s="61">
        <v>2890.8405760000001</v>
      </c>
      <c r="AD61" s="61">
        <v>3078.0585940000001</v>
      </c>
      <c r="AE61" s="61">
        <v>3275.2475589999999</v>
      </c>
      <c r="AF61" s="61">
        <v>3483.3413089999999</v>
      </c>
      <c r="AG61" s="61">
        <v>3700.0844729999999</v>
      </c>
      <c r="AH61" s="61">
        <v>3929.429443</v>
      </c>
      <c r="AI61" s="61">
        <v>4172.4956050000001</v>
      </c>
      <c r="AJ61" s="61">
        <v>4427.0610349999997</v>
      </c>
      <c r="AK61" s="62">
        <v>6.5880999999999995E-2</v>
      </c>
    </row>
    <row r="62" spans="1:37" ht="15" customHeight="1" x14ac:dyDescent="0.2">
      <c r="A62" s="57" t="s">
        <v>763</v>
      </c>
      <c r="B62" s="60" t="s">
        <v>707</v>
      </c>
      <c r="C62" s="61">
        <v>134.86114499999999</v>
      </c>
      <c r="D62" s="61">
        <v>146.996826</v>
      </c>
      <c r="E62" s="61">
        <v>159.28207399999999</v>
      </c>
      <c r="F62" s="61">
        <v>171.92901599999999</v>
      </c>
      <c r="G62" s="61">
        <v>184.86087000000001</v>
      </c>
      <c r="H62" s="61">
        <v>198.55723599999999</v>
      </c>
      <c r="I62" s="61">
        <v>213.36303699999999</v>
      </c>
      <c r="J62" s="61">
        <v>229.293396</v>
      </c>
      <c r="K62" s="61">
        <v>245.986649</v>
      </c>
      <c r="L62" s="61">
        <v>263.47909499999997</v>
      </c>
      <c r="M62" s="61">
        <v>281.966339</v>
      </c>
      <c r="N62" s="61">
        <v>301.32321200000001</v>
      </c>
      <c r="O62" s="61">
        <v>321.37240600000001</v>
      </c>
      <c r="P62" s="61">
        <v>341.95935100000003</v>
      </c>
      <c r="Q62" s="61">
        <v>363.939911</v>
      </c>
      <c r="R62" s="61">
        <v>387.29461700000002</v>
      </c>
      <c r="S62" s="61">
        <v>414.32952899999998</v>
      </c>
      <c r="T62" s="61">
        <v>443.50192299999998</v>
      </c>
      <c r="U62" s="61">
        <v>473.98666400000002</v>
      </c>
      <c r="V62" s="61">
        <v>505.99737499999998</v>
      </c>
      <c r="W62" s="61">
        <v>539.52777100000003</v>
      </c>
      <c r="X62" s="61">
        <v>573.58007799999996</v>
      </c>
      <c r="Y62" s="61">
        <v>609.91760299999999</v>
      </c>
      <c r="Z62" s="61">
        <v>650.40368699999999</v>
      </c>
      <c r="AA62" s="61">
        <v>690.37353499999995</v>
      </c>
      <c r="AB62" s="61">
        <v>731.78894000000003</v>
      </c>
      <c r="AC62" s="61">
        <v>774.77392599999996</v>
      </c>
      <c r="AD62" s="61">
        <v>819.19219999999996</v>
      </c>
      <c r="AE62" s="61">
        <v>865.311646</v>
      </c>
      <c r="AF62" s="61">
        <v>912.90429700000004</v>
      </c>
      <c r="AG62" s="61">
        <v>961.76074200000005</v>
      </c>
      <c r="AH62" s="61">
        <v>1012.311096</v>
      </c>
      <c r="AI62" s="61">
        <v>1065.0081789999999</v>
      </c>
      <c r="AJ62" s="61">
        <v>1119.3969729999999</v>
      </c>
      <c r="AK62" s="62">
        <v>6.5497E-2</v>
      </c>
    </row>
    <row r="63" spans="1:37" ht="15" customHeight="1" x14ac:dyDescent="0.2">
      <c r="A63" s="57" t="s">
        <v>764</v>
      </c>
      <c r="B63" s="60" t="s">
        <v>709</v>
      </c>
      <c r="C63" s="61">
        <v>126.61378499999999</v>
      </c>
      <c r="D63" s="61">
        <v>133.65074200000001</v>
      </c>
      <c r="E63" s="61">
        <v>141.09570299999999</v>
      </c>
      <c r="F63" s="61">
        <v>148.94470200000001</v>
      </c>
      <c r="G63" s="61">
        <v>157.19085699999999</v>
      </c>
      <c r="H63" s="61">
        <v>165.83969099999999</v>
      </c>
      <c r="I63" s="61">
        <v>174.919556</v>
      </c>
      <c r="J63" s="61">
        <v>184.469482</v>
      </c>
      <c r="K63" s="61">
        <v>194.506012</v>
      </c>
      <c r="L63" s="61">
        <v>205.03001399999999</v>
      </c>
      <c r="M63" s="61">
        <v>216.07965100000001</v>
      </c>
      <c r="N63" s="61">
        <v>227.28201300000001</v>
      </c>
      <c r="O63" s="61">
        <v>239.49005099999999</v>
      </c>
      <c r="P63" s="61">
        <v>252.25514200000001</v>
      </c>
      <c r="Q63" s="61">
        <v>265.60699499999998</v>
      </c>
      <c r="R63" s="61">
        <v>279.574524</v>
      </c>
      <c r="S63" s="61">
        <v>294.19274899999999</v>
      </c>
      <c r="T63" s="61">
        <v>309.49478099999999</v>
      </c>
      <c r="U63" s="61">
        <v>325.50973499999998</v>
      </c>
      <c r="V63" s="61">
        <v>342.27813700000002</v>
      </c>
      <c r="W63" s="61">
        <v>359.834564</v>
      </c>
      <c r="X63" s="61">
        <v>377.93810999999999</v>
      </c>
      <c r="Y63" s="61">
        <v>397.12939499999999</v>
      </c>
      <c r="Z63" s="61">
        <v>417.14453099999997</v>
      </c>
      <c r="AA63" s="61">
        <v>437.49529999999999</v>
      </c>
      <c r="AB63" s="61">
        <v>458.93652300000002</v>
      </c>
      <c r="AC63" s="61">
        <v>480.69824199999999</v>
      </c>
      <c r="AD63" s="61">
        <v>503.17275999999998</v>
      </c>
      <c r="AE63" s="61">
        <v>538.57995600000004</v>
      </c>
      <c r="AF63" s="61">
        <v>579.04370100000006</v>
      </c>
      <c r="AG63" s="61">
        <v>621.62792999999999</v>
      </c>
      <c r="AH63" s="61">
        <v>666.33477800000003</v>
      </c>
      <c r="AI63" s="61">
        <v>713.92852800000003</v>
      </c>
      <c r="AJ63" s="61">
        <v>764.15289299999995</v>
      </c>
      <c r="AK63" s="62">
        <v>5.5996999999999998E-2</v>
      </c>
    </row>
    <row r="64" spans="1:37" ht="15" customHeight="1" x14ac:dyDescent="0.2">
      <c r="A64" s="57" t="s">
        <v>765</v>
      </c>
      <c r="B64" s="60" t="s">
        <v>766</v>
      </c>
      <c r="C64" s="61">
        <v>840.35919200000001</v>
      </c>
      <c r="D64" s="61">
        <v>863.479736</v>
      </c>
      <c r="E64" s="61">
        <v>885.99249299999997</v>
      </c>
      <c r="F64" s="61">
        <v>908.58471699999996</v>
      </c>
      <c r="G64" s="61">
        <v>931.06152299999997</v>
      </c>
      <c r="H64" s="61">
        <v>953.98181199999999</v>
      </c>
      <c r="I64" s="61">
        <v>977.199341</v>
      </c>
      <c r="J64" s="61">
        <v>999.327271</v>
      </c>
      <c r="K64" s="61">
        <v>1020.775879</v>
      </c>
      <c r="L64" s="61">
        <v>1041.6585689999999</v>
      </c>
      <c r="M64" s="61">
        <v>1062.58374</v>
      </c>
      <c r="N64" s="61">
        <v>1084.1188959999999</v>
      </c>
      <c r="O64" s="61">
        <v>1106.1376949999999</v>
      </c>
      <c r="P64" s="61">
        <v>1128.596558</v>
      </c>
      <c r="Q64" s="61">
        <v>1160.7426760000001</v>
      </c>
      <c r="R64" s="61">
        <v>1193.775879</v>
      </c>
      <c r="S64" s="61">
        <v>1229.033203</v>
      </c>
      <c r="T64" s="61">
        <v>1265.496948</v>
      </c>
      <c r="U64" s="61">
        <v>1302.0279539999999</v>
      </c>
      <c r="V64" s="61">
        <v>1338.5607910000001</v>
      </c>
      <c r="W64" s="61">
        <v>1377.845337</v>
      </c>
      <c r="X64" s="61">
        <v>1418.4638669999999</v>
      </c>
      <c r="Y64" s="61">
        <v>1461.9956050000001</v>
      </c>
      <c r="Z64" s="61">
        <v>1517.8374020000001</v>
      </c>
      <c r="AA64" s="61">
        <v>1564.979126</v>
      </c>
      <c r="AB64" s="61">
        <v>1614.2777100000001</v>
      </c>
      <c r="AC64" s="61">
        <v>1665.654663</v>
      </c>
      <c r="AD64" s="61">
        <v>1718.5539550000001</v>
      </c>
      <c r="AE64" s="61">
        <v>1774.953857</v>
      </c>
      <c r="AF64" s="61">
        <v>1834.336914</v>
      </c>
      <c r="AG64" s="61">
        <v>1894.9360349999999</v>
      </c>
      <c r="AH64" s="61">
        <v>1957.264404</v>
      </c>
      <c r="AI64" s="61">
        <v>2020.9608149999999</v>
      </c>
      <c r="AJ64" s="61">
        <v>2085.5002439999998</v>
      </c>
      <c r="AK64" s="62">
        <v>2.7938999999999999E-2</v>
      </c>
    </row>
    <row r="65" spans="1:37" ht="15" customHeight="1" x14ac:dyDescent="0.2">
      <c r="A65" s="57" t="s">
        <v>767</v>
      </c>
      <c r="B65" s="60" t="s">
        <v>705</v>
      </c>
      <c r="C65" s="61">
        <v>313.19250499999998</v>
      </c>
      <c r="D65" s="61">
        <v>328.65356400000002</v>
      </c>
      <c r="E65" s="61">
        <v>344.029877</v>
      </c>
      <c r="F65" s="61">
        <v>360.04617300000001</v>
      </c>
      <c r="G65" s="61">
        <v>376.53121900000002</v>
      </c>
      <c r="H65" s="61">
        <v>394.05935699999998</v>
      </c>
      <c r="I65" s="61">
        <v>412.52212500000002</v>
      </c>
      <c r="J65" s="61">
        <v>430.50305200000003</v>
      </c>
      <c r="K65" s="61">
        <v>448.325378</v>
      </c>
      <c r="L65" s="61">
        <v>466.033997</v>
      </c>
      <c r="M65" s="61">
        <v>484.10534699999999</v>
      </c>
      <c r="N65" s="61">
        <v>502.929688</v>
      </c>
      <c r="O65" s="61">
        <v>522.22869900000001</v>
      </c>
      <c r="P65" s="61">
        <v>541.90008499999999</v>
      </c>
      <c r="Q65" s="61">
        <v>567.52838099999997</v>
      </c>
      <c r="R65" s="61">
        <v>593.66796899999997</v>
      </c>
      <c r="S65" s="61">
        <v>621.47137499999997</v>
      </c>
      <c r="T65" s="61">
        <v>650.46173099999999</v>
      </c>
      <c r="U65" s="61">
        <v>680.16094999999996</v>
      </c>
      <c r="V65" s="61">
        <v>710.29162599999995</v>
      </c>
      <c r="W65" s="61">
        <v>741.78436299999998</v>
      </c>
      <c r="X65" s="61">
        <v>773.82849099999999</v>
      </c>
      <c r="Y65" s="61">
        <v>806.635986</v>
      </c>
      <c r="Z65" s="61">
        <v>850.75024399999995</v>
      </c>
      <c r="AA65" s="61">
        <v>885.35369900000001</v>
      </c>
      <c r="AB65" s="61">
        <v>921.43768299999999</v>
      </c>
      <c r="AC65" s="61">
        <v>959.098206</v>
      </c>
      <c r="AD65" s="61">
        <v>997.82257100000004</v>
      </c>
      <c r="AE65" s="61">
        <v>1037.677124</v>
      </c>
      <c r="AF65" s="61">
        <v>1078.828491</v>
      </c>
      <c r="AG65" s="61">
        <v>1120.594971</v>
      </c>
      <c r="AH65" s="61">
        <v>1163.3240969999999</v>
      </c>
      <c r="AI65" s="61">
        <v>1206.794189</v>
      </c>
      <c r="AJ65" s="61">
        <v>1250.7202150000001</v>
      </c>
      <c r="AK65" s="62">
        <v>4.2648999999999999E-2</v>
      </c>
    </row>
    <row r="66" spans="1:37" ht="15" customHeight="1" x14ac:dyDescent="0.2">
      <c r="A66" s="57" t="s">
        <v>768</v>
      </c>
      <c r="B66" s="60" t="s">
        <v>707</v>
      </c>
      <c r="C66" s="61">
        <v>123.709839</v>
      </c>
      <c r="D66" s="61">
        <v>130.49160800000001</v>
      </c>
      <c r="E66" s="61">
        <v>137.36389199999999</v>
      </c>
      <c r="F66" s="61">
        <v>144.325897</v>
      </c>
      <c r="G66" s="61">
        <v>151.392426</v>
      </c>
      <c r="H66" s="61">
        <v>158.57566800000001</v>
      </c>
      <c r="I66" s="61">
        <v>165.85990899999999</v>
      </c>
      <c r="J66" s="61">
        <v>173.242615</v>
      </c>
      <c r="K66" s="61">
        <v>180.715408</v>
      </c>
      <c r="L66" s="61">
        <v>188.24485799999999</v>
      </c>
      <c r="M66" s="61">
        <v>195.82515000000001</v>
      </c>
      <c r="N66" s="61">
        <v>203.453812</v>
      </c>
      <c r="O66" s="61">
        <v>211.07591199999999</v>
      </c>
      <c r="P66" s="61">
        <v>218.657364</v>
      </c>
      <c r="Q66" s="61">
        <v>226.18211400000001</v>
      </c>
      <c r="R66" s="61">
        <v>233.63755800000001</v>
      </c>
      <c r="S66" s="61">
        <v>241.02954099999999</v>
      </c>
      <c r="T66" s="61">
        <v>248.36729399999999</v>
      </c>
      <c r="U66" s="61">
        <v>255.591431</v>
      </c>
      <c r="V66" s="61">
        <v>262.69879200000003</v>
      </c>
      <c r="W66" s="61">
        <v>269.690155</v>
      </c>
      <c r="X66" s="61">
        <v>276.53539999999998</v>
      </c>
      <c r="Y66" s="61">
        <v>283.25784299999998</v>
      </c>
      <c r="Z66" s="61">
        <v>289.88720699999999</v>
      </c>
      <c r="AA66" s="61">
        <v>296.44689899999997</v>
      </c>
      <c r="AB66" s="61">
        <v>302.97976699999998</v>
      </c>
      <c r="AC66" s="61">
        <v>309.50820900000002</v>
      </c>
      <c r="AD66" s="61">
        <v>316.15054300000003</v>
      </c>
      <c r="AE66" s="61">
        <v>324.88961799999998</v>
      </c>
      <c r="AF66" s="61">
        <v>335.07232699999997</v>
      </c>
      <c r="AG66" s="61">
        <v>345.620789</v>
      </c>
      <c r="AH66" s="61">
        <v>356.69064300000002</v>
      </c>
      <c r="AI66" s="61">
        <v>368.11413599999997</v>
      </c>
      <c r="AJ66" s="61">
        <v>379.64382899999998</v>
      </c>
      <c r="AK66" s="62">
        <v>3.3936000000000001E-2</v>
      </c>
    </row>
    <row r="67" spans="1:37" ht="15" customHeight="1" x14ac:dyDescent="0.2">
      <c r="A67" s="57" t="s">
        <v>769</v>
      </c>
      <c r="B67" s="60" t="s">
        <v>709</v>
      </c>
      <c r="C67" s="61">
        <v>403.45684799999998</v>
      </c>
      <c r="D67" s="61">
        <v>404.33459499999998</v>
      </c>
      <c r="E67" s="61">
        <v>404.598724</v>
      </c>
      <c r="F67" s="61">
        <v>404.21261600000003</v>
      </c>
      <c r="G67" s="61">
        <v>403.137878</v>
      </c>
      <c r="H67" s="61">
        <v>401.34677099999999</v>
      </c>
      <c r="I67" s="61">
        <v>398.81735200000003</v>
      </c>
      <c r="J67" s="61">
        <v>395.58157299999999</v>
      </c>
      <c r="K67" s="61">
        <v>391.73510700000003</v>
      </c>
      <c r="L67" s="61">
        <v>387.37966899999998</v>
      </c>
      <c r="M67" s="61">
        <v>382.65322900000001</v>
      </c>
      <c r="N67" s="61">
        <v>377.73535199999998</v>
      </c>
      <c r="O67" s="61">
        <v>372.833099</v>
      </c>
      <c r="P67" s="61">
        <v>368.03909299999998</v>
      </c>
      <c r="Q67" s="61">
        <v>367.03213499999998</v>
      </c>
      <c r="R67" s="61">
        <v>366.47030599999999</v>
      </c>
      <c r="S67" s="61">
        <v>366.53228799999999</v>
      </c>
      <c r="T67" s="61">
        <v>366.66787699999998</v>
      </c>
      <c r="U67" s="61">
        <v>366.27560399999999</v>
      </c>
      <c r="V67" s="61">
        <v>365.570312</v>
      </c>
      <c r="W67" s="61">
        <v>366.37088</v>
      </c>
      <c r="X67" s="61">
        <v>368.10003699999999</v>
      </c>
      <c r="Y67" s="61">
        <v>372.10183699999999</v>
      </c>
      <c r="Z67" s="61">
        <v>377.199951</v>
      </c>
      <c r="AA67" s="61">
        <v>383.17861900000003</v>
      </c>
      <c r="AB67" s="61">
        <v>389.860229</v>
      </c>
      <c r="AC67" s="61">
        <v>397.048248</v>
      </c>
      <c r="AD67" s="61">
        <v>404.580872</v>
      </c>
      <c r="AE67" s="61">
        <v>412.38714599999997</v>
      </c>
      <c r="AF67" s="61">
        <v>420.43597399999999</v>
      </c>
      <c r="AG67" s="61">
        <v>428.72024499999998</v>
      </c>
      <c r="AH67" s="61">
        <v>437.249573</v>
      </c>
      <c r="AI67" s="61">
        <v>446.05248999999998</v>
      </c>
      <c r="AJ67" s="61">
        <v>455.136169</v>
      </c>
      <c r="AK67" s="62">
        <v>3.705E-3</v>
      </c>
    </row>
    <row r="68" spans="1:37" ht="15" customHeight="1" x14ac:dyDescent="0.2">
      <c r="A68" s="57" t="s">
        <v>770</v>
      </c>
      <c r="B68" s="59" t="s">
        <v>771</v>
      </c>
      <c r="C68" s="68">
        <v>32124.421875</v>
      </c>
      <c r="D68" s="68">
        <v>33618.664062000003</v>
      </c>
      <c r="E68" s="68">
        <v>35167.789062000003</v>
      </c>
      <c r="F68" s="68">
        <v>36763.273437999997</v>
      </c>
      <c r="G68" s="68">
        <v>38394.296875</v>
      </c>
      <c r="H68" s="68">
        <v>40043.476562000003</v>
      </c>
      <c r="I68" s="68">
        <v>41718.085937999997</v>
      </c>
      <c r="J68" s="68">
        <v>43413.480469000002</v>
      </c>
      <c r="K68" s="68">
        <v>45146.003905999998</v>
      </c>
      <c r="L68" s="68">
        <v>46903.328125</v>
      </c>
      <c r="M68" s="68">
        <v>48678.066405999998</v>
      </c>
      <c r="N68" s="68">
        <v>50460.925780999998</v>
      </c>
      <c r="O68" s="68">
        <v>52281.980469000002</v>
      </c>
      <c r="P68" s="68">
        <v>54129.761719000002</v>
      </c>
      <c r="Q68" s="68">
        <v>56000.222655999998</v>
      </c>
      <c r="R68" s="68">
        <v>57900.886719000002</v>
      </c>
      <c r="S68" s="68">
        <v>59849.574219000002</v>
      </c>
      <c r="T68" s="68">
        <v>61837.207030999998</v>
      </c>
      <c r="U68" s="68">
        <v>63874.226562000003</v>
      </c>
      <c r="V68" s="68">
        <v>65943.09375</v>
      </c>
      <c r="W68" s="68">
        <v>68060.6875</v>
      </c>
      <c r="X68" s="68">
        <v>70194.734375</v>
      </c>
      <c r="Y68" s="68">
        <v>72370.671875</v>
      </c>
      <c r="Z68" s="68">
        <v>74584.6875</v>
      </c>
      <c r="AA68" s="68">
        <v>76856.195311999996</v>
      </c>
      <c r="AB68" s="68">
        <v>79190.625</v>
      </c>
      <c r="AC68" s="68">
        <v>81574.429688000004</v>
      </c>
      <c r="AD68" s="68">
        <v>83992.679688000004</v>
      </c>
      <c r="AE68" s="68">
        <v>86456.539061999996</v>
      </c>
      <c r="AF68" s="68">
        <v>88962.789061999996</v>
      </c>
      <c r="AG68" s="68">
        <v>91495.164061999996</v>
      </c>
      <c r="AH68" s="68">
        <v>94039.414061999996</v>
      </c>
      <c r="AI68" s="68">
        <v>96632.515625</v>
      </c>
      <c r="AJ68" s="68">
        <v>99265.992188000004</v>
      </c>
      <c r="AK68" s="66">
        <v>3.4414E-2</v>
      </c>
    </row>
    <row r="69" spans="1:37" ht="15.75" customHeight="1" x14ac:dyDescent="0.2"/>
    <row r="70" spans="1:37" ht="15.75" customHeight="1" x14ac:dyDescent="0.2"/>
    <row r="71" spans="1:37" ht="15" customHeight="1" x14ac:dyDescent="0.2">
      <c r="B71" s="59" t="s">
        <v>772</v>
      </c>
    </row>
    <row r="72" spans="1:37" ht="15" customHeight="1" x14ac:dyDescent="0.2">
      <c r="A72" s="57" t="s">
        <v>773</v>
      </c>
      <c r="B72" s="60" t="s">
        <v>703</v>
      </c>
      <c r="C72" s="61">
        <v>6585.1777339999999</v>
      </c>
      <c r="D72" s="61">
        <v>6869.1513670000004</v>
      </c>
      <c r="E72" s="61">
        <v>7151.0146480000003</v>
      </c>
      <c r="F72" s="61">
        <v>7430.0966799999997</v>
      </c>
      <c r="G72" s="61">
        <v>7708.7568359999996</v>
      </c>
      <c r="H72" s="61">
        <v>7980.7685549999997</v>
      </c>
      <c r="I72" s="61">
        <v>8247.6445309999999</v>
      </c>
      <c r="J72" s="61">
        <v>8508.8632809999999</v>
      </c>
      <c r="K72" s="61">
        <v>8762.3271480000003</v>
      </c>
      <c r="L72" s="61">
        <v>9006.0576170000004</v>
      </c>
      <c r="M72" s="61">
        <v>9244.0537110000005</v>
      </c>
      <c r="N72" s="61">
        <v>9482.1318360000005</v>
      </c>
      <c r="O72" s="61">
        <v>9708.2011719999991</v>
      </c>
      <c r="P72" s="61">
        <v>9926.1171880000002</v>
      </c>
      <c r="Q72" s="61">
        <v>10107.299805000001</v>
      </c>
      <c r="R72" s="61">
        <v>10264.901367</v>
      </c>
      <c r="S72" s="61">
        <v>10419.205078000001</v>
      </c>
      <c r="T72" s="61">
        <v>10565.257812</v>
      </c>
      <c r="U72" s="61">
        <v>10701.796875</v>
      </c>
      <c r="V72" s="61">
        <v>10840.538086</v>
      </c>
      <c r="W72" s="61">
        <v>10975.748046999999</v>
      </c>
      <c r="X72" s="61">
        <v>11104.815430000001</v>
      </c>
      <c r="Y72" s="61">
        <v>11228.179688</v>
      </c>
      <c r="Z72" s="61">
        <v>11351.535156</v>
      </c>
      <c r="AA72" s="61">
        <v>11479.03125</v>
      </c>
      <c r="AB72" s="61">
        <v>11614.234375</v>
      </c>
      <c r="AC72" s="61">
        <v>11760.215819999999</v>
      </c>
      <c r="AD72" s="61">
        <v>11918.265625</v>
      </c>
      <c r="AE72" s="61">
        <v>12076.583984000001</v>
      </c>
      <c r="AF72" s="61">
        <v>12241.539062</v>
      </c>
      <c r="AG72" s="61">
        <v>12408.065430000001</v>
      </c>
      <c r="AH72" s="61">
        <v>12549.944336</v>
      </c>
      <c r="AI72" s="61">
        <v>12682.849609000001</v>
      </c>
      <c r="AJ72" s="61">
        <v>12812.458008</v>
      </c>
      <c r="AK72" s="62">
        <v>1.9671999999999999E-2</v>
      </c>
    </row>
    <row r="73" spans="1:37" ht="15" customHeight="1" x14ac:dyDescent="0.2">
      <c r="A73" s="57" t="s">
        <v>774</v>
      </c>
      <c r="B73" s="60" t="s">
        <v>705</v>
      </c>
      <c r="C73" s="61">
        <v>3740.6677249999998</v>
      </c>
      <c r="D73" s="61">
        <v>3931.6379390000002</v>
      </c>
      <c r="E73" s="61">
        <v>4130.4780270000001</v>
      </c>
      <c r="F73" s="61">
        <v>4332.0688479999999</v>
      </c>
      <c r="G73" s="61">
        <v>4532.6469729999999</v>
      </c>
      <c r="H73" s="61">
        <v>4729.6508789999998</v>
      </c>
      <c r="I73" s="61">
        <v>4916.6098629999997</v>
      </c>
      <c r="J73" s="61">
        <v>5097.1835940000001</v>
      </c>
      <c r="K73" s="61">
        <v>5272.5512699999999</v>
      </c>
      <c r="L73" s="61">
        <v>5441.4946289999998</v>
      </c>
      <c r="M73" s="61">
        <v>5608.984375</v>
      </c>
      <c r="N73" s="61">
        <v>5777.1743159999996</v>
      </c>
      <c r="O73" s="61">
        <v>5939.2246089999999</v>
      </c>
      <c r="P73" s="61">
        <v>6096.6875</v>
      </c>
      <c r="Q73" s="61">
        <v>6229.1752930000002</v>
      </c>
      <c r="R73" s="61">
        <v>6341.9174800000001</v>
      </c>
      <c r="S73" s="61">
        <v>6452.4365230000003</v>
      </c>
      <c r="T73" s="61">
        <v>6555.3544920000004</v>
      </c>
      <c r="U73" s="61">
        <v>6649.8881840000004</v>
      </c>
      <c r="V73" s="61">
        <v>6747.5278319999998</v>
      </c>
      <c r="W73" s="61">
        <v>6842.8364259999998</v>
      </c>
      <c r="X73" s="61">
        <v>6932.7734380000002</v>
      </c>
      <c r="Y73" s="61">
        <v>7018.5048829999996</v>
      </c>
      <c r="Z73" s="61">
        <v>7104.9487300000001</v>
      </c>
      <c r="AA73" s="61">
        <v>7196.4677730000003</v>
      </c>
      <c r="AB73" s="61">
        <v>7294.2016599999997</v>
      </c>
      <c r="AC73" s="61">
        <v>7400.2709960000002</v>
      </c>
      <c r="AD73" s="61">
        <v>7515.109375</v>
      </c>
      <c r="AE73" s="61">
        <v>7636.3066410000001</v>
      </c>
      <c r="AF73" s="61">
        <v>7763.6328119999998</v>
      </c>
      <c r="AG73" s="61">
        <v>7889.205078</v>
      </c>
      <c r="AH73" s="61">
        <v>8016.3642579999996</v>
      </c>
      <c r="AI73" s="61">
        <v>8142.2197269999997</v>
      </c>
      <c r="AJ73" s="61">
        <v>8263.4765619999998</v>
      </c>
      <c r="AK73" s="62">
        <v>2.3484000000000001E-2</v>
      </c>
    </row>
    <row r="74" spans="1:37" ht="15" customHeight="1" x14ac:dyDescent="0.2">
      <c r="A74" s="57" t="s">
        <v>775</v>
      </c>
      <c r="B74" s="60" t="s">
        <v>707</v>
      </c>
      <c r="C74" s="61">
        <v>558.34661900000003</v>
      </c>
      <c r="D74" s="61">
        <v>574.38983199999996</v>
      </c>
      <c r="E74" s="61">
        <v>589.75048800000002</v>
      </c>
      <c r="F74" s="61">
        <v>601.60192900000004</v>
      </c>
      <c r="G74" s="61">
        <v>615.952271</v>
      </c>
      <c r="H74" s="61">
        <v>630.985229</v>
      </c>
      <c r="I74" s="61">
        <v>646.51715100000001</v>
      </c>
      <c r="J74" s="61">
        <v>662.841858</v>
      </c>
      <c r="K74" s="61">
        <v>680.35443099999998</v>
      </c>
      <c r="L74" s="61">
        <v>698.66955600000006</v>
      </c>
      <c r="M74" s="61">
        <v>716.68511999999998</v>
      </c>
      <c r="N74" s="61">
        <v>737.96453899999995</v>
      </c>
      <c r="O74" s="61">
        <v>757.40313700000002</v>
      </c>
      <c r="P74" s="61">
        <v>776.85681199999999</v>
      </c>
      <c r="Q74" s="61">
        <v>798.31957999999997</v>
      </c>
      <c r="R74" s="61">
        <v>820.02032499999996</v>
      </c>
      <c r="S74" s="61">
        <v>842.11035200000003</v>
      </c>
      <c r="T74" s="61">
        <v>864.85461399999997</v>
      </c>
      <c r="U74" s="61">
        <v>887.78747599999997</v>
      </c>
      <c r="V74" s="61">
        <v>910.79913299999998</v>
      </c>
      <c r="W74" s="61">
        <v>934.275757</v>
      </c>
      <c r="X74" s="61">
        <v>958.39428699999996</v>
      </c>
      <c r="Y74" s="61">
        <v>982.79888900000003</v>
      </c>
      <c r="Z74" s="61">
        <v>1007.716492</v>
      </c>
      <c r="AA74" s="61">
        <v>1031.8865969999999</v>
      </c>
      <c r="AB74" s="61">
        <v>1056.7669679999999</v>
      </c>
      <c r="AC74" s="61">
        <v>1082.328857</v>
      </c>
      <c r="AD74" s="61">
        <v>1108.517578</v>
      </c>
      <c r="AE74" s="61">
        <v>1135.603394</v>
      </c>
      <c r="AF74" s="61">
        <v>1163.432495</v>
      </c>
      <c r="AG74" s="61">
        <v>1192.1010739999999</v>
      </c>
      <c r="AH74" s="61">
        <v>1221.215698</v>
      </c>
      <c r="AI74" s="61">
        <v>1250.420654</v>
      </c>
      <c r="AJ74" s="61">
        <v>1279.397827</v>
      </c>
      <c r="AK74" s="62">
        <v>2.5342E-2</v>
      </c>
    </row>
    <row r="75" spans="1:37" ht="15" customHeight="1" x14ac:dyDescent="0.2">
      <c r="A75" s="57" t="s">
        <v>776</v>
      </c>
      <c r="B75" s="60" t="s">
        <v>709</v>
      </c>
      <c r="C75" s="61">
        <v>2286.1633299999999</v>
      </c>
      <c r="D75" s="61">
        <v>2363.1232909999999</v>
      </c>
      <c r="E75" s="61">
        <v>2430.7858890000002</v>
      </c>
      <c r="F75" s="61">
        <v>2496.4260250000002</v>
      </c>
      <c r="G75" s="61">
        <v>2560.1577149999998</v>
      </c>
      <c r="H75" s="61">
        <v>2620.1320799999999</v>
      </c>
      <c r="I75" s="61">
        <v>2684.5180660000001</v>
      </c>
      <c r="J75" s="61">
        <v>2748.8378910000001</v>
      </c>
      <c r="K75" s="61">
        <v>2809.4213869999999</v>
      </c>
      <c r="L75" s="61">
        <v>2865.8933109999998</v>
      </c>
      <c r="M75" s="61">
        <v>2918.3842770000001</v>
      </c>
      <c r="N75" s="61">
        <v>2966.9934079999998</v>
      </c>
      <c r="O75" s="61">
        <v>3011.5727539999998</v>
      </c>
      <c r="P75" s="61">
        <v>3052.5729980000001</v>
      </c>
      <c r="Q75" s="61">
        <v>3079.804932</v>
      </c>
      <c r="R75" s="61">
        <v>3102.9636230000001</v>
      </c>
      <c r="S75" s="61">
        <v>3124.6577149999998</v>
      </c>
      <c r="T75" s="61">
        <v>3145.0483399999998</v>
      </c>
      <c r="U75" s="61">
        <v>3164.1213379999999</v>
      </c>
      <c r="V75" s="61">
        <v>3182.210693</v>
      </c>
      <c r="W75" s="61">
        <v>3198.6362300000001</v>
      </c>
      <c r="X75" s="61">
        <v>3213.6477049999999</v>
      </c>
      <c r="Y75" s="61">
        <v>3226.8759770000001</v>
      </c>
      <c r="Z75" s="61">
        <v>3238.8703609999998</v>
      </c>
      <c r="AA75" s="61">
        <v>3250.6765140000002</v>
      </c>
      <c r="AB75" s="61">
        <v>3263.2653810000002</v>
      </c>
      <c r="AC75" s="61">
        <v>3277.6164549999999</v>
      </c>
      <c r="AD75" s="61">
        <v>3294.638672</v>
      </c>
      <c r="AE75" s="61">
        <v>3304.673828</v>
      </c>
      <c r="AF75" s="61">
        <v>3314.4733890000002</v>
      </c>
      <c r="AG75" s="61">
        <v>3326.7585450000001</v>
      </c>
      <c r="AH75" s="61">
        <v>3312.3640140000002</v>
      </c>
      <c r="AI75" s="61">
        <v>3290.20874</v>
      </c>
      <c r="AJ75" s="61">
        <v>3269.5842290000001</v>
      </c>
      <c r="AK75" s="62">
        <v>1.0198E-2</v>
      </c>
    </row>
    <row r="76" spans="1:37" ht="15" customHeight="1" x14ac:dyDescent="0.2">
      <c r="A76" s="57" t="s">
        <v>777</v>
      </c>
      <c r="B76" s="60" t="s">
        <v>711</v>
      </c>
      <c r="C76" s="61">
        <v>831.026611</v>
      </c>
      <c r="D76" s="61">
        <v>844.64672900000005</v>
      </c>
      <c r="E76" s="61">
        <v>856.37652600000001</v>
      </c>
      <c r="F76" s="61">
        <v>867.89764400000001</v>
      </c>
      <c r="G76" s="61">
        <v>878.31689500000005</v>
      </c>
      <c r="H76" s="61">
        <v>888.19970699999999</v>
      </c>
      <c r="I76" s="61">
        <v>897.91412400000002</v>
      </c>
      <c r="J76" s="61">
        <v>908.04010000000005</v>
      </c>
      <c r="K76" s="61">
        <v>917.65155000000004</v>
      </c>
      <c r="L76" s="61">
        <v>926.95288100000005</v>
      </c>
      <c r="M76" s="61">
        <v>937.07482900000002</v>
      </c>
      <c r="N76" s="61">
        <v>947.53344700000002</v>
      </c>
      <c r="O76" s="61">
        <v>958.44433600000002</v>
      </c>
      <c r="P76" s="61">
        <v>970.098206</v>
      </c>
      <c r="Q76" s="61">
        <v>985.87939500000005</v>
      </c>
      <c r="R76" s="61">
        <v>1003.090332</v>
      </c>
      <c r="S76" s="61">
        <v>1022.111816</v>
      </c>
      <c r="T76" s="61">
        <v>1042.4332280000001</v>
      </c>
      <c r="U76" s="61">
        <v>1063.669067</v>
      </c>
      <c r="V76" s="61">
        <v>1085.194092</v>
      </c>
      <c r="W76" s="61">
        <v>1107.2771</v>
      </c>
      <c r="X76" s="61">
        <v>1129.9720460000001</v>
      </c>
      <c r="Y76" s="61">
        <v>1152.22876</v>
      </c>
      <c r="Z76" s="61">
        <v>1174.4995120000001</v>
      </c>
      <c r="AA76" s="61">
        <v>1197.0626219999999</v>
      </c>
      <c r="AB76" s="61">
        <v>1220.31665</v>
      </c>
      <c r="AC76" s="61">
        <v>1244.272461</v>
      </c>
      <c r="AD76" s="61">
        <v>1269.1728519999999</v>
      </c>
      <c r="AE76" s="61">
        <v>1295.0936280000001</v>
      </c>
      <c r="AF76" s="61">
        <v>1321.619385</v>
      </c>
      <c r="AG76" s="61">
        <v>1348.3125</v>
      </c>
      <c r="AH76" s="61">
        <v>1375.677612</v>
      </c>
      <c r="AI76" s="61">
        <v>1403.971802</v>
      </c>
      <c r="AJ76" s="61">
        <v>1432.8023679999999</v>
      </c>
      <c r="AK76" s="62">
        <v>1.6652E-2</v>
      </c>
    </row>
    <row r="77" spans="1:37" ht="15" customHeight="1" x14ac:dyDescent="0.2">
      <c r="A77" s="57" t="s">
        <v>778</v>
      </c>
      <c r="B77" s="60" t="s">
        <v>705</v>
      </c>
      <c r="C77" s="61">
        <v>317.74200400000001</v>
      </c>
      <c r="D77" s="61">
        <v>323.27188100000001</v>
      </c>
      <c r="E77" s="61">
        <v>328.062164</v>
      </c>
      <c r="F77" s="61">
        <v>332.85101300000002</v>
      </c>
      <c r="G77" s="61">
        <v>337.16980000000001</v>
      </c>
      <c r="H77" s="61">
        <v>341.45642099999998</v>
      </c>
      <c r="I77" s="61">
        <v>345.91107199999999</v>
      </c>
      <c r="J77" s="61">
        <v>350.89123499999999</v>
      </c>
      <c r="K77" s="61">
        <v>355.61740099999997</v>
      </c>
      <c r="L77" s="61">
        <v>360.14102200000002</v>
      </c>
      <c r="M77" s="61">
        <v>365.11380000000003</v>
      </c>
      <c r="N77" s="61">
        <v>370.25466899999998</v>
      </c>
      <c r="O77" s="61">
        <v>375.45196499999997</v>
      </c>
      <c r="P77" s="61">
        <v>380.79632600000002</v>
      </c>
      <c r="Q77" s="61">
        <v>389.32781999999997</v>
      </c>
      <c r="R77" s="61">
        <v>398.22564699999998</v>
      </c>
      <c r="S77" s="61">
        <v>407.69940200000002</v>
      </c>
      <c r="T77" s="61">
        <v>417.57931500000001</v>
      </c>
      <c r="U77" s="61">
        <v>427.62094100000002</v>
      </c>
      <c r="V77" s="61">
        <v>437.70669600000002</v>
      </c>
      <c r="W77" s="61">
        <v>448.11807299999998</v>
      </c>
      <c r="X77" s="61">
        <v>458.939301</v>
      </c>
      <c r="Y77" s="61">
        <v>469.68804899999998</v>
      </c>
      <c r="Z77" s="61">
        <v>480.32775900000001</v>
      </c>
      <c r="AA77" s="61">
        <v>491.16882299999997</v>
      </c>
      <c r="AB77" s="61">
        <v>502.21933000000001</v>
      </c>
      <c r="AC77" s="61">
        <v>513.44293200000004</v>
      </c>
      <c r="AD77" s="61">
        <v>524.74414100000001</v>
      </c>
      <c r="AE77" s="61">
        <v>536.32482900000002</v>
      </c>
      <c r="AF77" s="61">
        <v>548.13476600000001</v>
      </c>
      <c r="AG77" s="61">
        <v>560.02844200000004</v>
      </c>
      <c r="AH77" s="61">
        <v>572.13201900000001</v>
      </c>
      <c r="AI77" s="61">
        <v>584.57080099999996</v>
      </c>
      <c r="AJ77" s="61">
        <v>597.13214100000005</v>
      </c>
      <c r="AK77" s="62">
        <v>1.9361E-2</v>
      </c>
    </row>
    <row r="78" spans="1:37" ht="15" customHeight="1" x14ac:dyDescent="0.2">
      <c r="A78" s="57" t="s">
        <v>779</v>
      </c>
      <c r="B78" s="60" t="s">
        <v>707</v>
      </c>
      <c r="C78" s="61">
        <v>121.258972</v>
      </c>
      <c r="D78" s="61">
        <v>125.04615800000001</v>
      </c>
      <c r="E78" s="61">
        <v>128.29904199999999</v>
      </c>
      <c r="F78" s="61">
        <v>131.94300799999999</v>
      </c>
      <c r="G78" s="61">
        <v>135.56373600000001</v>
      </c>
      <c r="H78" s="61">
        <v>139.248413</v>
      </c>
      <c r="I78" s="61">
        <v>143.090225</v>
      </c>
      <c r="J78" s="61">
        <v>147.172684</v>
      </c>
      <c r="K78" s="61">
        <v>151.22442599999999</v>
      </c>
      <c r="L78" s="61">
        <v>155.26713599999999</v>
      </c>
      <c r="M78" s="61">
        <v>159.637665</v>
      </c>
      <c r="N78" s="61">
        <v>164.199997</v>
      </c>
      <c r="O78" s="61">
        <v>168.90034499999999</v>
      </c>
      <c r="P78" s="61">
        <v>173.79200700000001</v>
      </c>
      <c r="Q78" s="61">
        <v>179.225662</v>
      </c>
      <c r="R78" s="61">
        <v>184.94042999999999</v>
      </c>
      <c r="S78" s="61">
        <v>191.06141700000001</v>
      </c>
      <c r="T78" s="61">
        <v>197.50245699999999</v>
      </c>
      <c r="U78" s="61">
        <v>204.130875</v>
      </c>
      <c r="V78" s="61">
        <v>210.88200399999999</v>
      </c>
      <c r="W78" s="61">
        <v>217.92250100000001</v>
      </c>
      <c r="X78" s="61">
        <v>225.308426</v>
      </c>
      <c r="Y78" s="61">
        <v>232.75947600000001</v>
      </c>
      <c r="Z78" s="61">
        <v>240.474716</v>
      </c>
      <c r="AA78" s="61">
        <v>248.20082099999999</v>
      </c>
      <c r="AB78" s="61">
        <v>256.17166099999997</v>
      </c>
      <c r="AC78" s="61">
        <v>264.36798099999999</v>
      </c>
      <c r="AD78" s="61">
        <v>272.73266599999999</v>
      </c>
      <c r="AE78" s="61">
        <v>281.393799</v>
      </c>
      <c r="AF78" s="61">
        <v>290.323578</v>
      </c>
      <c r="AG78" s="61">
        <v>299.431915</v>
      </c>
      <c r="AH78" s="61">
        <v>308.800995</v>
      </c>
      <c r="AI78" s="61">
        <v>318.51483200000001</v>
      </c>
      <c r="AJ78" s="61">
        <v>328.43481400000002</v>
      </c>
      <c r="AK78" s="62">
        <v>3.0637000000000001E-2</v>
      </c>
    </row>
    <row r="79" spans="1:37" ht="15" customHeight="1" x14ac:dyDescent="0.2">
      <c r="A79" s="57" t="s">
        <v>780</v>
      </c>
      <c r="B79" s="60" t="s">
        <v>709</v>
      </c>
      <c r="C79" s="61">
        <v>392.025665</v>
      </c>
      <c r="D79" s="61">
        <v>396.328644</v>
      </c>
      <c r="E79" s="61">
        <v>400.01531999999997</v>
      </c>
      <c r="F79" s="61">
        <v>403.10363799999999</v>
      </c>
      <c r="G79" s="61">
        <v>405.58334400000001</v>
      </c>
      <c r="H79" s="61">
        <v>407.494843</v>
      </c>
      <c r="I79" s="61">
        <v>408.91284200000001</v>
      </c>
      <c r="J79" s="61">
        <v>409.97619600000002</v>
      </c>
      <c r="K79" s="61">
        <v>410.80972300000002</v>
      </c>
      <c r="L79" s="61">
        <v>411.54473899999999</v>
      </c>
      <c r="M79" s="61">
        <v>412.323395</v>
      </c>
      <c r="N79" s="61">
        <v>413.07879600000001</v>
      </c>
      <c r="O79" s="61">
        <v>414.09207199999997</v>
      </c>
      <c r="P79" s="61">
        <v>415.50988799999999</v>
      </c>
      <c r="Q79" s="61">
        <v>417.32592799999998</v>
      </c>
      <c r="R79" s="61">
        <v>419.924286</v>
      </c>
      <c r="S79" s="61">
        <v>423.35098299999999</v>
      </c>
      <c r="T79" s="61">
        <v>427.35144000000003</v>
      </c>
      <c r="U79" s="61">
        <v>431.91720600000002</v>
      </c>
      <c r="V79" s="61">
        <v>436.60537699999998</v>
      </c>
      <c r="W79" s="61">
        <v>441.23654199999999</v>
      </c>
      <c r="X79" s="61">
        <v>445.724335</v>
      </c>
      <c r="Y79" s="61">
        <v>449.78125</v>
      </c>
      <c r="Z79" s="61">
        <v>453.69702100000001</v>
      </c>
      <c r="AA79" s="61">
        <v>457.69296300000002</v>
      </c>
      <c r="AB79" s="61">
        <v>461.92572000000001</v>
      </c>
      <c r="AC79" s="61">
        <v>466.46151700000001</v>
      </c>
      <c r="AD79" s="61">
        <v>471.69598400000001</v>
      </c>
      <c r="AE79" s="61">
        <v>477.375</v>
      </c>
      <c r="AF79" s="61">
        <v>483.16101099999997</v>
      </c>
      <c r="AG79" s="61">
        <v>488.85211199999998</v>
      </c>
      <c r="AH79" s="61">
        <v>494.744598</v>
      </c>
      <c r="AI79" s="61">
        <v>500.88613900000001</v>
      </c>
      <c r="AJ79" s="61">
        <v>507.23538200000002</v>
      </c>
      <c r="AK79" s="62">
        <v>7.7400000000000004E-3</v>
      </c>
    </row>
    <row r="80" spans="1:37" ht="15" customHeight="1" x14ac:dyDescent="0.2">
      <c r="A80" s="57" t="s">
        <v>781</v>
      </c>
      <c r="B80" s="60" t="s">
        <v>716</v>
      </c>
      <c r="C80" s="61">
        <v>702.85095200000001</v>
      </c>
      <c r="D80" s="61">
        <v>748.06811500000003</v>
      </c>
      <c r="E80" s="61">
        <v>794.45788600000003</v>
      </c>
      <c r="F80" s="61">
        <v>842.16772500000002</v>
      </c>
      <c r="G80" s="61">
        <v>890.77868699999999</v>
      </c>
      <c r="H80" s="61">
        <v>940.500854</v>
      </c>
      <c r="I80" s="61">
        <v>991.15661599999999</v>
      </c>
      <c r="J80" s="61">
        <v>1042.9216309999999</v>
      </c>
      <c r="K80" s="61">
        <v>1095.237061</v>
      </c>
      <c r="L80" s="61">
        <v>1148.195068</v>
      </c>
      <c r="M80" s="61">
        <v>1202.155518</v>
      </c>
      <c r="N80" s="61">
        <v>1257.2155760000001</v>
      </c>
      <c r="O80" s="61">
        <v>1312.9758300000001</v>
      </c>
      <c r="P80" s="61">
        <v>1370.0897219999999</v>
      </c>
      <c r="Q80" s="61">
        <v>1428.0952150000001</v>
      </c>
      <c r="R80" s="61">
        <v>1487.206177</v>
      </c>
      <c r="S80" s="61">
        <v>1546.9842530000001</v>
      </c>
      <c r="T80" s="61">
        <v>1607.5775149999999</v>
      </c>
      <c r="U80" s="61">
        <v>1669.341553</v>
      </c>
      <c r="V80" s="61">
        <v>1731.924683</v>
      </c>
      <c r="W80" s="61">
        <v>1795.2633060000001</v>
      </c>
      <c r="X80" s="61">
        <v>1858.927124</v>
      </c>
      <c r="Y80" s="61">
        <v>1922.598389</v>
      </c>
      <c r="Z80" s="61">
        <v>1992.17688</v>
      </c>
      <c r="AA80" s="61">
        <v>2058.6616210000002</v>
      </c>
      <c r="AB80" s="61">
        <v>2124.4025879999999</v>
      </c>
      <c r="AC80" s="61">
        <v>2190.1062010000001</v>
      </c>
      <c r="AD80" s="61">
        <v>2255.4506839999999</v>
      </c>
      <c r="AE80" s="61">
        <v>2320.0786130000001</v>
      </c>
      <c r="AF80" s="61">
        <v>2384.3642580000001</v>
      </c>
      <c r="AG80" s="61">
        <v>2448.5471189999998</v>
      </c>
      <c r="AH80" s="61">
        <v>2513.0866700000001</v>
      </c>
      <c r="AI80" s="61">
        <v>2578.1125489999999</v>
      </c>
      <c r="AJ80" s="61">
        <v>2643.1203609999998</v>
      </c>
      <c r="AK80" s="62">
        <v>4.0232999999999998E-2</v>
      </c>
    </row>
    <row r="81" spans="1:37" ht="15" customHeight="1" x14ac:dyDescent="0.2">
      <c r="A81" s="57" t="s">
        <v>782</v>
      </c>
      <c r="B81" s="60" t="s">
        <v>705</v>
      </c>
      <c r="C81" s="61">
        <v>412.42425500000002</v>
      </c>
      <c r="D81" s="61">
        <v>441.55624399999999</v>
      </c>
      <c r="E81" s="61">
        <v>471.28247099999999</v>
      </c>
      <c r="F81" s="61">
        <v>501.94793700000002</v>
      </c>
      <c r="G81" s="61">
        <v>533.37548800000002</v>
      </c>
      <c r="H81" s="61">
        <v>565.57226600000001</v>
      </c>
      <c r="I81" s="61">
        <v>598.51281700000004</v>
      </c>
      <c r="J81" s="61">
        <v>632.26635699999997</v>
      </c>
      <c r="K81" s="61">
        <v>666.689392</v>
      </c>
      <c r="L81" s="61">
        <v>701.737976</v>
      </c>
      <c r="M81" s="61">
        <v>737.45513900000003</v>
      </c>
      <c r="N81" s="61">
        <v>773.84130900000002</v>
      </c>
      <c r="O81" s="61">
        <v>810.65454099999999</v>
      </c>
      <c r="P81" s="61">
        <v>848.40124500000002</v>
      </c>
      <c r="Q81" s="61">
        <v>886.18499799999995</v>
      </c>
      <c r="R81" s="61">
        <v>924.849243</v>
      </c>
      <c r="S81" s="61">
        <v>963.47723399999995</v>
      </c>
      <c r="T81" s="61">
        <v>1002.484009</v>
      </c>
      <c r="U81" s="61">
        <v>1042.3359379999999</v>
      </c>
      <c r="V81" s="61">
        <v>1082.764038</v>
      </c>
      <c r="W81" s="61">
        <v>1123.422241</v>
      </c>
      <c r="X81" s="61">
        <v>1163.9812010000001</v>
      </c>
      <c r="Y81" s="61">
        <v>1204.618164</v>
      </c>
      <c r="Z81" s="61">
        <v>1245.534058</v>
      </c>
      <c r="AA81" s="61">
        <v>1286.9023440000001</v>
      </c>
      <c r="AB81" s="61">
        <v>1327.2152100000001</v>
      </c>
      <c r="AC81" s="61">
        <v>1367.377686</v>
      </c>
      <c r="AD81" s="61">
        <v>1407.2303469999999</v>
      </c>
      <c r="AE81" s="61">
        <v>1446.332764</v>
      </c>
      <c r="AF81" s="61">
        <v>1484.8211670000001</v>
      </c>
      <c r="AG81" s="61">
        <v>1523.2646480000001</v>
      </c>
      <c r="AH81" s="61">
        <v>1561.770264</v>
      </c>
      <c r="AI81" s="61">
        <v>1600.2126459999999</v>
      </c>
      <c r="AJ81" s="61">
        <v>1638.309814</v>
      </c>
      <c r="AK81" s="62">
        <v>4.1822999999999999E-2</v>
      </c>
    </row>
    <row r="82" spans="1:37" ht="15" customHeight="1" x14ac:dyDescent="0.2">
      <c r="A82" s="57" t="s">
        <v>783</v>
      </c>
      <c r="B82" s="60" t="s">
        <v>707</v>
      </c>
      <c r="C82" s="61">
        <v>33.974437999999999</v>
      </c>
      <c r="D82" s="61">
        <v>38.619945999999999</v>
      </c>
      <c r="E82" s="61">
        <v>43.849991000000003</v>
      </c>
      <c r="F82" s="61">
        <v>49.503132000000001</v>
      </c>
      <c r="G82" s="61">
        <v>55.333781999999999</v>
      </c>
      <c r="H82" s="61">
        <v>61.443390000000001</v>
      </c>
      <c r="I82" s="61">
        <v>67.609375</v>
      </c>
      <c r="J82" s="61">
        <v>73.935149999999993</v>
      </c>
      <c r="K82" s="61">
        <v>80.018837000000005</v>
      </c>
      <c r="L82" s="61">
        <v>86.014281999999994</v>
      </c>
      <c r="M82" s="61">
        <v>92.215935000000002</v>
      </c>
      <c r="N82" s="61">
        <v>98.689903000000001</v>
      </c>
      <c r="O82" s="61">
        <v>105.431854</v>
      </c>
      <c r="P82" s="61">
        <v>112.338463</v>
      </c>
      <c r="Q82" s="61">
        <v>119.954742</v>
      </c>
      <c r="R82" s="61">
        <v>127.70890799999999</v>
      </c>
      <c r="S82" s="61">
        <v>135.93804900000001</v>
      </c>
      <c r="T82" s="61">
        <v>144.54948400000001</v>
      </c>
      <c r="U82" s="61">
        <v>153.246689</v>
      </c>
      <c r="V82" s="61">
        <v>162.04763800000001</v>
      </c>
      <c r="W82" s="61">
        <v>171.01968400000001</v>
      </c>
      <c r="X82" s="61">
        <v>180.30891399999999</v>
      </c>
      <c r="Y82" s="61">
        <v>189.47290000000001</v>
      </c>
      <c r="Z82" s="61">
        <v>204.12455700000001</v>
      </c>
      <c r="AA82" s="61">
        <v>214.88287399999999</v>
      </c>
      <c r="AB82" s="61">
        <v>225.79811100000001</v>
      </c>
      <c r="AC82" s="61">
        <v>236.93310500000001</v>
      </c>
      <c r="AD82" s="61">
        <v>248.12051400000001</v>
      </c>
      <c r="AE82" s="61">
        <v>259.552277</v>
      </c>
      <c r="AF82" s="61">
        <v>271.17117300000001</v>
      </c>
      <c r="AG82" s="61">
        <v>282.72259500000001</v>
      </c>
      <c r="AH82" s="61">
        <v>294.548767</v>
      </c>
      <c r="AI82" s="61">
        <v>306.85403400000001</v>
      </c>
      <c r="AJ82" s="61">
        <v>319.39776599999999</v>
      </c>
      <c r="AK82" s="62">
        <v>6.8249000000000004E-2</v>
      </c>
    </row>
    <row r="83" spans="1:37" ht="15" customHeight="1" x14ac:dyDescent="0.2">
      <c r="A83" s="57" t="s">
        <v>784</v>
      </c>
      <c r="B83" s="60" t="s">
        <v>709</v>
      </c>
      <c r="C83" s="61">
        <v>256.452271</v>
      </c>
      <c r="D83" s="61">
        <v>267.89196800000002</v>
      </c>
      <c r="E83" s="61">
        <v>279.32540899999998</v>
      </c>
      <c r="F83" s="61">
        <v>290.71670499999999</v>
      </c>
      <c r="G83" s="61">
        <v>302.06942700000002</v>
      </c>
      <c r="H83" s="61">
        <v>313.48519900000002</v>
      </c>
      <c r="I83" s="61">
        <v>325.03439300000002</v>
      </c>
      <c r="J83" s="61">
        <v>336.72009300000002</v>
      </c>
      <c r="K83" s="61">
        <v>348.52880900000002</v>
      </c>
      <c r="L83" s="61">
        <v>360.44278000000003</v>
      </c>
      <c r="M83" s="61">
        <v>372.484467</v>
      </c>
      <c r="N83" s="61">
        <v>384.68441799999999</v>
      </c>
      <c r="O83" s="61">
        <v>396.889343</v>
      </c>
      <c r="P83" s="61">
        <v>409.35006700000002</v>
      </c>
      <c r="Q83" s="61">
        <v>421.95538299999998</v>
      </c>
      <c r="R83" s="61">
        <v>434.64804099999998</v>
      </c>
      <c r="S83" s="61">
        <v>447.56896999999998</v>
      </c>
      <c r="T83" s="61">
        <v>460.54406699999998</v>
      </c>
      <c r="U83" s="61">
        <v>473.75897200000003</v>
      </c>
      <c r="V83" s="61">
        <v>487.113068</v>
      </c>
      <c r="W83" s="61">
        <v>500.82141100000001</v>
      </c>
      <c r="X83" s="61">
        <v>514.63696300000004</v>
      </c>
      <c r="Y83" s="61">
        <v>528.507385</v>
      </c>
      <c r="Z83" s="61">
        <v>542.51831100000004</v>
      </c>
      <c r="AA83" s="61">
        <v>556.87634300000002</v>
      </c>
      <c r="AB83" s="61">
        <v>571.38928199999998</v>
      </c>
      <c r="AC83" s="61">
        <v>585.79547100000002</v>
      </c>
      <c r="AD83" s="61">
        <v>600.09973100000002</v>
      </c>
      <c r="AE83" s="61">
        <v>614.19348100000002</v>
      </c>
      <c r="AF83" s="61">
        <v>628.37207000000001</v>
      </c>
      <c r="AG83" s="61">
        <v>642.55987500000003</v>
      </c>
      <c r="AH83" s="61">
        <v>656.76763900000003</v>
      </c>
      <c r="AI83" s="61">
        <v>671.04595900000004</v>
      </c>
      <c r="AJ83" s="61">
        <v>685.41284199999996</v>
      </c>
      <c r="AK83" s="62">
        <v>2.9793E-2</v>
      </c>
    </row>
    <row r="84" spans="1:37" ht="15" customHeight="1" x14ac:dyDescent="0.2">
      <c r="A84" s="57" t="s">
        <v>785</v>
      </c>
      <c r="B84" s="60" t="s">
        <v>721</v>
      </c>
      <c r="C84" s="61">
        <v>1263.8626710000001</v>
      </c>
      <c r="D84" s="61">
        <v>1329.928467</v>
      </c>
      <c r="E84" s="61">
        <v>1397.778564</v>
      </c>
      <c r="F84" s="61">
        <v>1467.3206789999999</v>
      </c>
      <c r="G84" s="61">
        <v>1538.759033</v>
      </c>
      <c r="H84" s="61">
        <v>1612.034668</v>
      </c>
      <c r="I84" s="61">
        <v>1689.234009</v>
      </c>
      <c r="J84" s="61">
        <v>1767.1823730000001</v>
      </c>
      <c r="K84" s="61">
        <v>1847.184082</v>
      </c>
      <c r="L84" s="61">
        <v>1927.7182620000001</v>
      </c>
      <c r="M84" s="61">
        <v>2010.533203</v>
      </c>
      <c r="N84" s="61">
        <v>2095.1437989999999</v>
      </c>
      <c r="O84" s="61">
        <v>2180.6313479999999</v>
      </c>
      <c r="P84" s="61">
        <v>2267.9448240000002</v>
      </c>
      <c r="Q84" s="61">
        <v>2356.6479490000002</v>
      </c>
      <c r="R84" s="61">
        <v>2446.156982</v>
      </c>
      <c r="S84" s="61">
        <v>2536.6845699999999</v>
      </c>
      <c r="T84" s="61">
        <v>2629.4968260000001</v>
      </c>
      <c r="U84" s="61">
        <v>2722.0395509999998</v>
      </c>
      <c r="V84" s="61">
        <v>2815.110107</v>
      </c>
      <c r="W84" s="61">
        <v>2908.342529</v>
      </c>
      <c r="X84" s="61">
        <v>3001.4167480000001</v>
      </c>
      <c r="Y84" s="61">
        <v>3093.6088869999999</v>
      </c>
      <c r="Z84" s="61">
        <v>3185.7861330000001</v>
      </c>
      <c r="AA84" s="61">
        <v>3276.783203</v>
      </c>
      <c r="AB84" s="61">
        <v>3368.9089359999998</v>
      </c>
      <c r="AC84" s="61">
        <v>3457.4533689999998</v>
      </c>
      <c r="AD84" s="61">
        <v>3545.4907229999999</v>
      </c>
      <c r="AE84" s="61">
        <v>3628.576904</v>
      </c>
      <c r="AF84" s="61">
        <v>3710.0310060000002</v>
      </c>
      <c r="AG84" s="61">
        <v>3789.8967290000001</v>
      </c>
      <c r="AH84" s="61">
        <v>3868.4384770000001</v>
      </c>
      <c r="AI84" s="61">
        <v>3947.0190429999998</v>
      </c>
      <c r="AJ84" s="61">
        <v>4025.7651369999999</v>
      </c>
      <c r="AK84" s="62">
        <v>3.5217999999999999E-2</v>
      </c>
    </row>
    <row r="85" spans="1:37" ht="15" customHeight="1" x14ac:dyDescent="0.2">
      <c r="A85" s="57" t="s">
        <v>786</v>
      </c>
      <c r="B85" s="60" t="s">
        <v>705</v>
      </c>
      <c r="C85" s="61">
        <v>764.75213599999995</v>
      </c>
      <c r="D85" s="61">
        <v>798.344604</v>
      </c>
      <c r="E85" s="61">
        <v>832.27911400000005</v>
      </c>
      <c r="F85" s="61">
        <v>867.51068099999998</v>
      </c>
      <c r="G85" s="61">
        <v>903.95800799999995</v>
      </c>
      <c r="H85" s="61">
        <v>941.48480199999995</v>
      </c>
      <c r="I85" s="61">
        <v>982.36883499999999</v>
      </c>
      <c r="J85" s="61">
        <v>1023.501953</v>
      </c>
      <c r="K85" s="61">
        <v>1065.9235839999999</v>
      </c>
      <c r="L85" s="61">
        <v>1108.430298</v>
      </c>
      <c r="M85" s="61">
        <v>1152.7148440000001</v>
      </c>
      <c r="N85" s="61">
        <v>1198.5772710000001</v>
      </c>
      <c r="O85" s="61">
        <v>1244.9300539999999</v>
      </c>
      <c r="P85" s="61">
        <v>1292.545654</v>
      </c>
      <c r="Q85" s="61">
        <v>1340.696533</v>
      </c>
      <c r="R85" s="61">
        <v>1388.813721</v>
      </c>
      <c r="S85" s="61">
        <v>1437.9860839999999</v>
      </c>
      <c r="T85" s="61">
        <v>1489.2312010000001</v>
      </c>
      <c r="U85" s="61">
        <v>1540.1057129999999</v>
      </c>
      <c r="V85" s="61">
        <v>1591.2768550000001</v>
      </c>
      <c r="W85" s="61">
        <v>1642.474976</v>
      </c>
      <c r="X85" s="61">
        <v>1693.4726559999999</v>
      </c>
      <c r="Y85" s="61">
        <v>1743.622803</v>
      </c>
      <c r="Z85" s="61">
        <v>1793.429932</v>
      </c>
      <c r="AA85" s="61">
        <v>1841.8488769999999</v>
      </c>
      <c r="AB85" s="61">
        <v>1891.7348629999999</v>
      </c>
      <c r="AC85" s="61">
        <v>1939.6024170000001</v>
      </c>
      <c r="AD85" s="61">
        <v>1988.8551030000001</v>
      </c>
      <c r="AE85" s="61">
        <v>2034.0500489999999</v>
      </c>
      <c r="AF85" s="61">
        <v>2078.4514159999999</v>
      </c>
      <c r="AG85" s="61">
        <v>2122.0920409999999</v>
      </c>
      <c r="AH85" s="61">
        <v>2165.1645509999998</v>
      </c>
      <c r="AI85" s="61">
        <v>2208.9296880000002</v>
      </c>
      <c r="AJ85" s="61">
        <v>2253.4169919999999</v>
      </c>
      <c r="AK85" s="62">
        <v>3.2958000000000001E-2</v>
      </c>
    </row>
    <row r="86" spans="1:37" ht="15" customHeight="1" x14ac:dyDescent="0.2">
      <c r="A86" s="57" t="s">
        <v>787</v>
      </c>
      <c r="B86" s="60" t="s">
        <v>707</v>
      </c>
      <c r="C86" s="61">
        <v>142.32788099999999</v>
      </c>
      <c r="D86" s="61">
        <v>154.80630500000001</v>
      </c>
      <c r="E86" s="61">
        <v>168.342209</v>
      </c>
      <c r="F86" s="61">
        <v>181.86196899999999</v>
      </c>
      <c r="G86" s="61">
        <v>195.737549</v>
      </c>
      <c r="H86" s="61">
        <v>210.06068400000001</v>
      </c>
      <c r="I86" s="61">
        <v>224.712906</v>
      </c>
      <c r="J86" s="61">
        <v>239.633713</v>
      </c>
      <c r="K86" s="61">
        <v>254.988373</v>
      </c>
      <c r="L86" s="61">
        <v>270.45413200000002</v>
      </c>
      <c r="M86" s="61">
        <v>286.10501099999999</v>
      </c>
      <c r="N86" s="61">
        <v>301.63900799999999</v>
      </c>
      <c r="O86" s="61">
        <v>317.19519000000003</v>
      </c>
      <c r="P86" s="61">
        <v>332.93984999999998</v>
      </c>
      <c r="Q86" s="61">
        <v>349.18682899999999</v>
      </c>
      <c r="R86" s="61">
        <v>365.93933099999998</v>
      </c>
      <c r="S86" s="61">
        <v>382.29846199999997</v>
      </c>
      <c r="T86" s="61">
        <v>398.44940200000002</v>
      </c>
      <c r="U86" s="61">
        <v>414.35647599999999</v>
      </c>
      <c r="V86" s="61">
        <v>430.24121100000002</v>
      </c>
      <c r="W86" s="61">
        <v>446.14245599999998</v>
      </c>
      <c r="X86" s="61">
        <v>462.09558099999998</v>
      </c>
      <c r="Y86" s="61">
        <v>478.14501999999999</v>
      </c>
      <c r="Z86" s="61">
        <v>494.76498400000003</v>
      </c>
      <c r="AA86" s="61">
        <v>511.92507899999998</v>
      </c>
      <c r="AB86" s="61">
        <v>529.19000200000005</v>
      </c>
      <c r="AC86" s="61">
        <v>545.42614700000001</v>
      </c>
      <c r="AD86" s="61">
        <v>560.36377000000005</v>
      </c>
      <c r="AE86" s="61">
        <v>575.00860599999999</v>
      </c>
      <c r="AF86" s="61">
        <v>589.36859100000004</v>
      </c>
      <c r="AG86" s="61">
        <v>603.40716599999996</v>
      </c>
      <c r="AH86" s="61">
        <v>617.09985400000005</v>
      </c>
      <c r="AI86" s="61">
        <v>630.43719499999997</v>
      </c>
      <c r="AJ86" s="61">
        <v>643.44171100000005</v>
      </c>
      <c r="AK86" s="62">
        <v>4.5525999999999997E-2</v>
      </c>
    </row>
    <row r="87" spans="1:37" ht="15" customHeight="1" x14ac:dyDescent="0.2">
      <c r="A87" s="57" t="s">
        <v>788</v>
      </c>
      <c r="B87" s="60" t="s">
        <v>709</v>
      </c>
      <c r="C87" s="61">
        <v>356.78268400000002</v>
      </c>
      <c r="D87" s="61">
        <v>376.77758799999998</v>
      </c>
      <c r="E87" s="61">
        <v>397.15728799999999</v>
      </c>
      <c r="F87" s="61">
        <v>417.94802900000002</v>
      </c>
      <c r="G87" s="61">
        <v>439.06350700000002</v>
      </c>
      <c r="H87" s="61">
        <v>460.489105</v>
      </c>
      <c r="I87" s="61">
        <v>482.15219100000002</v>
      </c>
      <c r="J87" s="61">
        <v>504.04675300000002</v>
      </c>
      <c r="K87" s="61">
        <v>526.272156</v>
      </c>
      <c r="L87" s="61">
        <v>548.83392300000003</v>
      </c>
      <c r="M87" s="61">
        <v>571.71343999999999</v>
      </c>
      <c r="N87" s="61">
        <v>594.92755099999999</v>
      </c>
      <c r="O87" s="61">
        <v>618.50610400000005</v>
      </c>
      <c r="P87" s="61">
        <v>642.45922900000005</v>
      </c>
      <c r="Q87" s="61">
        <v>666.76470900000004</v>
      </c>
      <c r="R87" s="61">
        <v>691.40386999999998</v>
      </c>
      <c r="S87" s="61">
        <v>716.40008499999999</v>
      </c>
      <c r="T87" s="61">
        <v>741.81622300000004</v>
      </c>
      <c r="U87" s="61">
        <v>767.57745399999999</v>
      </c>
      <c r="V87" s="61">
        <v>793.59198000000004</v>
      </c>
      <c r="W87" s="61">
        <v>819.725098</v>
      </c>
      <c r="X87" s="61">
        <v>845.84832800000004</v>
      </c>
      <c r="Y87" s="61">
        <v>871.84118699999999</v>
      </c>
      <c r="Z87" s="61">
        <v>897.59136999999998</v>
      </c>
      <c r="AA87" s="61">
        <v>923.00939900000003</v>
      </c>
      <c r="AB87" s="61">
        <v>947.98419200000001</v>
      </c>
      <c r="AC87" s="61">
        <v>972.42474400000003</v>
      </c>
      <c r="AD87" s="61">
        <v>996.27203399999996</v>
      </c>
      <c r="AE87" s="61">
        <v>1019.51825</v>
      </c>
      <c r="AF87" s="61">
        <v>1042.2109379999999</v>
      </c>
      <c r="AG87" s="61">
        <v>1064.397461</v>
      </c>
      <c r="AH87" s="61">
        <v>1086.1741939999999</v>
      </c>
      <c r="AI87" s="61">
        <v>1107.6521</v>
      </c>
      <c r="AJ87" s="61">
        <v>1128.9063719999999</v>
      </c>
      <c r="AK87" s="62">
        <v>3.4887000000000001E-2</v>
      </c>
    </row>
    <row r="88" spans="1:37" ht="15" customHeight="1" x14ac:dyDescent="0.2">
      <c r="A88" s="57" t="s">
        <v>789</v>
      </c>
      <c r="B88" s="60" t="s">
        <v>726</v>
      </c>
      <c r="C88" s="61">
        <v>5669.8149409999996</v>
      </c>
      <c r="D88" s="61">
        <v>5916.5063479999999</v>
      </c>
      <c r="E88" s="61">
        <v>6162.7353519999997</v>
      </c>
      <c r="F88" s="61">
        <v>6408.0532229999999</v>
      </c>
      <c r="G88" s="61">
        <v>6652.3369140000004</v>
      </c>
      <c r="H88" s="61">
        <v>6895.9702150000003</v>
      </c>
      <c r="I88" s="61">
        <v>7136.8823240000002</v>
      </c>
      <c r="J88" s="61">
        <v>7371.9350590000004</v>
      </c>
      <c r="K88" s="61">
        <v>7601.294922</v>
      </c>
      <c r="L88" s="61">
        <v>7828.2304690000001</v>
      </c>
      <c r="M88" s="61">
        <v>8051.4829099999997</v>
      </c>
      <c r="N88" s="61">
        <v>8268.7011719999991</v>
      </c>
      <c r="O88" s="61">
        <v>8482.6748050000006</v>
      </c>
      <c r="P88" s="61">
        <v>8687.8964840000008</v>
      </c>
      <c r="Q88" s="61">
        <v>8883.8886719999991</v>
      </c>
      <c r="R88" s="61">
        <v>9084.9355469999991</v>
      </c>
      <c r="S88" s="61">
        <v>9279.7255860000005</v>
      </c>
      <c r="T88" s="61">
        <v>9466.9423829999996</v>
      </c>
      <c r="U88" s="61">
        <v>9645.9912110000005</v>
      </c>
      <c r="V88" s="61">
        <v>9821.6308590000008</v>
      </c>
      <c r="W88" s="61">
        <v>9986.7841800000006</v>
      </c>
      <c r="X88" s="61">
        <v>10141.414062</v>
      </c>
      <c r="Y88" s="61">
        <v>10287.935546999999</v>
      </c>
      <c r="Z88" s="61">
        <v>10426.463867</v>
      </c>
      <c r="AA88" s="61">
        <v>10566.03125</v>
      </c>
      <c r="AB88" s="61">
        <v>10706.112305000001</v>
      </c>
      <c r="AC88" s="61">
        <v>10844.841796999999</v>
      </c>
      <c r="AD88" s="61">
        <v>10978.222656</v>
      </c>
      <c r="AE88" s="61">
        <v>11108.488281</v>
      </c>
      <c r="AF88" s="61">
        <v>11241.760742</v>
      </c>
      <c r="AG88" s="61">
        <v>11398.318359000001</v>
      </c>
      <c r="AH88" s="61">
        <v>11554.322265999999</v>
      </c>
      <c r="AI88" s="61">
        <v>11716.214844</v>
      </c>
      <c r="AJ88" s="61">
        <v>11886.504883</v>
      </c>
      <c r="AK88" s="62">
        <v>2.2041000000000002E-2</v>
      </c>
    </row>
    <row r="89" spans="1:37" ht="15" customHeight="1" x14ac:dyDescent="0.2">
      <c r="A89" s="57" t="s">
        <v>790</v>
      </c>
      <c r="B89" s="60" t="s">
        <v>705</v>
      </c>
      <c r="C89" s="61">
        <v>3450.0043949999999</v>
      </c>
      <c r="D89" s="61">
        <v>3623.9633789999998</v>
      </c>
      <c r="E89" s="61">
        <v>3799.8933109999998</v>
      </c>
      <c r="F89" s="61">
        <v>3976.5515140000002</v>
      </c>
      <c r="G89" s="61">
        <v>4153.5610349999997</v>
      </c>
      <c r="H89" s="61">
        <v>4330.9458009999998</v>
      </c>
      <c r="I89" s="61">
        <v>4506.3955079999996</v>
      </c>
      <c r="J89" s="61">
        <v>4678.3520509999998</v>
      </c>
      <c r="K89" s="61">
        <v>4850.3969729999999</v>
      </c>
      <c r="L89" s="61">
        <v>5024.8984380000002</v>
      </c>
      <c r="M89" s="61">
        <v>5196.591797</v>
      </c>
      <c r="N89" s="61">
        <v>5365.8471680000002</v>
      </c>
      <c r="O89" s="61">
        <v>5534.2451170000004</v>
      </c>
      <c r="P89" s="61">
        <v>5694.5898440000001</v>
      </c>
      <c r="Q89" s="61">
        <v>5847.9653319999998</v>
      </c>
      <c r="R89" s="61">
        <v>6001.9301759999998</v>
      </c>
      <c r="S89" s="61">
        <v>6148.7275390000004</v>
      </c>
      <c r="T89" s="61">
        <v>6290.8608400000003</v>
      </c>
      <c r="U89" s="61">
        <v>6428.9023440000001</v>
      </c>
      <c r="V89" s="61">
        <v>6562.1132809999999</v>
      </c>
      <c r="W89" s="61">
        <v>6694.1601559999999</v>
      </c>
      <c r="X89" s="61">
        <v>6812.9746089999999</v>
      </c>
      <c r="Y89" s="61">
        <v>6927.1254879999997</v>
      </c>
      <c r="Z89" s="61">
        <v>7036.1884769999997</v>
      </c>
      <c r="AA89" s="61">
        <v>7144.3818359999996</v>
      </c>
      <c r="AB89" s="61">
        <v>7252.3271480000003</v>
      </c>
      <c r="AC89" s="61">
        <v>7357.7880859999996</v>
      </c>
      <c r="AD89" s="61">
        <v>7458.1044920000004</v>
      </c>
      <c r="AE89" s="61">
        <v>7554.9140619999998</v>
      </c>
      <c r="AF89" s="61">
        <v>7653.3798829999996</v>
      </c>
      <c r="AG89" s="61">
        <v>7751.0297849999997</v>
      </c>
      <c r="AH89" s="61">
        <v>7843.578125</v>
      </c>
      <c r="AI89" s="61">
        <v>7936.5444340000004</v>
      </c>
      <c r="AJ89" s="61">
        <v>8033.2172849999997</v>
      </c>
      <c r="AK89" s="62">
        <v>2.5187000000000001E-2</v>
      </c>
    </row>
    <row r="90" spans="1:37" ht="15" customHeight="1" x14ac:dyDescent="0.2">
      <c r="A90" s="57" t="s">
        <v>791</v>
      </c>
      <c r="B90" s="60" t="s">
        <v>707</v>
      </c>
      <c r="C90" s="61">
        <v>931.85382100000004</v>
      </c>
      <c r="D90" s="61">
        <v>980.46203600000001</v>
      </c>
      <c r="E90" s="61">
        <v>1028.027466</v>
      </c>
      <c r="F90" s="61">
        <v>1075.401001</v>
      </c>
      <c r="G90" s="61">
        <v>1122.7749020000001</v>
      </c>
      <c r="H90" s="61">
        <v>1170.8873289999999</v>
      </c>
      <c r="I90" s="61">
        <v>1219.5792240000001</v>
      </c>
      <c r="J90" s="61">
        <v>1268.1807859999999</v>
      </c>
      <c r="K90" s="61">
        <v>1313.461182</v>
      </c>
      <c r="L90" s="61">
        <v>1355.0289310000001</v>
      </c>
      <c r="M90" s="61">
        <v>1396.700928</v>
      </c>
      <c r="N90" s="61">
        <v>1435.6623540000001</v>
      </c>
      <c r="O90" s="61">
        <v>1473.7375489999999</v>
      </c>
      <c r="P90" s="61">
        <v>1510.874268</v>
      </c>
      <c r="Q90" s="61">
        <v>1544.9423830000001</v>
      </c>
      <c r="R90" s="61">
        <v>1583.038818</v>
      </c>
      <c r="S90" s="61">
        <v>1623.3950199999999</v>
      </c>
      <c r="T90" s="61">
        <v>1661.457275</v>
      </c>
      <c r="U90" s="61">
        <v>1696.4654539999999</v>
      </c>
      <c r="V90" s="61">
        <v>1732.428101</v>
      </c>
      <c r="W90" s="61">
        <v>1758.9167480000001</v>
      </c>
      <c r="X90" s="61">
        <v>1789.4476320000001</v>
      </c>
      <c r="Y90" s="61">
        <v>1818.4746090000001</v>
      </c>
      <c r="Z90" s="61">
        <v>1844.9761960000001</v>
      </c>
      <c r="AA90" s="61">
        <v>1871.9291989999999</v>
      </c>
      <c r="AB90" s="61">
        <v>1899.3863530000001</v>
      </c>
      <c r="AC90" s="61">
        <v>1927.1816409999999</v>
      </c>
      <c r="AD90" s="61">
        <v>1955.2745359999999</v>
      </c>
      <c r="AE90" s="61">
        <v>1983.518677</v>
      </c>
      <c r="AF90" s="61">
        <v>2011.7879640000001</v>
      </c>
      <c r="AG90" s="61">
        <v>2062.2583009999998</v>
      </c>
      <c r="AH90" s="61">
        <v>2115.342529</v>
      </c>
      <c r="AI90" s="61">
        <v>2171.953125</v>
      </c>
      <c r="AJ90" s="61">
        <v>2231.3713379999999</v>
      </c>
      <c r="AK90" s="62">
        <v>2.6030999999999999E-2</v>
      </c>
    </row>
    <row r="91" spans="1:37" ht="15" customHeight="1" x14ac:dyDescent="0.2">
      <c r="A91" s="57" t="s">
        <v>792</v>
      </c>
      <c r="B91" s="60" t="s">
        <v>709</v>
      </c>
      <c r="C91" s="61">
        <v>1287.9566649999999</v>
      </c>
      <c r="D91" s="61">
        <v>1312.081177</v>
      </c>
      <c r="E91" s="61">
        <v>1334.814453</v>
      </c>
      <c r="F91" s="61">
        <v>1356.1004640000001</v>
      </c>
      <c r="G91" s="61">
        <v>1376.000732</v>
      </c>
      <c r="H91" s="61">
        <v>1394.1373289999999</v>
      </c>
      <c r="I91" s="61">
        <v>1410.9075929999999</v>
      </c>
      <c r="J91" s="61">
        <v>1425.4023440000001</v>
      </c>
      <c r="K91" s="61">
        <v>1437.4366460000001</v>
      </c>
      <c r="L91" s="61">
        <v>1448.3032229999999</v>
      </c>
      <c r="M91" s="61">
        <v>1458.1898189999999</v>
      </c>
      <c r="N91" s="61">
        <v>1467.1918949999999</v>
      </c>
      <c r="O91" s="61">
        <v>1474.692749</v>
      </c>
      <c r="P91" s="61">
        <v>1482.4326169999999</v>
      </c>
      <c r="Q91" s="61">
        <v>1490.9814449999999</v>
      </c>
      <c r="R91" s="61">
        <v>1499.966919</v>
      </c>
      <c r="S91" s="61">
        <v>1507.6026609999999</v>
      </c>
      <c r="T91" s="61">
        <v>1514.6241460000001</v>
      </c>
      <c r="U91" s="61">
        <v>1520.6239009999999</v>
      </c>
      <c r="V91" s="61">
        <v>1527.0898440000001</v>
      </c>
      <c r="W91" s="61">
        <v>1533.7071530000001</v>
      </c>
      <c r="X91" s="61">
        <v>1538.991943</v>
      </c>
      <c r="Y91" s="61">
        <v>1542.3358149999999</v>
      </c>
      <c r="Z91" s="61">
        <v>1545.2985839999999</v>
      </c>
      <c r="AA91" s="61">
        <v>1549.7202150000001</v>
      </c>
      <c r="AB91" s="61">
        <v>1554.3983149999999</v>
      </c>
      <c r="AC91" s="61">
        <v>1559.871582</v>
      </c>
      <c r="AD91" s="61">
        <v>1564.8438719999999</v>
      </c>
      <c r="AE91" s="61">
        <v>1570.055298</v>
      </c>
      <c r="AF91" s="61">
        <v>1576.5924070000001</v>
      </c>
      <c r="AG91" s="61">
        <v>1585.030029</v>
      </c>
      <c r="AH91" s="61">
        <v>1595.4013669999999</v>
      </c>
      <c r="AI91" s="61">
        <v>1607.716919</v>
      </c>
      <c r="AJ91" s="61">
        <v>1621.9157709999999</v>
      </c>
      <c r="AK91" s="62">
        <v>6.6470000000000001E-3</v>
      </c>
    </row>
    <row r="92" spans="1:37" ht="15" customHeight="1" x14ac:dyDescent="0.2">
      <c r="A92" s="57" t="s">
        <v>793</v>
      </c>
      <c r="B92" s="60" t="s">
        <v>731</v>
      </c>
      <c r="C92" s="61">
        <v>1118.70874</v>
      </c>
      <c r="D92" s="61">
        <v>1145.1319579999999</v>
      </c>
      <c r="E92" s="61">
        <v>1174.7423100000001</v>
      </c>
      <c r="F92" s="61">
        <v>1207.686768</v>
      </c>
      <c r="G92" s="61">
        <v>1242.205688</v>
      </c>
      <c r="H92" s="61">
        <v>1278.2299800000001</v>
      </c>
      <c r="I92" s="61">
        <v>1316.0905760000001</v>
      </c>
      <c r="J92" s="61">
        <v>1355.295288</v>
      </c>
      <c r="K92" s="61">
        <v>1395.733154</v>
      </c>
      <c r="L92" s="61">
        <v>1437.0047609999999</v>
      </c>
      <c r="M92" s="61">
        <v>1478.6892089999999</v>
      </c>
      <c r="N92" s="61">
        <v>1522.385254</v>
      </c>
      <c r="O92" s="61">
        <v>1568.0135499999999</v>
      </c>
      <c r="P92" s="61">
        <v>1614.72522</v>
      </c>
      <c r="Q92" s="61">
        <v>1669.972168</v>
      </c>
      <c r="R92" s="61">
        <v>1726.668091</v>
      </c>
      <c r="S92" s="61">
        <v>1785.729736</v>
      </c>
      <c r="T92" s="61">
        <v>1847.3587649999999</v>
      </c>
      <c r="U92" s="61">
        <v>1911.7426760000001</v>
      </c>
      <c r="V92" s="61">
        <v>1979.413818</v>
      </c>
      <c r="W92" s="61">
        <v>2049.8413089999999</v>
      </c>
      <c r="X92" s="61">
        <v>2122.5446780000002</v>
      </c>
      <c r="Y92" s="61">
        <v>2200.0437010000001</v>
      </c>
      <c r="Z92" s="61">
        <v>2286.1420899999998</v>
      </c>
      <c r="AA92" s="61">
        <v>2374.9365229999999</v>
      </c>
      <c r="AB92" s="61">
        <v>2468.6303710000002</v>
      </c>
      <c r="AC92" s="61">
        <v>2568.148682</v>
      </c>
      <c r="AD92" s="61">
        <v>2673.8312989999999</v>
      </c>
      <c r="AE92" s="61">
        <v>2784.969482</v>
      </c>
      <c r="AF92" s="61">
        <v>2900.1547850000002</v>
      </c>
      <c r="AG92" s="61">
        <v>3019.9145509999998</v>
      </c>
      <c r="AH92" s="61">
        <v>3145.334961</v>
      </c>
      <c r="AI92" s="61">
        <v>3276.735596</v>
      </c>
      <c r="AJ92" s="61">
        <v>3414.1586910000001</v>
      </c>
      <c r="AK92" s="62">
        <v>3.4727000000000001E-2</v>
      </c>
    </row>
    <row r="93" spans="1:37" ht="15" customHeight="1" x14ac:dyDescent="0.2">
      <c r="A93" s="57" t="s">
        <v>794</v>
      </c>
      <c r="B93" s="60" t="s">
        <v>705</v>
      </c>
      <c r="C93" s="61">
        <v>487.360321</v>
      </c>
      <c r="D93" s="61">
        <v>500.91980000000001</v>
      </c>
      <c r="E93" s="61">
        <v>516.48785399999997</v>
      </c>
      <c r="F93" s="61">
        <v>534.23168899999996</v>
      </c>
      <c r="G93" s="61">
        <v>552.87341300000003</v>
      </c>
      <c r="H93" s="61">
        <v>572.52624500000002</v>
      </c>
      <c r="I93" s="61">
        <v>593.22576900000001</v>
      </c>
      <c r="J93" s="61">
        <v>614.72534199999996</v>
      </c>
      <c r="K93" s="61">
        <v>636.77417000000003</v>
      </c>
      <c r="L93" s="61">
        <v>659.28881799999999</v>
      </c>
      <c r="M93" s="61">
        <v>682.38378899999998</v>
      </c>
      <c r="N93" s="61">
        <v>706.19921899999997</v>
      </c>
      <c r="O93" s="61">
        <v>730.95165999999995</v>
      </c>
      <c r="P93" s="61">
        <v>756.40801999999996</v>
      </c>
      <c r="Q93" s="61">
        <v>788.51525900000001</v>
      </c>
      <c r="R93" s="61">
        <v>821.66216999999995</v>
      </c>
      <c r="S93" s="61">
        <v>856.59454300000004</v>
      </c>
      <c r="T93" s="61">
        <v>893.50970500000005</v>
      </c>
      <c r="U93" s="61">
        <v>932.27294900000004</v>
      </c>
      <c r="V93" s="61">
        <v>972.92138699999998</v>
      </c>
      <c r="W93" s="61">
        <v>1015.387207</v>
      </c>
      <c r="X93" s="61">
        <v>1059.741943</v>
      </c>
      <c r="Y93" s="61">
        <v>1106.2196039999999</v>
      </c>
      <c r="Z93" s="61">
        <v>1158.114014</v>
      </c>
      <c r="AA93" s="61">
        <v>1209.739746</v>
      </c>
      <c r="AB93" s="61">
        <v>1263.4270019999999</v>
      </c>
      <c r="AC93" s="61">
        <v>1319.581543</v>
      </c>
      <c r="AD93" s="61">
        <v>1378.3916019999999</v>
      </c>
      <c r="AE93" s="61">
        <v>1440.023193</v>
      </c>
      <c r="AF93" s="61">
        <v>1504.4844969999999</v>
      </c>
      <c r="AG93" s="61">
        <v>1571.1389160000001</v>
      </c>
      <c r="AH93" s="61">
        <v>1641.1098629999999</v>
      </c>
      <c r="AI93" s="61">
        <v>1714.712769</v>
      </c>
      <c r="AJ93" s="61">
        <v>1791.9243160000001</v>
      </c>
      <c r="AK93" s="62">
        <v>4.0634999999999998E-2</v>
      </c>
    </row>
    <row r="94" spans="1:37" ht="15" customHeight="1" x14ac:dyDescent="0.2">
      <c r="A94" s="57" t="s">
        <v>795</v>
      </c>
      <c r="B94" s="60" t="s">
        <v>707</v>
      </c>
      <c r="C94" s="61">
        <v>173.43632500000001</v>
      </c>
      <c r="D94" s="61">
        <v>185.853104</v>
      </c>
      <c r="E94" s="61">
        <v>198.976776</v>
      </c>
      <c r="F94" s="61">
        <v>212.781586</v>
      </c>
      <c r="G94" s="61">
        <v>227.20426900000001</v>
      </c>
      <c r="H94" s="61">
        <v>242.04608200000001</v>
      </c>
      <c r="I94" s="61">
        <v>257.60806300000002</v>
      </c>
      <c r="J94" s="61">
        <v>273.72692899999998</v>
      </c>
      <c r="K94" s="61">
        <v>290.61676</v>
      </c>
      <c r="L94" s="61">
        <v>307.98501599999997</v>
      </c>
      <c r="M94" s="61">
        <v>325.27066000000002</v>
      </c>
      <c r="N94" s="61">
        <v>343.90231299999999</v>
      </c>
      <c r="O94" s="61">
        <v>363.54013099999997</v>
      </c>
      <c r="P94" s="61">
        <v>383.63079800000003</v>
      </c>
      <c r="Q94" s="61">
        <v>404.35668900000002</v>
      </c>
      <c r="R94" s="61">
        <v>425.580536</v>
      </c>
      <c r="S94" s="61">
        <v>447.32775900000001</v>
      </c>
      <c r="T94" s="61">
        <v>469.5849</v>
      </c>
      <c r="U94" s="61">
        <v>492.723724</v>
      </c>
      <c r="V94" s="61">
        <v>517.25219700000002</v>
      </c>
      <c r="W94" s="61">
        <v>542.73968500000001</v>
      </c>
      <c r="X94" s="61">
        <v>568.63946499999997</v>
      </c>
      <c r="Y94" s="61">
        <v>595.78094499999997</v>
      </c>
      <c r="Z94" s="61">
        <v>624.02783199999999</v>
      </c>
      <c r="AA94" s="61">
        <v>653.11889599999995</v>
      </c>
      <c r="AB94" s="61">
        <v>682.95355199999995</v>
      </c>
      <c r="AC94" s="61">
        <v>714.08129899999994</v>
      </c>
      <c r="AD94" s="61">
        <v>746.79150400000003</v>
      </c>
      <c r="AE94" s="61">
        <v>780.337402</v>
      </c>
      <c r="AF94" s="61">
        <v>813.52288799999997</v>
      </c>
      <c r="AG94" s="61">
        <v>847.66766399999995</v>
      </c>
      <c r="AH94" s="61">
        <v>882.80542000000003</v>
      </c>
      <c r="AI94" s="61">
        <v>918.98364300000003</v>
      </c>
      <c r="AJ94" s="61">
        <v>956.24603300000001</v>
      </c>
      <c r="AK94" s="62">
        <v>5.2521999999999999E-2</v>
      </c>
    </row>
    <row r="95" spans="1:37" ht="15" customHeight="1" x14ac:dyDescent="0.2">
      <c r="A95" s="57" t="s">
        <v>796</v>
      </c>
      <c r="B95" s="60" t="s">
        <v>709</v>
      </c>
      <c r="C95" s="61">
        <v>457.91217</v>
      </c>
      <c r="D95" s="61">
        <v>458.359039</v>
      </c>
      <c r="E95" s="61">
        <v>459.27773999999999</v>
      </c>
      <c r="F95" s="61">
        <v>460.67340100000001</v>
      </c>
      <c r="G95" s="61">
        <v>462.12795999999997</v>
      </c>
      <c r="H95" s="61">
        <v>463.657715</v>
      </c>
      <c r="I95" s="61">
        <v>465.25668300000001</v>
      </c>
      <c r="J95" s="61">
        <v>466.84304800000001</v>
      </c>
      <c r="K95" s="61">
        <v>468.34216300000003</v>
      </c>
      <c r="L95" s="61">
        <v>469.73092700000001</v>
      </c>
      <c r="M95" s="61">
        <v>471.03472900000003</v>
      </c>
      <c r="N95" s="61">
        <v>472.283661</v>
      </c>
      <c r="O95" s="61">
        <v>473.52175899999997</v>
      </c>
      <c r="P95" s="61">
        <v>474.68643200000002</v>
      </c>
      <c r="Q95" s="61">
        <v>477.100281</v>
      </c>
      <c r="R95" s="61">
        <v>479.42544600000002</v>
      </c>
      <c r="S95" s="61">
        <v>481.807343</v>
      </c>
      <c r="T95" s="61">
        <v>484.26413000000002</v>
      </c>
      <c r="U95" s="61">
        <v>486.74600199999998</v>
      </c>
      <c r="V95" s="61">
        <v>489.240295</v>
      </c>
      <c r="W95" s="61">
        <v>491.71432499999997</v>
      </c>
      <c r="X95" s="61">
        <v>494.16332999999997</v>
      </c>
      <c r="Y95" s="61">
        <v>498.04312099999999</v>
      </c>
      <c r="Z95" s="61">
        <v>504.00030500000003</v>
      </c>
      <c r="AA95" s="61">
        <v>512.07794200000001</v>
      </c>
      <c r="AB95" s="61">
        <v>522.24981700000001</v>
      </c>
      <c r="AC95" s="61">
        <v>534.48584000000005</v>
      </c>
      <c r="AD95" s="61">
        <v>548.64819299999999</v>
      </c>
      <c r="AE95" s="61">
        <v>564.60894800000005</v>
      </c>
      <c r="AF95" s="61">
        <v>582.14733899999999</v>
      </c>
      <c r="AG95" s="61">
        <v>601.10790999999995</v>
      </c>
      <c r="AH95" s="61">
        <v>621.41980000000001</v>
      </c>
      <c r="AI95" s="61">
        <v>643.03924600000005</v>
      </c>
      <c r="AJ95" s="61">
        <v>665.98828100000003</v>
      </c>
      <c r="AK95" s="62">
        <v>1.1743999999999999E-2</v>
      </c>
    </row>
    <row r="96" spans="1:37" ht="15" customHeight="1" x14ac:dyDescent="0.2">
      <c r="A96" s="57" t="s">
        <v>797</v>
      </c>
      <c r="B96" s="60" t="s">
        <v>736</v>
      </c>
      <c r="C96" s="61">
        <v>1708.991211</v>
      </c>
      <c r="D96" s="61">
        <v>1805.689331</v>
      </c>
      <c r="E96" s="61">
        <v>1905.7021480000001</v>
      </c>
      <c r="F96" s="61">
        <v>2008.248047</v>
      </c>
      <c r="G96" s="61">
        <v>2118.6145019999999</v>
      </c>
      <c r="H96" s="61">
        <v>2226.3388669999999</v>
      </c>
      <c r="I96" s="61">
        <v>2335.5422359999998</v>
      </c>
      <c r="J96" s="61">
        <v>2443.2304690000001</v>
      </c>
      <c r="K96" s="61">
        <v>2551.7009280000002</v>
      </c>
      <c r="L96" s="61">
        <v>2672.2924800000001</v>
      </c>
      <c r="M96" s="61">
        <v>2774.7583009999998</v>
      </c>
      <c r="N96" s="61">
        <v>2898.9672850000002</v>
      </c>
      <c r="O96" s="61">
        <v>3004.0571289999998</v>
      </c>
      <c r="P96" s="61">
        <v>3109.2463379999999</v>
      </c>
      <c r="Q96" s="61">
        <v>3231.5588379999999</v>
      </c>
      <c r="R96" s="61">
        <v>3355.7590329999998</v>
      </c>
      <c r="S96" s="61">
        <v>3468.1877439999998</v>
      </c>
      <c r="T96" s="61">
        <v>3595.078857</v>
      </c>
      <c r="U96" s="61">
        <v>3724.8376459999999</v>
      </c>
      <c r="V96" s="61">
        <v>3858.1301269999999</v>
      </c>
      <c r="W96" s="61">
        <v>3993.2592770000001</v>
      </c>
      <c r="X96" s="61">
        <v>4129.9736329999996</v>
      </c>
      <c r="Y96" s="61">
        <v>4266.8979490000002</v>
      </c>
      <c r="Z96" s="61">
        <v>4431.9096680000002</v>
      </c>
      <c r="AA96" s="61">
        <v>4567.7929690000001</v>
      </c>
      <c r="AB96" s="61">
        <v>4730.3735349999997</v>
      </c>
      <c r="AC96" s="61">
        <v>4865.4204099999997</v>
      </c>
      <c r="AD96" s="61">
        <v>5042.2705079999996</v>
      </c>
      <c r="AE96" s="61">
        <v>5173.466797</v>
      </c>
      <c r="AF96" s="61">
        <v>5349.5371089999999</v>
      </c>
      <c r="AG96" s="61">
        <v>5469.1391599999997</v>
      </c>
      <c r="AH96" s="61">
        <v>5602.0898440000001</v>
      </c>
      <c r="AI96" s="61">
        <v>5738.4560549999997</v>
      </c>
      <c r="AJ96" s="61">
        <v>5871.1162109999996</v>
      </c>
      <c r="AK96" s="62">
        <v>3.7533999999999998E-2</v>
      </c>
    </row>
    <row r="97" spans="1:37" ht="15" customHeight="1" x14ac:dyDescent="0.2">
      <c r="A97" s="57" t="s">
        <v>798</v>
      </c>
      <c r="B97" s="60" t="s">
        <v>705</v>
      </c>
      <c r="C97" s="61">
        <v>723.07763699999998</v>
      </c>
      <c r="D97" s="61">
        <v>762.27722200000005</v>
      </c>
      <c r="E97" s="61">
        <v>803.206909</v>
      </c>
      <c r="F97" s="61">
        <v>846.17730700000004</v>
      </c>
      <c r="G97" s="61">
        <v>890.54467799999998</v>
      </c>
      <c r="H97" s="61">
        <v>936.72729500000003</v>
      </c>
      <c r="I97" s="61">
        <v>984.87744099999998</v>
      </c>
      <c r="J97" s="61">
        <v>1034.576294</v>
      </c>
      <c r="K97" s="61">
        <v>1085.53772</v>
      </c>
      <c r="L97" s="61">
        <v>1137.731567</v>
      </c>
      <c r="M97" s="61">
        <v>1190.590698</v>
      </c>
      <c r="N97" s="61">
        <v>1244.6053469999999</v>
      </c>
      <c r="O97" s="61">
        <v>1299.276245</v>
      </c>
      <c r="P97" s="61">
        <v>1354.1982419999999</v>
      </c>
      <c r="Q97" s="61">
        <v>1409.739014</v>
      </c>
      <c r="R97" s="61">
        <v>1465.9288329999999</v>
      </c>
      <c r="S97" s="61">
        <v>1524.1206050000001</v>
      </c>
      <c r="T97" s="61">
        <v>1584.145264</v>
      </c>
      <c r="U97" s="61">
        <v>1645.1707759999999</v>
      </c>
      <c r="V97" s="61">
        <v>1708.1236570000001</v>
      </c>
      <c r="W97" s="61">
        <v>1771.4959719999999</v>
      </c>
      <c r="X97" s="61">
        <v>1835.5126949999999</v>
      </c>
      <c r="Y97" s="61">
        <v>1898.6911620000001</v>
      </c>
      <c r="Z97" s="61">
        <v>1962.195068</v>
      </c>
      <c r="AA97" s="61">
        <v>2026.384033</v>
      </c>
      <c r="AB97" s="61">
        <v>2091.6411130000001</v>
      </c>
      <c r="AC97" s="61">
        <v>2157.8161620000001</v>
      </c>
      <c r="AD97" s="61">
        <v>2225.419922</v>
      </c>
      <c r="AE97" s="61">
        <v>2291.9978030000002</v>
      </c>
      <c r="AF97" s="61">
        <v>2358.7409670000002</v>
      </c>
      <c r="AG97" s="61">
        <v>2424.6508789999998</v>
      </c>
      <c r="AH97" s="61">
        <v>2489.0864259999998</v>
      </c>
      <c r="AI97" s="61">
        <v>2552.3059079999998</v>
      </c>
      <c r="AJ97" s="61">
        <v>2615.039307</v>
      </c>
      <c r="AK97" s="62">
        <v>3.9274000000000003E-2</v>
      </c>
    </row>
    <row r="98" spans="1:37" ht="15" customHeight="1" x14ac:dyDescent="0.2">
      <c r="A98" s="57" t="s">
        <v>799</v>
      </c>
      <c r="B98" s="60" t="s">
        <v>707</v>
      </c>
      <c r="C98" s="61">
        <v>784.62048300000004</v>
      </c>
      <c r="D98" s="61">
        <v>841.00299099999995</v>
      </c>
      <c r="E98" s="61">
        <v>899.12304700000004</v>
      </c>
      <c r="F98" s="61">
        <v>957.90020800000002</v>
      </c>
      <c r="G98" s="61">
        <v>1023.319092</v>
      </c>
      <c r="H98" s="61">
        <v>1084.5397949999999</v>
      </c>
      <c r="I98" s="61">
        <v>1145.5582280000001</v>
      </c>
      <c r="J98" s="61">
        <v>1203.826904</v>
      </c>
      <c r="K98" s="61">
        <v>1261.9301760000001</v>
      </c>
      <c r="L98" s="61">
        <v>1331.204346</v>
      </c>
      <c r="M98" s="61">
        <v>1381.881592</v>
      </c>
      <c r="N98" s="61">
        <v>1453.2645259999999</v>
      </c>
      <c r="O98" s="61">
        <v>1504.8862300000001</v>
      </c>
      <c r="P98" s="61">
        <v>1556.276245</v>
      </c>
      <c r="Q98" s="61">
        <v>1624.006226</v>
      </c>
      <c r="R98" s="61">
        <v>1692.8522949999999</v>
      </c>
      <c r="S98" s="61">
        <v>1747.6982419999999</v>
      </c>
      <c r="T98" s="61">
        <v>1814.6987300000001</v>
      </c>
      <c r="U98" s="61">
        <v>1883.0783690000001</v>
      </c>
      <c r="V98" s="61">
        <v>1952.669312</v>
      </c>
      <c r="W98" s="61">
        <v>2023.1748050000001</v>
      </c>
      <c r="X98" s="61">
        <v>2094.2939449999999</v>
      </c>
      <c r="Y98" s="61">
        <v>2166.2055660000001</v>
      </c>
      <c r="Z98" s="61">
        <v>2265.633057</v>
      </c>
      <c r="AA98" s="61">
        <v>2335.0778810000002</v>
      </c>
      <c r="AB98" s="61">
        <v>2430.0014649999998</v>
      </c>
      <c r="AC98" s="61">
        <v>2496.3159179999998</v>
      </c>
      <c r="AD98" s="61">
        <v>2602.8598630000001</v>
      </c>
      <c r="AE98" s="61">
        <v>2664.599365</v>
      </c>
      <c r="AF98" s="61">
        <v>2770.7453609999998</v>
      </c>
      <c r="AG98" s="61">
        <v>2820.9594729999999</v>
      </c>
      <c r="AH98" s="61">
        <v>2885.6999510000001</v>
      </c>
      <c r="AI98" s="61">
        <v>2954.7924800000001</v>
      </c>
      <c r="AJ98" s="61">
        <v>3020.2929690000001</v>
      </c>
      <c r="AK98" s="62">
        <v>4.0762E-2</v>
      </c>
    </row>
    <row r="99" spans="1:37" ht="15" customHeight="1" x14ac:dyDescent="0.2">
      <c r="A99" s="57" t="s">
        <v>800</v>
      </c>
      <c r="B99" s="60" t="s">
        <v>709</v>
      </c>
      <c r="C99" s="61">
        <v>201.29302999999999</v>
      </c>
      <c r="D99" s="61">
        <v>202.40910299999999</v>
      </c>
      <c r="E99" s="61">
        <v>203.372162</v>
      </c>
      <c r="F99" s="61">
        <v>204.170502</v>
      </c>
      <c r="G99" s="61">
        <v>204.75079299999999</v>
      </c>
      <c r="H99" s="61">
        <v>205.071686</v>
      </c>
      <c r="I99" s="61">
        <v>205.10661300000001</v>
      </c>
      <c r="J99" s="61">
        <v>204.82725500000001</v>
      </c>
      <c r="K99" s="61">
        <v>204.23323099999999</v>
      </c>
      <c r="L99" s="61">
        <v>203.356461</v>
      </c>
      <c r="M99" s="61">
        <v>202.28623999999999</v>
      </c>
      <c r="N99" s="61">
        <v>201.09741199999999</v>
      </c>
      <c r="O99" s="61">
        <v>199.894409</v>
      </c>
      <c r="P99" s="61">
        <v>198.77166700000001</v>
      </c>
      <c r="Q99" s="61">
        <v>197.81376599999999</v>
      </c>
      <c r="R99" s="61">
        <v>196.97787500000001</v>
      </c>
      <c r="S99" s="61">
        <v>196.36892700000001</v>
      </c>
      <c r="T99" s="61">
        <v>196.23478700000001</v>
      </c>
      <c r="U99" s="61">
        <v>196.58871500000001</v>
      </c>
      <c r="V99" s="61">
        <v>197.337219</v>
      </c>
      <c r="W99" s="61">
        <v>198.58847</v>
      </c>
      <c r="X99" s="61">
        <v>200.167068</v>
      </c>
      <c r="Y99" s="61">
        <v>202.00108299999999</v>
      </c>
      <c r="Z99" s="61">
        <v>204.08163500000001</v>
      </c>
      <c r="AA99" s="61">
        <v>206.33120700000001</v>
      </c>
      <c r="AB99" s="61">
        <v>208.731155</v>
      </c>
      <c r="AC99" s="61">
        <v>211.28865099999999</v>
      </c>
      <c r="AD99" s="61">
        <v>213.99078399999999</v>
      </c>
      <c r="AE99" s="61">
        <v>216.869553</v>
      </c>
      <c r="AF99" s="61">
        <v>220.050659</v>
      </c>
      <c r="AG99" s="61">
        <v>223.52899199999999</v>
      </c>
      <c r="AH99" s="61">
        <v>227.30358899999999</v>
      </c>
      <c r="AI99" s="61">
        <v>231.35742200000001</v>
      </c>
      <c r="AJ99" s="61">
        <v>235.78431699999999</v>
      </c>
      <c r="AK99" s="62">
        <v>4.7809999999999997E-3</v>
      </c>
    </row>
    <row r="100" spans="1:37" ht="15" customHeight="1" x14ac:dyDescent="0.2">
      <c r="A100" s="57" t="s">
        <v>801</v>
      </c>
      <c r="B100" s="60" t="s">
        <v>741</v>
      </c>
      <c r="C100" s="61">
        <v>1193.66626</v>
      </c>
      <c r="D100" s="61">
        <v>1227.2124020000001</v>
      </c>
      <c r="E100" s="61">
        <v>1263.356689</v>
      </c>
      <c r="F100" s="61">
        <v>1299.899658</v>
      </c>
      <c r="G100" s="61">
        <v>1336.9399410000001</v>
      </c>
      <c r="H100" s="61">
        <v>1374.1805420000001</v>
      </c>
      <c r="I100" s="61">
        <v>1411.0592039999999</v>
      </c>
      <c r="J100" s="61">
        <v>1446.802612</v>
      </c>
      <c r="K100" s="61">
        <v>1482.7739260000001</v>
      </c>
      <c r="L100" s="61">
        <v>1518.5344239999999</v>
      </c>
      <c r="M100" s="61">
        <v>1554.2373050000001</v>
      </c>
      <c r="N100" s="61">
        <v>1589.786621</v>
      </c>
      <c r="O100" s="61">
        <v>1624.9470209999999</v>
      </c>
      <c r="P100" s="61">
        <v>1659.442871</v>
      </c>
      <c r="Q100" s="61">
        <v>1694.0112300000001</v>
      </c>
      <c r="R100" s="61">
        <v>1728.426514</v>
      </c>
      <c r="S100" s="61">
        <v>1763.0047609999999</v>
      </c>
      <c r="T100" s="61">
        <v>1797.9501949999999</v>
      </c>
      <c r="U100" s="61">
        <v>1832.869629</v>
      </c>
      <c r="V100" s="61">
        <v>1867.669678</v>
      </c>
      <c r="W100" s="61">
        <v>1902.453125</v>
      </c>
      <c r="X100" s="61">
        <v>1937.114746</v>
      </c>
      <c r="Y100" s="61">
        <v>1972.089111</v>
      </c>
      <c r="Z100" s="61">
        <v>2004.744263</v>
      </c>
      <c r="AA100" s="61">
        <v>2040.699707</v>
      </c>
      <c r="AB100" s="61">
        <v>2077.361328</v>
      </c>
      <c r="AC100" s="61">
        <v>2114.5322270000001</v>
      </c>
      <c r="AD100" s="61">
        <v>2152.4160160000001</v>
      </c>
      <c r="AE100" s="61">
        <v>2191.0124510000001</v>
      </c>
      <c r="AF100" s="61">
        <v>2230.0969239999999</v>
      </c>
      <c r="AG100" s="61">
        <v>2269.2382809999999</v>
      </c>
      <c r="AH100" s="61">
        <v>2308.955078</v>
      </c>
      <c r="AI100" s="61">
        <v>2349.3740229999999</v>
      </c>
      <c r="AJ100" s="61">
        <v>2390.4760740000002</v>
      </c>
      <c r="AK100" s="62">
        <v>2.1054E-2</v>
      </c>
    </row>
    <row r="101" spans="1:37" ht="15" customHeight="1" x14ac:dyDescent="0.2">
      <c r="A101" s="57" t="s">
        <v>802</v>
      </c>
      <c r="B101" s="60" t="s">
        <v>705</v>
      </c>
      <c r="C101" s="61">
        <v>734.85778800000003</v>
      </c>
      <c r="D101" s="61">
        <v>753.09979199999998</v>
      </c>
      <c r="E101" s="61">
        <v>774.025757</v>
      </c>
      <c r="F101" s="61">
        <v>795.88177499999995</v>
      </c>
      <c r="G101" s="61">
        <v>818.63525400000003</v>
      </c>
      <c r="H101" s="61">
        <v>841.62030000000004</v>
      </c>
      <c r="I101" s="61">
        <v>864.479736</v>
      </c>
      <c r="J101" s="61">
        <v>887.02960199999995</v>
      </c>
      <c r="K101" s="61">
        <v>909.25018299999999</v>
      </c>
      <c r="L101" s="61">
        <v>931.15362500000003</v>
      </c>
      <c r="M101" s="61">
        <v>952.67095900000004</v>
      </c>
      <c r="N101" s="61">
        <v>973.68823199999997</v>
      </c>
      <c r="O101" s="61">
        <v>994.011169</v>
      </c>
      <c r="P101" s="61">
        <v>1013.146362</v>
      </c>
      <c r="Q101" s="61">
        <v>1031.1970209999999</v>
      </c>
      <c r="R101" s="61">
        <v>1048.324341</v>
      </c>
      <c r="S101" s="61">
        <v>1065.055908</v>
      </c>
      <c r="T101" s="61">
        <v>1081.7426760000001</v>
      </c>
      <c r="U101" s="61">
        <v>1098.2138669999999</v>
      </c>
      <c r="V101" s="61">
        <v>1114.4121090000001</v>
      </c>
      <c r="W101" s="61">
        <v>1130.2285159999999</v>
      </c>
      <c r="X101" s="61">
        <v>1145.755005</v>
      </c>
      <c r="Y101" s="61">
        <v>1161.330688</v>
      </c>
      <c r="Z101" s="61">
        <v>1177.0898440000001</v>
      </c>
      <c r="AA101" s="61">
        <v>1193.1831050000001</v>
      </c>
      <c r="AB101" s="61">
        <v>1209.7677000000001</v>
      </c>
      <c r="AC101" s="61">
        <v>1226.6801760000001</v>
      </c>
      <c r="AD101" s="61">
        <v>1244.0329589999999</v>
      </c>
      <c r="AE101" s="61">
        <v>1261.890259</v>
      </c>
      <c r="AF101" s="61">
        <v>1280.059082</v>
      </c>
      <c r="AG101" s="61">
        <v>1298.2380370000001</v>
      </c>
      <c r="AH101" s="61">
        <v>1316.7514650000001</v>
      </c>
      <c r="AI101" s="61">
        <v>1335.5397949999999</v>
      </c>
      <c r="AJ101" s="61">
        <v>1354.37915</v>
      </c>
      <c r="AK101" s="62">
        <v>1.8509999999999999E-2</v>
      </c>
    </row>
    <row r="102" spans="1:37" ht="15" customHeight="1" x14ac:dyDescent="0.2">
      <c r="A102" s="57" t="s">
        <v>803</v>
      </c>
      <c r="B102" s="60" t="s">
        <v>707</v>
      </c>
      <c r="C102" s="61">
        <v>133.634964</v>
      </c>
      <c r="D102" s="61">
        <v>139.640457</v>
      </c>
      <c r="E102" s="61">
        <v>145.63334699999999</v>
      </c>
      <c r="F102" s="61">
        <v>151.16677899999999</v>
      </c>
      <c r="G102" s="61">
        <v>156.45130900000001</v>
      </c>
      <c r="H102" s="61">
        <v>161.88081399999999</v>
      </c>
      <c r="I102" s="61">
        <v>167.23361199999999</v>
      </c>
      <c r="J102" s="61">
        <v>171.89117400000001</v>
      </c>
      <c r="K102" s="61">
        <v>177.20509300000001</v>
      </c>
      <c r="L102" s="61">
        <v>182.69113200000001</v>
      </c>
      <c r="M102" s="61">
        <v>188.55007900000001</v>
      </c>
      <c r="N102" s="61">
        <v>194.75839199999999</v>
      </c>
      <c r="O102" s="61">
        <v>201.26684599999999</v>
      </c>
      <c r="P102" s="61">
        <v>208.26857000000001</v>
      </c>
      <c r="Q102" s="61">
        <v>216.348129</v>
      </c>
      <c r="R102" s="61">
        <v>225.05259699999999</v>
      </c>
      <c r="S102" s="61">
        <v>234.13664199999999</v>
      </c>
      <c r="T102" s="61">
        <v>243.439087</v>
      </c>
      <c r="U102" s="61">
        <v>252.73255900000001</v>
      </c>
      <c r="V102" s="61">
        <v>262.030823</v>
      </c>
      <c r="W102" s="61">
        <v>271.56683299999997</v>
      </c>
      <c r="X102" s="61">
        <v>281.18258700000001</v>
      </c>
      <c r="Y102" s="61">
        <v>291.03222699999998</v>
      </c>
      <c r="Z102" s="61">
        <v>298.39074699999998</v>
      </c>
      <c r="AA102" s="61">
        <v>308.73751800000002</v>
      </c>
      <c r="AB102" s="61">
        <v>319.33554099999998</v>
      </c>
      <c r="AC102" s="61">
        <v>330.16244499999999</v>
      </c>
      <c r="AD102" s="61">
        <v>341.31625400000001</v>
      </c>
      <c r="AE102" s="61">
        <v>352.75375400000001</v>
      </c>
      <c r="AF102" s="61">
        <v>364.47079500000001</v>
      </c>
      <c r="AG102" s="61">
        <v>376.37344400000001</v>
      </c>
      <c r="AH102" s="61">
        <v>388.66867100000002</v>
      </c>
      <c r="AI102" s="61">
        <v>401.514771</v>
      </c>
      <c r="AJ102" s="61">
        <v>415.09948700000001</v>
      </c>
      <c r="AK102" s="62">
        <v>3.4631000000000002E-2</v>
      </c>
    </row>
    <row r="103" spans="1:37" ht="15" customHeight="1" x14ac:dyDescent="0.2">
      <c r="A103" s="57" t="s">
        <v>804</v>
      </c>
      <c r="B103" s="60" t="s">
        <v>709</v>
      </c>
      <c r="C103" s="61">
        <v>325.17346199999997</v>
      </c>
      <c r="D103" s="61">
        <v>334.47219799999999</v>
      </c>
      <c r="E103" s="61">
        <v>343.69754</v>
      </c>
      <c r="F103" s="61">
        <v>352.85110500000002</v>
      </c>
      <c r="G103" s="61">
        <v>361.853455</v>
      </c>
      <c r="H103" s="61">
        <v>370.67944299999999</v>
      </c>
      <c r="I103" s="61">
        <v>379.34579500000001</v>
      </c>
      <c r="J103" s="61">
        <v>387.88180499999999</v>
      </c>
      <c r="K103" s="61">
        <v>396.31863399999997</v>
      </c>
      <c r="L103" s="61">
        <v>404.68963600000001</v>
      </c>
      <c r="M103" s="61">
        <v>413.01626599999997</v>
      </c>
      <c r="N103" s="61">
        <v>421.33990499999999</v>
      </c>
      <c r="O103" s="61">
        <v>429.66897599999999</v>
      </c>
      <c r="P103" s="61">
        <v>438.027985</v>
      </c>
      <c r="Q103" s="61">
        <v>446.46606400000002</v>
      </c>
      <c r="R103" s="61">
        <v>455.04959100000002</v>
      </c>
      <c r="S103" s="61">
        <v>463.81222500000001</v>
      </c>
      <c r="T103" s="61">
        <v>472.768372</v>
      </c>
      <c r="U103" s="61">
        <v>481.92321800000002</v>
      </c>
      <c r="V103" s="61">
        <v>491.22686800000002</v>
      </c>
      <c r="W103" s="61">
        <v>500.65768400000002</v>
      </c>
      <c r="X103" s="61">
        <v>510.17715500000003</v>
      </c>
      <c r="Y103" s="61">
        <v>519.72625700000003</v>
      </c>
      <c r="Z103" s="61">
        <v>529.26367200000004</v>
      </c>
      <c r="AA103" s="61">
        <v>538.77911400000005</v>
      </c>
      <c r="AB103" s="61">
        <v>548.25811799999997</v>
      </c>
      <c r="AC103" s="61">
        <v>557.68945299999996</v>
      </c>
      <c r="AD103" s="61">
        <v>567.06664999999998</v>
      </c>
      <c r="AE103" s="61">
        <v>576.36840800000004</v>
      </c>
      <c r="AF103" s="61">
        <v>585.56707800000004</v>
      </c>
      <c r="AG103" s="61">
        <v>594.62676999999996</v>
      </c>
      <c r="AH103" s="61">
        <v>603.534851</v>
      </c>
      <c r="AI103" s="61">
        <v>612.31945800000005</v>
      </c>
      <c r="AJ103" s="61">
        <v>620.99749799999995</v>
      </c>
      <c r="AK103" s="62">
        <v>1.9525000000000001E-2</v>
      </c>
    </row>
    <row r="104" spans="1:37" ht="15" customHeight="1" x14ac:dyDescent="0.2">
      <c r="A104" s="57" t="s">
        <v>805</v>
      </c>
      <c r="B104" s="60" t="s">
        <v>746</v>
      </c>
      <c r="C104" s="61">
        <v>3559.2219239999999</v>
      </c>
      <c r="D104" s="61">
        <v>3980.6374510000001</v>
      </c>
      <c r="E104" s="61">
        <v>4422.9941410000001</v>
      </c>
      <c r="F104" s="61">
        <v>4884.7607420000004</v>
      </c>
      <c r="G104" s="61">
        <v>5359.7285160000001</v>
      </c>
      <c r="H104" s="61">
        <v>5860.3315430000002</v>
      </c>
      <c r="I104" s="61">
        <v>6350.8598629999997</v>
      </c>
      <c r="J104" s="61">
        <v>6860.2700199999999</v>
      </c>
      <c r="K104" s="61">
        <v>7392.9326170000004</v>
      </c>
      <c r="L104" s="61">
        <v>7933.6123049999997</v>
      </c>
      <c r="M104" s="61">
        <v>8511.7763670000004</v>
      </c>
      <c r="N104" s="61">
        <v>9089.0458980000003</v>
      </c>
      <c r="O104" s="61">
        <v>9711.5166019999997</v>
      </c>
      <c r="P104" s="61">
        <v>10350.948242</v>
      </c>
      <c r="Q104" s="61">
        <v>10978.317383</v>
      </c>
      <c r="R104" s="61">
        <v>11622.747069999999</v>
      </c>
      <c r="S104" s="61">
        <v>12299.665039</v>
      </c>
      <c r="T104" s="61">
        <v>12987.589844</v>
      </c>
      <c r="U104" s="61">
        <v>13696.375977</v>
      </c>
      <c r="V104" s="61">
        <v>14425.920898</v>
      </c>
      <c r="W104" s="61">
        <v>15174.686523</v>
      </c>
      <c r="X104" s="61">
        <v>15942.955078000001</v>
      </c>
      <c r="Y104" s="61">
        <v>16713.841797000001</v>
      </c>
      <c r="Z104" s="61">
        <v>17424.193359000001</v>
      </c>
      <c r="AA104" s="61">
        <v>18220.005859000001</v>
      </c>
      <c r="AB104" s="61">
        <v>19001.130859000001</v>
      </c>
      <c r="AC104" s="61">
        <v>19818.248047000001</v>
      </c>
      <c r="AD104" s="61">
        <v>20601.089843999998</v>
      </c>
      <c r="AE104" s="61">
        <v>21429.849609000001</v>
      </c>
      <c r="AF104" s="61">
        <v>22216.457031000002</v>
      </c>
      <c r="AG104" s="61">
        <v>23040.304688</v>
      </c>
      <c r="AH104" s="61">
        <v>23871.408202999999</v>
      </c>
      <c r="AI104" s="61">
        <v>24695.248047000001</v>
      </c>
      <c r="AJ104" s="61">
        <v>25516.689452999999</v>
      </c>
      <c r="AK104" s="62">
        <v>5.9777999999999998E-2</v>
      </c>
    </row>
    <row r="105" spans="1:37" ht="15" customHeight="1" x14ac:dyDescent="0.2">
      <c r="A105" s="57" t="s">
        <v>806</v>
      </c>
      <c r="B105" s="60" t="s">
        <v>705</v>
      </c>
      <c r="C105" s="61">
        <v>2802.0048830000001</v>
      </c>
      <c r="D105" s="61">
        <v>3126.601807</v>
      </c>
      <c r="E105" s="61">
        <v>3469.8801269999999</v>
      </c>
      <c r="F105" s="61">
        <v>3831.3286130000001</v>
      </c>
      <c r="G105" s="61">
        <v>4210.6313479999999</v>
      </c>
      <c r="H105" s="61">
        <v>4602.9248049999997</v>
      </c>
      <c r="I105" s="61">
        <v>4997.3642579999996</v>
      </c>
      <c r="J105" s="61">
        <v>5408.6352539999998</v>
      </c>
      <c r="K105" s="61">
        <v>5839.7709960000002</v>
      </c>
      <c r="L105" s="61">
        <v>6292.4072269999997</v>
      </c>
      <c r="M105" s="61">
        <v>6761.4121089999999</v>
      </c>
      <c r="N105" s="61">
        <v>7248.7856449999999</v>
      </c>
      <c r="O105" s="61">
        <v>7754.2138670000004</v>
      </c>
      <c r="P105" s="61">
        <v>8276.7236329999996</v>
      </c>
      <c r="Q105" s="61">
        <v>8801.6044920000004</v>
      </c>
      <c r="R105" s="61">
        <v>9343.2363280000009</v>
      </c>
      <c r="S105" s="61">
        <v>9901.9921880000002</v>
      </c>
      <c r="T105" s="61">
        <v>10478.706055000001</v>
      </c>
      <c r="U105" s="61">
        <v>11071.036133</v>
      </c>
      <c r="V105" s="61">
        <v>11678.764648</v>
      </c>
      <c r="W105" s="61">
        <v>12300.502930000001</v>
      </c>
      <c r="X105" s="61">
        <v>12936.494140999999</v>
      </c>
      <c r="Y105" s="61">
        <v>13569.354492</v>
      </c>
      <c r="Z105" s="61">
        <v>14169.570312</v>
      </c>
      <c r="AA105" s="61">
        <v>14816.330078000001</v>
      </c>
      <c r="AB105" s="61">
        <v>15470.614258</v>
      </c>
      <c r="AC105" s="61">
        <v>16129.895508</v>
      </c>
      <c r="AD105" s="61">
        <v>16792.859375</v>
      </c>
      <c r="AE105" s="61">
        <v>17457.908202999999</v>
      </c>
      <c r="AF105" s="61">
        <v>18125.642577999999</v>
      </c>
      <c r="AG105" s="61">
        <v>18796.701172000001</v>
      </c>
      <c r="AH105" s="61">
        <v>19466.800781000002</v>
      </c>
      <c r="AI105" s="61">
        <v>20134.980468999998</v>
      </c>
      <c r="AJ105" s="61">
        <v>20802.761718999998</v>
      </c>
      <c r="AK105" s="62">
        <v>6.1011999999999997E-2</v>
      </c>
    </row>
    <row r="106" spans="1:37" ht="15" customHeight="1" x14ac:dyDescent="0.2">
      <c r="A106" s="57" t="s">
        <v>807</v>
      </c>
      <c r="B106" s="60" t="s">
        <v>707</v>
      </c>
      <c r="C106" s="61">
        <v>541.64874299999997</v>
      </c>
      <c r="D106" s="61">
        <v>609.16418499999997</v>
      </c>
      <c r="E106" s="61">
        <v>680.442139</v>
      </c>
      <c r="F106" s="61">
        <v>754.73040800000001</v>
      </c>
      <c r="G106" s="61">
        <v>826.01428199999998</v>
      </c>
      <c r="H106" s="61">
        <v>908.64752199999998</v>
      </c>
      <c r="I106" s="61">
        <v>978.63665800000001</v>
      </c>
      <c r="J106" s="61">
        <v>1049.61853</v>
      </c>
      <c r="K106" s="61">
        <v>1122.9646</v>
      </c>
      <c r="L106" s="61">
        <v>1181.8895259999999</v>
      </c>
      <c r="M106" s="61">
        <v>1260.99353</v>
      </c>
      <c r="N106" s="61">
        <v>1319.874634</v>
      </c>
      <c r="O106" s="61">
        <v>1404.979004</v>
      </c>
      <c r="P106" s="61">
        <v>1489.115601</v>
      </c>
      <c r="Q106" s="61">
        <v>1558.009033</v>
      </c>
      <c r="R106" s="61">
        <v>1626.4415280000001</v>
      </c>
      <c r="S106" s="61">
        <v>1709.436768</v>
      </c>
      <c r="T106" s="61">
        <v>1784.692139</v>
      </c>
      <c r="U106" s="61">
        <v>1864.42688</v>
      </c>
      <c r="V106" s="61">
        <v>1948.7617190000001</v>
      </c>
      <c r="W106" s="61">
        <v>2037.557495</v>
      </c>
      <c r="X106" s="61">
        <v>2130.8520509999998</v>
      </c>
      <c r="Y106" s="61">
        <v>2229.1616210000002</v>
      </c>
      <c r="Z106" s="61">
        <v>2298.9333499999998</v>
      </c>
      <c r="AA106" s="61">
        <v>2406.935547</v>
      </c>
      <c r="AB106" s="61">
        <v>2492.0427249999998</v>
      </c>
      <c r="AC106" s="61">
        <v>2607.4401859999998</v>
      </c>
      <c r="AD106" s="61">
        <v>2684.165039</v>
      </c>
      <c r="AE106" s="61">
        <v>2804.0065920000002</v>
      </c>
      <c r="AF106" s="61">
        <v>2878.2788089999999</v>
      </c>
      <c r="AG106" s="61">
        <v>2985.8286130000001</v>
      </c>
      <c r="AH106" s="61">
        <v>3073.9252929999998</v>
      </c>
      <c r="AI106" s="61">
        <v>3151.140625</v>
      </c>
      <c r="AJ106" s="61">
        <v>3227.0932619999999</v>
      </c>
      <c r="AK106" s="62">
        <v>5.3483000000000003E-2</v>
      </c>
    </row>
    <row r="107" spans="1:37" ht="15" customHeight="1" x14ac:dyDescent="0.2">
      <c r="A107" s="57" t="s">
        <v>808</v>
      </c>
      <c r="B107" s="60" t="s">
        <v>709</v>
      </c>
      <c r="C107" s="61">
        <v>215.56838999999999</v>
      </c>
      <c r="D107" s="61">
        <v>244.871353</v>
      </c>
      <c r="E107" s="61">
        <v>272.671875</v>
      </c>
      <c r="F107" s="61">
        <v>298.70190400000001</v>
      </c>
      <c r="G107" s="61">
        <v>323.082855</v>
      </c>
      <c r="H107" s="61">
        <v>348.759277</v>
      </c>
      <c r="I107" s="61">
        <v>374.85906999999997</v>
      </c>
      <c r="J107" s="61">
        <v>402.01611300000002</v>
      </c>
      <c r="K107" s="61">
        <v>430.19702100000001</v>
      </c>
      <c r="L107" s="61">
        <v>459.31549100000001</v>
      </c>
      <c r="M107" s="61">
        <v>489.37103300000001</v>
      </c>
      <c r="N107" s="61">
        <v>520.38580300000001</v>
      </c>
      <c r="O107" s="61">
        <v>552.32324200000005</v>
      </c>
      <c r="P107" s="61">
        <v>585.10949700000003</v>
      </c>
      <c r="Q107" s="61">
        <v>618.70440699999995</v>
      </c>
      <c r="R107" s="61">
        <v>653.06939699999998</v>
      </c>
      <c r="S107" s="61">
        <v>688.23675500000002</v>
      </c>
      <c r="T107" s="61">
        <v>724.19189500000005</v>
      </c>
      <c r="U107" s="61">
        <v>760.91265899999996</v>
      </c>
      <c r="V107" s="61">
        <v>798.39465299999995</v>
      </c>
      <c r="W107" s="61">
        <v>836.62561000000005</v>
      </c>
      <c r="X107" s="61">
        <v>875.60980199999995</v>
      </c>
      <c r="Y107" s="61">
        <v>915.32690400000001</v>
      </c>
      <c r="Z107" s="61">
        <v>955.69030799999996</v>
      </c>
      <c r="AA107" s="61">
        <v>996.73956299999998</v>
      </c>
      <c r="AB107" s="61">
        <v>1038.4750979999999</v>
      </c>
      <c r="AC107" s="61">
        <v>1080.911987</v>
      </c>
      <c r="AD107" s="61">
        <v>1124.0665280000001</v>
      </c>
      <c r="AE107" s="61">
        <v>1167.9364009999999</v>
      </c>
      <c r="AF107" s="61">
        <v>1212.5349120000001</v>
      </c>
      <c r="AG107" s="61">
        <v>1257.7761230000001</v>
      </c>
      <c r="AH107" s="61">
        <v>1330.6820070000001</v>
      </c>
      <c r="AI107" s="61">
        <v>1409.126831</v>
      </c>
      <c r="AJ107" s="61">
        <v>1486.8332519999999</v>
      </c>
      <c r="AK107" s="62">
        <v>5.7984000000000001E-2</v>
      </c>
    </row>
    <row r="108" spans="1:37" ht="15" customHeight="1" x14ac:dyDescent="0.2">
      <c r="A108" s="57" t="s">
        <v>809</v>
      </c>
      <c r="B108" s="60" t="s">
        <v>751</v>
      </c>
      <c r="C108" s="61">
        <v>992.386169</v>
      </c>
      <c r="D108" s="61">
        <v>1057.4647219999999</v>
      </c>
      <c r="E108" s="61">
        <v>1123.5104980000001</v>
      </c>
      <c r="F108" s="61">
        <v>1189.5642089999999</v>
      </c>
      <c r="G108" s="61">
        <v>1255.248047</v>
      </c>
      <c r="H108" s="61">
        <v>1320.5692140000001</v>
      </c>
      <c r="I108" s="61">
        <v>1385.600952</v>
      </c>
      <c r="J108" s="61">
        <v>1450.095581</v>
      </c>
      <c r="K108" s="61">
        <v>1513.9951169999999</v>
      </c>
      <c r="L108" s="61">
        <v>1577.082764</v>
      </c>
      <c r="M108" s="61">
        <v>1639.0758060000001</v>
      </c>
      <c r="N108" s="61">
        <v>1699.919312</v>
      </c>
      <c r="O108" s="61">
        <v>1760.0079350000001</v>
      </c>
      <c r="P108" s="61">
        <v>1818.6049800000001</v>
      </c>
      <c r="Q108" s="61">
        <v>1875.0732419999999</v>
      </c>
      <c r="R108" s="61">
        <v>1929.7543949999999</v>
      </c>
      <c r="S108" s="61">
        <v>1982.5848390000001</v>
      </c>
      <c r="T108" s="61">
        <v>2033.434937</v>
      </c>
      <c r="U108" s="61">
        <v>2082.4875489999999</v>
      </c>
      <c r="V108" s="61">
        <v>2129.7563479999999</v>
      </c>
      <c r="W108" s="61">
        <v>2175.4067380000001</v>
      </c>
      <c r="X108" s="61">
        <v>2219.6247560000002</v>
      </c>
      <c r="Y108" s="61">
        <v>2262.2094729999999</v>
      </c>
      <c r="Z108" s="61">
        <v>2302.0415039999998</v>
      </c>
      <c r="AA108" s="61">
        <v>2340.1691890000002</v>
      </c>
      <c r="AB108" s="61">
        <v>2376.5520019999999</v>
      </c>
      <c r="AC108" s="61">
        <v>2411.2451169999999</v>
      </c>
      <c r="AD108" s="61">
        <v>2444.0639649999998</v>
      </c>
      <c r="AE108" s="61">
        <v>2475.123779</v>
      </c>
      <c r="AF108" s="61">
        <v>2504.1789549999999</v>
      </c>
      <c r="AG108" s="61">
        <v>2531.1057129999999</v>
      </c>
      <c r="AH108" s="61">
        <v>2556.1108399999998</v>
      </c>
      <c r="AI108" s="61">
        <v>2579.85376</v>
      </c>
      <c r="AJ108" s="61">
        <v>2601.8544919999999</v>
      </c>
      <c r="AK108" s="62">
        <v>2.8535000000000001E-2</v>
      </c>
    </row>
    <row r="109" spans="1:37" ht="15" customHeight="1" x14ac:dyDescent="0.2">
      <c r="A109" s="57" t="s">
        <v>810</v>
      </c>
      <c r="B109" s="60" t="s">
        <v>705</v>
      </c>
      <c r="C109" s="61">
        <v>459.430725</v>
      </c>
      <c r="D109" s="61">
        <v>492.47579999999999</v>
      </c>
      <c r="E109" s="61">
        <v>525.91564900000003</v>
      </c>
      <c r="F109" s="61">
        <v>559.51788299999998</v>
      </c>
      <c r="G109" s="61">
        <v>593.45837400000005</v>
      </c>
      <c r="H109" s="61">
        <v>627.59149200000002</v>
      </c>
      <c r="I109" s="61">
        <v>661.87323000000004</v>
      </c>
      <c r="J109" s="61">
        <v>696.22515899999996</v>
      </c>
      <c r="K109" s="61">
        <v>730.75329599999998</v>
      </c>
      <c r="L109" s="61">
        <v>765.33154300000001</v>
      </c>
      <c r="M109" s="61">
        <v>799.70428500000003</v>
      </c>
      <c r="N109" s="61">
        <v>833.76483199999996</v>
      </c>
      <c r="O109" s="61">
        <v>867.48358199999996</v>
      </c>
      <c r="P109" s="61">
        <v>900.778503</v>
      </c>
      <c r="Q109" s="61">
        <v>933.51385500000004</v>
      </c>
      <c r="R109" s="61">
        <v>965.58496100000002</v>
      </c>
      <c r="S109" s="61">
        <v>996.90563999999995</v>
      </c>
      <c r="T109" s="61">
        <v>1027.306885</v>
      </c>
      <c r="U109" s="61">
        <v>1056.833374</v>
      </c>
      <c r="V109" s="61">
        <v>1085.3638920000001</v>
      </c>
      <c r="W109" s="61">
        <v>1112.992798</v>
      </c>
      <c r="X109" s="61">
        <v>1139.9027100000001</v>
      </c>
      <c r="Y109" s="61">
        <v>1165.9770510000001</v>
      </c>
      <c r="Z109" s="61">
        <v>1190.0886230000001</v>
      </c>
      <c r="AA109" s="61">
        <v>1213.2181399999999</v>
      </c>
      <c r="AB109" s="61">
        <v>1235.3214109999999</v>
      </c>
      <c r="AC109" s="61">
        <v>1256.445068</v>
      </c>
      <c r="AD109" s="61">
        <v>1276.3901370000001</v>
      </c>
      <c r="AE109" s="61">
        <v>1295.299927</v>
      </c>
      <c r="AF109" s="61">
        <v>1312.9554439999999</v>
      </c>
      <c r="AG109" s="61">
        <v>1329.2470699999999</v>
      </c>
      <c r="AH109" s="61">
        <v>1344.3739009999999</v>
      </c>
      <c r="AI109" s="61">
        <v>1358.9293210000001</v>
      </c>
      <c r="AJ109" s="61">
        <v>1372.3714600000001</v>
      </c>
      <c r="AK109" s="62">
        <v>3.2544999999999998E-2</v>
      </c>
    </row>
    <row r="110" spans="1:37" ht="15" customHeight="1" x14ac:dyDescent="0.2">
      <c r="A110" s="57" t="s">
        <v>811</v>
      </c>
      <c r="B110" s="60" t="s">
        <v>707</v>
      </c>
      <c r="C110" s="61">
        <v>424.66433699999999</v>
      </c>
      <c r="D110" s="61">
        <v>451.37197900000001</v>
      </c>
      <c r="E110" s="61">
        <v>478.66931199999999</v>
      </c>
      <c r="F110" s="61">
        <v>505.88464399999998</v>
      </c>
      <c r="G110" s="61">
        <v>532.44354199999998</v>
      </c>
      <c r="H110" s="61">
        <v>558.51916500000004</v>
      </c>
      <c r="I110" s="61">
        <v>584.24749799999995</v>
      </c>
      <c r="J110" s="61">
        <v>609.47027600000001</v>
      </c>
      <c r="K110" s="61">
        <v>634.03851299999997</v>
      </c>
      <c r="L110" s="61">
        <v>657.87512200000003</v>
      </c>
      <c r="M110" s="61">
        <v>680.96557600000006</v>
      </c>
      <c r="N110" s="61">
        <v>703.37176499999998</v>
      </c>
      <c r="O110" s="61">
        <v>725.52929700000004</v>
      </c>
      <c r="P110" s="61">
        <v>746.79907200000002</v>
      </c>
      <c r="Q110" s="61">
        <v>766.69671600000004</v>
      </c>
      <c r="R110" s="61">
        <v>785.67492700000003</v>
      </c>
      <c r="S110" s="61">
        <v>803.75567599999999</v>
      </c>
      <c r="T110" s="61">
        <v>820.97833300000002</v>
      </c>
      <c r="U110" s="61">
        <v>837.47839399999998</v>
      </c>
      <c r="V110" s="61">
        <v>853.39660600000002</v>
      </c>
      <c r="W110" s="61">
        <v>868.79907200000002</v>
      </c>
      <c r="X110" s="61">
        <v>883.67553699999996</v>
      </c>
      <c r="Y110" s="61">
        <v>897.91876200000002</v>
      </c>
      <c r="Z110" s="61">
        <v>911.51635699999997</v>
      </c>
      <c r="AA110" s="61">
        <v>924.52002000000005</v>
      </c>
      <c r="AB110" s="61">
        <v>936.92596400000002</v>
      </c>
      <c r="AC110" s="61">
        <v>948.73101799999995</v>
      </c>
      <c r="AD110" s="61">
        <v>959.93151899999998</v>
      </c>
      <c r="AE110" s="61">
        <v>970.483521</v>
      </c>
      <c r="AF110" s="61">
        <v>980.33593800000006</v>
      </c>
      <c r="AG110" s="61">
        <v>989.448486</v>
      </c>
      <c r="AH110" s="61">
        <v>997.817993</v>
      </c>
      <c r="AI110" s="61">
        <v>1005.511475</v>
      </c>
      <c r="AJ110" s="61">
        <v>1012.589478</v>
      </c>
      <c r="AK110" s="62">
        <v>2.5571E-2</v>
      </c>
    </row>
    <row r="111" spans="1:37" ht="15" customHeight="1" x14ac:dyDescent="0.2">
      <c r="A111" s="57" t="s">
        <v>812</v>
      </c>
      <c r="B111" s="60" t="s">
        <v>709</v>
      </c>
      <c r="C111" s="61">
        <v>108.291077</v>
      </c>
      <c r="D111" s="61">
        <v>113.61694300000001</v>
      </c>
      <c r="E111" s="61">
        <v>118.925545</v>
      </c>
      <c r="F111" s="61">
        <v>124.161568</v>
      </c>
      <c r="G111" s="61">
        <v>129.34625199999999</v>
      </c>
      <c r="H111" s="61">
        <v>134.458664</v>
      </c>
      <c r="I111" s="61">
        <v>139.48019400000001</v>
      </c>
      <c r="J111" s="61">
        <v>144.400116</v>
      </c>
      <c r="K111" s="61">
        <v>149.203384</v>
      </c>
      <c r="L111" s="61">
        <v>153.87616</v>
      </c>
      <c r="M111" s="61">
        <v>158.405914</v>
      </c>
      <c r="N111" s="61">
        <v>162.78270000000001</v>
      </c>
      <c r="O111" s="61">
        <v>166.99496500000001</v>
      </c>
      <c r="P111" s="61">
        <v>171.02737400000001</v>
      </c>
      <c r="Q111" s="61">
        <v>174.86264</v>
      </c>
      <c r="R111" s="61">
        <v>178.49444600000001</v>
      </c>
      <c r="S111" s="61">
        <v>181.923416</v>
      </c>
      <c r="T111" s="61">
        <v>185.14982599999999</v>
      </c>
      <c r="U111" s="61">
        <v>188.17567399999999</v>
      </c>
      <c r="V111" s="61">
        <v>190.995926</v>
      </c>
      <c r="W111" s="61">
        <v>193.614868</v>
      </c>
      <c r="X111" s="61">
        <v>196.046539</v>
      </c>
      <c r="Y111" s="61">
        <v>198.31366</v>
      </c>
      <c r="Z111" s="61">
        <v>200.436508</v>
      </c>
      <c r="AA111" s="61">
        <v>202.43083200000001</v>
      </c>
      <c r="AB111" s="61">
        <v>204.304779</v>
      </c>
      <c r="AC111" s="61">
        <v>206.06918300000001</v>
      </c>
      <c r="AD111" s="61">
        <v>207.742233</v>
      </c>
      <c r="AE111" s="61">
        <v>209.340363</v>
      </c>
      <c r="AF111" s="61">
        <v>210.88751199999999</v>
      </c>
      <c r="AG111" s="61">
        <v>212.41017199999999</v>
      </c>
      <c r="AH111" s="61">
        <v>213.91892999999999</v>
      </c>
      <c r="AI111" s="61">
        <v>215.412903</v>
      </c>
      <c r="AJ111" s="61">
        <v>216.89359999999999</v>
      </c>
      <c r="AK111" s="62">
        <v>2.0410999999999999E-2</v>
      </c>
    </row>
    <row r="112" spans="1:37" ht="15" customHeight="1" x14ac:dyDescent="0.2">
      <c r="A112" s="57" t="s">
        <v>813</v>
      </c>
      <c r="B112" s="60" t="s">
        <v>756</v>
      </c>
      <c r="C112" s="61">
        <v>2152.6391600000002</v>
      </c>
      <c r="D112" s="61">
        <v>2378.0671390000002</v>
      </c>
      <c r="E112" s="61">
        <v>2613.5104980000001</v>
      </c>
      <c r="F112" s="61">
        <v>2858.9804690000001</v>
      </c>
      <c r="G112" s="61">
        <v>3114.2534179999998</v>
      </c>
      <c r="H112" s="61">
        <v>3380.665039</v>
      </c>
      <c r="I112" s="61">
        <v>3658.6032709999999</v>
      </c>
      <c r="J112" s="61">
        <v>3948.5805660000001</v>
      </c>
      <c r="K112" s="61">
        <v>4250.4653319999998</v>
      </c>
      <c r="L112" s="61">
        <v>4564.1313479999999</v>
      </c>
      <c r="M112" s="61">
        <v>4888.6962890000004</v>
      </c>
      <c r="N112" s="61">
        <v>5224.6416019999997</v>
      </c>
      <c r="O112" s="61">
        <v>5573.5634769999997</v>
      </c>
      <c r="P112" s="61">
        <v>5936.2602539999998</v>
      </c>
      <c r="Q112" s="61">
        <v>6311.8481449999999</v>
      </c>
      <c r="R112" s="61">
        <v>6695.9287109999996</v>
      </c>
      <c r="S112" s="61">
        <v>7094.4877930000002</v>
      </c>
      <c r="T112" s="61">
        <v>7507.2880859999996</v>
      </c>
      <c r="U112" s="61">
        <v>7931.6704099999997</v>
      </c>
      <c r="V112" s="61">
        <v>8366.1337889999995</v>
      </c>
      <c r="W112" s="61">
        <v>8813.6152340000008</v>
      </c>
      <c r="X112" s="61">
        <v>9272.3564449999994</v>
      </c>
      <c r="Y112" s="61">
        <v>9743.5712889999995</v>
      </c>
      <c r="Z112" s="61">
        <v>10228.949219</v>
      </c>
      <c r="AA112" s="61">
        <v>10729.089844</v>
      </c>
      <c r="AB112" s="61">
        <v>11241.818359000001</v>
      </c>
      <c r="AC112" s="61">
        <v>11765.632812</v>
      </c>
      <c r="AD112" s="61">
        <v>12300.565430000001</v>
      </c>
      <c r="AE112" s="61">
        <v>12848.630859000001</v>
      </c>
      <c r="AF112" s="61">
        <v>13405.821289</v>
      </c>
      <c r="AG112" s="61">
        <v>13971.935546999999</v>
      </c>
      <c r="AH112" s="61">
        <v>14549.634765999999</v>
      </c>
      <c r="AI112" s="61">
        <v>15134.383789</v>
      </c>
      <c r="AJ112" s="61">
        <v>15730.121094</v>
      </c>
      <c r="AK112" s="62">
        <v>6.0817999999999997E-2</v>
      </c>
    </row>
    <row r="113" spans="1:37" ht="15" customHeight="1" x14ac:dyDescent="0.2">
      <c r="A113" s="57" t="s">
        <v>814</v>
      </c>
      <c r="B113" s="60" t="s">
        <v>705</v>
      </c>
      <c r="C113" s="61">
        <v>1238.5588379999999</v>
      </c>
      <c r="D113" s="61">
        <v>1376.30249</v>
      </c>
      <c r="E113" s="61">
        <v>1520.4195560000001</v>
      </c>
      <c r="F113" s="61">
        <v>1670.9555660000001</v>
      </c>
      <c r="G113" s="61">
        <v>1827.833496</v>
      </c>
      <c r="H113" s="61">
        <v>1991.9536129999999</v>
      </c>
      <c r="I113" s="61">
        <v>2163.638672</v>
      </c>
      <c r="J113" s="61">
        <v>2343.0395509999998</v>
      </c>
      <c r="K113" s="61">
        <v>2530.1240229999999</v>
      </c>
      <c r="L113" s="61">
        <v>2724.9572750000002</v>
      </c>
      <c r="M113" s="61">
        <v>2927.1098630000001</v>
      </c>
      <c r="N113" s="61">
        <v>3136.454346</v>
      </c>
      <c r="O113" s="61">
        <v>3354.0024410000001</v>
      </c>
      <c r="P113" s="61">
        <v>3580.6040039999998</v>
      </c>
      <c r="Q113" s="61">
        <v>3815.4001459999999</v>
      </c>
      <c r="R113" s="61">
        <v>4055.642578</v>
      </c>
      <c r="S113" s="61">
        <v>4306.0351559999999</v>
      </c>
      <c r="T113" s="61">
        <v>4566.6660160000001</v>
      </c>
      <c r="U113" s="61">
        <v>4835.2939450000003</v>
      </c>
      <c r="V113" s="61">
        <v>5109.1401370000003</v>
      </c>
      <c r="W113" s="61">
        <v>5392.2465819999998</v>
      </c>
      <c r="X113" s="61">
        <v>5683.7045900000003</v>
      </c>
      <c r="Y113" s="61">
        <v>5983.6298829999996</v>
      </c>
      <c r="Z113" s="61">
        <v>6292.46875</v>
      </c>
      <c r="AA113" s="61">
        <v>6610.0561520000001</v>
      </c>
      <c r="AB113" s="61">
        <v>6935.5371089999999</v>
      </c>
      <c r="AC113" s="61">
        <v>7268.0698240000002</v>
      </c>
      <c r="AD113" s="61">
        <v>7607.0546880000002</v>
      </c>
      <c r="AE113" s="61">
        <v>7954.4868159999996</v>
      </c>
      <c r="AF113" s="61">
        <v>8306.5361329999996</v>
      </c>
      <c r="AG113" s="61">
        <v>8663.2773440000001</v>
      </c>
      <c r="AH113" s="61">
        <v>9026.3212889999995</v>
      </c>
      <c r="AI113" s="61">
        <v>9394.1914059999999</v>
      </c>
      <c r="AJ113" s="61">
        <v>9768.8222659999992</v>
      </c>
      <c r="AK113" s="62">
        <v>6.3158000000000006E-2</v>
      </c>
    </row>
    <row r="114" spans="1:37" ht="15" customHeight="1" x14ac:dyDescent="0.2">
      <c r="A114" s="57" t="s">
        <v>815</v>
      </c>
      <c r="B114" s="60" t="s">
        <v>707</v>
      </c>
      <c r="C114" s="61">
        <v>508.26998900000001</v>
      </c>
      <c r="D114" s="61">
        <v>560.74188200000003</v>
      </c>
      <c r="E114" s="61">
        <v>615.46002199999998</v>
      </c>
      <c r="F114" s="61">
        <v>672.41674799999998</v>
      </c>
      <c r="G114" s="61">
        <v>731.434753</v>
      </c>
      <c r="H114" s="61">
        <v>792.84844999999996</v>
      </c>
      <c r="I114" s="61">
        <v>856.63445999999999</v>
      </c>
      <c r="J114" s="61">
        <v>923.08758499999999</v>
      </c>
      <c r="K114" s="61">
        <v>992.09204099999999</v>
      </c>
      <c r="L114" s="61">
        <v>1063.540894</v>
      </c>
      <c r="M114" s="61">
        <v>1136.7852780000001</v>
      </c>
      <c r="N114" s="61">
        <v>1212.3638920000001</v>
      </c>
      <c r="O114" s="61">
        <v>1290.8469239999999</v>
      </c>
      <c r="P114" s="61">
        <v>1372.1407469999999</v>
      </c>
      <c r="Q114" s="61">
        <v>1456.184937</v>
      </c>
      <c r="R114" s="61">
        <v>1541.3110349999999</v>
      </c>
      <c r="S114" s="61">
        <v>1628.7246090000001</v>
      </c>
      <c r="T114" s="61">
        <v>1718.040283</v>
      </c>
      <c r="U114" s="61">
        <v>1808.8292240000001</v>
      </c>
      <c r="V114" s="61">
        <v>1902.373413</v>
      </c>
      <c r="W114" s="61">
        <v>1997.7691649999999</v>
      </c>
      <c r="X114" s="61">
        <v>2094.1208499999998</v>
      </c>
      <c r="Y114" s="61">
        <v>2192.5217290000001</v>
      </c>
      <c r="Z114" s="61">
        <v>2294.0405270000001</v>
      </c>
      <c r="AA114" s="61">
        <v>2399.6831050000001</v>
      </c>
      <c r="AB114" s="61">
        <v>2508.1704100000002</v>
      </c>
      <c r="AC114" s="61">
        <v>2618.7473140000002</v>
      </c>
      <c r="AD114" s="61">
        <v>2732.1684570000002</v>
      </c>
      <c r="AE114" s="61">
        <v>2848.51001</v>
      </c>
      <c r="AF114" s="61">
        <v>2967.7104490000002</v>
      </c>
      <c r="AG114" s="61">
        <v>3089.6518550000001</v>
      </c>
      <c r="AH114" s="61">
        <v>3215.391846</v>
      </c>
      <c r="AI114" s="61">
        <v>3341.9848630000001</v>
      </c>
      <c r="AJ114" s="61">
        <v>3471.2446289999998</v>
      </c>
      <c r="AK114" s="62">
        <v>5.8623000000000001E-2</v>
      </c>
    </row>
    <row r="115" spans="1:37" ht="15" customHeight="1" x14ac:dyDescent="0.2">
      <c r="A115" s="57" t="s">
        <v>816</v>
      </c>
      <c r="B115" s="60" t="s">
        <v>709</v>
      </c>
      <c r="C115" s="61">
        <v>405.81042500000001</v>
      </c>
      <c r="D115" s="61">
        <v>441.02276599999999</v>
      </c>
      <c r="E115" s="61">
        <v>477.63085899999999</v>
      </c>
      <c r="F115" s="61">
        <v>515.60821499999997</v>
      </c>
      <c r="G115" s="61">
        <v>554.98510699999997</v>
      </c>
      <c r="H115" s="61">
        <v>595.862976</v>
      </c>
      <c r="I115" s="61">
        <v>638.33007799999996</v>
      </c>
      <c r="J115" s="61">
        <v>682.45343000000003</v>
      </c>
      <c r="K115" s="61">
        <v>728.24920699999996</v>
      </c>
      <c r="L115" s="61">
        <v>775.63317900000004</v>
      </c>
      <c r="M115" s="61">
        <v>824.80145300000004</v>
      </c>
      <c r="N115" s="61">
        <v>875.82324200000005</v>
      </c>
      <c r="O115" s="61">
        <v>928.71392800000001</v>
      </c>
      <c r="P115" s="61">
        <v>983.51550299999997</v>
      </c>
      <c r="Q115" s="61">
        <v>1040.263062</v>
      </c>
      <c r="R115" s="61">
        <v>1098.974976</v>
      </c>
      <c r="S115" s="61">
        <v>1159.728149</v>
      </c>
      <c r="T115" s="61">
        <v>1222.581909</v>
      </c>
      <c r="U115" s="61">
        <v>1287.5473629999999</v>
      </c>
      <c r="V115" s="61">
        <v>1354.620361</v>
      </c>
      <c r="W115" s="61">
        <v>1423.599121</v>
      </c>
      <c r="X115" s="61">
        <v>1494.531616</v>
      </c>
      <c r="Y115" s="61">
        <v>1567.4197999999999</v>
      </c>
      <c r="Z115" s="61">
        <v>1642.4399410000001</v>
      </c>
      <c r="AA115" s="61">
        <v>1719.3500979999999</v>
      </c>
      <c r="AB115" s="61">
        <v>1798.1118160000001</v>
      </c>
      <c r="AC115" s="61">
        <v>1878.8157960000001</v>
      </c>
      <c r="AD115" s="61">
        <v>1961.3431399999999</v>
      </c>
      <c r="AE115" s="61">
        <v>2045.633423</v>
      </c>
      <c r="AF115" s="61">
        <v>2131.5749510000001</v>
      </c>
      <c r="AG115" s="61">
        <v>2219.005615</v>
      </c>
      <c r="AH115" s="61">
        <v>2307.9213869999999</v>
      </c>
      <c r="AI115" s="61">
        <v>2398.2080080000001</v>
      </c>
      <c r="AJ115" s="61">
        <v>2490.0546880000002</v>
      </c>
      <c r="AK115" s="62">
        <v>5.5581999999999999E-2</v>
      </c>
    </row>
    <row r="116" spans="1:37" ht="15" customHeight="1" x14ac:dyDescent="0.2">
      <c r="A116" s="57" t="s">
        <v>817</v>
      </c>
      <c r="B116" s="60" t="s">
        <v>761</v>
      </c>
      <c r="C116" s="61">
        <v>731.691956</v>
      </c>
      <c r="D116" s="61">
        <v>791.89868200000001</v>
      </c>
      <c r="E116" s="61">
        <v>854.683899</v>
      </c>
      <c r="F116" s="61">
        <v>920.845642</v>
      </c>
      <c r="G116" s="61">
        <v>990.37237500000003</v>
      </c>
      <c r="H116" s="61">
        <v>1063.853638</v>
      </c>
      <c r="I116" s="61">
        <v>1142.144043</v>
      </c>
      <c r="J116" s="61">
        <v>1225.1748050000001</v>
      </c>
      <c r="K116" s="61">
        <v>1312.6530760000001</v>
      </c>
      <c r="L116" s="61">
        <v>1405.5371090000001</v>
      </c>
      <c r="M116" s="61">
        <v>1503.1251219999999</v>
      </c>
      <c r="N116" s="61">
        <v>1606.1877440000001</v>
      </c>
      <c r="O116" s="61">
        <v>1715.1445309999999</v>
      </c>
      <c r="P116" s="61">
        <v>1829.916626</v>
      </c>
      <c r="Q116" s="61">
        <v>1950.6514890000001</v>
      </c>
      <c r="R116" s="61">
        <v>2075.0283199999999</v>
      </c>
      <c r="S116" s="61">
        <v>2206.180664</v>
      </c>
      <c r="T116" s="61">
        <v>2345.0966800000001</v>
      </c>
      <c r="U116" s="61">
        <v>2490.4350589999999</v>
      </c>
      <c r="V116" s="61">
        <v>2642.2788089999999</v>
      </c>
      <c r="W116" s="61">
        <v>2801.3232419999999</v>
      </c>
      <c r="X116" s="61">
        <v>2967.444336</v>
      </c>
      <c r="Y116" s="61">
        <v>3157.2456050000001</v>
      </c>
      <c r="Z116" s="61">
        <v>3388.2526859999998</v>
      </c>
      <c r="AA116" s="61">
        <v>3604.2514649999998</v>
      </c>
      <c r="AB116" s="61">
        <v>3830.8178710000002</v>
      </c>
      <c r="AC116" s="61">
        <v>4068.8803710000002</v>
      </c>
      <c r="AD116" s="61">
        <v>4318.2612300000001</v>
      </c>
      <c r="AE116" s="61">
        <v>4591.8793949999999</v>
      </c>
      <c r="AF116" s="61">
        <v>4880.9399409999996</v>
      </c>
      <c r="AG116" s="61">
        <v>5182.7431640000004</v>
      </c>
      <c r="AH116" s="61">
        <v>5500.0166019999997</v>
      </c>
      <c r="AI116" s="61">
        <v>5835.7060549999997</v>
      </c>
      <c r="AJ116" s="61">
        <v>6187.9848629999997</v>
      </c>
      <c r="AK116" s="62">
        <v>6.6356999999999999E-2</v>
      </c>
    </row>
    <row r="117" spans="1:37" ht="15" customHeight="1" x14ac:dyDescent="0.2">
      <c r="A117" s="57" t="s">
        <v>818</v>
      </c>
      <c r="B117" s="60" t="s">
        <v>705</v>
      </c>
      <c r="C117" s="61">
        <v>493.49798600000003</v>
      </c>
      <c r="D117" s="61">
        <v>533.70367399999998</v>
      </c>
      <c r="E117" s="61">
        <v>576.50146500000005</v>
      </c>
      <c r="F117" s="61">
        <v>621.96618699999999</v>
      </c>
      <c r="G117" s="61">
        <v>670.154358</v>
      </c>
      <c r="H117" s="61">
        <v>721.21319600000004</v>
      </c>
      <c r="I117" s="61">
        <v>775.53961200000003</v>
      </c>
      <c r="J117" s="61">
        <v>832.99316399999998</v>
      </c>
      <c r="K117" s="61">
        <v>893.61932400000001</v>
      </c>
      <c r="L117" s="61">
        <v>958.332764</v>
      </c>
      <c r="M117" s="61">
        <v>1026.2164310000001</v>
      </c>
      <c r="N117" s="61">
        <v>1098.150513</v>
      </c>
      <c r="O117" s="61">
        <v>1174.7181399999999</v>
      </c>
      <c r="P117" s="61">
        <v>1255.7823490000001</v>
      </c>
      <c r="Q117" s="61">
        <v>1340.685303</v>
      </c>
      <c r="R117" s="61">
        <v>1427.5249020000001</v>
      </c>
      <c r="S117" s="61">
        <v>1519.212158</v>
      </c>
      <c r="T117" s="61">
        <v>1616.8161620000001</v>
      </c>
      <c r="U117" s="61">
        <v>1719.0985109999999</v>
      </c>
      <c r="V117" s="61">
        <v>1825.8316649999999</v>
      </c>
      <c r="W117" s="61">
        <v>1937.6998289999999</v>
      </c>
      <c r="X117" s="61">
        <v>2054.5622560000002</v>
      </c>
      <c r="Y117" s="61">
        <v>2193.2841800000001</v>
      </c>
      <c r="Z117" s="61">
        <v>2368.467529</v>
      </c>
      <c r="AA117" s="61">
        <v>2528.5646969999998</v>
      </c>
      <c r="AB117" s="61">
        <v>2697.1770019999999</v>
      </c>
      <c r="AC117" s="61">
        <v>2875.0607909999999</v>
      </c>
      <c r="AD117" s="61">
        <v>3062.0878910000001</v>
      </c>
      <c r="AE117" s="61">
        <v>3259.561279</v>
      </c>
      <c r="AF117" s="61">
        <v>3467.0554200000001</v>
      </c>
      <c r="AG117" s="61">
        <v>3684.1877439999998</v>
      </c>
      <c r="AH117" s="61">
        <v>3912.9047850000002</v>
      </c>
      <c r="AI117" s="61">
        <v>4155.3198240000002</v>
      </c>
      <c r="AJ117" s="61">
        <v>4410.216797</v>
      </c>
      <c r="AK117" s="62">
        <v>6.8221000000000004E-2</v>
      </c>
    </row>
    <row r="118" spans="1:37" ht="15" customHeight="1" x14ac:dyDescent="0.2">
      <c r="A118" s="57" t="s">
        <v>819</v>
      </c>
      <c r="B118" s="60" t="s">
        <v>707</v>
      </c>
      <c r="C118" s="61">
        <v>129.559189</v>
      </c>
      <c r="D118" s="61">
        <v>141.995193</v>
      </c>
      <c r="E118" s="61">
        <v>154.50418099999999</v>
      </c>
      <c r="F118" s="61">
        <v>167.30943300000001</v>
      </c>
      <c r="G118" s="61">
        <v>180.345947</v>
      </c>
      <c r="H118" s="61">
        <v>194.04527300000001</v>
      </c>
      <c r="I118" s="61">
        <v>208.85107400000001</v>
      </c>
      <c r="J118" s="61">
        <v>224.78143299999999</v>
      </c>
      <c r="K118" s="61">
        <v>241.47468599999999</v>
      </c>
      <c r="L118" s="61">
        <v>258.96713299999999</v>
      </c>
      <c r="M118" s="61">
        <v>277.45437600000002</v>
      </c>
      <c r="N118" s="61">
        <v>296.81124899999998</v>
      </c>
      <c r="O118" s="61">
        <v>316.86044299999998</v>
      </c>
      <c r="P118" s="61">
        <v>337.645081</v>
      </c>
      <c r="Q118" s="61">
        <v>359.939911</v>
      </c>
      <c r="R118" s="61">
        <v>383.29461700000002</v>
      </c>
      <c r="S118" s="61">
        <v>407.89099099999999</v>
      </c>
      <c r="T118" s="61">
        <v>433.61376999999999</v>
      </c>
      <c r="U118" s="61">
        <v>460.36831699999999</v>
      </c>
      <c r="V118" s="61">
        <v>488.35116599999998</v>
      </c>
      <c r="W118" s="61">
        <v>517.55487100000005</v>
      </c>
      <c r="X118" s="61">
        <v>547.98223900000005</v>
      </c>
      <c r="Y118" s="61">
        <v>579.41863999999998</v>
      </c>
      <c r="Z118" s="61">
        <v>614.70556599999998</v>
      </c>
      <c r="AA118" s="61">
        <v>649.17834500000004</v>
      </c>
      <c r="AB118" s="61">
        <v>684.83679199999995</v>
      </c>
      <c r="AC118" s="61">
        <v>721.80627400000003</v>
      </c>
      <c r="AD118" s="61">
        <v>759.97589100000005</v>
      </c>
      <c r="AE118" s="61">
        <v>799.60241699999995</v>
      </c>
      <c r="AF118" s="61">
        <v>840.49340800000004</v>
      </c>
      <c r="AG118" s="61">
        <v>882.47522000000004</v>
      </c>
      <c r="AH118" s="61">
        <v>925.95019500000001</v>
      </c>
      <c r="AI118" s="61">
        <v>971.33727999999996</v>
      </c>
      <c r="AJ118" s="61">
        <v>1018.240112</v>
      </c>
      <c r="AK118" s="62">
        <v>6.3497999999999999E-2</v>
      </c>
    </row>
    <row r="119" spans="1:37" ht="15" customHeight="1" x14ac:dyDescent="0.2">
      <c r="A119" s="57" t="s">
        <v>820</v>
      </c>
      <c r="B119" s="60" t="s">
        <v>709</v>
      </c>
      <c r="C119" s="61">
        <v>108.634789</v>
      </c>
      <c r="D119" s="61">
        <v>116.19982899999999</v>
      </c>
      <c r="E119" s="61">
        <v>123.678284</v>
      </c>
      <c r="F119" s="61">
        <v>131.56999200000001</v>
      </c>
      <c r="G119" s="61">
        <v>139.87207000000001</v>
      </c>
      <c r="H119" s="61">
        <v>148.595169</v>
      </c>
      <c r="I119" s="61">
        <v>157.753387</v>
      </c>
      <c r="J119" s="61">
        <v>167.40016199999999</v>
      </c>
      <c r="K119" s="61">
        <v>177.55903599999999</v>
      </c>
      <c r="L119" s="61">
        <v>188.23722799999999</v>
      </c>
      <c r="M119" s="61">
        <v>199.45439099999999</v>
      </c>
      <c r="N119" s="61">
        <v>211.22598300000001</v>
      </c>
      <c r="O119" s="61">
        <v>223.565887</v>
      </c>
      <c r="P119" s="61">
        <v>236.489182</v>
      </c>
      <c r="Q119" s="61">
        <v>250.02619899999999</v>
      </c>
      <c r="R119" s="61">
        <v>264.20880099999999</v>
      </c>
      <c r="S119" s="61">
        <v>279.07739299999997</v>
      </c>
      <c r="T119" s="61">
        <v>294.66687000000002</v>
      </c>
      <c r="U119" s="61">
        <v>310.96816999999999</v>
      </c>
      <c r="V119" s="61">
        <v>328.096069</v>
      </c>
      <c r="W119" s="61">
        <v>346.06866500000001</v>
      </c>
      <c r="X119" s="61">
        <v>364.89978000000002</v>
      </c>
      <c r="Y119" s="61">
        <v>384.54260299999999</v>
      </c>
      <c r="Z119" s="61">
        <v>405.07952899999998</v>
      </c>
      <c r="AA119" s="61">
        <v>426.50830100000002</v>
      </c>
      <c r="AB119" s="61">
        <v>448.80407700000001</v>
      </c>
      <c r="AC119" s="61">
        <v>472.01315299999999</v>
      </c>
      <c r="AD119" s="61">
        <v>496.19754</v>
      </c>
      <c r="AE119" s="61">
        <v>532.71569799999997</v>
      </c>
      <c r="AF119" s="61">
        <v>573.39129600000001</v>
      </c>
      <c r="AG119" s="61">
        <v>616.08026099999995</v>
      </c>
      <c r="AH119" s="61">
        <v>661.16143799999998</v>
      </c>
      <c r="AI119" s="61">
        <v>709.04882799999996</v>
      </c>
      <c r="AJ119" s="61">
        <v>759.52795400000002</v>
      </c>
      <c r="AK119" s="62">
        <v>6.0422999999999998E-2</v>
      </c>
    </row>
    <row r="120" spans="1:37" ht="15" customHeight="1" x14ac:dyDescent="0.2">
      <c r="A120" s="57" t="s">
        <v>821</v>
      </c>
      <c r="B120" s="60" t="s">
        <v>766</v>
      </c>
      <c r="C120" s="61">
        <v>776.94616699999995</v>
      </c>
      <c r="D120" s="61">
        <v>800.76391599999999</v>
      </c>
      <c r="E120" s="61">
        <v>824.51208499999996</v>
      </c>
      <c r="F120" s="61">
        <v>848.24487299999998</v>
      </c>
      <c r="G120" s="61">
        <v>871.97851600000001</v>
      </c>
      <c r="H120" s="61">
        <v>896.24121100000002</v>
      </c>
      <c r="I120" s="61">
        <v>920.93249500000002</v>
      </c>
      <c r="J120" s="61">
        <v>944.68542500000001</v>
      </c>
      <c r="K120" s="61">
        <v>967.66613800000005</v>
      </c>
      <c r="L120" s="61">
        <v>992.03845200000001</v>
      </c>
      <c r="M120" s="61">
        <v>1016.760193</v>
      </c>
      <c r="N120" s="61">
        <v>1042.3271480000001</v>
      </c>
      <c r="O120" s="61">
        <v>1068.325439</v>
      </c>
      <c r="P120" s="61">
        <v>1094.591797</v>
      </c>
      <c r="Q120" s="61">
        <v>1128.0974120000001</v>
      </c>
      <c r="R120" s="61">
        <v>1161.932251</v>
      </c>
      <c r="S120" s="61">
        <v>1197.4663089999999</v>
      </c>
      <c r="T120" s="61">
        <v>1234.238159</v>
      </c>
      <c r="U120" s="61">
        <v>1271.486328</v>
      </c>
      <c r="V120" s="61">
        <v>1309.1811520000001</v>
      </c>
      <c r="W120" s="61">
        <v>1348.8955080000001</v>
      </c>
      <c r="X120" s="61">
        <v>1390.8256839999999</v>
      </c>
      <c r="Y120" s="61">
        <v>1434.772217</v>
      </c>
      <c r="Z120" s="61">
        <v>1490.448975</v>
      </c>
      <c r="AA120" s="61">
        <v>1537.98999</v>
      </c>
      <c r="AB120" s="61">
        <v>1587.5211179999999</v>
      </c>
      <c r="AC120" s="61">
        <v>1638.756226</v>
      </c>
      <c r="AD120" s="61">
        <v>1691.5485839999999</v>
      </c>
      <c r="AE120" s="61">
        <v>1748.3320309999999</v>
      </c>
      <c r="AF120" s="61">
        <v>1808.171143</v>
      </c>
      <c r="AG120" s="61">
        <v>1869.014404</v>
      </c>
      <c r="AH120" s="61">
        <v>1931.311768</v>
      </c>
      <c r="AI120" s="61">
        <v>1994.810669</v>
      </c>
      <c r="AJ120" s="61">
        <v>2059.157471</v>
      </c>
      <c r="AK120" s="62">
        <v>2.9954999999999999E-2</v>
      </c>
    </row>
    <row r="121" spans="1:37" ht="15" customHeight="1" x14ac:dyDescent="0.2">
      <c r="A121" s="57" t="s">
        <v>822</v>
      </c>
      <c r="B121" s="60" t="s">
        <v>705</v>
      </c>
      <c r="C121" s="61">
        <v>293.471497</v>
      </c>
      <c r="D121" s="61">
        <v>309.216339</v>
      </c>
      <c r="E121" s="61">
        <v>325.288971</v>
      </c>
      <c r="F121" s="61">
        <v>341.76504499999999</v>
      </c>
      <c r="G121" s="61">
        <v>358.67407200000002</v>
      </c>
      <c r="H121" s="61">
        <v>376.55542000000003</v>
      </c>
      <c r="I121" s="61">
        <v>395.33776899999998</v>
      </c>
      <c r="J121" s="61">
        <v>413.80139200000002</v>
      </c>
      <c r="K121" s="61">
        <v>431.76129200000003</v>
      </c>
      <c r="L121" s="61">
        <v>449.54046599999998</v>
      </c>
      <c r="M121" s="61">
        <v>467.66729700000002</v>
      </c>
      <c r="N121" s="61">
        <v>486.53460699999999</v>
      </c>
      <c r="O121" s="61">
        <v>505.86639400000001</v>
      </c>
      <c r="P121" s="61">
        <v>525.56243900000004</v>
      </c>
      <c r="Q121" s="61">
        <v>551.20898399999999</v>
      </c>
      <c r="R121" s="61">
        <v>577.36187700000005</v>
      </c>
      <c r="S121" s="61">
        <v>605.17486599999995</v>
      </c>
      <c r="T121" s="61">
        <v>634.17199700000003</v>
      </c>
      <c r="U121" s="61">
        <v>663.88293499999997</v>
      </c>
      <c r="V121" s="61">
        <v>694.29724099999999</v>
      </c>
      <c r="W121" s="61">
        <v>725.78997800000002</v>
      </c>
      <c r="X121" s="61">
        <v>758.27136199999995</v>
      </c>
      <c r="Y121" s="61">
        <v>791.64160200000003</v>
      </c>
      <c r="Z121" s="61">
        <v>835.75585899999999</v>
      </c>
      <c r="AA121" s="61">
        <v>870.93756099999996</v>
      </c>
      <c r="AB121" s="61">
        <v>907.44329800000003</v>
      </c>
      <c r="AC121" s="61">
        <v>945.10382100000004</v>
      </c>
      <c r="AD121" s="61">
        <v>983.82818599999996</v>
      </c>
      <c r="AE121" s="61">
        <v>1023.6828</v>
      </c>
      <c r="AF121" s="61">
        <v>1064.834106</v>
      </c>
      <c r="AG121" s="61">
        <v>1106.600586</v>
      </c>
      <c r="AH121" s="61">
        <v>1149.329712</v>
      </c>
      <c r="AI121" s="61">
        <v>1192.7998050000001</v>
      </c>
      <c r="AJ121" s="61">
        <v>1236.7258300000001</v>
      </c>
      <c r="AK121" s="62">
        <v>4.4269999999999997E-2</v>
      </c>
    </row>
    <row r="122" spans="1:37" ht="15" customHeight="1" x14ac:dyDescent="0.2">
      <c r="A122" s="57" t="s">
        <v>823</v>
      </c>
      <c r="B122" s="60" t="s">
        <v>707</v>
      </c>
      <c r="C122" s="61">
        <v>119.709839</v>
      </c>
      <c r="D122" s="61">
        <v>126.491608</v>
      </c>
      <c r="E122" s="61">
        <v>133.36389199999999</v>
      </c>
      <c r="F122" s="61">
        <v>140.325897</v>
      </c>
      <c r="G122" s="61">
        <v>147.392426</v>
      </c>
      <c r="H122" s="61">
        <v>154.57566800000001</v>
      </c>
      <c r="I122" s="61">
        <v>161.85990899999999</v>
      </c>
      <c r="J122" s="61">
        <v>169.242615</v>
      </c>
      <c r="K122" s="61">
        <v>176.715408</v>
      </c>
      <c r="L122" s="61">
        <v>184.24485799999999</v>
      </c>
      <c r="M122" s="61">
        <v>191.82515000000001</v>
      </c>
      <c r="N122" s="61">
        <v>199.453812</v>
      </c>
      <c r="O122" s="61">
        <v>207.07591199999999</v>
      </c>
      <c r="P122" s="61">
        <v>214.657364</v>
      </c>
      <c r="Q122" s="61">
        <v>222.18211400000001</v>
      </c>
      <c r="R122" s="61">
        <v>229.63755800000001</v>
      </c>
      <c r="S122" s="61">
        <v>236.972916</v>
      </c>
      <c r="T122" s="61">
        <v>244.33438100000001</v>
      </c>
      <c r="U122" s="61">
        <v>251.54676799999999</v>
      </c>
      <c r="V122" s="61">
        <v>258.59628300000003</v>
      </c>
      <c r="W122" s="61">
        <v>265.49148600000001</v>
      </c>
      <c r="X122" s="61">
        <v>272.21099900000002</v>
      </c>
      <c r="Y122" s="61">
        <v>278.78561400000001</v>
      </c>
      <c r="Z122" s="61">
        <v>285.24993899999998</v>
      </c>
      <c r="AA122" s="61">
        <v>291.63067599999999</v>
      </c>
      <c r="AB122" s="61">
        <v>297.97442599999999</v>
      </c>
      <c r="AC122" s="61">
        <v>304.36108400000001</v>
      </c>
      <c r="AD122" s="61">
        <v>310.89648399999999</v>
      </c>
      <c r="AE122" s="61">
        <v>320.01882899999998</v>
      </c>
      <c r="AF122" s="61">
        <v>330.65783699999997</v>
      </c>
      <c r="AG122" s="61">
        <v>341.45040899999998</v>
      </c>
      <c r="AH122" s="61">
        <v>352.48928799999999</v>
      </c>
      <c r="AI122" s="61">
        <v>363.71517899999998</v>
      </c>
      <c r="AJ122" s="61">
        <v>375.05230699999998</v>
      </c>
      <c r="AK122" s="62">
        <v>3.4549000000000003E-2</v>
      </c>
    </row>
    <row r="123" spans="1:37" ht="15" customHeight="1" x14ac:dyDescent="0.2">
      <c r="A123" s="57" t="s">
        <v>824</v>
      </c>
      <c r="B123" s="60" t="s">
        <v>709</v>
      </c>
      <c r="C123" s="61">
        <v>363.76486199999999</v>
      </c>
      <c r="D123" s="61">
        <v>365.055969</v>
      </c>
      <c r="E123" s="61">
        <v>365.85922199999999</v>
      </c>
      <c r="F123" s="61">
        <v>366.15390000000002</v>
      </c>
      <c r="G123" s="61">
        <v>365.91198700000001</v>
      </c>
      <c r="H123" s="61">
        <v>365.11007699999999</v>
      </c>
      <c r="I123" s="61">
        <v>363.73483299999998</v>
      </c>
      <c r="J123" s="61">
        <v>361.64138800000001</v>
      </c>
      <c r="K123" s="61">
        <v>359.18948399999999</v>
      </c>
      <c r="L123" s="61">
        <v>358.25311299999998</v>
      </c>
      <c r="M123" s="61">
        <v>357.26776100000001</v>
      </c>
      <c r="N123" s="61">
        <v>356.33874500000002</v>
      </c>
      <c r="O123" s="61">
        <v>355.38308699999999</v>
      </c>
      <c r="P123" s="61">
        <v>354.37197900000001</v>
      </c>
      <c r="Q123" s="61">
        <v>354.70626800000002</v>
      </c>
      <c r="R123" s="61">
        <v>354.93277</v>
      </c>
      <c r="S123" s="61">
        <v>355.31857300000001</v>
      </c>
      <c r="T123" s="61">
        <v>355.73184199999997</v>
      </c>
      <c r="U123" s="61">
        <v>356.05660999999998</v>
      </c>
      <c r="V123" s="61">
        <v>356.287598</v>
      </c>
      <c r="W123" s="61">
        <v>357.61404399999998</v>
      </c>
      <c r="X123" s="61">
        <v>360.34320100000002</v>
      </c>
      <c r="Y123" s="61">
        <v>364.34500100000002</v>
      </c>
      <c r="Z123" s="61">
        <v>369.44311499999998</v>
      </c>
      <c r="AA123" s="61">
        <v>375.421783</v>
      </c>
      <c r="AB123" s="61">
        <v>382.10339399999998</v>
      </c>
      <c r="AC123" s="61">
        <v>389.29141199999998</v>
      </c>
      <c r="AD123" s="61">
        <v>396.82403599999998</v>
      </c>
      <c r="AE123" s="61">
        <v>404.63031000000001</v>
      </c>
      <c r="AF123" s="61">
        <v>412.67913800000002</v>
      </c>
      <c r="AG123" s="61">
        <v>420.96340900000001</v>
      </c>
      <c r="AH123" s="61">
        <v>429.49273699999998</v>
      </c>
      <c r="AI123" s="61">
        <v>438.29565400000001</v>
      </c>
      <c r="AJ123" s="61">
        <v>447.37933299999997</v>
      </c>
      <c r="AK123" s="62">
        <v>6.3749999999999996E-3</v>
      </c>
    </row>
    <row r="124" spans="1:37" ht="15" customHeight="1" x14ac:dyDescent="0.2">
      <c r="A124" s="57" t="s">
        <v>825</v>
      </c>
      <c r="B124" s="59" t="s">
        <v>771</v>
      </c>
      <c r="C124" s="68">
        <v>27286.984375</v>
      </c>
      <c r="D124" s="68">
        <v>28895.169922000001</v>
      </c>
      <c r="E124" s="68">
        <v>30545.375</v>
      </c>
      <c r="F124" s="68">
        <v>32233.765625</v>
      </c>
      <c r="G124" s="68">
        <v>33958.285155999998</v>
      </c>
      <c r="H124" s="68">
        <v>35717.886719000002</v>
      </c>
      <c r="I124" s="68">
        <v>37483.660155999998</v>
      </c>
      <c r="J124" s="68">
        <v>39273.066405999998</v>
      </c>
      <c r="K124" s="68">
        <v>41091.621094000002</v>
      </c>
      <c r="L124" s="68">
        <v>42937.394530999998</v>
      </c>
      <c r="M124" s="68">
        <v>44812.414062000003</v>
      </c>
      <c r="N124" s="68">
        <v>46723.988280999998</v>
      </c>
      <c r="O124" s="68">
        <v>48668.507812000003</v>
      </c>
      <c r="P124" s="68">
        <v>50635.882812000003</v>
      </c>
      <c r="Q124" s="68">
        <v>52601.335937999997</v>
      </c>
      <c r="R124" s="68">
        <v>54582.542969000002</v>
      </c>
      <c r="S124" s="68">
        <v>56602.023437999997</v>
      </c>
      <c r="T124" s="68">
        <v>58659.738280999998</v>
      </c>
      <c r="U124" s="68">
        <v>60744.734375</v>
      </c>
      <c r="V124" s="68">
        <v>62872.894530999998</v>
      </c>
      <c r="W124" s="68">
        <v>65032.890625</v>
      </c>
      <c r="X124" s="68">
        <v>67219.382811999996</v>
      </c>
      <c r="Y124" s="68">
        <v>69435.21875</v>
      </c>
      <c r="Z124" s="68">
        <v>71687.148438000004</v>
      </c>
      <c r="AA124" s="68">
        <v>73992.507811999996</v>
      </c>
      <c r="AB124" s="68">
        <v>76348.1875</v>
      </c>
      <c r="AC124" s="68">
        <v>78747.75</v>
      </c>
      <c r="AD124" s="68">
        <v>81190.648438000004</v>
      </c>
      <c r="AE124" s="68">
        <v>83672.078125</v>
      </c>
      <c r="AF124" s="68">
        <v>86194.6875</v>
      </c>
      <c r="AG124" s="68">
        <v>88746.539061999996</v>
      </c>
      <c r="AH124" s="68">
        <v>91326.335938000004</v>
      </c>
      <c r="AI124" s="68">
        <v>93932.742188000004</v>
      </c>
      <c r="AJ124" s="68">
        <v>96572.210938000004</v>
      </c>
      <c r="AK124" s="66">
        <v>3.8427000000000003E-2</v>
      </c>
    </row>
    <row r="125" spans="1:37" ht="15.75" customHeight="1" x14ac:dyDescent="0.2"/>
    <row r="126" spans="1:37" ht="15.75" customHeight="1" x14ac:dyDescent="0.2"/>
    <row r="127" spans="1:37" ht="15" customHeight="1" x14ac:dyDescent="0.2">
      <c r="B127" s="59" t="s">
        <v>826</v>
      </c>
    </row>
    <row r="128" spans="1:37" ht="15" customHeight="1" x14ac:dyDescent="0.2">
      <c r="A128" s="57" t="s">
        <v>827</v>
      </c>
      <c r="B128" s="60" t="s">
        <v>703</v>
      </c>
      <c r="C128" s="61">
        <v>1035.221558</v>
      </c>
      <c r="D128" s="61">
        <v>1002.74585</v>
      </c>
      <c r="E128" s="61">
        <v>973.12213099999997</v>
      </c>
      <c r="F128" s="61">
        <v>945.41015600000003</v>
      </c>
      <c r="G128" s="61">
        <v>913.681152</v>
      </c>
      <c r="H128" s="61">
        <v>870.97369400000002</v>
      </c>
      <c r="I128" s="61">
        <v>841.91064500000005</v>
      </c>
      <c r="J128" s="61">
        <v>813.14373799999998</v>
      </c>
      <c r="K128" s="61">
        <v>783.31671100000005</v>
      </c>
      <c r="L128" s="61">
        <v>756.040344</v>
      </c>
      <c r="M128" s="61">
        <v>723.95721400000002</v>
      </c>
      <c r="N128" s="61">
        <v>683.40380900000002</v>
      </c>
      <c r="O128" s="61">
        <v>638.41986099999997</v>
      </c>
      <c r="P128" s="61">
        <v>584.97216800000001</v>
      </c>
      <c r="Q128" s="61">
        <v>543.10894800000005</v>
      </c>
      <c r="R128" s="61">
        <v>512.85180700000001</v>
      </c>
      <c r="S128" s="61">
        <v>481.51669299999998</v>
      </c>
      <c r="T128" s="61">
        <v>457.67697099999998</v>
      </c>
      <c r="U128" s="61">
        <v>442.37338299999999</v>
      </c>
      <c r="V128" s="61">
        <v>425.20105000000001</v>
      </c>
      <c r="W128" s="61">
        <v>406.23703</v>
      </c>
      <c r="X128" s="61">
        <v>385.857483</v>
      </c>
      <c r="Y128" s="61">
        <v>363.65612800000002</v>
      </c>
      <c r="Z128" s="61">
        <v>339.603455</v>
      </c>
      <c r="AA128" s="61">
        <v>317.10351600000001</v>
      </c>
      <c r="AB128" s="61">
        <v>295.47885100000002</v>
      </c>
      <c r="AC128" s="61">
        <v>273.40704299999999</v>
      </c>
      <c r="AD128" s="61">
        <v>245.305038</v>
      </c>
      <c r="AE128" s="61">
        <v>216.23228499999999</v>
      </c>
      <c r="AF128" s="61">
        <v>187.24876399999999</v>
      </c>
      <c r="AG128" s="61">
        <v>157.669479</v>
      </c>
      <c r="AH128" s="61">
        <v>123.06326300000001</v>
      </c>
      <c r="AI128" s="61">
        <v>93.428741000000002</v>
      </c>
      <c r="AJ128" s="61">
        <v>69.248313999999993</v>
      </c>
      <c r="AK128" s="62">
        <v>-8.0131999999999995E-2</v>
      </c>
    </row>
    <row r="129" spans="1:37" ht="15" customHeight="1" x14ac:dyDescent="0.2">
      <c r="A129" s="57" t="s">
        <v>828</v>
      </c>
      <c r="B129" s="60" t="s">
        <v>705</v>
      </c>
      <c r="C129" s="61">
        <v>387.07928500000003</v>
      </c>
      <c r="D129" s="61">
        <v>374.97305299999999</v>
      </c>
      <c r="E129" s="61">
        <v>362.63137799999998</v>
      </c>
      <c r="F129" s="61">
        <v>348.45211799999998</v>
      </c>
      <c r="G129" s="61">
        <v>332.59316999999999</v>
      </c>
      <c r="H129" s="61">
        <v>315.19085699999999</v>
      </c>
      <c r="I129" s="61">
        <v>295.93652300000002</v>
      </c>
      <c r="J129" s="61">
        <v>274.90228300000001</v>
      </c>
      <c r="K129" s="61">
        <v>253.03149400000001</v>
      </c>
      <c r="L129" s="61">
        <v>234.24078399999999</v>
      </c>
      <c r="M129" s="61">
        <v>210.52784700000001</v>
      </c>
      <c r="N129" s="61">
        <v>179.148651</v>
      </c>
      <c r="O129" s="61">
        <v>144.198578</v>
      </c>
      <c r="P129" s="61">
        <v>101.705338</v>
      </c>
      <c r="Q129" s="61">
        <v>71.566695999999993</v>
      </c>
      <c r="R129" s="61">
        <v>53.853915999999998</v>
      </c>
      <c r="S129" s="61">
        <v>36</v>
      </c>
      <c r="T129" s="61">
        <v>26</v>
      </c>
      <c r="U129" s="61">
        <v>26</v>
      </c>
      <c r="V129" s="61">
        <v>23</v>
      </c>
      <c r="W129" s="61">
        <v>19.077349000000002</v>
      </c>
      <c r="X129" s="61">
        <v>17</v>
      </c>
      <c r="Y129" s="61">
        <v>15</v>
      </c>
      <c r="Z129" s="61">
        <v>12</v>
      </c>
      <c r="AA129" s="61">
        <v>9</v>
      </c>
      <c r="AB129" s="61">
        <v>8</v>
      </c>
      <c r="AC129" s="61">
        <v>8</v>
      </c>
      <c r="AD129" s="61">
        <v>7</v>
      </c>
      <c r="AE129" s="61">
        <v>6</v>
      </c>
      <c r="AF129" s="61">
        <v>3</v>
      </c>
      <c r="AG129" s="61">
        <v>3</v>
      </c>
      <c r="AH129" s="61">
        <v>2</v>
      </c>
      <c r="AI129" s="61">
        <v>0.86185800000000001</v>
      </c>
      <c r="AJ129" s="61">
        <v>0</v>
      </c>
      <c r="AK129" s="62" t="s">
        <v>467</v>
      </c>
    </row>
    <row r="130" spans="1:37" ht="15" customHeight="1" x14ac:dyDescent="0.2">
      <c r="A130" s="57" t="s">
        <v>829</v>
      </c>
      <c r="B130" s="60" t="s">
        <v>707</v>
      </c>
      <c r="C130" s="61">
        <v>85.108283999999998</v>
      </c>
      <c r="D130" s="61">
        <v>67.073547000000005</v>
      </c>
      <c r="E130" s="61">
        <v>52.558323000000001</v>
      </c>
      <c r="F130" s="61">
        <v>42.283904999999997</v>
      </c>
      <c r="G130" s="61">
        <v>30.220236</v>
      </c>
      <c r="H130" s="61">
        <v>9.3240200000000009</v>
      </c>
      <c r="I130" s="61">
        <v>4.5783969999999998</v>
      </c>
      <c r="J130" s="61">
        <v>2.6260370000000002</v>
      </c>
      <c r="K130" s="61">
        <v>1.2206939999999999</v>
      </c>
      <c r="L130" s="61">
        <v>0.42881399999999997</v>
      </c>
      <c r="M130" s="61">
        <v>0.26483299999999999</v>
      </c>
      <c r="N130" s="61">
        <v>0.18105399999999999</v>
      </c>
      <c r="O130" s="61">
        <v>0.121984</v>
      </c>
      <c r="P130" s="61">
        <v>1.5894999999999999E-2</v>
      </c>
      <c r="Q130" s="61">
        <v>1.065E-2</v>
      </c>
      <c r="R130" s="61">
        <v>0</v>
      </c>
      <c r="S130" s="61">
        <v>0</v>
      </c>
      <c r="T130" s="61">
        <v>0</v>
      </c>
      <c r="U130" s="61">
        <v>0</v>
      </c>
      <c r="V130" s="61">
        <v>0</v>
      </c>
      <c r="W130" s="61">
        <v>0</v>
      </c>
      <c r="X130" s="61">
        <v>0</v>
      </c>
      <c r="Y130" s="61">
        <v>0</v>
      </c>
      <c r="Z130" s="61">
        <v>0</v>
      </c>
      <c r="AA130" s="61">
        <v>0</v>
      </c>
      <c r="AB130" s="61">
        <v>0</v>
      </c>
      <c r="AC130" s="61">
        <v>0</v>
      </c>
      <c r="AD130" s="61">
        <v>0</v>
      </c>
      <c r="AE130" s="61">
        <v>0</v>
      </c>
      <c r="AF130" s="61">
        <v>0</v>
      </c>
      <c r="AG130" s="61">
        <v>0</v>
      </c>
      <c r="AH130" s="61">
        <v>0</v>
      </c>
      <c r="AI130" s="61">
        <v>0</v>
      </c>
      <c r="AJ130" s="61">
        <v>0</v>
      </c>
      <c r="AK130" s="62" t="s">
        <v>467</v>
      </c>
    </row>
    <row r="131" spans="1:37" ht="15" customHeight="1" x14ac:dyDescent="0.2">
      <c r="A131" s="57" t="s">
        <v>830</v>
      </c>
      <c r="B131" s="60" t="s">
        <v>709</v>
      </c>
      <c r="C131" s="61">
        <v>563.033997</v>
      </c>
      <c r="D131" s="61">
        <v>560.69921899999997</v>
      </c>
      <c r="E131" s="61">
        <v>557.93243399999994</v>
      </c>
      <c r="F131" s="61">
        <v>554.67413299999998</v>
      </c>
      <c r="G131" s="61">
        <v>550.86773700000003</v>
      </c>
      <c r="H131" s="61">
        <v>546.45880099999999</v>
      </c>
      <c r="I131" s="61">
        <v>541.39575200000002</v>
      </c>
      <c r="J131" s="61">
        <v>535.61541699999998</v>
      </c>
      <c r="K131" s="61">
        <v>529.06451400000003</v>
      </c>
      <c r="L131" s="61">
        <v>521.37072799999999</v>
      </c>
      <c r="M131" s="61">
        <v>513.16455099999996</v>
      </c>
      <c r="N131" s="61">
        <v>504.07409699999999</v>
      </c>
      <c r="O131" s="61">
        <v>494.09930400000002</v>
      </c>
      <c r="P131" s="61">
        <v>483.25091600000002</v>
      </c>
      <c r="Q131" s="61">
        <v>471.531586</v>
      </c>
      <c r="R131" s="61">
        <v>458.99789399999997</v>
      </c>
      <c r="S131" s="61">
        <v>445.51669299999998</v>
      </c>
      <c r="T131" s="61">
        <v>431.67697099999998</v>
      </c>
      <c r="U131" s="61">
        <v>416.37338299999999</v>
      </c>
      <c r="V131" s="61">
        <v>402.20105000000001</v>
      </c>
      <c r="W131" s="61">
        <v>387.15966800000001</v>
      </c>
      <c r="X131" s="61">
        <v>368.857483</v>
      </c>
      <c r="Y131" s="61">
        <v>348.65612800000002</v>
      </c>
      <c r="Z131" s="61">
        <v>327.603455</v>
      </c>
      <c r="AA131" s="61">
        <v>308.10351600000001</v>
      </c>
      <c r="AB131" s="61">
        <v>287.47885100000002</v>
      </c>
      <c r="AC131" s="61">
        <v>265.40704299999999</v>
      </c>
      <c r="AD131" s="61">
        <v>238.305038</v>
      </c>
      <c r="AE131" s="61">
        <v>210.23228499999999</v>
      </c>
      <c r="AF131" s="61">
        <v>184.24876399999999</v>
      </c>
      <c r="AG131" s="61">
        <v>154.669479</v>
      </c>
      <c r="AH131" s="61">
        <v>121.06326300000001</v>
      </c>
      <c r="AI131" s="61">
        <v>92.566879</v>
      </c>
      <c r="AJ131" s="61">
        <v>69.248313999999993</v>
      </c>
      <c r="AK131" s="62">
        <v>-6.3269000000000006E-2</v>
      </c>
    </row>
    <row r="132" spans="1:37" ht="15" customHeight="1" x14ac:dyDescent="0.2">
      <c r="A132" s="57" t="s">
        <v>831</v>
      </c>
      <c r="B132" s="60" t="s">
        <v>711</v>
      </c>
      <c r="C132" s="61">
        <v>65.284637000000004</v>
      </c>
      <c r="D132" s="61">
        <v>63.427543999999997</v>
      </c>
      <c r="E132" s="61">
        <v>61.695587000000003</v>
      </c>
      <c r="F132" s="61">
        <v>59.671332999999997</v>
      </c>
      <c r="G132" s="61">
        <v>57.452938000000003</v>
      </c>
      <c r="H132" s="61">
        <v>55.273555999999999</v>
      </c>
      <c r="I132" s="61">
        <v>53.191319</v>
      </c>
      <c r="J132" s="61">
        <v>50.163567</v>
      </c>
      <c r="K132" s="61">
        <v>47.759017999999998</v>
      </c>
      <c r="L132" s="61">
        <v>45.514240000000001</v>
      </c>
      <c r="M132" s="61">
        <v>42.996505999999997</v>
      </c>
      <c r="N132" s="61">
        <v>40.356921999999997</v>
      </c>
      <c r="O132" s="61">
        <v>37.492012000000003</v>
      </c>
      <c r="P132" s="61">
        <v>34.461933000000002</v>
      </c>
      <c r="Q132" s="61">
        <v>31.371628000000001</v>
      </c>
      <c r="R132" s="61">
        <v>28.320882999999998</v>
      </c>
      <c r="S132" s="61">
        <v>24.469107000000001</v>
      </c>
      <c r="T132" s="61">
        <v>21.060804000000001</v>
      </c>
      <c r="U132" s="61">
        <v>18.179544</v>
      </c>
      <c r="V132" s="61">
        <v>15.775371</v>
      </c>
      <c r="W132" s="61">
        <v>13.654145</v>
      </c>
      <c r="X132" s="61">
        <v>11.159050000000001</v>
      </c>
      <c r="Y132" s="61">
        <v>9.8747620000000005</v>
      </c>
      <c r="Z132" s="61">
        <v>8.8106039999999997</v>
      </c>
      <c r="AA132" s="61">
        <v>7.5985129999999996</v>
      </c>
      <c r="AB132" s="61">
        <v>5.946968</v>
      </c>
      <c r="AC132" s="61">
        <v>5.529007</v>
      </c>
      <c r="AD132" s="61">
        <v>4.4331639999999997</v>
      </c>
      <c r="AE132" s="61">
        <v>3.5822509999999999</v>
      </c>
      <c r="AF132" s="61">
        <v>2.6791779999999998</v>
      </c>
      <c r="AG132" s="61">
        <v>2.1006589999999998</v>
      </c>
      <c r="AH132" s="61">
        <v>1.6871449999999999</v>
      </c>
      <c r="AI132" s="61">
        <v>0.94831200000000004</v>
      </c>
      <c r="AJ132" s="61">
        <v>0.52304799999999996</v>
      </c>
      <c r="AK132" s="62">
        <v>-0.139238</v>
      </c>
    </row>
    <row r="133" spans="1:37" ht="15" customHeight="1" x14ac:dyDescent="0.2">
      <c r="A133" s="57" t="s">
        <v>832</v>
      </c>
      <c r="B133" s="60" t="s">
        <v>705</v>
      </c>
      <c r="C133" s="61">
        <v>6.7496369999999999</v>
      </c>
      <c r="D133" s="61">
        <v>5.4148969999999998</v>
      </c>
      <c r="E133" s="61">
        <v>4.4590550000000002</v>
      </c>
      <c r="F133" s="61">
        <v>3.44611</v>
      </c>
      <c r="G133" s="61">
        <v>2.933837</v>
      </c>
      <c r="H133" s="61">
        <v>2.5199509999999998</v>
      </c>
      <c r="I133" s="61">
        <v>2.1808320000000001</v>
      </c>
      <c r="J133" s="61">
        <v>1.9070050000000001</v>
      </c>
      <c r="K133" s="61">
        <v>1.6891080000000001</v>
      </c>
      <c r="L133" s="61">
        <v>1.518238</v>
      </c>
      <c r="M133" s="61">
        <v>1.386199</v>
      </c>
      <c r="N133" s="61">
        <v>1.2856639999999999</v>
      </c>
      <c r="O133" s="61">
        <v>1.210243</v>
      </c>
      <c r="P133" s="61">
        <v>1.154501</v>
      </c>
      <c r="Q133" s="61">
        <v>1.1139209999999999</v>
      </c>
      <c r="R133" s="61">
        <v>1.084822</v>
      </c>
      <c r="S133" s="61">
        <v>0.29505900000000002</v>
      </c>
      <c r="T133" s="61">
        <v>2.1298999999999998E-2</v>
      </c>
      <c r="U133" s="61">
        <v>0</v>
      </c>
      <c r="V133" s="61">
        <v>0</v>
      </c>
      <c r="W133" s="61">
        <v>0</v>
      </c>
      <c r="X133" s="61">
        <v>0</v>
      </c>
      <c r="Y133" s="61">
        <v>0</v>
      </c>
      <c r="Z133" s="61">
        <v>0</v>
      </c>
      <c r="AA133" s="61">
        <v>0</v>
      </c>
      <c r="AB133" s="61">
        <v>0</v>
      </c>
      <c r="AC133" s="61">
        <v>0</v>
      </c>
      <c r="AD133" s="61">
        <v>0</v>
      </c>
      <c r="AE133" s="61">
        <v>0</v>
      </c>
      <c r="AF133" s="61">
        <v>0</v>
      </c>
      <c r="AG133" s="61">
        <v>0</v>
      </c>
      <c r="AH133" s="61">
        <v>0</v>
      </c>
      <c r="AI133" s="61">
        <v>0</v>
      </c>
      <c r="AJ133" s="61">
        <v>0</v>
      </c>
      <c r="AK133" s="62" t="s">
        <v>467</v>
      </c>
    </row>
    <row r="134" spans="1:37" ht="15" customHeight="1" x14ac:dyDescent="0.2">
      <c r="A134" s="57" t="s">
        <v>833</v>
      </c>
      <c r="B134" s="60" t="s">
        <v>707</v>
      </c>
      <c r="C134" s="61">
        <v>1</v>
      </c>
      <c r="D134" s="61">
        <v>1</v>
      </c>
      <c r="E134" s="61">
        <v>1</v>
      </c>
      <c r="F134" s="61">
        <v>1</v>
      </c>
      <c r="G134" s="61">
        <v>1</v>
      </c>
      <c r="H134" s="61">
        <v>1</v>
      </c>
      <c r="I134" s="61">
        <v>0.71148800000000001</v>
      </c>
      <c r="J134" s="61">
        <v>0</v>
      </c>
      <c r="K134" s="61">
        <v>0</v>
      </c>
      <c r="L134" s="61">
        <v>0</v>
      </c>
      <c r="M134" s="61">
        <v>0</v>
      </c>
      <c r="N134" s="61">
        <v>0</v>
      </c>
      <c r="O134" s="61">
        <v>0</v>
      </c>
      <c r="P134" s="61">
        <v>0</v>
      </c>
      <c r="Q134" s="61">
        <v>0</v>
      </c>
      <c r="R134" s="61">
        <v>0</v>
      </c>
      <c r="S134" s="61">
        <v>0</v>
      </c>
      <c r="T134" s="61">
        <v>0</v>
      </c>
      <c r="U134" s="61">
        <v>0</v>
      </c>
      <c r="V134" s="61">
        <v>0</v>
      </c>
      <c r="W134" s="61">
        <v>0</v>
      </c>
      <c r="X134" s="61">
        <v>0</v>
      </c>
      <c r="Y134" s="61">
        <v>0</v>
      </c>
      <c r="Z134" s="61">
        <v>0</v>
      </c>
      <c r="AA134" s="61">
        <v>0</v>
      </c>
      <c r="AB134" s="61">
        <v>0</v>
      </c>
      <c r="AC134" s="61">
        <v>0</v>
      </c>
      <c r="AD134" s="61">
        <v>0</v>
      </c>
      <c r="AE134" s="61">
        <v>0</v>
      </c>
      <c r="AF134" s="61">
        <v>0</v>
      </c>
      <c r="AG134" s="61">
        <v>0</v>
      </c>
      <c r="AH134" s="61">
        <v>0</v>
      </c>
      <c r="AI134" s="61">
        <v>0</v>
      </c>
      <c r="AJ134" s="61">
        <v>0</v>
      </c>
      <c r="AK134" s="62" t="s">
        <v>467</v>
      </c>
    </row>
    <row r="135" spans="1:37" ht="15" customHeight="1" x14ac:dyDescent="0.2">
      <c r="A135" s="57" t="s">
        <v>834</v>
      </c>
      <c r="B135" s="60" t="s">
        <v>709</v>
      </c>
      <c r="C135" s="61">
        <v>57.534999999999997</v>
      </c>
      <c r="D135" s="61">
        <v>57.012645999999997</v>
      </c>
      <c r="E135" s="61">
        <v>56.236530000000002</v>
      </c>
      <c r="F135" s="61">
        <v>55.225223999999997</v>
      </c>
      <c r="G135" s="61">
        <v>53.519100000000002</v>
      </c>
      <c r="H135" s="61">
        <v>51.753605</v>
      </c>
      <c r="I135" s="61">
        <v>50.298999999999999</v>
      </c>
      <c r="J135" s="61">
        <v>48.256560999999998</v>
      </c>
      <c r="K135" s="61">
        <v>46.069912000000002</v>
      </c>
      <c r="L135" s="61">
        <v>43.996001999999997</v>
      </c>
      <c r="M135" s="61">
        <v>41.610306000000001</v>
      </c>
      <c r="N135" s="61">
        <v>39.071258999999998</v>
      </c>
      <c r="O135" s="61">
        <v>36.281768999999997</v>
      </c>
      <c r="P135" s="61">
        <v>33.307429999999997</v>
      </c>
      <c r="Q135" s="61">
        <v>30.257708000000001</v>
      </c>
      <c r="R135" s="61">
        <v>27.236060999999999</v>
      </c>
      <c r="S135" s="61">
        <v>24.174047000000002</v>
      </c>
      <c r="T135" s="61">
        <v>21.039504999999998</v>
      </c>
      <c r="U135" s="61">
        <v>18.179544</v>
      </c>
      <c r="V135" s="61">
        <v>15.775371</v>
      </c>
      <c r="W135" s="61">
        <v>13.654145</v>
      </c>
      <c r="X135" s="61">
        <v>11.159050000000001</v>
      </c>
      <c r="Y135" s="61">
        <v>9.8747620000000005</v>
      </c>
      <c r="Z135" s="61">
        <v>8.8106039999999997</v>
      </c>
      <c r="AA135" s="61">
        <v>7.5985129999999996</v>
      </c>
      <c r="AB135" s="61">
        <v>5.946968</v>
      </c>
      <c r="AC135" s="61">
        <v>5.529007</v>
      </c>
      <c r="AD135" s="61">
        <v>4.4331639999999997</v>
      </c>
      <c r="AE135" s="61">
        <v>3.5822509999999999</v>
      </c>
      <c r="AF135" s="61">
        <v>2.6791779999999998</v>
      </c>
      <c r="AG135" s="61">
        <v>2.1006589999999998</v>
      </c>
      <c r="AH135" s="61">
        <v>1.6871449999999999</v>
      </c>
      <c r="AI135" s="61">
        <v>0.94831200000000004</v>
      </c>
      <c r="AJ135" s="61">
        <v>0.52304799999999996</v>
      </c>
      <c r="AK135" s="62">
        <v>-0.13636499999999999</v>
      </c>
    </row>
    <row r="136" spans="1:37" ht="15" customHeight="1" x14ac:dyDescent="0.2">
      <c r="A136" s="57" t="s">
        <v>835</v>
      </c>
      <c r="B136" s="60" t="s">
        <v>716</v>
      </c>
      <c r="C136" s="61">
        <v>64.974884000000003</v>
      </c>
      <c r="D136" s="61">
        <v>62.516326999999997</v>
      </c>
      <c r="E136" s="61">
        <v>60.982719000000003</v>
      </c>
      <c r="F136" s="61">
        <v>59.427120000000002</v>
      </c>
      <c r="G136" s="61">
        <v>58.298141000000001</v>
      </c>
      <c r="H136" s="61">
        <v>56.895690999999999</v>
      </c>
      <c r="I136" s="61">
        <v>55.146602999999999</v>
      </c>
      <c r="J136" s="61">
        <v>52.943474000000002</v>
      </c>
      <c r="K136" s="61">
        <v>50.188400000000001</v>
      </c>
      <c r="L136" s="61">
        <v>46.835853999999998</v>
      </c>
      <c r="M136" s="61">
        <v>42.833069000000002</v>
      </c>
      <c r="N136" s="61">
        <v>38.079624000000003</v>
      </c>
      <c r="O136" s="61">
        <v>33.185364</v>
      </c>
      <c r="P136" s="61">
        <v>27.601475000000001</v>
      </c>
      <c r="Q136" s="61">
        <v>22.920438999999998</v>
      </c>
      <c r="R136" s="61">
        <v>18.589324999999999</v>
      </c>
      <c r="S136" s="61">
        <v>15.749454999999999</v>
      </c>
      <c r="T136" s="61">
        <v>13.628861000000001</v>
      </c>
      <c r="U136" s="61">
        <v>11.872077000000001</v>
      </c>
      <c r="V136" s="61">
        <v>10.281026000000001</v>
      </c>
      <c r="W136" s="61">
        <v>8.8282550000000004</v>
      </c>
      <c r="X136" s="61">
        <v>7.2899700000000003</v>
      </c>
      <c r="Y136" s="61">
        <v>5.7042820000000001</v>
      </c>
      <c r="Z136" s="61">
        <v>3.7108379999999999</v>
      </c>
      <c r="AA136" s="61">
        <v>2.1350449999999999</v>
      </c>
      <c r="AB136" s="61">
        <v>1.2833859999999999</v>
      </c>
      <c r="AC136" s="61">
        <v>0.70469400000000004</v>
      </c>
      <c r="AD136" s="61">
        <v>0.27679500000000001</v>
      </c>
      <c r="AE136" s="61">
        <v>0</v>
      </c>
      <c r="AF136" s="61">
        <v>0</v>
      </c>
      <c r="AG136" s="61">
        <v>0</v>
      </c>
      <c r="AH136" s="61">
        <v>0</v>
      </c>
      <c r="AI136" s="61">
        <v>0</v>
      </c>
      <c r="AJ136" s="61">
        <v>0</v>
      </c>
      <c r="AK136" s="62" t="s">
        <v>467</v>
      </c>
    </row>
    <row r="137" spans="1:37" ht="15" customHeight="1" x14ac:dyDescent="0.2">
      <c r="A137" s="57" t="s">
        <v>836</v>
      </c>
      <c r="B137" s="60" t="s">
        <v>705</v>
      </c>
      <c r="C137" s="61">
        <v>37.666511999999997</v>
      </c>
      <c r="D137" s="61">
        <v>36.584105999999998</v>
      </c>
      <c r="E137" s="61">
        <v>35.446449000000001</v>
      </c>
      <c r="F137" s="61">
        <v>34.229667999999997</v>
      </c>
      <c r="G137" s="61">
        <v>33.38588</v>
      </c>
      <c r="H137" s="61">
        <v>32.298065000000001</v>
      </c>
      <c r="I137" s="61">
        <v>30.963507</v>
      </c>
      <c r="J137" s="61">
        <v>29.296461000000001</v>
      </c>
      <c r="K137" s="61">
        <v>27.222218000000002</v>
      </c>
      <c r="L137" s="61">
        <v>24.717661</v>
      </c>
      <c r="M137" s="61">
        <v>21.74334</v>
      </c>
      <c r="N137" s="61">
        <v>18.202337</v>
      </c>
      <c r="O137" s="61">
        <v>14.510662999999999</v>
      </c>
      <c r="P137" s="61">
        <v>10.319381</v>
      </c>
      <c r="Q137" s="61">
        <v>7.0877629999999998</v>
      </c>
      <c r="R137" s="61">
        <v>4.1812040000000001</v>
      </c>
      <c r="S137" s="61">
        <v>2.8133300000000001</v>
      </c>
      <c r="T137" s="61">
        <v>2.0312269999999999</v>
      </c>
      <c r="U137" s="61">
        <v>1.588004</v>
      </c>
      <c r="V137" s="61">
        <v>1.370385</v>
      </c>
      <c r="W137" s="61">
        <v>1.2495810000000001</v>
      </c>
      <c r="X137" s="61">
        <v>1.171257</v>
      </c>
      <c r="Y137" s="61">
        <v>1.118136</v>
      </c>
      <c r="Z137" s="61">
        <v>0.84543500000000005</v>
      </c>
      <c r="AA137" s="61">
        <v>5.3342000000000001E-2</v>
      </c>
      <c r="AB137" s="61">
        <v>0</v>
      </c>
      <c r="AC137" s="61">
        <v>0</v>
      </c>
      <c r="AD137" s="61">
        <v>0</v>
      </c>
      <c r="AE137" s="61">
        <v>0</v>
      </c>
      <c r="AF137" s="61">
        <v>0</v>
      </c>
      <c r="AG137" s="61">
        <v>0</v>
      </c>
      <c r="AH137" s="61">
        <v>0</v>
      </c>
      <c r="AI137" s="61">
        <v>0</v>
      </c>
      <c r="AJ137" s="61">
        <v>0</v>
      </c>
      <c r="AK137" s="62" t="s">
        <v>467</v>
      </c>
    </row>
    <row r="138" spans="1:37" ht="15" customHeight="1" x14ac:dyDescent="0.2">
      <c r="A138" s="57" t="s">
        <v>837</v>
      </c>
      <c r="B138" s="60" t="s">
        <v>707</v>
      </c>
      <c r="C138" s="61">
        <v>1.5093700000000001</v>
      </c>
      <c r="D138" s="61">
        <v>0.36944199999999999</v>
      </c>
      <c r="E138" s="61">
        <v>0.23446900000000001</v>
      </c>
      <c r="F138" s="61">
        <v>0.13982700000000001</v>
      </c>
      <c r="G138" s="61">
        <v>7.6891000000000001E-2</v>
      </c>
      <c r="H138" s="61">
        <v>3.7864000000000002E-2</v>
      </c>
      <c r="I138" s="61">
        <v>1.601E-2</v>
      </c>
      <c r="J138" s="61">
        <v>5.47E-3</v>
      </c>
      <c r="K138" s="61">
        <v>1.403E-3</v>
      </c>
      <c r="L138" s="61">
        <v>4.0400000000000001E-4</v>
      </c>
      <c r="M138" s="61">
        <v>2.7E-4</v>
      </c>
      <c r="N138" s="61">
        <v>0</v>
      </c>
      <c r="O138" s="61">
        <v>0</v>
      </c>
      <c r="P138" s="61">
        <v>0</v>
      </c>
      <c r="Q138" s="61">
        <v>0</v>
      </c>
      <c r="R138" s="61">
        <v>0</v>
      </c>
      <c r="S138" s="61">
        <v>0</v>
      </c>
      <c r="T138" s="61">
        <v>0</v>
      </c>
      <c r="U138" s="61">
        <v>0</v>
      </c>
      <c r="V138" s="61">
        <v>0</v>
      </c>
      <c r="W138" s="61">
        <v>0</v>
      </c>
      <c r="X138" s="61">
        <v>0</v>
      </c>
      <c r="Y138" s="61">
        <v>0</v>
      </c>
      <c r="Z138" s="61">
        <v>0</v>
      </c>
      <c r="AA138" s="61">
        <v>0</v>
      </c>
      <c r="AB138" s="61">
        <v>0</v>
      </c>
      <c r="AC138" s="61">
        <v>0</v>
      </c>
      <c r="AD138" s="61">
        <v>0</v>
      </c>
      <c r="AE138" s="61">
        <v>0</v>
      </c>
      <c r="AF138" s="61">
        <v>0</v>
      </c>
      <c r="AG138" s="61">
        <v>0</v>
      </c>
      <c r="AH138" s="61">
        <v>0</v>
      </c>
      <c r="AI138" s="61">
        <v>0</v>
      </c>
      <c r="AJ138" s="61">
        <v>0</v>
      </c>
      <c r="AK138" s="62" t="s">
        <v>467</v>
      </c>
    </row>
    <row r="139" spans="1:37" ht="15" customHeight="1" x14ac:dyDescent="0.2">
      <c r="A139" s="57" t="s">
        <v>838</v>
      </c>
      <c r="B139" s="60" t="s">
        <v>709</v>
      </c>
      <c r="C139" s="61">
        <v>25.798999999999999</v>
      </c>
      <c r="D139" s="61">
        <v>25.562777000000001</v>
      </c>
      <c r="E139" s="61">
        <v>25.301801999999999</v>
      </c>
      <c r="F139" s="61">
        <v>25.057625000000002</v>
      </c>
      <c r="G139" s="61">
        <v>24.835370999999999</v>
      </c>
      <c r="H139" s="61">
        <v>24.559763</v>
      </c>
      <c r="I139" s="61">
        <v>24.167086000000001</v>
      </c>
      <c r="J139" s="61">
        <v>23.641544</v>
      </c>
      <c r="K139" s="61">
        <v>22.964780999999999</v>
      </c>
      <c r="L139" s="61">
        <v>22.117785999999999</v>
      </c>
      <c r="M139" s="61">
        <v>21.089458</v>
      </c>
      <c r="N139" s="61">
        <v>19.877286999999999</v>
      </c>
      <c r="O139" s="61">
        <v>18.674700000000001</v>
      </c>
      <c r="P139" s="61">
        <v>17.282093</v>
      </c>
      <c r="Q139" s="61">
        <v>15.832675</v>
      </c>
      <c r="R139" s="61">
        <v>14.408121</v>
      </c>
      <c r="S139" s="61">
        <v>12.936125000000001</v>
      </c>
      <c r="T139" s="61">
        <v>11.597633999999999</v>
      </c>
      <c r="U139" s="61">
        <v>10.284072999999999</v>
      </c>
      <c r="V139" s="61">
        <v>8.910641</v>
      </c>
      <c r="W139" s="61">
        <v>7.5786730000000002</v>
      </c>
      <c r="X139" s="61">
        <v>6.1187129999999996</v>
      </c>
      <c r="Y139" s="61">
        <v>4.5861460000000003</v>
      </c>
      <c r="Z139" s="61">
        <v>2.8654030000000001</v>
      </c>
      <c r="AA139" s="61">
        <v>2.0817019999999999</v>
      </c>
      <c r="AB139" s="61">
        <v>1.2833859999999999</v>
      </c>
      <c r="AC139" s="61">
        <v>0.70469400000000004</v>
      </c>
      <c r="AD139" s="61">
        <v>0.27679500000000001</v>
      </c>
      <c r="AE139" s="61">
        <v>0</v>
      </c>
      <c r="AF139" s="61">
        <v>0</v>
      </c>
      <c r="AG139" s="61">
        <v>0</v>
      </c>
      <c r="AH139" s="61">
        <v>0</v>
      </c>
      <c r="AI139" s="61">
        <v>0</v>
      </c>
      <c r="AJ139" s="61">
        <v>0</v>
      </c>
      <c r="AK139" s="62" t="s">
        <v>467</v>
      </c>
    </row>
    <row r="140" spans="1:37" ht="15" customHeight="1" x14ac:dyDescent="0.2">
      <c r="A140" s="57" t="s">
        <v>839</v>
      </c>
      <c r="B140" s="60" t="s">
        <v>721</v>
      </c>
      <c r="C140" s="61">
        <v>140.024002</v>
      </c>
      <c r="D140" s="61">
        <v>133.45694</v>
      </c>
      <c r="E140" s="61">
        <v>128.10488900000001</v>
      </c>
      <c r="F140" s="61">
        <v>122.99266799999999</v>
      </c>
      <c r="G140" s="61">
        <v>117.676682</v>
      </c>
      <c r="H140" s="61">
        <v>112.690331</v>
      </c>
      <c r="I140" s="61">
        <v>106.35902400000001</v>
      </c>
      <c r="J140" s="61">
        <v>102.419937</v>
      </c>
      <c r="K140" s="61">
        <v>98.970253</v>
      </c>
      <c r="L140" s="61">
        <v>97.174576000000002</v>
      </c>
      <c r="M140" s="61">
        <v>94.833740000000006</v>
      </c>
      <c r="N140" s="61">
        <v>91.983138999999994</v>
      </c>
      <c r="O140" s="61">
        <v>89.416533999999999</v>
      </c>
      <c r="P140" s="61">
        <v>86.238906999999998</v>
      </c>
      <c r="Q140" s="61">
        <v>83.070366000000007</v>
      </c>
      <c r="R140" s="61">
        <v>80.212211999999994</v>
      </c>
      <c r="S140" s="61">
        <v>77.463211000000001</v>
      </c>
      <c r="T140" s="61">
        <v>74.199332999999996</v>
      </c>
      <c r="U140" s="61">
        <v>70.396500000000003</v>
      </c>
      <c r="V140" s="61">
        <v>66.839478</v>
      </c>
      <c r="W140" s="61">
        <v>64.775374999999997</v>
      </c>
      <c r="X140" s="61">
        <v>60.229652000000002</v>
      </c>
      <c r="Y140" s="61">
        <v>58.396712999999998</v>
      </c>
      <c r="Z140" s="61">
        <v>51.557251000000001</v>
      </c>
      <c r="AA140" s="61">
        <v>44.717781000000002</v>
      </c>
      <c r="AB140" s="61">
        <v>37.453896</v>
      </c>
      <c r="AC140" s="61">
        <v>33.937466000000001</v>
      </c>
      <c r="AD140" s="61">
        <v>25.065390000000001</v>
      </c>
      <c r="AE140" s="61">
        <v>23.047768000000001</v>
      </c>
      <c r="AF140" s="61">
        <v>23.034437</v>
      </c>
      <c r="AG140" s="61">
        <v>19.024495999999999</v>
      </c>
      <c r="AH140" s="61">
        <v>17.017188999999998</v>
      </c>
      <c r="AI140" s="61">
        <v>15.009646999999999</v>
      </c>
      <c r="AJ140" s="61">
        <v>13.006657000000001</v>
      </c>
      <c r="AK140" s="62">
        <v>-7.0176000000000002E-2</v>
      </c>
    </row>
    <row r="141" spans="1:37" ht="15" customHeight="1" x14ac:dyDescent="0.2">
      <c r="A141" s="57" t="s">
        <v>840</v>
      </c>
      <c r="B141" s="60" t="s">
        <v>705</v>
      </c>
      <c r="C141" s="61">
        <v>54.922001000000002</v>
      </c>
      <c r="D141" s="61">
        <v>49.656872</v>
      </c>
      <c r="E141" s="61">
        <v>45.535065000000003</v>
      </c>
      <c r="F141" s="61">
        <v>41.174618000000002</v>
      </c>
      <c r="G141" s="61">
        <v>36.551254</v>
      </c>
      <c r="H141" s="61">
        <v>32.339775000000003</v>
      </c>
      <c r="I141" s="61">
        <v>27.003896999999998</v>
      </c>
      <c r="J141" s="61">
        <v>23.585305999999999</v>
      </c>
      <c r="K141" s="61">
        <v>21.044219999999999</v>
      </c>
      <c r="L141" s="61">
        <v>20.263905999999999</v>
      </c>
      <c r="M141" s="61">
        <v>19.168129</v>
      </c>
      <c r="N141" s="61">
        <v>17.485887999999999</v>
      </c>
      <c r="O141" s="61">
        <v>16.168324999999999</v>
      </c>
      <c r="P141" s="61">
        <v>14.497519</v>
      </c>
      <c r="Q141" s="61">
        <v>13.419774</v>
      </c>
      <c r="R141" s="61">
        <v>13.327424000000001</v>
      </c>
      <c r="S141" s="61">
        <v>13.246987000000001</v>
      </c>
      <c r="T141" s="61">
        <v>12.191608</v>
      </c>
      <c r="U141" s="61">
        <v>12.143706</v>
      </c>
      <c r="V141" s="61">
        <v>12.106342</v>
      </c>
      <c r="W141" s="61">
        <v>12.077629999999999</v>
      </c>
      <c r="X141" s="61">
        <v>12.055894</v>
      </c>
      <c r="Y141" s="61">
        <v>12.039683999999999</v>
      </c>
      <c r="Z141" s="61">
        <v>11.02778</v>
      </c>
      <c r="AA141" s="61">
        <v>10.50773</v>
      </c>
      <c r="AB141" s="61">
        <v>8.0130339999999993</v>
      </c>
      <c r="AC141" s="61">
        <v>6.9911510000000003</v>
      </c>
      <c r="AD141" s="61">
        <v>4</v>
      </c>
      <c r="AE141" s="61">
        <v>4</v>
      </c>
      <c r="AF141" s="61">
        <v>4</v>
      </c>
      <c r="AG141" s="61">
        <v>4</v>
      </c>
      <c r="AH141" s="61">
        <v>4</v>
      </c>
      <c r="AI141" s="61">
        <v>3</v>
      </c>
      <c r="AJ141" s="61">
        <v>1</v>
      </c>
      <c r="AK141" s="62">
        <v>-0.114883</v>
      </c>
    </row>
    <row r="142" spans="1:37" ht="15" customHeight="1" x14ac:dyDescent="0.2">
      <c r="A142" s="57" t="s">
        <v>841</v>
      </c>
      <c r="B142" s="60" t="s">
        <v>707</v>
      </c>
      <c r="C142" s="61">
        <v>13.26</v>
      </c>
      <c r="D142" s="61">
        <v>12.202678000000001</v>
      </c>
      <c r="E142" s="61">
        <v>11.292742000000001</v>
      </c>
      <c r="F142" s="61">
        <v>10.92113</v>
      </c>
      <c r="G142" s="61">
        <v>10.672549</v>
      </c>
      <c r="H142" s="61">
        <v>10.384254</v>
      </c>
      <c r="I142" s="61">
        <v>10.209256999999999</v>
      </c>
      <c r="J142" s="61">
        <v>10.107836000000001</v>
      </c>
      <c r="K142" s="61">
        <v>9.7466559999999998</v>
      </c>
      <c r="L142" s="61">
        <v>9.4159690000000005</v>
      </c>
      <c r="M142" s="61">
        <v>9.0007610000000007</v>
      </c>
      <c r="N142" s="61">
        <v>8.811992</v>
      </c>
      <c r="O142" s="61">
        <v>8.6913540000000005</v>
      </c>
      <c r="P142" s="61">
        <v>8.4727110000000003</v>
      </c>
      <c r="Q142" s="61">
        <v>7.8319669999999997</v>
      </c>
      <c r="R142" s="61">
        <v>6.7534720000000004</v>
      </c>
      <c r="S142" s="61">
        <v>6.1294209999999998</v>
      </c>
      <c r="T142" s="61">
        <v>5.7572559999999999</v>
      </c>
      <c r="U142" s="61">
        <v>5.6257289999999998</v>
      </c>
      <c r="V142" s="61">
        <v>5.5110619999999999</v>
      </c>
      <c r="W142" s="61">
        <v>5.4125189999999996</v>
      </c>
      <c r="X142" s="61">
        <v>5.3290300000000004</v>
      </c>
      <c r="Y142" s="61">
        <v>5.125089</v>
      </c>
      <c r="Z142" s="61">
        <v>4.2983529999999996</v>
      </c>
      <c r="AA142" s="61">
        <v>2.8407480000000001</v>
      </c>
      <c r="AB142" s="61">
        <v>1.0941339999999999</v>
      </c>
      <c r="AC142" s="61">
        <v>8.8348999999999997E-2</v>
      </c>
      <c r="AD142" s="61">
        <v>6.5389000000000003E-2</v>
      </c>
      <c r="AE142" s="61">
        <v>4.7768999999999999E-2</v>
      </c>
      <c r="AF142" s="61">
        <v>3.4438000000000003E-2</v>
      </c>
      <c r="AG142" s="61">
        <v>2.4496E-2</v>
      </c>
      <c r="AH142" s="61">
        <v>1.7188999999999999E-2</v>
      </c>
      <c r="AI142" s="61">
        <v>9.6469999999999993E-3</v>
      </c>
      <c r="AJ142" s="61">
        <v>6.6559999999999996E-3</v>
      </c>
      <c r="AK142" s="62">
        <v>-0.20927699999999999</v>
      </c>
    </row>
    <row r="143" spans="1:37" ht="15" customHeight="1" x14ac:dyDescent="0.2">
      <c r="A143" s="57" t="s">
        <v>842</v>
      </c>
      <c r="B143" s="60" t="s">
        <v>709</v>
      </c>
      <c r="C143" s="61">
        <v>71.842003000000005</v>
      </c>
      <c r="D143" s="61">
        <v>71.597381999999996</v>
      </c>
      <c r="E143" s="61">
        <v>71.277091999999996</v>
      </c>
      <c r="F143" s="61">
        <v>70.896918999999997</v>
      </c>
      <c r="G143" s="61">
        <v>70.452872999999997</v>
      </c>
      <c r="H143" s="61">
        <v>69.966301000000001</v>
      </c>
      <c r="I143" s="61">
        <v>69.145874000000006</v>
      </c>
      <c r="J143" s="61">
        <v>68.726791000000006</v>
      </c>
      <c r="K143" s="61">
        <v>68.179374999999993</v>
      </c>
      <c r="L143" s="61">
        <v>67.494704999999996</v>
      </c>
      <c r="M143" s="61">
        <v>66.664848000000006</v>
      </c>
      <c r="N143" s="61">
        <v>65.685257000000007</v>
      </c>
      <c r="O143" s="61">
        <v>64.556854000000001</v>
      </c>
      <c r="P143" s="61">
        <v>63.268681000000001</v>
      </c>
      <c r="Q143" s="61">
        <v>61.818623000000002</v>
      </c>
      <c r="R143" s="61">
        <v>60.131312999999999</v>
      </c>
      <c r="S143" s="61">
        <v>58.086807</v>
      </c>
      <c r="T143" s="61">
        <v>56.250469000000002</v>
      </c>
      <c r="U143" s="61">
        <v>52.627068000000001</v>
      </c>
      <c r="V143" s="61">
        <v>49.222068999999998</v>
      </c>
      <c r="W143" s="61">
        <v>47.285229000000001</v>
      </c>
      <c r="X143" s="61">
        <v>42.844726999999999</v>
      </c>
      <c r="Y143" s="61">
        <v>41.231940999999999</v>
      </c>
      <c r="Z143" s="61">
        <v>36.231116999999998</v>
      </c>
      <c r="AA143" s="61">
        <v>31.369302999999999</v>
      </c>
      <c r="AB143" s="61">
        <v>28.346727000000001</v>
      </c>
      <c r="AC143" s="61">
        <v>26.857965</v>
      </c>
      <c r="AD143" s="61">
        <v>21</v>
      </c>
      <c r="AE143" s="61">
        <v>19</v>
      </c>
      <c r="AF143" s="61">
        <v>19</v>
      </c>
      <c r="AG143" s="61">
        <v>15</v>
      </c>
      <c r="AH143" s="61">
        <v>13</v>
      </c>
      <c r="AI143" s="61">
        <v>12</v>
      </c>
      <c r="AJ143" s="61">
        <v>12</v>
      </c>
      <c r="AK143" s="62">
        <v>-5.4288000000000003E-2</v>
      </c>
    </row>
    <row r="144" spans="1:37" ht="15" customHeight="1" x14ac:dyDescent="0.2">
      <c r="A144" s="57" t="s">
        <v>843</v>
      </c>
      <c r="B144" s="60" t="s">
        <v>726</v>
      </c>
      <c r="C144" s="61">
        <v>392.03213499999998</v>
      </c>
      <c r="D144" s="61">
        <v>381.48117100000002</v>
      </c>
      <c r="E144" s="61">
        <v>370.10192899999998</v>
      </c>
      <c r="F144" s="61">
        <v>357.390198</v>
      </c>
      <c r="G144" s="61">
        <v>342.459564</v>
      </c>
      <c r="H144" s="61">
        <v>324.49420199999997</v>
      </c>
      <c r="I144" s="61">
        <v>305.58502199999998</v>
      </c>
      <c r="J144" s="61">
        <v>288.35534699999999</v>
      </c>
      <c r="K144" s="61">
        <v>272.53851300000002</v>
      </c>
      <c r="L144" s="61">
        <v>254.106415</v>
      </c>
      <c r="M144" s="61">
        <v>234.11314400000001</v>
      </c>
      <c r="N144" s="61">
        <v>215.33239699999999</v>
      </c>
      <c r="O144" s="61">
        <v>193.98095699999999</v>
      </c>
      <c r="P144" s="61">
        <v>175.17982499999999</v>
      </c>
      <c r="Q144" s="61">
        <v>160.655396</v>
      </c>
      <c r="R144" s="61">
        <v>136.96423300000001</v>
      </c>
      <c r="S144" s="61">
        <v>115.206436</v>
      </c>
      <c r="T144" s="61">
        <v>96.950408999999993</v>
      </c>
      <c r="U144" s="61">
        <v>83.455887000000004</v>
      </c>
      <c r="V144" s="61">
        <v>68.691108999999997</v>
      </c>
      <c r="W144" s="61">
        <v>57.359904999999998</v>
      </c>
      <c r="X144" s="61">
        <v>48.688609999999997</v>
      </c>
      <c r="Y144" s="61">
        <v>42.043559999999999</v>
      </c>
      <c r="Z144" s="61">
        <v>38.628593000000002</v>
      </c>
      <c r="AA144" s="61">
        <v>31.542427</v>
      </c>
      <c r="AB144" s="61">
        <v>22.983791</v>
      </c>
      <c r="AC144" s="61">
        <v>15.457098</v>
      </c>
      <c r="AD144" s="61">
        <v>13</v>
      </c>
      <c r="AE144" s="61">
        <v>13</v>
      </c>
      <c r="AF144" s="61">
        <v>10</v>
      </c>
      <c r="AG144" s="61">
        <v>6</v>
      </c>
      <c r="AH144" s="61">
        <v>6</v>
      </c>
      <c r="AI144" s="61">
        <v>6</v>
      </c>
      <c r="AJ144" s="61">
        <v>5</v>
      </c>
      <c r="AK144" s="62">
        <v>-0.12668299999999999</v>
      </c>
    </row>
    <row r="145" spans="1:37" ht="15" customHeight="1" x14ac:dyDescent="0.2">
      <c r="A145" s="57" t="s">
        <v>844</v>
      </c>
      <c r="B145" s="60" t="s">
        <v>705</v>
      </c>
      <c r="C145" s="61">
        <v>127.31860399999999</v>
      </c>
      <c r="D145" s="61">
        <v>124.55892900000001</v>
      </c>
      <c r="E145" s="61">
        <v>120.765366</v>
      </c>
      <c r="F145" s="61">
        <v>116.56064600000001</v>
      </c>
      <c r="G145" s="61">
        <v>111.68264000000001</v>
      </c>
      <c r="H145" s="61">
        <v>105.844398</v>
      </c>
      <c r="I145" s="61">
        <v>101.334625</v>
      </c>
      <c r="J145" s="61">
        <v>99.425399999999996</v>
      </c>
      <c r="K145" s="61">
        <v>96.427895000000007</v>
      </c>
      <c r="L145" s="61">
        <v>89.499122999999997</v>
      </c>
      <c r="M145" s="61">
        <v>83.447356999999997</v>
      </c>
      <c r="N145" s="61">
        <v>77.101783999999995</v>
      </c>
      <c r="O145" s="61">
        <v>67.479293999999996</v>
      </c>
      <c r="P145" s="61">
        <v>61.089233</v>
      </c>
      <c r="Q145" s="61">
        <v>57.895862999999999</v>
      </c>
      <c r="R145" s="61">
        <v>50.872481999999998</v>
      </c>
      <c r="S145" s="61">
        <v>48</v>
      </c>
      <c r="T145" s="61">
        <v>47</v>
      </c>
      <c r="U145" s="61">
        <v>47</v>
      </c>
      <c r="V145" s="61">
        <v>47</v>
      </c>
      <c r="W145" s="61">
        <v>41</v>
      </c>
      <c r="X145" s="61">
        <v>40</v>
      </c>
      <c r="Y145" s="61">
        <v>37.043559999999999</v>
      </c>
      <c r="Z145" s="61">
        <v>34</v>
      </c>
      <c r="AA145" s="61">
        <v>28.324407999999998</v>
      </c>
      <c r="AB145" s="61">
        <v>21</v>
      </c>
      <c r="AC145" s="61">
        <v>14.990871</v>
      </c>
      <c r="AD145" s="61">
        <v>13</v>
      </c>
      <c r="AE145" s="61">
        <v>13</v>
      </c>
      <c r="AF145" s="61">
        <v>10</v>
      </c>
      <c r="AG145" s="61">
        <v>6</v>
      </c>
      <c r="AH145" s="61">
        <v>6</v>
      </c>
      <c r="AI145" s="61">
        <v>6</v>
      </c>
      <c r="AJ145" s="61">
        <v>5</v>
      </c>
      <c r="AK145" s="62">
        <v>-9.5596E-2</v>
      </c>
    </row>
    <row r="146" spans="1:37" ht="15" customHeight="1" x14ac:dyDescent="0.2">
      <c r="A146" s="57" t="s">
        <v>845</v>
      </c>
      <c r="B146" s="60" t="s">
        <v>707</v>
      </c>
      <c r="C146" s="61">
        <v>94.819503999999995</v>
      </c>
      <c r="D146" s="61">
        <v>91.804069999999996</v>
      </c>
      <c r="E146" s="61">
        <v>89.542006999999998</v>
      </c>
      <c r="F146" s="61">
        <v>87.125381000000004</v>
      </c>
      <c r="G146" s="61">
        <v>84.222640999999996</v>
      </c>
      <c r="H146" s="61">
        <v>80.064475999999999</v>
      </c>
      <c r="I146" s="61">
        <v>74.838470000000001</v>
      </c>
      <c r="J146" s="61">
        <v>68.930603000000005</v>
      </c>
      <c r="K146" s="61">
        <v>65.419983000000002</v>
      </c>
      <c r="L146" s="61">
        <v>64.110328999999993</v>
      </c>
      <c r="M146" s="61">
        <v>61.170689000000003</v>
      </c>
      <c r="N146" s="61">
        <v>59.323227000000003</v>
      </c>
      <c r="O146" s="61">
        <v>56.698067000000002</v>
      </c>
      <c r="P146" s="61">
        <v>53.395705999999997</v>
      </c>
      <c r="Q146" s="61">
        <v>51.617603000000003</v>
      </c>
      <c r="R146" s="61">
        <v>44.617393</v>
      </c>
      <c r="S146" s="61">
        <v>34.066417999999999</v>
      </c>
      <c r="T146" s="61">
        <v>24.427060999999998</v>
      </c>
      <c r="U146" s="61">
        <v>16.760611999999998</v>
      </c>
      <c r="V146" s="61">
        <v>7.3979140000000001</v>
      </c>
      <c r="W146" s="61">
        <v>7</v>
      </c>
      <c r="X146" s="61">
        <v>2.5977839999999999</v>
      </c>
      <c r="Y146" s="61">
        <v>0</v>
      </c>
      <c r="Z146" s="61">
        <v>0</v>
      </c>
      <c r="AA146" s="61">
        <v>0</v>
      </c>
      <c r="AB146" s="61">
        <v>0</v>
      </c>
      <c r="AC146" s="61">
        <v>0</v>
      </c>
      <c r="AD146" s="61">
        <v>0</v>
      </c>
      <c r="AE146" s="61">
        <v>0</v>
      </c>
      <c r="AF146" s="61">
        <v>0</v>
      </c>
      <c r="AG146" s="61">
        <v>0</v>
      </c>
      <c r="AH146" s="61">
        <v>0</v>
      </c>
      <c r="AI146" s="61">
        <v>0</v>
      </c>
      <c r="AJ146" s="61">
        <v>0</v>
      </c>
      <c r="AK146" s="62" t="s">
        <v>467</v>
      </c>
    </row>
    <row r="147" spans="1:37" ht="15" customHeight="1" x14ac:dyDescent="0.2">
      <c r="A147" s="57" t="s">
        <v>846</v>
      </c>
      <c r="B147" s="60" t="s">
        <v>709</v>
      </c>
      <c r="C147" s="61">
        <v>169.89402799999999</v>
      </c>
      <c r="D147" s="61">
        <v>165.11816400000001</v>
      </c>
      <c r="E147" s="61">
        <v>159.79454000000001</v>
      </c>
      <c r="F147" s="61">
        <v>153.70414700000001</v>
      </c>
      <c r="G147" s="61">
        <v>146.55429100000001</v>
      </c>
      <c r="H147" s="61">
        <v>138.58532700000001</v>
      </c>
      <c r="I147" s="61">
        <v>129.41194200000001</v>
      </c>
      <c r="J147" s="61">
        <v>119.999352</v>
      </c>
      <c r="K147" s="61">
        <v>110.690659</v>
      </c>
      <c r="L147" s="61">
        <v>100.496956</v>
      </c>
      <c r="M147" s="61">
        <v>89.495102000000003</v>
      </c>
      <c r="N147" s="61">
        <v>78.907371999999995</v>
      </c>
      <c r="O147" s="61">
        <v>69.803589000000002</v>
      </c>
      <c r="P147" s="61">
        <v>60.694889000000003</v>
      </c>
      <c r="Q147" s="61">
        <v>51.141936999999999</v>
      </c>
      <c r="R147" s="61">
        <v>41.474364999999999</v>
      </c>
      <c r="S147" s="61">
        <v>33.140017999999998</v>
      </c>
      <c r="T147" s="61">
        <v>25.523350000000001</v>
      </c>
      <c r="U147" s="61">
        <v>19.695276</v>
      </c>
      <c r="V147" s="61">
        <v>14.293196</v>
      </c>
      <c r="W147" s="61">
        <v>9.3599049999999995</v>
      </c>
      <c r="X147" s="61">
        <v>6.0908230000000003</v>
      </c>
      <c r="Y147" s="61">
        <v>5</v>
      </c>
      <c r="Z147" s="61">
        <v>4.6285939999999997</v>
      </c>
      <c r="AA147" s="61">
        <v>3.218019</v>
      </c>
      <c r="AB147" s="61">
        <v>1.9837910000000001</v>
      </c>
      <c r="AC147" s="61">
        <v>0.466227</v>
      </c>
      <c r="AD147" s="61">
        <v>0</v>
      </c>
      <c r="AE147" s="61">
        <v>0</v>
      </c>
      <c r="AF147" s="61">
        <v>0</v>
      </c>
      <c r="AG147" s="61">
        <v>0</v>
      </c>
      <c r="AH147" s="61">
        <v>0</v>
      </c>
      <c r="AI147" s="61">
        <v>0</v>
      </c>
      <c r="AJ147" s="61">
        <v>0</v>
      </c>
      <c r="AK147" s="62" t="s">
        <v>467</v>
      </c>
    </row>
    <row r="148" spans="1:37" ht="15" customHeight="1" x14ac:dyDescent="0.2">
      <c r="A148" s="57" t="s">
        <v>847</v>
      </c>
      <c r="B148" s="60" t="s">
        <v>731</v>
      </c>
      <c r="C148" s="61">
        <v>174.27514600000001</v>
      </c>
      <c r="D148" s="61">
        <v>159.39631700000001</v>
      </c>
      <c r="E148" s="61">
        <v>141.75122099999999</v>
      </c>
      <c r="F148" s="61">
        <v>121.744179</v>
      </c>
      <c r="G148" s="61">
        <v>99.447265999999999</v>
      </c>
      <c r="H148" s="61">
        <v>78.722672000000003</v>
      </c>
      <c r="I148" s="61">
        <v>69.864784</v>
      </c>
      <c r="J148" s="61">
        <v>61.254809999999999</v>
      </c>
      <c r="K148" s="61">
        <v>53.444873999999999</v>
      </c>
      <c r="L148" s="61">
        <v>45.908893999999997</v>
      </c>
      <c r="M148" s="61">
        <v>39.264336</v>
      </c>
      <c r="N148" s="61">
        <v>31.573779999999999</v>
      </c>
      <c r="O148" s="61">
        <v>23.285350999999999</v>
      </c>
      <c r="P148" s="61">
        <v>14.525385</v>
      </c>
      <c r="Q148" s="61">
        <v>11.116631</v>
      </c>
      <c r="R148" s="61">
        <v>9.6298940000000002</v>
      </c>
      <c r="S148" s="61">
        <v>8.2324389999999994</v>
      </c>
      <c r="T148" s="61">
        <v>7.7278010000000004</v>
      </c>
      <c r="U148" s="61">
        <v>7.3113099999999998</v>
      </c>
      <c r="V148" s="61">
        <v>6.0446270000000002</v>
      </c>
      <c r="W148" s="61">
        <v>4</v>
      </c>
      <c r="X148" s="61">
        <v>4</v>
      </c>
      <c r="Y148" s="61">
        <v>3.7644730000000002</v>
      </c>
      <c r="Z148" s="61">
        <v>3.4192490000000002</v>
      </c>
      <c r="AA148" s="61">
        <v>3.1401620000000001</v>
      </c>
      <c r="AB148" s="61">
        <v>3</v>
      </c>
      <c r="AC148" s="61">
        <v>2.4507330000000001</v>
      </c>
      <c r="AD148" s="61">
        <v>1.213568</v>
      </c>
      <c r="AE148" s="61">
        <v>0</v>
      </c>
      <c r="AF148" s="61">
        <v>0</v>
      </c>
      <c r="AG148" s="61">
        <v>0</v>
      </c>
      <c r="AH148" s="61">
        <v>0</v>
      </c>
      <c r="AI148" s="61">
        <v>0</v>
      </c>
      <c r="AJ148" s="61">
        <v>0</v>
      </c>
      <c r="AK148" s="62" t="s">
        <v>467</v>
      </c>
    </row>
    <row r="149" spans="1:37" ht="15" customHeight="1" x14ac:dyDescent="0.2">
      <c r="A149" s="57" t="s">
        <v>848</v>
      </c>
      <c r="B149" s="60" t="s">
        <v>705</v>
      </c>
      <c r="C149" s="61">
        <v>80.593658000000005</v>
      </c>
      <c r="D149" s="61">
        <v>67.628799000000001</v>
      </c>
      <c r="E149" s="61">
        <v>53.771397</v>
      </c>
      <c r="F149" s="61">
        <v>38.422080999999999</v>
      </c>
      <c r="G149" s="61">
        <v>20.953762000000001</v>
      </c>
      <c r="H149" s="61">
        <v>5.7232070000000004</v>
      </c>
      <c r="I149" s="61">
        <v>3.0134310000000002</v>
      </c>
      <c r="J149" s="61">
        <v>1.6799040000000001</v>
      </c>
      <c r="K149" s="61">
        <v>0.98568699999999998</v>
      </c>
      <c r="L149" s="61">
        <v>0.61258199999999996</v>
      </c>
      <c r="M149" s="61">
        <v>0.40140100000000001</v>
      </c>
      <c r="N149" s="61">
        <v>0.15171799999999999</v>
      </c>
      <c r="O149" s="61">
        <v>0</v>
      </c>
      <c r="P149" s="61">
        <v>0</v>
      </c>
      <c r="Q149" s="61">
        <v>0</v>
      </c>
      <c r="R149" s="61">
        <v>0</v>
      </c>
      <c r="S149" s="61">
        <v>0</v>
      </c>
      <c r="T149" s="61">
        <v>0</v>
      </c>
      <c r="U149" s="61">
        <v>0</v>
      </c>
      <c r="V149" s="61">
        <v>0</v>
      </c>
      <c r="W149" s="61">
        <v>0</v>
      </c>
      <c r="X149" s="61">
        <v>0</v>
      </c>
      <c r="Y149" s="61">
        <v>0</v>
      </c>
      <c r="Z149" s="61">
        <v>0</v>
      </c>
      <c r="AA149" s="61">
        <v>0</v>
      </c>
      <c r="AB149" s="61">
        <v>0</v>
      </c>
      <c r="AC149" s="61">
        <v>0</v>
      </c>
      <c r="AD149" s="61">
        <v>0</v>
      </c>
      <c r="AE149" s="61">
        <v>0</v>
      </c>
      <c r="AF149" s="61">
        <v>0</v>
      </c>
      <c r="AG149" s="61">
        <v>0</v>
      </c>
      <c r="AH149" s="61">
        <v>0</v>
      </c>
      <c r="AI149" s="61">
        <v>0</v>
      </c>
      <c r="AJ149" s="61">
        <v>0</v>
      </c>
      <c r="AK149" s="62" t="s">
        <v>467</v>
      </c>
    </row>
    <row r="150" spans="1:37" ht="15" customHeight="1" x14ac:dyDescent="0.2">
      <c r="A150" s="57" t="s">
        <v>849</v>
      </c>
      <c r="B150" s="60" t="s">
        <v>707</v>
      </c>
      <c r="C150" s="61">
        <v>23.547937000000001</v>
      </c>
      <c r="D150" s="61">
        <v>22.645319000000001</v>
      </c>
      <c r="E150" s="61">
        <v>20.968094000000001</v>
      </c>
      <c r="F150" s="61">
        <v>20.038392999999999</v>
      </c>
      <c r="G150" s="61">
        <v>18.918077</v>
      </c>
      <c r="H150" s="61">
        <v>17.780965999999999</v>
      </c>
      <c r="I150" s="61">
        <v>16.523275000000002</v>
      </c>
      <c r="J150" s="61">
        <v>15.189061000000001</v>
      </c>
      <c r="K150" s="61">
        <v>13.597528000000001</v>
      </c>
      <c r="L150" s="61">
        <v>12.117215</v>
      </c>
      <c r="M150" s="61">
        <v>11.347340000000001</v>
      </c>
      <c r="N150" s="61">
        <v>10.009257</v>
      </c>
      <c r="O150" s="61">
        <v>8.4621849999999998</v>
      </c>
      <c r="P150" s="61">
        <v>7.2933469999999998</v>
      </c>
      <c r="Q150" s="61">
        <v>6.3641269999999999</v>
      </c>
      <c r="R150" s="61">
        <v>5.658347</v>
      </c>
      <c r="S150" s="61">
        <v>5.2345980000000001</v>
      </c>
      <c r="T150" s="61">
        <v>5.1257429999999999</v>
      </c>
      <c r="U150" s="61">
        <v>5.0334289999999999</v>
      </c>
      <c r="V150" s="61">
        <v>4.5219139999999998</v>
      </c>
      <c r="W150" s="61">
        <v>4</v>
      </c>
      <c r="X150" s="61">
        <v>4</v>
      </c>
      <c r="Y150" s="61">
        <v>3.7644730000000002</v>
      </c>
      <c r="Z150" s="61">
        <v>3.4192490000000002</v>
      </c>
      <c r="AA150" s="61">
        <v>3.1401620000000001</v>
      </c>
      <c r="AB150" s="61">
        <v>3</v>
      </c>
      <c r="AC150" s="61">
        <v>2.4507330000000001</v>
      </c>
      <c r="AD150" s="61">
        <v>1.213568</v>
      </c>
      <c r="AE150" s="61">
        <v>0</v>
      </c>
      <c r="AF150" s="61">
        <v>0</v>
      </c>
      <c r="AG150" s="61">
        <v>0</v>
      </c>
      <c r="AH150" s="61">
        <v>0</v>
      </c>
      <c r="AI150" s="61">
        <v>0</v>
      </c>
      <c r="AJ150" s="61">
        <v>0</v>
      </c>
      <c r="AK150" s="62" t="s">
        <v>467</v>
      </c>
    </row>
    <row r="151" spans="1:37" ht="15" customHeight="1" x14ac:dyDescent="0.2">
      <c r="A151" s="57" t="s">
        <v>850</v>
      </c>
      <c r="B151" s="60" t="s">
        <v>709</v>
      </c>
      <c r="C151" s="61">
        <v>70.133553000000006</v>
      </c>
      <c r="D151" s="61">
        <v>69.122200000000007</v>
      </c>
      <c r="E151" s="61">
        <v>67.011734000000004</v>
      </c>
      <c r="F151" s="61">
        <v>63.283707</v>
      </c>
      <c r="G151" s="61">
        <v>59.575423999999998</v>
      </c>
      <c r="H151" s="61">
        <v>55.218497999999997</v>
      </c>
      <c r="I151" s="61">
        <v>50.328074999999998</v>
      </c>
      <c r="J151" s="61">
        <v>44.385845000000003</v>
      </c>
      <c r="K151" s="61">
        <v>38.861660000000001</v>
      </c>
      <c r="L151" s="61">
        <v>33.179096000000001</v>
      </c>
      <c r="M151" s="61">
        <v>27.515592999999999</v>
      </c>
      <c r="N151" s="61">
        <v>21.412806</v>
      </c>
      <c r="O151" s="61">
        <v>14.823164999999999</v>
      </c>
      <c r="P151" s="61">
        <v>7.2320380000000002</v>
      </c>
      <c r="Q151" s="61">
        <v>4.7525040000000001</v>
      </c>
      <c r="R151" s="61">
        <v>3.9715470000000002</v>
      </c>
      <c r="S151" s="61">
        <v>2.9978410000000002</v>
      </c>
      <c r="T151" s="61">
        <v>2.6020569999999998</v>
      </c>
      <c r="U151" s="61">
        <v>2.277882</v>
      </c>
      <c r="V151" s="61">
        <v>1.522713</v>
      </c>
      <c r="W151" s="61">
        <v>0</v>
      </c>
      <c r="X151" s="61">
        <v>0</v>
      </c>
      <c r="Y151" s="61">
        <v>0</v>
      </c>
      <c r="Z151" s="61">
        <v>0</v>
      </c>
      <c r="AA151" s="61">
        <v>0</v>
      </c>
      <c r="AB151" s="61">
        <v>0</v>
      </c>
      <c r="AC151" s="61">
        <v>0</v>
      </c>
      <c r="AD151" s="61">
        <v>0</v>
      </c>
      <c r="AE151" s="61">
        <v>0</v>
      </c>
      <c r="AF151" s="61">
        <v>0</v>
      </c>
      <c r="AG151" s="61">
        <v>0</v>
      </c>
      <c r="AH151" s="61">
        <v>0</v>
      </c>
      <c r="AI151" s="61">
        <v>0</v>
      </c>
      <c r="AJ151" s="61">
        <v>0</v>
      </c>
      <c r="AK151" s="62" t="s">
        <v>467</v>
      </c>
    </row>
    <row r="152" spans="1:37" ht="15" customHeight="1" x14ac:dyDescent="0.2">
      <c r="A152" s="57" t="s">
        <v>851</v>
      </c>
      <c r="B152" s="60" t="s">
        <v>736</v>
      </c>
      <c r="C152" s="61">
        <v>114.58019299999999</v>
      </c>
      <c r="D152" s="61">
        <v>109.847488</v>
      </c>
      <c r="E152" s="61">
        <v>104.44010900000001</v>
      </c>
      <c r="F152" s="61">
        <v>98.985320999999999</v>
      </c>
      <c r="G152" s="61">
        <v>95.645270999999994</v>
      </c>
      <c r="H152" s="61">
        <v>90.355491999999998</v>
      </c>
      <c r="I152" s="61">
        <v>83.793205</v>
      </c>
      <c r="J152" s="61">
        <v>78.624565000000004</v>
      </c>
      <c r="K152" s="61">
        <v>69.908096</v>
      </c>
      <c r="L152" s="61">
        <v>64.741271999999995</v>
      </c>
      <c r="M152" s="61">
        <v>61.345630999999997</v>
      </c>
      <c r="N152" s="61">
        <v>57.569881000000002</v>
      </c>
      <c r="O152" s="61">
        <v>52.735565000000001</v>
      </c>
      <c r="P152" s="61">
        <v>49.534202999999998</v>
      </c>
      <c r="Q152" s="61">
        <v>46.265918999999997</v>
      </c>
      <c r="R152" s="61">
        <v>43.303489999999996</v>
      </c>
      <c r="S152" s="61">
        <v>39.751613999999996</v>
      </c>
      <c r="T152" s="61">
        <v>35.656052000000003</v>
      </c>
      <c r="U152" s="61">
        <v>31.698065</v>
      </c>
      <c r="V152" s="61">
        <v>27.058375999999999</v>
      </c>
      <c r="W152" s="61">
        <v>22.340070999999998</v>
      </c>
      <c r="X152" s="61">
        <v>17.559746000000001</v>
      </c>
      <c r="Y152" s="61">
        <v>15.327183</v>
      </c>
      <c r="Z152" s="61">
        <v>14.263629</v>
      </c>
      <c r="AA152" s="61">
        <v>12.970338999999999</v>
      </c>
      <c r="AB152" s="61">
        <v>12.447514</v>
      </c>
      <c r="AC152" s="61">
        <v>11.134188999999999</v>
      </c>
      <c r="AD152" s="61">
        <v>9.8497369999999993</v>
      </c>
      <c r="AE152" s="61">
        <v>9.5877630000000007</v>
      </c>
      <c r="AF152" s="61">
        <v>9.2791540000000001</v>
      </c>
      <c r="AG152" s="61">
        <v>8.6974520000000002</v>
      </c>
      <c r="AH152" s="61">
        <v>8.0681809999999992</v>
      </c>
      <c r="AI152" s="61">
        <v>7.4900799999999998</v>
      </c>
      <c r="AJ152" s="61">
        <v>7.3192950000000003</v>
      </c>
      <c r="AK152" s="62">
        <v>-8.1159999999999996E-2</v>
      </c>
    </row>
    <row r="153" spans="1:37" ht="15" customHeight="1" x14ac:dyDescent="0.2">
      <c r="A153" s="57" t="s">
        <v>852</v>
      </c>
      <c r="B153" s="60" t="s">
        <v>705</v>
      </c>
      <c r="C153" s="61">
        <v>59.219996999999999</v>
      </c>
      <c r="D153" s="61">
        <v>57.561942999999999</v>
      </c>
      <c r="E153" s="61">
        <v>56.157204</v>
      </c>
      <c r="F153" s="61">
        <v>54.053074000000002</v>
      </c>
      <c r="G153" s="61">
        <v>51.911140000000003</v>
      </c>
      <c r="H153" s="61">
        <v>49.188167999999997</v>
      </c>
      <c r="I153" s="61">
        <v>46.895564999999998</v>
      </c>
      <c r="J153" s="61">
        <v>44.526718000000002</v>
      </c>
      <c r="K153" s="61">
        <v>42.154507000000002</v>
      </c>
      <c r="L153" s="61">
        <v>39.748778999999999</v>
      </c>
      <c r="M153" s="61">
        <v>37.720847999999997</v>
      </c>
      <c r="N153" s="61">
        <v>35.455928999999998</v>
      </c>
      <c r="O153" s="61">
        <v>33.032127000000003</v>
      </c>
      <c r="P153" s="61">
        <v>30.764385000000001</v>
      </c>
      <c r="Q153" s="61">
        <v>28.405638</v>
      </c>
      <c r="R153" s="61">
        <v>26.274298000000002</v>
      </c>
      <c r="S153" s="61">
        <v>23.457965999999999</v>
      </c>
      <c r="T153" s="61">
        <v>20.171151999999999</v>
      </c>
      <c r="U153" s="61">
        <v>17.055717000000001</v>
      </c>
      <c r="V153" s="61">
        <v>13.215076</v>
      </c>
      <c r="W153" s="61">
        <v>9.8316250000000007</v>
      </c>
      <c r="X153" s="61">
        <v>6.3269390000000003</v>
      </c>
      <c r="Y153" s="61">
        <v>4.6748839999999996</v>
      </c>
      <c r="Z153" s="61">
        <v>4.20268</v>
      </c>
      <c r="AA153" s="61">
        <v>4.12812</v>
      </c>
      <c r="AB153" s="61">
        <v>4.0858400000000001</v>
      </c>
      <c r="AC153" s="61">
        <v>4</v>
      </c>
      <c r="AD153" s="61">
        <v>3</v>
      </c>
      <c r="AE153" s="61">
        <v>3</v>
      </c>
      <c r="AF153" s="61">
        <v>3</v>
      </c>
      <c r="AG153" s="61">
        <v>3</v>
      </c>
      <c r="AH153" s="61">
        <v>3</v>
      </c>
      <c r="AI153" s="61">
        <v>3</v>
      </c>
      <c r="AJ153" s="61">
        <v>3</v>
      </c>
      <c r="AK153" s="62">
        <v>-8.8187000000000001E-2</v>
      </c>
    </row>
    <row r="154" spans="1:37" ht="15" customHeight="1" x14ac:dyDescent="0.2">
      <c r="A154" s="57" t="s">
        <v>853</v>
      </c>
      <c r="B154" s="60" t="s">
        <v>707</v>
      </c>
      <c r="C154" s="61">
        <v>37.440196999999998</v>
      </c>
      <c r="D154" s="61">
        <v>34.443752000000003</v>
      </c>
      <c r="E154" s="61">
        <v>30.538018999999998</v>
      </c>
      <c r="F154" s="61">
        <v>27.312593</v>
      </c>
      <c r="G154" s="61">
        <v>26.267569000000002</v>
      </c>
      <c r="H154" s="61">
        <v>23.879082</v>
      </c>
      <c r="I154" s="61">
        <v>19.808478999999998</v>
      </c>
      <c r="J154" s="61">
        <v>17.226786000000001</v>
      </c>
      <c r="K154" s="61">
        <v>11.126842999999999</v>
      </c>
      <c r="L154" s="61">
        <v>8.6213669999999993</v>
      </c>
      <c r="M154" s="61">
        <v>7.7977860000000003</v>
      </c>
      <c r="N154" s="61">
        <v>6.5184550000000003</v>
      </c>
      <c r="O154" s="61">
        <v>4.3709730000000002</v>
      </c>
      <c r="P154" s="61">
        <v>3.738022</v>
      </c>
      <c r="Q154" s="61">
        <v>3.17441</v>
      </c>
      <c r="R154" s="61">
        <v>2.6534710000000001</v>
      </c>
      <c r="S154" s="61">
        <v>2.2082120000000001</v>
      </c>
      <c r="T154" s="61">
        <v>1.8044979999999999</v>
      </c>
      <c r="U154" s="61">
        <v>1.469441</v>
      </c>
      <c r="V154" s="61">
        <v>1.178987</v>
      </c>
      <c r="W154" s="61">
        <v>0.93657299999999999</v>
      </c>
      <c r="X154" s="61">
        <v>0.73537300000000005</v>
      </c>
      <c r="Y154" s="61">
        <v>0.57006599999999996</v>
      </c>
      <c r="Z154" s="61">
        <v>0.43623699999999999</v>
      </c>
      <c r="AA154" s="61">
        <v>0.32947799999999999</v>
      </c>
      <c r="AB154" s="61">
        <v>0.245562</v>
      </c>
      <c r="AC154" s="61">
        <v>0.18057200000000001</v>
      </c>
      <c r="AD154" s="61">
        <v>0.13098199999999999</v>
      </c>
      <c r="AE154" s="61">
        <v>9.3705999999999998E-2</v>
      </c>
      <c r="AF154" s="61">
        <v>6.6104999999999997E-2</v>
      </c>
      <c r="AG154" s="61">
        <v>4.5975000000000002E-2</v>
      </c>
      <c r="AH154" s="61">
        <v>3.1516000000000002E-2</v>
      </c>
      <c r="AI154" s="61">
        <v>2.1291000000000001E-2</v>
      </c>
      <c r="AJ154" s="61">
        <v>7.9299999999999995E-3</v>
      </c>
      <c r="AK154" s="62">
        <v>-0.23030700000000001</v>
      </c>
    </row>
    <row r="155" spans="1:37" ht="15" customHeight="1" x14ac:dyDescent="0.2">
      <c r="A155" s="57" t="s">
        <v>854</v>
      </c>
      <c r="B155" s="60" t="s">
        <v>709</v>
      </c>
      <c r="C155" s="61">
        <v>17.920000000000002</v>
      </c>
      <c r="D155" s="61">
        <v>17.841801</v>
      </c>
      <c r="E155" s="61">
        <v>17.744890000000002</v>
      </c>
      <c r="F155" s="61">
        <v>17.61965</v>
      </c>
      <c r="G155" s="61">
        <v>17.466557999999999</v>
      </c>
      <c r="H155" s="61">
        <v>17.288243999999999</v>
      </c>
      <c r="I155" s="61">
        <v>17.089165000000001</v>
      </c>
      <c r="J155" s="61">
        <v>16.871061000000001</v>
      </c>
      <c r="K155" s="61">
        <v>16.626747000000002</v>
      </c>
      <c r="L155" s="61">
        <v>16.371123999999998</v>
      </c>
      <c r="M155" s="61">
        <v>15.826997</v>
      </c>
      <c r="N155" s="61">
        <v>15.595497999999999</v>
      </c>
      <c r="O155" s="61">
        <v>15.332464</v>
      </c>
      <c r="P155" s="61">
        <v>15.031796</v>
      </c>
      <c r="Q155" s="61">
        <v>14.685872</v>
      </c>
      <c r="R155" s="61">
        <v>14.375721</v>
      </c>
      <c r="S155" s="61">
        <v>14.085435</v>
      </c>
      <c r="T155" s="61">
        <v>13.680400000000001</v>
      </c>
      <c r="U155" s="61">
        <v>13.172907</v>
      </c>
      <c r="V155" s="61">
        <v>12.664312000000001</v>
      </c>
      <c r="W155" s="61">
        <v>11.571873</v>
      </c>
      <c r="X155" s="61">
        <v>10.497434</v>
      </c>
      <c r="Y155" s="61">
        <v>10.082233</v>
      </c>
      <c r="Z155" s="61">
        <v>9.6247120000000006</v>
      </c>
      <c r="AA155" s="61">
        <v>8.5127410000000001</v>
      </c>
      <c r="AB155" s="61">
        <v>8.1161119999999993</v>
      </c>
      <c r="AC155" s="61">
        <v>6.9536170000000004</v>
      </c>
      <c r="AD155" s="61">
        <v>6.7187549999999998</v>
      </c>
      <c r="AE155" s="61">
        <v>6.4940569999999997</v>
      </c>
      <c r="AF155" s="61">
        <v>6.2130489999999998</v>
      </c>
      <c r="AG155" s="61">
        <v>5.6514769999999999</v>
      </c>
      <c r="AH155" s="61">
        <v>5.036664</v>
      </c>
      <c r="AI155" s="61">
        <v>4.4687890000000001</v>
      </c>
      <c r="AJ155" s="61">
        <v>4.3113650000000003</v>
      </c>
      <c r="AK155" s="62">
        <v>-4.3414000000000001E-2</v>
      </c>
    </row>
    <row r="156" spans="1:37" ht="15" customHeight="1" x14ac:dyDescent="0.2">
      <c r="A156" s="57" t="s">
        <v>855</v>
      </c>
      <c r="B156" s="60" t="s">
        <v>741</v>
      </c>
      <c r="C156" s="61">
        <v>366.73007200000001</v>
      </c>
      <c r="D156" s="61">
        <v>362.16339099999999</v>
      </c>
      <c r="E156" s="61">
        <v>358.04760700000003</v>
      </c>
      <c r="F156" s="61">
        <v>354.54101600000001</v>
      </c>
      <c r="G156" s="61">
        <v>350.94769300000002</v>
      </c>
      <c r="H156" s="61">
        <v>343.39807100000002</v>
      </c>
      <c r="I156" s="61">
        <v>330.47454800000003</v>
      </c>
      <c r="J156" s="61">
        <v>311.835419</v>
      </c>
      <c r="K156" s="61">
        <v>301.13845800000001</v>
      </c>
      <c r="L156" s="61">
        <v>286.70880099999999</v>
      </c>
      <c r="M156" s="61">
        <v>266.04058800000001</v>
      </c>
      <c r="N156" s="61">
        <v>237.13159200000001</v>
      </c>
      <c r="O156" s="61">
        <v>214.095078</v>
      </c>
      <c r="P156" s="61">
        <v>199.14361600000001</v>
      </c>
      <c r="Q156" s="61">
        <v>187.739136</v>
      </c>
      <c r="R156" s="61">
        <v>179.78480500000001</v>
      </c>
      <c r="S156" s="61">
        <v>170.89932300000001</v>
      </c>
      <c r="T156" s="61">
        <v>158.15862999999999</v>
      </c>
      <c r="U156" s="61">
        <v>148.523865</v>
      </c>
      <c r="V156" s="61">
        <v>131.197723</v>
      </c>
      <c r="W156" s="61">
        <v>122.191818</v>
      </c>
      <c r="X156" s="61">
        <v>103.175201</v>
      </c>
      <c r="Y156" s="61">
        <v>88.192565999999999</v>
      </c>
      <c r="Z156" s="61">
        <v>70.151779000000005</v>
      </c>
      <c r="AA156" s="61">
        <v>59.081429</v>
      </c>
      <c r="AB156" s="61">
        <v>56.756973000000002</v>
      </c>
      <c r="AC156" s="61">
        <v>53.399414</v>
      </c>
      <c r="AD156" s="61">
        <v>48.075943000000002</v>
      </c>
      <c r="AE156" s="61">
        <v>43.529442000000003</v>
      </c>
      <c r="AF156" s="61">
        <v>38.032218999999998</v>
      </c>
      <c r="AG156" s="61">
        <v>32.949370999999999</v>
      </c>
      <c r="AH156" s="61">
        <v>21.919571000000001</v>
      </c>
      <c r="AI156" s="61">
        <v>15.942092000000001</v>
      </c>
      <c r="AJ156" s="61">
        <v>12.260004</v>
      </c>
      <c r="AK156" s="62">
        <v>-0.1004</v>
      </c>
    </row>
    <row r="157" spans="1:37" ht="15" customHeight="1" x14ac:dyDescent="0.2">
      <c r="A157" s="57" t="s">
        <v>856</v>
      </c>
      <c r="B157" s="60" t="s">
        <v>705</v>
      </c>
      <c r="C157" s="61">
        <v>248.06346099999999</v>
      </c>
      <c r="D157" s="61">
        <v>245.62065100000001</v>
      </c>
      <c r="E157" s="61">
        <v>243.89260899999999</v>
      </c>
      <c r="F157" s="61">
        <v>242.56723</v>
      </c>
      <c r="G157" s="61">
        <v>241.17289700000001</v>
      </c>
      <c r="H157" s="61">
        <v>236.26675399999999</v>
      </c>
      <c r="I157" s="61">
        <v>226.268066</v>
      </c>
      <c r="J157" s="61">
        <v>210.240433</v>
      </c>
      <c r="K157" s="61">
        <v>203.217804</v>
      </c>
      <c r="L157" s="61">
        <v>193.175522</v>
      </c>
      <c r="M157" s="61">
        <v>178.11615</v>
      </c>
      <c r="N157" s="61">
        <v>156.074173</v>
      </c>
      <c r="O157" s="61">
        <v>142.05564899999999</v>
      </c>
      <c r="P157" s="61">
        <v>130.035248</v>
      </c>
      <c r="Q157" s="61">
        <v>120.035606</v>
      </c>
      <c r="R157" s="61">
        <v>113.02366600000001</v>
      </c>
      <c r="S157" s="61">
        <v>106.01902800000001</v>
      </c>
      <c r="T157" s="61">
        <v>96.021820000000005</v>
      </c>
      <c r="U157" s="61">
        <v>90.015006999999997</v>
      </c>
      <c r="V157" s="61">
        <v>84.004943999999995</v>
      </c>
      <c r="W157" s="61">
        <v>77.005486000000005</v>
      </c>
      <c r="X157" s="61">
        <v>61.012421000000003</v>
      </c>
      <c r="Y157" s="61">
        <v>49.02243</v>
      </c>
      <c r="Z157" s="61">
        <v>32.997028</v>
      </c>
      <c r="AA157" s="61">
        <v>21.966448</v>
      </c>
      <c r="AB157" s="61">
        <v>20.584731999999999</v>
      </c>
      <c r="AC157" s="61">
        <v>19.264738000000001</v>
      </c>
      <c r="AD157" s="61">
        <v>16.904212999999999</v>
      </c>
      <c r="AE157" s="61">
        <v>13.395275</v>
      </c>
      <c r="AF157" s="61">
        <v>10.860992</v>
      </c>
      <c r="AG157" s="61">
        <v>7.8156949999999998</v>
      </c>
      <c r="AH157" s="61">
        <v>2.748837</v>
      </c>
      <c r="AI157" s="61">
        <v>0.80892500000000001</v>
      </c>
      <c r="AJ157" s="61">
        <v>8.9814000000000005E-2</v>
      </c>
      <c r="AK157" s="62">
        <v>-0.21909799999999999</v>
      </c>
    </row>
    <row r="158" spans="1:37" ht="15" customHeight="1" x14ac:dyDescent="0.2">
      <c r="A158" s="57" t="s">
        <v>857</v>
      </c>
      <c r="B158" s="60" t="s">
        <v>707</v>
      </c>
      <c r="C158" s="61">
        <v>37.542262999999998</v>
      </c>
      <c r="D158" s="61">
        <v>35.530003000000001</v>
      </c>
      <c r="E158" s="61">
        <v>33.320022999999999</v>
      </c>
      <c r="F158" s="61">
        <v>31.385117999999999</v>
      </c>
      <c r="G158" s="61">
        <v>29.505762000000001</v>
      </c>
      <c r="H158" s="61">
        <v>27.264032</v>
      </c>
      <c r="I158" s="61">
        <v>24.835173000000001</v>
      </c>
      <c r="J158" s="61">
        <v>22.830784000000001</v>
      </c>
      <c r="K158" s="61">
        <v>19.910578000000001</v>
      </c>
      <c r="L158" s="61">
        <v>16.465288000000001</v>
      </c>
      <c r="M158" s="61">
        <v>12.263510999999999</v>
      </c>
      <c r="N158" s="61">
        <v>7.280735</v>
      </c>
      <c r="O158" s="61">
        <v>2.028505</v>
      </c>
      <c r="P158" s="61">
        <v>0.35990299999999997</v>
      </c>
      <c r="Q158" s="61">
        <v>0.20300499999999999</v>
      </c>
      <c r="R158" s="61">
        <v>0.14266200000000001</v>
      </c>
      <c r="S158" s="61">
        <v>0.104994</v>
      </c>
      <c r="T158" s="61">
        <v>7.6284000000000005E-2</v>
      </c>
      <c r="U158" s="61">
        <v>5.4705999999999998E-2</v>
      </c>
      <c r="V158" s="61">
        <v>3.8716E-2</v>
      </c>
      <c r="W158" s="61">
        <v>2.4097E-2</v>
      </c>
      <c r="X158" s="61">
        <v>1.4158E-2</v>
      </c>
      <c r="Y158" s="61">
        <v>9.7689999999999999E-3</v>
      </c>
      <c r="Z158" s="61">
        <v>6.6429999999999996E-3</v>
      </c>
      <c r="AA158" s="61">
        <v>4.4510000000000001E-3</v>
      </c>
      <c r="AB158" s="61">
        <v>0</v>
      </c>
      <c r="AC158" s="61">
        <v>0</v>
      </c>
      <c r="AD158" s="61">
        <v>0</v>
      </c>
      <c r="AE158" s="61">
        <v>0</v>
      </c>
      <c r="AF158" s="61">
        <v>0</v>
      </c>
      <c r="AG158" s="61">
        <v>0</v>
      </c>
      <c r="AH158" s="61">
        <v>0</v>
      </c>
      <c r="AI158" s="61">
        <v>0</v>
      </c>
      <c r="AJ158" s="61">
        <v>0</v>
      </c>
      <c r="AK158" s="62" t="s">
        <v>467</v>
      </c>
    </row>
    <row r="159" spans="1:37" ht="15" customHeight="1" x14ac:dyDescent="0.2">
      <c r="A159" s="57" t="s">
        <v>858</v>
      </c>
      <c r="B159" s="60" t="s">
        <v>709</v>
      </c>
      <c r="C159" s="61">
        <v>81.124358999999998</v>
      </c>
      <c r="D159" s="61">
        <v>81.012726000000001</v>
      </c>
      <c r="E159" s="61">
        <v>80.834969000000001</v>
      </c>
      <c r="F159" s="61">
        <v>80.588654000000005</v>
      </c>
      <c r="G159" s="61">
        <v>80.269051000000005</v>
      </c>
      <c r="H159" s="61">
        <v>79.867278999999996</v>
      </c>
      <c r="I159" s="61">
        <v>79.371300000000005</v>
      </c>
      <c r="J159" s="61">
        <v>78.764197999999993</v>
      </c>
      <c r="K159" s="61">
        <v>78.010077999999993</v>
      </c>
      <c r="L159" s="61">
        <v>77.067977999999997</v>
      </c>
      <c r="M159" s="61">
        <v>75.660919000000007</v>
      </c>
      <c r="N159" s="61">
        <v>73.776679999999999</v>
      </c>
      <c r="O159" s="61">
        <v>70.010925</v>
      </c>
      <c r="P159" s="61">
        <v>68.748458999999997</v>
      </c>
      <c r="Q159" s="61">
        <v>67.500534000000002</v>
      </c>
      <c r="R159" s="61">
        <v>66.618476999999999</v>
      </c>
      <c r="S159" s="61">
        <v>64.775290999999996</v>
      </c>
      <c r="T159" s="61">
        <v>62.060519999999997</v>
      </c>
      <c r="U159" s="61">
        <v>58.454155</v>
      </c>
      <c r="V159" s="61">
        <v>47.154060000000001</v>
      </c>
      <c r="W159" s="61">
        <v>45.162230999999998</v>
      </c>
      <c r="X159" s="61">
        <v>42.148628000000002</v>
      </c>
      <c r="Y159" s="61">
        <v>39.160361999999999</v>
      </c>
      <c r="Z159" s="61">
        <v>37.148108999999998</v>
      </c>
      <c r="AA159" s="61">
        <v>37.110531000000002</v>
      </c>
      <c r="AB159" s="61">
        <v>36.172241</v>
      </c>
      <c r="AC159" s="61">
        <v>34.134673999999997</v>
      </c>
      <c r="AD159" s="61">
        <v>31.171728000000002</v>
      </c>
      <c r="AE159" s="61">
        <v>30.134164999999999</v>
      </c>
      <c r="AF159" s="61">
        <v>27.171226999999998</v>
      </c>
      <c r="AG159" s="61">
        <v>25.133676999999999</v>
      </c>
      <c r="AH159" s="61">
        <v>19.170732000000001</v>
      </c>
      <c r="AI159" s="61">
        <v>15.133165999999999</v>
      </c>
      <c r="AJ159" s="61">
        <v>12.17019</v>
      </c>
      <c r="AK159" s="62">
        <v>-5.7518E-2</v>
      </c>
    </row>
    <row r="160" spans="1:37" ht="15" customHeight="1" x14ac:dyDescent="0.2">
      <c r="A160" s="57" t="s">
        <v>859</v>
      </c>
      <c r="B160" s="60" t="s">
        <v>746</v>
      </c>
      <c r="C160" s="61">
        <v>62.964748</v>
      </c>
      <c r="D160" s="61">
        <v>51.990917000000003</v>
      </c>
      <c r="E160" s="61">
        <v>43.564812000000003</v>
      </c>
      <c r="F160" s="61">
        <v>38.621552000000001</v>
      </c>
      <c r="G160" s="61">
        <v>36.381850999999997</v>
      </c>
      <c r="H160" s="61">
        <v>32.528571999999997</v>
      </c>
      <c r="I160" s="61">
        <v>27.776388000000001</v>
      </c>
      <c r="J160" s="61">
        <v>25.689105999999999</v>
      </c>
      <c r="K160" s="61">
        <v>24.017309000000001</v>
      </c>
      <c r="L160" s="61">
        <v>20.541899000000001</v>
      </c>
      <c r="M160" s="61">
        <v>19.258728000000001</v>
      </c>
      <c r="N160" s="61">
        <v>18.158752</v>
      </c>
      <c r="O160" s="61">
        <v>17.229206000000001</v>
      </c>
      <c r="P160" s="61">
        <v>16.454754000000001</v>
      </c>
      <c r="Q160" s="61">
        <v>15.818562999999999</v>
      </c>
      <c r="R160" s="61">
        <v>15.303254000000001</v>
      </c>
      <c r="S160" s="61">
        <v>14.891681999999999</v>
      </c>
      <c r="T160" s="61">
        <v>12.567548</v>
      </c>
      <c r="U160" s="61">
        <v>12.315842</v>
      </c>
      <c r="V160" s="61">
        <v>12.123116</v>
      </c>
      <c r="W160" s="61">
        <v>11.977622999999999</v>
      </c>
      <c r="X160" s="61">
        <v>11.869335</v>
      </c>
      <c r="Y160" s="61">
        <v>11.789880999999999</v>
      </c>
      <c r="Z160" s="61">
        <v>11.728744000000001</v>
      </c>
      <c r="AA160" s="61">
        <v>10.670171</v>
      </c>
      <c r="AB160" s="61">
        <v>10.631292999999999</v>
      </c>
      <c r="AC160" s="61">
        <v>10.622498999999999</v>
      </c>
      <c r="AD160" s="61">
        <v>10.613348999999999</v>
      </c>
      <c r="AE160" s="61">
        <v>10.609655</v>
      </c>
      <c r="AF160" s="61">
        <v>9.6033939999999998</v>
      </c>
      <c r="AG160" s="61">
        <v>7.6033939999999998</v>
      </c>
      <c r="AH160" s="61">
        <v>0</v>
      </c>
      <c r="AI160" s="61">
        <v>0</v>
      </c>
      <c r="AJ160" s="61">
        <v>0</v>
      </c>
      <c r="AK160" s="62" t="s">
        <v>467</v>
      </c>
    </row>
    <row r="161" spans="1:37" ht="15" customHeight="1" x14ac:dyDescent="0.2">
      <c r="A161" s="57" t="s">
        <v>860</v>
      </c>
      <c r="B161" s="60" t="s">
        <v>705</v>
      </c>
      <c r="C161" s="61">
        <v>18.649000000000001</v>
      </c>
      <c r="D161" s="61">
        <v>18.165144000000002</v>
      </c>
      <c r="E161" s="61">
        <v>17.480015000000002</v>
      </c>
      <c r="F161" s="61">
        <v>17</v>
      </c>
      <c r="G161" s="61">
        <v>16.904232</v>
      </c>
      <c r="H161" s="61">
        <v>16.190646999999998</v>
      </c>
      <c r="I161" s="61">
        <v>13.832685</v>
      </c>
      <c r="J161" s="61">
        <v>12.394759000000001</v>
      </c>
      <c r="K161" s="61">
        <v>11.117877999999999</v>
      </c>
      <c r="L161" s="61">
        <v>8.0010680000000001</v>
      </c>
      <c r="M161" s="61">
        <v>7.0387589999999998</v>
      </c>
      <c r="N161" s="61">
        <v>6.2217589999999996</v>
      </c>
      <c r="O161" s="61">
        <v>5.5382420000000003</v>
      </c>
      <c r="P161" s="61">
        <v>4.9747019999999997</v>
      </c>
      <c r="Q161" s="61">
        <v>4.5168090000000003</v>
      </c>
      <c r="R161" s="61">
        <v>4.1501400000000004</v>
      </c>
      <c r="S161" s="61">
        <v>3.860776</v>
      </c>
      <c r="T161" s="61">
        <v>2.6357339999999998</v>
      </c>
      <c r="U161" s="61">
        <v>2.4632679999999998</v>
      </c>
      <c r="V161" s="61">
        <v>2.3330299999999999</v>
      </c>
      <c r="W161" s="61">
        <v>2.2361279999999999</v>
      </c>
      <c r="X161" s="61">
        <v>2.1650999999999998</v>
      </c>
      <c r="Y161" s="61">
        <v>2.1138140000000001</v>
      </c>
      <c r="Z161" s="61">
        <v>2.0736699999999999</v>
      </c>
      <c r="AA161" s="61">
        <v>1.0341229999999999</v>
      </c>
      <c r="AB161" s="61">
        <v>1.006643</v>
      </c>
      <c r="AC161" s="61">
        <v>1.004451</v>
      </c>
      <c r="AD161" s="61">
        <v>1</v>
      </c>
      <c r="AE161" s="61">
        <v>1</v>
      </c>
      <c r="AF161" s="61">
        <v>0</v>
      </c>
      <c r="AG161" s="61">
        <v>0</v>
      </c>
      <c r="AH161" s="61">
        <v>0</v>
      </c>
      <c r="AI161" s="61">
        <v>0</v>
      </c>
      <c r="AJ161" s="61">
        <v>0</v>
      </c>
      <c r="AK161" s="62" t="s">
        <v>467</v>
      </c>
    </row>
    <row r="162" spans="1:37" ht="15" customHeight="1" x14ac:dyDescent="0.2">
      <c r="A162" s="57" t="s">
        <v>861</v>
      </c>
      <c r="B162" s="60" t="s">
        <v>707</v>
      </c>
      <c r="C162" s="61">
        <v>15.8</v>
      </c>
      <c r="D162" s="61">
        <v>13.547635</v>
      </c>
      <c r="E162" s="61">
        <v>11.544699</v>
      </c>
      <c r="F162" s="61">
        <v>10.072722000000001</v>
      </c>
      <c r="G162" s="61">
        <v>8.2912189999999999</v>
      </c>
      <c r="H162" s="61">
        <v>5.734534</v>
      </c>
      <c r="I162" s="61">
        <v>3.340309</v>
      </c>
      <c r="J162" s="61">
        <v>2.6909540000000001</v>
      </c>
      <c r="K162" s="61">
        <v>2.2960379999999998</v>
      </c>
      <c r="L162" s="61">
        <v>1.9374370000000001</v>
      </c>
      <c r="M162" s="61">
        <v>1.6165750000000001</v>
      </c>
      <c r="N162" s="61">
        <v>1.333601</v>
      </c>
      <c r="O162" s="61">
        <v>1.087572</v>
      </c>
      <c r="P162" s="61">
        <v>0.87665899999999997</v>
      </c>
      <c r="Q162" s="61">
        <v>0.69836200000000004</v>
      </c>
      <c r="R162" s="61">
        <v>0.54972100000000002</v>
      </c>
      <c r="S162" s="61">
        <v>0.427512</v>
      </c>
      <c r="T162" s="61">
        <v>0.32841999999999999</v>
      </c>
      <c r="U162" s="61">
        <v>0.24918000000000001</v>
      </c>
      <c r="V162" s="61">
        <v>0.186693</v>
      </c>
      <c r="W162" s="61">
        <v>0.138101</v>
      </c>
      <c r="X162" s="61">
        <v>0.100841</v>
      </c>
      <c r="Y162" s="61">
        <v>7.2673000000000001E-2</v>
      </c>
      <c r="Z162" s="61">
        <v>5.1679999999999997E-2</v>
      </c>
      <c r="AA162" s="61">
        <v>3.2655000000000003E-2</v>
      </c>
      <c r="AB162" s="61">
        <v>2.1257000000000002E-2</v>
      </c>
      <c r="AC162" s="61">
        <v>1.4654E-2</v>
      </c>
      <c r="AD162" s="61">
        <v>9.9559999999999996E-3</v>
      </c>
      <c r="AE162" s="61">
        <v>6.2620000000000002E-3</v>
      </c>
      <c r="AF162" s="61">
        <v>0</v>
      </c>
      <c r="AG162" s="61">
        <v>0</v>
      </c>
      <c r="AH162" s="61">
        <v>0</v>
      </c>
      <c r="AI162" s="61">
        <v>0</v>
      </c>
      <c r="AJ162" s="61">
        <v>0</v>
      </c>
      <c r="AK162" s="62" t="s">
        <v>467</v>
      </c>
    </row>
    <row r="163" spans="1:37" ht="15" customHeight="1" x14ac:dyDescent="0.2">
      <c r="A163" s="57" t="s">
        <v>862</v>
      </c>
      <c r="B163" s="60" t="s">
        <v>709</v>
      </c>
      <c r="C163" s="61">
        <v>28.515747000000001</v>
      </c>
      <c r="D163" s="61">
        <v>20.278137000000001</v>
      </c>
      <c r="E163" s="61">
        <v>14.540100000000001</v>
      </c>
      <c r="F163" s="61">
        <v>11.548828</v>
      </c>
      <c r="G163" s="61">
        <v>11.186401</v>
      </c>
      <c r="H163" s="61">
        <v>10.603394</v>
      </c>
      <c r="I163" s="61">
        <v>10.603394</v>
      </c>
      <c r="J163" s="61">
        <v>10.603394</v>
      </c>
      <c r="K163" s="61">
        <v>10.603394</v>
      </c>
      <c r="L163" s="61">
        <v>10.603394</v>
      </c>
      <c r="M163" s="61">
        <v>10.603394</v>
      </c>
      <c r="N163" s="61">
        <v>10.603394</v>
      </c>
      <c r="O163" s="61">
        <v>10.603394</v>
      </c>
      <c r="P163" s="61">
        <v>10.603394</v>
      </c>
      <c r="Q163" s="61">
        <v>10.603394</v>
      </c>
      <c r="R163" s="61">
        <v>10.603394</v>
      </c>
      <c r="S163" s="61">
        <v>10.603394</v>
      </c>
      <c r="T163" s="61">
        <v>9.6033939999999998</v>
      </c>
      <c r="U163" s="61">
        <v>9.6033939999999998</v>
      </c>
      <c r="V163" s="61">
        <v>9.6033939999999998</v>
      </c>
      <c r="W163" s="61">
        <v>9.6033939999999998</v>
      </c>
      <c r="X163" s="61">
        <v>9.6033939999999998</v>
      </c>
      <c r="Y163" s="61">
        <v>9.6033939999999998</v>
      </c>
      <c r="Z163" s="61">
        <v>9.6033939999999998</v>
      </c>
      <c r="AA163" s="61">
        <v>9.6033939999999998</v>
      </c>
      <c r="AB163" s="61">
        <v>9.6033939999999998</v>
      </c>
      <c r="AC163" s="61">
        <v>9.6033939999999998</v>
      </c>
      <c r="AD163" s="61">
        <v>9.6033939999999998</v>
      </c>
      <c r="AE163" s="61">
        <v>9.6033939999999998</v>
      </c>
      <c r="AF163" s="61">
        <v>9.6033939999999998</v>
      </c>
      <c r="AG163" s="61">
        <v>7.6033939999999998</v>
      </c>
      <c r="AH163" s="61">
        <v>0</v>
      </c>
      <c r="AI163" s="61">
        <v>0</v>
      </c>
      <c r="AJ163" s="61">
        <v>0</v>
      </c>
      <c r="AK163" s="62" t="s">
        <v>467</v>
      </c>
    </row>
    <row r="164" spans="1:37" ht="15" customHeight="1" x14ac:dyDescent="0.2">
      <c r="A164" s="57" t="s">
        <v>863</v>
      </c>
      <c r="B164" s="60" t="s">
        <v>751</v>
      </c>
      <c r="C164" s="61">
        <v>13.798964</v>
      </c>
      <c r="D164" s="61">
        <v>12.826821000000001</v>
      </c>
      <c r="E164" s="61">
        <v>12.183221</v>
      </c>
      <c r="F164" s="61">
        <v>11.265993</v>
      </c>
      <c r="G164" s="61">
        <v>10.709548</v>
      </c>
      <c r="H164" s="61">
        <v>10.070929</v>
      </c>
      <c r="I164" s="61">
        <v>8.96828</v>
      </c>
      <c r="J164" s="61">
        <v>8.7159759999999995</v>
      </c>
      <c r="K164" s="61">
        <v>8.4547150000000002</v>
      </c>
      <c r="L164" s="61">
        <v>8.0765720000000005</v>
      </c>
      <c r="M164" s="61">
        <v>7.7309549999999998</v>
      </c>
      <c r="N164" s="61">
        <v>7.4913290000000003</v>
      </c>
      <c r="O164" s="61">
        <v>6.8068410000000004</v>
      </c>
      <c r="P164" s="61">
        <v>6.2178370000000003</v>
      </c>
      <c r="Q164" s="61">
        <v>6.1054430000000002</v>
      </c>
      <c r="R164" s="61">
        <v>6.071034</v>
      </c>
      <c r="S164" s="61">
        <v>6.0090870000000001</v>
      </c>
      <c r="T164" s="61">
        <v>6.0060880000000001</v>
      </c>
      <c r="U164" s="61">
        <v>6</v>
      </c>
      <c r="V164" s="61">
        <v>6</v>
      </c>
      <c r="W164" s="61">
        <v>6</v>
      </c>
      <c r="X164" s="61">
        <v>5.689813</v>
      </c>
      <c r="Y164" s="61">
        <v>5.0268769999999998</v>
      </c>
      <c r="Z164" s="61">
        <v>5</v>
      </c>
      <c r="AA164" s="61">
        <v>5</v>
      </c>
      <c r="AB164" s="61">
        <v>5</v>
      </c>
      <c r="AC164" s="61">
        <v>4</v>
      </c>
      <c r="AD164" s="61">
        <v>4</v>
      </c>
      <c r="AE164" s="61">
        <v>4</v>
      </c>
      <c r="AF164" s="61">
        <v>4</v>
      </c>
      <c r="AG164" s="61">
        <v>4</v>
      </c>
      <c r="AH164" s="61">
        <v>4</v>
      </c>
      <c r="AI164" s="61">
        <v>3.6435149999999998</v>
      </c>
      <c r="AJ164" s="61">
        <v>3</v>
      </c>
      <c r="AK164" s="62">
        <v>-4.4388999999999998E-2</v>
      </c>
    </row>
    <row r="165" spans="1:37" ht="15" customHeight="1" x14ac:dyDescent="0.2">
      <c r="A165" s="57" t="s">
        <v>864</v>
      </c>
      <c r="B165" s="60" t="s">
        <v>705</v>
      </c>
      <c r="C165" s="61">
        <v>7.9589629999999998</v>
      </c>
      <c r="D165" s="61">
        <v>7.8799039999999998</v>
      </c>
      <c r="E165" s="61">
        <v>7.7736200000000002</v>
      </c>
      <c r="F165" s="61">
        <v>7.6101729999999996</v>
      </c>
      <c r="G165" s="61">
        <v>7.3390839999999997</v>
      </c>
      <c r="H165" s="61">
        <v>6.7782619999999998</v>
      </c>
      <c r="I165" s="61">
        <v>5.74</v>
      </c>
      <c r="J165" s="61">
        <v>5.5401999999999996</v>
      </c>
      <c r="K165" s="61">
        <v>5.3211250000000003</v>
      </c>
      <c r="L165" s="61">
        <v>4.9763799999999998</v>
      </c>
      <c r="M165" s="61">
        <v>4.6568129999999996</v>
      </c>
      <c r="N165" s="61">
        <v>4.4372049999999996</v>
      </c>
      <c r="O165" s="61">
        <v>4.2890009999999998</v>
      </c>
      <c r="P165" s="61">
        <v>4.190169</v>
      </c>
      <c r="Q165" s="61">
        <v>4.0860760000000003</v>
      </c>
      <c r="R165" s="61">
        <v>4.057671</v>
      </c>
      <c r="S165" s="61">
        <v>4</v>
      </c>
      <c r="T165" s="61">
        <v>4</v>
      </c>
      <c r="U165" s="61">
        <v>4</v>
      </c>
      <c r="V165" s="61">
        <v>4</v>
      </c>
      <c r="W165" s="61">
        <v>4</v>
      </c>
      <c r="X165" s="61">
        <v>3.689813</v>
      </c>
      <c r="Y165" s="61">
        <v>3.026878</v>
      </c>
      <c r="Z165" s="61">
        <v>3</v>
      </c>
      <c r="AA165" s="61">
        <v>3</v>
      </c>
      <c r="AB165" s="61">
        <v>3</v>
      </c>
      <c r="AC165" s="61">
        <v>3</v>
      </c>
      <c r="AD165" s="61">
        <v>3</v>
      </c>
      <c r="AE165" s="61">
        <v>3</v>
      </c>
      <c r="AF165" s="61">
        <v>3</v>
      </c>
      <c r="AG165" s="61">
        <v>3</v>
      </c>
      <c r="AH165" s="61">
        <v>3</v>
      </c>
      <c r="AI165" s="61">
        <v>2.6435149999999998</v>
      </c>
      <c r="AJ165" s="61">
        <v>2</v>
      </c>
      <c r="AK165" s="62">
        <v>-4.1944000000000002E-2</v>
      </c>
    </row>
    <row r="166" spans="1:37" ht="15" customHeight="1" x14ac:dyDescent="0.2">
      <c r="A166" s="57" t="s">
        <v>865</v>
      </c>
      <c r="B166" s="60" t="s">
        <v>707</v>
      </c>
      <c r="C166" s="61">
        <v>3.84</v>
      </c>
      <c r="D166" s="61">
        <v>2.9469180000000001</v>
      </c>
      <c r="E166" s="61">
        <v>2.4096009999999999</v>
      </c>
      <c r="F166" s="61">
        <v>1.6558200000000001</v>
      </c>
      <c r="G166" s="61">
        <v>1.3704639999999999</v>
      </c>
      <c r="H166" s="61">
        <v>1.292667</v>
      </c>
      <c r="I166" s="61">
        <v>1.22828</v>
      </c>
      <c r="J166" s="61">
        <v>1.1757759999999999</v>
      </c>
      <c r="K166" s="61">
        <v>1.1335900000000001</v>
      </c>
      <c r="L166" s="61">
        <v>1.1001920000000001</v>
      </c>
      <c r="M166" s="61">
        <v>1.0741419999999999</v>
      </c>
      <c r="N166" s="61">
        <v>1.0541240000000001</v>
      </c>
      <c r="O166" s="61">
        <v>0.51783999999999997</v>
      </c>
      <c r="P166" s="61">
        <v>2.7668000000000002E-2</v>
      </c>
      <c r="Q166" s="61">
        <v>1.9368E-2</v>
      </c>
      <c r="R166" s="61">
        <v>1.3363999999999999E-2</v>
      </c>
      <c r="S166" s="61">
        <v>9.0869999999999996E-3</v>
      </c>
      <c r="T166" s="61">
        <v>6.0879999999999997E-3</v>
      </c>
      <c r="U166" s="61">
        <v>0</v>
      </c>
      <c r="V166" s="61">
        <v>0</v>
      </c>
      <c r="W166" s="61">
        <v>0</v>
      </c>
      <c r="X166" s="61">
        <v>0</v>
      </c>
      <c r="Y166" s="61">
        <v>0</v>
      </c>
      <c r="Z166" s="61">
        <v>0</v>
      </c>
      <c r="AA166" s="61">
        <v>0</v>
      </c>
      <c r="AB166" s="61">
        <v>0</v>
      </c>
      <c r="AC166" s="61">
        <v>0</v>
      </c>
      <c r="AD166" s="61">
        <v>0</v>
      </c>
      <c r="AE166" s="61">
        <v>0</v>
      </c>
      <c r="AF166" s="61">
        <v>0</v>
      </c>
      <c r="AG166" s="61">
        <v>0</v>
      </c>
      <c r="AH166" s="61">
        <v>0</v>
      </c>
      <c r="AI166" s="61">
        <v>0</v>
      </c>
      <c r="AJ166" s="61">
        <v>0</v>
      </c>
      <c r="AK166" s="62" t="s">
        <v>467</v>
      </c>
    </row>
    <row r="167" spans="1:37" ht="15" customHeight="1" x14ac:dyDescent="0.2">
      <c r="A167" s="57" t="s">
        <v>866</v>
      </c>
      <c r="B167" s="60" t="s">
        <v>709</v>
      </c>
      <c r="C167" s="61">
        <v>2</v>
      </c>
      <c r="D167" s="61">
        <v>2</v>
      </c>
      <c r="E167" s="61">
        <v>2</v>
      </c>
      <c r="F167" s="61">
        <v>2</v>
      </c>
      <c r="G167" s="61">
        <v>2</v>
      </c>
      <c r="H167" s="61">
        <v>2</v>
      </c>
      <c r="I167" s="61">
        <v>2</v>
      </c>
      <c r="J167" s="61">
        <v>2</v>
      </c>
      <c r="K167" s="61">
        <v>2</v>
      </c>
      <c r="L167" s="61">
        <v>2</v>
      </c>
      <c r="M167" s="61">
        <v>2</v>
      </c>
      <c r="N167" s="61">
        <v>2</v>
      </c>
      <c r="O167" s="61">
        <v>2</v>
      </c>
      <c r="P167" s="61">
        <v>2</v>
      </c>
      <c r="Q167" s="61">
        <v>2</v>
      </c>
      <c r="R167" s="61">
        <v>2</v>
      </c>
      <c r="S167" s="61">
        <v>2</v>
      </c>
      <c r="T167" s="61">
        <v>2</v>
      </c>
      <c r="U167" s="61">
        <v>2</v>
      </c>
      <c r="V167" s="61">
        <v>2</v>
      </c>
      <c r="W167" s="61">
        <v>2</v>
      </c>
      <c r="X167" s="61">
        <v>2</v>
      </c>
      <c r="Y167" s="61">
        <v>2</v>
      </c>
      <c r="Z167" s="61">
        <v>2</v>
      </c>
      <c r="AA167" s="61">
        <v>2</v>
      </c>
      <c r="AB167" s="61">
        <v>2</v>
      </c>
      <c r="AC167" s="61">
        <v>1</v>
      </c>
      <c r="AD167" s="61">
        <v>1</v>
      </c>
      <c r="AE167" s="61">
        <v>1</v>
      </c>
      <c r="AF167" s="61">
        <v>1</v>
      </c>
      <c r="AG167" s="61">
        <v>1</v>
      </c>
      <c r="AH167" s="61">
        <v>1</v>
      </c>
      <c r="AI167" s="61">
        <v>1</v>
      </c>
      <c r="AJ167" s="61">
        <v>1</v>
      </c>
      <c r="AK167" s="62">
        <v>-2.1427999999999999E-2</v>
      </c>
    </row>
    <row r="168" spans="1:37" ht="15" customHeight="1" x14ac:dyDescent="0.2">
      <c r="A168" s="57" t="s">
        <v>867</v>
      </c>
      <c r="B168" s="60" t="s">
        <v>756</v>
      </c>
      <c r="C168" s="61">
        <v>215.54371599999999</v>
      </c>
      <c r="D168" s="61">
        <v>210.536224</v>
      </c>
      <c r="E168" s="61">
        <v>205.281509</v>
      </c>
      <c r="F168" s="61">
        <v>199.15138200000001</v>
      </c>
      <c r="G168" s="61">
        <v>192.631989</v>
      </c>
      <c r="H168" s="61">
        <v>185.16712999999999</v>
      </c>
      <c r="I168" s="61">
        <v>177.04582199999999</v>
      </c>
      <c r="J168" s="61">
        <v>168.065887</v>
      </c>
      <c r="K168" s="61">
        <v>157.876114</v>
      </c>
      <c r="L168" s="61">
        <v>147.194794</v>
      </c>
      <c r="M168" s="61">
        <v>137.71614099999999</v>
      </c>
      <c r="N168" s="61">
        <v>128.654709</v>
      </c>
      <c r="O168" s="61">
        <v>119.06604</v>
      </c>
      <c r="P168" s="61">
        <v>107.715385</v>
      </c>
      <c r="Q168" s="61">
        <v>94.360039</v>
      </c>
      <c r="R168" s="61">
        <v>83.552764999999994</v>
      </c>
      <c r="S168" s="61">
        <v>72.848197999999996</v>
      </c>
      <c r="T168" s="61">
        <v>61.559372000000003</v>
      </c>
      <c r="U168" s="61">
        <v>52.001694000000001</v>
      </c>
      <c r="V168" s="61">
        <v>45.416930999999998</v>
      </c>
      <c r="W168" s="61">
        <v>39.109862999999997</v>
      </c>
      <c r="X168" s="61">
        <v>35.979152999999997</v>
      </c>
      <c r="Y168" s="61">
        <v>35.038158000000003</v>
      </c>
      <c r="Z168" s="61">
        <v>33.844414</v>
      </c>
      <c r="AA168" s="61">
        <v>31.473465000000001</v>
      </c>
      <c r="AB168" s="61">
        <v>29.932005</v>
      </c>
      <c r="AC168" s="61">
        <v>29.202660000000002</v>
      </c>
      <c r="AD168" s="61">
        <v>28.104379999999999</v>
      </c>
      <c r="AE168" s="61">
        <v>25.190338000000001</v>
      </c>
      <c r="AF168" s="61">
        <v>23.367892999999999</v>
      </c>
      <c r="AG168" s="61">
        <v>22.73424</v>
      </c>
      <c r="AH168" s="61">
        <v>21.021858000000002</v>
      </c>
      <c r="AI168" s="61">
        <v>20.437591999999999</v>
      </c>
      <c r="AJ168" s="61">
        <v>18.926850999999999</v>
      </c>
      <c r="AK168" s="62">
        <v>-7.2520000000000001E-2</v>
      </c>
    </row>
    <row r="169" spans="1:37" ht="15" customHeight="1" x14ac:dyDescent="0.2">
      <c r="A169" s="57" t="s">
        <v>868</v>
      </c>
      <c r="B169" s="60" t="s">
        <v>705</v>
      </c>
      <c r="C169" s="61">
        <v>99.820999</v>
      </c>
      <c r="D169" s="61">
        <v>96.334007</v>
      </c>
      <c r="E169" s="61">
        <v>92.896125999999995</v>
      </c>
      <c r="F169" s="61">
        <v>88.901756000000006</v>
      </c>
      <c r="G169" s="61">
        <v>84.639792999999997</v>
      </c>
      <c r="H169" s="61">
        <v>79.761902000000006</v>
      </c>
      <c r="I169" s="61">
        <v>74.492012000000003</v>
      </c>
      <c r="J169" s="61">
        <v>68.898003000000003</v>
      </c>
      <c r="K169" s="61">
        <v>62.945808</v>
      </c>
      <c r="L169" s="61">
        <v>56.800114000000001</v>
      </c>
      <c r="M169" s="61">
        <v>51.251922999999998</v>
      </c>
      <c r="N169" s="61">
        <v>46.546593000000001</v>
      </c>
      <c r="O169" s="61">
        <v>41.936633999999998</v>
      </c>
      <c r="P169" s="61">
        <v>36.680999999999997</v>
      </c>
      <c r="Q169" s="61">
        <v>30.962494</v>
      </c>
      <c r="R169" s="61">
        <v>27.666938999999999</v>
      </c>
      <c r="S169" s="61">
        <v>22.881525</v>
      </c>
      <c r="T169" s="61">
        <v>16.992913999999999</v>
      </c>
      <c r="U169" s="61">
        <v>12.178179</v>
      </c>
      <c r="V169" s="61">
        <v>10.902421</v>
      </c>
      <c r="W169" s="61">
        <v>9.5211620000000003</v>
      </c>
      <c r="X169" s="61">
        <v>9.0392569999999992</v>
      </c>
      <c r="Y169" s="61">
        <v>9.0135880000000004</v>
      </c>
      <c r="Z169" s="61">
        <v>9.0091040000000007</v>
      </c>
      <c r="AA169" s="61">
        <v>9</v>
      </c>
      <c r="AB169" s="61">
        <v>9</v>
      </c>
      <c r="AC169" s="61">
        <v>9</v>
      </c>
      <c r="AD169" s="61">
        <v>9</v>
      </c>
      <c r="AE169" s="61">
        <v>6.8876049999999998</v>
      </c>
      <c r="AF169" s="61">
        <v>6</v>
      </c>
      <c r="AG169" s="61">
        <v>6</v>
      </c>
      <c r="AH169" s="61">
        <v>5</v>
      </c>
      <c r="AI169" s="61">
        <v>5</v>
      </c>
      <c r="AJ169" s="61">
        <v>4</v>
      </c>
      <c r="AK169" s="62">
        <v>-9.4640000000000002E-2</v>
      </c>
    </row>
    <row r="170" spans="1:37" ht="15" customHeight="1" x14ac:dyDescent="0.2">
      <c r="A170" s="57" t="s">
        <v>869</v>
      </c>
      <c r="B170" s="60" t="s">
        <v>707</v>
      </c>
      <c r="C170" s="61">
        <v>60.888725000000001</v>
      </c>
      <c r="D170" s="61">
        <v>59.599586000000002</v>
      </c>
      <c r="E170" s="61">
        <v>58.098114000000002</v>
      </c>
      <c r="F170" s="61">
        <v>56.382266999999999</v>
      </c>
      <c r="G170" s="61">
        <v>54.660975999999998</v>
      </c>
      <c r="H170" s="61">
        <v>52.731544</v>
      </c>
      <c r="I170" s="61">
        <v>50.677979000000001</v>
      </c>
      <c r="J170" s="61">
        <v>48.235988999999996</v>
      </c>
      <c r="K170" s="61">
        <v>45.425991000000003</v>
      </c>
      <c r="L170" s="61">
        <v>42.344334000000003</v>
      </c>
      <c r="M170" s="61">
        <v>39.713711000000004</v>
      </c>
      <c r="N170" s="61">
        <v>37.033614999999998</v>
      </c>
      <c r="O170" s="61">
        <v>33.700232999999997</v>
      </c>
      <c r="P170" s="61">
        <v>29.694353</v>
      </c>
      <c r="Q170" s="61">
        <v>24.981192</v>
      </c>
      <c r="R170" s="61">
        <v>21.068031000000001</v>
      </c>
      <c r="S170" s="61">
        <v>16.845794999999999</v>
      </c>
      <c r="T170" s="61">
        <v>12.829840000000001</v>
      </c>
      <c r="U170" s="61">
        <v>9.5661129999999996</v>
      </c>
      <c r="V170" s="61">
        <v>5.9525379999999997</v>
      </c>
      <c r="W170" s="61">
        <v>3.0834760000000001</v>
      </c>
      <c r="X170" s="61">
        <v>2.0437430000000001</v>
      </c>
      <c r="Y170" s="61">
        <v>2.022332</v>
      </c>
      <c r="Z170" s="61">
        <v>2</v>
      </c>
      <c r="AA170" s="61">
        <v>1</v>
      </c>
      <c r="AB170" s="61">
        <v>7.3896000000000003E-2</v>
      </c>
      <c r="AC170" s="61">
        <v>0</v>
      </c>
      <c r="AD170" s="61">
        <v>0</v>
      </c>
      <c r="AE170" s="61">
        <v>0</v>
      </c>
      <c r="AF170" s="61">
        <v>0</v>
      </c>
      <c r="AG170" s="61">
        <v>0</v>
      </c>
      <c r="AH170" s="61">
        <v>0</v>
      </c>
      <c r="AI170" s="61">
        <v>0</v>
      </c>
      <c r="AJ170" s="61">
        <v>0</v>
      </c>
      <c r="AK170" s="62" t="s">
        <v>467</v>
      </c>
    </row>
    <row r="171" spans="1:37" ht="15" customHeight="1" x14ac:dyDescent="0.2">
      <c r="A171" s="57" t="s">
        <v>870</v>
      </c>
      <c r="B171" s="60" t="s">
        <v>709</v>
      </c>
      <c r="C171" s="61">
        <v>54.834000000000003</v>
      </c>
      <c r="D171" s="61">
        <v>54.602626999999998</v>
      </c>
      <c r="E171" s="61">
        <v>54.287277000000003</v>
      </c>
      <c r="F171" s="61">
        <v>53.867359</v>
      </c>
      <c r="G171" s="61">
        <v>53.331218999999997</v>
      </c>
      <c r="H171" s="61">
        <v>52.673690999999998</v>
      </c>
      <c r="I171" s="61">
        <v>51.875832000000003</v>
      </c>
      <c r="J171" s="61">
        <v>50.931908</v>
      </c>
      <c r="K171" s="61">
        <v>49.504317999999998</v>
      </c>
      <c r="L171" s="61">
        <v>48.050353999999999</v>
      </c>
      <c r="M171" s="61">
        <v>46.750506999999999</v>
      </c>
      <c r="N171" s="61">
        <v>45.074500999999998</v>
      </c>
      <c r="O171" s="61">
        <v>43.429169000000002</v>
      </c>
      <c r="P171" s="61">
        <v>41.340034000000003</v>
      </c>
      <c r="Q171" s="61">
        <v>38.416350999999999</v>
      </c>
      <c r="R171" s="61">
        <v>34.817799000000001</v>
      </c>
      <c r="S171" s="61">
        <v>33.12088</v>
      </c>
      <c r="T171" s="61">
        <v>31.736618</v>
      </c>
      <c r="U171" s="61">
        <v>30.257398999999999</v>
      </c>
      <c r="V171" s="61">
        <v>28.561975</v>
      </c>
      <c r="W171" s="61">
        <v>26.505227999999999</v>
      </c>
      <c r="X171" s="61">
        <v>24.896152000000001</v>
      </c>
      <c r="Y171" s="61">
        <v>24.002238999999999</v>
      </c>
      <c r="Z171" s="61">
        <v>22.835311999999998</v>
      </c>
      <c r="AA171" s="61">
        <v>21.473465000000001</v>
      </c>
      <c r="AB171" s="61">
        <v>20.858108999999999</v>
      </c>
      <c r="AC171" s="61">
        <v>20.202660000000002</v>
      </c>
      <c r="AD171" s="61">
        <v>19.104379999999999</v>
      </c>
      <c r="AE171" s="61">
        <v>18.302731999999999</v>
      </c>
      <c r="AF171" s="61">
        <v>17.367892999999999</v>
      </c>
      <c r="AG171" s="61">
        <v>16.73424</v>
      </c>
      <c r="AH171" s="61">
        <v>16.021858000000002</v>
      </c>
      <c r="AI171" s="61">
        <v>15.437593</v>
      </c>
      <c r="AJ171" s="61">
        <v>14.926850999999999</v>
      </c>
      <c r="AK171" s="62">
        <v>-3.9718000000000003E-2</v>
      </c>
    </row>
    <row r="172" spans="1:37" ht="15" customHeight="1" x14ac:dyDescent="0.2">
      <c r="A172" s="57" t="s">
        <v>871</v>
      </c>
      <c r="B172" s="60" t="s">
        <v>761</v>
      </c>
      <c r="C172" s="61">
        <v>44.898963999999999</v>
      </c>
      <c r="D172" s="61">
        <v>43.441718999999999</v>
      </c>
      <c r="E172" s="61">
        <v>42.320098999999999</v>
      </c>
      <c r="F172" s="61">
        <v>41.044547999999999</v>
      </c>
      <c r="G172" s="61">
        <v>39.660477</v>
      </c>
      <c r="H172" s="61">
        <v>38.261726000000003</v>
      </c>
      <c r="I172" s="61">
        <v>36.567405999999998</v>
      </c>
      <c r="J172" s="61">
        <v>34.854560999999997</v>
      </c>
      <c r="K172" s="61">
        <v>33.306663999999998</v>
      </c>
      <c r="L172" s="61">
        <v>31.261783999999999</v>
      </c>
      <c r="M172" s="61">
        <v>29.689229999999998</v>
      </c>
      <c r="N172" s="61">
        <v>27.584285999999999</v>
      </c>
      <c r="O172" s="61">
        <v>25.460850000000001</v>
      </c>
      <c r="P172" s="61">
        <v>22.788582000000002</v>
      </c>
      <c r="Q172" s="61">
        <v>20.112846000000001</v>
      </c>
      <c r="R172" s="61">
        <v>19.764987999999999</v>
      </c>
      <c r="S172" s="61">
        <v>19.242260000000002</v>
      </c>
      <c r="T172" s="61">
        <v>17.774730999999999</v>
      </c>
      <c r="U172" s="61">
        <v>16.716507</v>
      </c>
      <c r="V172" s="61">
        <v>16.31953</v>
      </c>
      <c r="W172" s="61">
        <v>15.877094</v>
      </c>
      <c r="X172" s="61">
        <v>15.134594</v>
      </c>
      <c r="Y172" s="61">
        <v>14.683035</v>
      </c>
      <c r="Z172" s="61">
        <v>14.161262000000001</v>
      </c>
      <c r="AA172" s="61">
        <v>13.160295</v>
      </c>
      <c r="AB172" s="61">
        <v>11.842724</v>
      </c>
      <c r="AC172" s="61">
        <v>10.910879</v>
      </c>
      <c r="AD172" s="61">
        <v>9.2561640000000001</v>
      </c>
      <c r="AE172" s="61">
        <v>7.2752249999999998</v>
      </c>
      <c r="AF172" s="61">
        <v>7.063383</v>
      </c>
      <c r="AG172" s="61">
        <v>5.9586119999999996</v>
      </c>
      <c r="AH172" s="61">
        <v>5.6265429999999999</v>
      </c>
      <c r="AI172" s="61">
        <v>5.369567</v>
      </c>
      <c r="AJ172" s="61">
        <v>4.1148309999999997</v>
      </c>
      <c r="AK172" s="62">
        <v>-7.1003999999999998E-2</v>
      </c>
    </row>
    <row r="173" spans="1:37" ht="15" customHeight="1" x14ac:dyDescent="0.2">
      <c r="A173" s="57" t="s">
        <v>872</v>
      </c>
      <c r="B173" s="60" t="s">
        <v>705</v>
      </c>
      <c r="C173" s="61">
        <v>27.617999999999999</v>
      </c>
      <c r="D173" s="61">
        <v>26.989173999999998</v>
      </c>
      <c r="E173" s="61">
        <v>26.124779</v>
      </c>
      <c r="F173" s="61">
        <v>25.050255</v>
      </c>
      <c r="G173" s="61">
        <v>23.826782000000001</v>
      </c>
      <c r="H173" s="61">
        <v>22.505248999999999</v>
      </c>
      <c r="I173" s="61">
        <v>20.889268999999999</v>
      </c>
      <c r="J173" s="61">
        <v>19.273282999999999</v>
      </c>
      <c r="K173" s="61">
        <v>17.847715000000001</v>
      </c>
      <c r="L173" s="61">
        <v>15.957036</v>
      </c>
      <c r="M173" s="61">
        <v>14.552009999999999</v>
      </c>
      <c r="N173" s="61">
        <v>12.95844</v>
      </c>
      <c r="O173" s="61">
        <v>10.966858</v>
      </c>
      <c r="P173" s="61">
        <v>8.650506</v>
      </c>
      <c r="Q173" s="61">
        <v>6.4741869999999997</v>
      </c>
      <c r="R173" s="61">
        <v>6.3414149999999996</v>
      </c>
      <c r="S173" s="61">
        <v>6.0690569999999999</v>
      </c>
      <c r="T173" s="61">
        <v>4.888954</v>
      </c>
      <c r="U173" s="61">
        <v>4.1170819999999999</v>
      </c>
      <c r="V173" s="61">
        <v>4.0796159999999997</v>
      </c>
      <c r="W173" s="61">
        <v>4.0533419999999998</v>
      </c>
      <c r="X173" s="61">
        <v>4</v>
      </c>
      <c r="Y173" s="61">
        <v>4</v>
      </c>
      <c r="Z173" s="61">
        <v>4</v>
      </c>
      <c r="AA173" s="61">
        <v>4</v>
      </c>
      <c r="AB173" s="61">
        <v>3.484483</v>
      </c>
      <c r="AC173" s="61">
        <v>3</v>
      </c>
      <c r="AD173" s="61">
        <v>2.8699659999999998</v>
      </c>
      <c r="AE173" s="61">
        <v>2</v>
      </c>
      <c r="AF173" s="61">
        <v>2</v>
      </c>
      <c r="AG173" s="61">
        <v>1</v>
      </c>
      <c r="AH173" s="61">
        <v>1</v>
      </c>
      <c r="AI173" s="61">
        <v>1</v>
      </c>
      <c r="AJ173" s="61">
        <v>0</v>
      </c>
      <c r="AK173" s="62" t="s">
        <v>467</v>
      </c>
    </row>
    <row r="174" spans="1:37" ht="15" customHeight="1" x14ac:dyDescent="0.2">
      <c r="A174" s="57" t="s">
        <v>873</v>
      </c>
      <c r="B174" s="60" t="s">
        <v>707</v>
      </c>
      <c r="C174" s="61">
        <v>1.301963</v>
      </c>
      <c r="D174" s="61">
        <v>1.001638</v>
      </c>
      <c r="E174" s="61">
        <v>0.77790099999999995</v>
      </c>
      <c r="F174" s="61">
        <v>0.61958199999999997</v>
      </c>
      <c r="G174" s="61">
        <v>0.51491699999999996</v>
      </c>
      <c r="H174" s="61">
        <v>0.51196299999999995</v>
      </c>
      <c r="I174" s="61">
        <v>0.51196299999999995</v>
      </c>
      <c r="J174" s="61">
        <v>0.51196299999999995</v>
      </c>
      <c r="K174" s="61">
        <v>0.51196299999999995</v>
      </c>
      <c r="L174" s="61">
        <v>0.51196299999999995</v>
      </c>
      <c r="M174" s="61">
        <v>0.51196299999999995</v>
      </c>
      <c r="N174" s="61">
        <v>0.51196299999999995</v>
      </c>
      <c r="O174" s="61">
        <v>0.51196299999999995</v>
      </c>
      <c r="P174" s="61">
        <v>0.31425799999999998</v>
      </c>
      <c r="Q174" s="61">
        <v>0</v>
      </c>
      <c r="R174" s="61">
        <v>0</v>
      </c>
      <c r="S174" s="61">
        <v>0</v>
      </c>
      <c r="T174" s="61">
        <v>0</v>
      </c>
      <c r="U174" s="61">
        <v>0</v>
      </c>
      <c r="V174" s="61">
        <v>0</v>
      </c>
      <c r="W174" s="61">
        <v>0</v>
      </c>
      <c r="X174" s="61">
        <v>0</v>
      </c>
      <c r="Y174" s="61">
        <v>0</v>
      </c>
      <c r="Z174" s="61">
        <v>0</v>
      </c>
      <c r="AA174" s="61">
        <v>0</v>
      </c>
      <c r="AB174" s="61">
        <v>0</v>
      </c>
      <c r="AC174" s="61">
        <v>0</v>
      </c>
      <c r="AD174" s="61">
        <v>0</v>
      </c>
      <c r="AE174" s="61">
        <v>0</v>
      </c>
      <c r="AF174" s="61">
        <v>0</v>
      </c>
      <c r="AG174" s="61">
        <v>0</v>
      </c>
      <c r="AH174" s="61">
        <v>0</v>
      </c>
      <c r="AI174" s="61">
        <v>0</v>
      </c>
      <c r="AJ174" s="61">
        <v>0</v>
      </c>
      <c r="AK174" s="62" t="s">
        <v>467</v>
      </c>
    </row>
    <row r="175" spans="1:37" ht="15" customHeight="1" x14ac:dyDescent="0.2">
      <c r="A175" s="57" t="s">
        <v>874</v>
      </c>
      <c r="B175" s="60" t="s">
        <v>709</v>
      </c>
      <c r="C175" s="61">
        <v>15.978999999999999</v>
      </c>
      <c r="D175" s="61">
        <v>15.450906</v>
      </c>
      <c r="E175" s="61">
        <v>15.41742</v>
      </c>
      <c r="F175" s="61">
        <v>15.374708999999999</v>
      </c>
      <c r="G175" s="61">
        <v>15.318778999999999</v>
      </c>
      <c r="H175" s="61">
        <v>15.244516000000001</v>
      </c>
      <c r="I175" s="61">
        <v>15.166175000000001</v>
      </c>
      <c r="J175" s="61">
        <v>15.069316000000001</v>
      </c>
      <c r="K175" s="61">
        <v>14.946982999999999</v>
      </c>
      <c r="L175" s="61">
        <v>14.792787000000001</v>
      </c>
      <c r="M175" s="61">
        <v>14.625257</v>
      </c>
      <c r="N175" s="61">
        <v>14.113884000000001</v>
      </c>
      <c r="O175" s="61">
        <v>13.982028</v>
      </c>
      <c r="P175" s="61">
        <v>13.823819</v>
      </c>
      <c r="Q175" s="61">
        <v>13.638659000000001</v>
      </c>
      <c r="R175" s="61">
        <v>13.423572999999999</v>
      </c>
      <c r="S175" s="61">
        <v>13.173204</v>
      </c>
      <c r="T175" s="61">
        <v>12.885776999999999</v>
      </c>
      <c r="U175" s="61">
        <v>12.599425</v>
      </c>
      <c r="V175" s="61">
        <v>12.239915999999999</v>
      </c>
      <c r="W175" s="61">
        <v>11.823752000000001</v>
      </c>
      <c r="X175" s="61">
        <v>11.134594</v>
      </c>
      <c r="Y175" s="61">
        <v>10.683035</v>
      </c>
      <c r="Z175" s="61">
        <v>10.161262000000001</v>
      </c>
      <c r="AA175" s="61">
        <v>9.1602949999999996</v>
      </c>
      <c r="AB175" s="61">
        <v>8.3582400000000003</v>
      </c>
      <c r="AC175" s="61">
        <v>7.9108790000000004</v>
      </c>
      <c r="AD175" s="61">
        <v>6.3861980000000003</v>
      </c>
      <c r="AE175" s="61">
        <v>5.2752249999999998</v>
      </c>
      <c r="AF175" s="61">
        <v>5.063383</v>
      </c>
      <c r="AG175" s="61">
        <v>4.9586119999999996</v>
      </c>
      <c r="AH175" s="61">
        <v>4.6265429999999999</v>
      </c>
      <c r="AI175" s="61">
        <v>4.369567</v>
      </c>
      <c r="AJ175" s="61">
        <v>4.1148309999999997</v>
      </c>
      <c r="AK175" s="62">
        <v>-4.0502999999999997E-2</v>
      </c>
    </row>
    <row r="176" spans="1:37" ht="15" customHeight="1" x14ac:dyDescent="0.2">
      <c r="A176" s="57" t="s">
        <v>875</v>
      </c>
      <c r="B176" s="60" t="s">
        <v>766</v>
      </c>
      <c r="C176" s="61">
        <v>38.413001999999999</v>
      </c>
      <c r="D176" s="61">
        <v>37.715865999999998</v>
      </c>
      <c r="E176" s="61">
        <v>36.925452999999997</v>
      </c>
      <c r="F176" s="61">
        <v>36.025458999999998</v>
      </c>
      <c r="G176" s="61">
        <v>34.807406999999998</v>
      </c>
      <c r="H176" s="61">
        <v>33.465018999999998</v>
      </c>
      <c r="I176" s="61">
        <v>31.991249</v>
      </c>
      <c r="J176" s="61">
        <v>30.366202999999999</v>
      </c>
      <c r="K176" s="61">
        <v>28.834060999999998</v>
      </c>
      <c r="L176" s="61">
        <v>25.344439999999999</v>
      </c>
      <c r="M176" s="61">
        <v>21.547867</v>
      </c>
      <c r="N176" s="61">
        <v>17.516041000000001</v>
      </c>
      <c r="O176" s="61">
        <v>13.536671999999999</v>
      </c>
      <c r="P176" s="61">
        <v>9.7291050000000006</v>
      </c>
      <c r="Q176" s="61">
        <v>8.3696169999999999</v>
      </c>
      <c r="R176" s="61">
        <v>7.5698629999999998</v>
      </c>
      <c r="S176" s="61">
        <v>7.2364660000000001</v>
      </c>
      <c r="T176" s="61">
        <v>6.7181699999999998</v>
      </c>
      <c r="U176" s="61">
        <v>5.8599040000000002</v>
      </c>
      <c r="V176" s="61">
        <v>4.8740059999999996</v>
      </c>
      <c r="W176" s="61">
        <v>4.2979890000000003</v>
      </c>
      <c r="X176" s="61">
        <v>3.7742969999999998</v>
      </c>
      <c r="Y176" s="61">
        <v>3.148101</v>
      </c>
      <c r="Z176" s="61">
        <v>3.1021899999999998</v>
      </c>
      <c r="AA176" s="61">
        <v>2.4912550000000002</v>
      </c>
      <c r="AB176" s="61">
        <v>2.046557</v>
      </c>
      <c r="AC176" s="61">
        <v>2</v>
      </c>
      <c r="AD176" s="61">
        <v>1.874182</v>
      </c>
      <c r="AE176" s="61">
        <v>1.2823850000000001</v>
      </c>
      <c r="AF176" s="61">
        <v>0.61815600000000004</v>
      </c>
      <c r="AG176" s="61">
        <v>0.17028199999999999</v>
      </c>
      <c r="AH176" s="61">
        <v>0</v>
      </c>
      <c r="AI176" s="61">
        <v>0</v>
      </c>
      <c r="AJ176" s="61">
        <v>0</v>
      </c>
      <c r="AK176" s="62" t="s">
        <v>467</v>
      </c>
    </row>
    <row r="177" spans="1:37" ht="15" customHeight="1" x14ac:dyDescent="0.2">
      <c r="A177" s="57" t="s">
        <v>876</v>
      </c>
      <c r="B177" s="60" t="s">
        <v>705</v>
      </c>
      <c r="C177" s="61">
        <v>4.7210000000000001</v>
      </c>
      <c r="D177" s="61">
        <v>4.4372400000000001</v>
      </c>
      <c r="E177" s="61">
        <v>4.185937</v>
      </c>
      <c r="F177" s="61">
        <v>3.9667509999999999</v>
      </c>
      <c r="G177" s="61">
        <v>3.5815009999999998</v>
      </c>
      <c r="H177" s="61">
        <v>3.228313</v>
      </c>
      <c r="I177" s="61">
        <v>2.908725</v>
      </c>
      <c r="J177" s="61">
        <v>2.4260120000000001</v>
      </c>
      <c r="K177" s="61">
        <v>2.2884479999999998</v>
      </c>
      <c r="L177" s="61">
        <v>2.2178849999999999</v>
      </c>
      <c r="M177" s="61">
        <v>2.1624110000000001</v>
      </c>
      <c r="N177" s="61">
        <v>2.119443</v>
      </c>
      <c r="O177" s="61">
        <v>2.086652</v>
      </c>
      <c r="P177" s="61">
        <v>2.0619999999999998</v>
      </c>
      <c r="Q177" s="61">
        <v>2.0437430000000001</v>
      </c>
      <c r="R177" s="61">
        <v>2.030427</v>
      </c>
      <c r="S177" s="61">
        <v>2.020861</v>
      </c>
      <c r="T177" s="61">
        <v>2.0140940000000001</v>
      </c>
      <c r="U177" s="61">
        <v>2.0053640000000001</v>
      </c>
      <c r="V177" s="61">
        <v>2</v>
      </c>
      <c r="W177" s="61">
        <v>2</v>
      </c>
      <c r="X177" s="61">
        <v>1.562724</v>
      </c>
      <c r="Y177" s="61">
        <v>1</v>
      </c>
      <c r="Z177" s="61">
        <v>1</v>
      </c>
      <c r="AA177" s="61">
        <v>0.421767</v>
      </c>
      <c r="AB177" s="61">
        <v>0</v>
      </c>
      <c r="AC177" s="61">
        <v>0</v>
      </c>
      <c r="AD177" s="61">
        <v>0</v>
      </c>
      <c r="AE177" s="61">
        <v>0</v>
      </c>
      <c r="AF177" s="61">
        <v>0</v>
      </c>
      <c r="AG177" s="61">
        <v>0</v>
      </c>
      <c r="AH177" s="61">
        <v>0</v>
      </c>
      <c r="AI177" s="61">
        <v>0</v>
      </c>
      <c r="AJ177" s="61">
        <v>0</v>
      </c>
      <c r="AK177" s="62" t="s">
        <v>467</v>
      </c>
    </row>
    <row r="178" spans="1:37" ht="15" customHeight="1" x14ac:dyDescent="0.2">
      <c r="A178" s="57" t="s">
        <v>877</v>
      </c>
      <c r="B178" s="60" t="s">
        <v>707</v>
      </c>
      <c r="C178" s="61">
        <v>3</v>
      </c>
      <c r="D178" s="61">
        <v>3</v>
      </c>
      <c r="E178" s="61">
        <v>3</v>
      </c>
      <c r="F178" s="61">
        <v>3</v>
      </c>
      <c r="G178" s="61">
        <v>3</v>
      </c>
      <c r="H178" s="61">
        <v>3</v>
      </c>
      <c r="I178" s="61">
        <v>3</v>
      </c>
      <c r="J178" s="61">
        <v>3</v>
      </c>
      <c r="K178" s="61">
        <v>3</v>
      </c>
      <c r="L178" s="61">
        <v>3</v>
      </c>
      <c r="M178" s="61">
        <v>3</v>
      </c>
      <c r="N178" s="61">
        <v>3</v>
      </c>
      <c r="O178" s="61">
        <v>3</v>
      </c>
      <c r="P178" s="61">
        <v>3</v>
      </c>
      <c r="Q178" s="61">
        <v>3</v>
      </c>
      <c r="R178" s="61">
        <v>3</v>
      </c>
      <c r="S178" s="61">
        <v>3</v>
      </c>
      <c r="T178" s="61">
        <v>2.766149</v>
      </c>
      <c r="U178" s="61">
        <v>2.5669499999999998</v>
      </c>
      <c r="V178" s="61">
        <v>2.4138739999999999</v>
      </c>
      <c r="W178" s="61">
        <v>2.2979889999999998</v>
      </c>
      <c r="X178" s="61">
        <v>2.2115719999999999</v>
      </c>
      <c r="Y178" s="61">
        <v>2.148101</v>
      </c>
      <c r="Z178" s="61">
        <v>2.1021899999999998</v>
      </c>
      <c r="AA178" s="61">
        <v>2.0694889999999999</v>
      </c>
      <c r="AB178" s="61">
        <v>2.046557</v>
      </c>
      <c r="AC178" s="61">
        <v>2</v>
      </c>
      <c r="AD178" s="61">
        <v>1.874182</v>
      </c>
      <c r="AE178" s="61">
        <v>1.2823850000000001</v>
      </c>
      <c r="AF178" s="61">
        <v>0.61815600000000004</v>
      </c>
      <c r="AG178" s="61">
        <v>0.17028199999999999</v>
      </c>
      <c r="AH178" s="61">
        <v>0</v>
      </c>
      <c r="AI178" s="61">
        <v>0</v>
      </c>
      <c r="AJ178" s="61">
        <v>0</v>
      </c>
      <c r="AK178" s="62" t="s">
        <v>467</v>
      </c>
    </row>
    <row r="179" spans="1:37" ht="15" customHeight="1" x14ac:dyDescent="0.2">
      <c r="A179" s="57" t="s">
        <v>878</v>
      </c>
      <c r="B179" s="60" t="s">
        <v>709</v>
      </c>
      <c r="C179" s="61">
        <v>30.692001000000001</v>
      </c>
      <c r="D179" s="61">
        <v>30.278625000000002</v>
      </c>
      <c r="E179" s="61">
        <v>29.739515000000001</v>
      </c>
      <c r="F179" s="61">
        <v>29.058710000000001</v>
      </c>
      <c r="G179" s="61">
        <v>28.225905999999998</v>
      </c>
      <c r="H179" s="61">
        <v>27.236708</v>
      </c>
      <c r="I179" s="61">
        <v>26.082525</v>
      </c>
      <c r="J179" s="61">
        <v>24.940190999999999</v>
      </c>
      <c r="K179" s="61">
        <v>23.545611999999998</v>
      </c>
      <c r="L179" s="61">
        <v>20.126556000000001</v>
      </c>
      <c r="M179" s="61">
        <v>16.385453999999999</v>
      </c>
      <c r="N179" s="61">
        <v>12.396597</v>
      </c>
      <c r="O179" s="61">
        <v>8.4500200000000003</v>
      </c>
      <c r="P179" s="61">
        <v>4.6671050000000003</v>
      </c>
      <c r="Q179" s="61">
        <v>3.3258730000000001</v>
      </c>
      <c r="R179" s="61">
        <v>2.5394369999999999</v>
      </c>
      <c r="S179" s="61">
        <v>2.2156060000000002</v>
      </c>
      <c r="T179" s="61">
        <v>1.937926</v>
      </c>
      <c r="U179" s="61">
        <v>1.28759</v>
      </c>
      <c r="V179" s="61">
        <v>0.46013199999999999</v>
      </c>
      <c r="W179" s="61">
        <v>0</v>
      </c>
      <c r="X179" s="61">
        <v>0</v>
      </c>
      <c r="Y179" s="61">
        <v>0</v>
      </c>
      <c r="Z179" s="61">
        <v>0</v>
      </c>
      <c r="AA179" s="61">
        <v>0</v>
      </c>
      <c r="AB179" s="61">
        <v>0</v>
      </c>
      <c r="AC179" s="61">
        <v>0</v>
      </c>
      <c r="AD179" s="61">
        <v>0</v>
      </c>
      <c r="AE179" s="61">
        <v>0</v>
      </c>
      <c r="AF179" s="61">
        <v>0</v>
      </c>
      <c r="AG179" s="61">
        <v>0</v>
      </c>
      <c r="AH179" s="61">
        <v>0</v>
      </c>
      <c r="AI179" s="61">
        <v>0</v>
      </c>
      <c r="AJ179" s="61">
        <v>0</v>
      </c>
      <c r="AK179" s="62" t="s">
        <v>467</v>
      </c>
    </row>
    <row r="180" spans="1:37" ht="15" customHeight="1" x14ac:dyDescent="0.2">
      <c r="A180" s="57" t="s">
        <v>879</v>
      </c>
      <c r="B180" s="59" t="s">
        <v>771</v>
      </c>
      <c r="C180" s="68">
        <v>2728.741943</v>
      </c>
      <c r="D180" s="68">
        <v>2631.5463869999999</v>
      </c>
      <c r="E180" s="68">
        <v>2538.5214839999999</v>
      </c>
      <c r="F180" s="68">
        <v>2446.27124</v>
      </c>
      <c r="G180" s="68">
        <v>2349.8002929999998</v>
      </c>
      <c r="H180" s="68">
        <v>2232.296875</v>
      </c>
      <c r="I180" s="68">
        <v>2128.6743160000001</v>
      </c>
      <c r="J180" s="68">
        <v>2026.4326169999999</v>
      </c>
      <c r="K180" s="68">
        <v>1929.7532960000001</v>
      </c>
      <c r="L180" s="68">
        <v>1829.450073</v>
      </c>
      <c r="M180" s="68">
        <v>1721.3271480000001</v>
      </c>
      <c r="N180" s="68">
        <v>1594.8364260000001</v>
      </c>
      <c r="O180" s="68">
        <v>1464.7104489999999</v>
      </c>
      <c r="P180" s="68">
        <v>1334.5633539999999</v>
      </c>
      <c r="Q180" s="68">
        <v>1231.015259</v>
      </c>
      <c r="R180" s="68">
        <v>1141.918457</v>
      </c>
      <c r="S180" s="68">
        <v>1053.5158690000001</v>
      </c>
      <c r="T180" s="68">
        <v>969.68499799999995</v>
      </c>
      <c r="U180" s="68">
        <v>906.70452899999998</v>
      </c>
      <c r="V180" s="68">
        <v>835.82226600000001</v>
      </c>
      <c r="W180" s="68">
        <v>776.64923099999999</v>
      </c>
      <c r="X180" s="68">
        <v>710.40698199999997</v>
      </c>
      <c r="Y180" s="68">
        <v>656.64575200000002</v>
      </c>
      <c r="Z180" s="68">
        <v>597.98205600000006</v>
      </c>
      <c r="AA180" s="68">
        <v>541.08441200000004</v>
      </c>
      <c r="AB180" s="68">
        <v>494.80404700000003</v>
      </c>
      <c r="AC180" s="68">
        <v>452.75570699999997</v>
      </c>
      <c r="AD180" s="68">
        <v>401.067657</v>
      </c>
      <c r="AE180" s="68">
        <v>357.33709700000003</v>
      </c>
      <c r="AF180" s="68">
        <v>314.92657500000001</v>
      </c>
      <c r="AG180" s="68">
        <v>266.90798999999998</v>
      </c>
      <c r="AH180" s="68">
        <v>208.40373199999999</v>
      </c>
      <c r="AI180" s="68">
        <v>168.269531</v>
      </c>
      <c r="AJ180" s="68">
        <v>133.399002</v>
      </c>
      <c r="AK180" s="66">
        <v>-8.8977000000000001E-2</v>
      </c>
    </row>
    <row r="181" spans="1:37" ht="15.75" customHeight="1" x14ac:dyDescent="0.2"/>
    <row r="182" spans="1:37" ht="15.75" customHeight="1" x14ac:dyDescent="0.2"/>
    <row r="183" spans="1:37" ht="15" customHeight="1" x14ac:dyDescent="0.2">
      <c r="B183" s="59" t="s">
        <v>880</v>
      </c>
    </row>
    <row r="184" spans="1:37" ht="15" customHeight="1" x14ac:dyDescent="0.2">
      <c r="A184" s="57" t="s">
        <v>881</v>
      </c>
      <c r="B184" s="60" t="s">
        <v>703</v>
      </c>
      <c r="C184" s="61">
        <v>936.50335700000005</v>
      </c>
      <c r="D184" s="61">
        <v>910.85522500000002</v>
      </c>
      <c r="E184" s="61">
        <v>895.49011199999995</v>
      </c>
      <c r="F184" s="61">
        <v>886.81848100000002</v>
      </c>
      <c r="G184" s="61">
        <v>879.02179000000001</v>
      </c>
      <c r="H184" s="61">
        <v>877.83746299999996</v>
      </c>
      <c r="I184" s="61">
        <v>880.23181199999999</v>
      </c>
      <c r="J184" s="61">
        <v>882.90625</v>
      </c>
      <c r="K184" s="61">
        <v>884.62634300000002</v>
      </c>
      <c r="L184" s="61">
        <v>886.37512200000003</v>
      </c>
      <c r="M184" s="61">
        <v>884.21307400000001</v>
      </c>
      <c r="N184" s="61">
        <v>876.97082499999999</v>
      </c>
      <c r="O184" s="61">
        <v>876.83715800000004</v>
      </c>
      <c r="P184" s="61">
        <v>879.66931199999999</v>
      </c>
      <c r="Q184" s="61">
        <v>881.56420900000001</v>
      </c>
      <c r="R184" s="61">
        <v>883.42627000000005</v>
      </c>
      <c r="S184" s="61">
        <v>885.28460700000005</v>
      </c>
      <c r="T184" s="61">
        <v>885.15185499999995</v>
      </c>
      <c r="U184" s="61">
        <v>884.84075900000005</v>
      </c>
      <c r="V184" s="61">
        <v>885.79675299999997</v>
      </c>
      <c r="W184" s="61">
        <v>888.74548300000004</v>
      </c>
      <c r="X184" s="61">
        <v>890.29205300000001</v>
      </c>
      <c r="Y184" s="61">
        <v>892.61261000000002</v>
      </c>
      <c r="Z184" s="61">
        <v>894.881348</v>
      </c>
      <c r="AA184" s="61">
        <v>897.54455600000006</v>
      </c>
      <c r="AB184" s="61">
        <v>899.26458700000001</v>
      </c>
      <c r="AC184" s="61">
        <v>901.001892</v>
      </c>
      <c r="AD184" s="61">
        <v>903.10620100000006</v>
      </c>
      <c r="AE184" s="61">
        <v>905.16424600000005</v>
      </c>
      <c r="AF184" s="61">
        <v>906.71649200000002</v>
      </c>
      <c r="AG184" s="61">
        <v>908.77978499999995</v>
      </c>
      <c r="AH184" s="61">
        <v>909.80273399999999</v>
      </c>
      <c r="AI184" s="61">
        <v>910.72021500000005</v>
      </c>
      <c r="AJ184" s="61">
        <v>912.03375200000005</v>
      </c>
      <c r="AK184" s="62">
        <v>4.0000000000000003E-5</v>
      </c>
    </row>
    <row r="185" spans="1:37" ht="15" customHeight="1" x14ac:dyDescent="0.2">
      <c r="A185" s="57" t="s">
        <v>882</v>
      </c>
      <c r="B185" s="60" t="s">
        <v>711</v>
      </c>
      <c r="C185" s="61">
        <v>47.200004999999997</v>
      </c>
      <c r="D185" s="61">
        <v>47.403998999999999</v>
      </c>
      <c r="E185" s="61">
        <v>47.612076000000002</v>
      </c>
      <c r="F185" s="61">
        <v>47.824322000000002</v>
      </c>
      <c r="G185" s="61">
        <v>47.954169999999998</v>
      </c>
      <c r="H185" s="61">
        <v>48.097442999999998</v>
      </c>
      <c r="I185" s="61">
        <v>47.322678000000003</v>
      </c>
      <c r="J185" s="61">
        <v>47.489249999999998</v>
      </c>
      <c r="K185" s="61">
        <v>47.666106999999997</v>
      </c>
      <c r="L185" s="61">
        <v>47.905124999999998</v>
      </c>
      <c r="M185" s="61">
        <v>48.148926000000003</v>
      </c>
      <c r="N185" s="61">
        <v>48.397593999999998</v>
      </c>
      <c r="O185" s="61">
        <v>48.651249</v>
      </c>
      <c r="P185" s="61">
        <v>48.909968999999997</v>
      </c>
      <c r="Q185" s="61">
        <v>49.151558000000001</v>
      </c>
      <c r="R185" s="61">
        <v>49.420731000000004</v>
      </c>
      <c r="S185" s="61">
        <v>49.687190999999999</v>
      </c>
      <c r="T185" s="61">
        <v>49.919746000000004</v>
      </c>
      <c r="U185" s="61">
        <v>50.169528999999997</v>
      </c>
      <c r="V185" s="61">
        <v>50.460892000000001</v>
      </c>
      <c r="W185" s="61">
        <v>50.75808</v>
      </c>
      <c r="X185" s="61">
        <v>50.952365999999998</v>
      </c>
      <c r="Y185" s="61">
        <v>51.261566000000002</v>
      </c>
      <c r="Z185" s="61">
        <v>51.576942000000003</v>
      </c>
      <c r="AA185" s="61">
        <v>51.842711999999999</v>
      </c>
      <c r="AB185" s="61">
        <v>52.008674999999997</v>
      </c>
      <c r="AC185" s="61">
        <v>52.343349000000003</v>
      </c>
      <c r="AD185" s="61">
        <v>52.626801</v>
      </c>
      <c r="AE185" s="61">
        <v>51.974997999999999</v>
      </c>
      <c r="AF185" s="61">
        <v>52.300044999999997</v>
      </c>
      <c r="AG185" s="61">
        <v>52.633873000000001</v>
      </c>
      <c r="AH185" s="61">
        <v>52.993594999999999</v>
      </c>
      <c r="AI185" s="61">
        <v>53.301022000000003</v>
      </c>
      <c r="AJ185" s="61">
        <v>53.652625999999998</v>
      </c>
      <c r="AK185" s="62">
        <v>3.8769999999999998E-3</v>
      </c>
    </row>
    <row r="186" spans="1:37" ht="15" customHeight="1" x14ac:dyDescent="0.2">
      <c r="A186" s="57" t="s">
        <v>883</v>
      </c>
      <c r="B186" s="60" t="s">
        <v>716</v>
      </c>
      <c r="C186" s="61">
        <v>29.16</v>
      </c>
      <c r="D186" s="61">
        <v>28.993198</v>
      </c>
      <c r="E186" s="61">
        <v>28.830814</v>
      </c>
      <c r="F186" s="61">
        <v>28.698181000000002</v>
      </c>
      <c r="G186" s="61">
        <v>28.871372000000001</v>
      </c>
      <c r="H186" s="61">
        <v>29.048023000000001</v>
      </c>
      <c r="I186" s="61">
        <v>29.228210000000001</v>
      </c>
      <c r="J186" s="61">
        <v>29.411999000000002</v>
      </c>
      <c r="K186" s="61">
        <v>29.599463</v>
      </c>
      <c r="L186" s="61">
        <v>29.744554999999998</v>
      </c>
      <c r="M186" s="61">
        <v>29.937885000000001</v>
      </c>
      <c r="N186" s="61">
        <v>30.115998999999999</v>
      </c>
      <c r="O186" s="61">
        <v>30.210578999999999</v>
      </c>
      <c r="P186" s="61">
        <v>30.275282000000001</v>
      </c>
      <c r="Q186" s="61">
        <v>30.348227999999999</v>
      </c>
      <c r="R186" s="61">
        <v>30.205151000000001</v>
      </c>
      <c r="S186" s="61">
        <v>30.400558</v>
      </c>
      <c r="T186" s="61">
        <v>30.532520000000002</v>
      </c>
      <c r="U186" s="61">
        <v>30.70055</v>
      </c>
      <c r="V186" s="61">
        <v>30.885597000000001</v>
      </c>
      <c r="W186" s="61">
        <v>31.11758</v>
      </c>
      <c r="X186" s="61">
        <v>31.312695000000001</v>
      </c>
      <c r="Y186" s="61">
        <v>31.461216</v>
      </c>
      <c r="Z186" s="61">
        <v>30.550689999999999</v>
      </c>
      <c r="AA186" s="61">
        <v>30.808035</v>
      </c>
      <c r="AB186" s="61">
        <v>31.044256000000001</v>
      </c>
      <c r="AC186" s="61">
        <v>31.312002</v>
      </c>
      <c r="AD186" s="61">
        <v>31.573992000000001</v>
      </c>
      <c r="AE186" s="61">
        <v>31.813006999999999</v>
      </c>
      <c r="AF186" s="61">
        <v>32.097136999999996</v>
      </c>
      <c r="AG186" s="61">
        <v>32.386955</v>
      </c>
      <c r="AH186" s="61">
        <v>32.682563999999999</v>
      </c>
      <c r="AI186" s="61">
        <v>32.984085</v>
      </c>
      <c r="AJ186" s="61">
        <v>33.291640999999998</v>
      </c>
      <c r="AK186" s="62">
        <v>4.3299999999999996E-3</v>
      </c>
    </row>
    <row r="187" spans="1:37" ht="15" customHeight="1" x14ac:dyDescent="0.2">
      <c r="A187" s="57" t="s">
        <v>884</v>
      </c>
      <c r="B187" s="60" t="s">
        <v>721</v>
      </c>
      <c r="C187" s="61">
        <v>73.754028000000005</v>
      </c>
      <c r="D187" s="61">
        <v>74.558807000000002</v>
      </c>
      <c r="E187" s="61">
        <v>75.016578999999993</v>
      </c>
      <c r="F187" s="61">
        <v>74.483513000000002</v>
      </c>
      <c r="G187" s="61">
        <v>74.903328000000002</v>
      </c>
      <c r="H187" s="61">
        <v>74.312172000000004</v>
      </c>
      <c r="I187" s="61">
        <v>74.691505000000006</v>
      </c>
      <c r="J187" s="61">
        <v>74.194252000000006</v>
      </c>
      <c r="K187" s="61">
        <v>74.707061999999993</v>
      </c>
      <c r="L187" s="61">
        <v>75.230103</v>
      </c>
      <c r="M187" s="61">
        <v>75.763626000000002</v>
      </c>
      <c r="N187" s="61">
        <v>75.307807999999994</v>
      </c>
      <c r="O187" s="61">
        <v>74.862876999999997</v>
      </c>
      <c r="P187" s="61">
        <v>75.429046999999997</v>
      </c>
      <c r="Q187" s="61">
        <v>76.006538000000006</v>
      </c>
      <c r="R187" s="61">
        <v>76.573532</v>
      </c>
      <c r="S187" s="61">
        <v>77.115836999999999</v>
      </c>
      <c r="T187" s="61">
        <v>77.725121000000001</v>
      </c>
      <c r="U187" s="61">
        <v>77.062759</v>
      </c>
      <c r="V187" s="61">
        <v>77.429114999999996</v>
      </c>
      <c r="W187" s="61">
        <v>78.034263999999993</v>
      </c>
      <c r="X187" s="61">
        <v>77.252716000000007</v>
      </c>
      <c r="Y187" s="61">
        <v>77.929259999999999</v>
      </c>
      <c r="Z187" s="61">
        <v>78.074096999999995</v>
      </c>
      <c r="AA187" s="61">
        <v>78.173759000000004</v>
      </c>
      <c r="AB187" s="61">
        <v>78.497817999999995</v>
      </c>
      <c r="AC187" s="61">
        <v>79.026732999999993</v>
      </c>
      <c r="AD187" s="61">
        <v>79.704498000000001</v>
      </c>
      <c r="AE187" s="61">
        <v>80.466399999999993</v>
      </c>
      <c r="AF187" s="61">
        <v>81.243538000000001</v>
      </c>
      <c r="AG187" s="61">
        <v>82.036224000000004</v>
      </c>
      <c r="AH187" s="61">
        <v>82.844772000000006</v>
      </c>
      <c r="AI187" s="61">
        <v>83.667793000000003</v>
      </c>
      <c r="AJ187" s="61">
        <v>84.508987000000005</v>
      </c>
      <c r="AK187" s="62">
        <v>3.9220000000000001E-3</v>
      </c>
    </row>
    <row r="188" spans="1:37" ht="15" customHeight="1" x14ac:dyDescent="0.2">
      <c r="A188" s="57" t="s">
        <v>885</v>
      </c>
      <c r="B188" s="60" t="s">
        <v>726</v>
      </c>
      <c r="C188" s="61">
        <v>408.14001500000001</v>
      </c>
      <c r="D188" s="61">
        <v>411.34274299999998</v>
      </c>
      <c r="E188" s="61">
        <v>414.60964999999999</v>
      </c>
      <c r="F188" s="61">
        <v>417.94186400000001</v>
      </c>
      <c r="G188" s="61">
        <v>421.34066799999999</v>
      </c>
      <c r="H188" s="61">
        <v>424.73052999999999</v>
      </c>
      <c r="I188" s="61">
        <v>428.21127300000001</v>
      </c>
      <c r="J188" s="61">
        <v>431.69683800000001</v>
      </c>
      <c r="K188" s="61">
        <v>434.37338299999999</v>
      </c>
      <c r="L188" s="61">
        <v>438.07861300000002</v>
      </c>
      <c r="M188" s="61">
        <v>441.86914100000001</v>
      </c>
      <c r="N188" s="61">
        <v>443.74774200000002</v>
      </c>
      <c r="O188" s="61">
        <v>444.746826</v>
      </c>
      <c r="P188" s="61">
        <v>444.23547400000001</v>
      </c>
      <c r="Q188" s="61">
        <v>445.61651599999999</v>
      </c>
      <c r="R188" s="61">
        <v>447.37304699999999</v>
      </c>
      <c r="S188" s="61">
        <v>450.20770299999998</v>
      </c>
      <c r="T188" s="61">
        <v>453.192566</v>
      </c>
      <c r="U188" s="61">
        <v>455.67306500000001</v>
      </c>
      <c r="V188" s="61">
        <v>455.23440599999998</v>
      </c>
      <c r="W188" s="61">
        <v>453.89593500000001</v>
      </c>
      <c r="X188" s="61">
        <v>455.65072600000002</v>
      </c>
      <c r="Y188" s="61">
        <v>450.31094400000001</v>
      </c>
      <c r="Z188" s="61">
        <v>453.25787400000002</v>
      </c>
      <c r="AA188" s="61">
        <v>456.30365</v>
      </c>
      <c r="AB188" s="61">
        <v>460.450378</v>
      </c>
      <c r="AC188" s="61">
        <v>465.70007299999997</v>
      </c>
      <c r="AD188" s="61">
        <v>471.05465700000002</v>
      </c>
      <c r="AE188" s="61">
        <v>476.51644900000002</v>
      </c>
      <c r="AF188" s="61">
        <v>481.61431900000002</v>
      </c>
      <c r="AG188" s="61">
        <v>486.11874399999999</v>
      </c>
      <c r="AH188" s="61">
        <v>489.82290599999999</v>
      </c>
      <c r="AI188" s="61">
        <v>493.19726600000001</v>
      </c>
      <c r="AJ188" s="61">
        <v>496.60611</v>
      </c>
      <c r="AK188" s="62">
        <v>5.9040000000000004E-3</v>
      </c>
    </row>
    <row r="189" spans="1:37" ht="15" customHeight="1" x14ac:dyDescent="0.2">
      <c r="A189" s="57" t="s">
        <v>886</v>
      </c>
      <c r="B189" s="60" t="s">
        <v>731</v>
      </c>
      <c r="C189" s="61">
        <v>66.219994</v>
      </c>
      <c r="D189" s="61">
        <v>64.784401000000003</v>
      </c>
      <c r="E189" s="61">
        <v>62.829268999999996</v>
      </c>
      <c r="F189" s="61">
        <v>61.955165999999998</v>
      </c>
      <c r="G189" s="61">
        <v>62.182884000000001</v>
      </c>
      <c r="H189" s="61">
        <v>62.305472999999999</v>
      </c>
      <c r="I189" s="61">
        <v>62.540733000000003</v>
      </c>
      <c r="J189" s="61">
        <v>61.514296999999999</v>
      </c>
      <c r="K189" s="61">
        <v>61.618915999999999</v>
      </c>
      <c r="L189" s="61">
        <v>60.762084999999999</v>
      </c>
      <c r="M189" s="61">
        <v>61.014648000000001</v>
      </c>
      <c r="N189" s="61">
        <v>60.177216000000001</v>
      </c>
      <c r="O189" s="61">
        <v>60.335144</v>
      </c>
      <c r="P189" s="61">
        <v>60.500225</v>
      </c>
      <c r="Q189" s="61">
        <v>59.772320000000001</v>
      </c>
      <c r="R189" s="61">
        <v>59.011868</v>
      </c>
      <c r="S189" s="61">
        <v>59.229301</v>
      </c>
      <c r="T189" s="61">
        <v>58.517280999999997</v>
      </c>
      <c r="U189" s="61">
        <v>58.793953000000002</v>
      </c>
      <c r="V189" s="61">
        <v>57.016426000000003</v>
      </c>
      <c r="W189" s="61">
        <v>57.104149</v>
      </c>
      <c r="X189" s="61">
        <v>57.415508000000003</v>
      </c>
      <c r="Y189" s="61">
        <v>57.733100999999998</v>
      </c>
      <c r="Z189" s="61">
        <v>58.057045000000002</v>
      </c>
      <c r="AA189" s="61">
        <v>58.387459</v>
      </c>
      <c r="AB189" s="61">
        <v>58.724494999999997</v>
      </c>
      <c r="AC189" s="61">
        <v>59.068260000000002</v>
      </c>
      <c r="AD189" s="61">
        <v>59.418906999999997</v>
      </c>
      <c r="AE189" s="61">
        <v>59.776566000000003</v>
      </c>
      <c r="AF189" s="61">
        <v>59.141373000000002</v>
      </c>
      <c r="AG189" s="61">
        <v>59.513480999999999</v>
      </c>
      <c r="AH189" s="61">
        <v>59.893031999999998</v>
      </c>
      <c r="AI189" s="61">
        <v>60.280166999999999</v>
      </c>
      <c r="AJ189" s="61">
        <v>60.675049000000001</v>
      </c>
      <c r="AK189" s="62">
        <v>-2.0460000000000001E-3</v>
      </c>
    </row>
    <row r="190" spans="1:37" ht="15" customHeight="1" x14ac:dyDescent="0.2">
      <c r="A190" s="57" t="s">
        <v>887</v>
      </c>
      <c r="B190" s="60" t="s">
        <v>736</v>
      </c>
      <c r="C190" s="61">
        <v>99.579993999999999</v>
      </c>
      <c r="D190" s="61">
        <v>100.86159499999999</v>
      </c>
      <c r="E190" s="61">
        <v>102.505432</v>
      </c>
      <c r="F190" s="61">
        <v>104.18214399999999</v>
      </c>
      <c r="G190" s="61">
        <v>105.892387</v>
      </c>
      <c r="H190" s="61">
        <v>107.24015</v>
      </c>
      <c r="I190" s="61">
        <v>108.931381</v>
      </c>
      <c r="J190" s="61">
        <v>107.03632399999999</v>
      </c>
      <c r="K190" s="61">
        <v>108.359695</v>
      </c>
      <c r="L190" s="61">
        <v>110.682755</v>
      </c>
      <c r="M190" s="61">
        <v>112.511848</v>
      </c>
      <c r="N190" s="61">
        <v>112.4627</v>
      </c>
      <c r="O190" s="61">
        <v>114.428589</v>
      </c>
      <c r="P190" s="61">
        <v>116.45137</v>
      </c>
      <c r="Q190" s="61">
        <v>118.521393</v>
      </c>
      <c r="R190" s="61">
        <v>120.622337</v>
      </c>
      <c r="S190" s="61">
        <v>122.747726</v>
      </c>
      <c r="T190" s="61">
        <v>124.93506600000001</v>
      </c>
      <c r="U190" s="61">
        <v>127.17532300000001</v>
      </c>
      <c r="V190" s="61">
        <v>129.458023</v>
      </c>
      <c r="W190" s="61">
        <v>131.70015000000001</v>
      </c>
      <c r="X190" s="61">
        <v>133.07186899999999</v>
      </c>
      <c r="Y190" s="61">
        <v>134.758499</v>
      </c>
      <c r="Z190" s="61">
        <v>137.30403100000001</v>
      </c>
      <c r="AA190" s="61">
        <v>140.12048300000001</v>
      </c>
      <c r="AB190" s="61">
        <v>142.935318</v>
      </c>
      <c r="AC190" s="61">
        <v>145.61528000000001</v>
      </c>
      <c r="AD190" s="61">
        <v>148.56475800000001</v>
      </c>
      <c r="AE190" s="61">
        <v>151.53173799999999</v>
      </c>
      <c r="AF190" s="61">
        <v>154.55941799999999</v>
      </c>
      <c r="AG190" s="61">
        <v>157.60102800000001</v>
      </c>
      <c r="AH190" s="61">
        <v>160.66731300000001</v>
      </c>
      <c r="AI190" s="61">
        <v>163.79016100000001</v>
      </c>
      <c r="AJ190" s="61">
        <v>167.03793300000001</v>
      </c>
      <c r="AK190" s="62">
        <v>1.5890000000000001E-2</v>
      </c>
    </row>
    <row r="191" spans="1:37" ht="15" customHeight="1" x14ac:dyDescent="0.2">
      <c r="A191" s="57" t="s">
        <v>888</v>
      </c>
      <c r="B191" s="60" t="s">
        <v>741</v>
      </c>
      <c r="C191" s="61">
        <v>66.659996000000007</v>
      </c>
      <c r="D191" s="61">
        <v>66.673203000000001</v>
      </c>
      <c r="E191" s="61">
        <v>66.949698999999995</v>
      </c>
      <c r="F191" s="61">
        <v>67.438896</v>
      </c>
      <c r="G191" s="61">
        <v>68.010802999999996</v>
      </c>
      <c r="H191" s="61">
        <v>67.634460000000004</v>
      </c>
      <c r="I191" s="61">
        <v>68.163948000000005</v>
      </c>
      <c r="J191" s="61">
        <v>68.709625000000003</v>
      </c>
      <c r="K191" s="61">
        <v>68.242821000000006</v>
      </c>
      <c r="L191" s="61">
        <v>68.768867</v>
      </c>
      <c r="M191" s="61">
        <v>69.228447000000003</v>
      </c>
      <c r="N191" s="61">
        <v>69.576156999999995</v>
      </c>
      <c r="O191" s="61">
        <v>69.564757999999998</v>
      </c>
      <c r="P191" s="61">
        <v>69.909263999999993</v>
      </c>
      <c r="Q191" s="61">
        <v>70.258362000000005</v>
      </c>
      <c r="R191" s="61">
        <v>66.280197000000001</v>
      </c>
      <c r="S191" s="61">
        <v>67.016647000000006</v>
      </c>
      <c r="T191" s="61">
        <v>67.198158000000006</v>
      </c>
      <c r="U191" s="61">
        <v>67.213904999999997</v>
      </c>
      <c r="V191" s="61">
        <v>67.380836000000002</v>
      </c>
      <c r="W191" s="61">
        <v>67.865082000000001</v>
      </c>
      <c r="X191" s="61">
        <v>68.396652000000003</v>
      </c>
      <c r="Y191" s="61">
        <v>68.935721999999998</v>
      </c>
      <c r="Z191" s="61">
        <v>69.530547999999996</v>
      </c>
      <c r="AA191" s="61">
        <v>69.121452000000005</v>
      </c>
      <c r="AB191" s="61">
        <v>69.834923000000003</v>
      </c>
      <c r="AC191" s="61">
        <v>70.976799</v>
      </c>
      <c r="AD191" s="61">
        <v>71.665572999999995</v>
      </c>
      <c r="AE191" s="61">
        <v>70.541672000000005</v>
      </c>
      <c r="AF191" s="61">
        <v>70.828102000000001</v>
      </c>
      <c r="AG191" s="61">
        <v>71.441460000000006</v>
      </c>
      <c r="AH191" s="61">
        <v>70.958832000000001</v>
      </c>
      <c r="AI191" s="61">
        <v>71.580048000000005</v>
      </c>
      <c r="AJ191" s="61">
        <v>72.505195999999998</v>
      </c>
      <c r="AK191" s="62">
        <v>2.624E-3</v>
      </c>
    </row>
    <row r="192" spans="1:37" ht="15" customHeight="1" x14ac:dyDescent="0.2">
      <c r="A192" s="57" t="s">
        <v>889</v>
      </c>
      <c r="B192" s="60" t="s">
        <v>746</v>
      </c>
      <c r="C192" s="61">
        <v>181.39636200000001</v>
      </c>
      <c r="D192" s="61">
        <v>183.635986</v>
      </c>
      <c r="E192" s="61">
        <v>185.508713</v>
      </c>
      <c r="F192" s="61">
        <v>187.41890000000001</v>
      </c>
      <c r="G192" s="61">
        <v>189.367279</v>
      </c>
      <c r="H192" s="61">
        <v>191.35459900000001</v>
      </c>
      <c r="I192" s="61">
        <v>193.38171399999999</v>
      </c>
      <c r="J192" s="61">
        <v>195.44935599999999</v>
      </c>
      <c r="K192" s="61">
        <v>197.55831900000001</v>
      </c>
      <c r="L192" s="61">
        <v>199.70948799999999</v>
      </c>
      <c r="M192" s="61">
        <v>201.90368699999999</v>
      </c>
      <c r="N192" s="61">
        <v>204.141785</v>
      </c>
      <c r="O192" s="61">
        <v>206.42460600000001</v>
      </c>
      <c r="P192" s="61">
        <v>208.75311300000001</v>
      </c>
      <c r="Q192" s="61">
        <v>209.028595</v>
      </c>
      <c r="R192" s="61">
        <v>213.47927899999999</v>
      </c>
      <c r="S192" s="61">
        <v>218.151184</v>
      </c>
      <c r="T192" s="61">
        <v>221.88681</v>
      </c>
      <c r="U192" s="61">
        <v>226.626419</v>
      </c>
      <c r="V192" s="61">
        <v>230.41516100000001</v>
      </c>
      <c r="W192" s="61">
        <v>234.23353599999999</v>
      </c>
      <c r="X192" s="61">
        <v>239.12973</v>
      </c>
      <c r="Y192" s="61">
        <v>244.10144</v>
      </c>
      <c r="Z192" s="61">
        <v>249.03805500000001</v>
      </c>
      <c r="AA192" s="61">
        <v>254.24482699999999</v>
      </c>
      <c r="AB192" s="61">
        <v>259.56866500000001</v>
      </c>
      <c r="AC192" s="61">
        <v>264.93951399999997</v>
      </c>
      <c r="AD192" s="61">
        <v>269.27984600000002</v>
      </c>
      <c r="AE192" s="61">
        <v>274.533051</v>
      </c>
      <c r="AF192" s="61">
        <v>279.80337500000002</v>
      </c>
      <c r="AG192" s="61">
        <v>284.93814099999997</v>
      </c>
      <c r="AH192" s="61">
        <v>290.16366599999998</v>
      </c>
      <c r="AI192" s="61">
        <v>295.30987499999998</v>
      </c>
      <c r="AJ192" s="61">
        <v>300.25030500000003</v>
      </c>
      <c r="AK192" s="62">
        <v>1.5483E-2</v>
      </c>
    </row>
    <row r="193" spans="1:37" ht="15" customHeight="1" x14ac:dyDescent="0.2">
      <c r="A193" s="57" t="s">
        <v>890</v>
      </c>
      <c r="B193" s="60" t="s">
        <v>751</v>
      </c>
      <c r="C193" s="61">
        <v>67.344109000000003</v>
      </c>
      <c r="D193" s="61">
        <v>69.675963999999993</v>
      </c>
      <c r="E193" s="61">
        <v>71.052779999999998</v>
      </c>
      <c r="F193" s="61">
        <v>72.442527999999996</v>
      </c>
      <c r="G193" s="61">
        <v>73.871039999999994</v>
      </c>
      <c r="H193" s="61">
        <v>75.123154</v>
      </c>
      <c r="I193" s="61">
        <v>76.654099000000002</v>
      </c>
      <c r="J193" s="61">
        <v>78.318047000000007</v>
      </c>
      <c r="K193" s="61">
        <v>79.858138999999994</v>
      </c>
      <c r="L193" s="61">
        <v>81.432541000000001</v>
      </c>
      <c r="M193" s="61">
        <v>83.038314999999997</v>
      </c>
      <c r="N193" s="61">
        <v>84.676833999999999</v>
      </c>
      <c r="O193" s="61">
        <v>86.346069</v>
      </c>
      <c r="P193" s="61">
        <v>88.044533000000001</v>
      </c>
      <c r="Q193" s="61">
        <v>89.743431000000001</v>
      </c>
      <c r="R193" s="61">
        <v>91.535056999999995</v>
      </c>
      <c r="S193" s="61">
        <v>93.304694999999995</v>
      </c>
      <c r="T193" s="61">
        <v>95.168792999999994</v>
      </c>
      <c r="U193" s="61">
        <v>97.038155000000003</v>
      </c>
      <c r="V193" s="61">
        <v>98.945533999999995</v>
      </c>
      <c r="W193" s="61">
        <v>100.888214</v>
      </c>
      <c r="X193" s="61">
        <v>102.868408</v>
      </c>
      <c r="Y193" s="61">
        <v>104.886787</v>
      </c>
      <c r="Z193" s="61">
        <v>106.94593</v>
      </c>
      <c r="AA193" s="61">
        <v>109.048225</v>
      </c>
      <c r="AB193" s="61">
        <v>111.194283</v>
      </c>
      <c r="AC193" s="61">
        <v>113.384102</v>
      </c>
      <c r="AD193" s="61">
        <v>115.617149</v>
      </c>
      <c r="AE193" s="61">
        <v>117.893951</v>
      </c>
      <c r="AF193" s="61">
        <v>120.216042</v>
      </c>
      <c r="AG193" s="61">
        <v>122.58420599999999</v>
      </c>
      <c r="AH193" s="61">
        <v>125.00007600000001</v>
      </c>
      <c r="AI193" s="61">
        <v>127.46566</v>
      </c>
      <c r="AJ193" s="61">
        <v>129.981979</v>
      </c>
      <c r="AK193" s="62">
        <v>1.9677E-2</v>
      </c>
    </row>
    <row r="194" spans="1:37" ht="15" customHeight="1" x14ac:dyDescent="0.2">
      <c r="A194" s="57" t="s">
        <v>891</v>
      </c>
      <c r="B194" s="60" t="s">
        <v>756</v>
      </c>
      <c r="C194" s="61">
        <v>87.739998</v>
      </c>
      <c r="D194" s="61">
        <v>88.164803000000006</v>
      </c>
      <c r="E194" s="61">
        <v>88.934691999999998</v>
      </c>
      <c r="F194" s="61">
        <v>89.719986000000006</v>
      </c>
      <c r="G194" s="61">
        <v>90.520988000000003</v>
      </c>
      <c r="H194" s="61">
        <v>91.338013000000004</v>
      </c>
      <c r="I194" s="61">
        <v>92.115951999999993</v>
      </c>
      <c r="J194" s="61">
        <v>92.965996000000004</v>
      </c>
      <c r="K194" s="61">
        <v>93.745613000000006</v>
      </c>
      <c r="L194" s="61">
        <v>93.523055999999997</v>
      </c>
      <c r="M194" s="61">
        <v>92.425110000000004</v>
      </c>
      <c r="N194" s="61">
        <v>92.313911000000004</v>
      </c>
      <c r="O194" s="61">
        <v>92.144699000000003</v>
      </c>
      <c r="P194" s="61">
        <v>93.053573999999998</v>
      </c>
      <c r="Q194" s="61">
        <v>93.832290999999998</v>
      </c>
      <c r="R194" s="61">
        <v>94.490677000000005</v>
      </c>
      <c r="S194" s="61">
        <v>94.379645999999994</v>
      </c>
      <c r="T194" s="61">
        <v>93.371071000000001</v>
      </c>
      <c r="U194" s="61">
        <v>93.427750000000003</v>
      </c>
      <c r="V194" s="61">
        <v>94.469397999999998</v>
      </c>
      <c r="W194" s="61">
        <v>95.436653000000007</v>
      </c>
      <c r="X194" s="61">
        <v>94.447777000000002</v>
      </c>
      <c r="Y194" s="61">
        <v>95.565262000000004</v>
      </c>
      <c r="Z194" s="61">
        <v>95.656715000000005</v>
      </c>
      <c r="AA194" s="61">
        <v>96.717101999999997</v>
      </c>
      <c r="AB194" s="61">
        <v>97.907416999999995</v>
      </c>
      <c r="AC194" s="61">
        <v>99.131247999999999</v>
      </c>
      <c r="AD194" s="61">
        <v>100.316681</v>
      </c>
      <c r="AE194" s="61">
        <v>101.572639</v>
      </c>
      <c r="AF194" s="61">
        <v>101.83339700000001</v>
      </c>
      <c r="AG194" s="61">
        <v>103.173096</v>
      </c>
      <c r="AH194" s="61">
        <v>101.468628</v>
      </c>
      <c r="AI194" s="61">
        <v>102.705147</v>
      </c>
      <c r="AJ194" s="61">
        <v>104.98970799999999</v>
      </c>
      <c r="AK194" s="62">
        <v>5.4730000000000004E-3</v>
      </c>
    </row>
    <row r="195" spans="1:37" ht="15" customHeight="1" x14ac:dyDescent="0.2">
      <c r="A195" s="57" t="s">
        <v>892</v>
      </c>
      <c r="B195" s="60" t="s">
        <v>761</v>
      </c>
      <c r="C195" s="61">
        <v>20</v>
      </c>
      <c r="D195" s="61">
        <v>20</v>
      </c>
      <c r="E195" s="61">
        <v>20</v>
      </c>
      <c r="F195" s="61">
        <v>20</v>
      </c>
      <c r="G195" s="61">
        <v>20</v>
      </c>
      <c r="H195" s="61">
        <v>19.999998000000001</v>
      </c>
      <c r="I195" s="61">
        <v>20</v>
      </c>
      <c r="J195" s="61">
        <v>20</v>
      </c>
      <c r="K195" s="61">
        <v>20</v>
      </c>
      <c r="L195" s="61">
        <v>20.000001999999999</v>
      </c>
      <c r="M195" s="61">
        <v>20</v>
      </c>
      <c r="N195" s="61">
        <v>19.942143999999999</v>
      </c>
      <c r="O195" s="61">
        <v>19.942146000000001</v>
      </c>
      <c r="P195" s="61">
        <v>19.809946</v>
      </c>
      <c r="Q195" s="61">
        <v>19.748094999999999</v>
      </c>
      <c r="R195" s="61">
        <v>19.748094999999999</v>
      </c>
      <c r="S195" s="61">
        <v>22.186631999999999</v>
      </c>
      <c r="T195" s="61">
        <v>25.636241999999999</v>
      </c>
      <c r="U195" s="61">
        <v>29.366447000000001</v>
      </c>
      <c r="V195" s="61">
        <v>32.394291000000003</v>
      </c>
      <c r="W195" s="61">
        <v>36.720989000000003</v>
      </c>
      <c r="X195" s="61">
        <v>40.281241999999999</v>
      </c>
      <c r="Y195" s="61">
        <v>45.182400000000001</v>
      </c>
      <c r="Z195" s="61">
        <v>50.381557000000001</v>
      </c>
      <c r="AA195" s="61">
        <v>55.801566999999999</v>
      </c>
      <c r="AB195" s="61">
        <v>61.506062</v>
      </c>
      <c r="AC195" s="61">
        <v>66.521568000000002</v>
      </c>
      <c r="AD195" s="61">
        <v>72.906188999999998</v>
      </c>
      <c r="AE195" s="61">
        <v>79.984604000000004</v>
      </c>
      <c r="AF195" s="61">
        <v>87.285911999999996</v>
      </c>
      <c r="AG195" s="61">
        <v>94.771209999999996</v>
      </c>
      <c r="AH195" s="61">
        <v>102.43235</v>
      </c>
      <c r="AI195" s="61">
        <v>110.356979</v>
      </c>
      <c r="AJ195" s="61">
        <v>118.511139</v>
      </c>
      <c r="AK195" s="62">
        <v>5.7176999999999999E-2</v>
      </c>
    </row>
    <row r="196" spans="1:37" ht="15" customHeight="1" x14ac:dyDescent="0.2">
      <c r="A196" s="57" t="s">
        <v>893</v>
      </c>
      <c r="B196" s="60" t="s">
        <v>766</v>
      </c>
      <c r="C196" s="61">
        <v>25</v>
      </c>
      <c r="D196" s="61">
        <v>25</v>
      </c>
      <c r="E196" s="61">
        <v>24.554976</v>
      </c>
      <c r="F196" s="61">
        <v>24.314357999999999</v>
      </c>
      <c r="G196" s="61">
        <v>24.275648</v>
      </c>
      <c r="H196" s="61">
        <v>24.275649999999999</v>
      </c>
      <c r="I196" s="61">
        <v>24.275648</v>
      </c>
      <c r="J196" s="61">
        <v>24.275648</v>
      </c>
      <c r="K196" s="61">
        <v>24.275648</v>
      </c>
      <c r="L196" s="61">
        <v>24.275649999999999</v>
      </c>
      <c r="M196" s="61">
        <v>24.275649999999999</v>
      </c>
      <c r="N196" s="61">
        <v>24.275649999999999</v>
      </c>
      <c r="O196" s="61">
        <v>24.275649999999999</v>
      </c>
      <c r="P196" s="61">
        <v>24.275649999999999</v>
      </c>
      <c r="Q196" s="61">
        <v>24.275649999999999</v>
      </c>
      <c r="R196" s="61">
        <v>24.273754</v>
      </c>
      <c r="S196" s="61">
        <v>24.330373999999999</v>
      </c>
      <c r="T196" s="61">
        <v>24.540527000000001</v>
      </c>
      <c r="U196" s="61">
        <v>24.681750999999998</v>
      </c>
      <c r="V196" s="61">
        <v>24.505566000000002</v>
      </c>
      <c r="W196" s="61">
        <v>24.651866999999999</v>
      </c>
      <c r="X196" s="61">
        <v>23.864028999999999</v>
      </c>
      <c r="Y196" s="61">
        <v>24.075323000000001</v>
      </c>
      <c r="Z196" s="61">
        <v>24.286276000000001</v>
      </c>
      <c r="AA196" s="61">
        <v>24.497949999999999</v>
      </c>
      <c r="AB196" s="61">
        <v>24.709976000000001</v>
      </c>
      <c r="AC196" s="61">
        <v>24.898315</v>
      </c>
      <c r="AD196" s="61">
        <v>25.131084000000001</v>
      </c>
      <c r="AE196" s="61">
        <v>25.339621999999999</v>
      </c>
      <c r="AF196" s="61">
        <v>25.547522000000001</v>
      </c>
      <c r="AG196" s="61">
        <v>25.751289</v>
      </c>
      <c r="AH196" s="61">
        <v>25.952551</v>
      </c>
      <c r="AI196" s="61">
        <v>26.150162000000002</v>
      </c>
      <c r="AJ196" s="61">
        <v>26.34271</v>
      </c>
      <c r="AK196" s="62">
        <v>1.6360000000000001E-3</v>
      </c>
    </row>
    <row r="197" spans="1:37" ht="15" customHeight="1" x14ac:dyDescent="0.2">
      <c r="A197" s="57" t="s">
        <v>894</v>
      </c>
      <c r="B197" s="59" t="s">
        <v>771</v>
      </c>
      <c r="C197" s="68">
        <v>2108.6979980000001</v>
      </c>
      <c r="D197" s="68">
        <v>2091.9499510000001</v>
      </c>
      <c r="E197" s="68">
        <v>2083.8945309999999</v>
      </c>
      <c r="F197" s="68">
        <v>2083.2382809999999</v>
      </c>
      <c r="G197" s="68">
        <v>2086.2124020000001</v>
      </c>
      <c r="H197" s="68">
        <v>2093.2971189999998</v>
      </c>
      <c r="I197" s="68">
        <v>2105.7490229999999</v>
      </c>
      <c r="J197" s="68">
        <v>2113.9677729999999</v>
      </c>
      <c r="K197" s="68">
        <v>2124.631836</v>
      </c>
      <c r="L197" s="68">
        <v>2136.4877929999998</v>
      </c>
      <c r="M197" s="68">
        <v>2144.3305660000001</v>
      </c>
      <c r="N197" s="68">
        <v>2142.1066890000002</v>
      </c>
      <c r="O197" s="68">
        <v>2148.7702640000002</v>
      </c>
      <c r="P197" s="68">
        <v>2159.3171390000002</v>
      </c>
      <c r="Q197" s="68">
        <v>2167.8671880000002</v>
      </c>
      <c r="R197" s="68">
        <v>2176.439453</v>
      </c>
      <c r="S197" s="68">
        <v>2194.0419919999999</v>
      </c>
      <c r="T197" s="68">
        <v>2207.7758789999998</v>
      </c>
      <c r="U197" s="68">
        <v>2222.7709960000002</v>
      </c>
      <c r="V197" s="68">
        <v>2234.3923340000001</v>
      </c>
      <c r="W197" s="68">
        <v>2251.1520999999998</v>
      </c>
      <c r="X197" s="68">
        <v>2264.936279</v>
      </c>
      <c r="Y197" s="68">
        <v>2278.814453</v>
      </c>
      <c r="Z197" s="68">
        <v>2299.5415039999998</v>
      </c>
      <c r="AA197" s="68">
        <v>2322.6123050000001</v>
      </c>
      <c r="AB197" s="68">
        <v>2347.6467290000001</v>
      </c>
      <c r="AC197" s="68">
        <v>2373.9196780000002</v>
      </c>
      <c r="AD197" s="68">
        <v>2400.9665530000002</v>
      </c>
      <c r="AE197" s="68">
        <v>2427.1091310000002</v>
      </c>
      <c r="AF197" s="68">
        <v>2453.1870119999999</v>
      </c>
      <c r="AG197" s="68">
        <v>2481.7297359999998</v>
      </c>
      <c r="AH197" s="68">
        <v>2504.6833499999998</v>
      </c>
      <c r="AI197" s="68">
        <v>2531.508789</v>
      </c>
      <c r="AJ197" s="68">
        <v>2560.3872070000002</v>
      </c>
      <c r="AK197" s="66">
        <v>6.3340000000000002E-3</v>
      </c>
    </row>
    <row r="198" spans="1:37" ht="15" customHeight="1" x14ac:dyDescent="0.2">
      <c r="B198" s="116" t="s">
        <v>895</v>
      </c>
      <c r="C198" s="117"/>
      <c r="D198" s="117"/>
      <c r="E198" s="117"/>
      <c r="F198" s="117"/>
      <c r="G198" s="117"/>
      <c r="H198" s="117"/>
      <c r="I198" s="117"/>
      <c r="J198" s="117"/>
      <c r="K198" s="117"/>
      <c r="L198" s="117"/>
      <c r="M198" s="117"/>
      <c r="N198" s="117"/>
      <c r="O198" s="117"/>
      <c r="P198" s="117"/>
      <c r="Q198" s="117"/>
      <c r="R198" s="117"/>
      <c r="S198" s="117"/>
      <c r="T198" s="117"/>
      <c r="U198" s="117"/>
      <c r="V198" s="117"/>
      <c r="W198" s="117"/>
      <c r="X198" s="117"/>
      <c r="Y198" s="117"/>
      <c r="Z198" s="117"/>
      <c r="AA198" s="117"/>
      <c r="AB198" s="117"/>
      <c r="AC198" s="117"/>
      <c r="AD198" s="117"/>
      <c r="AE198" s="117"/>
      <c r="AF198" s="117"/>
      <c r="AG198" s="117"/>
      <c r="AH198" s="117"/>
      <c r="AI198" s="117"/>
      <c r="AJ198" s="117"/>
      <c r="AK198" s="117"/>
    </row>
    <row r="199" spans="1:37" ht="15.75" customHeight="1" x14ac:dyDescent="0.2"/>
    <row r="200" spans="1:37" ht="15.75" customHeight="1" x14ac:dyDescent="0.2"/>
    <row r="201" spans="1:37" ht="15.75" customHeight="1" x14ac:dyDescent="0.2"/>
    <row r="202" spans="1:37" ht="15.75" customHeight="1" x14ac:dyDescent="0.2"/>
    <row r="203" spans="1:37" ht="15.75" customHeight="1" x14ac:dyDescent="0.2"/>
    <row r="204" spans="1:37" ht="15.75" customHeight="1" x14ac:dyDescent="0.2"/>
    <row r="205" spans="1:37" ht="15.75" customHeight="1" x14ac:dyDescent="0.2"/>
    <row r="206" spans="1:37" ht="15.75" customHeight="1" x14ac:dyDescent="0.2"/>
    <row r="207" spans="1:37" ht="15.75" customHeight="1" x14ac:dyDescent="0.2"/>
    <row r="208" spans="1:37"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
    <mergeCell ref="B198:AK198"/>
  </mergeCells>
  <pageMargins left="0.75" right="0.75" top="1" bottom="1" header="0" footer="0"/>
  <pageSetup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K1000"/>
  <sheetViews>
    <sheetView workbookViewId="0">
      <pane xSplit="2" ySplit="1" topLeftCell="C2" activePane="bottomRight" state="frozen"/>
      <selection pane="topRight" activeCell="C1" sqref="C1"/>
      <selection pane="bottomLeft" activeCell="A2" sqref="A2"/>
      <selection pane="bottomRight" activeCell="C2" sqref="C2"/>
    </sheetView>
  </sheetViews>
  <sheetFormatPr baseColWidth="10" defaultColWidth="14.5" defaultRowHeight="15" customHeight="1" x14ac:dyDescent="0.2"/>
  <cols>
    <col min="1" max="1" width="20.83203125" hidden="1" customWidth="1"/>
    <col min="2" max="2" width="45.6640625" customWidth="1"/>
    <col min="3" max="37" width="8.6640625" customWidth="1"/>
  </cols>
  <sheetData>
    <row r="1" spans="1:37" ht="15" customHeight="1" x14ac:dyDescent="0.2">
      <c r="B1" s="54" t="s">
        <v>296</v>
      </c>
      <c r="C1" s="55">
        <v>2017</v>
      </c>
      <c r="D1" s="55">
        <v>2018</v>
      </c>
      <c r="E1" s="55">
        <v>2019</v>
      </c>
      <c r="F1" s="55">
        <v>2020</v>
      </c>
      <c r="G1" s="55">
        <v>2021</v>
      </c>
      <c r="H1" s="55">
        <v>2022</v>
      </c>
      <c r="I1" s="55">
        <v>2023</v>
      </c>
      <c r="J1" s="55">
        <v>2024</v>
      </c>
      <c r="K1" s="55">
        <v>2025</v>
      </c>
      <c r="L1" s="55">
        <v>2026</v>
      </c>
      <c r="M1" s="55">
        <v>2027</v>
      </c>
      <c r="N1" s="55">
        <v>2028</v>
      </c>
      <c r="O1" s="55">
        <v>2029</v>
      </c>
      <c r="P1" s="55">
        <v>2030</v>
      </c>
      <c r="Q1" s="55">
        <v>2031</v>
      </c>
      <c r="R1" s="55">
        <v>2032</v>
      </c>
      <c r="S1" s="55">
        <v>2033</v>
      </c>
      <c r="T1" s="55">
        <v>2034</v>
      </c>
      <c r="U1" s="55">
        <v>2035</v>
      </c>
      <c r="V1" s="55">
        <v>2036</v>
      </c>
      <c r="W1" s="55">
        <v>2037</v>
      </c>
      <c r="X1" s="55">
        <v>2038</v>
      </c>
      <c r="Y1" s="55">
        <v>2039</v>
      </c>
      <c r="Z1" s="55">
        <v>2040</v>
      </c>
      <c r="AA1" s="55">
        <v>2041</v>
      </c>
      <c r="AB1" s="55">
        <v>2042</v>
      </c>
      <c r="AC1" s="55">
        <v>2043</v>
      </c>
      <c r="AD1" s="55">
        <v>2044</v>
      </c>
      <c r="AE1" s="55">
        <v>2045</v>
      </c>
      <c r="AF1" s="55">
        <v>2046</v>
      </c>
      <c r="AG1" s="55">
        <v>2047</v>
      </c>
      <c r="AH1" s="55">
        <v>2048</v>
      </c>
      <c r="AI1" s="55">
        <v>2049</v>
      </c>
      <c r="AJ1" s="55">
        <v>2050</v>
      </c>
    </row>
    <row r="3" spans="1:37" ht="15" customHeight="1" x14ac:dyDescent="0.2">
      <c r="C3" s="56" t="s">
        <v>297</v>
      </c>
      <c r="D3" s="56" t="s">
        <v>298</v>
      </c>
      <c r="E3" s="56"/>
      <c r="F3" s="56"/>
      <c r="G3" s="56"/>
    </row>
    <row r="4" spans="1:37" ht="15" customHeight="1" x14ac:dyDescent="0.2">
      <c r="C4" s="56" t="s">
        <v>299</v>
      </c>
      <c r="D4" s="56" t="s">
        <v>300</v>
      </c>
      <c r="E4" s="56"/>
      <c r="F4" s="56"/>
      <c r="G4" s="56" t="s">
        <v>301</v>
      </c>
    </row>
    <row r="5" spans="1:37" ht="15" customHeight="1" x14ac:dyDescent="0.2">
      <c r="C5" s="56" t="s">
        <v>302</v>
      </c>
      <c r="D5" s="56" t="s">
        <v>303</v>
      </c>
      <c r="E5" s="56"/>
      <c r="F5" s="56"/>
      <c r="G5" s="56"/>
    </row>
    <row r="6" spans="1:37" ht="15" customHeight="1" x14ac:dyDescent="0.2">
      <c r="C6" s="56" t="s">
        <v>304</v>
      </c>
      <c r="D6" s="56"/>
      <c r="E6" s="56" t="s">
        <v>305</v>
      </c>
      <c r="F6" s="56"/>
      <c r="G6" s="56"/>
    </row>
    <row r="10" spans="1:37" ht="15" customHeight="1" x14ac:dyDescent="0.2">
      <c r="A10" s="57" t="s">
        <v>896</v>
      </c>
      <c r="B10" s="58" t="s">
        <v>897</v>
      </c>
    </row>
    <row r="11" spans="1:37" ht="15" customHeight="1" x14ac:dyDescent="0.2">
      <c r="B11" s="54" t="s">
        <v>308</v>
      </c>
    </row>
    <row r="12" spans="1:37" ht="15" customHeight="1" x14ac:dyDescent="0.2">
      <c r="B12" s="54" t="s">
        <v>308</v>
      </c>
      <c r="C12" s="4" t="s">
        <v>308</v>
      </c>
      <c r="D12" s="4" t="s">
        <v>308</v>
      </c>
      <c r="E12" s="4" t="s">
        <v>308</v>
      </c>
      <c r="F12" s="4" t="s">
        <v>308</v>
      </c>
      <c r="G12" s="4" t="s">
        <v>308</v>
      </c>
      <c r="H12" s="4" t="s">
        <v>308</v>
      </c>
      <c r="I12" s="4" t="s">
        <v>308</v>
      </c>
      <c r="J12" s="4" t="s">
        <v>308</v>
      </c>
      <c r="K12" s="4" t="s">
        <v>308</v>
      </c>
      <c r="L12" s="4" t="s">
        <v>308</v>
      </c>
      <c r="M12" s="4" t="s">
        <v>308</v>
      </c>
      <c r="N12" s="4" t="s">
        <v>308</v>
      </c>
      <c r="O12" s="4" t="s">
        <v>308</v>
      </c>
      <c r="P12" s="4" t="s">
        <v>308</v>
      </c>
      <c r="Q12" s="4" t="s">
        <v>308</v>
      </c>
      <c r="R12" s="4" t="s">
        <v>308</v>
      </c>
      <c r="S12" s="4" t="s">
        <v>308</v>
      </c>
      <c r="T12" s="4" t="s">
        <v>308</v>
      </c>
      <c r="U12" s="4" t="s">
        <v>308</v>
      </c>
      <c r="V12" s="4" t="s">
        <v>308</v>
      </c>
      <c r="W12" s="4" t="s">
        <v>308</v>
      </c>
      <c r="X12" s="4" t="s">
        <v>308</v>
      </c>
      <c r="Y12" s="4" t="s">
        <v>308</v>
      </c>
      <c r="Z12" s="4" t="s">
        <v>308</v>
      </c>
      <c r="AA12" s="4" t="s">
        <v>308</v>
      </c>
      <c r="AB12" s="4" t="s">
        <v>308</v>
      </c>
      <c r="AC12" s="4" t="s">
        <v>308</v>
      </c>
      <c r="AD12" s="4" t="s">
        <v>308</v>
      </c>
      <c r="AE12" s="4" t="s">
        <v>308</v>
      </c>
      <c r="AF12" s="4" t="s">
        <v>308</v>
      </c>
      <c r="AG12" s="4" t="s">
        <v>308</v>
      </c>
      <c r="AH12" s="4" t="s">
        <v>308</v>
      </c>
      <c r="AI12" s="4" t="s">
        <v>308</v>
      </c>
      <c r="AJ12" s="4" t="s">
        <v>308</v>
      </c>
      <c r="AK12" s="4" t="s">
        <v>309</v>
      </c>
    </row>
    <row r="13" spans="1:37" ht="15" customHeight="1" x14ac:dyDescent="0.2">
      <c r="B13" s="55" t="s">
        <v>898</v>
      </c>
      <c r="C13" s="55">
        <v>2017</v>
      </c>
      <c r="D13" s="55">
        <v>2018</v>
      </c>
      <c r="E13" s="55">
        <v>2019</v>
      </c>
      <c r="F13" s="55">
        <v>2020</v>
      </c>
      <c r="G13" s="55">
        <v>2021</v>
      </c>
      <c r="H13" s="55">
        <v>2022</v>
      </c>
      <c r="I13" s="55">
        <v>2023</v>
      </c>
      <c r="J13" s="55">
        <v>2024</v>
      </c>
      <c r="K13" s="55">
        <v>2025</v>
      </c>
      <c r="L13" s="55">
        <v>2026</v>
      </c>
      <c r="M13" s="55">
        <v>2027</v>
      </c>
      <c r="N13" s="55">
        <v>2028</v>
      </c>
      <c r="O13" s="55">
        <v>2029</v>
      </c>
      <c r="P13" s="55">
        <v>2030</v>
      </c>
      <c r="Q13" s="55">
        <v>2031</v>
      </c>
      <c r="R13" s="55">
        <v>2032</v>
      </c>
      <c r="S13" s="55">
        <v>2033</v>
      </c>
      <c r="T13" s="55">
        <v>2034</v>
      </c>
      <c r="U13" s="55">
        <v>2035</v>
      </c>
      <c r="V13" s="55">
        <v>2036</v>
      </c>
      <c r="W13" s="55">
        <v>2037</v>
      </c>
      <c r="X13" s="55">
        <v>2038</v>
      </c>
      <c r="Y13" s="55">
        <v>2039</v>
      </c>
      <c r="Z13" s="55">
        <v>2040</v>
      </c>
      <c r="AA13" s="55">
        <v>2041</v>
      </c>
      <c r="AB13" s="55">
        <v>2042</v>
      </c>
      <c r="AC13" s="55">
        <v>2043</v>
      </c>
      <c r="AD13" s="55">
        <v>2044</v>
      </c>
      <c r="AE13" s="55">
        <v>2045</v>
      </c>
      <c r="AF13" s="55">
        <v>2046</v>
      </c>
      <c r="AG13" s="55">
        <v>2047</v>
      </c>
      <c r="AH13" s="55">
        <v>2048</v>
      </c>
      <c r="AI13" s="55">
        <v>2049</v>
      </c>
      <c r="AJ13" s="55">
        <v>2050</v>
      </c>
      <c r="AK13" s="55">
        <v>2050</v>
      </c>
    </row>
    <row r="15" spans="1:37" ht="15" customHeight="1" x14ac:dyDescent="0.2">
      <c r="B15" s="59" t="s">
        <v>899</v>
      </c>
    </row>
    <row r="17" spans="1:37" ht="15" customHeight="1" x14ac:dyDescent="0.2">
      <c r="B17" s="59" t="s">
        <v>900</v>
      </c>
    </row>
    <row r="18" spans="1:37" ht="15" customHeight="1" x14ac:dyDescent="0.2">
      <c r="B18" s="59" t="s">
        <v>901</v>
      </c>
    </row>
    <row r="19" spans="1:37" ht="15" customHeight="1" x14ac:dyDescent="0.2">
      <c r="A19" s="57" t="s">
        <v>902</v>
      </c>
      <c r="B19" s="60" t="s">
        <v>903</v>
      </c>
      <c r="C19" s="63">
        <v>42.075297999999997</v>
      </c>
      <c r="D19" s="63">
        <v>43.455112</v>
      </c>
      <c r="E19" s="63">
        <v>44.728577000000001</v>
      </c>
      <c r="F19" s="63">
        <v>45.658870999999998</v>
      </c>
      <c r="G19" s="63">
        <v>46.618397000000002</v>
      </c>
      <c r="H19" s="63">
        <v>47.275356000000002</v>
      </c>
      <c r="I19" s="63">
        <v>47.997107999999997</v>
      </c>
      <c r="J19" s="63">
        <v>48.771008000000002</v>
      </c>
      <c r="K19" s="63">
        <v>49.546593000000001</v>
      </c>
      <c r="L19" s="63">
        <v>50.316032</v>
      </c>
      <c r="M19" s="63">
        <v>50.987934000000003</v>
      </c>
      <c r="N19" s="63">
        <v>51.903038000000002</v>
      </c>
      <c r="O19" s="63">
        <v>52.716656</v>
      </c>
      <c r="P19" s="63">
        <v>53.587566000000002</v>
      </c>
      <c r="Q19" s="63">
        <v>54.584560000000003</v>
      </c>
      <c r="R19" s="63">
        <v>55.460884</v>
      </c>
      <c r="S19" s="63">
        <v>56.387329000000001</v>
      </c>
      <c r="T19" s="63">
        <v>57.261940000000003</v>
      </c>
      <c r="U19" s="63">
        <v>58.136837</v>
      </c>
      <c r="V19" s="63">
        <v>58.948883000000002</v>
      </c>
      <c r="W19" s="63">
        <v>59.738219999999998</v>
      </c>
      <c r="X19" s="63">
        <v>60.464199000000001</v>
      </c>
      <c r="Y19" s="63">
        <v>60.988906999999998</v>
      </c>
      <c r="Z19" s="63">
        <v>61.606876</v>
      </c>
      <c r="AA19" s="63">
        <v>62.004455999999998</v>
      </c>
      <c r="AB19" s="63">
        <v>62.342419</v>
      </c>
      <c r="AC19" s="63">
        <v>62.590209999999999</v>
      </c>
      <c r="AD19" s="63">
        <v>62.828491</v>
      </c>
      <c r="AE19" s="63">
        <v>63.094439999999999</v>
      </c>
      <c r="AF19" s="63">
        <v>63.383113999999999</v>
      </c>
      <c r="AG19" s="63">
        <v>63.675308000000001</v>
      </c>
      <c r="AH19" s="63">
        <v>63.939548000000002</v>
      </c>
      <c r="AI19" s="63">
        <v>64.226821999999999</v>
      </c>
      <c r="AJ19" s="63">
        <v>64.508690000000001</v>
      </c>
      <c r="AK19" s="62">
        <v>1.2423E-2</v>
      </c>
    </row>
    <row r="20" spans="1:37" ht="15" customHeight="1" x14ac:dyDescent="0.2">
      <c r="A20" s="57" t="s">
        <v>904</v>
      </c>
      <c r="B20" s="60" t="s">
        <v>905</v>
      </c>
      <c r="C20" s="63">
        <v>12.255579000000001</v>
      </c>
      <c r="D20" s="63">
        <v>12.535569000000001</v>
      </c>
      <c r="E20" s="63">
        <v>12.812498</v>
      </c>
      <c r="F20" s="63">
        <v>13.053269</v>
      </c>
      <c r="G20" s="63">
        <v>13.355238999999999</v>
      </c>
      <c r="H20" s="63">
        <v>13.609610999999999</v>
      </c>
      <c r="I20" s="63">
        <v>13.906643000000001</v>
      </c>
      <c r="J20" s="63">
        <v>14.236898</v>
      </c>
      <c r="K20" s="63">
        <v>14.592454</v>
      </c>
      <c r="L20" s="63">
        <v>14.980027</v>
      </c>
      <c r="M20" s="63">
        <v>15.352679999999999</v>
      </c>
      <c r="N20" s="63">
        <v>15.78618</v>
      </c>
      <c r="O20" s="63">
        <v>16.236225000000001</v>
      </c>
      <c r="P20" s="63">
        <v>16.710699000000002</v>
      </c>
      <c r="Q20" s="63">
        <v>17.243137000000001</v>
      </c>
      <c r="R20" s="63">
        <v>17.792576</v>
      </c>
      <c r="S20" s="63">
        <v>18.415472000000001</v>
      </c>
      <c r="T20" s="63">
        <v>19.036632999999998</v>
      </c>
      <c r="U20" s="63">
        <v>19.694873999999999</v>
      </c>
      <c r="V20" s="63">
        <v>20.389938000000001</v>
      </c>
      <c r="W20" s="63">
        <v>21.088638</v>
      </c>
      <c r="X20" s="63">
        <v>21.776547999999998</v>
      </c>
      <c r="Y20" s="63">
        <v>22.391943000000001</v>
      </c>
      <c r="Z20" s="63">
        <v>23.066680999999999</v>
      </c>
      <c r="AA20" s="63">
        <v>23.656898000000002</v>
      </c>
      <c r="AB20" s="63">
        <v>24.222567000000002</v>
      </c>
      <c r="AC20" s="63">
        <v>24.761787000000002</v>
      </c>
      <c r="AD20" s="63">
        <v>25.308067000000001</v>
      </c>
      <c r="AE20" s="63">
        <v>25.883887999999999</v>
      </c>
      <c r="AF20" s="63">
        <v>26.480433000000001</v>
      </c>
      <c r="AG20" s="63">
        <v>27.104047999999999</v>
      </c>
      <c r="AH20" s="63">
        <v>27.732412</v>
      </c>
      <c r="AI20" s="63">
        <v>28.377109999999998</v>
      </c>
      <c r="AJ20" s="63">
        <v>29.030287000000001</v>
      </c>
      <c r="AK20" s="62">
        <v>2.6589999999999999E-2</v>
      </c>
    </row>
    <row r="21" spans="1:37" ht="15" customHeight="1" x14ac:dyDescent="0.2">
      <c r="A21" s="57" t="s">
        <v>906</v>
      </c>
      <c r="B21" s="60" t="s">
        <v>907</v>
      </c>
      <c r="C21" s="63">
        <v>1.2390000000000001E-3</v>
      </c>
      <c r="D21" s="63">
        <v>6.0260000000000001E-3</v>
      </c>
      <c r="E21" s="63">
        <v>1.1131E-2</v>
      </c>
      <c r="F21" s="63">
        <v>1.6081000000000002E-2</v>
      </c>
      <c r="G21" s="63">
        <v>2.0892999999999998E-2</v>
      </c>
      <c r="H21" s="63">
        <v>2.5420999999999999E-2</v>
      </c>
      <c r="I21" s="63">
        <v>2.9988000000000001E-2</v>
      </c>
      <c r="J21" s="63">
        <v>3.4610000000000002E-2</v>
      </c>
      <c r="K21" s="63">
        <v>3.9279000000000001E-2</v>
      </c>
      <c r="L21" s="63">
        <v>4.4033000000000003E-2</v>
      </c>
      <c r="M21" s="63">
        <v>4.8800000000000003E-2</v>
      </c>
      <c r="N21" s="63">
        <v>5.3915999999999999E-2</v>
      </c>
      <c r="O21" s="63">
        <v>5.9069999999999998E-2</v>
      </c>
      <c r="P21" s="63">
        <v>6.4415E-2</v>
      </c>
      <c r="Q21" s="63">
        <v>6.9986999999999994E-2</v>
      </c>
      <c r="R21" s="63">
        <v>7.5785000000000005E-2</v>
      </c>
      <c r="S21" s="63">
        <v>8.1709000000000004E-2</v>
      </c>
      <c r="T21" s="63">
        <v>8.7723999999999996E-2</v>
      </c>
      <c r="U21" s="63">
        <v>9.4024999999999997E-2</v>
      </c>
      <c r="V21" s="63">
        <v>0.100534</v>
      </c>
      <c r="W21" s="63">
        <v>0.107255</v>
      </c>
      <c r="X21" s="63">
        <v>0.114191</v>
      </c>
      <c r="Y21" s="63">
        <v>0.120993</v>
      </c>
      <c r="Z21" s="63">
        <v>0.128055</v>
      </c>
      <c r="AA21" s="63">
        <v>0.13505</v>
      </c>
      <c r="AB21" s="63">
        <v>0.14199300000000001</v>
      </c>
      <c r="AC21" s="63">
        <v>0.14883399999999999</v>
      </c>
      <c r="AD21" s="63">
        <v>0.156024</v>
      </c>
      <c r="AE21" s="63">
        <v>0.16372600000000001</v>
      </c>
      <c r="AF21" s="63">
        <v>0.17177700000000001</v>
      </c>
      <c r="AG21" s="63">
        <v>0.180177</v>
      </c>
      <c r="AH21" s="63">
        <v>0.18911700000000001</v>
      </c>
      <c r="AI21" s="63">
        <v>0.19853199999999999</v>
      </c>
      <c r="AJ21" s="63">
        <v>0.208592</v>
      </c>
      <c r="AK21" s="62">
        <v>0.117123</v>
      </c>
    </row>
    <row r="22" spans="1:37" ht="15" customHeight="1" x14ac:dyDescent="0.2">
      <c r="A22" s="57" t="s">
        <v>908</v>
      </c>
      <c r="B22" s="60" t="s">
        <v>909</v>
      </c>
      <c r="C22" s="63">
        <v>1.65E-4</v>
      </c>
      <c r="D22" s="63">
        <v>3.2980000000000002E-3</v>
      </c>
      <c r="E22" s="63">
        <v>6.5329999999999997E-3</v>
      </c>
      <c r="F22" s="63">
        <v>9.5770000000000004E-3</v>
      </c>
      <c r="G22" s="63">
        <v>1.2496E-2</v>
      </c>
      <c r="H22" s="63">
        <v>1.5218000000000001E-2</v>
      </c>
      <c r="I22" s="63">
        <v>1.7956E-2</v>
      </c>
      <c r="J22" s="63">
        <v>2.0785000000000001E-2</v>
      </c>
      <c r="K22" s="63">
        <v>2.3719E-2</v>
      </c>
      <c r="L22" s="63">
        <v>2.6800000000000001E-2</v>
      </c>
      <c r="M22" s="63">
        <v>3.0006000000000001E-2</v>
      </c>
      <c r="N22" s="63">
        <v>3.3586999999999999E-2</v>
      </c>
      <c r="O22" s="63">
        <v>3.7324999999999997E-2</v>
      </c>
      <c r="P22" s="63">
        <v>4.1412999999999998E-2</v>
      </c>
      <c r="Q22" s="63">
        <v>4.5920999999999997E-2</v>
      </c>
      <c r="R22" s="63">
        <v>5.0840999999999997E-2</v>
      </c>
      <c r="S22" s="63">
        <v>5.6348000000000002E-2</v>
      </c>
      <c r="T22" s="63">
        <v>6.2446000000000002E-2</v>
      </c>
      <c r="U22" s="63">
        <v>6.9223999999999994E-2</v>
      </c>
      <c r="V22" s="63">
        <v>7.6748999999999998E-2</v>
      </c>
      <c r="W22" s="63">
        <v>8.5114999999999996E-2</v>
      </c>
      <c r="X22" s="63">
        <v>9.4444E-2</v>
      </c>
      <c r="Y22" s="63">
        <v>0.104577</v>
      </c>
      <c r="Z22" s="63">
        <v>0.11600000000000001</v>
      </c>
      <c r="AA22" s="63">
        <v>0.12854699999999999</v>
      </c>
      <c r="AB22" s="63">
        <v>0.142316</v>
      </c>
      <c r="AC22" s="63">
        <v>0.157383</v>
      </c>
      <c r="AD22" s="63">
        <v>0.174401</v>
      </c>
      <c r="AE22" s="63">
        <v>0.19375500000000001</v>
      </c>
      <c r="AF22" s="63">
        <v>0.21545400000000001</v>
      </c>
      <c r="AG22" s="63">
        <v>0.239702</v>
      </c>
      <c r="AH22" s="63">
        <v>0.26700600000000002</v>
      </c>
      <c r="AI22" s="63">
        <v>0.297458</v>
      </c>
      <c r="AJ22" s="63">
        <v>0.33146700000000001</v>
      </c>
      <c r="AK22" s="62">
        <v>0.15496099999999999</v>
      </c>
    </row>
    <row r="23" spans="1:37" ht="15" customHeight="1" x14ac:dyDescent="0.2">
      <c r="A23" s="57" t="s">
        <v>910</v>
      </c>
      <c r="B23" s="60" t="s">
        <v>911</v>
      </c>
      <c r="C23" s="63">
        <v>3.0713409999999999</v>
      </c>
      <c r="D23" s="63">
        <v>3.4767139999999999</v>
      </c>
      <c r="E23" s="63">
        <v>3.8645529999999999</v>
      </c>
      <c r="F23" s="63">
        <v>4.2209450000000004</v>
      </c>
      <c r="G23" s="63">
        <v>4.5733180000000004</v>
      </c>
      <c r="H23" s="63">
        <v>4.8937119999999998</v>
      </c>
      <c r="I23" s="63">
        <v>5.2184189999999999</v>
      </c>
      <c r="J23" s="63">
        <v>5.5478209999999999</v>
      </c>
      <c r="K23" s="63">
        <v>5.8890739999999999</v>
      </c>
      <c r="L23" s="63">
        <v>6.2470970000000001</v>
      </c>
      <c r="M23" s="63">
        <v>6.6080290000000002</v>
      </c>
      <c r="N23" s="63">
        <v>7.0144169999999999</v>
      </c>
      <c r="O23" s="63">
        <v>7.4297360000000001</v>
      </c>
      <c r="P23" s="63">
        <v>7.8772520000000004</v>
      </c>
      <c r="Q23" s="63">
        <v>8.3481679999999994</v>
      </c>
      <c r="R23" s="63">
        <v>8.8376760000000001</v>
      </c>
      <c r="S23" s="63">
        <v>9.3543859999999999</v>
      </c>
      <c r="T23" s="63">
        <v>9.8679100000000002</v>
      </c>
      <c r="U23" s="63">
        <v>10.394655</v>
      </c>
      <c r="V23" s="63">
        <v>10.939639</v>
      </c>
      <c r="W23" s="63">
        <v>11.506719</v>
      </c>
      <c r="X23" s="63">
        <v>12.081875999999999</v>
      </c>
      <c r="Y23" s="63">
        <v>12.684866</v>
      </c>
      <c r="Z23" s="63">
        <v>13.34094</v>
      </c>
      <c r="AA23" s="63">
        <v>14.010035999999999</v>
      </c>
      <c r="AB23" s="63">
        <v>14.69946</v>
      </c>
      <c r="AC23" s="63">
        <v>15.395848000000001</v>
      </c>
      <c r="AD23" s="63">
        <v>16.125392999999999</v>
      </c>
      <c r="AE23" s="63">
        <v>16.914909000000002</v>
      </c>
      <c r="AF23" s="63">
        <v>17.729369999999999</v>
      </c>
      <c r="AG23" s="63">
        <v>18.596626000000001</v>
      </c>
      <c r="AH23" s="63">
        <v>19.486349000000001</v>
      </c>
      <c r="AI23" s="63">
        <v>20.435759999999998</v>
      </c>
      <c r="AJ23" s="63">
        <v>21.418610000000001</v>
      </c>
      <c r="AK23" s="62">
        <v>5.8463000000000001E-2</v>
      </c>
    </row>
    <row r="24" spans="1:37" ht="15" customHeight="1" x14ac:dyDescent="0.2">
      <c r="A24" s="57" t="s">
        <v>912</v>
      </c>
      <c r="B24" s="60" t="s">
        <v>913</v>
      </c>
      <c r="C24" s="63">
        <v>1.3990000000000001E-3</v>
      </c>
      <c r="D24" s="63">
        <v>2.8830000000000001E-2</v>
      </c>
      <c r="E24" s="63">
        <v>5.8020000000000002E-2</v>
      </c>
      <c r="F24" s="63">
        <v>8.8969000000000006E-2</v>
      </c>
      <c r="G24" s="63">
        <v>0.121477</v>
      </c>
      <c r="H24" s="63">
        <v>0.15393999999999999</v>
      </c>
      <c r="I24" s="63">
        <v>0.187366</v>
      </c>
      <c r="J24" s="63">
        <v>0.22148399999999999</v>
      </c>
      <c r="K24" s="63">
        <v>0.256027</v>
      </c>
      <c r="L24" s="63">
        <v>0.29106599999999999</v>
      </c>
      <c r="M24" s="63">
        <v>0.32602199999999998</v>
      </c>
      <c r="N24" s="63">
        <v>0.36294399999999999</v>
      </c>
      <c r="O24" s="63">
        <v>0.39983000000000002</v>
      </c>
      <c r="P24" s="63">
        <v>0.437834</v>
      </c>
      <c r="Q24" s="63">
        <v>0.47723700000000002</v>
      </c>
      <c r="R24" s="63">
        <v>0.51775000000000004</v>
      </c>
      <c r="S24" s="63">
        <v>0.56028900000000004</v>
      </c>
      <c r="T24" s="63">
        <v>0.60431400000000002</v>
      </c>
      <c r="U24" s="63">
        <v>0.65037999999999996</v>
      </c>
      <c r="V24" s="63">
        <v>0.698654</v>
      </c>
      <c r="W24" s="63">
        <v>0.74842799999999998</v>
      </c>
      <c r="X24" s="63">
        <v>0.79957199999999995</v>
      </c>
      <c r="Y24" s="63">
        <v>0.850881</v>
      </c>
      <c r="Z24" s="63">
        <v>0.90485800000000005</v>
      </c>
      <c r="AA24" s="63">
        <v>0.95766300000000004</v>
      </c>
      <c r="AB24" s="63">
        <v>1.0096620000000001</v>
      </c>
      <c r="AC24" s="63">
        <v>1.060387</v>
      </c>
      <c r="AD24" s="63">
        <v>1.1131059999999999</v>
      </c>
      <c r="AE24" s="63">
        <v>1.1691830000000001</v>
      </c>
      <c r="AF24" s="63">
        <v>1.227225</v>
      </c>
      <c r="AG24" s="63">
        <v>1.28749</v>
      </c>
      <c r="AH24" s="63">
        <v>1.351893</v>
      </c>
      <c r="AI24" s="63">
        <v>1.4198029999999999</v>
      </c>
      <c r="AJ24" s="63">
        <v>1.492615</v>
      </c>
      <c r="AK24" s="62">
        <v>0.131269</v>
      </c>
    </row>
    <row r="25" spans="1:37" ht="15" customHeight="1" x14ac:dyDescent="0.2">
      <c r="A25" s="57" t="s">
        <v>914</v>
      </c>
      <c r="B25" s="60" t="s">
        <v>915</v>
      </c>
      <c r="C25" s="63">
        <v>0</v>
      </c>
      <c r="D25" s="63">
        <v>0</v>
      </c>
      <c r="E25" s="63">
        <v>0</v>
      </c>
      <c r="F25" s="63">
        <v>5.9319999999999998E-3</v>
      </c>
      <c r="G25" s="63">
        <v>1.2108000000000001E-2</v>
      </c>
      <c r="H25" s="63">
        <v>1.8540999999999998E-2</v>
      </c>
      <c r="I25" s="63">
        <v>2.5329000000000001E-2</v>
      </c>
      <c r="J25" s="63">
        <v>3.2386999999999999E-2</v>
      </c>
      <c r="K25" s="63">
        <v>3.9631E-2</v>
      </c>
      <c r="L25" s="63">
        <v>4.7039999999999998E-2</v>
      </c>
      <c r="M25" s="63">
        <v>5.4483999999999998E-2</v>
      </c>
      <c r="N25" s="63">
        <v>6.2285E-2</v>
      </c>
      <c r="O25" s="63">
        <v>7.0086999999999997E-2</v>
      </c>
      <c r="P25" s="63">
        <v>7.8076000000000007E-2</v>
      </c>
      <c r="Q25" s="63">
        <v>8.6289000000000005E-2</v>
      </c>
      <c r="R25" s="63">
        <v>9.4656000000000004E-2</v>
      </c>
      <c r="S25" s="63">
        <v>0.103348</v>
      </c>
      <c r="T25" s="63">
        <v>0.112264</v>
      </c>
      <c r="U25" s="63">
        <v>0.121502</v>
      </c>
      <c r="V25" s="63">
        <v>0.131102</v>
      </c>
      <c r="W25" s="63">
        <v>0.141092</v>
      </c>
      <c r="X25" s="63">
        <v>0.15149599999999999</v>
      </c>
      <c r="Y25" s="63">
        <v>0.161935</v>
      </c>
      <c r="Z25" s="63">
        <v>0.17286199999999999</v>
      </c>
      <c r="AA25" s="63">
        <v>0.18379400000000001</v>
      </c>
      <c r="AB25" s="63">
        <v>0.19472900000000001</v>
      </c>
      <c r="AC25" s="63">
        <v>0.20527599999999999</v>
      </c>
      <c r="AD25" s="63">
        <v>0.216085</v>
      </c>
      <c r="AE25" s="63">
        <v>0.227439</v>
      </c>
      <c r="AF25" s="63">
        <v>0.239096</v>
      </c>
      <c r="AG25" s="63">
        <v>0.25112400000000001</v>
      </c>
      <c r="AH25" s="63">
        <v>0.26384099999999999</v>
      </c>
      <c r="AI25" s="63">
        <v>0.27714800000000001</v>
      </c>
      <c r="AJ25" s="63">
        <v>0.29109000000000002</v>
      </c>
      <c r="AK25" s="62" t="s">
        <v>467</v>
      </c>
    </row>
    <row r="26" spans="1:37" ht="15" customHeight="1" x14ac:dyDescent="0.2">
      <c r="A26" s="57" t="s">
        <v>916</v>
      </c>
      <c r="B26" s="60" t="s">
        <v>917</v>
      </c>
      <c r="C26" s="63">
        <v>0</v>
      </c>
      <c r="D26" s="63">
        <v>0</v>
      </c>
      <c r="E26" s="63">
        <v>0</v>
      </c>
      <c r="F26" s="63">
        <v>5.4019999999999997E-3</v>
      </c>
      <c r="G26" s="63">
        <v>1.1025E-2</v>
      </c>
      <c r="H26" s="63">
        <v>1.6884E-2</v>
      </c>
      <c r="I26" s="63">
        <v>2.3066E-2</v>
      </c>
      <c r="J26" s="63">
        <v>2.9492000000000001E-2</v>
      </c>
      <c r="K26" s="63">
        <v>3.6089000000000003E-2</v>
      </c>
      <c r="L26" s="63">
        <v>4.2835999999999999E-2</v>
      </c>
      <c r="M26" s="63">
        <v>4.9613999999999998E-2</v>
      </c>
      <c r="N26" s="63">
        <v>5.6718999999999999E-2</v>
      </c>
      <c r="O26" s="63">
        <v>6.3823000000000005E-2</v>
      </c>
      <c r="P26" s="63">
        <v>7.1097999999999995E-2</v>
      </c>
      <c r="Q26" s="63">
        <v>7.8577999999999995E-2</v>
      </c>
      <c r="R26" s="63">
        <v>8.6195999999999995E-2</v>
      </c>
      <c r="S26" s="63">
        <v>9.4112000000000001E-2</v>
      </c>
      <c r="T26" s="63">
        <v>0.102231</v>
      </c>
      <c r="U26" s="63">
        <v>0.11064300000000001</v>
      </c>
      <c r="V26" s="63">
        <v>0.11938600000000001</v>
      </c>
      <c r="W26" s="63">
        <v>0.12848300000000001</v>
      </c>
      <c r="X26" s="63">
        <v>0.137957</v>
      </c>
      <c r="Y26" s="63">
        <v>0.14746300000000001</v>
      </c>
      <c r="Z26" s="63">
        <v>0.157414</v>
      </c>
      <c r="AA26" s="63">
        <v>0.16736799999999999</v>
      </c>
      <c r="AB26" s="63">
        <v>0.17732600000000001</v>
      </c>
      <c r="AC26" s="63">
        <v>0.18693100000000001</v>
      </c>
      <c r="AD26" s="63">
        <v>0.196774</v>
      </c>
      <c r="AE26" s="63">
        <v>0.20711299999999999</v>
      </c>
      <c r="AF26" s="63">
        <v>0.217728</v>
      </c>
      <c r="AG26" s="63">
        <v>0.228681</v>
      </c>
      <c r="AH26" s="63">
        <v>0.240262</v>
      </c>
      <c r="AI26" s="63">
        <v>0.25237900000000002</v>
      </c>
      <c r="AJ26" s="63">
        <v>0.26507599999999998</v>
      </c>
      <c r="AK26" s="62" t="s">
        <v>467</v>
      </c>
    </row>
    <row r="27" spans="1:37" ht="15" customHeight="1" x14ac:dyDescent="0.2">
      <c r="A27" s="57" t="s">
        <v>918</v>
      </c>
      <c r="B27" s="60" t="s">
        <v>919</v>
      </c>
      <c r="C27" s="63">
        <v>0</v>
      </c>
      <c r="D27" s="63">
        <v>0</v>
      </c>
      <c r="E27" s="63">
        <v>0</v>
      </c>
      <c r="F27" s="63">
        <v>0</v>
      </c>
      <c r="G27" s="63">
        <v>0</v>
      </c>
      <c r="H27" s="63">
        <v>0</v>
      </c>
      <c r="I27" s="63">
        <v>0</v>
      </c>
      <c r="J27" s="63">
        <v>0</v>
      </c>
      <c r="K27" s="63">
        <v>0</v>
      </c>
      <c r="L27" s="63">
        <v>0</v>
      </c>
      <c r="M27" s="63">
        <v>0</v>
      </c>
      <c r="N27" s="63">
        <v>0</v>
      </c>
      <c r="O27" s="63">
        <v>0</v>
      </c>
      <c r="P27" s="63">
        <v>0</v>
      </c>
      <c r="Q27" s="63">
        <v>0</v>
      </c>
      <c r="R27" s="63">
        <v>0</v>
      </c>
      <c r="S27" s="63">
        <v>0</v>
      </c>
      <c r="T27" s="63">
        <v>0</v>
      </c>
      <c r="U27" s="63">
        <v>0</v>
      </c>
      <c r="V27" s="63">
        <v>0</v>
      </c>
      <c r="W27" s="63">
        <v>0</v>
      </c>
      <c r="X27" s="63">
        <v>0</v>
      </c>
      <c r="Y27" s="63">
        <v>0</v>
      </c>
      <c r="Z27" s="63">
        <v>0</v>
      </c>
      <c r="AA27" s="63">
        <v>0</v>
      </c>
      <c r="AB27" s="63">
        <v>0</v>
      </c>
      <c r="AC27" s="63">
        <v>0</v>
      </c>
      <c r="AD27" s="63">
        <v>0</v>
      </c>
      <c r="AE27" s="63">
        <v>0</v>
      </c>
      <c r="AF27" s="63">
        <v>0</v>
      </c>
      <c r="AG27" s="63">
        <v>0</v>
      </c>
      <c r="AH27" s="63">
        <v>0</v>
      </c>
      <c r="AI27" s="63">
        <v>0</v>
      </c>
      <c r="AJ27" s="63">
        <v>0</v>
      </c>
      <c r="AK27" s="62" t="s">
        <v>467</v>
      </c>
    </row>
    <row r="28" spans="1:37" ht="15" customHeight="1" x14ac:dyDescent="0.2">
      <c r="A28" s="57" t="s">
        <v>920</v>
      </c>
      <c r="B28" s="60" t="s">
        <v>921</v>
      </c>
      <c r="C28" s="63">
        <v>57.405037</v>
      </c>
      <c r="D28" s="63">
        <v>59.505547</v>
      </c>
      <c r="E28" s="63">
        <v>61.481312000000003</v>
      </c>
      <c r="F28" s="63">
        <v>63.058998000000003</v>
      </c>
      <c r="G28" s="63">
        <v>64.724997999999999</v>
      </c>
      <c r="H28" s="63">
        <v>66.008651999999998</v>
      </c>
      <c r="I28" s="63">
        <v>67.405922000000004</v>
      </c>
      <c r="J28" s="63">
        <v>68.894538999999995</v>
      </c>
      <c r="K28" s="63">
        <v>70.422859000000003</v>
      </c>
      <c r="L28" s="63">
        <v>71.994964999999993</v>
      </c>
      <c r="M28" s="63">
        <v>73.457626000000005</v>
      </c>
      <c r="N28" s="63">
        <v>75.272957000000005</v>
      </c>
      <c r="O28" s="63">
        <v>77.012778999999995</v>
      </c>
      <c r="P28" s="63">
        <v>78.868126000000004</v>
      </c>
      <c r="Q28" s="63">
        <v>80.933632000000003</v>
      </c>
      <c r="R28" s="63">
        <v>82.916245000000004</v>
      </c>
      <c r="S28" s="63">
        <v>85.053000999999995</v>
      </c>
      <c r="T28" s="63">
        <v>87.135315000000006</v>
      </c>
      <c r="U28" s="63">
        <v>89.272034000000005</v>
      </c>
      <c r="V28" s="63">
        <v>91.404967999999997</v>
      </c>
      <c r="W28" s="63">
        <v>93.543694000000002</v>
      </c>
      <c r="X28" s="63">
        <v>95.620116999999993</v>
      </c>
      <c r="Y28" s="63">
        <v>97.451378000000005</v>
      </c>
      <c r="Z28" s="63">
        <v>99.493538000000001</v>
      </c>
      <c r="AA28" s="63">
        <v>101.243759</v>
      </c>
      <c r="AB28" s="63">
        <v>102.930466</v>
      </c>
      <c r="AC28" s="63">
        <v>104.506508</v>
      </c>
      <c r="AD28" s="63">
        <v>106.118263</v>
      </c>
      <c r="AE28" s="63">
        <v>107.854561</v>
      </c>
      <c r="AF28" s="63">
        <v>109.66404</v>
      </c>
      <c r="AG28" s="63">
        <v>111.563385</v>
      </c>
      <c r="AH28" s="63">
        <v>113.470276</v>
      </c>
      <c r="AI28" s="63">
        <v>115.48492400000001</v>
      </c>
      <c r="AJ28" s="63">
        <v>117.54652400000001</v>
      </c>
      <c r="AK28" s="62">
        <v>2.1502E-2</v>
      </c>
    </row>
    <row r="29" spans="1:37" ht="15" customHeight="1" x14ac:dyDescent="0.2">
      <c r="B29" s="59" t="s">
        <v>922</v>
      </c>
    </row>
    <row r="30" spans="1:37" ht="15" customHeight="1" x14ac:dyDescent="0.2">
      <c r="A30" s="57" t="s">
        <v>923</v>
      </c>
      <c r="B30" s="60" t="s">
        <v>903</v>
      </c>
      <c r="C30" s="63">
        <v>34.852756999999997</v>
      </c>
      <c r="D30" s="63">
        <v>35.516609000000003</v>
      </c>
      <c r="E30" s="63">
        <v>36.498997000000003</v>
      </c>
      <c r="F30" s="63">
        <v>37.1008</v>
      </c>
      <c r="G30" s="63">
        <v>37.631653</v>
      </c>
      <c r="H30" s="63">
        <v>38.466492000000002</v>
      </c>
      <c r="I30" s="63">
        <v>39.336716000000003</v>
      </c>
      <c r="J30" s="63">
        <v>40.175345999999998</v>
      </c>
      <c r="K30" s="63">
        <v>41.093975</v>
      </c>
      <c r="L30" s="63">
        <v>42.065342000000001</v>
      </c>
      <c r="M30" s="63">
        <v>43.074756999999998</v>
      </c>
      <c r="N30" s="63">
        <v>44.108330000000002</v>
      </c>
      <c r="O30" s="63">
        <v>45.150691999999999</v>
      </c>
      <c r="P30" s="63">
        <v>46.160350999999999</v>
      </c>
      <c r="Q30" s="63">
        <v>47.353352000000001</v>
      </c>
      <c r="R30" s="63">
        <v>48.455387000000002</v>
      </c>
      <c r="S30" s="63">
        <v>49.580730000000003</v>
      </c>
      <c r="T30" s="63">
        <v>50.794933</v>
      </c>
      <c r="U30" s="63">
        <v>52.117741000000002</v>
      </c>
      <c r="V30" s="63">
        <v>53.486767</v>
      </c>
      <c r="W30" s="63">
        <v>54.917831</v>
      </c>
      <c r="X30" s="63">
        <v>56.411396000000003</v>
      </c>
      <c r="Y30" s="63">
        <v>57.869190000000003</v>
      </c>
      <c r="Z30" s="63">
        <v>59.399475000000002</v>
      </c>
      <c r="AA30" s="63">
        <v>60.831344999999999</v>
      </c>
      <c r="AB30" s="63">
        <v>62.432507000000001</v>
      </c>
      <c r="AC30" s="63">
        <v>64.117080999999999</v>
      </c>
      <c r="AD30" s="63">
        <v>65.909485000000004</v>
      </c>
      <c r="AE30" s="63">
        <v>67.767264999999995</v>
      </c>
      <c r="AF30" s="63">
        <v>69.691124000000002</v>
      </c>
      <c r="AG30" s="63">
        <v>71.702492000000007</v>
      </c>
      <c r="AH30" s="63">
        <v>73.788444999999996</v>
      </c>
      <c r="AI30" s="63">
        <v>75.900101000000006</v>
      </c>
      <c r="AJ30" s="63">
        <v>78.070792999999995</v>
      </c>
      <c r="AK30" s="62">
        <v>2.4917999999999999E-2</v>
      </c>
    </row>
    <row r="31" spans="1:37" ht="15" customHeight="1" x14ac:dyDescent="0.2">
      <c r="A31" s="57" t="s">
        <v>924</v>
      </c>
      <c r="B31" s="60" t="s">
        <v>905</v>
      </c>
      <c r="C31" s="63">
        <v>16.279326999999999</v>
      </c>
      <c r="D31" s="63">
        <v>16.139576000000002</v>
      </c>
      <c r="E31" s="63">
        <v>16.182264</v>
      </c>
      <c r="F31" s="63">
        <v>16.147713</v>
      </c>
      <c r="G31" s="63">
        <v>16.098658</v>
      </c>
      <c r="H31" s="63">
        <v>16.157786999999999</v>
      </c>
      <c r="I31" s="63">
        <v>16.277315000000002</v>
      </c>
      <c r="J31" s="63">
        <v>16.491181999999998</v>
      </c>
      <c r="K31" s="63">
        <v>16.701698</v>
      </c>
      <c r="L31" s="63">
        <v>17.008517999999999</v>
      </c>
      <c r="M31" s="63">
        <v>17.290116999999999</v>
      </c>
      <c r="N31" s="63">
        <v>17.623186</v>
      </c>
      <c r="O31" s="63">
        <v>18.062231000000001</v>
      </c>
      <c r="P31" s="63">
        <v>18.358568000000002</v>
      </c>
      <c r="Q31" s="63">
        <v>18.865314000000001</v>
      </c>
      <c r="R31" s="63">
        <v>19.237299</v>
      </c>
      <c r="S31" s="63">
        <v>19.604202000000001</v>
      </c>
      <c r="T31" s="63">
        <v>20.097273000000001</v>
      </c>
      <c r="U31" s="63">
        <v>20.565010000000001</v>
      </c>
      <c r="V31" s="63">
        <v>21.078802</v>
      </c>
      <c r="W31" s="63">
        <v>21.558771</v>
      </c>
      <c r="X31" s="63">
        <v>22.162503999999998</v>
      </c>
      <c r="Y31" s="63">
        <v>22.624880000000001</v>
      </c>
      <c r="Z31" s="63">
        <v>23.180002000000002</v>
      </c>
      <c r="AA31" s="63">
        <v>23.682478</v>
      </c>
      <c r="AB31" s="63">
        <v>24.239559</v>
      </c>
      <c r="AC31" s="63">
        <v>24.836859</v>
      </c>
      <c r="AD31" s="63">
        <v>25.413281999999999</v>
      </c>
      <c r="AE31" s="63">
        <v>26.01539</v>
      </c>
      <c r="AF31" s="63">
        <v>26.615065000000001</v>
      </c>
      <c r="AG31" s="63">
        <v>27.226236</v>
      </c>
      <c r="AH31" s="63">
        <v>27.899811</v>
      </c>
      <c r="AI31" s="63">
        <v>28.486429000000001</v>
      </c>
      <c r="AJ31" s="63">
        <v>29.134298000000001</v>
      </c>
      <c r="AK31" s="62">
        <v>1.8629E-2</v>
      </c>
    </row>
    <row r="32" spans="1:37" ht="15" customHeight="1" x14ac:dyDescent="0.2">
      <c r="A32" s="57" t="s">
        <v>925</v>
      </c>
      <c r="B32" s="60" t="s">
        <v>907</v>
      </c>
      <c r="C32" s="63">
        <v>4.8675000000000003E-2</v>
      </c>
      <c r="D32" s="63">
        <v>5.2335E-2</v>
      </c>
      <c r="E32" s="63">
        <v>5.6371999999999998E-2</v>
      </c>
      <c r="F32" s="63">
        <v>5.9882999999999999E-2</v>
      </c>
      <c r="G32" s="63">
        <v>6.3427999999999998E-2</v>
      </c>
      <c r="H32" s="63">
        <v>6.7125000000000004E-2</v>
      </c>
      <c r="I32" s="63">
        <v>7.0693000000000006E-2</v>
      </c>
      <c r="J32" s="63">
        <v>7.3962E-2</v>
      </c>
      <c r="K32" s="63">
        <v>7.7260999999999996E-2</v>
      </c>
      <c r="L32" s="63">
        <v>8.0336000000000005E-2</v>
      </c>
      <c r="M32" s="63">
        <v>8.3485000000000004E-2</v>
      </c>
      <c r="N32" s="63">
        <v>8.6007E-2</v>
      </c>
      <c r="O32" s="63">
        <v>8.8942999999999994E-2</v>
      </c>
      <c r="P32" s="63">
        <v>9.1673000000000004E-2</v>
      </c>
      <c r="Q32" s="63">
        <v>9.4561999999999993E-2</v>
      </c>
      <c r="R32" s="63">
        <v>9.8724999999999993E-2</v>
      </c>
      <c r="S32" s="63">
        <v>0.102757</v>
      </c>
      <c r="T32" s="63">
        <v>0.106943</v>
      </c>
      <c r="U32" s="63">
        <v>0.111913</v>
      </c>
      <c r="V32" s="63">
        <v>0.117351</v>
      </c>
      <c r="W32" s="63">
        <v>0.123377</v>
      </c>
      <c r="X32" s="63">
        <v>0.130019</v>
      </c>
      <c r="Y32" s="63">
        <v>0.13705899999999999</v>
      </c>
      <c r="Z32" s="63">
        <v>0.144843</v>
      </c>
      <c r="AA32" s="63">
        <v>0.152977</v>
      </c>
      <c r="AB32" s="63">
        <v>0.161549</v>
      </c>
      <c r="AC32" s="63">
        <v>0.17047699999999999</v>
      </c>
      <c r="AD32" s="63">
        <v>0.180087</v>
      </c>
      <c r="AE32" s="63">
        <v>0.19059000000000001</v>
      </c>
      <c r="AF32" s="63">
        <v>0.20160500000000001</v>
      </c>
      <c r="AG32" s="63">
        <v>0.21548300000000001</v>
      </c>
      <c r="AH32" s="63">
        <v>0.22548399999999999</v>
      </c>
      <c r="AI32" s="63">
        <v>0.23830999999999999</v>
      </c>
      <c r="AJ32" s="63">
        <v>0.25225700000000001</v>
      </c>
      <c r="AK32" s="62">
        <v>5.0376999999999998E-2</v>
      </c>
    </row>
    <row r="33" spans="1:37" ht="15" customHeight="1" x14ac:dyDescent="0.2">
      <c r="A33" s="57" t="s">
        <v>926</v>
      </c>
      <c r="B33" s="60" t="s">
        <v>909</v>
      </c>
      <c r="C33" s="63">
        <v>3.2298E-2</v>
      </c>
      <c r="D33" s="63">
        <v>4.3358000000000001E-2</v>
      </c>
      <c r="E33" s="63">
        <v>5.5294999999999997E-2</v>
      </c>
      <c r="F33" s="63">
        <v>6.5924999999999997E-2</v>
      </c>
      <c r="G33" s="63">
        <v>7.6016E-2</v>
      </c>
      <c r="H33" s="63">
        <v>8.6905999999999997E-2</v>
      </c>
      <c r="I33" s="63">
        <v>9.7602999999999995E-2</v>
      </c>
      <c r="J33" s="63">
        <v>0.107784</v>
      </c>
      <c r="K33" s="63">
        <v>0.117767</v>
      </c>
      <c r="L33" s="63">
        <v>0.12766</v>
      </c>
      <c r="M33" s="63">
        <v>0.13706099999999999</v>
      </c>
      <c r="N33" s="63">
        <v>0.14671200000000001</v>
      </c>
      <c r="O33" s="63">
        <v>0.15581400000000001</v>
      </c>
      <c r="P33" s="63">
        <v>0.16464400000000001</v>
      </c>
      <c r="Q33" s="63">
        <v>0.17335600000000001</v>
      </c>
      <c r="R33" s="63">
        <v>0.182168</v>
      </c>
      <c r="S33" s="63">
        <v>0.19106200000000001</v>
      </c>
      <c r="T33" s="63">
        <v>0.200238</v>
      </c>
      <c r="U33" s="63">
        <v>0.209402</v>
      </c>
      <c r="V33" s="63">
        <v>0.21906900000000001</v>
      </c>
      <c r="W33" s="63">
        <v>0.229265</v>
      </c>
      <c r="X33" s="63">
        <v>0.24064099999999999</v>
      </c>
      <c r="Y33" s="63">
        <v>0.25297900000000001</v>
      </c>
      <c r="Z33" s="63">
        <v>0.26565899999999998</v>
      </c>
      <c r="AA33" s="63">
        <v>0.28006599999999998</v>
      </c>
      <c r="AB33" s="63">
        <v>0.29397200000000001</v>
      </c>
      <c r="AC33" s="63">
        <v>0.30809500000000001</v>
      </c>
      <c r="AD33" s="63">
        <v>0.32431700000000002</v>
      </c>
      <c r="AE33" s="63">
        <v>0.34253899999999998</v>
      </c>
      <c r="AF33" s="63">
        <v>0.36136299999999999</v>
      </c>
      <c r="AG33" s="63">
        <v>0.380859</v>
      </c>
      <c r="AH33" s="63">
        <v>0.40178000000000003</v>
      </c>
      <c r="AI33" s="63">
        <v>0.42401699999999998</v>
      </c>
      <c r="AJ33" s="63">
        <v>0.44813999999999998</v>
      </c>
      <c r="AK33" s="62">
        <v>7.5717000000000007E-2</v>
      </c>
    </row>
    <row r="34" spans="1:37" ht="15" customHeight="1" x14ac:dyDescent="0.2">
      <c r="A34" s="57" t="s">
        <v>927</v>
      </c>
      <c r="B34" s="60" t="s">
        <v>911</v>
      </c>
      <c r="C34" s="63">
        <v>0.39168700000000001</v>
      </c>
      <c r="D34" s="63">
        <v>0.46296799999999999</v>
      </c>
      <c r="E34" s="63">
        <v>0.53741700000000003</v>
      </c>
      <c r="F34" s="63">
        <v>0.60002599999999995</v>
      </c>
      <c r="G34" s="63">
        <v>0.65760099999999999</v>
      </c>
      <c r="H34" s="63">
        <v>0.71939200000000003</v>
      </c>
      <c r="I34" s="63">
        <v>0.77988400000000002</v>
      </c>
      <c r="J34" s="63">
        <v>0.83765599999999996</v>
      </c>
      <c r="K34" s="63">
        <v>0.89545699999999995</v>
      </c>
      <c r="L34" s="63">
        <v>0.95094100000000004</v>
      </c>
      <c r="M34" s="63">
        <v>1.008821</v>
      </c>
      <c r="N34" s="63">
        <v>1.07168</v>
      </c>
      <c r="O34" s="63">
        <v>1.134501</v>
      </c>
      <c r="P34" s="63">
        <v>1.2022569999999999</v>
      </c>
      <c r="Q34" s="63">
        <v>1.273458</v>
      </c>
      <c r="R34" s="63">
        <v>1.349097</v>
      </c>
      <c r="S34" s="63">
        <v>1.429416</v>
      </c>
      <c r="T34" s="63">
        <v>1.5167919999999999</v>
      </c>
      <c r="U34" s="63">
        <v>1.6094900000000001</v>
      </c>
      <c r="V34" s="63">
        <v>1.7061440000000001</v>
      </c>
      <c r="W34" s="63">
        <v>1.808959</v>
      </c>
      <c r="X34" s="63">
        <v>1.9188879999999999</v>
      </c>
      <c r="Y34" s="63">
        <v>2.0408019999999998</v>
      </c>
      <c r="Z34" s="63">
        <v>2.156568</v>
      </c>
      <c r="AA34" s="63">
        <v>2.2842669999999998</v>
      </c>
      <c r="AB34" s="63">
        <v>2.4200430000000002</v>
      </c>
      <c r="AC34" s="63">
        <v>2.558567</v>
      </c>
      <c r="AD34" s="63">
        <v>2.7089509999999999</v>
      </c>
      <c r="AE34" s="63">
        <v>2.8696990000000002</v>
      </c>
      <c r="AF34" s="63">
        <v>3.0412889999999999</v>
      </c>
      <c r="AG34" s="63">
        <v>3.2124429999999999</v>
      </c>
      <c r="AH34" s="63">
        <v>3.4008379999999998</v>
      </c>
      <c r="AI34" s="63">
        <v>3.6029949999999999</v>
      </c>
      <c r="AJ34" s="63">
        <v>3.8119909999999999</v>
      </c>
      <c r="AK34" s="62">
        <v>6.8101999999999996E-2</v>
      </c>
    </row>
    <row r="35" spans="1:37" ht="15" customHeight="1" x14ac:dyDescent="0.2">
      <c r="A35" s="57" t="s">
        <v>928</v>
      </c>
      <c r="B35" s="60" t="s">
        <v>913</v>
      </c>
      <c r="C35" s="63">
        <v>8.1000000000000004E-5</v>
      </c>
      <c r="D35" s="63">
        <v>2.5416000000000001E-2</v>
      </c>
      <c r="E35" s="63">
        <v>5.2673999999999999E-2</v>
      </c>
      <c r="F35" s="63">
        <v>7.7769000000000005E-2</v>
      </c>
      <c r="G35" s="63">
        <v>0.101841</v>
      </c>
      <c r="H35" s="63">
        <v>0.128159</v>
      </c>
      <c r="I35" s="63">
        <v>0.154501</v>
      </c>
      <c r="J35" s="63">
        <v>0.18038499999999999</v>
      </c>
      <c r="K35" s="63">
        <v>0.206571</v>
      </c>
      <c r="L35" s="63">
        <v>0.233373</v>
      </c>
      <c r="M35" s="63">
        <v>0.26024799999999998</v>
      </c>
      <c r="N35" s="63">
        <v>0.28843200000000002</v>
      </c>
      <c r="O35" s="63">
        <v>0.31676500000000002</v>
      </c>
      <c r="P35" s="63">
        <v>0.346275</v>
      </c>
      <c r="Q35" s="63">
        <v>0.376836</v>
      </c>
      <c r="R35" s="63">
        <v>0.40854499999999999</v>
      </c>
      <c r="S35" s="63">
        <v>0.442222</v>
      </c>
      <c r="T35" s="63">
        <v>0.47760599999999998</v>
      </c>
      <c r="U35" s="63">
        <v>0.51465300000000003</v>
      </c>
      <c r="V35" s="63">
        <v>0.55349800000000005</v>
      </c>
      <c r="W35" s="63">
        <v>0.593306</v>
      </c>
      <c r="X35" s="63">
        <v>0.63558099999999995</v>
      </c>
      <c r="Y35" s="63">
        <v>0.67955100000000002</v>
      </c>
      <c r="Z35" s="63">
        <v>0.72694700000000001</v>
      </c>
      <c r="AA35" s="63">
        <v>0.77565499999999998</v>
      </c>
      <c r="AB35" s="63">
        <v>0.82633400000000001</v>
      </c>
      <c r="AC35" s="63">
        <v>0.87866999999999995</v>
      </c>
      <c r="AD35" s="63">
        <v>0.93432999999999999</v>
      </c>
      <c r="AE35" s="63">
        <v>0.99448199999999998</v>
      </c>
      <c r="AF35" s="63">
        <v>1.0572170000000001</v>
      </c>
      <c r="AG35" s="63">
        <v>1.1234010000000001</v>
      </c>
      <c r="AH35" s="63">
        <v>1.1941710000000001</v>
      </c>
      <c r="AI35" s="63">
        <v>1.2688060000000001</v>
      </c>
      <c r="AJ35" s="63">
        <v>1.350544</v>
      </c>
      <c r="AK35" s="62">
        <v>0.132188</v>
      </c>
    </row>
    <row r="36" spans="1:37" ht="15" customHeight="1" x14ac:dyDescent="0.2">
      <c r="A36" s="57" t="s">
        <v>929</v>
      </c>
      <c r="B36" s="60" t="s">
        <v>915</v>
      </c>
      <c r="C36" s="63">
        <v>0</v>
      </c>
      <c r="D36" s="63">
        <v>1.0707E-2</v>
      </c>
      <c r="E36" s="63">
        <v>2.2225999999999999E-2</v>
      </c>
      <c r="F36" s="63">
        <v>3.2830999999999999E-2</v>
      </c>
      <c r="G36" s="63">
        <v>4.3004000000000001E-2</v>
      </c>
      <c r="H36" s="63">
        <v>5.4126000000000001E-2</v>
      </c>
      <c r="I36" s="63">
        <v>6.5258999999999998E-2</v>
      </c>
      <c r="J36" s="63">
        <v>7.6197000000000001E-2</v>
      </c>
      <c r="K36" s="63">
        <v>8.7262999999999993E-2</v>
      </c>
      <c r="L36" s="63">
        <v>9.8589999999999997E-2</v>
      </c>
      <c r="M36" s="63">
        <v>0.109947</v>
      </c>
      <c r="N36" s="63">
        <v>0.12185699999999999</v>
      </c>
      <c r="O36" s="63">
        <v>0.13383</v>
      </c>
      <c r="P36" s="63">
        <v>0.14630000000000001</v>
      </c>
      <c r="Q36" s="63">
        <v>0.15921399999999999</v>
      </c>
      <c r="R36" s="63">
        <v>0.17261299999999999</v>
      </c>
      <c r="S36" s="63">
        <v>0.18684200000000001</v>
      </c>
      <c r="T36" s="63">
        <v>0.201796</v>
      </c>
      <c r="U36" s="63">
        <v>0.21745</v>
      </c>
      <c r="V36" s="63">
        <v>0.23386399999999999</v>
      </c>
      <c r="W36" s="63">
        <v>0.25068499999999999</v>
      </c>
      <c r="X36" s="63">
        <v>0.26854800000000001</v>
      </c>
      <c r="Y36" s="63">
        <v>0.28712700000000002</v>
      </c>
      <c r="Z36" s="63">
        <v>0.30715399999999998</v>
      </c>
      <c r="AA36" s="63">
        <v>0.32773600000000003</v>
      </c>
      <c r="AB36" s="63">
        <v>0.34915000000000002</v>
      </c>
      <c r="AC36" s="63">
        <v>0.37126500000000001</v>
      </c>
      <c r="AD36" s="63">
        <v>0.39478400000000002</v>
      </c>
      <c r="AE36" s="63">
        <v>0.42020000000000002</v>
      </c>
      <c r="AF36" s="63">
        <v>0.44670799999999999</v>
      </c>
      <c r="AG36" s="63">
        <v>0.47466900000000001</v>
      </c>
      <c r="AH36" s="63">
        <v>0.504579</v>
      </c>
      <c r="AI36" s="63">
        <v>0.53611600000000004</v>
      </c>
      <c r="AJ36" s="63">
        <v>0.57065299999999997</v>
      </c>
      <c r="AK36" s="62">
        <v>0.132296</v>
      </c>
    </row>
    <row r="37" spans="1:37" ht="15" customHeight="1" x14ac:dyDescent="0.2">
      <c r="A37" s="57" t="s">
        <v>930</v>
      </c>
      <c r="B37" s="60" t="s">
        <v>917</v>
      </c>
      <c r="C37" s="63">
        <v>0</v>
      </c>
      <c r="D37" s="63">
        <v>8.8299999999999993E-3</v>
      </c>
      <c r="E37" s="63">
        <v>1.8329000000000002E-2</v>
      </c>
      <c r="F37" s="63">
        <v>2.7074999999999998E-2</v>
      </c>
      <c r="G37" s="63">
        <v>3.5465000000000003E-2</v>
      </c>
      <c r="H37" s="63">
        <v>4.4637000000000003E-2</v>
      </c>
      <c r="I37" s="63">
        <v>5.3817999999999998E-2</v>
      </c>
      <c r="J37" s="63">
        <v>6.2839000000000006E-2</v>
      </c>
      <c r="K37" s="63">
        <v>7.1965000000000001E-2</v>
      </c>
      <c r="L37" s="63">
        <v>8.1306000000000003E-2</v>
      </c>
      <c r="M37" s="63">
        <v>9.0672000000000003E-2</v>
      </c>
      <c r="N37" s="63">
        <v>0.100494</v>
      </c>
      <c r="O37" s="63">
        <v>0.11036799999999999</v>
      </c>
      <c r="P37" s="63">
        <v>0.120652</v>
      </c>
      <c r="Q37" s="63">
        <v>0.131302</v>
      </c>
      <c r="R37" s="63">
        <v>0.14235100000000001</v>
      </c>
      <c r="S37" s="63">
        <v>0.154086</v>
      </c>
      <c r="T37" s="63">
        <v>0.16641800000000001</v>
      </c>
      <c r="U37" s="63">
        <v>0.17932799999999999</v>
      </c>
      <c r="V37" s="63">
        <v>0.19286500000000001</v>
      </c>
      <c r="W37" s="63">
        <v>0.206736</v>
      </c>
      <c r="X37" s="63">
        <v>0.221468</v>
      </c>
      <c r="Y37" s="63">
        <v>0.23679</v>
      </c>
      <c r="Z37" s="63">
        <v>0.25330599999999998</v>
      </c>
      <c r="AA37" s="63">
        <v>0.27027899999999999</v>
      </c>
      <c r="AB37" s="63">
        <v>0.28793999999999997</v>
      </c>
      <c r="AC37" s="63">
        <v>0.30617699999999998</v>
      </c>
      <c r="AD37" s="63">
        <v>0.325573</v>
      </c>
      <c r="AE37" s="63">
        <v>0.34653400000000001</v>
      </c>
      <c r="AF37" s="63">
        <v>0.36839499999999997</v>
      </c>
      <c r="AG37" s="63">
        <v>0.39145400000000002</v>
      </c>
      <c r="AH37" s="63">
        <v>0.41611999999999999</v>
      </c>
      <c r="AI37" s="63">
        <v>0.44212800000000002</v>
      </c>
      <c r="AJ37" s="63">
        <v>0.470611</v>
      </c>
      <c r="AK37" s="62">
        <v>0.132296</v>
      </c>
    </row>
    <row r="38" spans="1:37" ht="15" customHeight="1" x14ac:dyDescent="0.2">
      <c r="A38" s="57" t="s">
        <v>931</v>
      </c>
      <c r="B38" s="60" t="s">
        <v>919</v>
      </c>
      <c r="C38" s="63">
        <v>0</v>
      </c>
      <c r="D38" s="63">
        <v>1.5161000000000001E-2</v>
      </c>
      <c r="E38" s="63">
        <v>3.1472E-2</v>
      </c>
      <c r="F38" s="63">
        <v>4.6489999999999997E-2</v>
      </c>
      <c r="G38" s="63">
        <v>6.0895999999999999E-2</v>
      </c>
      <c r="H38" s="63">
        <v>7.6645000000000005E-2</v>
      </c>
      <c r="I38" s="63">
        <v>9.2408000000000004E-2</v>
      </c>
      <c r="J38" s="63">
        <v>0.10789799999999999</v>
      </c>
      <c r="K38" s="63">
        <v>0.123568</v>
      </c>
      <c r="L38" s="63">
        <v>0.13960700000000001</v>
      </c>
      <c r="M38" s="63">
        <v>0.15568899999999999</v>
      </c>
      <c r="N38" s="63">
        <v>0.17255400000000001</v>
      </c>
      <c r="O38" s="63">
        <v>0.18950800000000001</v>
      </c>
      <c r="P38" s="63">
        <v>0.20716599999999999</v>
      </c>
      <c r="Q38" s="63">
        <v>0.22545200000000001</v>
      </c>
      <c r="R38" s="63">
        <v>0.244426</v>
      </c>
      <c r="S38" s="63">
        <v>0.264575</v>
      </c>
      <c r="T38" s="63">
        <v>0.28575</v>
      </c>
      <c r="U38" s="63">
        <v>0.307917</v>
      </c>
      <c r="V38" s="63">
        <v>0.33116000000000001</v>
      </c>
      <c r="W38" s="63">
        <v>0.35497899999999999</v>
      </c>
      <c r="X38" s="63">
        <v>0.380274</v>
      </c>
      <c r="Y38" s="63">
        <v>0.40658300000000003</v>
      </c>
      <c r="Z38" s="63">
        <v>0.43494100000000002</v>
      </c>
      <c r="AA38" s="63">
        <v>0.46408500000000003</v>
      </c>
      <c r="AB38" s="63">
        <v>0.49440899999999999</v>
      </c>
      <c r="AC38" s="63">
        <v>0.52572399999999997</v>
      </c>
      <c r="AD38" s="63">
        <v>0.55902799999999997</v>
      </c>
      <c r="AE38" s="63">
        <v>0.59501899999999996</v>
      </c>
      <c r="AF38" s="63">
        <v>0.63255499999999998</v>
      </c>
      <c r="AG38" s="63">
        <v>0.672149</v>
      </c>
      <c r="AH38" s="63">
        <v>0.71450199999999997</v>
      </c>
      <c r="AI38" s="63">
        <v>0.75915900000000003</v>
      </c>
      <c r="AJ38" s="63">
        <v>0.80806599999999995</v>
      </c>
      <c r="AK38" s="62">
        <v>0.132296</v>
      </c>
    </row>
    <row r="39" spans="1:37" ht="15" customHeight="1" x14ac:dyDescent="0.2">
      <c r="A39" s="57" t="s">
        <v>932</v>
      </c>
      <c r="B39" s="60" t="s">
        <v>933</v>
      </c>
      <c r="C39" s="63">
        <v>51.604762999999998</v>
      </c>
      <c r="D39" s="63">
        <v>52.274951999999999</v>
      </c>
      <c r="E39" s="63">
        <v>53.455032000000003</v>
      </c>
      <c r="F39" s="63">
        <v>54.158496999999997</v>
      </c>
      <c r="G39" s="63">
        <v>54.768569999999997</v>
      </c>
      <c r="H39" s="63">
        <v>55.801167</v>
      </c>
      <c r="I39" s="63">
        <v>56.928176999999998</v>
      </c>
      <c r="J39" s="63">
        <v>58.113289000000002</v>
      </c>
      <c r="K39" s="63">
        <v>59.375537999999999</v>
      </c>
      <c r="L39" s="63">
        <v>60.785572000000002</v>
      </c>
      <c r="M39" s="63">
        <v>62.210835000000003</v>
      </c>
      <c r="N39" s="63">
        <v>63.719143000000003</v>
      </c>
      <c r="O39" s="63">
        <v>65.342606000000004</v>
      </c>
      <c r="P39" s="63">
        <v>66.797721999999993</v>
      </c>
      <c r="Q39" s="63">
        <v>68.652648999999997</v>
      </c>
      <c r="R39" s="63">
        <v>70.290702999999993</v>
      </c>
      <c r="S39" s="63">
        <v>71.955956</v>
      </c>
      <c r="T39" s="63">
        <v>73.847435000000004</v>
      </c>
      <c r="U39" s="63">
        <v>75.832642000000007</v>
      </c>
      <c r="V39" s="63">
        <v>77.919403000000003</v>
      </c>
      <c r="W39" s="63">
        <v>80.043846000000002</v>
      </c>
      <c r="X39" s="63">
        <v>82.369202000000001</v>
      </c>
      <c r="Y39" s="63">
        <v>84.534903999999997</v>
      </c>
      <c r="Z39" s="63">
        <v>86.868668</v>
      </c>
      <c r="AA39" s="63">
        <v>89.068541999999994</v>
      </c>
      <c r="AB39" s="63">
        <v>91.505516</v>
      </c>
      <c r="AC39" s="63">
        <v>94.072761999999997</v>
      </c>
      <c r="AD39" s="63">
        <v>96.749626000000006</v>
      </c>
      <c r="AE39" s="63">
        <v>99.541770999999997</v>
      </c>
      <c r="AF39" s="63">
        <v>102.415054</v>
      </c>
      <c r="AG39" s="63">
        <v>105.399109</v>
      </c>
      <c r="AH39" s="63">
        <v>108.54589799999999</v>
      </c>
      <c r="AI39" s="63">
        <v>111.65799</v>
      </c>
      <c r="AJ39" s="63">
        <v>114.917351</v>
      </c>
      <c r="AK39" s="62">
        <v>2.4920999999999999E-2</v>
      </c>
    </row>
    <row r="40" spans="1:37" ht="15" customHeight="1" x14ac:dyDescent="0.2">
      <c r="B40" s="59" t="s">
        <v>934</v>
      </c>
    </row>
    <row r="41" spans="1:37" ht="15" customHeight="1" x14ac:dyDescent="0.2">
      <c r="A41" s="57" t="s">
        <v>935</v>
      </c>
      <c r="B41" s="60" t="s">
        <v>903</v>
      </c>
      <c r="C41" s="63">
        <v>182.156372</v>
      </c>
      <c r="D41" s="63">
        <v>187.28066999999999</v>
      </c>
      <c r="E41" s="63">
        <v>193.049194</v>
      </c>
      <c r="F41" s="63">
        <v>195.488632</v>
      </c>
      <c r="G41" s="63">
        <v>196.70001199999999</v>
      </c>
      <c r="H41" s="63">
        <v>198.728149</v>
      </c>
      <c r="I41" s="63">
        <v>200.7491</v>
      </c>
      <c r="J41" s="63">
        <v>202.54779099999999</v>
      </c>
      <c r="K41" s="63">
        <v>204.514816</v>
      </c>
      <c r="L41" s="63">
        <v>206.54583700000001</v>
      </c>
      <c r="M41" s="63">
        <v>208.00794999999999</v>
      </c>
      <c r="N41" s="63">
        <v>209.542542</v>
      </c>
      <c r="O41" s="63">
        <v>210.49653599999999</v>
      </c>
      <c r="P41" s="63">
        <v>211.58779899999999</v>
      </c>
      <c r="Q41" s="63">
        <v>212.66243</v>
      </c>
      <c r="R41" s="63">
        <v>213.676376</v>
      </c>
      <c r="S41" s="63">
        <v>214.57316599999999</v>
      </c>
      <c r="T41" s="63">
        <v>215.677277</v>
      </c>
      <c r="U41" s="63">
        <v>217.081039</v>
      </c>
      <c r="V41" s="63">
        <v>218.27766399999999</v>
      </c>
      <c r="W41" s="63">
        <v>219.683685</v>
      </c>
      <c r="X41" s="63">
        <v>220.94264200000001</v>
      </c>
      <c r="Y41" s="63">
        <v>222.09416200000001</v>
      </c>
      <c r="Z41" s="63">
        <v>222.64939899999999</v>
      </c>
      <c r="AA41" s="63">
        <v>223.619598</v>
      </c>
      <c r="AB41" s="63">
        <v>224.29385400000001</v>
      </c>
      <c r="AC41" s="63">
        <v>224.87051400000001</v>
      </c>
      <c r="AD41" s="63">
        <v>225.707764</v>
      </c>
      <c r="AE41" s="63">
        <v>226.62205499999999</v>
      </c>
      <c r="AF41" s="63">
        <v>227.28465299999999</v>
      </c>
      <c r="AG41" s="63">
        <v>227.99671900000001</v>
      </c>
      <c r="AH41" s="63">
        <v>228.74588</v>
      </c>
      <c r="AI41" s="63">
        <v>229.11743200000001</v>
      </c>
      <c r="AJ41" s="63">
        <v>229.59431499999999</v>
      </c>
      <c r="AK41" s="62">
        <v>6.3860000000000002E-3</v>
      </c>
    </row>
    <row r="42" spans="1:37" ht="15" customHeight="1" x14ac:dyDescent="0.2">
      <c r="A42" s="57" t="s">
        <v>936</v>
      </c>
      <c r="B42" s="60" t="s">
        <v>905</v>
      </c>
      <c r="C42" s="63">
        <v>0.23111699999999999</v>
      </c>
      <c r="D42" s="63">
        <v>0.20497000000000001</v>
      </c>
      <c r="E42" s="63">
        <v>0.182036</v>
      </c>
      <c r="F42" s="63">
        <v>0.160473</v>
      </c>
      <c r="G42" s="63">
        <v>0.142764</v>
      </c>
      <c r="H42" s="63">
        <v>0.12954199999999999</v>
      </c>
      <c r="I42" s="63">
        <v>0.117391</v>
      </c>
      <c r="J42" s="63">
        <v>0.106045</v>
      </c>
      <c r="K42" s="63">
        <v>9.8018999999999995E-2</v>
      </c>
      <c r="L42" s="63">
        <v>9.2595999999999998E-2</v>
      </c>
      <c r="M42" s="63">
        <v>8.8713E-2</v>
      </c>
      <c r="N42" s="63">
        <v>8.4132999999999999E-2</v>
      </c>
      <c r="O42" s="63">
        <v>8.1722000000000003E-2</v>
      </c>
      <c r="P42" s="63">
        <v>7.8659999999999994E-2</v>
      </c>
      <c r="Q42" s="63">
        <v>7.6174000000000006E-2</v>
      </c>
      <c r="R42" s="63">
        <v>7.4192999999999995E-2</v>
      </c>
      <c r="S42" s="63">
        <v>7.2298000000000001E-2</v>
      </c>
      <c r="T42" s="63">
        <v>7.1874999999999994E-2</v>
      </c>
      <c r="U42" s="63">
        <v>7.0323999999999998E-2</v>
      </c>
      <c r="V42" s="63">
        <v>6.9836999999999996E-2</v>
      </c>
      <c r="W42" s="63">
        <v>6.9847999999999993E-2</v>
      </c>
      <c r="X42" s="63">
        <v>6.9843000000000002E-2</v>
      </c>
      <c r="Y42" s="63">
        <v>6.9198999999999997E-2</v>
      </c>
      <c r="Z42" s="63">
        <v>6.9678000000000004E-2</v>
      </c>
      <c r="AA42" s="63">
        <v>6.9161E-2</v>
      </c>
      <c r="AB42" s="63">
        <v>6.8172999999999997E-2</v>
      </c>
      <c r="AC42" s="63">
        <v>6.8185999999999997E-2</v>
      </c>
      <c r="AD42" s="63">
        <v>6.8459999999999993E-2</v>
      </c>
      <c r="AE42" s="63">
        <v>6.8917999999999993E-2</v>
      </c>
      <c r="AF42" s="63">
        <v>6.9295999999999996E-2</v>
      </c>
      <c r="AG42" s="63">
        <v>6.9973999999999995E-2</v>
      </c>
      <c r="AH42" s="63">
        <v>7.0529999999999995E-2</v>
      </c>
      <c r="AI42" s="63">
        <v>7.1503999999999998E-2</v>
      </c>
      <c r="AJ42" s="63">
        <v>7.1722999999999995E-2</v>
      </c>
      <c r="AK42" s="62">
        <v>-3.2281999999999998E-2</v>
      </c>
    </row>
    <row r="43" spans="1:37" ht="15" customHeight="1" x14ac:dyDescent="0.2">
      <c r="A43" s="57" t="s">
        <v>937</v>
      </c>
      <c r="B43" s="60" t="s">
        <v>907</v>
      </c>
      <c r="C43" s="63">
        <v>2.5041000000000001E-2</v>
      </c>
      <c r="D43" s="63">
        <v>3.1208E-2</v>
      </c>
      <c r="E43" s="63">
        <v>3.7060999999999997E-2</v>
      </c>
      <c r="F43" s="63">
        <v>4.1709999999999997E-2</v>
      </c>
      <c r="G43" s="63">
        <v>4.5233000000000002E-2</v>
      </c>
      <c r="H43" s="63">
        <v>4.8332E-2</v>
      </c>
      <c r="I43" s="63">
        <v>5.0923000000000003E-2</v>
      </c>
      <c r="J43" s="63">
        <v>5.2719000000000002E-2</v>
      </c>
      <c r="K43" s="63">
        <v>5.4696000000000002E-2</v>
      </c>
      <c r="L43" s="63">
        <v>5.6370000000000003E-2</v>
      </c>
      <c r="M43" s="63">
        <v>5.7917000000000003E-2</v>
      </c>
      <c r="N43" s="63">
        <v>5.8567000000000001E-2</v>
      </c>
      <c r="O43" s="63">
        <v>5.9396999999999998E-2</v>
      </c>
      <c r="P43" s="63">
        <v>6.0153999999999999E-2</v>
      </c>
      <c r="Q43" s="63">
        <v>6.0099E-2</v>
      </c>
      <c r="R43" s="63">
        <v>6.0492999999999998E-2</v>
      </c>
      <c r="S43" s="63">
        <v>6.0957999999999998E-2</v>
      </c>
      <c r="T43" s="63">
        <v>6.1504000000000003E-2</v>
      </c>
      <c r="U43" s="63">
        <v>6.2105E-2</v>
      </c>
      <c r="V43" s="63">
        <v>6.2688999999999995E-2</v>
      </c>
      <c r="W43" s="63">
        <v>6.3390000000000002E-2</v>
      </c>
      <c r="X43" s="63">
        <v>6.4207E-2</v>
      </c>
      <c r="Y43" s="63">
        <v>6.5017000000000005E-2</v>
      </c>
      <c r="Z43" s="63">
        <v>6.5988000000000005E-2</v>
      </c>
      <c r="AA43" s="63">
        <v>6.694E-2</v>
      </c>
      <c r="AB43" s="63">
        <v>6.7902000000000004E-2</v>
      </c>
      <c r="AC43" s="63">
        <v>6.8834000000000006E-2</v>
      </c>
      <c r="AD43" s="63">
        <v>6.9871000000000003E-2</v>
      </c>
      <c r="AE43" s="63">
        <v>7.1073999999999998E-2</v>
      </c>
      <c r="AF43" s="63">
        <v>7.2307999999999997E-2</v>
      </c>
      <c r="AG43" s="63">
        <v>7.3746000000000006E-2</v>
      </c>
      <c r="AH43" s="63">
        <v>7.5152999999999998E-2</v>
      </c>
      <c r="AI43" s="63">
        <v>7.6384999999999995E-2</v>
      </c>
      <c r="AJ43" s="63">
        <v>7.7799999999999994E-2</v>
      </c>
      <c r="AK43" s="62">
        <v>2.8958000000000001E-2</v>
      </c>
    </row>
    <row r="44" spans="1:37" ht="15" customHeight="1" x14ac:dyDescent="0.2">
      <c r="A44" s="57" t="s">
        <v>938</v>
      </c>
      <c r="B44" s="60" t="s">
        <v>909</v>
      </c>
      <c r="C44" s="63">
        <v>1.5928819999999999</v>
      </c>
      <c r="D44" s="63">
        <v>1.7741450000000001</v>
      </c>
      <c r="E44" s="63">
        <v>1.930077</v>
      </c>
      <c r="F44" s="63">
        <v>2.0244589999999998</v>
      </c>
      <c r="G44" s="63">
        <v>2.0868739999999999</v>
      </c>
      <c r="H44" s="63">
        <v>2.1471559999999998</v>
      </c>
      <c r="I44" s="63">
        <v>2.1996009999999999</v>
      </c>
      <c r="J44" s="63">
        <v>2.2431220000000001</v>
      </c>
      <c r="K44" s="63">
        <v>2.284853</v>
      </c>
      <c r="L44" s="63">
        <v>2.331931</v>
      </c>
      <c r="M44" s="63">
        <v>2.3818260000000002</v>
      </c>
      <c r="N44" s="63">
        <v>2.4484409999999999</v>
      </c>
      <c r="O44" s="63">
        <v>2.5239199999999999</v>
      </c>
      <c r="P44" s="63">
        <v>2.6206659999999999</v>
      </c>
      <c r="Q44" s="63">
        <v>2.7423799999999998</v>
      </c>
      <c r="R44" s="63">
        <v>2.8942399999999999</v>
      </c>
      <c r="S44" s="63">
        <v>3.0847980000000002</v>
      </c>
      <c r="T44" s="63">
        <v>3.3128890000000002</v>
      </c>
      <c r="U44" s="63">
        <v>3.5777869999999998</v>
      </c>
      <c r="V44" s="63">
        <v>3.880449</v>
      </c>
      <c r="W44" s="63">
        <v>4.2257170000000004</v>
      </c>
      <c r="X44" s="63">
        <v>4.6203019999999997</v>
      </c>
      <c r="Y44" s="63">
        <v>5.0590020000000004</v>
      </c>
      <c r="Z44" s="63">
        <v>5.5580230000000004</v>
      </c>
      <c r="AA44" s="63">
        <v>6.1059020000000004</v>
      </c>
      <c r="AB44" s="63">
        <v>6.7074350000000003</v>
      </c>
      <c r="AC44" s="63">
        <v>7.3667939999999996</v>
      </c>
      <c r="AD44" s="63">
        <v>8.0973659999999992</v>
      </c>
      <c r="AE44" s="63">
        <v>8.9041549999999994</v>
      </c>
      <c r="AF44" s="63">
        <v>9.7650079999999999</v>
      </c>
      <c r="AG44" s="63">
        <v>10.671904</v>
      </c>
      <c r="AH44" s="63">
        <v>11.639751</v>
      </c>
      <c r="AI44" s="63">
        <v>12.623728</v>
      </c>
      <c r="AJ44" s="63">
        <v>13.622419000000001</v>
      </c>
      <c r="AK44" s="62">
        <v>6.5772999999999998E-2</v>
      </c>
    </row>
    <row r="45" spans="1:37" ht="15" customHeight="1" x14ac:dyDescent="0.2">
      <c r="A45" s="57" t="s">
        <v>939</v>
      </c>
      <c r="B45" s="60" t="s">
        <v>911</v>
      </c>
      <c r="C45" s="63">
        <v>0</v>
      </c>
      <c r="D45" s="63">
        <v>0</v>
      </c>
      <c r="E45" s="63">
        <v>0</v>
      </c>
      <c r="F45" s="63">
        <v>0</v>
      </c>
      <c r="G45" s="63">
        <v>0</v>
      </c>
      <c r="H45" s="63">
        <v>0</v>
      </c>
      <c r="I45" s="63">
        <v>0</v>
      </c>
      <c r="J45" s="63">
        <v>0</v>
      </c>
      <c r="K45" s="63">
        <v>0</v>
      </c>
      <c r="L45" s="63">
        <v>0</v>
      </c>
      <c r="M45" s="63">
        <v>0</v>
      </c>
      <c r="N45" s="63">
        <v>0</v>
      </c>
      <c r="O45" s="63">
        <v>0</v>
      </c>
      <c r="P45" s="63">
        <v>0</v>
      </c>
      <c r="Q45" s="63">
        <v>0</v>
      </c>
      <c r="R45" s="63">
        <v>0</v>
      </c>
      <c r="S45" s="63">
        <v>0</v>
      </c>
      <c r="T45" s="63">
        <v>0</v>
      </c>
      <c r="U45" s="63">
        <v>0</v>
      </c>
      <c r="V45" s="63">
        <v>0</v>
      </c>
      <c r="W45" s="63">
        <v>0</v>
      </c>
      <c r="X45" s="63">
        <v>0</v>
      </c>
      <c r="Y45" s="63">
        <v>0</v>
      </c>
      <c r="Z45" s="63">
        <v>0</v>
      </c>
      <c r="AA45" s="63">
        <v>0</v>
      </c>
      <c r="AB45" s="63">
        <v>0</v>
      </c>
      <c r="AC45" s="63">
        <v>0</v>
      </c>
      <c r="AD45" s="63">
        <v>0</v>
      </c>
      <c r="AE45" s="63">
        <v>0</v>
      </c>
      <c r="AF45" s="63">
        <v>0</v>
      </c>
      <c r="AG45" s="63">
        <v>0</v>
      </c>
      <c r="AH45" s="63">
        <v>0</v>
      </c>
      <c r="AI45" s="63">
        <v>0</v>
      </c>
      <c r="AJ45" s="63">
        <v>0</v>
      </c>
      <c r="AK45" s="62" t="s">
        <v>467</v>
      </c>
    </row>
    <row r="46" spans="1:37" ht="15" customHeight="1" x14ac:dyDescent="0.2">
      <c r="A46" s="57" t="s">
        <v>940</v>
      </c>
      <c r="B46" s="60" t="s">
        <v>913</v>
      </c>
      <c r="C46" s="63">
        <v>0</v>
      </c>
      <c r="D46" s="63">
        <v>5.6569999999999997E-3</v>
      </c>
      <c r="E46" s="63">
        <v>1.1786E-2</v>
      </c>
      <c r="F46" s="63">
        <v>1.7569000000000001E-2</v>
      </c>
      <c r="G46" s="63">
        <v>2.3292E-2</v>
      </c>
      <c r="H46" s="63">
        <v>2.9611999999999999E-2</v>
      </c>
      <c r="I46" s="63">
        <v>3.6068999999999997E-2</v>
      </c>
      <c r="J46" s="63">
        <v>4.2530999999999999E-2</v>
      </c>
      <c r="K46" s="63">
        <v>4.9083000000000002E-2</v>
      </c>
      <c r="L46" s="63">
        <v>5.5710000000000003E-2</v>
      </c>
      <c r="M46" s="63">
        <v>6.2205999999999997E-2</v>
      </c>
      <c r="N46" s="63">
        <v>6.8794999999999995E-2</v>
      </c>
      <c r="O46" s="63">
        <v>7.5095999999999996E-2</v>
      </c>
      <c r="P46" s="63">
        <v>8.1245999999999999E-2</v>
      </c>
      <c r="Q46" s="63">
        <v>8.7161000000000002E-2</v>
      </c>
      <c r="R46" s="63">
        <v>9.2834E-2</v>
      </c>
      <c r="S46" s="63">
        <v>9.8426E-2</v>
      </c>
      <c r="T46" s="63">
        <v>0.103875</v>
      </c>
      <c r="U46" s="63">
        <v>0.109279</v>
      </c>
      <c r="V46" s="63">
        <v>0.114758</v>
      </c>
      <c r="W46" s="63">
        <v>0.120222</v>
      </c>
      <c r="X46" s="63">
        <v>0.12563099999999999</v>
      </c>
      <c r="Y46" s="63">
        <v>0.130944</v>
      </c>
      <c r="Z46" s="63">
        <v>0.13677700000000001</v>
      </c>
      <c r="AA46" s="63">
        <v>0.14260800000000001</v>
      </c>
      <c r="AB46" s="63">
        <v>0.14847299999999999</v>
      </c>
      <c r="AC46" s="63">
        <v>0.15429999999999999</v>
      </c>
      <c r="AD46" s="63">
        <v>0.16042400000000001</v>
      </c>
      <c r="AE46" s="63">
        <v>0.166988</v>
      </c>
      <c r="AF46" s="63">
        <v>0.17366699999999999</v>
      </c>
      <c r="AG46" s="63">
        <v>0.180562</v>
      </c>
      <c r="AH46" s="63">
        <v>0.18785299999999999</v>
      </c>
      <c r="AI46" s="63">
        <v>0.19536999999999999</v>
      </c>
      <c r="AJ46" s="63">
        <v>0.20363999999999999</v>
      </c>
      <c r="AK46" s="62">
        <v>0.118495</v>
      </c>
    </row>
    <row r="47" spans="1:37" ht="15" customHeight="1" x14ac:dyDescent="0.2">
      <c r="A47" s="57" t="s">
        <v>941</v>
      </c>
      <c r="B47" s="60" t="s">
        <v>915</v>
      </c>
      <c r="C47" s="63">
        <v>0</v>
      </c>
      <c r="D47" s="63">
        <v>2.3340000000000001E-3</v>
      </c>
      <c r="E47" s="63">
        <v>4.8630000000000001E-3</v>
      </c>
      <c r="F47" s="63">
        <v>7.2490000000000002E-3</v>
      </c>
      <c r="G47" s="63">
        <v>9.6100000000000005E-3</v>
      </c>
      <c r="H47" s="63">
        <v>1.2217E-2</v>
      </c>
      <c r="I47" s="63">
        <v>1.4881E-2</v>
      </c>
      <c r="J47" s="63">
        <v>1.7548000000000001E-2</v>
      </c>
      <c r="K47" s="63">
        <v>2.0251000000000002E-2</v>
      </c>
      <c r="L47" s="63">
        <v>2.2984999999999998E-2</v>
      </c>
      <c r="M47" s="63">
        <v>2.5665E-2</v>
      </c>
      <c r="N47" s="63">
        <v>2.8384E-2</v>
      </c>
      <c r="O47" s="63">
        <v>3.0983E-2</v>
      </c>
      <c r="P47" s="63">
        <v>3.3521000000000002E-2</v>
      </c>
      <c r="Q47" s="63">
        <v>3.5961E-2</v>
      </c>
      <c r="R47" s="63">
        <v>3.8302000000000003E-2</v>
      </c>
      <c r="S47" s="63">
        <v>4.0608999999999999E-2</v>
      </c>
      <c r="T47" s="63">
        <v>4.2856999999999999E-2</v>
      </c>
      <c r="U47" s="63">
        <v>4.5087000000000002E-2</v>
      </c>
      <c r="V47" s="63">
        <v>4.7347E-2</v>
      </c>
      <c r="W47" s="63">
        <v>4.9602E-2</v>
      </c>
      <c r="X47" s="63">
        <v>5.1833999999999998E-2</v>
      </c>
      <c r="Y47" s="63">
        <v>5.4025999999999998E-2</v>
      </c>
      <c r="Z47" s="63">
        <v>5.6432000000000003E-2</v>
      </c>
      <c r="AA47" s="63">
        <v>5.8838000000000001E-2</v>
      </c>
      <c r="AB47" s="63">
        <v>6.1258E-2</v>
      </c>
      <c r="AC47" s="63">
        <v>6.3661999999999996E-2</v>
      </c>
      <c r="AD47" s="63">
        <v>6.6187999999999997E-2</v>
      </c>
      <c r="AE47" s="63">
        <v>6.8897E-2</v>
      </c>
      <c r="AF47" s="63">
        <v>7.1651999999999993E-2</v>
      </c>
      <c r="AG47" s="63">
        <v>7.4496999999999994E-2</v>
      </c>
      <c r="AH47" s="63">
        <v>7.7505000000000004E-2</v>
      </c>
      <c r="AI47" s="63">
        <v>8.0606999999999998E-2</v>
      </c>
      <c r="AJ47" s="63">
        <v>8.4018999999999996E-2</v>
      </c>
      <c r="AK47" s="62">
        <v>0.118495</v>
      </c>
    </row>
    <row r="48" spans="1:37" ht="15" customHeight="1" x14ac:dyDescent="0.2">
      <c r="A48" s="57" t="s">
        <v>942</v>
      </c>
      <c r="B48" s="60" t="s">
        <v>917</v>
      </c>
      <c r="C48" s="63">
        <v>0</v>
      </c>
      <c r="D48" s="63">
        <v>2.2279999999999999E-3</v>
      </c>
      <c r="E48" s="63">
        <v>4.6410000000000002E-3</v>
      </c>
      <c r="F48" s="63">
        <v>6.9189999999999998E-3</v>
      </c>
      <c r="G48" s="63">
        <v>9.1730000000000006E-3</v>
      </c>
      <c r="H48" s="63">
        <v>1.1662E-2</v>
      </c>
      <c r="I48" s="63">
        <v>1.4205000000000001E-2</v>
      </c>
      <c r="J48" s="63">
        <v>1.6750000000000001E-2</v>
      </c>
      <c r="K48" s="63">
        <v>1.933E-2</v>
      </c>
      <c r="L48" s="63">
        <v>2.1940000000000001E-2</v>
      </c>
      <c r="M48" s="63">
        <v>2.4497999999999999E-2</v>
      </c>
      <c r="N48" s="63">
        <v>2.7092999999999999E-2</v>
      </c>
      <c r="O48" s="63">
        <v>2.9574E-2</v>
      </c>
      <c r="P48" s="63">
        <v>3.1995999999999997E-2</v>
      </c>
      <c r="Q48" s="63">
        <v>3.4326000000000002E-2</v>
      </c>
      <c r="R48" s="63">
        <v>3.6560000000000002E-2</v>
      </c>
      <c r="S48" s="63">
        <v>3.8761999999999998E-2</v>
      </c>
      <c r="T48" s="63">
        <v>4.0908E-2</v>
      </c>
      <c r="U48" s="63">
        <v>4.3035999999999998E-2</v>
      </c>
      <c r="V48" s="63">
        <v>4.5193999999999998E-2</v>
      </c>
      <c r="W48" s="63">
        <v>4.7345999999999999E-2</v>
      </c>
      <c r="X48" s="63">
        <v>4.9475999999999999E-2</v>
      </c>
      <c r="Y48" s="63">
        <v>5.1568000000000003E-2</v>
      </c>
      <c r="Z48" s="63">
        <v>5.3865000000000003E-2</v>
      </c>
      <c r="AA48" s="63">
        <v>5.6161999999999997E-2</v>
      </c>
      <c r="AB48" s="63">
        <v>5.8471000000000002E-2</v>
      </c>
      <c r="AC48" s="63">
        <v>6.0766000000000001E-2</v>
      </c>
      <c r="AD48" s="63">
        <v>6.3177999999999998E-2</v>
      </c>
      <c r="AE48" s="63">
        <v>6.5763000000000002E-2</v>
      </c>
      <c r="AF48" s="63">
        <v>6.8392999999999995E-2</v>
      </c>
      <c r="AG48" s="63">
        <v>7.1109000000000006E-2</v>
      </c>
      <c r="AH48" s="63">
        <v>7.3980000000000004E-2</v>
      </c>
      <c r="AI48" s="63">
        <v>7.6939999999999995E-2</v>
      </c>
      <c r="AJ48" s="63">
        <v>8.0197000000000004E-2</v>
      </c>
      <c r="AK48" s="62">
        <v>0.118495</v>
      </c>
    </row>
    <row r="49" spans="1:37" ht="15" customHeight="1" x14ac:dyDescent="0.2">
      <c r="A49" s="57" t="s">
        <v>943</v>
      </c>
      <c r="B49" s="60" t="s">
        <v>919</v>
      </c>
      <c r="C49" s="63">
        <v>0</v>
      </c>
      <c r="D49" s="63">
        <v>3.3470000000000001E-3</v>
      </c>
      <c r="E49" s="63">
        <v>6.9740000000000002E-3</v>
      </c>
      <c r="F49" s="63">
        <v>1.0396000000000001E-2</v>
      </c>
      <c r="G49" s="63">
        <v>1.3783E-2</v>
      </c>
      <c r="H49" s="63">
        <v>1.7523E-2</v>
      </c>
      <c r="I49" s="63">
        <v>2.1343999999999998E-2</v>
      </c>
      <c r="J49" s="63">
        <v>2.5167999999999999E-2</v>
      </c>
      <c r="K49" s="63">
        <v>2.9045000000000001E-2</v>
      </c>
      <c r="L49" s="63">
        <v>3.2967000000000003E-2</v>
      </c>
      <c r="M49" s="63">
        <v>3.6810000000000002E-2</v>
      </c>
      <c r="N49" s="63">
        <v>4.0710000000000003E-2</v>
      </c>
      <c r="O49" s="63">
        <v>4.4437999999999998E-2</v>
      </c>
      <c r="P49" s="63">
        <v>4.8078000000000003E-2</v>
      </c>
      <c r="Q49" s="63">
        <v>5.1576999999999998E-2</v>
      </c>
      <c r="R49" s="63">
        <v>5.4933999999999997E-2</v>
      </c>
      <c r="S49" s="63">
        <v>5.8243000000000003E-2</v>
      </c>
      <c r="T49" s="63">
        <v>6.1468000000000002E-2</v>
      </c>
      <c r="U49" s="63">
        <v>6.4666000000000001E-2</v>
      </c>
      <c r="V49" s="63">
        <v>6.7907999999999996E-2</v>
      </c>
      <c r="W49" s="63">
        <v>7.1141999999999997E-2</v>
      </c>
      <c r="X49" s="63">
        <v>7.4342000000000005E-2</v>
      </c>
      <c r="Y49" s="63">
        <v>7.7485999999999999E-2</v>
      </c>
      <c r="Z49" s="63">
        <v>8.0937999999999996E-2</v>
      </c>
      <c r="AA49" s="63">
        <v>8.4388000000000005E-2</v>
      </c>
      <c r="AB49" s="63">
        <v>8.7859000000000007E-2</v>
      </c>
      <c r="AC49" s="63">
        <v>9.1306999999999999E-2</v>
      </c>
      <c r="AD49" s="63">
        <v>9.4931000000000001E-2</v>
      </c>
      <c r="AE49" s="63">
        <v>9.8815E-2</v>
      </c>
      <c r="AF49" s="63">
        <v>0.102767</v>
      </c>
      <c r="AG49" s="63">
        <v>0.106848</v>
      </c>
      <c r="AH49" s="63">
        <v>0.111162</v>
      </c>
      <c r="AI49" s="63">
        <v>0.11561</v>
      </c>
      <c r="AJ49" s="63">
        <v>0.120504</v>
      </c>
      <c r="AK49" s="62">
        <v>0.118495</v>
      </c>
    </row>
    <row r="50" spans="1:37" ht="15" customHeight="1" x14ac:dyDescent="0.2">
      <c r="A50" s="57" t="s">
        <v>944</v>
      </c>
      <c r="B50" s="60" t="s">
        <v>945</v>
      </c>
      <c r="C50" s="63">
        <v>184.005188</v>
      </c>
      <c r="D50" s="63">
        <v>189.304642</v>
      </c>
      <c r="E50" s="63">
        <v>195.22676100000001</v>
      </c>
      <c r="F50" s="63">
        <v>197.757507</v>
      </c>
      <c r="G50" s="63">
        <v>199.03070099999999</v>
      </c>
      <c r="H50" s="63">
        <v>201.12429800000001</v>
      </c>
      <c r="I50" s="63">
        <v>203.203552</v>
      </c>
      <c r="J50" s="63">
        <v>205.051636</v>
      </c>
      <c r="K50" s="63">
        <v>207.07008400000001</v>
      </c>
      <c r="L50" s="63">
        <v>209.16021699999999</v>
      </c>
      <c r="M50" s="63">
        <v>210.68545499999999</v>
      </c>
      <c r="N50" s="63">
        <v>212.298599</v>
      </c>
      <c r="O50" s="63">
        <v>213.34205600000001</v>
      </c>
      <c r="P50" s="63">
        <v>214.542068</v>
      </c>
      <c r="Q50" s="63">
        <v>215.74951200000001</v>
      </c>
      <c r="R50" s="63">
        <v>216.92742899999999</v>
      </c>
      <c r="S50" s="63">
        <v>218.027252</v>
      </c>
      <c r="T50" s="63">
        <v>219.37228400000001</v>
      </c>
      <c r="U50" s="63">
        <v>221.05291700000001</v>
      </c>
      <c r="V50" s="63">
        <v>222.56549100000001</v>
      </c>
      <c r="W50" s="63">
        <v>224.330399</v>
      </c>
      <c r="X50" s="63">
        <v>225.99804700000001</v>
      </c>
      <c r="Y50" s="63">
        <v>227.60102800000001</v>
      </c>
      <c r="Z50" s="63">
        <v>228.670715</v>
      </c>
      <c r="AA50" s="63">
        <v>230.20396400000001</v>
      </c>
      <c r="AB50" s="63">
        <v>231.493225</v>
      </c>
      <c r="AC50" s="63">
        <v>232.744125</v>
      </c>
      <c r="AD50" s="63">
        <v>234.32818599999999</v>
      </c>
      <c r="AE50" s="63">
        <v>236.06668099999999</v>
      </c>
      <c r="AF50" s="63">
        <v>237.60784899999999</v>
      </c>
      <c r="AG50" s="63">
        <v>239.244888</v>
      </c>
      <c r="AH50" s="63">
        <v>240.981506</v>
      </c>
      <c r="AI50" s="63">
        <v>242.35742200000001</v>
      </c>
      <c r="AJ50" s="63">
        <v>243.85408000000001</v>
      </c>
      <c r="AK50" s="62">
        <v>7.9439999999999997E-3</v>
      </c>
    </row>
    <row r="51" spans="1:37" ht="15" customHeight="1" x14ac:dyDescent="0.2">
      <c r="A51" s="57" t="s">
        <v>946</v>
      </c>
      <c r="B51" s="59" t="s">
        <v>947</v>
      </c>
      <c r="C51" s="69">
        <v>293.01480099999998</v>
      </c>
      <c r="D51" s="69">
        <v>301.08410600000002</v>
      </c>
      <c r="E51" s="69">
        <v>310.16299400000003</v>
      </c>
      <c r="F51" s="69">
        <v>314.97378500000002</v>
      </c>
      <c r="G51" s="69">
        <v>318.52365099999997</v>
      </c>
      <c r="H51" s="69">
        <v>322.93359400000003</v>
      </c>
      <c r="I51" s="69">
        <v>327.53717</v>
      </c>
      <c r="J51" s="69">
        <v>332.058289</v>
      </c>
      <c r="K51" s="69">
        <v>336.86764499999998</v>
      </c>
      <c r="L51" s="69">
        <v>341.94052099999999</v>
      </c>
      <c r="M51" s="69">
        <v>346.35318000000001</v>
      </c>
      <c r="N51" s="69">
        <v>351.29049700000002</v>
      </c>
      <c r="O51" s="69">
        <v>355.69610599999999</v>
      </c>
      <c r="P51" s="69">
        <v>360.20773300000002</v>
      </c>
      <c r="Q51" s="69">
        <v>365.33566300000001</v>
      </c>
      <c r="R51" s="69">
        <v>370.13360599999999</v>
      </c>
      <c r="S51" s="69">
        <v>375.03533900000002</v>
      </c>
      <c r="T51" s="69">
        <v>380.35534699999999</v>
      </c>
      <c r="U51" s="69">
        <v>386.15716600000002</v>
      </c>
      <c r="V51" s="69">
        <v>391.89001500000001</v>
      </c>
      <c r="W51" s="69">
        <v>397.918274</v>
      </c>
      <c r="X51" s="69">
        <v>403.98684700000001</v>
      </c>
      <c r="Y51" s="69">
        <v>409.58651700000001</v>
      </c>
      <c r="Z51" s="69">
        <v>415.03332499999999</v>
      </c>
      <c r="AA51" s="69">
        <v>420.51568600000002</v>
      </c>
      <c r="AB51" s="69">
        <v>425.92861900000003</v>
      </c>
      <c r="AC51" s="69">
        <v>431.32244900000001</v>
      </c>
      <c r="AD51" s="69">
        <v>437.19461100000001</v>
      </c>
      <c r="AE51" s="69">
        <v>443.46176100000002</v>
      </c>
      <c r="AF51" s="69">
        <v>449.68579099999999</v>
      </c>
      <c r="AG51" s="69">
        <v>456.20559700000001</v>
      </c>
      <c r="AH51" s="69">
        <v>462.99740600000001</v>
      </c>
      <c r="AI51" s="69">
        <v>469.49850500000002</v>
      </c>
      <c r="AJ51" s="69">
        <v>476.31561299999998</v>
      </c>
      <c r="AK51" s="66">
        <v>1.4437E-2</v>
      </c>
    </row>
    <row r="52" spans="1:37" ht="15.75" customHeight="1" x14ac:dyDescent="0.2"/>
    <row r="53" spans="1:37" ht="15" customHeight="1" x14ac:dyDescent="0.2">
      <c r="B53" s="59" t="s">
        <v>948</v>
      </c>
    </row>
    <row r="54" spans="1:37" ht="15" customHeight="1" x14ac:dyDescent="0.2">
      <c r="B54" s="59" t="s">
        <v>901</v>
      </c>
    </row>
    <row r="55" spans="1:37" ht="15" customHeight="1" x14ac:dyDescent="0.2">
      <c r="A55" s="57" t="s">
        <v>949</v>
      </c>
      <c r="B55" s="60" t="s">
        <v>903</v>
      </c>
      <c r="C55" s="63">
        <v>421.07257099999998</v>
      </c>
      <c r="D55" s="63">
        <v>428.62927200000001</v>
      </c>
      <c r="E55" s="63">
        <v>434.97189300000002</v>
      </c>
      <c r="F55" s="63">
        <v>438.23880000000003</v>
      </c>
      <c r="G55" s="63">
        <v>441.56359900000001</v>
      </c>
      <c r="H55" s="63">
        <v>441.93344100000002</v>
      </c>
      <c r="I55" s="63">
        <v>442.58660900000001</v>
      </c>
      <c r="J55" s="63">
        <v>443.20230099999998</v>
      </c>
      <c r="K55" s="63">
        <v>443.14770499999997</v>
      </c>
      <c r="L55" s="63">
        <v>442.41061400000001</v>
      </c>
      <c r="M55" s="63">
        <v>440.39837599999998</v>
      </c>
      <c r="N55" s="63">
        <v>440.77621499999998</v>
      </c>
      <c r="O55" s="63">
        <v>440.61215199999998</v>
      </c>
      <c r="P55" s="63">
        <v>441.31921399999999</v>
      </c>
      <c r="Q55" s="63">
        <v>443.67327899999998</v>
      </c>
      <c r="R55" s="63">
        <v>445.47525000000002</v>
      </c>
      <c r="S55" s="63">
        <v>447.97421300000002</v>
      </c>
      <c r="T55" s="63">
        <v>450.572968</v>
      </c>
      <c r="U55" s="63">
        <v>453.78460699999999</v>
      </c>
      <c r="V55" s="63">
        <v>456.64996300000001</v>
      </c>
      <c r="W55" s="63">
        <v>459.51303100000001</v>
      </c>
      <c r="X55" s="63">
        <v>461.97070300000001</v>
      </c>
      <c r="Y55" s="63">
        <v>462.946259</v>
      </c>
      <c r="Z55" s="63">
        <v>464.8974</v>
      </c>
      <c r="AA55" s="63">
        <v>465.10403400000001</v>
      </c>
      <c r="AB55" s="63">
        <v>465.17047100000002</v>
      </c>
      <c r="AC55" s="63">
        <v>464.85879499999999</v>
      </c>
      <c r="AD55" s="63">
        <v>464.51709</v>
      </c>
      <c r="AE55" s="63">
        <v>464.39480600000002</v>
      </c>
      <c r="AF55" s="63">
        <v>464.73046900000003</v>
      </c>
      <c r="AG55" s="63">
        <v>465.38476600000001</v>
      </c>
      <c r="AH55" s="63">
        <v>465.834137</v>
      </c>
      <c r="AI55" s="63">
        <v>466.673248</v>
      </c>
      <c r="AJ55" s="63">
        <v>467.63400300000001</v>
      </c>
      <c r="AK55" s="62">
        <v>2.725E-3</v>
      </c>
    </row>
    <row r="56" spans="1:37" ht="15" customHeight="1" x14ac:dyDescent="0.2">
      <c r="A56" s="57" t="s">
        <v>950</v>
      </c>
      <c r="B56" s="60" t="s">
        <v>905</v>
      </c>
      <c r="C56" s="63">
        <v>159.64492799999999</v>
      </c>
      <c r="D56" s="63">
        <v>161.338638</v>
      </c>
      <c r="E56" s="63">
        <v>162.90081799999999</v>
      </c>
      <c r="F56" s="63">
        <v>163.96824599999999</v>
      </c>
      <c r="G56" s="63">
        <v>165.535034</v>
      </c>
      <c r="H56" s="63">
        <v>166.36462399999999</v>
      </c>
      <c r="I56" s="63">
        <v>167.512878</v>
      </c>
      <c r="J56" s="63">
        <v>168.80389400000001</v>
      </c>
      <c r="K56" s="63">
        <v>170.11644000000001</v>
      </c>
      <c r="L56" s="63">
        <v>171.52681000000001</v>
      </c>
      <c r="M56" s="63">
        <v>172.45697000000001</v>
      </c>
      <c r="N56" s="63">
        <v>173.94795199999999</v>
      </c>
      <c r="O56" s="63">
        <v>175.52186599999999</v>
      </c>
      <c r="P56" s="63">
        <v>177.21077</v>
      </c>
      <c r="Q56" s="63">
        <v>179.53555299999999</v>
      </c>
      <c r="R56" s="63">
        <v>181.979919</v>
      </c>
      <c r="S56" s="63">
        <v>185.33613600000001</v>
      </c>
      <c r="T56" s="63">
        <v>188.67643699999999</v>
      </c>
      <c r="U56" s="63">
        <v>192.53710899999999</v>
      </c>
      <c r="V56" s="63">
        <v>196.89381399999999</v>
      </c>
      <c r="W56" s="63">
        <v>201.33393899999999</v>
      </c>
      <c r="X56" s="63">
        <v>205.77995300000001</v>
      </c>
      <c r="Y56" s="63">
        <v>209.51385500000001</v>
      </c>
      <c r="Z56" s="63">
        <v>214.014725</v>
      </c>
      <c r="AA56" s="63">
        <v>217.58680699999999</v>
      </c>
      <c r="AB56" s="63">
        <v>221.099289</v>
      </c>
      <c r="AC56" s="63">
        <v>224.47189299999999</v>
      </c>
      <c r="AD56" s="63">
        <v>227.88591</v>
      </c>
      <c r="AE56" s="63">
        <v>231.51246599999999</v>
      </c>
      <c r="AF56" s="63">
        <v>235.337402</v>
      </c>
      <c r="AG56" s="63">
        <v>239.41059899999999</v>
      </c>
      <c r="AH56" s="63">
        <v>243.41171299999999</v>
      </c>
      <c r="AI56" s="63">
        <v>247.549103</v>
      </c>
      <c r="AJ56" s="63">
        <v>251.76054400000001</v>
      </c>
      <c r="AK56" s="62">
        <v>1.4003E-2</v>
      </c>
    </row>
    <row r="57" spans="1:37" ht="15" customHeight="1" x14ac:dyDescent="0.2">
      <c r="A57" s="57" t="s">
        <v>951</v>
      </c>
      <c r="B57" s="60" t="s">
        <v>907</v>
      </c>
      <c r="C57" s="63">
        <v>1.8696000000000001E-2</v>
      </c>
      <c r="D57" s="63">
        <v>6.8598000000000006E-2</v>
      </c>
      <c r="E57" s="63">
        <v>0.120615</v>
      </c>
      <c r="F57" s="63">
        <v>0.17078299999999999</v>
      </c>
      <c r="G57" s="63">
        <v>0.21857199999999999</v>
      </c>
      <c r="H57" s="63">
        <v>0.26278299999999999</v>
      </c>
      <c r="I57" s="63">
        <v>0.30685200000000001</v>
      </c>
      <c r="J57" s="63">
        <v>0.35062599999999999</v>
      </c>
      <c r="K57" s="63">
        <v>0.39366699999999999</v>
      </c>
      <c r="L57" s="63">
        <v>0.43601600000000001</v>
      </c>
      <c r="M57" s="63">
        <v>0.47674699999999998</v>
      </c>
      <c r="N57" s="63">
        <v>0.52044199999999996</v>
      </c>
      <c r="O57" s="63">
        <v>0.56362699999999999</v>
      </c>
      <c r="P57" s="63">
        <v>0.60775400000000002</v>
      </c>
      <c r="Q57" s="63">
        <v>0.65335200000000004</v>
      </c>
      <c r="R57" s="63">
        <v>0.70160100000000003</v>
      </c>
      <c r="S57" s="63">
        <v>0.75008699999999995</v>
      </c>
      <c r="T57" s="63">
        <v>0.79902700000000004</v>
      </c>
      <c r="U57" s="63">
        <v>0.85284899999999997</v>
      </c>
      <c r="V57" s="63">
        <v>0.90869299999999997</v>
      </c>
      <c r="W57" s="63">
        <v>0.96638999999999997</v>
      </c>
      <c r="X57" s="63">
        <v>1.02586</v>
      </c>
      <c r="Y57" s="63">
        <v>1.0835950000000001</v>
      </c>
      <c r="Z57" s="63">
        <v>1.143052</v>
      </c>
      <c r="AA57" s="63">
        <v>1.201173</v>
      </c>
      <c r="AB57" s="63">
        <v>1.2580610000000001</v>
      </c>
      <c r="AC57" s="63">
        <v>1.313269</v>
      </c>
      <c r="AD57" s="63">
        <v>1.3708929999999999</v>
      </c>
      <c r="AE57" s="63">
        <v>1.4325270000000001</v>
      </c>
      <c r="AF57" s="63">
        <v>1.496977</v>
      </c>
      <c r="AG57" s="63">
        <v>1.5644130000000001</v>
      </c>
      <c r="AH57" s="63">
        <v>1.636668</v>
      </c>
      <c r="AI57" s="63">
        <v>1.7133179999999999</v>
      </c>
      <c r="AJ57" s="63">
        <v>1.797256</v>
      </c>
      <c r="AK57" s="62">
        <v>0.107444</v>
      </c>
    </row>
    <row r="58" spans="1:37" ht="15" customHeight="1" x14ac:dyDescent="0.2">
      <c r="A58" s="57" t="s">
        <v>952</v>
      </c>
      <c r="B58" s="60" t="s">
        <v>909</v>
      </c>
      <c r="C58" s="63">
        <v>2.062E-3</v>
      </c>
      <c r="D58" s="63">
        <v>3.2146000000000001E-2</v>
      </c>
      <c r="E58" s="63">
        <v>6.5713999999999995E-2</v>
      </c>
      <c r="F58" s="63">
        <v>9.7362000000000004E-2</v>
      </c>
      <c r="G58" s="63">
        <v>0.12724299999999999</v>
      </c>
      <c r="H58" s="63">
        <v>0.154783</v>
      </c>
      <c r="I58" s="63">
        <v>0.182111</v>
      </c>
      <c r="J58" s="63">
        <v>0.20980199999999999</v>
      </c>
      <c r="K58" s="63">
        <v>0.23774500000000001</v>
      </c>
      <c r="L58" s="63">
        <v>0.266181</v>
      </c>
      <c r="M58" s="63">
        <v>0.29478199999999999</v>
      </c>
      <c r="N58" s="63">
        <v>0.32671</v>
      </c>
      <c r="O58" s="63">
        <v>0.35945300000000002</v>
      </c>
      <c r="P58" s="63">
        <v>0.39486700000000002</v>
      </c>
      <c r="Q58" s="63">
        <v>0.43365700000000001</v>
      </c>
      <c r="R58" s="63">
        <v>0.47603200000000001</v>
      </c>
      <c r="S58" s="63">
        <v>0.523814</v>
      </c>
      <c r="T58" s="63">
        <v>0.57704299999999997</v>
      </c>
      <c r="U58" s="63">
        <v>0.63655399999999995</v>
      </c>
      <c r="V58" s="63">
        <v>0.70297500000000002</v>
      </c>
      <c r="W58" s="63">
        <v>0.77712300000000001</v>
      </c>
      <c r="X58" s="63">
        <v>0.86010900000000001</v>
      </c>
      <c r="Y58" s="63">
        <v>0.95043699999999998</v>
      </c>
      <c r="Z58" s="63">
        <v>1.0524340000000001</v>
      </c>
      <c r="AA58" s="63">
        <v>1.164596</v>
      </c>
      <c r="AB58" s="63">
        <v>1.2878620000000001</v>
      </c>
      <c r="AC58" s="63">
        <v>1.422949</v>
      </c>
      <c r="AD58" s="63">
        <v>1.575896</v>
      </c>
      <c r="AE58" s="63">
        <v>1.7500720000000001</v>
      </c>
      <c r="AF58" s="63">
        <v>1.9455800000000001</v>
      </c>
      <c r="AG58" s="63">
        <v>2.1642890000000001</v>
      </c>
      <c r="AH58" s="63">
        <v>2.4107720000000001</v>
      </c>
      <c r="AI58" s="63">
        <v>2.685772</v>
      </c>
      <c r="AJ58" s="63">
        <v>2.99356</v>
      </c>
      <c r="AK58" s="62">
        <v>0.15221399999999999</v>
      </c>
    </row>
    <row r="59" spans="1:37" ht="15" customHeight="1" x14ac:dyDescent="0.2">
      <c r="A59" s="57" t="s">
        <v>953</v>
      </c>
      <c r="B59" s="60" t="s">
        <v>911</v>
      </c>
      <c r="C59" s="63">
        <v>38.436489000000002</v>
      </c>
      <c r="D59" s="63">
        <v>43.220706999999997</v>
      </c>
      <c r="E59" s="63">
        <v>47.729762999999998</v>
      </c>
      <c r="F59" s="63">
        <v>51.781821999999998</v>
      </c>
      <c r="G59" s="63">
        <v>55.605091000000002</v>
      </c>
      <c r="H59" s="63">
        <v>58.935336999999997</v>
      </c>
      <c r="I59" s="63">
        <v>62.183365000000002</v>
      </c>
      <c r="J59" s="63">
        <v>65.332024000000004</v>
      </c>
      <c r="K59" s="63">
        <v>68.427383000000006</v>
      </c>
      <c r="L59" s="63">
        <v>71.507560999999995</v>
      </c>
      <c r="M59" s="63">
        <v>74.429046999999997</v>
      </c>
      <c r="N59" s="63">
        <v>77.779251000000002</v>
      </c>
      <c r="O59" s="63">
        <v>81.091080000000005</v>
      </c>
      <c r="P59" s="63">
        <v>84.596587999999997</v>
      </c>
      <c r="Q59" s="63">
        <v>88.225112999999993</v>
      </c>
      <c r="R59" s="63">
        <v>91.986419999999995</v>
      </c>
      <c r="S59" s="63">
        <v>95.994895999999997</v>
      </c>
      <c r="T59" s="63">
        <v>99.902480999999995</v>
      </c>
      <c r="U59" s="63">
        <v>103.912582</v>
      </c>
      <c r="V59" s="63">
        <v>108.087898</v>
      </c>
      <c r="W59" s="63">
        <v>112.48613</v>
      </c>
      <c r="X59" s="63">
        <v>116.982185</v>
      </c>
      <c r="Y59" s="63">
        <v>121.75457</v>
      </c>
      <c r="Z59" s="63">
        <v>127.03774300000001</v>
      </c>
      <c r="AA59" s="63">
        <v>132.46637000000001</v>
      </c>
      <c r="AB59" s="63">
        <v>138.08168000000001</v>
      </c>
      <c r="AC59" s="63">
        <v>143.801895</v>
      </c>
      <c r="AD59" s="63">
        <v>149.85707099999999</v>
      </c>
      <c r="AE59" s="63">
        <v>156.444107</v>
      </c>
      <c r="AF59" s="63">
        <v>163.213303</v>
      </c>
      <c r="AG59" s="63">
        <v>170.46049500000001</v>
      </c>
      <c r="AH59" s="63">
        <v>177.73332199999999</v>
      </c>
      <c r="AI59" s="63">
        <v>185.506912</v>
      </c>
      <c r="AJ59" s="63">
        <v>193.50152600000001</v>
      </c>
      <c r="AK59" s="62">
        <v>4.7957E-2</v>
      </c>
    </row>
    <row r="60" spans="1:37" ht="15" customHeight="1" x14ac:dyDescent="0.2">
      <c r="A60" s="57" t="s">
        <v>954</v>
      </c>
      <c r="B60" s="60" t="s">
        <v>913</v>
      </c>
      <c r="C60" s="63">
        <v>8.0459999999999993E-3</v>
      </c>
      <c r="D60" s="63">
        <v>0.15003</v>
      </c>
      <c r="E60" s="63">
        <v>0.30063899999999999</v>
      </c>
      <c r="F60" s="63">
        <v>0.460121</v>
      </c>
      <c r="G60" s="63">
        <v>0.62648499999999996</v>
      </c>
      <c r="H60" s="63">
        <v>0.79138699999999995</v>
      </c>
      <c r="I60" s="63">
        <v>0.95980100000000002</v>
      </c>
      <c r="J60" s="63">
        <v>1.1296710000000001</v>
      </c>
      <c r="K60" s="63">
        <v>1.298994</v>
      </c>
      <c r="L60" s="63">
        <v>1.4676100000000001</v>
      </c>
      <c r="M60" s="63">
        <v>1.63245</v>
      </c>
      <c r="N60" s="63">
        <v>1.8056410000000001</v>
      </c>
      <c r="O60" s="63">
        <v>1.976529</v>
      </c>
      <c r="P60" s="63">
        <v>2.1510129999999998</v>
      </c>
      <c r="Q60" s="63">
        <v>2.3309489999999999</v>
      </c>
      <c r="R60" s="63">
        <v>2.515593</v>
      </c>
      <c r="S60" s="63">
        <v>2.7098680000000002</v>
      </c>
      <c r="T60" s="63">
        <v>2.9113899999999999</v>
      </c>
      <c r="U60" s="63">
        <v>3.1230730000000002</v>
      </c>
      <c r="V60" s="63">
        <v>3.3458060000000001</v>
      </c>
      <c r="W60" s="63">
        <v>3.5759300000000001</v>
      </c>
      <c r="X60" s="63">
        <v>3.8127550000000001</v>
      </c>
      <c r="Y60" s="63">
        <v>4.050529</v>
      </c>
      <c r="Z60" s="63">
        <v>4.3011559999999998</v>
      </c>
      <c r="AA60" s="63">
        <v>4.5457809999999998</v>
      </c>
      <c r="AB60" s="63">
        <v>4.7860259999999997</v>
      </c>
      <c r="AC60" s="63">
        <v>5.0204230000000001</v>
      </c>
      <c r="AD60" s="63">
        <v>5.2642150000000001</v>
      </c>
      <c r="AE60" s="63">
        <v>5.5239919999999998</v>
      </c>
      <c r="AF60" s="63">
        <v>5.7932959999999998</v>
      </c>
      <c r="AG60" s="63">
        <v>6.0734329999999996</v>
      </c>
      <c r="AH60" s="63">
        <v>6.3736940000000004</v>
      </c>
      <c r="AI60" s="63">
        <v>6.6911560000000003</v>
      </c>
      <c r="AJ60" s="63">
        <v>7.030945</v>
      </c>
      <c r="AK60" s="62">
        <v>0.127752</v>
      </c>
    </row>
    <row r="61" spans="1:37" ht="15" customHeight="1" x14ac:dyDescent="0.2">
      <c r="A61" s="57" t="s">
        <v>955</v>
      </c>
      <c r="B61" s="60" t="s">
        <v>915</v>
      </c>
      <c r="C61" s="63">
        <v>0</v>
      </c>
      <c r="D61" s="63">
        <v>0</v>
      </c>
      <c r="E61" s="63">
        <v>0</v>
      </c>
      <c r="F61" s="63">
        <v>3.6407000000000002E-2</v>
      </c>
      <c r="G61" s="63">
        <v>7.3520000000000002E-2</v>
      </c>
      <c r="H61" s="63">
        <v>0.11157400000000001</v>
      </c>
      <c r="I61" s="63">
        <v>0.151034</v>
      </c>
      <c r="J61" s="63">
        <v>0.19117500000000001</v>
      </c>
      <c r="K61" s="63">
        <v>0.23122999999999999</v>
      </c>
      <c r="L61" s="63">
        <v>0.27076699999999998</v>
      </c>
      <c r="M61" s="63">
        <v>0.30877100000000002</v>
      </c>
      <c r="N61" s="63">
        <v>0.34762900000000002</v>
      </c>
      <c r="O61" s="63">
        <v>0.38478800000000002</v>
      </c>
      <c r="P61" s="63">
        <v>0.42154000000000003</v>
      </c>
      <c r="Q61" s="63">
        <v>0.45874799999999999</v>
      </c>
      <c r="R61" s="63">
        <v>0.496172</v>
      </c>
      <c r="S61" s="63">
        <v>0.53489500000000001</v>
      </c>
      <c r="T61" s="63">
        <v>0.57446900000000001</v>
      </c>
      <c r="U61" s="63">
        <v>0.61553500000000005</v>
      </c>
      <c r="V61" s="63">
        <v>0.65843099999999999</v>
      </c>
      <c r="W61" s="63">
        <v>0.70334200000000002</v>
      </c>
      <c r="X61" s="63">
        <v>0.75043400000000005</v>
      </c>
      <c r="Y61" s="63">
        <v>0.79770300000000005</v>
      </c>
      <c r="Z61" s="63">
        <v>0.84734500000000001</v>
      </c>
      <c r="AA61" s="63">
        <v>0.89698900000000004</v>
      </c>
      <c r="AB61" s="63">
        <v>0.94664599999999999</v>
      </c>
      <c r="AC61" s="63">
        <v>0.99405900000000003</v>
      </c>
      <c r="AD61" s="63">
        <v>1.0424979999999999</v>
      </c>
      <c r="AE61" s="63">
        <v>1.0934330000000001</v>
      </c>
      <c r="AF61" s="63">
        <v>1.14578</v>
      </c>
      <c r="AG61" s="63">
        <v>1.1999329999999999</v>
      </c>
      <c r="AH61" s="63">
        <v>1.257482</v>
      </c>
      <c r="AI61" s="63">
        <v>1.318009</v>
      </c>
      <c r="AJ61" s="63">
        <v>1.38188</v>
      </c>
      <c r="AK61" s="62" t="s">
        <v>467</v>
      </c>
    </row>
    <row r="62" spans="1:37" ht="15" customHeight="1" x14ac:dyDescent="0.2">
      <c r="A62" s="57" t="s">
        <v>956</v>
      </c>
      <c r="B62" s="60" t="s">
        <v>917</v>
      </c>
      <c r="C62" s="63">
        <v>0</v>
      </c>
      <c r="D62" s="63">
        <v>0</v>
      </c>
      <c r="E62" s="63">
        <v>0</v>
      </c>
      <c r="F62" s="63">
        <v>3.7451999999999999E-2</v>
      </c>
      <c r="G62" s="63">
        <v>7.5627E-2</v>
      </c>
      <c r="H62" s="63">
        <v>0.115074</v>
      </c>
      <c r="I62" s="63">
        <v>0.15631600000000001</v>
      </c>
      <c r="J62" s="63">
        <v>0.198652</v>
      </c>
      <c r="K62" s="63">
        <v>0.241344</v>
      </c>
      <c r="L62" s="63">
        <v>0.28400999999999998</v>
      </c>
      <c r="M62" s="63">
        <v>0.32561200000000001</v>
      </c>
      <c r="N62" s="63">
        <v>0.368732</v>
      </c>
      <c r="O62" s="63">
        <v>0.41078900000000002</v>
      </c>
      <c r="P62" s="63">
        <v>0.452986</v>
      </c>
      <c r="Q62" s="63">
        <v>0.495643</v>
      </c>
      <c r="R62" s="63">
        <v>0.53861700000000001</v>
      </c>
      <c r="S62" s="63">
        <v>0.583152</v>
      </c>
      <c r="T62" s="63">
        <v>0.62879600000000002</v>
      </c>
      <c r="U62" s="63">
        <v>0.67624499999999999</v>
      </c>
      <c r="V62" s="63">
        <v>0.72579300000000002</v>
      </c>
      <c r="W62" s="63">
        <v>0.777613</v>
      </c>
      <c r="X62" s="63">
        <v>0.83215600000000001</v>
      </c>
      <c r="Y62" s="63">
        <v>0.88697999999999999</v>
      </c>
      <c r="Z62" s="63">
        <v>0.94449099999999997</v>
      </c>
      <c r="AA62" s="63">
        <v>1.002006</v>
      </c>
      <c r="AB62" s="63">
        <v>1.0594410000000001</v>
      </c>
      <c r="AC62" s="63">
        <v>1.11436</v>
      </c>
      <c r="AD62" s="63">
        <v>1.1703460000000001</v>
      </c>
      <c r="AE62" s="63">
        <v>1.2289749999999999</v>
      </c>
      <c r="AF62" s="63">
        <v>1.2889870000000001</v>
      </c>
      <c r="AG62" s="63">
        <v>1.350803</v>
      </c>
      <c r="AH62" s="63">
        <v>1.4162079999999999</v>
      </c>
      <c r="AI62" s="63">
        <v>1.4848030000000001</v>
      </c>
      <c r="AJ62" s="63">
        <v>1.556978</v>
      </c>
      <c r="AK62" s="62" t="s">
        <v>467</v>
      </c>
    </row>
    <row r="63" spans="1:37" ht="15" customHeight="1" x14ac:dyDescent="0.2">
      <c r="A63" s="57" t="s">
        <v>957</v>
      </c>
      <c r="B63" s="60" t="s">
        <v>919</v>
      </c>
      <c r="C63" s="63">
        <v>0</v>
      </c>
      <c r="D63" s="63">
        <v>0</v>
      </c>
      <c r="E63" s="63">
        <v>0</v>
      </c>
      <c r="F63" s="63">
        <v>0</v>
      </c>
      <c r="G63" s="63">
        <v>0</v>
      </c>
      <c r="H63" s="63">
        <v>0</v>
      </c>
      <c r="I63" s="63">
        <v>0</v>
      </c>
      <c r="J63" s="63">
        <v>0</v>
      </c>
      <c r="K63" s="63">
        <v>0</v>
      </c>
      <c r="L63" s="63">
        <v>0</v>
      </c>
      <c r="M63" s="63">
        <v>0</v>
      </c>
      <c r="N63" s="63">
        <v>0</v>
      </c>
      <c r="O63" s="63">
        <v>0</v>
      </c>
      <c r="P63" s="63">
        <v>0</v>
      </c>
      <c r="Q63" s="63">
        <v>0</v>
      </c>
      <c r="R63" s="63">
        <v>0</v>
      </c>
      <c r="S63" s="63">
        <v>0</v>
      </c>
      <c r="T63" s="63">
        <v>0</v>
      </c>
      <c r="U63" s="63">
        <v>0</v>
      </c>
      <c r="V63" s="63">
        <v>0</v>
      </c>
      <c r="W63" s="63">
        <v>0</v>
      </c>
      <c r="X63" s="63">
        <v>0</v>
      </c>
      <c r="Y63" s="63">
        <v>0</v>
      </c>
      <c r="Z63" s="63">
        <v>0</v>
      </c>
      <c r="AA63" s="63">
        <v>0</v>
      </c>
      <c r="AB63" s="63">
        <v>0</v>
      </c>
      <c r="AC63" s="63">
        <v>0</v>
      </c>
      <c r="AD63" s="63">
        <v>0</v>
      </c>
      <c r="AE63" s="63">
        <v>0</v>
      </c>
      <c r="AF63" s="63">
        <v>0</v>
      </c>
      <c r="AG63" s="63">
        <v>0</v>
      </c>
      <c r="AH63" s="63">
        <v>0</v>
      </c>
      <c r="AI63" s="63">
        <v>0</v>
      </c>
      <c r="AJ63" s="63">
        <v>0</v>
      </c>
      <c r="AK63" s="62" t="s">
        <v>467</v>
      </c>
    </row>
    <row r="64" spans="1:37" ht="15" customHeight="1" x14ac:dyDescent="0.2">
      <c r="A64" s="57" t="s">
        <v>958</v>
      </c>
      <c r="B64" s="60" t="s">
        <v>921</v>
      </c>
      <c r="C64" s="63">
        <v>619.18280000000004</v>
      </c>
      <c r="D64" s="63">
        <v>633.43926999999996</v>
      </c>
      <c r="E64" s="63">
        <v>646.08953899999995</v>
      </c>
      <c r="F64" s="63">
        <v>654.79132100000004</v>
      </c>
      <c r="G64" s="63">
        <v>663.82519500000001</v>
      </c>
      <c r="H64" s="63">
        <v>668.66906700000004</v>
      </c>
      <c r="I64" s="63">
        <v>674.03881799999999</v>
      </c>
      <c r="J64" s="63">
        <v>679.41815199999996</v>
      </c>
      <c r="K64" s="63">
        <v>684.09436000000005</v>
      </c>
      <c r="L64" s="63">
        <v>688.16961700000002</v>
      </c>
      <c r="M64" s="63">
        <v>690.322632</v>
      </c>
      <c r="N64" s="63">
        <v>695.87243699999999</v>
      </c>
      <c r="O64" s="63">
        <v>700.92010500000004</v>
      </c>
      <c r="P64" s="63">
        <v>707.15472399999999</v>
      </c>
      <c r="Q64" s="63">
        <v>715.80609100000004</v>
      </c>
      <c r="R64" s="63">
        <v>724.16949499999998</v>
      </c>
      <c r="S64" s="63">
        <v>734.40673800000002</v>
      </c>
      <c r="T64" s="63">
        <v>744.64288299999998</v>
      </c>
      <c r="U64" s="63">
        <v>756.13836700000002</v>
      </c>
      <c r="V64" s="63">
        <v>767.97326699999996</v>
      </c>
      <c r="W64" s="63">
        <v>780.13342299999999</v>
      </c>
      <c r="X64" s="63">
        <v>792.01415999999995</v>
      </c>
      <c r="Y64" s="63">
        <v>801.98370399999999</v>
      </c>
      <c r="Z64" s="63">
        <v>814.23852499999998</v>
      </c>
      <c r="AA64" s="63">
        <v>823.96783400000004</v>
      </c>
      <c r="AB64" s="63">
        <v>833.68933100000004</v>
      </c>
      <c r="AC64" s="63">
        <v>842.99786400000005</v>
      </c>
      <c r="AD64" s="63">
        <v>852.68408199999999</v>
      </c>
      <c r="AE64" s="63">
        <v>863.38006600000006</v>
      </c>
      <c r="AF64" s="63">
        <v>874.95147699999995</v>
      </c>
      <c r="AG64" s="63">
        <v>887.60870399999999</v>
      </c>
      <c r="AH64" s="63">
        <v>900.07403599999998</v>
      </c>
      <c r="AI64" s="63">
        <v>913.62188700000002</v>
      </c>
      <c r="AJ64" s="63">
        <v>927.65679899999998</v>
      </c>
      <c r="AK64" s="62">
        <v>1.1993E-2</v>
      </c>
    </row>
    <row r="65" spans="1:37" ht="15" customHeight="1" x14ac:dyDescent="0.2">
      <c r="B65" s="59" t="s">
        <v>922</v>
      </c>
    </row>
    <row r="66" spans="1:37" ht="15" customHeight="1" x14ac:dyDescent="0.2">
      <c r="A66" s="57" t="s">
        <v>959</v>
      </c>
      <c r="B66" s="60" t="s">
        <v>903</v>
      </c>
      <c r="C66" s="63">
        <v>556.53283699999997</v>
      </c>
      <c r="D66" s="63">
        <v>560.62408400000004</v>
      </c>
      <c r="E66" s="63">
        <v>569.47674600000005</v>
      </c>
      <c r="F66" s="63">
        <v>572.95593299999996</v>
      </c>
      <c r="G66" s="63">
        <v>574.00036599999999</v>
      </c>
      <c r="H66" s="63">
        <v>578.46807899999999</v>
      </c>
      <c r="I66" s="63">
        <v>582.62603799999999</v>
      </c>
      <c r="J66" s="63">
        <v>585.46301300000005</v>
      </c>
      <c r="K66" s="63">
        <v>588.40454099999999</v>
      </c>
      <c r="L66" s="63">
        <v>591.02264400000001</v>
      </c>
      <c r="M66" s="63">
        <v>593.18847700000003</v>
      </c>
      <c r="N66" s="63">
        <v>595.47582999999997</v>
      </c>
      <c r="O66" s="63">
        <v>597.30773899999997</v>
      </c>
      <c r="P66" s="63">
        <v>597.72882100000004</v>
      </c>
      <c r="Q66" s="63">
        <v>600.37744099999998</v>
      </c>
      <c r="R66" s="63">
        <v>601.58441200000004</v>
      </c>
      <c r="S66" s="63">
        <v>603.51025400000003</v>
      </c>
      <c r="T66" s="63">
        <v>607.32476799999995</v>
      </c>
      <c r="U66" s="63">
        <v>613.66851799999995</v>
      </c>
      <c r="V66" s="63">
        <v>621.42108199999996</v>
      </c>
      <c r="W66" s="63">
        <v>630.50195299999996</v>
      </c>
      <c r="X66" s="63">
        <v>640.696594</v>
      </c>
      <c r="Y66" s="63">
        <v>650.79901099999995</v>
      </c>
      <c r="Z66" s="63">
        <v>661.86651600000005</v>
      </c>
      <c r="AA66" s="63">
        <v>671.93603499999995</v>
      </c>
      <c r="AB66" s="63">
        <v>685.05304000000001</v>
      </c>
      <c r="AC66" s="63">
        <v>699.97906499999999</v>
      </c>
      <c r="AD66" s="63">
        <v>716.47705099999996</v>
      </c>
      <c r="AE66" s="63">
        <v>733.45330799999999</v>
      </c>
      <c r="AF66" s="63">
        <v>751.72070299999996</v>
      </c>
      <c r="AG66" s="63">
        <v>771.32397500000002</v>
      </c>
      <c r="AH66" s="63">
        <v>791.72436500000003</v>
      </c>
      <c r="AI66" s="63">
        <v>812.43786599999999</v>
      </c>
      <c r="AJ66" s="63">
        <v>833.99005099999999</v>
      </c>
      <c r="AK66" s="62">
        <v>1.2489E-2</v>
      </c>
    </row>
    <row r="67" spans="1:37" ht="15" customHeight="1" x14ac:dyDescent="0.2">
      <c r="A67" s="57" t="s">
        <v>960</v>
      </c>
      <c r="B67" s="60" t="s">
        <v>905</v>
      </c>
      <c r="C67" s="63">
        <v>314.51889</v>
      </c>
      <c r="D67" s="63">
        <v>309.83703600000001</v>
      </c>
      <c r="E67" s="63">
        <v>308.56381199999998</v>
      </c>
      <c r="F67" s="63">
        <v>305.952271</v>
      </c>
      <c r="G67" s="63">
        <v>302.55242900000002</v>
      </c>
      <c r="H67" s="63">
        <v>300.77383400000002</v>
      </c>
      <c r="I67" s="63">
        <v>299.84695399999998</v>
      </c>
      <c r="J67" s="63">
        <v>300.37066700000003</v>
      </c>
      <c r="K67" s="63">
        <v>300.308044</v>
      </c>
      <c r="L67" s="63">
        <v>301.59848</v>
      </c>
      <c r="M67" s="63">
        <v>301.93789700000002</v>
      </c>
      <c r="N67" s="63">
        <v>303.01904300000001</v>
      </c>
      <c r="O67" s="63">
        <v>305.74752799999999</v>
      </c>
      <c r="P67" s="63">
        <v>305.28469799999999</v>
      </c>
      <c r="Q67" s="63">
        <v>308.50018299999999</v>
      </c>
      <c r="R67" s="63">
        <v>309.00659200000001</v>
      </c>
      <c r="S67" s="63">
        <v>309.48019399999998</v>
      </c>
      <c r="T67" s="63">
        <v>312.61099200000001</v>
      </c>
      <c r="U67" s="63">
        <v>315.47067299999998</v>
      </c>
      <c r="V67" s="63">
        <v>319.42767300000003</v>
      </c>
      <c r="W67" s="63">
        <v>322.84826700000002</v>
      </c>
      <c r="X67" s="63">
        <v>328.76461799999998</v>
      </c>
      <c r="Y67" s="63">
        <v>332.10864299999997</v>
      </c>
      <c r="Z67" s="63">
        <v>337.22937000000002</v>
      </c>
      <c r="AA67" s="63">
        <v>341.59841899999998</v>
      </c>
      <c r="AB67" s="63">
        <v>347.24838299999999</v>
      </c>
      <c r="AC67" s="63">
        <v>353.95550500000002</v>
      </c>
      <c r="AD67" s="63">
        <v>360.22778299999999</v>
      </c>
      <c r="AE67" s="63">
        <v>366.84982300000001</v>
      </c>
      <c r="AF67" s="63">
        <v>373.544464</v>
      </c>
      <c r="AG67" s="63">
        <v>380.464111</v>
      </c>
      <c r="AH67" s="63">
        <v>388.506958</v>
      </c>
      <c r="AI67" s="63">
        <v>394.89712500000002</v>
      </c>
      <c r="AJ67" s="63">
        <v>402.490387</v>
      </c>
      <c r="AK67" s="62">
        <v>8.2089999999999993E-3</v>
      </c>
    </row>
    <row r="68" spans="1:37" ht="15" customHeight="1" x14ac:dyDescent="0.2">
      <c r="A68" s="57" t="s">
        <v>961</v>
      </c>
      <c r="B68" s="60" t="s">
        <v>907</v>
      </c>
      <c r="C68" s="63">
        <v>0.916995</v>
      </c>
      <c r="D68" s="63">
        <v>0.97379099999999996</v>
      </c>
      <c r="E68" s="63">
        <v>1.040497</v>
      </c>
      <c r="F68" s="63">
        <v>1.097607</v>
      </c>
      <c r="G68" s="63">
        <v>1.15185</v>
      </c>
      <c r="H68" s="63">
        <v>1.205884</v>
      </c>
      <c r="I68" s="63">
        <v>1.2549360000000001</v>
      </c>
      <c r="J68" s="63">
        <v>1.295695</v>
      </c>
      <c r="K68" s="63">
        <v>1.333585</v>
      </c>
      <c r="L68" s="63">
        <v>1.363917</v>
      </c>
      <c r="M68" s="63">
        <v>1.39286</v>
      </c>
      <c r="N68" s="63">
        <v>1.4081459999999999</v>
      </c>
      <c r="O68" s="63">
        <v>1.4287749999999999</v>
      </c>
      <c r="P68" s="63">
        <v>1.4426589999999999</v>
      </c>
      <c r="Q68" s="63">
        <v>1.4569350000000001</v>
      </c>
      <c r="R68" s="63">
        <v>1.4938290000000001</v>
      </c>
      <c r="S68" s="63">
        <v>1.5272570000000001</v>
      </c>
      <c r="T68" s="63">
        <v>1.562846</v>
      </c>
      <c r="U68" s="63">
        <v>1.612787</v>
      </c>
      <c r="V68" s="63">
        <v>1.670801</v>
      </c>
      <c r="W68" s="63">
        <v>1.7384759999999999</v>
      </c>
      <c r="X68" s="63">
        <v>1.81599</v>
      </c>
      <c r="Y68" s="63">
        <v>1.9001110000000001</v>
      </c>
      <c r="Z68" s="63">
        <v>1.995452</v>
      </c>
      <c r="AA68" s="63">
        <v>2.0964399999999999</v>
      </c>
      <c r="AB68" s="63">
        <v>2.2040280000000001</v>
      </c>
      <c r="AC68" s="63">
        <v>2.3169430000000002</v>
      </c>
      <c r="AD68" s="63">
        <v>2.4394809999999998</v>
      </c>
      <c r="AE68" s="63">
        <v>2.5743299999999998</v>
      </c>
      <c r="AF68" s="63">
        <v>2.7162310000000001</v>
      </c>
      <c r="AG68" s="63">
        <v>2.9088210000000001</v>
      </c>
      <c r="AH68" s="63">
        <v>3.023139</v>
      </c>
      <c r="AI68" s="63">
        <v>3.1869900000000002</v>
      </c>
      <c r="AJ68" s="63">
        <v>3.3680330000000001</v>
      </c>
      <c r="AK68" s="62">
        <v>3.9538999999999998E-2</v>
      </c>
    </row>
    <row r="69" spans="1:37" ht="15" customHeight="1" x14ac:dyDescent="0.2">
      <c r="A69" s="57" t="s">
        <v>962</v>
      </c>
      <c r="B69" s="60" t="s">
        <v>909</v>
      </c>
      <c r="C69" s="63">
        <v>0.64293800000000001</v>
      </c>
      <c r="D69" s="63">
        <v>0.83650000000000002</v>
      </c>
      <c r="E69" s="63">
        <v>1.046287</v>
      </c>
      <c r="F69" s="63">
        <v>1.230534</v>
      </c>
      <c r="G69" s="63">
        <v>1.397348</v>
      </c>
      <c r="H69" s="63">
        <v>1.5730219999999999</v>
      </c>
      <c r="I69" s="63">
        <v>1.739608</v>
      </c>
      <c r="J69" s="63">
        <v>1.8905080000000001</v>
      </c>
      <c r="K69" s="63">
        <v>2.0300590000000001</v>
      </c>
      <c r="L69" s="63">
        <v>2.1599339999999998</v>
      </c>
      <c r="M69" s="63">
        <v>2.2739560000000001</v>
      </c>
      <c r="N69" s="63">
        <v>2.3889779999999998</v>
      </c>
      <c r="O69" s="63">
        <v>2.4886349999999999</v>
      </c>
      <c r="P69" s="63">
        <v>2.57708</v>
      </c>
      <c r="Q69" s="63">
        <v>2.6584819999999998</v>
      </c>
      <c r="R69" s="63">
        <v>2.7396259999999999</v>
      </c>
      <c r="S69" s="63">
        <v>2.8213300000000001</v>
      </c>
      <c r="T69" s="63">
        <v>2.9087390000000002</v>
      </c>
      <c r="U69" s="63">
        <v>2.9961570000000002</v>
      </c>
      <c r="V69" s="63">
        <v>3.0939139999999998</v>
      </c>
      <c r="W69" s="63">
        <v>3.2005699999999999</v>
      </c>
      <c r="X69" s="63">
        <v>3.3278500000000002</v>
      </c>
      <c r="Y69" s="63">
        <v>3.4732690000000002</v>
      </c>
      <c r="Z69" s="63">
        <v>3.6199669999999999</v>
      </c>
      <c r="AA69" s="63">
        <v>3.7998430000000001</v>
      </c>
      <c r="AB69" s="63">
        <v>3.9666929999999998</v>
      </c>
      <c r="AC69" s="63">
        <v>4.1339779999999999</v>
      </c>
      <c r="AD69" s="63">
        <v>4.3353349999999997</v>
      </c>
      <c r="AE69" s="63">
        <v>4.5666029999999997</v>
      </c>
      <c r="AF69" s="63">
        <v>4.8037900000000002</v>
      </c>
      <c r="AG69" s="63">
        <v>5.0479060000000002</v>
      </c>
      <c r="AH69" s="63">
        <v>5.3108459999999997</v>
      </c>
      <c r="AI69" s="63">
        <v>5.5926140000000002</v>
      </c>
      <c r="AJ69" s="63">
        <v>5.9056430000000004</v>
      </c>
      <c r="AK69" s="62">
        <v>6.2979999999999994E-2</v>
      </c>
    </row>
    <row r="70" spans="1:37" ht="15" customHeight="1" x14ac:dyDescent="0.2">
      <c r="A70" s="57" t="s">
        <v>963</v>
      </c>
      <c r="B70" s="60" t="s">
        <v>911</v>
      </c>
      <c r="C70" s="63">
        <v>6.9082650000000001</v>
      </c>
      <c r="D70" s="63">
        <v>8.1978399999999993</v>
      </c>
      <c r="E70" s="63">
        <v>9.5386810000000004</v>
      </c>
      <c r="F70" s="63">
        <v>10.659224999999999</v>
      </c>
      <c r="G70" s="63">
        <v>11.635705</v>
      </c>
      <c r="H70" s="63">
        <v>12.653</v>
      </c>
      <c r="I70" s="63">
        <v>13.613320999999999</v>
      </c>
      <c r="J70" s="63">
        <v>14.488035</v>
      </c>
      <c r="K70" s="63">
        <v>15.316953</v>
      </c>
      <c r="L70" s="63">
        <v>16.117616999999999</v>
      </c>
      <c r="M70" s="63">
        <v>16.867367000000002</v>
      </c>
      <c r="N70" s="63">
        <v>17.680949999999999</v>
      </c>
      <c r="O70" s="63">
        <v>18.449594000000001</v>
      </c>
      <c r="P70" s="63">
        <v>19.257444</v>
      </c>
      <c r="Q70" s="63">
        <v>20.076229000000001</v>
      </c>
      <c r="R70" s="63">
        <v>20.94125</v>
      </c>
      <c r="S70" s="63">
        <v>21.865047000000001</v>
      </c>
      <c r="T70" s="63">
        <v>22.912903</v>
      </c>
      <c r="U70" s="63">
        <v>24.042788000000002</v>
      </c>
      <c r="V70" s="63">
        <v>25.235496999999999</v>
      </c>
      <c r="W70" s="63">
        <v>26.517809</v>
      </c>
      <c r="X70" s="63">
        <v>27.903687000000001</v>
      </c>
      <c r="Y70" s="63">
        <v>29.363516000000001</v>
      </c>
      <c r="Z70" s="63">
        <v>30.971495000000001</v>
      </c>
      <c r="AA70" s="63">
        <v>32.631836</v>
      </c>
      <c r="AB70" s="63">
        <v>34.372912999999997</v>
      </c>
      <c r="AC70" s="63">
        <v>36.175735000000003</v>
      </c>
      <c r="AD70" s="63">
        <v>38.134808</v>
      </c>
      <c r="AE70" s="63">
        <v>40.241604000000002</v>
      </c>
      <c r="AF70" s="63">
        <v>42.503825999999997</v>
      </c>
      <c r="AG70" s="63">
        <v>44.710369</v>
      </c>
      <c r="AH70" s="63">
        <v>47.169238999999997</v>
      </c>
      <c r="AI70" s="63">
        <v>49.823661999999999</v>
      </c>
      <c r="AJ70" s="63">
        <v>52.556969000000002</v>
      </c>
      <c r="AK70" s="62">
        <v>5.9782000000000002E-2</v>
      </c>
    </row>
    <row r="71" spans="1:37" ht="15" customHeight="1" x14ac:dyDescent="0.2">
      <c r="A71" s="57" t="s">
        <v>964</v>
      </c>
      <c r="B71" s="60" t="s">
        <v>913</v>
      </c>
      <c r="C71" s="63">
        <v>0</v>
      </c>
      <c r="D71" s="63">
        <v>0.208953</v>
      </c>
      <c r="E71" s="63">
        <v>0.431475</v>
      </c>
      <c r="F71" s="63">
        <v>0.635625</v>
      </c>
      <c r="G71" s="63">
        <v>0.82511699999999999</v>
      </c>
      <c r="H71" s="63">
        <v>1.0293410000000001</v>
      </c>
      <c r="I71" s="63">
        <v>1.229749</v>
      </c>
      <c r="J71" s="63">
        <v>1.421055</v>
      </c>
      <c r="K71" s="63">
        <v>1.60778</v>
      </c>
      <c r="L71" s="63">
        <v>1.791161</v>
      </c>
      <c r="M71" s="63">
        <v>1.966912</v>
      </c>
      <c r="N71" s="63">
        <v>2.1489699999999998</v>
      </c>
      <c r="O71" s="63">
        <v>2.323807</v>
      </c>
      <c r="P71" s="63">
        <v>2.4996160000000001</v>
      </c>
      <c r="Q71" s="63">
        <v>2.6763059999999999</v>
      </c>
      <c r="R71" s="63">
        <v>2.8565299999999998</v>
      </c>
      <c r="S71" s="63">
        <v>3.0482870000000002</v>
      </c>
      <c r="T71" s="63">
        <v>3.2508460000000001</v>
      </c>
      <c r="U71" s="63">
        <v>3.464915</v>
      </c>
      <c r="V71" s="63">
        <v>3.6920389999999998</v>
      </c>
      <c r="W71" s="63">
        <v>3.9239850000000001</v>
      </c>
      <c r="X71" s="63">
        <v>4.1724290000000002</v>
      </c>
      <c r="Y71" s="63">
        <v>4.4325369999999999</v>
      </c>
      <c r="Z71" s="63">
        <v>4.7158259999999999</v>
      </c>
      <c r="AA71" s="63">
        <v>5.0078800000000001</v>
      </c>
      <c r="AB71" s="63">
        <v>5.3130600000000001</v>
      </c>
      <c r="AC71" s="63">
        <v>5.629302</v>
      </c>
      <c r="AD71" s="63">
        <v>5.9672400000000003</v>
      </c>
      <c r="AE71" s="63">
        <v>6.3341560000000001</v>
      </c>
      <c r="AF71" s="63">
        <v>6.717841</v>
      </c>
      <c r="AG71" s="63">
        <v>7.1233500000000003</v>
      </c>
      <c r="AH71" s="63">
        <v>7.5582469999999997</v>
      </c>
      <c r="AI71" s="63">
        <v>8.0175909999999995</v>
      </c>
      <c r="AJ71" s="63">
        <v>8.5019950000000009</v>
      </c>
      <c r="AK71" s="62">
        <v>0.122784</v>
      </c>
    </row>
    <row r="72" spans="1:37" ht="15" customHeight="1" x14ac:dyDescent="0.2">
      <c r="A72" s="57" t="s">
        <v>965</v>
      </c>
      <c r="B72" s="60" t="s">
        <v>915</v>
      </c>
      <c r="C72" s="63">
        <v>0</v>
      </c>
      <c r="D72" s="63">
        <v>0.105224</v>
      </c>
      <c r="E72" s="63">
        <v>0.21604599999999999</v>
      </c>
      <c r="F72" s="63">
        <v>0.31716800000000001</v>
      </c>
      <c r="G72" s="63">
        <v>0.41022399999999998</v>
      </c>
      <c r="H72" s="63">
        <v>0.50918099999999999</v>
      </c>
      <c r="I72" s="63">
        <v>0.60463500000000003</v>
      </c>
      <c r="J72" s="63">
        <v>0.69483499999999998</v>
      </c>
      <c r="K72" s="63">
        <v>0.78242999999999996</v>
      </c>
      <c r="L72" s="63">
        <v>0.86835300000000004</v>
      </c>
      <c r="M72" s="63">
        <v>0.95015899999999998</v>
      </c>
      <c r="N72" s="63">
        <v>1.0352049999999999</v>
      </c>
      <c r="O72" s="63">
        <v>1.117083</v>
      </c>
      <c r="P72" s="63">
        <v>1.1996450000000001</v>
      </c>
      <c r="Q72" s="63">
        <v>1.282815</v>
      </c>
      <c r="R72" s="63">
        <v>1.3680540000000001</v>
      </c>
      <c r="S72" s="63">
        <v>1.4603280000000001</v>
      </c>
      <c r="T72" s="63">
        <v>1.5573999999999999</v>
      </c>
      <c r="U72" s="63">
        <v>1.6598440000000001</v>
      </c>
      <c r="V72" s="63">
        <v>1.7678370000000001</v>
      </c>
      <c r="W72" s="63">
        <v>1.8773040000000001</v>
      </c>
      <c r="X72" s="63">
        <v>1.9940990000000001</v>
      </c>
      <c r="Y72" s="63">
        <v>2.1158389999999998</v>
      </c>
      <c r="Z72" s="63">
        <v>2.2479960000000001</v>
      </c>
      <c r="AA72" s="63">
        <v>2.383699</v>
      </c>
      <c r="AB72" s="63">
        <v>2.5251169999999998</v>
      </c>
      <c r="AC72" s="63">
        <v>2.671313</v>
      </c>
      <c r="AD72" s="63">
        <v>2.8274210000000002</v>
      </c>
      <c r="AE72" s="63">
        <v>2.9969329999999998</v>
      </c>
      <c r="AF72" s="63">
        <v>3.174188</v>
      </c>
      <c r="AG72" s="63">
        <v>3.3616069999999998</v>
      </c>
      <c r="AH72" s="63">
        <v>3.5629300000000002</v>
      </c>
      <c r="AI72" s="63">
        <v>3.7758150000000001</v>
      </c>
      <c r="AJ72" s="63">
        <v>4.0005559999999996</v>
      </c>
      <c r="AK72" s="62">
        <v>0.120405</v>
      </c>
    </row>
    <row r="73" spans="1:37" ht="15" customHeight="1" x14ac:dyDescent="0.2">
      <c r="A73" s="57" t="s">
        <v>966</v>
      </c>
      <c r="B73" s="60" t="s">
        <v>917</v>
      </c>
      <c r="C73" s="63">
        <v>0</v>
      </c>
      <c r="D73" s="63">
        <v>0.107501</v>
      </c>
      <c r="E73" s="63">
        <v>0.22187499999999999</v>
      </c>
      <c r="F73" s="63">
        <v>0.32658799999999999</v>
      </c>
      <c r="G73" s="63">
        <v>0.42335</v>
      </c>
      <c r="H73" s="63">
        <v>0.52690899999999996</v>
      </c>
      <c r="I73" s="63">
        <v>0.62762300000000004</v>
      </c>
      <c r="J73" s="63">
        <v>0.72294099999999994</v>
      </c>
      <c r="K73" s="63">
        <v>0.81516200000000005</v>
      </c>
      <c r="L73" s="63">
        <v>0.90520599999999996</v>
      </c>
      <c r="M73" s="63">
        <v>0.99063999999999997</v>
      </c>
      <c r="N73" s="63">
        <v>1.07918</v>
      </c>
      <c r="O73" s="63">
        <v>1.1639699999999999</v>
      </c>
      <c r="P73" s="63">
        <v>1.2492220000000001</v>
      </c>
      <c r="Q73" s="63">
        <v>1.3348519999999999</v>
      </c>
      <c r="R73" s="63">
        <v>1.4222079999999999</v>
      </c>
      <c r="S73" s="63">
        <v>1.515247</v>
      </c>
      <c r="T73" s="63">
        <v>1.6136459999999999</v>
      </c>
      <c r="U73" s="63">
        <v>1.7178929999999999</v>
      </c>
      <c r="V73" s="63">
        <v>1.8287169999999999</v>
      </c>
      <c r="W73" s="63">
        <v>1.9417800000000001</v>
      </c>
      <c r="X73" s="63">
        <v>2.0630269999999999</v>
      </c>
      <c r="Y73" s="63">
        <v>2.1900879999999998</v>
      </c>
      <c r="Z73" s="63">
        <v>2.3286500000000001</v>
      </c>
      <c r="AA73" s="63">
        <v>2.4715539999999998</v>
      </c>
      <c r="AB73" s="63">
        <v>2.6209699999999998</v>
      </c>
      <c r="AC73" s="63">
        <v>2.7758669999999999</v>
      </c>
      <c r="AD73" s="63">
        <v>2.941484</v>
      </c>
      <c r="AE73" s="63">
        <v>3.1213880000000001</v>
      </c>
      <c r="AF73" s="63">
        <v>3.3095810000000001</v>
      </c>
      <c r="AG73" s="63">
        <v>3.5085139999999999</v>
      </c>
      <c r="AH73" s="63">
        <v>3.7219169999999999</v>
      </c>
      <c r="AI73" s="63">
        <v>3.947346</v>
      </c>
      <c r="AJ73" s="63">
        <v>4.1851070000000004</v>
      </c>
      <c r="AK73" s="62">
        <v>0.121235</v>
      </c>
    </row>
    <row r="74" spans="1:37" ht="15" customHeight="1" x14ac:dyDescent="0.2">
      <c r="A74" s="57" t="s">
        <v>967</v>
      </c>
      <c r="B74" s="60" t="s">
        <v>919</v>
      </c>
      <c r="C74" s="63">
        <v>0</v>
      </c>
      <c r="D74" s="63">
        <v>0.182533</v>
      </c>
      <c r="E74" s="63">
        <v>0.378913</v>
      </c>
      <c r="F74" s="63">
        <v>0.55971700000000002</v>
      </c>
      <c r="G74" s="63">
        <v>0.733151</v>
      </c>
      <c r="H74" s="63">
        <v>0.92276599999999998</v>
      </c>
      <c r="I74" s="63">
        <v>1.112552</v>
      </c>
      <c r="J74" s="63">
        <v>1.29904</v>
      </c>
      <c r="K74" s="63">
        <v>1.4877</v>
      </c>
      <c r="L74" s="63">
        <v>1.680795</v>
      </c>
      <c r="M74" s="63">
        <v>1.874412</v>
      </c>
      <c r="N74" s="63">
        <v>2.077458</v>
      </c>
      <c r="O74" s="63">
        <v>2.2815810000000001</v>
      </c>
      <c r="P74" s="63">
        <v>2.4941719999999998</v>
      </c>
      <c r="Q74" s="63">
        <v>2.7143320000000002</v>
      </c>
      <c r="R74" s="63">
        <v>2.942761</v>
      </c>
      <c r="S74" s="63">
        <v>3.1853549999999999</v>
      </c>
      <c r="T74" s="63">
        <v>3.4402889999999999</v>
      </c>
      <c r="U74" s="63">
        <v>3.7071640000000001</v>
      </c>
      <c r="V74" s="63">
        <v>3.9869949999999998</v>
      </c>
      <c r="W74" s="63">
        <v>4.2737639999999999</v>
      </c>
      <c r="X74" s="63">
        <v>4.5783009999999997</v>
      </c>
      <c r="Y74" s="63">
        <v>4.8950519999999997</v>
      </c>
      <c r="Z74" s="63">
        <v>5.2364750000000004</v>
      </c>
      <c r="AA74" s="63">
        <v>5.5873540000000004</v>
      </c>
      <c r="AB74" s="63">
        <v>5.952439</v>
      </c>
      <c r="AC74" s="63">
        <v>6.329453</v>
      </c>
      <c r="AD74" s="63">
        <v>6.7304139999999997</v>
      </c>
      <c r="AE74" s="63">
        <v>7.1637269999999997</v>
      </c>
      <c r="AF74" s="63">
        <v>7.6156430000000004</v>
      </c>
      <c r="AG74" s="63">
        <v>8.0923390000000008</v>
      </c>
      <c r="AH74" s="63">
        <v>8.6022440000000007</v>
      </c>
      <c r="AI74" s="63">
        <v>9.1399000000000008</v>
      </c>
      <c r="AJ74" s="63">
        <v>9.7060790000000008</v>
      </c>
      <c r="AK74" s="62">
        <v>0.132213</v>
      </c>
    </row>
    <row r="75" spans="1:37" ht="15" customHeight="1" x14ac:dyDescent="0.2">
      <c r="A75" s="57" t="s">
        <v>968</v>
      </c>
      <c r="B75" s="60" t="s">
        <v>933</v>
      </c>
      <c r="C75" s="63">
        <v>879.51995799999997</v>
      </c>
      <c r="D75" s="63">
        <v>881.07354699999996</v>
      </c>
      <c r="E75" s="63">
        <v>890.91442900000004</v>
      </c>
      <c r="F75" s="63">
        <v>893.73443599999996</v>
      </c>
      <c r="G75" s="63">
        <v>893.12976100000003</v>
      </c>
      <c r="H75" s="63">
        <v>897.66192599999999</v>
      </c>
      <c r="I75" s="63">
        <v>902.65545699999996</v>
      </c>
      <c r="J75" s="63">
        <v>907.64581299999998</v>
      </c>
      <c r="K75" s="63">
        <v>912.086365</v>
      </c>
      <c r="L75" s="63">
        <v>917.50799600000005</v>
      </c>
      <c r="M75" s="63">
        <v>921.44281000000001</v>
      </c>
      <c r="N75" s="63">
        <v>926.31384300000002</v>
      </c>
      <c r="O75" s="63">
        <v>932.308899</v>
      </c>
      <c r="P75" s="63">
        <v>933.73394800000005</v>
      </c>
      <c r="Q75" s="63">
        <v>941.07769800000005</v>
      </c>
      <c r="R75" s="63">
        <v>944.35522500000002</v>
      </c>
      <c r="S75" s="63">
        <v>948.41339100000005</v>
      </c>
      <c r="T75" s="63">
        <v>957.18218999999999</v>
      </c>
      <c r="U75" s="63">
        <v>968.34069799999997</v>
      </c>
      <c r="V75" s="63">
        <v>982.12457300000005</v>
      </c>
      <c r="W75" s="63">
        <v>996.82391399999995</v>
      </c>
      <c r="X75" s="63">
        <v>1015.3167110000001</v>
      </c>
      <c r="Y75" s="63">
        <v>1031.278198</v>
      </c>
      <c r="Z75" s="63">
        <v>1050.2117920000001</v>
      </c>
      <c r="AA75" s="63">
        <v>1067.512573</v>
      </c>
      <c r="AB75" s="63">
        <v>1089.2567140000001</v>
      </c>
      <c r="AC75" s="63">
        <v>1113.9677730000001</v>
      </c>
      <c r="AD75" s="63">
        <v>1140.080811</v>
      </c>
      <c r="AE75" s="63">
        <v>1167.3017580000001</v>
      </c>
      <c r="AF75" s="63">
        <v>1196.1064449999999</v>
      </c>
      <c r="AG75" s="63">
        <v>1226.5399170000001</v>
      </c>
      <c r="AH75" s="63">
        <v>1259.179932</v>
      </c>
      <c r="AI75" s="63">
        <v>1290.8183590000001</v>
      </c>
      <c r="AJ75" s="63">
        <v>1324.705078</v>
      </c>
      <c r="AK75" s="62">
        <v>1.2825E-2</v>
      </c>
    </row>
    <row r="76" spans="1:37" ht="15" customHeight="1" x14ac:dyDescent="0.2">
      <c r="B76" s="59" t="s">
        <v>934</v>
      </c>
    </row>
    <row r="77" spans="1:37" ht="15" customHeight="1" x14ac:dyDescent="0.2">
      <c r="A77" s="57" t="s">
        <v>969</v>
      </c>
      <c r="B77" s="60" t="s">
        <v>903</v>
      </c>
      <c r="C77" s="63">
        <v>4107.5283200000003</v>
      </c>
      <c r="D77" s="63">
        <v>4163.5810549999997</v>
      </c>
      <c r="E77" s="63">
        <v>4231.3227539999998</v>
      </c>
      <c r="F77" s="63">
        <v>4230.2763670000004</v>
      </c>
      <c r="G77" s="63">
        <v>4205.7900390000004</v>
      </c>
      <c r="H77" s="63">
        <v>4195.3930659999996</v>
      </c>
      <c r="I77" s="63">
        <v>4183.3706050000001</v>
      </c>
      <c r="J77" s="63">
        <v>4164.076172</v>
      </c>
      <c r="K77" s="63">
        <v>4143.5</v>
      </c>
      <c r="L77" s="63">
        <v>4118.0478519999997</v>
      </c>
      <c r="M77" s="63">
        <v>4075.7692870000001</v>
      </c>
      <c r="N77" s="63">
        <v>4034.7094729999999</v>
      </c>
      <c r="O77" s="63">
        <v>3981.866943</v>
      </c>
      <c r="P77" s="63">
        <v>3932.8615719999998</v>
      </c>
      <c r="Q77" s="63">
        <v>3885.8823240000002</v>
      </c>
      <c r="R77" s="63">
        <v>3842.3923340000001</v>
      </c>
      <c r="S77" s="63">
        <v>3801.6291500000002</v>
      </c>
      <c r="T77" s="63">
        <v>3771.507568</v>
      </c>
      <c r="U77" s="63">
        <v>3754.4636230000001</v>
      </c>
      <c r="V77" s="63">
        <v>3738.6320799999999</v>
      </c>
      <c r="W77" s="63">
        <v>3731.5214839999999</v>
      </c>
      <c r="X77" s="63">
        <v>3724.064453</v>
      </c>
      <c r="Y77" s="63">
        <v>3718.6992190000001</v>
      </c>
      <c r="Z77" s="63">
        <v>3701.225586</v>
      </c>
      <c r="AA77" s="63">
        <v>3697.820557</v>
      </c>
      <c r="AB77" s="63">
        <v>3691.4887699999999</v>
      </c>
      <c r="AC77" s="63">
        <v>3687.2863769999999</v>
      </c>
      <c r="AD77" s="63">
        <v>3690.4418949999999</v>
      </c>
      <c r="AE77" s="63">
        <v>3695.0288089999999</v>
      </c>
      <c r="AF77" s="63">
        <v>3696.570557</v>
      </c>
      <c r="AG77" s="63">
        <v>3700.9545899999998</v>
      </c>
      <c r="AH77" s="63">
        <v>3706.4233399999998</v>
      </c>
      <c r="AI77" s="63">
        <v>3704.5722660000001</v>
      </c>
      <c r="AJ77" s="63">
        <v>3706.1298830000001</v>
      </c>
      <c r="AK77" s="62">
        <v>-3.6310000000000001E-3</v>
      </c>
    </row>
    <row r="78" spans="1:37" ht="15" customHeight="1" x14ac:dyDescent="0.2">
      <c r="A78" s="57" t="s">
        <v>970</v>
      </c>
      <c r="B78" s="60" t="s">
        <v>905</v>
      </c>
      <c r="C78" s="63">
        <v>5.4163309999999996</v>
      </c>
      <c r="D78" s="63">
        <v>4.7862650000000002</v>
      </c>
      <c r="E78" s="63">
        <v>4.2297159999999998</v>
      </c>
      <c r="F78" s="63">
        <v>3.7072949999999998</v>
      </c>
      <c r="G78" s="63">
        <v>3.274994</v>
      </c>
      <c r="H78" s="63">
        <v>2.947762</v>
      </c>
      <c r="I78" s="63">
        <v>2.6445120000000002</v>
      </c>
      <c r="J78" s="63">
        <v>2.3591280000000001</v>
      </c>
      <c r="K78" s="63">
        <v>2.151116</v>
      </c>
      <c r="L78" s="63">
        <v>2.0036429999999998</v>
      </c>
      <c r="M78" s="63">
        <v>1.8926499999999999</v>
      </c>
      <c r="N78" s="63">
        <v>1.764813</v>
      </c>
      <c r="O78" s="63">
        <v>1.688245</v>
      </c>
      <c r="P78" s="63">
        <v>1.59589</v>
      </c>
      <c r="Q78" s="63">
        <v>1.5171330000000001</v>
      </c>
      <c r="R78" s="63">
        <v>1.4510099999999999</v>
      </c>
      <c r="S78" s="63">
        <v>1.3874379999999999</v>
      </c>
      <c r="T78" s="63">
        <v>1.3593170000000001</v>
      </c>
      <c r="U78" s="63">
        <v>1.305493</v>
      </c>
      <c r="V78" s="63">
        <v>1.278432</v>
      </c>
      <c r="W78" s="63">
        <v>1.2643610000000001</v>
      </c>
      <c r="X78" s="63">
        <v>1.250737</v>
      </c>
      <c r="Y78" s="63">
        <v>1.222772</v>
      </c>
      <c r="Z78" s="63">
        <v>1.221854</v>
      </c>
      <c r="AA78" s="63">
        <v>1.199303</v>
      </c>
      <c r="AB78" s="63">
        <v>1.1671579999999999</v>
      </c>
      <c r="AC78" s="63">
        <v>1.1594819999999999</v>
      </c>
      <c r="AD78" s="63">
        <v>1.1581939999999999</v>
      </c>
      <c r="AE78" s="63">
        <v>1.161068</v>
      </c>
      <c r="AF78" s="63">
        <v>1.1627959999999999</v>
      </c>
      <c r="AG78" s="63">
        <v>1.1717900000000001</v>
      </c>
      <c r="AH78" s="63">
        <v>1.1778230000000001</v>
      </c>
      <c r="AI78" s="63">
        <v>1.1936119999999999</v>
      </c>
      <c r="AJ78" s="63">
        <v>1.1929689999999999</v>
      </c>
      <c r="AK78" s="62">
        <v>-4.2486999999999997E-2</v>
      </c>
    </row>
    <row r="79" spans="1:37" ht="15" customHeight="1" x14ac:dyDescent="0.2">
      <c r="A79" s="57" t="s">
        <v>971</v>
      </c>
      <c r="B79" s="60" t="s">
        <v>907</v>
      </c>
      <c r="C79" s="63">
        <v>0.56246399999999996</v>
      </c>
      <c r="D79" s="63">
        <v>0.68067299999999997</v>
      </c>
      <c r="E79" s="63">
        <v>0.79214399999999996</v>
      </c>
      <c r="F79" s="63">
        <v>0.87821899999999997</v>
      </c>
      <c r="G79" s="63">
        <v>0.93819200000000003</v>
      </c>
      <c r="H79" s="63">
        <v>0.98750599999999999</v>
      </c>
      <c r="I79" s="63">
        <v>1.025347</v>
      </c>
      <c r="J79" s="63">
        <v>1.045736</v>
      </c>
      <c r="K79" s="63">
        <v>1.0689040000000001</v>
      </c>
      <c r="L79" s="63">
        <v>1.084859</v>
      </c>
      <c r="M79" s="63">
        <v>1.0977140000000001</v>
      </c>
      <c r="N79" s="63">
        <v>1.091866</v>
      </c>
      <c r="O79" s="63">
        <v>1.0899669999999999</v>
      </c>
      <c r="P79" s="63">
        <v>1.0864039999999999</v>
      </c>
      <c r="Q79" s="63">
        <v>1.0654520000000001</v>
      </c>
      <c r="R79" s="63">
        <v>1.0556080000000001</v>
      </c>
      <c r="S79" s="63">
        <v>1.049104</v>
      </c>
      <c r="T79" s="63">
        <v>1.046564</v>
      </c>
      <c r="U79" s="63">
        <v>1.047302</v>
      </c>
      <c r="V79" s="63">
        <v>1.049326</v>
      </c>
      <c r="W79" s="63">
        <v>1.0544819999999999</v>
      </c>
      <c r="X79" s="63">
        <v>1.0626059999999999</v>
      </c>
      <c r="Y79" s="63">
        <v>1.071347</v>
      </c>
      <c r="Z79" s="63">
        <v>1.0833379999999999</v>
      </c>
      <c r="AA79" s="63">
        <v>1.095669</v>
      </c>
      <c r="AB79" s="63">
        <v>1.1087689999999999</v>
      </c>
      <c r="AC79" s="63">
        <v>1.1219939999999999</v>
      </c>
      <c r="AD79" s="63">
        <v>1.1374610000000001</v>
      </c>
      <c r="AE79" s="63">
        <v>1.156075</v>
      </c>
      <c r="AF79" s="63">
        <v>1.175667</v>
      </c>
      <c r="AG79" s="63">
        <v>1.1999299999999999</v>
      </c>
      <c r="AH79" s="63">
        <v>1.222907</v>
      </c>
      <c r="AI79" s="63">
        <v>1.2417069999999999</v>
      </c>
      <c r="AJ79" s="63">
        <v>1.264421</v>
      </c>
      <c r="AK79" s="62">
        <v>1.9540999999999999E-2</v>
      </c>
    </row>
    <row r="80" spans="1:37" ht="15" customHeight="1" x14ac:dyDescent="0.2">
      <c r="A80" s="57" t="s">
        <v>972</v>
      </c>
      <c r="B80" s="60" t="s">
        <v>909</v>
      </c>
      <c r="C80" s="63">
        <v>37.503585999999999</v>
      </c>
      <c r="D80" s="63">
        <v>41.101092999999999</v>
      </c>
      <c r="E80" s="63">
        <v>44.070621000000003</v>
      </c>
      <c r="F80" s="63">
        <v>45.675002999999997</v>
      </c>
      <c r="G80" s="63">
        <v>46.515799999999999</v>
      </c>
      <c r="H80" s="63">
        <v>47.239609000000002</v>
      </c>
      <c r="I80" s="63">
        <v>47.741664999999998</v>
      </c>
      <c r="J80" s="63">
        <v>47.989826000000001</v>
      </c>
      <c r="K80" s="63">
        <v>48.112670999999999</v>
      </c>
      <c r="L80" s="63">
        <v>48.245609000000002</v>
      </c>
      <c r="M80" s="63">
        <v>48.331553999999997</v>
      </c>
      <c r="N80" s="63">
        <v>48.728107000000001</v>
      </c>
      <c r="O80" s="63">
        <v>49.222259999999999</v>
      </c>
      <c r="P80" s="63">
        <v>50.062125999999999</v>
      </c>
      <c r="Q80" s="63">
        <v>51.319878000000003</v>
      </c>
      <c r="R80" s="63">
        <v>53.110607000000002</v>
      </c>
      <c r="S80" s="63">
        <v>55.620475999999996</v>
      </c>
      <c r="T80" s="63">
        <v>58.818747999999999</v>
      </c>
      <c r="U80" s="63">
        <v>62.690739000000001</v>
      </c>
      <c r="V80" s="63">
        <v>67.256989000000004</v>
      </c>
      <c r="W80" s="63">
        <v>72.560981999999996</v>
      </c>
      <c r="X80" s="63">
        <v>78.712219000000005</v>
      </c>
      <c r="Y80" s="63">
        <v>85.611191000000005</v>
      </c>
      <c r="Z80" s="63">
        <v>93.521659999999997</v>
      </c>
      <c r="AA80" s="63">
        <v>102.25007600000001</v>
      </c>
      <c r="AB80" s="63">
        <v>111.852249</v>
      </c>
      <c r="AC80" s="63">
        <v>122.44375599999999</v>
      </c>
      <c r="AD80" s="63">
        <v>134.243988</v>
      </c>
      <c r="AE80" s="63">
        <v>147.28338600000001</v>
      </c>
      <c r="AF80" s="63">
        <v>161.27003500000001</v>
      </c>
      <c r="AG80" s="63">
        <v>175.986771</v>
      </c>
      <c r="AH80" s="63">
        <v>191.750809</v>
      </c>
      <c r="AI80" s="63">
        <v>207.786743</v>
      </c>
      <c r="AJ80" s="63">
        <v>224.14338699999999</v>
      </c>
      <c r="AK80" s="62">
        <v>5.4438E-2</v>
      </c>
    </row>
    <row r="81" spans="1:37" ht="15" customHeight="1" x14ac:dyDescent="0.2">
      <c r="A81" s="57" t="s">
        <v>973</v>
      </c>
      <c r="B81" s="60" t="s">
        <v>911</v>
      </c>
      <c r="C81" s="63">
        <v>0</v>
      </c>
      <c r="D81" s="63">
        <v>0</v>
      </c>
      <c r="E81" s="63">
        <v>0</v>
      </c>
      <c r="F81" s="63">
        <v>0</v>
      </c>
      <c r="G81" s="63">
        <v>0</v>
      </c>
      <c r="H81" s="63">
        <v>0</v>
      </c>
      <c r="I81" s="63">
        <v>0</v>
      </c>
      <c r="J81" s="63">
        <v>0</v>
      </c>
      <c r="K81" s="63">
        <v>0</v>
      </c>
      <c r="L81" s="63">
        <v>0</v>
      </c>
      <c r="M81" s="63">
        <v>0</v>
      </c>
      <c r="N81" s="63">
        <v>0</v>
      </c>
      <c r="O81" s="63">
        <v>0</v>
      </c>
      <c r="P81" s="63">
        <v>0</v>
      </c>
      <c r="Q81" s="63">
        <v>0</v>
      </c>
      <c r="R81" s="63">
        <v>0</v>
      </c>
      <c r="S81" s="63">
        <v>0</v>
      </c>
      <c r="T81" s="63">
        <v>0</v>
      </c>
      <c r="U81" s="63">
        <v>0</v>
      </c>
      <c r="V81" s="63">
        <v>0</v>
      </c>
      <c r="W81" s="63">
        <v>0</v>
      </c>
      <c r="X81" s="63">
        <v>0</v>
      </c>
      <c r="Y81" s="63">
        <v>0</v>
      </c>
      <c r="Z81" s="63">
        <v>0</v>
      </c>
      <c r="AA81" s="63">
        <v>0</v>
      </c>
      <c r="AB81" s="63">
        <v>0</v>
      </c>
      <c r="AC81" s="63">
        <v>0</v>
      </c>
      <c r="AD81" s="63">
        <v>0</v>
      </c>
      <c r="AE81" s="63">
        <v>0</v>
      </c>
      <c r="AF81" s="63">
        <v>0</v>
      </c>
      <c r="AG81" s="63">
        <v>0</v>
      </c>
      <c r="AH81" s="63">
        <v>0</v>
      </c>
      <c r="AI81" s="63">
        <v>0</v>
      </c>
      <c r="AJ81" s="63">
        <v>0</v>
      </c>
      <c r="AK81" s="62" t="s">
        <v>467</v>
      </c>
    </row>
    <row r="82" spans="1:37" ht="15" customHeight="1" x14ac:dyDescent="0.2">
      <c r="A82" s="57" t="s">
        <v>974</v>
      </c>
      <c r="B82" s="60" t="s">
        <v>913</v>
      </c>
      <c r="C82" s="63">
        <v>0</v>
      </c>
      <c r="D82" s="63">
        <v>9.9172999999999997E-2</v>
      </c>
      <c r="E82" s="63">
        <v>0.170094</v>
      </c>
      <c r="F82" s="63">
        <v>0.23714399999999999</v>
      </c>
      <c r="G82" s="63">
        <v>0.30244900000000002</v>
      </c>
      <c r="H82" s="63">
        <v>0.37376900000000002</v>
      </c>
      <c r="I82" s="63">
        <v>0.44560300000000003</v>
      </c>
      <c r="J82" s="63">
        <v>0.51603100000000002</v>
      </c>
      <c r="K82" s="63">
        <v>0.58562700000000001</v>
      </c>
      <c r="L82" s="63">
        <v>0.65393400000000002</v>
      </c>
      <c r="M82" s="63">
        <v>0.71839500000000001</v>
      </c>
      <c r="N82" s="63">
        <v>0.78260099999999999</v>
      </c>
      <c r="O82" s="63">
        <v>0.841283</v>
      </c>
      <c r="P82" s="63">
        <v>0.89612099999999995</v>
      </c>
      <c r="Q82" s="63">
        <v>0.94644799999999996</v>
      </c>
      <c r="R82" s="63">
        <v>0.99290299999999998</v>
      </c>
      <c r="S82" s="63">
        <v>1.038003</v>
      </c>
      <c r="T82" s="63">
        <v>1.0814319999999999</v>
      </c>
      <c r="U82" s="63">
        <v>1.1248210000000001</v>
      </c>
      <c r="V82" s="63">
        <v>1.1699059999999999</v>
      </c>
      <c r="W82" s="63">
        <v>1.2138450000000001</v>
      </c>
      <c r="X82" s="63">
        <v>1.256694</v>
      </c>
      <c r="Y82" s="63">
        <v>1.299544</v>
      </c>
      <c r="Z82" s="63">
        <v>1.3497600000000001</v>
      </c>
      <c r="AA82" s="63">
        <v>1.3997850000000001</v>
      </c>
      <c r="AB82" s="63">
        <v>1.450718</v>
      </c>
      <c r="AC82" s="63">
        <v>1.5018940000000001</v>
      </c>
      <c r="AD82" s="63">
        <v>1.5566230000000001</v>
      </c>
      <c r="AE82" s="63">
        <v>1.616188</v>
      </c>
      <c r="AF82" s="63">
        <v>1.677338</v>
      </c>
      <c r="AG82" s="63">
        <v>1.7409079999999999</v>
      </c>
      <c r="AH82" s="63">
        <v>1.8085279999999999</v>
      </c>
      <c r="AI82" s="63">
        <v>1.8785019999999999</v>
      </c>
      <c r="AJ82" s="63">
        <v>1.9505209999999999</v>
      </c>
      <c r="AK82" s="62">
        <v>9.7563999999999998E-2</v>
      </c>
    </row>
    <row r="83" spans="1:37" ht="15" customHeight="1" x14ac:dyDescent="0.2">
      <c r="A83" s="57" t="s">
        <v>975</v>
      </c>
      <c r="B83" s="60" t="s">
        <v>915</v>
      </c>
      <c r="C83" s="63">
        <v>0</v>
      </c>
      <c r="D83" s="63">
        <v>0.23536499999999999</v>
      </c>
      <c r="E83" s="63">
        <v>0.26605099999999998</v>
      </c>
      <c r="F83" s="63">
        <v>0.29671999999999998</v>
      </c>
      <c r="G83" s="63">
        <v>0.328484</v>
      </c>
      <c r="H83" s="63">
        <v>0.36253600000000002</v>
      </c>
      <c r="I83" s="63">
        <v>0.39610699999999999</v>
      </c>
      <c r="J83" s="63">
        <v>0.42739500000000002</v>
      </c>
      <c r="K83" s="63">
        <v>0.45594600000000002</v>
      </c>
      <c r="L83" s="63">
        <v>0.48131000000000002</v>
      </c>
      <c r="M83" s="63">
        <v>0.501888</v>
      </c>
      <c r="N83" s="63">
        <v>0.52056000000000002</v>
      </c>
      <c r="O83" s="63">
        <v>0.53429000000000004</v>
      </c>
      <c r="P83" s="63">
        <v>0.54461899999999996</v>
      </c>
      <c r="Q83" s="63">
        <v>0.55188499999999996</v>
      </c>
      <c r="R83" s="63">
        <v>0.55738399999999999</v>
      </c>
      <c r="S83" s="63">
        <v>0.56341399999999997</v>
      </c>
      <c r="T83" s="63">
        <v>0.57099699999999998</v>
      </c>
      <c r="U83" s="63">
        <v>0.58212799999999998</v>
      </c>
      <c r="V83" s="63">
        <v>0.59850000000000003</v>
      </c>
      <c r="W83" s="63">
        <v>0.60921000000000003</v>
      </c>
      <c r="X83" s="63">
        <v>0.61743700000000001</v>
      </c>
      <c r="Y83" s="63">
        <v>0.63045499999999999</v>
      </c>
      <c r="Z83" s="63">
        <v>0.65538700000000005</v>
      </c>
      <c r="AA83" s="63">
        <v>0.67573899999999998</v>
      </c>
      <c r="AB83" s="63">
        <v>0.69637000000000004</v>
      </c>
      <c r="AC83" s="63">
        <v>0.71696899999999997</v>
      </c>
      <c r="AD83" s="63">
        <v>0.73915200000000003</v>
      </c>
      <c r="AE83" s="63">
        <v>0.76353199999999999</v>
      </c>
      <c r="AF83" s="63">
        <v>0.78859500000000005</v>
      </c>
      <c r="AG83" s="63">
        <v>0.81473700000000004</v>
      </c>
      <c r="AH83" s="63">
        <v>0.84273600000000004</v>
      </c>
      <c r="AI83" s="63">
        <v>0.87180500000000005</v>
      </c>
      <c r="AJ83" s="63">
        <v>0.90182200000000001</v>
      </c>
      <c r="AK83" s="62">
        <v>4.2870999999999999E-2</v>
      </c>
    </row>
    <row r="84" spans="1:37" ht="15" customHeight="1" x14ac:dyDescent="0.2">
      <c r="A84" s="57" t="s">
        <v>976</v>
      </c>
      <c r="B84" s="60" t="s">
        <v>917</v>
      </c>
      <c r="C84" s="63">
        <v>0</v>
      </c>
      <c r="D84" s="63">
        <v>0.20430200000000001</v>
      </c>
      <c r="E84" s="63">
        <v>0.23449700000000001</v>
      </c>
      <c r="F84" s="63">
        <v>0.26450499999999999</v>
      </c>
      <c r="G84" s="63">
        <v>0.29542600000000002</v>
      </c>
      <c r="H84" s="63">
        <v>0.32877499999999998</v>
      </c>
      <c r="I84" s="63">
        <v>0.36189199999999999</v>
      </c>
      <c r="J84" s="63">
        <v>0.39312200000000003</v>
      </c>
      <c r="K84" s="63">
        <v>0.422093</v>
      </c>
      <c r="L84" s="63">
        <v>0.44832699999999998</v>
      </c>
      <c r="M84" s="63">
        <v>0.47026499999999999</v>
      </c>
      <c r="N84" s="63">
        <v>0.49055599999999999</v>
      </c>
      <c r="O84" s="63">
        <v>0.50623799999999997</v>
      </c>
      <c r="P84" s="63">
        <v>0.51883299999999999</v>
      </c>
      <c r="Q84" s="63">
        <v>0.52857500000000002</v>
      </c>
      <c r="R84" s="63">
        <v>0.536574</v>
      </c>
      <c r="S84" s="63">
        <v>0.544929</v>
      </c>
      <c r="T84" s="63">
        <v>0.55431200000000003</v>
      </c>
      <c r="U84" s="63">
        <v>0.56677100000000002</v>
      </c>
      <c r="V84" s="63">
        <v>0.58378200000000002</v>
      </c>
      <c r="W84" s="63">
        <v>0.59594000000000003</v>
      </c>
      <c r="X84" s="63">
        <v>0.60616999999999999</v>
      </c>
      <c r="Y84" s="63">
        <v>0.62046000000000001</v>
      </c>
      <c r="Z84" s="63">
        <v>0.64528799999999997</v>
      </c>
      <c r="AA84" s="63">
        <v>0.666265</v>
      </c>
      <c r="AB84" s="63">
        <v>0.68754300000000002</v>
      </c>
      <c r="AC84" s="63">
        <v>0.70879800000000004</v>
      </c>
      <c r="AD84" s="63">
        <v>0.73159399999999997</v>
      </c>
      <c r="AE84" s="63">
        <v>0.75652399999999997</v>
      </c>
      <c r="AF84" s="63">
        <v>0.78214399999999995</v>
      </c>
      <c r="AG84" s="63">
        <v>0.80883899999999997</v>
      </c>
      <c r="AH84" s="63">
        <v>0.83737099999999998</v>
      </c>
      <c r="AI84" s="63">
        <v>0.86695299999999997</v>
      </c>
      <c r="AJ84" s="63">
        <v>0.89745900000000001</v>
      </c>
      <c r="AK84" s="62">
        <v>4.7335000000000002E-2</v>
      </c>
    </row>
    <row r="85" spans="1:37" ht="15" customHeight="1" x14ac:dyDescent="0.2">
      <c r="A85" s="57" t="s">
        <v>977</v>
      </c>
      <c r="B85" s="60" t="s">
        <v>919</v>
      </c>
      <c r="C85" s="63">
        <v>0</v>
      </c>
      <c r="D85" s="63">
        <v>5.883E-2</v>
      </c>
      <c r="E85" s="63">
        <v>0.121207</v>
      </c>
      <c r="F85" s="63">
        <v>0.18007899999999999</v>
      </c>
      <c r="G85" s="63">
        <v>0.23835400000000001</v>
      </c>
      <c r="H85" s="63">
        <v>0.30270599999999998</v>
      </c>
      <c r="I85" s="63">
        <v>0.36845</v>
      </c>
      <c r="J85" s="63">
        <v>0.43424400000000002</v>
      </c>
      <c r="K85" s="63">
        <v>0.50091699999999995</v>
      </c>
      <c r="L85" s="63">
        <v>0.56834399999999996</v>
      </c>
      <c r="M85" s="63">
        <v>0.634413</v>
      </c>
      <c r="N85" s="63">
        <v>0.70142099999999996</v>
      </c>
      <c r="O85" s="63">
        <v>0.76547100000000001</v>
      </c>
      <c r="P85" s="63">
        <v>0.82798300000000002</v>
      </c>
      <c r="Q85" s="63">
        <v>0.88807400000000003</v>
      </c>
      <c r="R85" s="63">
        <v>0.94569599999999998</v>
      </c>
      <c r="S85" s="63">
        <v>1.002478</v>
      </c>
      <c r="T85" s="63">
        <v>1.0577909999999999</v>
      </c>
      <c r="U85" s="63">
        <v>1.1125959999999999</v>
      </c>
      <c r="V85" s="63">
        <v>1.1681109999999999</v>
      </c>
      <c r="W85" s="63">
        <v>1.2233050000000001</v>
      </c>
      <c r="X85" s="63">
        <v>1.277749</v>
      </c>
      <c r="Y85" s="63">
        <v>1.331054</v>
      </c>
      <c r="Z85" s="63">
        <v>1.389543</v>
      </c>
      <c r="AA85" s="63">
        <v>1.4479109999999999</v>
      </c>
      <c r="AB85" s="63">
        <v>1.5066299999999999</v>
      </c>
      <c r="AC85" s="63">
        <v>1.565062</v>
      </c>
      <c r="AD85" s="63">
        <v>1.626627</v>
      </c>
      <c r="AE85" s="63">
        <v>1.692785</v>
      </c>
      <c r="AF85" s="63">
        <v>1.7602070000000001</v>
      </c>
      <c r="AG85" s="63">
        <v>1.829885</v>
      </c>
      <c r="AH85" s="63">
        <v>1.903619</v>
      </c>
      <c r="AI85" s="63">
        <v>1.979681</v>
      </c>
      <c r="AJ85" s="63">
        <v>2.0577459999999999</v>
      </c>
      <c r="AK85" s="62">
        <v>0.11749</v>
      </c>
    </row>
    <row r="86" spans="1:37" ht="15" customHeight="1" x14ac:dyDescent="0.2">
      <c r="A86" s="57" t="s">
        <v>978</v>
      </c>
      <c r="B86" s="60" t="s">
        <v>945</v>
      </c>
      <c r="C86" s="63">
        <v>4151.0073240000002</v>
      </c>
      <c r="D86" s="63">
        <v>4210.7485349999997</v>
      </c>
      <c r="E86" s="63">
        <v>4281.2080079999996</v>
      </c>
      <c r="F86" s="63">
        <v>4281.5107420000004</v>
      </c>
      <c r="G86" s="63">
        <v>4257.6826170000004</v>
      </c>
      <c r="H86" s="63">
        <v>4247.935547</v>
      </c>
      <c r="I86" s="63">
        <v>4236.3540039999998</v>
      </c>
      <c r="J86" s="63">
        <v>4217.2421880000002</v>
      </c>
      <c r="K86" s="63">
        <v>4196.7993159999996</v>
      </c>
      <c r="L86" s="63">
        <v>4171.5317379999997</v>
      </c>
      <c r="M86" s="63">
        <v>4129.4165039999998</v>
      </c>
      <c r="N86" s="63">
        <v>4088.7907709999999</v>
      </c>
      <c r="O86" s="63">
        <v>4036.5151369999999</v>
      </c>
      <c r="P86" s="63">
        <v>3988.3933109999998</v>
      </c>
      <c r="Q86" s="63">
        <v>3942.6984859999998</v>
      </c>
      <c r="R86" s="63">
        <v>3901.0407709999999</v>
      </c>
      <c r="S86" s="63">
        <v>3862.835693</v>
      </c>
      <c r="T86" s="63">
        <v>3835.9970699999999</v>
      </c>
      <c r="U86" s="63">
        <v>3822.8942870000001</v>
      </c>
      <c r="V86" s="63">
        <v>3811.7385250000002</v>
      </c>
      <c r="W86" s="63">
        <v>3810.0444339999999</v>
      </c>
      <c r="X86" s="63">
        <v>3808.8471679999998</v>
      </c>
      <c r="Y86" s="63">
        <v>3810.486328</v>
      </c>
      <c r="Z86" s="63">
        <v>3801.093018</v>
      </c>
      <c r="AA86" s="63">
        <v>3806.5546880000002</v>
      </c>
      <c r="AB86" s="63">
        <v>3809.9580080000001</v>
      </c>
      <c r="AC86" s="63">
        <v>3816.5031739999999</v>
      </c>
      <c r="AD86" s="63">
        <v>3831.6347660000001</v>
      </c>
      <c r="AE86" s="63">
        <v>3849.4577640000002</v>
      </c>
      <c r="AF86" s="63">
        <v>3865.1884770000001</v>
      </c>
      <c r="AG86" s="63">
        <v>3884.5078119999998</v>
      </c>
      <c r="AH86" s="63">
        <v>3905.9682619999999</v>
      </c>
      <c r="AI86" s="63">
        <v>3920.390625</v>
      </c>
      <c r="AJ86" s="63">
        <v>3938.5383299999999</v>
      </c>
      <c r="AK86" s="62">
        <v>-2.0860000000000002E-3</v>
      </c>
    </row>
    <row r="87" spans="1:37" ht="15" customHeight="1" x14ac:dyDescent="0.2">
      <c r="B87" s="59" t="s">
        <v>979</v>
      </c>
    </row>
    <row r="88" spans="1:37" ht="15" customHeight="1" x14ac:dyDescent="0.2">
      <c r="A88" s="57" t="s">
        <v>980</v>
      </c>
      <c r="B88" s="60" t="s">
        <v>903</v>
      </c>
      <c r="C88" s="63">
        <v>5085.1337890000004</v>
      </c>
      <c r="D88" s="63">
        <v>5152.8344729999999</v>
      </c>
      <c r="E88" s="63">
        <v>5235.7714839999999</v>
      </c>
      <c r="F88" s="63">
        <v>5241.4711909999996</v>
      </c>
      <c r="G88" s="63">
        <v>5221.3540039999998</v>
      </c>
      <c r="H88" s="63">
        <v>5215.7944340000004</v>
      </c>
      <c r="I88" s="63">
        <v>5208.5830079999996</v>
      </c>
      <c r="J88" s="63">
        <v>5192.7412109999996</v>
      </c>
      <c r="K88" s="63">
        <v>5175.0522460000002</v>
      </c>
      <c r="L88" s="63">
        <v>5151.4809569999998</v>
      </c>
      <c r="M88" s="63">
        <v>5109.3564450000003</v>
      </c>
      <c r="N88" s="63">
        <v>5070.9614259999998</v>
      </c>
      <c r="O88" s="63">
        <v>5019.7871089999999</v>
      </c>
      <c r="P88" s="63">
        <v>4971.9096680000002</v>
      </c>
      <c r="Q88" s="63">
        <v>4929.9331050000001</v>
      </c>
      <c r="R88" s="63">
        <v>4889.4521480000003</v>
      </c>
      <c r="S88" s="63">
        <v>4853.1137699999999</v>
      </c>
      <c r="T88" s="63">
        <v>4829.4052730000003</v>
      </c>
      <c r="U88" s="63">
        <v>4821.9169920000004</v>
      </c>
      <c r="V88" s="63">
        <v>4816.703125</v>
      </c>
      <c r="W88" s="63">
        <v>4821.5366210000002</v>
      </c>
      <c r="X88" s="63">
        <v>4826.7314450000003</v>
      </c>
      <c r="Y88" s="63">
        <v>4832.4443359999996</v>
      </c>
      <c r="Z88" s="63">
        <v>4827.9892579999996</v>
      </c>
      <c r="AA88" s="63">
        <v>4834.8603519999997</v>
      </c>
      <c r="AB88" s="63">
        <v>4841.7124020000001</v>
      </c>
      <c r="AC88" s="63">
        <v>4852.1240230000003</v>
      </c>
      <c r="AD88" s="63">
        <v>4871.4360349999997</v>
      </c>
      <c r="AE88" s="63">
        <v>4892.876953</v>
      </c>
      <c r="AF88" s="63">
        <v>4913.0214839999999</v>
      </c>
      <c r="AG88" s="63">
        <v>4937.6630859999996</v>
      </c>
      <c r="AH88" s="63">
        <v>4963.9819340000004</v>
      </c>
      <c r="AI88" s="63">
        <v>4983.6835940000001</v>
      </c>
      <c r="AJ88" s="63">
        <v>5007.7539059999999</v>
      </c>
      <c r="AK88" s="62">
        <v>-8.92E-4</v>
      </c>
    </row>
    <row r="89" spans="1:37" ht="15" customHeight="1" x14ac:dyDescent="0.2">
      <c r="A89" s="57" t="s">
        <v>981</v>
      </c>
      <c r="B89" s="60" t="s">
        <v>905</v>
      </c>
      <c r="C89" s="63">
        <v>479.58013899999997</v>
      </c>
      <c r="D89" s="63">
        <v>475.96191399999998</v>
      </c>
      <c r="E89" s="63">
        <v>475.69433600000002</v>
      </c>
      <c r="F89" s="63">
        <v>473.627838</v>
      </c>
      <c r="G89" s="63">
        <v>471.36245700000001</v>
      </c>
      <c r="H89" s="63">
        <v>470.08621199999999</v>
      </c>
      <c r="I89" s="63">
        <v>470.00433299999997</v>
      </c>
      <c r="J89" s="63">
        <v>471.53369099999998</v>
      </c>
      <c r="K89" s="63">
        <v>472.57562300000001</v>
      </c>
      <c r="L89" s="63">
        <v>475.12893700000001</v>
      </c>
      <c r="M89" s="63">
        <v>476.28750600000001</v>
      </c>
      <c r="N89" s="63">
        <v>478.73178100000001</v>
      </c>
      <c r="O89" s="63">
        <v>482.95764200000002</v>
      </c>
      <c r="P89" s="63">
        <v>484.09136999999998</v>
      </c>
      <c r="Q89" s="63">
        <v>489.55285600000002</v>
      </c>
      <c r="R89" s="63">
        <v>492.43753099999998</v>
      </c>
      <c r="S89" s="63">
        <v>496.20379600000001</v>
      </c>
      <c r="T89" s="63">
        <v>502.64672899999999</v>
      </c>
      <c r="U89" s="63">
        <v>509.31326300000001</v>
      </c>
      <c r="V89" s="63">
        <v>517.59991500000001</v>
      </c>
      <c r="W89" s="63">
        <v>525.44653300000004</v>
      </c>
      <c r="X89" s="63">
        <v>535.79528800000003</v>
      </c>
      <c r="Y89" s="63">
        <v>542.84527600000001</v>
      </c>
      <c r="Z89" s="63">
        <v>552.46594200000004</v>
      </c>
      <c r="AA89" s="63">
        <v>560.38452099999995</v>
      </c>
      <c r="AB89" s="63">
        <v>569.51483199999996</v>
      </c>
      <c r="AC89" s="63">
        <v>579.58685300000002</v>
      </c>
      <c r="AD89" s="63">
        <v>589.27191200000004</v>
      </c>
      <c r="AE89" s="63">
        <v>599.52337599999998</v>
      </c>
      <c r="AF89" s="63">
        <v>610.04461700000002</v>
      </c>
      <c r="AG89" s="63">
        <v>621.04650900000001</v>
      </c>
      <c r="AH89" s="63">
        <v>633.096497</v>
      </c>
      <c r="AI89" s="63">
        <v>643.63983199999996</v>
      </c>
      <c r="AJ89" s="63">
        <v>655.44390899999996</v>
      </c>
      <c r="AK89" s="62">
        <v>1.0049000000000001E-2</v>
      </c>
    </row>
    <row r="90" spans="1:37" ht="15" customHeight="1" x14ac:dyDescent="0.2">
      <c r="A90" s="57" t="s">
        <v>982</v>
      </c>
      <c r="B90" s="60" t="s">
        <v>907</v>
      </c>
      <c r="C90" s="63">
        <v>1.498156</v>
      </c>
      <c r="D90" s="63">
        <v>1.723063</v>
      </c>
      <c r="E90" s="63">
        <v>1.953255</v>
      </c>
      <c r="F90" s="63">
        <v>2.1466090000000002</v>
      </c>
      <c r="G90" s="63">
        <v>2.3086139999999999</v>
      </c>
      <c r="H90" s="63">
        <v>2.4561730000000002</v>
      </c>
      <c r="I90" s="63">
        <v>2.587135</v>
      </c>
      <c r="J90" s="63">
        <v>2.6920570000000001</v>
      </c>
      <c r="K90" s="63">
        <v>2.7961559999999999</v>
      </c>
      <c r="L90" s="63">
        <v>2.884792</v>
      </c>
      <c r="M90" s="63">
        <v>2.9673210000000001</v>
      </c>
      <c r="N90" s="63">
        <v>3.0204529999999998</v>
      </c>
      <c r="O90" s="63">
        <v>3.0823689999999999</v>
      </c>
      <c r="P90" s="63">
        <v>3.1368170000000002</v>
      </c>
      <c r="Q90" s="63">
        <v>3.1757390000000001</v>
      </c>
      <c r="R90" s="63">
        <v>3.251039</v>
      </c>
      <c r="S90" s="63">
        <v>3.3264490000000002</v>
      </c>
      <c r="T90" s="63">
        <v>3.4084379999999999</v>
      </c>
      <c r="U90" s="63">
        <v>3.5129380000000001</v>
      </c>
      <c r="V90" s="63">
        <v>3.6288200000000002</v>
      </c>
      <c r="W90" s="63">
        <v>3.7593480000000001</v>
      </c>
      <c r="X90" s="63">
        <v>3.9044560000000001</v>
      </c>
      <c r="Y90" s="63">
        <v>4.0550519999999999</v>
      </c>
      <c r="Z90" s="63">
        <v>4.2218429999999998</v>
      </c>
      <c r="AA90" s="63">
        <v>4.3932820000000001</v>
      </c>
      <c r="AB90" s="63">
        <v>4.5708580000000003</v>
      </c>
      <c r="AC90" s="63">
        <v>4.7522070000000003</v>
      </c>
      <c r="AD90" s="63">
        <v>4.9478359999999997</v>
      </c>
      <c r="AE90" s="63">
        <v>5.1629319999999996</v>
      </c>
      <c r="AF90" s="63">
        <v>5.3888749999999996</v>
      </c>
      <c r="AG90" s="63">
        <v>5.6731639999999999</v>
      </c>
      <c r="AH90" s="63">
        <v>5.882714</v>
      </c>
      <c r="AI90" s="63">
        <v>6.1420149999999998</v>
      </c>
      <c r="AJ90" s="63">
        <v>6.42971</v>
      </c>
      <c r="AK90" s="62">
        <v>4.2008999999999998E-2</v>
      </c>
    </row>
    <row r="91" spans="1:37" ht="15" customHeight="1" x14ac:dyDescent="0.2">
      <c r="A91" s="57" t="s">
        <v>983</v>
      </c>
      <c r="B91" s="60" t="s">
        <v>909</v>
      </c>
      <c r="C91" s="63">
        <v>38.148586000000002</v>
      </c>
      <c r="D91" s="63">
        <v>41.969738</v>
      </c>
      <c r="E91" s="63">
        <v>45.182625000000002</v>
      </c>
      <c r="F91" s="63">
        <v>47.002898999999999</v>
      </c>
      <c r="G91" s="63">
        <v>48.040393999999999</v>
      </c>
      <c r="H91" s="63">
        <v>48.967415000000003</v>
      </c>
      <c r="I91" s="63">
        <v>49.663383000000003</v>
      </c>
      <c r="J91" s="63">
        <v>50.090136999999999</v>
      </c>
      <c r="K91" s="63">
        <v>50.380474</v>
      </c>
      <c r="L91" s="63">
        <v>50.671722000000003</v>
      </c>
      <c r="M91" s="63">
        <v>50.900291000000003</v>
      </c>
      <c r="N91" s="63">
        <v>51.443793999999997</v>
      </c>
      <c r="O91" s="63">
        <v>52.070346999999998</v>
      </c>
      <c r="P91" s="63">
        <v>53.034072999999999</v>
      </c>
      <c r="Q91" s="63">
        <v>54.412018000000003</v>
      </c>
      <c r="R91" s="63">
        <v>56.326262999999997</v>
      </c>
      <c r="S91" s="63">
        <v>58.965617999999999</v>
      </c>
      <c r="T91" s="63">
        <v>62.304530999999997</v>
      </c>
      <c r="U91" s="63">
        <v>66.323447999999999</v>
      </c>
      <c r="V91" s="63">
        <v>71.053878999999995</v>
      </c>
      <c r="W91" s="63">
        <v>76.538673000000003</v>
      </c>
      <c r="X91" s="63">
        <v>82.900176999999999</v>
      </c>
      <c r="Y91" s="63">
        <v>90.034897000000001</v>
      </c>
      <c r="Z91" s="63">
        <v>98.194061000000005</v>
      </c>
      <c r="AA91" s="63">
        <v>107.214516</v>
      </c>
      <c r="AB91" s="63">
        <v>117.106804</v>
      </c>
      <c r="AC91" s="63">
        <v>128.000687</v>
      </c>
      <c r="AD91" s="63">
        <v>140.15521200000001</v>
      </c>
      <c r="AE91" s="63">
        <v>153.600067</v>
      </c>
      <c r="AF91" s="63">
        <v>168.019409</v>
      </c>
      <c r="AG91" s="63">
        <v>183.198959</v>
      </c>
      <c r="AH91" s="63">
        <v>199.47242700000001</v>
      </c>
      <c r="AI91" s="63">
        <v>216.06512499999999</v>
      </c>
      <c r="AJ91" s="63">
        <v>233.042587</v>
      </c>
      <c r="AK91" s="62">
        <v>5.5031999999999998E-2</v>
      </c>
    </row>
    <row r="92" spans="1:37" ht="15" customHeight="1" x14ac:dyDescent="0.2">
      <c r="A92" s="57" t="s">
        <v>984</v>
      </c>
      <c r="B92" s="60" t="s">
        <v>911</v>
      </c>
      <c r="C92" s="63">
        <v>45.344752999999997</v>
      </c>
      <c r="D92" s="63">
        <v>51.418548999999999</v>
      </c>
      <c r="E92" s="63">
        <v>57.268444000000002</v>
      </c>
      <c r="F92" s="63">
        <v>62.441048000000002</v>
      </c>
      <c r="G92" s="63">
        <v>67.240798999999996</v>
      </c>
      <c r="H92" s="63">
        <v>71.588333000000006</v>
      </c>
      <c r="I92" s="63">
        <v>75.796683999999999</v>
      </c>
      <c r="J92" s="63">
        <v>79.820060999999995</v>
      </c>
      <c r="K92" s="63">
        <v>83.744338999999997</v>
      </c>
      <c r="L92" s="63">
        <v>87.625174999999999</v>
      </c>
      <c r="M92" s="63">
        <v>91.296417000000005</v>
      </c>
      <c r="N92" s="63">
        <v>95.460205000000002</v>
      </c>
      <c r="O92" s="63">
        <v>99.540672000000001</v>
      </c>
      <c r="P92" s="63">
        <v>103.854034</v>
      </c>
      <c r="Q92" s="63">
        <v>108.301346</v>
      </c>
      <c r="R92" s="63">
        <v>112.927673</v>
      </c>
      <c r="S92" s="63">
        <v>117.85993999999999</v>
      </c>
      <c r="T92" s="63">
        <v>122.81538399999999</v>
      </c>
      <c r="U92" s="63">
        <v>127.95536800000001</v>
      </c>
      <c r="V92" s="63">
        <v>133.323395</v>
      </c>
      <c r="W92" s="63">
        <v>139.00393700000001</v>
      </c>
      <c r="X92" s="63">
        <v>144.885864</v>
      </c>
      <c r="Y92" s="63">
        <v>151.118088</v>
      </c>
      <c r="Z92" s="63">
        <v>158.009232</v>
      </c>
      <c r="AA92" s="63">
        <v>165.098206</v>
      </c>
      <c r="AB92" s="63">
        <v>172.45459</v>
      </c>
      <c r="AC92" s="63">
        <v>179.977631</v>
      </c>
      <c r="AD92" s="63">
        <v>187.991882</v>
      </c>
      <c r="AE92" s="63">
        <v>196.68571499999999</v>
      </c>
      <c r="AF92" s="63">
        <v>205.71713299999999</v>
      </c>
      <c r="AG92" s="63">
        <v>215.17086800000001</v>
      </c>
      <c r="AH92" s="63">
        <v>224.902557</v>
      </c>
      <c r="AI92" s="63">
        <v>235.330566</v>
      </c>
      <c r="AJ92" s="63">
        <v>246.058502</v>
      </c>
      <c r="AK92" s="62">
        <v>5.0140999999999998E-2</v>
      </c>
    </row>
    <row r="93" spans="1:37" ht="15" customHeight="1" x14ac:dyDescent="0.2">
      <c r="A93" s="57" t="s">
        <v>985</v>
      </c>
      <c r="B93" s="60" t="s">
        <v>913</v>
      </c>
      <c r="C93" s="63">
        <v>8.0459999999999993E-3</v>
      </c>
      <c r="D93" s="63">
        <v>0.45815600000000001</v>
      </c>
      <c r="E93" s="63">
        <v>0.90220800000000001</v>
      </c>
      <c r="F93" s="63">
        <v>1.332891</v>
      </c>
      <c r="G93" s="63">
        <v>1.754051</v>
      </c>
      <c r="H93" s="63">
        <v>2.1944970000000001</v>
      </c>
      <c r="I93" s="63">
        <v>2.6351520000000002</v>
      </c>
      <c r="J93" s="63">
        <v>3.0667559999999998</v>
      </c>
      <c r="K93" s="63">
        <v>3.4923999999999999</v>
      </c>
      <c r="L93" s="63">
        <v>3.912706</v>
      </c>
      <c r="M93" s="63">
        <v>4.3177570000000003</v>
      </c>
      <c r="N93" s="63">
        <v>4.7372120000000004</v>
      </c>
      <c r="O93" s="63">
        <v>5.1416180000000002</v>
      </c>
      <c r="P93" s="63">
        <v>5.5467500000000003</v>
      </c>
      <c r="Q93" s="63">
        <v>5.953703</v>
      </c>
      <c r="R93" s="63">
        <v>6.3650260000000003</v>
      </c>
      <c r="S93" s="63">
        <v>6.7961580000000001</v>
      </c>
      <c r="T93" s="63">
        <v>7.2436689999999997</v>
      </c>
      <c r="U93" s="63">
        <v>7.712809</v>
      </c>
      <c r="V93" s="63">
        <v>8.2077500000000008</v>
      </c>
      <c r="W93" s="63">
        <v>8.7137580000000003</v>
      </c>
      <c r="X93" s="63">
        <v>9.2418779999999998</v>
      </c>
      <c r="Y93" s="63">
        <v>9.78261</v>
      </c>
      <c r="Z93" s="63">
        <v>10.366740999999999</v>
      </c>
      <c r="AA93" s="63">
        <v>10.953445</v>
      </c>
      <c r="AB93" s="63">
        <v>11.549804</v>
      </c>
      <c r="AC93" s="63">
        <v>12.151619</v>
      </c>
      <c r="AD93" s="63">
        <v>12.788078000000001</v>
      </c>
      <c r="AE93" s="63">
        <v>13.474335999999999</v>
      </c>
      <c r="AF93" s="63">
        <v>14.188475</v>
      </c>
      <c r="AG93" s="63">
        <v>14.937690999999999</v>
      </c>
      <c r="AH93" s="63">
        <v>15.740468999999999</v>
      </c>
      <c r="AI93" s="63">
        <v>16.587247999999999</v>
      </c>
      <c r="AJ93" s="63">
        <v>17.483459</v>
      </c>
      <c r="AK93" s="62">
        <v>0.120535</v>
      </c>
    </row>
    <row r="94" spans="1:37" ht="15" customHeight="1" x14ac:dyDescent="0.2">
      <c r="A94" s="57" t="s">
        <v>986</v>
      </c>
      <c r="B94" s="60" t="s">
        <v>915</v>
      </c>
      <c r="C94" s="63">
        <v>0</v>
      </c>
      <c r="D94" s="63">
        <v>0.34058899999999998</v>
      </c>
      <c r="E94" s="63">
        <v>0.48209800000000003</v>
      </c>
      <c r="F94" s="63">
        <v>0.65029499999999996</v>
      </c>
      <c r="G94" s="63">
        <v>0.81222899999999998</v>
      </c>
      <c r="H94" s="63">
        <v>0.98329</v>
      </c>
      <c r="I94" s="63">
        <v>1.1517759999999999</v>
      </c>
      <c r="J94" s="63">
        <v>1.3134049999999999</v>
      </c>
      <c r="K94" s="63">
        <v>1.469606</v>
      </c>
      <c r="L94" s="63">
        <v>1.62043</v>
      </c>
      <c r="M94" s="63">
        <v>1.760818</v>
      </c>
      <c r="N94" s="63">
        <v>1.9033929999999999</v>
      </c>
      <c r="O94" s="63">
        <v>2.036162</v>
      </c>
      <c r="P94" s="63">
        <v>2.1658040000000001</v>
      </c>
      <c r="Q94" s="63">
        <v>2.2934489999999998</v>
      </c>
      <c r="R94" s="63">
        <v>2.4216099999999998</v>
      </c>
      <c r="S94" s="63">
        <v>2.5586380000000002</v>
      </c>
      <c r="T94" s="63">
        <v>2.7028660000000002</v>
      </c>
      <c r="U94" s="63">
        <v>2.857507</v>
      </c>
      <c r="V94" s="63">
        <v>3.024769</v>
      </c>
      <c r="W94" s="63">
        <v>3.1898559999999998</v>
      </c>
      <c r="X94" s="63">
        <v>3.3619699999999999</v>
      </c>
      <c r="Y94" s="63">
        <v>3.5439959999999999</v>
      </c>
      <c r="Z94" s="63">
        <v>3.7507290000000002</v>
      </c>
      <c r="AA94" s="63">
        <v>3.9564270000000001</v>
      </c>
      <c r="AB94" s="63">
        <v>4.1681330000000001</v>
      </c>
      <c r="AC94" s="63">
        <v>4.3823410000000003</v>
      </c>
      <c r="AD94" s="63">
        <v>4.6090710000000001</v>
      </c>
      <c r="AE94" s="63">
        <v>4.853898</v>
      </c>
      <c r="AF94" s="63">
        <v>5.1085630000000002</v>
      </c>
      <c r="AG94" s="63">
        <v>5.3762759999999998</v>
      </c>
      <c r="AH94" s="63">
        <v>5.6631479999999996</v>
      </c>
      <c r="AI94" s="63">
        <v>5.96563</v>
      </c>
      <c r="AJ94" s="63">
        <v>6.2842580000000003</v>
      </c>
      <c r="AK94" s="62">
        <v>9.5376000000000002E-2</v>
      </c>
    </row>
    <row r="95" spans="1:37" ht="15" customHeight="1" x14ac:dyDescent="0.2">
      <c r="A95" s="57" t="s">
        <v>987</v>
      </c>
      <c r="B95" s="60" t="s">
        <v>917</v>
      </c>
      <c r="C95" s="63">
        <v>0</v>
      </c>
      <c r="D95" s="63">
        <v>0.311803</v>
      </c>
      <c r="E95" s="63">
        <v>0.456372</v>
      </c>
      <c r="F95" s="63">
        <v>0.62854500000000002</v>
      </c>
      <c r="G95" s="63">
        <v>0.79440299999999997</v>
      </c>
      <c r="H95" s="63">
        <v>0.97075800000000001</v>
      </c>
      <c r="I95" s="63">
        <v>1.145831</v>
      </c>
      <c r="J95" s="63">
        <v>1.3147139999999999</v>
      </c>
      <c r="K95" s="63">
        <v>1.4785999999999999</v>
      </c>
      <c r="L95" s="63">
        <v>1.637543</v>
      </c>
      <c r="M95" s="63">
        <v>1.7865169999999999</v>
      </c>
      <c r="N95" s="63">
        <v>1.938469</v>
      </c>
      <c r="O95" s="63">
        <v>2.080997</v>
      </c>
      <c r="P95" s="63">
        <v>2.2210420000000002</v>
      </c>
      <c r="Q95" s="63">
        <v>2.35907</v>
      </c>
      <c r="R95" s="63">
        <v>2.4973990000000001</v>
      </c>
      <c r="S95" s="63">
        <v>2.6433270000000002</v>
      </c>
      <c r="T95" s="63">
        <v>2.7967529999999998</v>
      </c>
      <c r="U95" s="63">
        <v>2.9609100000000002</v>
      </c>
      <c r="V95" s="63">
        <v>3.1382910000000002</v>
      </c>
      <c r="W95" s="63">
        <v>3.3153320000000002</v>
      </c>
      <c r="X95" s="63">
        <v>3.5013529999999999</v>
      </c>
      <c r="Y95" s="63">
        <v>3.6975280000000001</v>
      </c>
      <c r="Z95" s="63">
        <v>3.918428</v>
      </c>
      <c r="AA95" s="63">
        <v>4.1398250000000001</v>
      </c>
      <c r="AB95" s="63">
        <v>4.3679540000000001</v>
      </c>
      <c r="AC95" s="63">
        <v>4.5990250000000001</v>
      </c>
      <c r="AD95" s="63">
        <v>4.8434239999999997</v>
      </c>
      <c r="AE95" s="63">
        <v>5.1068860000000003</v>
      </c>
      <c r="AF95" s="63">
        <v>5.3807119999999999</v>
      </c>
      <c r="AG95" s="63">
        <v>5.6681559999999998</v>
      </c>
      <c r="AH95" s="63">
        <v>5.9754959999999997</v>
      </c>
      <c r="AI95" s="63">
        <v>6.2991029999999997</v>
      </c>
      <c r="AJ95" s="63">
        <v>6.6395439999999999</v>
      </c>
      <c r="AK95" s="62">
        <v>0.10029200000000001</v>
      </c>
    </row>
    <row r="96" spans="1:37" ht="15" customHeight="1" x14ac:dyDescent="0.2">
      <c r="A96" s="57" t="s">
        <v>988</v>
      </c>
      <c r="B96" s="60" t="s">
        <v>919</v>
      </c>
      <c r="C96" s="63">
        <v>0</v>
      </c>
      <c r="D96" s="63">
        <v>0.24136299999999999</v>
      </c>
      <c r="E96" s="63">
        <v>0.50012000000000001</v>
      </c>
      <c r="F96" s="63">
        <v>0.73979499999999998</v>
      </c>
      <c r="G96" s="63">
        <v>0.97150599999999998</v>
      </c>
      <c r="H96" s="63">
        <v>1.225471</v>
      </c>
      <c r="I96" s="63">
        <v>1.481001</v>
      </c>
      <c r="J96" s="63">
        <v>1.733284</v>
      </c>
      <c r="K96" s="63">
        <v>1.9886170000000001</v>
      </c>
      <c r="L96" s="63">
        <v>2.2491400000000001</v>
      </c>
      <c r="M96" s="63">
        <v>2.5088249999999999</v>
      </c>
      <c r="N96" s="63">
        <v>2.7788789999999999</v>
      </c>
      <c r="O96" s="63">
        <v>3.0470510000000002</v>
      </c>
      <c r="P96" s="63">
        <v>3.322155</v>
      </c>
      <c r="Q96" s="63">
        <v>3.6024060000000002</v>
      </c>
      <c r="R96" s="63">
        <v>3.8884569999999998</v>
      </c>
      <c r="S96" s="63">
        <v>4.1878330000000004</v>
      </c>
      <c r="T96" s="63">
        <v>4.4980799999999999</v>
      </c>
      <c r="U96" s="63">
        <v>4.8197609999999997</v>
      </c>
      <c r="V96" s="63">
        <v>5.1551049999999998</v>
      </c>
      <c r="W96" s="63">
        <v>5.4970679999999996</v>
      </c>
      <c r="X96" s="63">
        <v>5.8560499999999998</v>
      </c>
      <c r="Y96" s="63">
        <v>6.2261059999999997</v>
      </c>
      <c r="Z96" s="63">
        <v>6.6260190000000003</v>
      </c>
      <c r="AA96" s="63">
        <v>7.0352649999999999</v>
      </c>
      <c r="AB96" s="63">
        <v>7.4590690000000004</v>
      </c>
      <c r="AC96" s="63">
        <v>7.8945160000000003</v>
      </c>
      <c r="AD96" s="63">
        <v>8.3570410000000006</v>
      </c>
      <c r="AE96" s="63">
        <v>8.8565129999999996</v>
      </c>
      <c r="AF96" s="63">
        <v>9.3758490000000005</v>
      </c>
      <c r="AG96" s="63">
        <v>9.9222230000000007</v>
      </c>
      <c r="AH96" s="63">
        <v>10.505863</v>
      </c>
      <c r="AI96" s="63">
        <v>11.119581</v>
      </c>
      <c r="AJ96" s="63">
        <v>11.763826</v>
      </c>
      <c r="AK96" s="62">
        <v>0.129136</v>
      </c>
    </row>
    <row r="97" spans="1:37" ht="15" customHeight="1" x14ac:dyDescent="0.2">
      <c r="A97" s="57" t="s">
        <v>989</v>
      </c>
      <c r="B97" s="59" t="s">
        <v>990</v>
      </c>
      <c r="C97" s="69">
        <v>5649.7104490000002</v>
      </c>
      <c r="D97" s="69">
        <v>5725.2612300000001</v>
      </c>
      <c r="E97" s="69">
        <v>5818.2104490000002</v>
      </c>
      <c r="F97" s="69">
        <v>5830.0366210000002</v>
      </c>
      <c r="G97" s="69">
        <v>5814.6367190000001</v>
      </c>
      <c r="H97" s="69">
        <v>5814.2670900000003</v>
      </c>
      <c r="I97" s="69">
        <v>5813.0478519999997</v>
      </c>
      <c r="J97" s="69">
        <v>5804.3071289999998</v>
      </c>
      <c r="K97" s="69">
        <v>5792.9794920000004</v>
      </c>
      <c r="L97" s="69">
        <v>5777.2089839999999</v>
      </c>
      <c r="M97" s="69">
        <v>5741.1840819999998</v>
      </c>
      <c r="N97" s="69">
        <v>5710.9746089999999</v>
      </c>
      <c r="O97" s="69">
        <v>5669.7421880000002</v>
      </c>
      <c r="P97" s="69">
        <v>5629.28125</v>
      </c>
      <c r="Q97" s="69">
        <v>5599.5810549999997</v>
      </c>
      <c r="R97" s="69">
        <v>5569.5688479999999</v>
      </c>
      <c r="S97" s="69">
        <v>5545.6533200000003</v>
      </c>
      <c r="T97" s="69">
        <v>5537.8237300000001</v>
      </c>
      <c r="U97" s="69">
        <v>5547.3701170000004</v>
      </c>
      <c r="V97" s="69">
        <v>5561.8310549999997</v>
      </c>
      <c r="W97" s="69">
        <v>5586.9990230000003</v>
      </c>
      <c r="X97" s="69">
        <v>5616.1782229999999</v>
      </c>
      <c r="Y97" s="69">
        <v>5643.7465819999998</v>
      </c>
      <c r="Z97" s="69">
        <v>5665.5444340000004</v>
      </c>
      <c r="AA97" s="69">
        <v>5698.0361329999996</v>
      </c>
      <c r="AB97" s="69">
        <v>5732.9038090000004</v>
      </c>
      <c r="AC97" s="69">
        <v>5773.4711909999996</v>
      </c>
      <c r="AD97" s="69">
        <v>5824.4023440000001</v>
      </c>
      <c r="AE97" s="69">
        <v>5880.1416019999997</v>
      </c>
      <c r="AF97" s="69">
        <v>5936.2446289999998</v>
      </c>
      <c r="AG97" s="69">
        <v>5998.658203</v>
      </c>
      <c r="AH97" s="69">
        <v>6065.2192379999997</v>
      </c>
      <c r="AI97" s="69">
        <v>6124.8349609999996</v>
      </c>
      <c r="AJ97" s="69">
        <v>6190.8994140000004</v>
      </c>
      <c r="AK97" s="66">
        <v>2.447E-3</v>
      </c>
    </row>
    <row r="98" spans="1:37" ht="15.75" customHeight="1" x14ac:dyDescent="0.2"/>
    <row r="99" spans="1:37" ht="15" customHeight="1" x14ac:dyDescent="0.2">
      <c r="B99" s="59" t="s">
        <v>991</v>
      </c>
    </row>
    <row r="100" spans="1:37" ht="15" customHeight="1" x14ac:dyDescent="0.2">
      <c r="B100" s="59" t="s">
        <v>901</v>
      </c>
    </row>
    <row r="101" spans="1:37" ht="15" customHeight="1" x14ac:dyDescent="0.2">
      <c r="A101" s="57" t="s">
        <v>992</v>
      </c>
      <c r="B101" s="60" t="s">
        <v>903</v>
      </c>
      <c r="C101" s="63">
        <v>13.859468</v>
      </c>
      <c r="D101" s="63">
        <v>14.061616000000001</v>
      </c>
      <c r="E101" s="63">
        <v>14.262646</v>
      </c>
      <c r="F101" s="63">
        <v>14.450768</v>
      </c>
      <c r="G101" s="63">
        <v>14.643349000000001</v>
      </c>
      <c r="H101" s="63">
        <v>14.837282</v>
      </c>
      <c r="I101" s="63">
        <v>15.041568</v>
      </c>
      <c r="J101" s="63">
        <v>15.262869</v>
      </c>
      <c r="K101" s="63">
        <v>15.507498999999999</v>
      </c>
      <c r="L101" s="63">
        <v>15.774554</v>
      </c>
      <c r="M101" s="63">
        <v>16.058247000000001</v>
      </c>
      <c r="N101" s="63">
        <v>16.332443000000001</v>
      </c>
      <c r="O101" s="63">
        <v>16.594639000000001</v>
      </c>
      <c r="P101" s="63">
        <v>16.841763</v>
      </c>
      <c r="Q101" s="63">
        <v>17.064105999999999</v>
      </c>
      <c r="R101" s="63">
        <v>17.267914000000001</v>
      </c>
      <c r="S101" s="63">
        <v>17.458427</v>
      </c>
      <c r="T101" s="63">
        <v>17.626957000000001</v>
      </c>
      <c r="U101" s="63">
        <v>17.769615000000002</v>
      </c>
      <c r="V101" s="63">
        <v>17.904765999999999</v>
      </c>
      <c r="W101" s="63">
        <v>18.031466999999999</v>
      </c>
      <c r="X101" s="63">
        <v>18.153487999999999</v>
      </c>
      <c r="Y101" s="63">
        <v>18.272448000000001</v>
      </c>
      <c r="Z101" s="63">
        <v>18.380134999999999</v>
      </c>
      <c r="AA101" s="63">
        <v>18.49053</v>
      </c>
      <c r="AB101" s="63">
        <v>18.588657000000001</v>
      </c>
      <c r="AC101" s="63">
        <v>18.675037</v>
      </c>
      <c r="AD101" s="63">
        <v>18.759951000000001</v>
      </c>
      <c r="AE101" s="63">
        <v>18.844301000000002</v>
      </c>
      <c r="AF101" s="63">
        <v>18.916855000000002</v>
      </c>
      <c r="AG101" s="63">
        <v>18.977340999999999</v>
      </c>
      <c r="AH101" s="63">
        <v>19.037716</v>
      </c>
      <c r="AI101" s="63">
        <v>19.088861000000001</v>
      </c>
      <c r="AJ101" s="63">
        <v>19.133236</v>
      </c>
      <c r="AK101" s="62">
        <v>9.6710000000000008E-3</v>
      </c>
    </row>
    <row r="102" spans="1:37" ht="15" customHeight="1" x14ac:dyDescent="0.2">
      <c r="A102" s="57" t="s">
        <v>993</v>
      </c>
      <c r="B102" s="60" t="s">
        <v>905</v>
      </c>
      <c r="C102" s="63">
        <v>9.6014269999999993</v>
      </c>
      <c r="D102" s="63">
        <v>9.71767</v>
      </c>
      <c r="E102" s="63">
        <v>9.8370929999999994</v>
      </c>
      <c r="F102" s="63">
        <v>9.9567069999999998</v>
      </c>
      <c r="G102" s="63">
        <v>10.090628000000001</v>
      </c>
      <c r="H102" s="63">
        <v>10.231546</v>
      </c>
      <c r="I102" s="63">
        <v>10.383187</v>
      </c>
      <c r="J102" s="63">
        <v>10.548469000000001</v>
      </c>
      <c r="K102" s="63">
        <v>10.728490000000001</v>
      </c>
      <c r="L102" s="63">
        <v>10.922883000000001</v>
      </c>
      <c r="M102" s="63">
        <v>11.134223</v>
      </c>
      <c r="N102" s="63">
        <v>11.350479999999999</v>
      </c>
      <c r="O102" s="63">
        <v>11.569394000000001</v>
      </c>
      <c r="P102" s="63">
        <v>11.794005</v>
      </c>
      <c r="Q102" s="63">
        <v>12.012195</v>
      </c>
      <c r="R102" s="63">
        <v>12.228463</v>
      </c>
      <c r="S102" s="63">
        <v>12.427379</v>
      </c>
      <c r="T102" s="63">
        <v>12.619116</v>
      </c>
      <c r="U102" s="63">
        <v>12.793673</v>
      </c>
      <c r="V102" s="63">
        <v>12.952105</v>
      </c>
      <c r="W102" s="63">
        <v>13.100519</v>
      </c>
      <c r="X102" s="63">
        <v>13.235575000000001</v>
      </c>
      <c r="Y102" s="63">
        <v>13.367063999999999</v>
      </c>
      <c r="Z102" s="63">
        <v>13.480259999999999</v>
      </c>
      <c r="AA102" s="63">
        <v>13.598210999999999</v>
      </c>
      <c r="AB102" s="63">
        <v>13.702168</v>
      </c>
      <c r="AC102" s="63">
        <v>13.796742</v>
      </c>
      <c r="AD102" s="63">
        <v>13.889860000000001</v>
      </c>
      <c r="AE102" s="63">
        <v>13.983366999999999</v>
      </c>
      <c r="AF102" s="63">
        <v>14.073128000000001</v>
      </c>
      <c r="AG102" s="63">
        <v>14.159492</v>
      </c>
      <c r="AH102" s="63">
        <v>14.249601999999999</v>
      </c>
      <c r="AI102" s="63">
        <v>14.337173</v>
      </c>
      <c r="AJ102" s="63">
        <v>14.421823</v>
      </c>
      <c r="AK102" s="62">
        <v>1.2414E-2</v>
      </c>
    </row>
    <row r="103" spans="1:37" ht="15" customHeight="1" x14ac:dyDescent="0.2">
      <c r="A103" s="57" t="s">
        <v>994</v>
      </c>
      <c r="B103" s="60" t="s">
        <v>907</v>
      </c>
      <c r="C103" s="63">
        <v>8.2869469999999996</v>
      </c>
      <c r="D103" s="63">
        <v>10.987607000000001</v>
      </c>
      <c r="E103" s="63">
        <v>11.542342</v>
      </c>
      <c r="F103" s="63">
        <v>11.776501</v>
      </c>
      <c r="G103" s="63">
        <v>11.955534999999999</v>
      </c>
      <c r="H103" s="63">
        <v>12.099052</v>
      </c>
      <c r="I103" s="63">
        <v>12.222739000000001</v>
      </c>
      <c r="J103" s="63">
        <v>12.345480999999999</v>
      </c>
      <c r="K103" s="63">
        <v>12.479143000000001</v>
      </c>
      <c r="L103" s="63">
        <v>12.63082</v>
      </c>
      <c r="M103" s="63">
        <v>12.802272</v>
      </c>
      <c r="N103" s="63">
        <v>12.956865000000001</v>
      </c>
      <c r="O103" s="63">
        <v>13.107939999999999</v>
      </c>
      <c r="P103" s="63">
        <v>13.256164999999999</v>
      </c>
      <c r="Q103" s="63">
        <v>13.397534</v>
      </c>
      <c r="R103" s="63">
        <v>13.509879</v>
      </c>
      <c r="S103" s="63">
        <v>13.624283999999999</v>
      </c>
      <c r="T103" s="63">
        <v>13.731426000000001</v>
      </c>
      <c r="U103" s="63">
        <v>13.788864999999999</v>
      </c>
      <c r="V103" s="63">
        <v>13.837327</v>
      </c>
      <c r="W103" s="63">
        <v>13.881026</v>
      </c>
      <c r="X103" s="63">
        <v>13.921916</v>
      </c>
      <c r="Y103" s="63">
        <v>13.965261</v>
      </c>
      <c r="Z103" s="63">
        <v>14.011582000000001</v>
      </c>
      <c r="AA103" s="63">
        <v>14.061923999999999</v>
      </c>
      <c r="AB103" s="63">
        <v>14.116355</v>
      </c>
      <c r="AC103" s="63">
        <v>14.174376000000001</v>
      </c>
      <c r="AD103" s="63">
        <v>14.234536</v>
      </c>
      <c r="AE103" s="63">
        <v>14.294591</v>
      </c>
      <c r="AF103" s="63">
        <v>14.351796</v>
      </c>
      <c r="AG103" s="63">
        <v>14.404704000000001</v>
      </c>
      <c r="AH103" s="63">
        <v>14.451931</v>
      </c>
      <c r="AI103" s="63">
        <v>14.49269</v>
      </c>
      <c r="AJ103" s="63">
        <v>14.515891</v>
      </c>
      <c r="AK103" s="62">
        <v>8.7399999999999995E-3</v>
      </c>
    </row>
    <row r="104" spans="1:37" ht="15" customHeight="1" x14ac:dyDescent="0.2">
      <c r="A104" s="57" t="s">
        <v>995</v>
      </c>
      <c r="B104" s="60" t="s">
        <v>909</v>
      </c>
      <c r="C104" s="63">
        <v>9.9827659999999998</v>
      </c>
      <c r="D104" s="63">
        <v>12.832542999999999</v>
      </c>
      <c r="E104" s="63">
        <v>12.434029000000001</v>
      </c>
      <c r="F104" s="63">
        <v>12.302447000000001</v>
      </c>
      <c r="G104" s="63">
        <v>12.282825000000001</v>
      </c>
      <c r="H104" s="63">
        <v>12.297174999999999</v>
      </c>
      <c r="I104" s="63">
        <v>12.331966</v>
      </c>
      <c r="J104" s="63">
        <v>12.390567000000001</v>
      </c>
      <c r="K104" s="63">
        <v>12.477798</v>
      </c>
      <c r="L104" s="63">
        <v>12.592375000000001</v>
      </c>
      <c r="M104" s="63">
        <v>12.730947</v>
      </c>
      <c r="N104" s="63">
        <v>12.857704999999999</v>
      </c>
      <c r="O104" s="63">
        <v>12.98723</v>
      </c>
      <c r="P104" s="63">
        <v>13.117191</v>
      </c>
      <c r="Q104" s="63">
        <v>13.244189</v>
      </c>
      <c r="R104" s="63">
        <v>13.357869000000001</v>
      </c>
      <c r="S104" s="63">
        <v>13.454177</v>
      </c>
      <c r="T104" s="63">
        <v>13.534901</v>
      </c>
      <c r="U104" s="63">
        <v>13.601205</v>
      </c>
      <c r="V104" s="63">
        <v>13.654995</v>
      </c>
      <c r="W104" s="63">
        <v>13.698510000000001</v>
      </c>
      <c r="X104" s="63">
        <v>13.733317</v>
      </c>
      <c r="Y104" s="63">
        <v>13.761582000000001</v>
      </c>
      <c r="Z104" s="63">
        <v>13.785436000000001</v>
      </c>
      <c r="AA104" s="63">
        <v>13.805237</v>
      </c>
      <c r="AB104" s="63">
        <v>13.821066</v>
      </c>
      <c r="AC104" s="63">
        <v>13.833309</v>
      </c>
      <c r="AD104" s="63">
        <v>13.841343999999999</v>
      </c>
      <c r="AE104" s="63">
        <v>13.846902999999999</v>
      </c>
      <c r="AF104" s="63">
        <v>13.850352000000001</v>
      </c>
      <c r="AG104" s="63">
        <v>13.851995000000001</v>
      </c>
      <c r="AH104" s="63">
        <v>13.852275000000001</v>
      </c>
      <c r="AI104" s="63">
        <v>13.851996</v>
      </c>
      <c r="AJ104" s="63">
        <v>13.848711</v>
      </c>
      <c r="AK104" s="62">
        <v>2.3839999999999998E-3</v>
      </c>
    </row>
    <row r="105" spans="1:37" ht="15" customHeight="1" x14ac:dyDescent="0.2">
      <c r="A105" s="57" t="s">
        <v>996</v>
      </c>
      <c r="B105" s="60" t="s">
        <v>911</v>
      </c>
      <c r="C105" s="63">
        <v>9.9940390000000008</v>
      </c>
      <c r="D105" s="63">
        <v>10.060824999999999</v>
      </c>
      <c r="E105" s="63">
        <v>10.126671</v>
      </c>
      <c r="F105" s="63">
        <v>10.195043999999999</v>
      </c>
      <c r="G105" s="63">
        <v>10.286643</v>
      </c>
      <c r="H105" s="63">
        <v>10.385298000000001</v>
      </c>
      <c r="I105" s="63">
        <v>10.495941</v>
      </c>
      <c r="J105" s="63">
        <v>10.620696000000001</v>
      </c>
      <c r="K105" s="63">
        <v>10.764001</v>
      </c>
      <c r="L105" s="63">
        <v>10.926545000000001</v>
      </c>
      <c r="M105" s="63">
        <v>11.104176000000001</v>
      </c>
      <c r="N105" s="63">
        <v>11.279358999999999</v>
      </c>
      <c r="O105" s="63">
        <v>11.459263</v>
      </c>
      <c r="P105" s="63">
        <v>11.646042</v>
      </c>
      <c r="Q105" s="63">
        <v>11.834645</v>
      </c>
      <c r="R105" s="63">
        <v>12.016306999999999</v>
      </c>
      <c r="S105" s="63">
        <v>12.187749999999999</v>
      </c>
      <c r="T105" s="63">
        <v>12.35394</v>
      </c>
      <c r="U105" s="63">
        <v>12.511184999999999</v>
      </c>
      <c r="V105" s="63">
        <v>12.658514</v>
      </c>
      <c r="W105" s="63">
        <v>12.794083000000001</v>
      </c>
      <c r="X105" s="63">
        <v>12.91728</v>
      </c>
      <c r="Y105" s="63">
        <v>13.030379999999999</v>
      </c>
      <c r="Z105" s="63">
        <v>13.134414</v>
      </c>
      <c r="AA105" s="63">
        <v>13.227881999999999</v>
      </c>
      <c r="AB105" s="63">
        <v>13.314416</v>
      </c>
      <c r="AC105" s="63">
        <v>13.390454999999999</v>
      </c>
      <c r="AD105" s="63">
        <v>13.458278999999999</v>
      </c>
      <c r="AE105" s="63">
        <v>13.522811000000001</v>
      </c>
      <c r="AF105" s="63">
        <v>13.586084</v>
      </c>
      <c r="AG105" s="63">
        <v>13.644802</v>
      </c>
      <c r="AH105" s="63">
        <v>13.712543</v>
      </c>
      <c r="AI105" s="63">
        <v>13.778048999999999</v>
      </c>
      <c r="AJ105" s="63">
        <v>13.844063</v>
      </c>
      <c r="AK105" s="62">
        <v>1.0024999999999999E-2</v>
      </c>
    </row>
    <row r="106" spans="1:37" ht="15" customHeight="1" x14ac:dyDescent="0.2">
      <c r="A106" s="57" t="s">
        <v>997</v>
      </c>
      <c r="B106" s="60" t="s">
        <v>913</v>
      </c>
      <c r="C106" s="63">
        <v>24.122917000000001</v>
      </c>
      <c r="D106" s="63">
        <v>26.652425999999998</v>
      </c>
      <c r="E106" s="63">
        <v>26.767748000000001</v>
      </c>
      <c r="F106" s="63">
        <v>26.818933000000001</v>
      </c>
      <c r="G106" s="63">
        <v>26.894276000000001</v>
      </c>
      <c r="H106" s="63">
        <v>26.979792</v>
      </c>
      <c r="I106" s="63">
        <v>27.076112999999999</v>
      </c>
      <c r="J106" s="63">
        <v>27.193625999999998</v>
      </c>
      <c r="K106" s="63">
        <v>27.337215</v>
      </c>
      <c r="L106" s="63">
        <v>27.507925</v>
      </c>
      <c r="M106" s="63">
        <v>27.700205</v>
      </c>
      <c r="N106" s="63">
        <v>27.879494000000001</v>
      </c>
      <c r="O106" s="63">
        <v>28.057480000000002</v>
      </c>
      <c r="P106" s="63">
        <v>28.232068999999999</v>
      </c>
      <c r="Q106" s="63">
        <v>28.397355999999998</v>
      </c>
      <c r="R106" s="63">
        <v>28.546738000000001</v>
      </c>
      <c r="S106" s="63">
        <v>28.67746</v>
      </c>
      <c r="T106" s="63">
        <v>28.789814</v>
      </c>
      <c r="U106" s="63">
        <v>28.884287</v>
      </c>
      <c r="V106" s="63">
        <v>28.962600999999999</v>
      </c>
      <c r="W106" s="63">
        <v>29.029368999999999</v>
      </c>
      <c r="X106" s="63">
        <v>29.086748</v>
      </c>
      <c r="Y106" s="63">
        <v>29.136241999999999</v>
      </c>
      <c r="Z106" s="63">
        <v>29.179107999999999</v>
      </c>
      <c r="AA106" s="63">
        <v>29.220040999999998</v>
      </c>
      <c r="AB106" s="63">
        <v>29.260204000000002</v>
      </c>
      <c r="AC106" s="63">
        <v>29.295480999999999</v>
      </c>
      <c r="AD106" s="63">
        <v>29.327781999999999</v>
      </c>
      <c r="AE106" s="63">
        <v>29.356628000000001</v>
      </c>
      <c r="AF106" s="63">
        <v>29.381595999999998</v>
      </c>
      <c r="AG106" s="63">
        <v>29.402616999999999</v>
      </c>
      <c r="AH106" s="63">
        <v>29.418956999999999</v>
      </c>
      <c r="AI106" s="63">
        <v>29.430889000000001</v>
      </c>
      <c r="AJ106" s="63">
        <v>29.444931</v>
      </c>
      <c r="AK106" s="62">
        <v>3.1189999999999998E-3</v>
      </c>
    </row>
    <row r="107" spans="1:37" ht="15" customHeight="1" x14ac:dyDescent="0.2">
      <c r="A107" s="57" t="s">
        <v>998</v>
      </c>
      <c r="B107" s="60" t="s">
        <v>915</v>
      </c>
      <c r="C107" s="63">
        <v>0</v>
      </c>
      <c r="D107" s="63">
        <v>0</v>
      </c>
      <c r="E107" s="63">
        <v>0</v>
      </c>
      <c r="F107" s="63">
        <v>22.599893999999999</v>
      </c>
      <c r="G107" s="63">
        <v>22.841567999999999</v>
      </c>
      <c r="H107" s="63">
        <v>23.049237999999999</v>
      </c>
      <c r="I107" s="63">
        <v>23.260752</v>
      </c>
      <c r="J107" s="63">
        <v>23.496904000000001</v>
      </c>
      <c r="K107" s="63">
        <v>23.772262999999999</v>
      </c>
      <c r="L107" s="63">
        <v>24.096122999999999</v>
      </c>
      <c r="M107" s="63">
        <v>24.474025999999999</v>
      </c>
      <c r="N107" s="63">
        <v>24.850951999999999</v>
      </c>
      <c r="O107" s="63">
        <v>25.263393000000001</v>
      </c>
      <c r="P107" s="63">
        <v>25.689340999999999</v>
      </c>
      <c r="Q107" s="63">
        <v>26.089093999999999</v>
      </c>
      <c r="R107" s="63">
        <v>26.460054</v>
      </c>
      <c r="S107" s="63">
        <v>26.798435000000001</v>
      </c>
      <c r="T107" s="63">
        <v>27.105059000000001</v>
      </c>
      <c r="U107" s="63">
        <v>27.378250000000001</v>
      </c>
      <c r="V107" s="63">
        <v>27.616935999999999</v>
      </c>
      <c r="W107" s="63">
        <v>27.823532</v>
      </c>
      <c r="X107" s="63">
        <v>28.000360000000001</v>
      </c>
      <c r="Y107" s="63">
        <v>28.156403000000001</v>
      </c>
      <c r="Z107" s="63">
        <v>28.295444</v>
      </c>
      <c r="AA107" s="63">
        <v>28.419750000000001</v>
      </c>
      <c r="AB107" s="63">
        <v>28.531153</v>
      </c>
      <c r="AC107" s="63">
        <v>28.642009999999999</v>
      </c>
      <c r="AD107" s="63">
        <v>28.749234999999999</v>
      </c>
      <c r="AE107" s="63">
        <v>28.850228999999999</v>
      </c>
      <c r="AF107" s="63">
        <v>28.943284999999999</v>
      </c>
      <c r="AG107" s="63">
        <v>29.027384000000001</v>
      </c>
      <c r="AH107" s="63">
        <v>29.101573999999999</v>
      </c>
      <c r="AI107" s="63">
        <v>29.165482999999998</v>
      </c>
      <c r="AJ107" s="63">
        <v>29.216835</v>
      </c>
      <c r="AK107" s="62" t="s">
        <v>467</v>
      </c>
    </row>
    <row r="108" spans="1:37" ht="15" customHeight="1" x14ac:dyDescent="0.2">
      <c r="A108" s="57" t="s">
        <v>999</v>
      </c>
      <c r="B108" s="60" t="s">
        <v>917</v>
      </c>
      <c r="C108" s="63">
        <v>0</v>
      </c>
      <c r="D108" s="63">
        <v>0</v>
      </c>
      <c r="E108" s="63">
        <v>0</v>
      </c>
      <c r="F108" s="63">
        <v>18.040068000000002</v>
      </c>
      <c r="G108" s="63">
        <v>18.233736</v>
      </c>
      <c r="H108" s="63">
        <v>18.351215</v>
      </c>
      <c r="I108" s="63">
        <v>18.455207999999999</v>
      </c>
      <c r="J108" s="63">
        <v>18.568345999999998</v>
      </c>
      <c r="K108" s="63">
        <v>18.702518000000001</v>
      </c>
      <c r="L108" s="63">
        <v>18.863887999999999</v>
      </c>
      <c r="M108" s="63">
        <v>19.057431999999999</v>
      </c>
      <c r="N108" s="63">
        <v>19.238458999999999</v>
      </c>
      <c r="O108" s="63">
        <v>19.431984</v>
      </c>
      <c r="P108" s="63">
        <v>19.630426</v>
      </c>
      <c r="Q108" s="63">
        <v>19.828382000000001</v>
      </c>
      <c r="R108" s="63">
        <v>20.015450999999999</v>
      </c>
      <c r="S108" s="63">
        <v>20.184555</v>
      </c>
      <c r="T108" s="63">
        <v>20.334351000000002</v>
      </c>
      <c r="U108" s="63">
        <v>20.463349999999998</v>
      </c>
      <c r="V108" s="63">
        <v>20.572924</v>
      </c>
      <c r="W108" s="63">
        <v>20.665136</v>
      </c>
      <c r="X108" s="63">
        <v>20.734514000000001</v>
      </c>
      <c r="Y108" s="63">
        <v>20.793478</v>
      </c>
      <c r="Z108" s="63">
        <v>20.845011</v>
      </c>
      <c r="AA108" s="63">
        <v>20.891013999999998</v>
      </c>
      <c r="AB108" s="63">
        <v>20.934035999999999</v>
      </c>
      <c r="AC108" s="63">
        <v>20.980336999999999</v>
      </c>
      <c r="AD108" s="63">
        <v>21.028578</v>
      </c>
      <c r="AE108" s="63">
        <v>21.077604000000001</v>
      </c>
      <c r="AF108" s="63">
        <v>21.126301000000002</v>
      </c>
      <c r="AG108" s="63">
        <v>21.173639000000001</v>
      </c>
      <c r="AH108" s="63">
        <v>21.21847</v>
      </c>
      <c r="AI108" s="63">
        <v>21.258911000000001</v>
      </c>
      <c r="AJ108" s="63">
        <v>21.293333000000001</v>
      </c>
      <c r="AK108" s="62" t="s">
        <v>467</v>
      </c>
    </row>
    <row r="109" spans="1:37" ht="15" customHeight="1" x14ac:dyDescent="0.2">
      <c r="A109" s="57" t="s">
        <v>1000</v>
      </c>
      <c r="B109" s="60" t="s">
        <v>919</v>
      </c>
      <c r="C109" s="63">
        <v>0</v>
      </c>
      <c r="D109" s="63">
        <v>0</v>
      </c>
      <c r="E109" s="63">
        <v>0</v>
      </c>
      <c r="F109" s="63">
        <v>0</v>
      </c>
      <c r="G109" s="63">
        <v>0</v>
      </c>
      <c r="H109" s="63">
        <v>0</v>
      </c>
      <c r="I109" s="63">
        <v>0</v>
      </c>
      <c r="J109" s="63">
        <v>0</v>
      </c>
      <c r="K109" s="63">
        <v>0</v>
      </c>
      <c r="L109" s="63">
        <v>0</v>
      </c>
      <c r="M109" s="63">
        <v>0</v>
      </c>
      <c r="N109" s="63">
        <v>0</v>
      </c>
      <c r="O109" s="63">
        <v>0</v>
      </c>
      <c r="P109" s="63">
        <v>0</v>
      </c>
      <c r="Q109" s="63">
        <v>0</v>
      </c>
      <c r="R109" s="63">
        <v>0</v>
      </c>
      <c r="S109" s="63">
        <v>0</v>
      </c>
      <c r="T109" s="63">
        <v>0</v>
      </c>
      <c r="U109" s="63">
        <v>0</v>
      </c>
      <c r="V109" s="63">
        <v>0</v>
      </c>
      <c r="W109" s="63">
        <v>0</v>
      </c>
      <c r="X109" s="63">
        <v>0</v>
      </c>
      <c r="Y109" s="63">
        <v>0</v>
      </c>
      <c r="Z109" s="63">
        <v>0</v>
      </c>
      <c r="AA109" s="63">
        <v>0</v>
      </c>
      <c r="AB109" s="63">
        <v>0</v>
      </c>
      <c r="AC109" s="63">
        <v>0</v>
      </c>
      <c r="AD109" s="63">
        <v>0</v>
      </c>
      <c r="AE109" s="63">
        <v>0</v>
      </c>
      <c r="AF109" s="63">
        <v>0</v>
      </c>
      <c r="AG109" s="63">
        <v>0</v>
      </c>
      <c r="AH109" s="63">
        <v>0</v>
      </c>
      <c r="AI109" s="63">
        <v>0</v>
      </c>
      <c r="AJ109" s="63">
        <v>0</v>
      </c>
      <c r="AK109" s="62" t="s">
        <v>467</v>
      </c>
    </row>
    <row r="110" spans="1:37" ht="15" customHeight="1" x14ac:dyDescent="0.2">
      <c r="A110" s="57" t="s">
        <v>1001</v>
      </c>
      <c r="B110" s="60" t="s">
        <v>1002</v>
      </c>
      <c r="C110" s="63">
        <v>12.598932</v>
      </c>
      <c r="D110" s="63">
        <v>12.782128</v>
      </c>
      <c r="E110" s="63">
        <v>12.963616</v>
      </c>
      <c r="F110" s="63">
        <v>13.132332</v>
      </c>
      <c r="G110" s="63">
        <v>13.305673000000001</v>
      </c>
      <c r="H110" s="63">
        <v>13.479850000000001</v>
      </c>
      <c r="I110" s="63">
        <v>13.663152999999999</v>
      </c>
      <c r="J110" s="63">
        <v>13.861443</v>
      </c>
      <c r="K110" s="63">
        <v>14.078727000000001</v>
      </c>
      <c r="L110" s="63">
        <v>14.313669000000001</v>
      </c>
      <c r="M110" s="63">
        <v>14.564931</v>
      </c>
      <c r="N110" s="63">
        <v>14.813034999999999</v>
      </c>
      <c r="O110" s="63">
        <v>15.051657000000001</v>
      </c>
      <c r="P110" s="63">
        <v>15.282897999999999</v>
      </c>
      <c r="Q110" s="63">
        <v>15.495222999999999</v>
      </c>
      <c r="R110" s="63">
        <v>15.692190999999999</v>
      </c>
      <c r="S110" s="63">
        <v>15.871121</v>
      </c>
      <c r="T110" s="63">
        <v>16.033369</v>
      </c>
      <c r="U110" s="63">
        <v>16.17136</v>
      </c>
      <c r="V110" s="63">
        <v>16.295953999999998</v>
      </c>
      <c r="W110" s="63">
        <v>16.411636000000001</v>
      </c>
      <c r="X110" s="63">
        <v>16.519265999999998</v>
      </c>
      <c r="Y110" s="63">
        <v>16.624286999999999</v>
      </c>
      <c r="Z110" s="63">
        <v>16.714361</v>
      </c>
      <c r="AA110" s="63">
        <v>16.808706000000001</v>
      </c>
      <c r="AB110" s="63">
        <v>16.890391999999999</v>
      </c>
      <c r="AC110" s="63">
        <v>16.961144999999998</v>
      </c>
      <c r="AD110" s="63">
        <v>17.030272</v>
      </c>
      <c r="AE110" s="63">
        <v>17.098772</v>
      </c>
      <c r="AF110" s="63">
        <v>17.158688999999999</v>
      </c>
      <c r="AG110" s="63">
        <v>17.209537999999998</v>
      </c>
      <c r="AH110" s="63">
        <v>17.261752999999999</v>
      </c>
      <c r="AI110" s="63">
        <v>17.307829000000002</v>
      </c>
      <c r="AJ110" s="63">
        <v>17.348801000000002</v>
      </c>
      <c r="AK110" s="62">
        <v>9.5919999999999998E-3</v>
      </c>
    </row>
    <row r="111" spans="1:37" ht="15" customHeight="1" x14ac:dyDescent="0.2">
      <c r="B111" s="59" t="s">
        <v>922</v>
      </c>
    </row>
    <row r="112" spans="1:37" ht="15" customHeight="1" x14ac:dyDescent="0.2">
      <c r="A112" s="57" t="s">
        <v>1003</v>
      </c>
      <c r="B112" s="60" t="s">
        <v>903</v>
      </c>
      <c r="C112" s="63">
        <v>8.6860590000000002</v>
      </c>
      <c r="D112" s="63">
        <v>8.7869030000000006</v>
      </c>
      <c r="E112" s="63">
        <v>8.8895850000000003</v>
      </c>
      <c r="F112" s="63">
        <v>8.9812899999999996</v>
      </c>
      <c r="G112" s="63">
        <v>9.0932250000000003</v>
      </c>
      <c r="H112" s="63">
        <v>9.2231509999999997</v>
      </c>
      <c r="I112" s="63">
        <v>9.3645010000000006</v>
      </c>
      <c r="J112" s="63">
        <v>9.5178019999999997</v>
      </c>
      <c r="K112" s="63">
        <v>9.6867710000000002</v>
      </c>
      <c r="L112" s="63">
        <v>9.8718160000000008</v>
      </c>
      <c r="M112" s="63">
        <v>10.07179</v>
      </c>
      <c r="N112" s="63">
        <v>10.273840999999999</v>
      </c>
      <c r="O112" s="63">
        <v>10.484374000000001</v>
      </c>
      <c r="P112" s="63">
        <v>10.711292</v>
      </c>
      <c r="Q112" s="63">
        <v>10.939629</v>
      </c>
      <c r="R112" s="63">
        <v>11.171761</v>
      </c>
      <c r="S112" s="63">
        <v>11.394748</v>
      </c>
      <c r="T112" s="63">
        <v>11.600474</v>
      </c>
      <c r="U112" s="63">
        <v>11.779544</v>
      </c>
      <c r="V112" s="63">
        <v>11.938135000000001</v>
      </c>
      <c r="W112" s="63">
        <v>12.081016</v>
      </c>
      <c r="X112" s="63">
        <v>12.212122000000001</v>
      </c>
      <c r="Y112" s="63">
        <v>12.333235999999999</v>
      </c>
      <c r="Z112" s="63">
        <v>12.447678</v>
      </c>
      <c r="AA112" s="63">
        <v>12.556713</v>
      </c>
      <c r="AB112" s="63">
        <v>12.640465000000001</v>
      </c>
      <c r="AC112" s="63">
        <v>12.704724000000001</v>
      </c>
      <c r="AD112" s="63">
        <v>12.759153</v>
      </c>
      <c r="AE112" s="63">
        <v>12.815148000000001</v>
      </c>
      <c r="AF112" s="63">
        <v>12.858713</v>
      </c>
      <c r="AG112" s="63">
        <v>12.893592999999999</v>
      </c>
      <c r="AH112" s="63">
        <v>12.926795</v>
      </c>
      <c r="AI112" s="63">
        <v>12.957720999999999</v>
      </c>
      <c r="AJ112" s="63">
        <v>12.983867999999999</v>
      </c>
      <c r="AK112" s="62">
        <v>1.2276E-2</v>
      </c>
    </row>
    <row r="113" spans="1:37" ht="15" customHeight="1" x14ac:dyDescent="0.2">
      <c r="A113" s="57" t="s">
        <v>1004</v>
      </c>
      <c r="B113" s="60" t="s">
        <v>905</v>
      </c>
      <c r="C113" s="63">
        <v>6.4736079999999996</v>
      </c>
      <c r="D113" s="63">
        <v>6.5150110000000003</v>
      </c>
      <c r="E113" s="63">
        <v>6.5592040000000003</v>
      </c>
      <c r="F113" s="63">
        <v>6.6010600000000004</v>
      </c>
      <c r="G113" s="63">
        <v>6.65496</v>
      </c>
      <c r="H113" s="63">
        <v>6.7188980000000003</v>
      </c>
      <c r="I113" s="63">
        <v>6.7895390000000004</v>
      </c>
      <c r="J113" s="63">
        <v>6.8667509999999998</v>
      </c>
      <c r="K113" s="63">
        <v>6.9558479999999996</v>
      </c>
      <c r="L113" s="63">
        <v>7.0533229999999998</v>
      </c>
      <c r="M113" s="63">
        <v>7.1620410000000003</v>
      </c>
      <c r="N113" s="63">
        <v>7.2739690000000001</v>
      </c>
      <c r="O113" s="63">
        <v>7.3886570000000003</v>
      </c>
      <c r="P113" s="63">
        <v>7.5212570000000003</v>
      </c>
      <c r="Q113" s="63">
        <v>7.6483109999999996</v>
      </c>
      <c r="R113" s="63">
        <v>7.7863340000000001</v>
      </c>
      <c r="S113" s="63">
        <v>7.922695</v>
      </c>
      <c r="T113" s="63">
        <v>8.040616</v>
      </c>
      <c r="U113" s="63">
        <v>8.1531649999999996</v>
      </c>
      <c r="V113" s="63">
        <v>8.2533469999999998</v>
      </c>
      <c r="W113" s="63">
        <v>8.3518340000000002</v>
      </c>
      <c r="X113" s="63">
        <v>8.4312149999999999</v>
      </c>
      <c r="Y113" s="63">
        <v>8.5204579999999996</v>
      </c>
      <c r="Z113" s="63">
        <v>8.5969569999999997</v>
      </c>
      <c r="AA113" s="63">
        <v>8.6709750000000003</v>
      </c>
      <c r="AB113" s="63">
        <v>8.7305449999999993</v>
      </c>
      <c r="AC113" s="63">
        <v>8.7761669999999992</v>
      </c>
      <c r="AD113" s="63">
        <v>8.82348</v>
      </c>
      <c r="AE113" s="63">
        <v>8.8694869999999995</v>
      </c>
      <c r="AF113" s="63">
        <v>8.9113249999999997</v>
      </c>
      <c r="AG113" s="63">
        <v>8.9501589999999993</v>
      </c>
      <c r="AH113" s="63">
        <v>8.9817090000000004</v>
      </c>
      <c r="AI113" s="63">
        <v>9.0221610000000005</v>
      </c>
      <c r="AJ113" s="63">
        <v>9.0532719999999998</v>
      </c>
      <c r="AK113" s="62">
        <v>1.0335E-2</v>
      </c>
    </row>
    <row r="114" spans="1:37" ht="15" customHeight="1" x14ac:dyDescent="0.2">
      <c r="A114" s="57" t="s">
        <v>1005</v>
      </c>
      <c r="B114" s="60" t="s">
        <v>907</v>
      </c>
      <c r="C114" s="63">
        <v>6.6388829999999999</v>
      </c>
      <c r="D114" s="63">
        <v>6.7218200000000001</v>
      </c>
      <c r="E114" s="63">
        <v>6.7760530000000001</v>
      </c>
      <c r="F114" s="63">
        <v>6.8236039999999996</v>
      </c>
      <c r="G114" s="63">
        <v>6.8871770000000003</v>
      </c>
      <c r="H114" s="63">
        <v>6.9620699999999998</v>
      </c>
      <c r="I114" s="63">
        <v>7.0454819999999998</v>
      </c>
      <c r="J114" s="63">
        <v>7.1393880000000003</v>
      </c>
      <c r="K114" s="63">
        <v>7.2459350000000002</v>
      </c>
      <c r="L114" s="63">
        <v>7.3667759999999998</v>
      </c>
      <c r="M114" s="63">
        <v>7.4965010000000003</v>
      </c>
      <c r="N114" s="63">
        <v>7.6391099999999996</v>
      </c>
      <c r="O114" s="63">
        <v>7.7857979999999998</v>
      </c>
      <c r="P114" s="63">
        <v>7.9476069999999996</v>
      </c>
      <c r="Q114" s="63">
        <v>8.1177119999999992</v>
      </c>
      <c r="R114" s="63">
        <v>8.265765</v>
      </c>
      <c r="S114" s="63">
        <v>8.4150600000000004</v>
      </c>
      <c r="T114" s="63">
        <v>8.5584019999999992</v>
      </c>
      <c r="U114" s="63">
        <v>8.6788109999999996</v>
      </c>
      <c r="V114" s="63">
        <v>8.7845340000000007</v>
      </c>
      <c r="W114" s="63">
        <v>8.8760999999999992</v>
      </c>
      <c r="X114" s="63">
        <v>8.9546790000000005</v>
      </c>
      <c r="Y114" s="63">
        <v>9.0216619999999992</v>
      </c>
      <c r="Z114" s="63">
        <v>9.0784479999999999</v>
      </c>
      <c r="AA114" s="63">
        <v>9.1264389999999995</v>
      </c>
      <c r="AB114" s="63">
        <v>9.1673270000000002</v>
      </c>
      <c r="AC114" s="63">
        <v>9.2025059999999996</v>
      </c>
      <c r="AD114" s="63">
        <v>9.2329650000000001</v>
      </c>
      <c r="AE114" s="63">
        <v>9.2596290000000003</v>
      </c>
      <c r="AF114" s="63">
        <v>9.2830720000000007</v>
      </c>
      <c r="AG114" s="63">
        <v>9.2651310000000002</v>
      </c>
      <c r="AH114" s="63">
        <v>9.3285660000000004</v>
      </c>
      <c r="AI114" s="63">
        <v>9.3522759999999998</v>
      </c>
      <c r="AJ114" s="63">
        <v>9.3674959999999992</v>
      </c>
      <c r="AK114" s="62">
        <v>1.0425E-2</v>
      </c>
    </row>
    <row r="115" spans="1:37" ht="15" customHeight="1" x14ac:dyDescent="0.2">
      <c r="A115" s="57" t="s">
        <v>1006</v>
      </c>
      <c r="B115" s="60" t="s">
        <v>909</v>
      </c>
      <c r="C115" s="63">
        <v>6.2828989999999996</v>
      </c>
      <c r="D115" s="63">
        <v>6.4828049999999999</v>
      </c>
      <c r="E115" s="63">
        <v>6.6098670000000004</v>
      </c>
      <c r="F115" s="63">
        <v>6.7005590000000002</v>
      </c>
      <c r="G115" s="63">
        <v>6.8038889999999999</v>
      </c>
      <c r="H115" s="63">
        <v>6.9099310000000003</v>
      </c>
      <c r="I115" s="63">
        <v>7.0172819999999998</v>
      </c>
      <c r="J115" s="63">
        <v>7.1307369999999999</v>
      </c>
      <c r="K115" s="63">
        <v>7.2555540000000001</v>
      </c>
      <c r="L115" s="63">
        <v>7.3921729999999997</v>
      </c>
      <c r="M115" s="63">
        <v>7.5385429999999998</v>
      </c>
      <c r="N115" s="63">
        <v>7.680885</v>
      </c>
      <c r="O115" s="63">
        <v>7.8306990000000001</v>
      </c>
      <c r="P115" s="63">
        <v>7.9904979999999997</v>
      </c>
      <c r="Q115" s="63">
        <v>8.1556890000000006</v>
      </c>
      <c r="R115" s="63">
        <v>8.316459</v>
      </c>
      <c r="S115" s="63">
        <v>8.4698650000000004</v>
      </c>
      <c r="T115" s="63">
        <v>8.609909</v>
      </c>
      <c r="U115" s="63">
        <v>8.7412240000000008</v>
      </c>
      <c r="V115" s="63">
        <v>8.8558350000000008</v>
      </c>
      <c r="W115" s="63">
        <v>8.9591480000000008</v>
      </c>
      <c r="X115" s="63">
        <v>9.0440290000000001</v>
      </c>
      <c r="Y115" s="63">
        <v>9.1096649999999997</v>
      </c>
      <c r="Z115" s="63">
        <v>9.1785929999999993</v>
      </c>
      <c r="AA115" s="63">
        <v>9.2183139999999995</v>
      </c>
      <c r="AB115" s="63">
        <v>9.2690239999999999</v>
      </c>
      <c r="AC115" s="63">
        <v>9.3212320000000002</v>
      </c>
      <c r="AD115" s="63">
        <v>9.3562779999999997</v>
      </c>
      <c r="AE115" s="63">
        <v>9.3815249999999999</v>
      </c>
      <c r="AF115" s="63">
        <v>9.408417</v>
      </c>
      <c r="AG115" s="63">
        <v>9.4364609999999995</v>
      </c>
      <c r="AH115" s="63">
        <v>9.461957</v>
      </c>
      <c r="AI115" s="63">
        <v>9.4825470000000003</v>
      </c>
      <c r="AJ115" s="63">
        <v>9.4908099999999997</v>
      </c>
      <c r="AK115" s="62">
        <v>1.1983000000000001E-2</v>
      </c>
    </row>
    <row r="116" spans="1:37" ht="15" customHeight="1" x14ac:dyDescent="0.2">
      <c r="A116" s="57" t="s">
        <v>1007</v>
      </c>
      <c r="B116" s="60" t="s">
        <v>911</v>
      </c>
      <c r="C116" s="63">
        <v>7.0913120000000003</v>
      </c>
      <c r="D116" s="63">
        <v>7.0633049999999997</v>
      </c>
      <c r="E116" s="63">
        <v>7.0465939999999998</v>
      </c>
      <c r="F116" s="63">
        <v>7.0404660000000003</v>
      </c>
      <c r="G116" s="63">
        <v>7.068486</v>
      </c>
      <c r="H116" s="63">
        <v>7.1109660000000003</v>
      </c>
      <c r="I116" s="63">
        <v>7.1651020000000001</v>
      </c>
      <c r="J116" s="63">
        <v>7.231236</v>
      </c>
      <c r="K116" s="63">
        <v>7.3118790000000002</v>
      </c>
      <c r="L116" s="63">
        <v>7.3792020000000003</v>
      </c>
      <c r="M116" s="63">
        <v>7.4803790000000001</v>
      </c>
      <c r="N116" s="63">
        <v>7.580819</v>
      </c>
      <c r="O116" s="63">
        <v>7.6908519999999996</v>
      </c>
      <c r="P116" s="63">
        <v>7.8082880000000001</v>
      </c>
      <c r="Q116" s="63">
        <v>7.933395</v>
      </c>
      <c r="R116" s="63">
        <v>8.0574410000000007</v>
      </c>
      <c r="S116" s="63">
        <v>8.1764530000000004</v>
      </c>
      <c r="T116" s="63">
        <v>8.2794709999999991</v>
      </c>
      <c r="U116" s="63">
        <v>8.3725919999999991</v>
      </c>
      <c r="V116" s="63">
        <v>8.4559080000000009</v>
      </c>
      <c r="W116" s="63">
        <v>8.531936</v>
      </c>
      <c r="X116" s="63">
        <v>8.6009170000000008</v>
      </c>
      <c r="Y116" s="63">
        <v>8.6925950000000007</v>
      </c>
      <c r="Z116" s="63">
        <v>8.7087850000000007</v>
      </c>
      <c r="AA116" s="63">
        <v>8.7551249999999996</v>
      </c>
      <c r="AB116" s="63">
        <v>8.8056789999999996</v>
      </c>
      <c r="AC116" s="63">
        <v>8.8457709999999992</v>
      </c>
      <c r="AD116" s="63">
        <v>8.884563</v>
      </c>
      <c r="AE116" s="63">
        <v>8.9190280000000008</v>
      </c>
      <c r="AF116" s="63">
        <v>8.9492499999999993</v>
      </c>
      <c r="AG116" s="63">
        <v>8.9863529999999994</v>
      </c>
      <c r="AH116" s="63">
        <v>9.0174479999999999</v>
      </c>
      <c r="AI116" s="63">
        <v>9.0445019999999996</v>
      </c>
      <c r="AJ116" s="63">
        <v>9.0714860000000002</v>
      </c>
      <c r="AK116" s="62">
        <v>7.8499999999999993E-3</v>
      </c>
    </row>
    <row r="117" spans="1:37" ht="15" customHeight="1" x14ac:dyDescent="0.2">
      <c r="A117" s="57" t="s">
        <v>1008</v>
      </c>
      <c r="B117" s="60" t="s">
        <v>913</v>
      </c>
      <c r="C117" s="63">
        <v>0</v>
      </c>
      <c r="D117" s="63">
        <v>16.871030999999999</v>
      </c>
      <c r="E117" s="63">
        <v>16.932257</v>
      </c>
      <c r="F117" s="63">
        <v>16.969899999999999</v>
      </c>
      <c r="G117" s="63">
        <v>17.119160000000001</v>
      </c>
      <c r="H117" s="63">
        <v>17.268924999999999</v>
      </c>
      <c r="I117" s="63">
        <v>17.425732</v>
      </c>
      <c r="J117" s="63">
        <v>17.606255999999998</v>
      </c>
      <c r="K117" s="63">
        <v>17.820512999999998</v>
      </c>
      <c r="L117" s="63">
        <v>18.071463000000001</v>
      </c>
      <c r="M117" s="63">
        <v>18.351811999999999</v>
      </c>
      <c r="N117" s="63">
        <v>18.616129000000001</v>
      </c>
      <c r="O117" s="63">
        <v>18.906635000000001</v>
      </c>
      <c r="P117" s="63">
        <v>19.214297999999999</v>
      </c>
      <c r="Q117" s="63">
        <v>19.529589000000001</v>
      </c>
      <c r="R117" s="63">
        <v>19.837092999999999</v>
      </c>
      <c r="S117" s="63">
        <v>20.121521000000001</v>
      </c>
      <c r="T117" s="63">
        <v>20.377455000000001</v>
      </c>
      <c r="U117" s="63">
        <v>20.601472999999999</v>
      </c>
      <c r="V117" s="63">
        <v>20.793434000000001</v>
      </c>
      <c r="W117" s="63">
        <v>20.971433999999999</v>
      </c>
      <c r="X117" s="63">
        <v>21.128011999999998</v>
      </c>
      <c r="Y117" s="63">
        <v>21.264067000000001</v>
      </c>
      <c r="Z117" s="63">
        <v>21.380669000000001</v>
      </c>
      <c r="AA117" s="63">
        <v>21.482800999999998</v>
      </c>
      <c r="AB117" s="63">
        <v>21.571856</v>
      </c>
      <c r="AC117" s="63">
        <v>21.6495</v>
      </c>
      <c r="AD117" s="63">
        <v>21.717184</v>
      </c>
      <c r="AE117" s="63">
        <v>21.776337000000002</v>
      </c>
      <c r="AF117" s="63">
        <v>21.827829000000001</v>
      </c>
      <c r="AG117" s="63">
        <v>21.873947000000001</v>
      </c>
      <c r="AH117" s="63">
        <v>21.914010999999999</v>
      </c>
      <c r="AI117" s="63">
        <v>21.949660999999999</v>
      </c>
      <c r="AJ117" s="63">
        <v>22.032518</v>
      </c>
      <c r="AK117" s="62">
        <v>8.3759999999999998E-3</v>
      </c>
    </row>
    <row r="118" spans="1:37" ht="15" customHeight="1" x14ac:dyDescent="0.2">
      <c r="A118" s="57" t="s">
        <v>1009</v>
      </c>
      <c r="B118" s="60" t="s">
        <v>915</v>
      </c>
      <c r="C118" s="63">
        <v>0</v>
      </c>
      <c r="D118" s="63">
        <v>14.113035999999999</v>
      </c>
      <c r="E118" s="63">
        <v>14.268746999999999</v>
      </c>
      <c r="F118" s="63">
        <v>14.357277</v>
      </c>
      <c r="G118" s="63">
        <v>14.54006</v>
      </c>
      <c r="H118" s="63">
        <v>14.743936</v>
      </c>
      <c r="I118" s="63">
        <v>14.969958</v>
      </c>
      <c r="J118" s="63">
        <v>15.210196</v>
      </c>
      <c r="K118" s="63">
        <v>15.469037999999999</v>
      </c>
      <c r="L118" s="63">
        <v>15.747517999999999</v>
      </c>
      <c r="M118" s="63">
        <v>16.04954</v>
      </c>
      <c r="N118" s="63">
        <v>16.326741999999999</v>
      </c>
      <c r="O118" s="63">
        <v>16.616674</v>
      </c>
      <c r="P118" s="63">
        <v>16.914818</v>
      </c>
      <c r="Q118" s="63">
        <v>17.21443</v>
      </c>
      <c r="R118" s="63">
        <v>17.500295999999999</v>
      </c>
      <c r="S118" s="63">
        <v>17.746023000000001</v>
      </c>
      <c r="T118" s="63">
        <v>17.971668000000001</v>
      </c>
      <c r="U118" s="63">
        <v>18.170565</v>
      </c>
      <c r="V118" s="63">
        <v>18.348354</v>
      </c>
      <c r="W118" s="63">
        <v>18.521229000000002</v>
      </c>
      <c r="X118" s="63">
        <v>18.678902000000001</v>
      </c>
      <c r="Y118" s="63">
        <v>18.822123000000001</v>
      </c>
      <c r="Z118" s="63">
        <v>18.951221</v>
      </c>
      <c r="AA118" s="63">
        <v>19.06991</v>
      </c>
      <c r="AB118" s="63">
        <v>19.178175</v>
      </c>
      <c r="AC118" s="63">
        <v>19.276812</v>
      </c>
      <c r="AD118" s="63">
        <v>19.366230000000002</v>
      </c>
      <c r="AE118" s="63">
        <v>19.447140000000001</v>
      </c>
      <c r="AF118" s="63">
        <v>19.519452999999999</v>
      </c>
      <c r="AG118" s="63">
        <v>19.584883000000001</v>
      </c>
      <c r="AH118" s="63">
        <v>19.642558999999999</v>
      </c>
      <c r="AI118" s="63">
        <v>19.693567000000002</v>
      </c>
      <c r="AJ118" s="63">
        <v>19.784672</v>
      </c>
      <c r="AK118" s="62">
        <v>1.0612E-2</v>
      </c>
    </row>
    <row r="119" spans="1:37" ht="15" customHeight="1" x14ac:dyDescent="0.2">
      <c r="A119" s="57" t="s">
        <v>1010</v>
      </c>
      <c r="B119" s="60" t="s">
        <v>917</v>
      </c>
      <c r="C119" s="63">
        <v>0</v>
      </c>
      <c r="D119" s="63">
        <v>10.272853</v>
      </c>
      <c r="E119" s="63">
        <v>10.332221000000001</v>
      </c>
      <c r="F119" s="63">
        <v>10.368864</v>
      </c>
      <c r="G119" s="63">
        <v>10.477503</v>
      </c>
      <c r="H119" s="63">
        <v>10.595439000000001</v>
      </c>
      <c r="I119" s="63">
        <v>10.724684</v>
      </c>
      <c r="J119" s="63">
        <v>10.871342</v>
      </c>
      <c r="K119" s="63">
        <v>11.041665999999999</v>
      </c>
      <c r="L119" s="63">
        <v>11.2339</v>
      </c>
      <c r="M119" s="63">
        <v>11.447547</v>
      </c>
      <c r="N119" s="63">
        <v>11.646661</v>
      </c>
      <c r="O119" s="63">
        <v>11.859256</v>
      </c>
      <c r="P119" s="63">
        <v>12.079526</v>
      </c>
      <c r="Q119" s="63">
        <v>12.302498</v>
      </c>
      <c r="R119" s="63">
        <v>12.518579000000001</v>
      </c>
      <c r="S119" s="63">
        <v>12.718557000000001</v>
      </c>
      <c r="T119" s="63">
        <v>12.898820000000001</v>
      </c>
      <c r="U119" s="63">
        <v>13.055965</v>
      </c>
      <c r="V119" s="63">
        <v>13.190538</v>
      </c>
      <c r="W119" s="63">
        <v>13.316005000000001</v>
      </c>
      <c r="X119" s="63">
        <v>13.426500000000001</v>
      </c>
      <c r="Y119" s="63">
        <v>13.522565999999999</v>
      </c>
      <c r="Z119" s="63">
        <v>13.604988000000001</v>
      </c>
      <c r="AA119" s="63">
        <v>13.677267000000001</v>
      </c>
      <c r="AB119" s="63">
        <v>13.740302</v>
      </c>
      <c r="AC119" s="63">
        <v>13.795292999999999</v>
      </c>
      <c r="AD119" s="63">
        <v>13.843267000000001</v>
      </c>
      <c r="AE119" s="63">
        <v>13.885284</v>
      </c>
      <c r="AF119" s="63">
        <v>13.921844</v>
      </c>
      <c r="AG119" s="63">
        <v>13.954495</v>
      </c>
      <c r="AH119" s="63">
        <v>13.983255</v>
      </c>
      <c r="AI119" s="63">
        <v>14.008754</v>
      </c>
      <c r="AJ119" s="63">
        <v>14.064109</v>
      </c>
      <c r="AK119" s="62">
        <v>9.8650000000000005E-3</v>
      </c>
    </row>
    <row r="120" spans="1:37" ht="15" customHeight="1" x14ac:dyDescent="0.2">
      <c r="A120" s="57" t="s">
        <v>1011</v>
      </c>
      <c r="B120" s="60" t="s">
        <v>919</v>
      </c>
      <c r="C120" s="63">
        <v>0</v>
      </c>
      <c r="D120" s="63">
        <v>11.520417999999999</v>
      </c>
      <c r="E120" s="63">
        <v>11.520415</v>
      </c>
      <c r="F120" s="63">
        <v>11.520415</v>
      </c>
      <c r="G120" s="63">
        <v>11.520415</v>
      </c>
      <c r="H120" s="63">
        <v>11.520416000000001</v>
      </c>
      <c r="I120" s="63">
        <v>11.520417999999999</v>
      </c>
      <c r="J120" s="63">
        <v>11.520415</v>
      </c>
      <c r="K120" s="63">
        <v>11.520414000000001</v>
      </c>
      <c r="L120" s="63">
        <v>11.520415</v>
      </c>
      <c r="M120" s="63">
        <v>11.520415</v>
      </c>
      <c r="N120" s="63">
        <v>11.520415</v>
      </c>
      <c r="O120" s="63">
        <v>11.520415</v>
      </c>
      <c r="P120" s="63">
        <v>11.520414000000001</v>
      </c>
      <c r="Q120" s="63">
        <v>11.520415</v>
      </c>
      <c r="R120" s="63">
        <v>11.520414000000001</v>
      </c>
      <c r="S120" s="63">
        <v>11.520413</v>
      </c>
      <c r="T120" s="63">
        <v>11.520415</v>
      </c>
      <c r="U120" s="63">
        <v>11.520414000000001</v>
      </c>
      <c r="V120" s="63">
        <v>11.520412</v>
      </c>
      <c r="W120" s="63">
        <v>11.520413</v>
      </c>
      <c r="X120" s="63">
        <v>11.520413</v>
      </c>
      <c r="Y120" s="63">
        <v>11.520414000000001</v>
      </c>
      <c r="Z120" s="63">
        <v>11.520417999999999</v>
      </c>
      <c r="AA120" s="63">
        <v>11.520415</v>
      </c>
      <c r="AB120" s="63">
        <v>11.520415</v>
      </c>
      <c r="AC120" s="63">
        <v>11.520413</v>
      </c>
      <c r="AD120" s="63">
        <v>11.520414000000001</v>
      </c>
      <c r="AE120" s="63">
        <v>11.520413</v>
      </c>
      <c r="AF120" s="63">
        <v>11.520416000000001</v>
      </c>
      <c r="AG120" s="63">
        <v>11.520414000000001</v>
      </c>
      <c r="AH120" s="63">
        <v>11.520414000000001</v>
      </c>
      <c r="AI120" s="63">
        <v>11.520419</v>
      </c>
      <c r="AJ120" s="63">
        <v>11.547280000000001</v>
      </c>
      <c r="AK120" s="62">
        <v>7.2999999999999999E-5</v>
      </c>
    </row>
    <row r="121" spans="1:37" ht="15" customHeight="1" x14ac:dyDescent="0.2">
      <c r="A121" s="57" t="s">
        <v>1012</v>
      </c>
      <c r="B121" s="60" t="s">
        <v>1013</v>
      </c>
      <c r="C121" s="63">
        <v>7.8311159999999997</v>
      </c>
      <c r="D121" s="63">
        <v>7.9206899999999996</v>
      </c>
      <c r="E121" s="63">
        <v>8.0115409999999994</v>
      </c>
      <c r="F121" s="63">
        <v>8.092238</v>
      </c>
      <c r="G121" s="63">
        <v>8.1895609999999994</v>
      </c>
      <c r="H121" s="63">
        <v>8.3026490000000006</v>
      </c>
      <c r="I121" s="63">
        <v>8.4238210000000002</v>
      </c>
      <c r="J121" s="63">
        <v>8.5509950000000003</v>
      </c>
      <c r="K121" s="63">
        <v>8.6939019999999996</v>
      </c>
      <c r="L121" s="63">
        <v>8.8470479999999991</v>
      </c>
      <c r="M121" s="63">
        <v>9.0153879999999997</v>
      </c>
      <c r="N121" s="63">
        <v>9.1847849999999998</v>
      </c>
      <c r="O121" s="63">
        <v>9.3562480000000008</v>
      </c>
      <c r="P121" s="63">
        <v>9.5503009999999993</v>
      </c>
      <c r="Q121" s="63">
        <v>9.7371870000000005</v>
      </c>
      <c r="R121" s="63">
        <v>9.9350330000000007</v>
      </c>
      <c r="S121" s="63">
        <v>10.127514</v>
      </c>
      <c r="T121" s="63">
        <v>10.297983</v>
      </c>
      <c r="U121" s="63">
        <v>10.453626</v>
      </c>
      <c r="V121" s="63">
        <v>10.590752999999999</v>
      </c>
      <c r="W121" s="63">
        <v>10.720447999999999</v>
      </c>
      <c r="X121" s="63">
        <v>10.830572</v>
      </c>
      <c r="Y121" s="63">
        <v>10.944400999999999</v>
      </c>
      <c r="Z121" s="63">
        <v>11.045985999999999</v>
      </c>
      <c r="AA121" s="63">
        <v>11.143630999999999</v>
      </c>
      <c r="AB121" s="63">
        <v>11.220775</v>
      </c>
      <c r="AC121" s="63">
        <v>11.280127999999999</v>
      </c>
      <c r="AD121" s="63">
        <v>11.33666</v>
      </c>
      <c r="AE121" s="63">
        <v>11.393148999999999</v>
      </c>
      <c r="AF121" s="63">
        <v>11.441409999999999</v>
      </c>
      <c r="AG121" s="63">
        <v>11.483623</v>
      </c>
      <c r="AH121" s="63">
        <v>11.520587000000001</v>
      </c>
      <c r="AI121" s="63">
        <v>11.562761</v>
      </c>
      <c r="AJ121" s="63">
        <v>11.596318</v>
      </c>
      <c r="AK121" s="62">
        <v>1.1984E-2</v>
      </c>
    </row>
    <row r="122" spans="1:37" ht="15" customHeight="1" x14ac:dyDescent="0.2">
      <c r="B122" s="59" t="s">
        <v>934</v>
      </c>
    </row>
    <row r="123" spans="1:37" ht="15" customHeight="1" x14ac:dyDescent="0.2">
      <c r="A123" s="57" t="s">
        <v>1014</v>
      </c>
      <c r="B123" s="60" t="s">
        <v>903</v>
      </c>
      <c r="C123" s="63">
        <v>6.1509229999999997</v>
      </c>
      <c r="D123" s="63">
        <v>6.2388180000000002</v>
      </c>
      <c r="E123" s="63">
        <v>6.3280320000000003</v>
      </c>
      <c r="F123" s="63">
        <v>6.4095779999999998</v>
      </c>
      <c r="G123" s="63">
        <v>6.4868420000000002</v>
      </c>
      <c r="H123" s="63">
        <v>6.5699699999999996</v>
      </c>
      <c r="I123" s="63">
        <v>6.6558529999999996</v>
      </c>
      <c r="J123" s="63">
        <v>6.7466030000000003</v>
      </c>
      <c r="K123" s="63">
        <v>6.8458119999999996</v>
      </c>
      <c r="L123" s="63">
        <v>6.9563870000000003</v>
      </c>
      <c r="M123" s="63">
        <v>7.0781559999999999</v>
      </c>
      <c r="N123" s="63">
        <v>7.202807</v>
      </c>
      <c r="O123" s="63">
        <v>7.3314849999999998</v>
      </c>
      <c r="P123" s="63">
        <v>7.4611770000000002</v>
      </c>
      <c r="Q123" s="63">
        <v>7.5895520000000003</v>
      </c>
      <c r="R123" s="63">
        <v>7.7118169999999999</v>
      </c>
      <c r="S123" s="63">
        <v>7.8268550000000001</v>
      </c>
      <c r="T123" s="63">
        <v>7.9294019999999996</v>
      </c>
      <c r="U123" s="63">
        <v>8.0163860000000007</v>
      </c>
      <c r="V123" s="63">
        <v>8.0933740000000007</v>
      </c>
      <c r="W123" s="63">
        <v>8.1590450000000008</v>
      </c>
      <c r="X123" s="63">
        <v>8.2194520000000004</v>
      </c>
      <c r="Y123" s="63">
        <v>8.2706560000000007</v>
      </c>
      <c r="Z123" s="63">
        <v>8.3263259999999999</v>
      </c>
      <c r="AA123" s="63">
        <v>8.366142</v>
      </c>
      <c r="AB123" s="63">
        <v>8.4020100000000006</v>
      </c>
      <c r="AC123" s="63">
        <v>8.4302150000000005</v>
      </c>
      <c r="AD123" s="63">
        <v>8.4521639999999998</v>
      </c>
      <c r="AE123" s="63">
        <v>8.4742979999999992</v>
      </c>
      <c r="AF123" s="63">
        <v>8.494472</v>
      </c>
      <c r="AG123" s="63">
        <v>8.5103279999999994</v>
      </c>
      <c r="AH123" s="63">
        <v>8.5252739999999996</v>
      </c>
      <c r="AI123" s="63">
        <v>8.5430799999999998</v>
      </c>
      <c r="AJ123" s="63">
        <v>8.5568770000000001</v>
      </c>
      <c r="AK123" s="62">
        <v>9.9220000000000003E-3</v>
      </c>
    </row>
    <row r="124" spans="1:37" ht="15" customHeight="1" x14ac:dyDescent="0.2">
      <c r="A124" s="57" t="s">
        <v>1015</v>
      </c>
      <c r="B124" s="60" t="s">
        <v>905</v>
      </c>
      <c r="C124" s="63">
        <v>5.3368200000000003</v>
      </c>
      <c r="D124" s="63">
        <v>5.3561240000000003</v>
      </c>
      <c r="E124" s="63">
        <v>5.3827290000000003</v>
      </c>
      <c r="F124" s="63">
        <v>5.4138039999999998</v>
      </c>
      <c r="G124" s="63">
        <v>5.4521119999999996</v>
      </c>
      <c r="H124" s="63">
        <v>5.4963699999999998</v>
      </c>
      <c r="I124" s="63">
        <v>5.5519410000000002</v>
      </c>
      <c r="J124" s="63">
        <v>5.6220509999999999</v>
      </c>
      <c r="K124" s="63">
        <v>5.6990119999999997</v>
      </c>
      <c r="L124" s="63">
        <v>5.7798930000000004</v>
      </c>
      <c r="M124" s="63">
        <v>5.8622269999999999</v>
      </c>
      <c r="N124" s="63">
        <v>5.9622339999999996</v>
      </c>
      <c r="O124" s="63">
        <v>6.0539560000000003</v>
      </c>
      <c r="P124" s="63">
        <v>6.1642710000000003</v>
      </c>
      <c r="Q124" s="63">
        <v>6.2792310000000002</v>
      </c>
      <c r="R124" s="63">
        <v>6.394412</v>
      </c>
      <c r="S124" s="63">
        <v>6.5164179999999998</v>
      </c>
      <c r="T124" s="63">
        <v>6.6118839999999999</v>
      </c>
      <c r="U124" s="63">
        <v>6.7352879999999997</v>
      </c>
      <c r="V124" s="63">
        <v>6.8292229999999998</v>
      </c>
      <c r="W124" s="63">
        <v>6.9049469999999999</v>
      </c>
      <c r="X124" s="63">
        <v>6.9775679999999998</v>
      </c>
      <c r="Y124" s="63">
        <v>7.0685630000000002</v>
      </c>
      <c r="Z124" s="63">
        <v>7.1197020000000002</v>
      </c>
      <c r="AA124" s="63">
        <v>7.1962099999999998</v>
      </c>
      <c r="AB124" s="63">
        <v>7.2851150000000002</v>
      </c>
      <c r="AC124" s="63">
        <v>7.3319210000000004</v>
      </c>
      <c r="AD124" s="63">
        <v>7.3674629999999999</v>
      </c>
      <c r="AE124" s="63">
        <v>7.3969950000000004</v>
      </c>
      <c r="AF124" s="63">
        <v>7.4253859999999996</v>
      </c>
      <c r="AG124" s="63">
        <v>7.439883</v>
      </c>
      <c r="AH124" s="63">
        <v>7.4600900000000001</v>
      </c>
      <c r="AI124" s="63">
        <v>7.4629529999999997</v>
      </c>
      <c r="AJ124" s="63">
        <v>7.4891819999999996</v>
      </c>
      <c r="AK124" s="62">
        <v>1.0531E-2</v>
      </c>
    </row>
    <row r="125" spans="1:37" ht="15" customHeight="1" x14ac:dyDescent="0.2">
      <c r="A125" s="57" t="s">
        <v>1016</v>
      </c>
      <c r="B125" s="60" t="s">
        <v>907</v>
      </c>
      <c r="C125" s="63">
        <v>5.5681979999999998</v>
      </c>
      <c r="D125" s="63">
        <v>5.7342599999999999</v>
      </c>
      <c r="E125" s="63">
        <v>5.8514629999999999</v>
      </c>
      <c r="F125" s="63">
        <v>5.940143</v>
      </c>
      <c r="G125" s="63">
        <v>6.0300130000000003</v>
      </c>
      <c r="H125" s="63">
        <v>6.1214040000000001</v>
      </c>
      <c r="I125" s="63">
        <v>6.211576</v>
      </c>
      <c r="J125" s="63">
        <v>6.3052400000000004</v>
      </c>
      <c r="K125" s="63">
        <v>6.3996339999999998</v>
      </c>
      <c r="L125" s="63">
        <v>6.498246</v>
      </c>
      <c r="M125" s="63">
        <v>6.598096</v>
      </c>
      <c r="N125" s="63">
        <v>6.7076260000000003</v>
      </c>
      <c r="O125" s="63">
        <v>6.8143219999999998</v>
      </c>
      <c r="P125" s="63">
        <v>6.9234869999999997</v>
      </c>
      <c r="Q125" s="63">
        <v>7.0528250000000003</v>
      </c>
      <c r="R125" s="63">
        <v>7.1647080000000001</v>
      </c>
      <c r="S125" s="63">
        <v>7.2637080000000003</v>
      </c>
      <c r="T125" s="63">
        <v>7.3453869999999997</v>
      </c>
      <c r="U125" s="63">
        <v>7.4099130000000004</v>
      </c>
      <c r="V125" s="63">
        <v>7.462154</v>
      </c>
      <c r="W125" s="63">
        <v>7.5042200000000001</v>
      </c>
      <c r="X125" s="63">
        <v>7.536384</v>
      </c>
      <c r="Y125" s="63">
        <v>7.560721</v>
      </c>
      <c r="Z125" s="63">
        <v>7.5787259999999996</v>
      </c>
      <c r="AA125" s="63">
        <v>7.5911939999999998</v>
      </c>
      <c r="AB125" s="63">
        <v>7.599475</v>
      </c>
      <c r="AC125" s="63">
        <v>7.6045689999999997</v>
      </c>
      <c r="AD125" s="63">
        <v>7.6072050000000004</v>
      </c>
      <c r="AE125" s="63">
        <v>7.6080069999999997</v>
      </c>
      <c r="AF125" s="63">
        <v>7.606706</v>
      </c>
      <c r="AG125" s="63">
        <v>7.5978440000000003</v>
      </c>
      <c r="AH125" s="63">
        <v>7.5943139999999998</v>
      </c>
      <c r="AI125" s="63">
        <v>7.5990120000000001</v>
      </c>
      <c r="AJ125" s="63">
        <v>7.5976689999999998</v>
      </c>
      <c r="AK125" s="62">
        <v>8.8319999999999996E-3</v>
      </c>
    </row>
    <row r="126" spans="1:37" ht="15" customHeight="1" x14ac:dyDescent="0.2">
      <c r="A126" s="57" t="s">
        <v>1017</v>
      </c>
      <c r="B126" s="60" t="s">
        <v>909</v>
      </c>
      <c r="C126" s="63">
        <v>5.8909750000000001</v>
      </c>
      <c r="D126" s="63">
        <v>5.9870400000000004</v>
      </c>
      <c r="E126" s="63">
        <v>6.0743809999999998</v>
      </c>
      <c r="F126" s="63">
        <v>6.1476189999999997</v>
      </c>
      <c r="G126" s="63">
        <v>6.2226059999999999</v>
      </c>
      <c r="H126" s="63">
        <v>6.3042550000000004</v>
      </c>
      <c r="I126" s="63">
        <v>6.39032</v>
      </c>
      <c r="J126" s="63">
        <v>6.4830620000000003</v>
      </c>
      <c r="K126" s="63">
        <v>6.5866470000000001</v>
      </c>
      <c r="L126" s="63">
        <v>6.7036369999999996</v>
      </c>
      <c r="M126" s="63">
        <v>6.8346900000000002</v>
      </c>
      <c r="N126" s="63">
        <v>6.9684499999999998</v>
      </c>
      <c r="O126" s="63">
        <v>7.1109020000000003</v>
      </c>
      <c r="P126" s="63">
        <v>7.2593360000000002</v>
      </c>
      <c r="Q126" s="63">
        <v>7.4099579999999996</v>
      </c>
      <c r="R126" s="63">
        <v>7.5561389999999999</v>
      </c>
      <c r="S126" s="63">
        <v>7.6895309999999997</v>
      </c>
      <c r="T126" s="63">
        <v>7.8080040000000004</v>
      </c>
      <c r="U126" s="63">
        <v>7.9098629999999996</v>
      </c>
      <c r="V126" s="63">
        <v>7.9939900000000002</v>
      </c>
      <c r="W126" s="63">
        <v>8.0651360000000007</v>
      </c>
      <c r="X126" s="63">
        <v>8.1237560000000002</v>
      </c>
      <c r="Y126" s="63">
        <v>8.1714319999999994</v>
      </c>
      <c r="Z126" s="63">
        <v>8.2102129999999995</v>
      </c>
      <c r="AA126" s="63">
        <v>8.2415599999999998</v>
      </c>
      <c r="AB126" s="63">
        <v>8.2690070000000002</v>
      </c>
      <c r="AC126" s="63">
        <v>8.2903819999999993</v>
      </c>
      <c r="AD126" s="63">
        <v>8.3071439999999992</v>
      </c>
      <c r="AE126" s="63">
        <v>8.3229749999999996</v>
      </c>
      <c r="AF126" s="63">
        <v>8.3339409999999994</v>
      </c>
      <c r="AG126" s="63">
        <v>8.3448220000000006</v>
      </c>
      <c r="AH126" s="63">
        <v>8.3523619999999994</v>
      </c>
      <c r="AI126" s="63">
        <v>8.3585250000000002</v>
      </c>
      <c r="AJ126" s="63">
        <v>8.3604470000000006</v>
      </c>
      <c r="AK126" s="62">
        <v>1.0489E-2</v>
      </c>
    </row>
    <row r="127" spans="1:37" ht="15" customHeight="1" x14ac:dyDescent="0.2">
      <c r="A127" s="57" t="s">
        <v>1018</v>
      </c>
      <c r="B127" s="60" t="s">
        <v>911</v>
      </c>
      <c r="C127" s="63">
        <v>0</v>
      </c>
      <c r="D127" s="63">
        <v>0</v>
      </c>
      <c r="E127" s="63">
        <v>0</v>
      </c>
      <c r="F127" s="63">
        <v>0</v>
      </c>
      <c r="G127" s="63">
        <v>0</v>
      </c>
      <c r="H127" s="63">
        <v>0</v>
      </c>
      <c r="I127" s="63">
        <v>0</v>
      </c>
      <c r="J127" s="63">
        <v>0</v>
      </c>
      <c r="K127" s="63">
        <v>0</v>
      </c>
      <c r="L127" s="63">
        <v>0</v>
      </c>
      <c r="M127" s="63">
        <v>0</v>
      </c>
      <c r="N127" s="63">
        <v>0</v>
      </c>
      <c r="O127" s="63">
        <v>0</v>
      </c>
      <c r="P127" s="63">
        <v>0</v>
      </c>
      <c r="Q127" s="63">
        <v>0</v>
      </c>
      <c r="R127" s="63">
        <v>0</v>
      </c>
      <c r="S127" s="63">
        <v>0</v>
      </c>
      <c r="T127" s="63">
        <v>0</v>
      </c>
      <c r="U127" s="63">
        <v>0</v>
      </c>
      <c r="V127" s="63">
        <v>0</v>
      </c>
      <c r="W127" s="63">
        <v>0</v>
      </c>
      <c r="X127" s="63">
        <v>0</v>
      </c>
      <c r="Y127" s="63">
        <v>0</v>
      </c>
      <c r="Z127" s="63">
        <v>0</v>
      </c>
      <c r="AA127" s="63">
        <v>0</v>
      </c>
      <c r="AB127" s="63">
        <v>0</v>
      </c>
      <c r="AC127" s="63">
        <v>0</v>
      </c>
      <c r="AD127" s="63">
        <v>0</v>
      </c>
      <c r="AE127" s="63">
        <v>0</v>
      </c>
      <c r="AF127" s="63">
        <v>0</v>
      </c>
      <c r="AG127" s="63">
        <v>0</v>
      </c>
      <c r="AH127" s="63">
        <v>0</v>
      </c>
      <c r="AI127" s="63">
        <v>0</v>
      </c>
      <c r="AJ127" s="63">
        <v>0</v>
      </c>
      <c r="AK127" s="62" t="s">
        <v>467</v>
      </c>
    </row>
    <row r="128" spans="1:37" ht="15" customHeight="1" x14ac:dyDescent="0.2">
      <c r="A128" s="57" t="s">
        <v>1019</v>
      </c>
      <c r="B128" s="60" t="s">
        <v>913</v>
      </c>
      <c r="C128" s="63">
        <v>0</v>
      </c>
      <c r="D128" s="63">
        <v>7.9114659999999999</v>
      </c>
      <c r="E128" s="63">
        <v>9.6103210000000008</v>
      </c>
      <c r="F128" s="63">
        <v>10.275418999999999</v>
      </c>
      <c r="G128" s="63">
        <v>10.681328000000001</v>
      </c>
      <c r="H128" s="63">
        <v>10.988426</v>
      </c>
      <c r="I128" s="63">
        <v>11.226865</v>
      </c>
      <c r="J128" s="63">
        <v>11.431684000000001</v>
      </c>
      <c r="K128" s="63">
        <v>11.624553000000001</v>
      </c>
      <c r="L128" s="63">
        <v>11.815666</v>
      </c>
      <c r="M128" s="63">
        <v>12.009306</v>
      </c>
      <c r="N128" s="63">
        <v>12.191564</v>
      </c>
      <c r="O128" s="63">
        <v>12.379607</v>
      </c>
      <c r="P128" s="63">
        <v>12.573708999999999</v>
      </c>
      <c r="Q128" s="63">
        <v>12.771416</v>
      </c>
      <c r="R128" s="63">
        <v>12.965775000000001</v>
      </c>
      <c r="S128" s="63">
        <v>13.1488</v>
      </c>
      <c r="T128" s="63">
        <v>13.318472</v>
      </c>
      <c r="U128" s="63">
        <v>13.469142</v>
      </c>
      <c r="V128" s="63">
        <v>13.596833</v>
      </c>
      <c r="W128" s="63">
        <v>13.724795</v>
      </c>
      <c r="X128" s="63">
        <v>13.847823</v>
      </c>
      <c r="Y128" s="63">
        <v>13.950466</v>
      </c>
      <c r="Z128" s="63">
        <v>14.021692</v>
      </c>
      <c r="AA128" s="63">
        <v>14.088804</v>
      </c>
      <c r="AB128" s="63">
        <v>14.145702999999999</v>
      </c>
      <c r="AC128" s="63">
        <v>14.193809999999999</v>
      </c>
      <c r="AD128" s="63">
        <v>14.233642</v>
      </c>
      <c r="AE128" s="63">
        <v>14.266764</v>
      </c>
      <c r="AF128" s="63">
        <v>14.294278</v>
      </c>
      <c r="AG128" s="63">
        <v>14.317582</v>
      </c>
      <c r="AH128" s="63">
        <v>14.337687000000001</v>
      </c>
      <c r="AI128" s="63">
        <v>14.35521</v>
      </c>
      <c r="AJ128" s="63">
        <v>14.409375000000001</v>
      </c>
      <c r="AK128" s="62">
        <v>1.8912999999999999E-2</v>
      </c>
    </row>
    <row r="129" spans="1:37" ht="15" customHeight="1" x14ac:dyDescent="0.2">
      <c r="A129" s="57" t="s">
        <v>1020</v>
      </c>
      <c r="B129" s="60" t="s">
        <v>915</v>
      </c>
      <c r="C129" s="63">
        <v>0</v>
      </c>
      <c r="D129" s="63">
        <v>1.375383</v>
      </c>
      <c r="E129" s="63">
        <v>2.5349759999999999</v>
      </c>
      <c r="F129" s="63">
        <v>3.3882819999999998</v>
      </c>
      <c r="G129" s="63">
        <v>4.0576639999999999</v>
      </c>
      <c r="H129" s="63">
        <v>4.6741440000000001</v>
      </c>
      <c r="I129" s="63">
        <v>5.2108439999999998</v>
      </c>
      <c r="J129" s="63">
        <v>5.6946919999999999</v>
      </c>
      <c r="K129" s="63">
        <v>6.1602839999999999</v>
      </c>
      <c r="L129" s="63">
        <v>6.6234679999999999</v>
      </c>
      <c r="M129" s="63">
        <v>7.0924040000000002</v>
      </c>
      <c r="N129" s="63">
        <v>7.5622100000000003</v>
      </c>
      <c r="O129" s="63">
        <v>8.0424849999999992</v>
      </c>
      <c r="P129" s="63">
        <v>8.5360119999999995</v>
      </c>
      <c r="Q129" s="63">
        <v>9.0365660000000005</v>
      </c>
      <c r="R129" s="63">
        <v>9.5293849999999996</v>
      </c>
      <c r="S129" s="63">
        <v>9.99465</v>
      </c>
      <c r="T129" s="63">
        <v>10.407006000000001</v>
      </c>
      <c r="U129" s="63">
        <v>10.737499</v>
      </c>
      <c r="V129" s="63">
        <v>10.965096000000001</v>
      </c>
      <c r="W129" s="63">
        <v>11.281574000000001</v>
      </c>
      <c r="X129" s="63">
        <v>11.626606000000001</v>
      </c>
      <c r="Y129" s="63">
        <v>11.860927999999999</v>
      </c>
      <c r="Z129" s="63">
        <v>11.910093</v>
      </c>
      <c r="AA129" s="63">
        <v>12.035553</v>
      </c>
      <c r="AB129" s="63">
        <v>12.151566000000001</v>
      </c>
      <c r="AC129" s="63">
        <v>12.259202</v>
      </c>
      <c r="AD129" s="63">
        <v>12.358252</v>
      </c>
      <c r="AE129" s="63">
        <v>12.449605999999999</v>
      </c>
      <c r="AF129" s="63">
        <v>12.533541</v>
      </c>
      <c r="AG129" s="63">
        <v>12.611183</v>
      </c>
      <c r="AH129" s="63">
        <v>12.683128999999999</v>
      </c>
      <c r="AI129" s="63">
        <v>12.749819</v>
      </c>
      <c r="AJ129" s="63">
        <v>12.845881</v>
      </c>
      <c r="AK129" s="62">
        <v>7.2317000000000006E-2</v>
      </c>
    </row>
    <row r="130" spans="1:37" ht="15" customHeight="1" x14ac:dyDescent="0.2">
      <c r="A130" s="57" t="s">
        <v>1021</v>
      </c>
      <c r="B130" s="60" t="s">
        <v>917</v>
      </c>
      <c r="C130" s="63">
        <v>0</v>
      </c>
      <c r="D130" s="63">
        <v>1.363818</v>
      </c>
      <c r="E130" s="63">
        <v>2.475514</v>
      </c>
      <c r="F130" s="63">
        <v>3.2715649999999998</v>
      </c>
      <c r="G130" s="63">
        <v>3.8833440000000001</v>
      </c>
      <c r="H130" s="63">
        <v>4.436261</v>
      </c>
      <c r="I130" s="63">
        <v>4.9091319999999996</v>
      </c>
      <c r="J130" s="63">
        <v>5.328875</v>
      </c>
      <c r="K130" s="63">
        <v>5.7275359999999997</v>
      </c>
      <c r="L130" s="63">
        <v>6.1203729999999998</v>
      </c>
      <c r="M130" s="63">
        <v>6.5150769999999998</v>
      </c>
      <c r="N130" s="63">
        <v>6.9070349999999996</v>
      </c>
      <c r="O130" s="63">
        <v>7.3059070000000004</v>
      </c>
      <c r="P130" s="63">
        <v>7.7122479999999998</v>
      </c>
      <c r="Q130" s="63">
        <v>8.1209340000000001</v>
      </c>
      <c r="R130" s="63">
        <v>8.5202100000000005</v>
      </c>
      <c r="S130" s="63">
        <v>8.8943820000000002</v>
      </c>
      <c r="T130" s="63">
        <v>9.2270990000000008</v>
      </c>
      <c r="U130" s="63">
        <v>9.4923319999999993</v>
      </c>
      <c r="V130" s="63">
        <v>9.6757249999999999</v>
      </c>
      <c r="W130" s="63">
        <v>9.9263870000000001</v>
      </c>
      <c r="X130" s="63">
        <v>10.193114</v>
      </c>
      <c r="Y130" s="63">
        <v>10.373199</v>
      </c>
      <c r="Z130" s="63">
        <v>10.411422</v>
      </c>
      <c r="AA130" s="63">
        <v>10.506237</v>
      </c>
      <c r="AB130" s="63">
        <v>10.593012999999999</v>
      </c>
      <c r="AC130" s="63">
        <v>10.673007</v>
      </c>
      <c r="AD130" s="63">
        <v>10.746510000000001</v>
      </c>
      <c r="AE130" s="63">
        <v>10.814527999999999</v>
      </c>
      <c r="AF130" s="63">
        <v>10.876495</v>
      </c>
      <c r="AG130" s="63">
        <v>10.933528000000001</v>
      </c>
      <c r="AH130" s="63">
        <v>10.986265</v>
      </c>
      <c r="AI130" s="63">
        <v>11.035171999999999</v>
      </c>
      <c r="AJ130" s="63">
        <v>11.110208999999999</v>
      </c>
      <c r="AK130" s="62">
        <v>6.7745E-2</v>
      </c>
    </row>
    <row r="131" spans="1:37" ht="15" customHeight="1" x14ac:dyDescent="0.2">
      <c r="A131" s="57" t="s">
        <v>1022</v>
      </c>
      <c r="B131" s="60" t="s">
        <v>919</v>
      </c>
      <c r="C131" s="63">
        <v>0</v>
      </c>
      <c r="D131" s="63">
        <v>7.892048</v>
      </c>
      <c r="E131" s="63">
        <v>7.9805929999999998</v>
      </c>
      <c r="F131" s="63">
        <v>8.0073500000000006</v>
      </c>
      <c r="G131" s="63">
        <v>8.0203380000000006</v>
      </c>
      <c r="H131" s="63">
        <v>8.0289260000000002</v>
      </c>
      <c r="I131" s="63">
        <v>8.0346530000000005</v>
      </c>
      <c r="J131" s="63">
        <v>8.0387959999999996</v>
      </c>
      <c r="K131" s="63">
        <v>8.04209</v>
      </c>
      <c r="L131" s="63">
        <v>8.0448439999999994</v>
      </c>
      <c r="M131" s="63">
        <v>8.0472070000000002</v>
      </c>
      <c r="N131" s="63">
        <v>8.0492729999999995</v>
      </c>
      <c r="O131" s="63">
        <v>8.0511049999999997</v>
      </c>
      <c r="P131" s="63">
        <v>8.0527359999999994</v>
      </c>
      <c r="Q131" s="63">
        <v>8.0541730000000005</v>
      </c>
      <c r="R131" s="63">
        <v>8.0554079999999999</v>
      </c>
      <c r="S131" s="63">
        <v>8.0564350000000005</v>
      </c>
      <c r="T131" s="63">
        <v>8.0572400000000002</v>
      </c>
      <c r="U131" s="63">
        <v>8.0578050000000001</v>
      </c>
      <c r="V131" s="63">
        <v>8.0581180000000003</v>
      </c>
      <c r="W131" s="63">
        <v>8.0586199999999995</v>
      </c>
      <c r="X131" s="63">
        <v>8.0591600000000003</v>
      </c>
      <c r="Y131" s="63">
        <v>8.0594599999999996</v>
      </c>
      <c r="Z131" s="63">
        <v>8.0594149999999996</v>
      </c>
      <c r="AA131" s="63">
        <v>8.0595409999999994</v>
      </c>
      <c r="AB131" s="63">
        <v>8.0596499999999995</v>
      </c>
      <c r="AC131" s="63">
        <v>8.059761</v>
      </c>
      <c r="AD131" s="63">
        <v>8.0598609999999997</v>
      </c>
      <c r="AE131" s="63">
        <v>8.0599500000000006</v>
      </c>
      <c r="AF131" s="63">
        <v>8.0600349999999992</v>
      </c>
      <c r="AG131" s="63">
        <v>8.0601129999999994</v>
      </c>
      <c r="AH131" s="63">
        <v>8.0601850000000006</v>
      </c>
      <c r="AI131" s="63">
        <v>8.0602479999999996</v>
      </c>
      <c r="AJ131" s="63">
        <v>8.0821649999999998</v>
      </c>
      <c r="AK131" s="62">
        <v>7.4399999999999998E-4</v>
      </c>
    </row>
    <row r="132" spans="1:37" ht="15" customHeight="1" x14ac:dyDescent="0.2">
      <c r="A132" s="57" t="s">
        <v>1023</v>
      </c>
      <c r="B132" s="60" t="s">
        <v>1024</v>
      </c>
      <c r="C132" s="63">
        <v>6.1473089999999999</v>
      </c>
      <c r="D132" s="63">
        <v>6.2351570000000001</v>
      </c>
      <c r="E132" s="63">
        <v>6.3242859999999999</v>
      </c>
      <c r="F132" s="63">
        <v>6.4057209999999998</v>
      </c>
      <c r="G132" s="63">
        <v>6.4829600000000003</v>
      </c>
      <c r="H132" s="63">
        <v>6.5660720000000001</v>
      </c>
      <c r="I132" s="63">
        <v>6.6519760000000003</v>
      </c>
      <c r="J132" s="63">
        <v>6.7427849999999996</v>
      </c>
      <c r="K132" s="63">
        <v>6.8420620000000003</v>
      </c>
      <c r="L132" s="63">
        <v>6.9527029999999996</v>
      </c>
      <c r="M132" s="63">
        <v>7.0745459999999998</v>
      </c>
      <c r="N132" s="63">
        <v>7.1992719999999997</v>
      </c>
      <c r="O132" s="63">
        <v>7.3280459999999996</v>
      </c>
      <c r="P132" s="63">
        <v>7.4579029999999999</v>
      </c>
      <c r="Q132" s="63">
        <v>7.5864929999999999</v>
      </c>
      <c r="R132" s="63">
        <v>7.7089869999999996</v>
      </c>
      <c r="S132" s="63">
        <v>7.8241829999999997</v>
      </c>
      <c r="T132" s="63">
        <v>7.9268450000000001</v>
      </c>
      <c r="U132" s="63">
        <v>8.0139680000000002</v>
      </c>
      <c r="V132" s="63">
        <v>8.0909560000000003</v>
      </c>
      <c r="W132" s="63">
        <v>8.1565899999999996</v>
      </c>
      <c r="X132" s="63">
        <v>8.2168050000000008</v>
      </c>
      <c r="Y132" s="63">
        <v>8.2677709999999998</v>
      </c>
      <c r="Z132" s="63">
        <v>8.3227949999999993</v>
      </c>
      <c r="AA132" s="63">
        <v>8.3621269999999992</v>
      </c>
      <c r="AB132" s="63">
        <v>8.3974489999999999</v>
      </c>
      <c r="AC132" s="63">
        <v>8.4250690000000006</v>
      </c>
      <c r="AD132" s="63">
        <v>8.4464159999999993</v>
      </c>
      <c r="AE132" s="63">
        <v>8.4678299999999993</v>
      </c>
      <c r="AF132" s="63">
        <v>8.4870819999999991</v>
      </c>
      <c r="AG132" s="63">
        <v>8.5021190000000004</v>
      </c>
      <c r="AH132" s="63">
        <v>8.5160610000000005</v>
      </c>
      <c r="AI132" s="63">
        <v>8.5325489999999995</v>
      </c>
      <c r="AJ132" s="63">
        <v>8.5449350000000006</v>
      </c>
      <c r="AK132" s="62">
        <v>9.8969999999999995E-3</v>
      </c>
    </row>
    <row r="133" spans="1:37" ht="15" customHeight="1" x14ac:dyDescent="0.2">
      <c r="A133" s="57" t="s">
        <v>1025</v>
      </c>
      <c r="B133" s="59" t="s">
        <v>1026</v>
      </c>
      <c r="C133" s="69">
        <v>7.1330169999999997</v>
      </c>
      <c r="D133" s="69">
        <v>7.2348379999999999</v>
      </c>
      <c r="E133" s="69">
        <v>7.3351949999999997</v>
      </c>
      <c r="F133" s="69">
        <v>7.4345340000000002</v>
      </c>
      <c r="G133" s="69">
        <v>7.5385600000000004</v>
      </c>
      <c r="H133" s="69">
        <v>7.6436700000000002</v>
      </c>
      <c r="I133" s="69">
        <v>7.7543430000000004</v>
      </c>
      <c r="J133" s="69">
        <v>7.8730279999999997</v>
      </c>
      <c r="K133" s="69">
        <v>8.002402</v>
      </c>
      <c r="L133" s="69">
        <v>8.144584</v>
      </c>
      <c r="M133" s="69">
        <v>8.3009219999999999</v>
      </c>
      <c r="N133" s="69">
        <v>8.4632249999999996</v>
      </c>
      <c r="O133" s="69">
        <v>8.6306049999999992</v>
      </c>
      <c r="P133" s="69">
        <v>8.8023199999999999</v>
      </c>
      <c r="Q133" s="69">
        <v>8.9735899999999997</v>
      </c>
      <c r="R133" s="69">
        <v>9.1394579999999994</v>
      </c>
      <c r="S133" s="69">
        <v>9.2992340000000002</v>
      </c>
      <c r="T133" s="69">
        <v>9.4427099999999999</v>
      </c>
      <c r="U133" s="69">
        <v>9.5682950000000009</v>
      </c>
      <c r="V133" s="69">
        <v>9.6824370000000002</v>
      </c>
      <c r="W133" s="69">
        <v>9.7842420000000008</v>
      </c>
      <c r="X133" s="69">
        <v>9.8779199999999996</v>
      </c>
      <c r="Y133" s="69">
        <v>9.9620580000000007</v>
      </c>
      <c r="Z133" s="69">
        <v>10.05115</v>
      </c>
      <c r="AA133" s="69">
        <v>10.121843999999999</v>
      </c>
      <c r="AB133" s="69">
        <v>10.185765</v>
      </c>
      <c r="AC133" s="69">
        <v>10.238791000000001</v>
      </c>
      <c r="AD133" s="69">
        <v>10.28496</v>
      </c>
      <c r="AE133" s="69">
        <v>10.331647</v>
      </c>
      <c r="AF133" s="69">
        <v>10.376073999999999</v>
      </c>
      <c r="AG133" s="69">
        <v>10.415622000000001</v>
      </c>
      <c r="AH133" s="69">
        <v>10.453134</v>
      </c>
      <c r="AI133" s="69">
        <v>10.495621999999999</v>
      </c>
      <c r="AJ133" s="69">
        <v>10.532615</v>
      </c>
      <c r="AK133" s="66">
        <v>1.1806000000000001E-2</v>
      </c>
    </row>
    <row r="134" spans="1:37" ht="15.75" customHeight="1" x14ac:dyDescent="0.2"/>
    <row r="135" spans="1:37" ht="15" customHeight="1" x14ac:dyDescent="0.2">
      <c r="B135" s="59" t="s">
        <v>1027</v>
      </c>
    </row>
    <row r="136" spans="1:37" ht="15" customHeight="1" x14ac:dyDescent="0.2">
      <c r="B136" s="59" t="s">
        <v>901</v>
      </c>
    </row>
    <row r="137" spans="1:37" ht="15" customHeight="1" x14ac:dyDescent="0.2">
      <c r="A137" s="57" t="s">
        <v>1028</v>
      </c>
      <c r="B137" s="60" t="s">
        <v>903</v>
      </c>
      <c r="C137" s="64">
        <v>2.2386330000000001</v>
      </c>
      <c r="D137" s="64">
        <v>2.3231169999999999</v>
      </c>
      <c r="E137" s="64">
        <v>2.4042180000000002</v>
      </c>
      <c r="F137" s="64">
        <v>2.4819420000000001</v>
      </c>
      <c r="G137" s="64">
        <v>2.5584630000000002</v>
      </c>
      <c r="H137" s="64">
        <v>2.6265299999999998</v>
      </c>
      <c r="I137" s="64">
        <v>2.6870370000000001</v>
      </c>
      <c r="J137" s="64">
        <v>2.7477770000000001</v>
      </c>
      <c r="K137" s="64">
        <v>2.807029</v>
      </c>
      <c r="L137" s="64">
        <v>2.862787</v>
      </c>
      <c r="M137" s="64">
        <v>2.9164080000000001</v>
      </c>
      <c r="N137" s="64">
        <v>2.9655130000000001</v>
      </c>
      <c r="O137" s="64">
        <v>3.0168400000000002</v>
      </c>
      <c r="P137" s="64">
        <v>3.0567989999999998</v>
      </c>
      <c r="Q137" s="64">
        <v>3.131176</v>
      </c>
      <c r="R137" s="64">
        <v>3.1587580000000002</v>
      </c>
      <c r="S137" s="64">
        <v>3.2018230000000001</v>
      </c>
      <c r="T137" s="64">
        <v>3.227223</v>
      </c>
      <c r="U137" s="64">
        <v>3.2592340000000002</v>
      </c>
      <c r="V137" s="64">
        <v>3.2868539999999999</v>
      </c>
      <c r="W137" s="64">
        <v>3.3311099999999998</v>
      </c>
      <c r="X137" s="64">
        <v>3.3654850000000001</v>
      </c>
      <c r="Y137" s="64">
        <v>3.361605</v>
      </c>
      <c r="Z137" s="64">
        <v>3.3843390000000002</v>
      </c>
      <c r="AA137" s="64">
        <v>3.3621129999999999</v>
      </c>
      <c r="AB137" s="64">
        <v>3.3816619999999999</v>
      </c>
      <c r="AC137" s="64">
        <v>3.4319459999999999</v>
      </c>
      <c r="AD137" s="64">
        <v>3.4603640000000002</v>
      </c>
      <c r="AE137" s="64">
        <v>3.4586109999999999</v>
      </c>
      <c r="AF137" s="64">
        <v>3.4796900000000002</v>
      </c>
      <c r="AG137" s="64">
        <v>3.5188130000000002</v>
      </c>
      <c r="AH137" s="64">
        <v>3.5182000000000002</v>
      </c>
      <c r="AI137" s="64">
        <v>3.5260850000000001</v>
      </c>
      <c r="AJ137" s="64">
        <v>3.531914</v>
      </c>
      <c r="AK137" s="62">
        <v>1.3178E-2</v>
      </c>
    </row>
    <row r="138" spans="1:37" ht="15" customHeight="1" x14ac:dyDescent="0.2">
      <c r="A138" s="57" t="s">
        <v>1029</v>
      </c>
      <c r="B138" s="60" t="s">
        <v>905</v>
      </c>
      <c r="C138" s="64">
        <v>1.0314220000000001</v>
      </c>
      <c r="D138" s="64">
        <v>1.0446820000000001</v>
      </c>
      <c r="E138" s="64">
        <v>1.051865</v>
      </c>
      <c r="F138" s="64">
        <v>1.0694680000000001</v>
      </c>
      <c r="G138" s="64">
        <v>1.090598</v>
      </c>
      <c r="H138" s="64">
        <v>1.1097939999999999</v>
      </c>
      <c r="I138" s="64">
        <v>1.128118</v>
      </c>
      <c r="J138" s="64">
        <v>1.1502810000000001</v>
      </c>
      <c r="K138" s="64">
        <v>1.1762680000000001</v>
      </c>
      <c r="L138" s="64">
        <v>1.2056009999999999</v>
      </c>
      <c r="M138" s="64">
        <v>1.232802</v>
      </c>
      <c r="N138" s="64">
        <v>1.2510829999999999</v>
      </c>
      <c r="O138" s="64">
        <v>1.28</v>
      </c>
      <c r="P138" s="64">
        <v>1.297307</v>
      </c>
      <c r="Q138" s="64">
        <v>1.333091</v>
      </c>
      <c r="R138" s="64">
        <v>1.355162</v>
      </c>
      <c r="S138" s="64">
        <v>1.3828750000000001</v>
      </c>
      <c r="T138" s="64">
        <v>1.400258</v>
      </c>
      <c r="U138" s="64">
        <v>1.4262360000000001</v>
      </c>
      <c r="V138" s="64">
        <v>1.4580679999999999</v>
      </c>
      <c r="W138" s="64">
        <v>1.487879</v>
      </c>
      <c r="X138" s="64">
        <v>1.515846</v>
      </c>
      <c r="Y138" s="64">
        <v>1.5338480000000001</v>
      </c>
      <c r="Z138" s="64">
        <v>1.575583</v>
      </c>
      <c r="AA138" s="64">
        <v>1.593623</v>
      </c>
      <c r="AB138" s="64">
        <v>1.6204149999999999</v>
      </c>
      <c r="AC138" s="64">
        <v>1.6640269999999999</v>
      </c>
      <c r="AD138" s="64">
        <v>1.706793</v>
      </c>
      <c r="AE138" s="64">
        <v>1.7442960000000001</v>
      </c>
      <c r="AF138" s="64">
        <v>1.7898890000000001</v>
      </c>
      <c r="AG138" s="64">
        <v>1.8422750000000001</v>
      </c>
      <c r="AH138" s="64">
        <v>1.8818760000000001</v>
      </c>
      <c r="AI138" s="64">
        <v>1.922096</v>
      </c>
      <c r="AJ138" s="64">
        <v>1.963346</v>
      </c>
      <c r="AK138" s="62">
        <v>1.9911999999999999E-2</v>
      </c>
    </row>
    <row r="139" spans="1:37" ht="15" customHeight="1" x14ac:dyDescent="0.2">
      <c r="A139" s="57" t="s">
        <v>1030</v>
      </c>
      <c r="B139" s="60" t="s">
        <v>907</v>
      </c>
      <c r="C139" s="64">
        <v>1.37E-4</v>
      </c>
      <c r="D139" s="64">
        <v>3.1300000000000002E-4</v>
      </c>
      <c r="E139" s="64">
        <v>5.0000000000000001E-4</v>
      </c>
      <c r="F139" s="64">
        <v>6.9399999999999996E-4</v>
      </c>
      <c r="G139" s="64">
        <v>8.9499999999999996E-4</v>
      </c>
      <c r="H139" s="64">
        <v>1.0989999999999999E-3</v>
      </c>
      <c r="I139" s="64">
        <v>1.31E-3</v>
      </c>
      <c r="J139" s="64">
        <v>1.529E-3</v>
      </c>
      <c r="K139" s="64">
        <v>1.756E-3</v>
      </c>
      <c r="L139" s="64">
        <v>1.99E-3</v>
      </c>
      <c r="M139" s="64">
        <v>2.2339999999999999E-3</v>
      </c>
      <c r="N139" s="64">
        <v>2.4870000000000001E-3</v>
      </c>
      <c r="O139" s="64">
        <v>2.7499999999999998E-3</v>
      </c>
      <c r="P139" s="64">
        <v>3.0249999999999999E-3</v>
      </c>
      <c r="Q139" s="64">
        <v>3.3159999999999999E-3</v>
      </c>
      <c r="R139" s="64">
        <v>3.6709999999999998E-3</v>
      </c>
      <c r="S139" s="64">
        <v>3.9610000000000001E-3</v>
      </c>
      <c r="T139" s="64">
        <v>4.228E-3</v>
      </c>
      <c r="U139" s="64">
        <v>4.5589999999999997E-3</v>
      </c>
      <c r="V139" s="64">
        <v>4.908E-3</v>
      </c>
      <c r="W139" s="64">
        <v>5.2760000000000003E-3</v>
      </c>
      <c r="X139" s="64">
        <v>5.6620000000000004E-3</v>
      </c>
      <c r="Y139" s="64">
        <v>6.0639999999999999E-3</v>
      </c>
      <c r="Z139" s="64">
        <v>6.483E-3</v>
      </c>
      <c r="AA139" s="64">
        <v>6.9189999999999998E-3</v>
      </c>
      <c r="AB139" s="64">
        <v>7.3699999999999998E-3</v>
      </c>
      <c r="AC139" s="64">
        <v>7.8379999999999995E-3</v>
      </c>
      <c r="AD139" s="64">
        <v>8.3239999999999998E-3</v>
      </c>
      <c r="AE139" s="64">
        <v>8.8299999999999993E-3</v>
      </c>
      <c r="AF139" s="64">
        <v>9.3539999999999995E-3</v>
      </c>
      <c r="AG139" s="64">
        <v>9.8960000000000003E-3</v>
      </c>
      <c r="AH139" s="64">
        <v>1.0454E-2</v>
      </c>
      <c r="AI139" s="64">
        <v>1.1032E-2</v>
      </c>
      <c r="AJ139" s="64">
        <v>1.1743E-2</v>
      </c>
      <c r="AK139" s="62">
        <v>0.119897</v>
      </c>
    </row>
    <row r="140" spans="1:37" ht="15" customHeight="1" x14ac:dyDescent="0.2">
      <c r="A140" s="57" t="s">
        <v>1031</v>
      </c>
      <c r="B140" s="60" t="s">
        <v>909</v>
      </c>
      <c r="C140" s="64">
        <v>6.0000000000000002E-6</v>
      </c>
      <c r="D140" s="64">
        <v>1.21E-4</v>
      </c>
      <c r="E140" s="64">
        <v>2.3900000000000001E-4</v>
      </c>
      <c r="F140" s="64">
        <v>3.5799999999999997E-4</v>
      </c>
      <c r="G140" s="64">
        <v>4.7899999999999999E-4</v>
      </c>
      <c r="H140" s="64">
        <v>5.9999999999999995E-4</v>
      </c>
      <c r="I140" s="64">
        <v>7.2599999999999997E-4</v>
      </c>
      <c r="J140" s="64">
        <v>8.5999999999999998E-4</v>
      </c>
      <c r="K140" s="64">
        <v>1.0009999999999999E-3</v>
      </c>
      <c r="L140" s="64">
        <v>1.15E-3</v>
      </c>
      <c r="M140" s="64">
        <v>1.3090000000000001E-3</v>
      </c>
      <c r="N140" s="64">
        <v>1.4809999999999999E-3</v>
      </c>
      <c r="O140" s="64">
        <v>1.6639999999999999E-3</v>
      </c>
      <c r="P140" s="64">
        <v>1.8630000000000001E-3</v>
      </c>
      <c r="Q140" s="64">
        <v>2.0820000000000001E-3</v>
      </c>
      <c r="R140" s="64">
        <v>2.32E-3</v>
      </c>
      <c r="S140" s="64">
        <v>2.5820000000000001E-3</v>
      </c>
      <c r="T140" s="64">
        <v>2.872E-3</v>
      </c>
      <c r="U140" s="64">
        <v>3.192E-3</v>
      </c>
      <c r="V140" s="64">
        <v>3.5430000000000001E-3</v>
      </c>
      <c r="W140" s="64">
        <v>3.9309999999999996E-3</v>
      </c>
      <c r="X140" s="64">
        <v>4.3610000000000003E-3</v>
      </c>
      <c r="Y140" s="64">
        <v>4.836E-3</v>
      </c>
      <c r="Z140" s="64">
        <v>5.3639999999999998E-3</v>
      </c>
      <c r="AA140" s="64">
        <v>5.9500000000000004E-3</v>
      </c>
      <c r="AB140" s="64">
        <v>6.5989999999999998E-3</v>
      </c>
      <c r="AC140" s="64">
        <v>7.3169999999999997E-3</v>
      </c>
      <c r="AD140" s="64">
        <v>8.1189999999999995E-3</v>
      </c>
      <c r="AE140" s="64">
        <v>9.0109999999999999E-3</v>
      </c>
      <c r="AF140" s="64">
        <v>1.0004000000000001E-2</v>
      </c>
      <c r="AG140" s="64">
        <v>1.1103E-2</v>
      </c>
      <c r="AH140" s="64">
        <v>1.2319999999999999E-2</v>
      </c>
      <c r="AI140" s="64">
        <v>1.3662000000000001E-2</v>
      </c>
      <c r="AJ140" s="64">
        <v>1.5214999999999999E-2</v>
      </c>
      <c r="AK140" s="62">
        <v>0.163131</v>
      </c>
    </row>
    <row r="141" spans="1:37" ht="15" customHeight="1" x14ac:dyDescent="0.2">
      <c r="A141" s="57" t="s">
        <v>1032</v>
      </c>
      <c r="B141" s="60" t="s">
        <v>911</v>
      </c>
      <c r="C141" s="64">
        <v>0.16129299999999999</v>
      </c>
      <c r="D141" s="64">
        <v>0.18384600000000001</v>
      </c>
      <c r="E141" s="64">
        <v>0.207066</v>
      </c>
      <c r="F141" s="64">
        <v>0.230737</v>
      </c>
      <c r="G141" s="64">
        <v>0.25463799999999998</v>
      </c>
      <c r="H141" s="64">
        <v>0.27828599999999998</v>
      </c>
      <c r="I141" s="64">
        <v>0.30224899999999999</v>
      </c>
      <c r="J141" s="64">
        <v>0.32650099999999999</v>
      </c>
      <c r="K141" s="64">
        <v>0.35145599999999999</v>
      </c>
      <c r="L141" s="64">
        <v>0.37715100000000001</v>
      </c>
      <c r="M141" s="64">
        <v>0.40334100000000001</v>
      </c>
      <c r="N141" s="64">
        <v>0.43021799999999999</v>
      </c>
      <c r="O141" s="64">
        <v>0.45803500000000003</v>
      </c>
      <c r="P141" s="64">
        <v>0.487593</v>
      </c>
      <c r="Q141" s="64">
        <v>0.51872799999999997</v>
      </c>
      <c r="R141" s="64">
        <v>0.55108900000000005</v>
      </c>
      <c r="S141" s="64">
        <v>0.58485900000000002</v>
      </c>
      <c r="T141" s="64">
        <v>0.62023700000000004</v>
      </c>
      <c r="U141" s="64">
        <v>0.65702499999999997</v>
      </c>
      <c r="V141" s="64">
        <v>0.69521100000000002</v>
      </c>
      <c r="W141" s="64">
        <v>0.73500500000000002</v>
      </c>
      <c r="X141" s="64">
        <v>0.77647299999999997</v>
      </c>
      <c r="Y141" s="64">
        <v>0.82039899999999999</v>
      </c>
      <c r="Z141" s="64">
        <v>0.866282</v>
      </c>
      <c r="AA141" s="64">
        <v>0.91395899999999997</v>
      </c>
      <c r="AB141" s="64">
        <v>0.96774700000000002</v>
      </c>
      <c r="AC141" s="64">
        <v>1.0254810000000001</v>
      </c>
      <c r="AD141" s="64">
        <v>1.0751329999999999</v>
      </c>
      <c r="AE141" s="64">
        <v>1.124352</v>
      </c>
      <c r="AF141" s="64">
        <v>1.171948</v>
      </c>
      <c r="AG141" s="64">
        <v>1.233549</v>
      </c>
      <c r="AH141" s="64">
        <v>1.273984</v>
      </c>
      <c r="AI141" s="64">
        <v>1.326433</v>
      </c>
      <c r="AJ141" s="64">
        <v>1.3810100000000001</v>
      </c>
      <c r="AK141" s="62">
        <v>6.5043000000000004E-2</v>
      </c>
    </row>
    <row r="142" spans="1:37" ht="15" customHeight="1" x14ac:dyDescent="0.2">
      <c r="A142" s="57" t="s">
        <v>1033</v>
      </c>
      <c r="B142" s="60" t="s">
        <v>913</v>
      </c>
      <c r="C142" s="64">
        <v>8.1000000000000004E-5</v>
      </c>
      <c r="D142" s="64">
        <v>1.511E-3</v>
      </c>
      <c r="E142" s="64">
        <v>3.0219999999999999E-3</v>
      </c>
      <c r="F142" s="64">
        <v>4.5929999999999999E-3</v>
      </c>
      <c r="G142" s="64">
        <v>6.221E-3</v>
      </c>
      <c r="H142" s="64">
        <v>7.8720000000000005E-3</v>
      </c>
      <c r="I142" s="64">
        <v>9.5860000000000008E-3</v>
      </c>
      <c r="J142" s="64">
        <v>1.1361E-2</v>
      </c>
      <c r="K142" s="64">
        <v>1.3195E-2</v>
      </c>
      <c r="L142" s="64">
        <v>1.5096E-2</v>
      </c>
      <c r="M142" s="64">
        <v>1.7066000000000001E-2</v>
      </c>
      <c r="N142" s="64">
        <v>1.9116000000000001E-2</v>
      </c>
      <c r="O142" s="64">
        <v>2.1243999999999999E-2</v>
      </c>
      <c r="P142" s="64">
        <v>2.3473000000000001E-2</v>
      </c>
      <c r="Q142" s="64">
        <v>2.5824E-2</v>
      </c>
      <c r="R142" s="64">
        <v>2.827E-2</v>
      </c>
      <c r="S142" s="64">
        <v>3.0825999999999999E-2</v>
      </c>
      <c r="T142" s="64">
        <v>3.3503999999999999E-2</v>
      </c>
      <c r="U142" s="64">
        <v>3.6290000000000003E-2</v>
      </c>
      <c r="V142" s="64">
        <v>3.9182000000000002E-2</v>
      </c>
      <c r="W142" s="64">
        <v>4.2195000000000003E-2</v>
      </c>
      <c r="X142" s="64">
        <v>4.5333999999999999E-2</v>
      </c>
      <c r="Y142" s="64">
        <v>4.8589E-2</v>
      </c>
      <c r="Z142" s="64">
        <v>5.1969000000000001E-2</v>
      </c>
      <c r="AA142" s="64">
        <v>5.5476999999999999E-2</v>
      </c>
      <c r="AB142" s="64">
        <v>5.9135E-2</v>
      </c>
      <c r="AC142" s="64">
        <v>6.2863000000000002E-2</v>
      </c>
      <c r="AD142" s="64">
        <v>6.6735000000000003E-2</v>
      </c>
      <c r="AE142" s="64">
        <v>7.0781999999999998E-2</v>
      </c>
      <c r="AF142" s="64">
        <v>7.4982999999999994E-2</v>
      </c>
      <c r="AG142" s="64">
        <v>7.9324000000000006E-2</v>
      </c>
      <c r="AH142" s="64">
        <v>8.3794999999999994E-2</v>
      </c>
      <c r="AI142" s="64">
        <v>8.8423000000000002E-2</v>
      </c>
      <c r="AJ142" s="64">
        <v>9.4125E-2</v>
      </c>
      <c r="AK142" s="62">
        <v>0.137826</v>
      </c>
    </row>
    <row r="143" spans="1:37" ht="15" customHeight="1" x14ac:dyDescent="0.2">
      <c r="A143" s="57" t="s">
        <v>1034</v>
      </c>
      <c r="B143" s="60" t="s">
        <v>915</v>
      </c>
      <c r="C143" s="64">
        <v>0</v>
      </c>
      <c r="D143" s="64">
        <v>0</v>
      </c>
      <c r="E143" s="64">
        <v>0</v>
      </c>
      <c r="F143" s="64">
        <v>3.0800000000000001E-4</v>
      </c>
      <c r="G143" s="64">
        <v>6.2600000000000004E-4</v>
      </c>
      <c r="H143" s="64">
        <v>9.5E-4</v>
      </c>
      <c r="I143" s="64">
        <v>1.2849999999999999E-3</v>
      </c>
      <c r="J143" s="64">
        <v>1.634E-3</v>
      </c>
      <c r="K143" s="64">
        <v>1.9940000000000001E-3</v>
      </c>
      <c r="L143" s="64">
        <v>2.3679999999999999E-3</v>
      </c>
      <c r="M143" s="64">
        <v>2.7569999999999999E-3</v>
      </c>
      <c r="N143" s="64">
        <v>3.1610000000000002E-3</v>
      </c>
      <c r="O143" s="64">
        <v>3.5820000000000001E-3</v>
      </c>
      <c r="P143" s="64">
        <v>4.0220000000000004E-3</v>
      </c>
      <c r="Q143" s="64">
        <v>4.4869999999999997E-3</v>
      </c>
      <c r="R143" s="64">
        <v>4.9709999999999997E-3</v>
      </c>
      <c r="S143" s="64">
        <v>5.4780000000000002E-3</v>
      </c>
      <c r="T143" s="64">
        <v>6.0080000000000003E-3</v>
      </c>
      <c r="U143" s="64">
        <v>6.5599999999999999E-3</v>
      </c>
      <c r="V143" s="64">
        <v>7.1339999999999997E-3</v>
      </c>
      <c r="W143" s="64">
        <v>7.731E-3</v>
      </c>
      <c r="X143" s="64">
        <v>8.3540000000000003E-3</v>
      </c>
      <c r="Y143" s="64">
        <v>8.9990000000000001E-3</v>
      </c>
      <c r="Z143" s="64">
        <v>9.6699999999999998E-3</v>
      </c>
      <c r="AA143" s="64">
        <v>1.0366E-2</v>
      </c>
      <c r="AB143" s="64">
        <v>1.1084999999999999E-2</v>
      </c>
      <c r="AC143" s="64">
        <v>1.1828999999999999E-2</v>
      </c>
      <c r="AD143" s="64">
        <v>1.2603E-2</v>
      </c>
      <c r="AE143" s="64">
        <v>1.3407000000000001E-2</v>
      </c>
      <c r="AF143" s="64">
        <v>1.4241E-2</v>
      </c>
      <c r="AG143" s="64">
        <v>1.5102000000000001E-2</v>
      </c>
      <c r="AH143" s="64">
        <v>1.5987999999999999E-2</v>
      </c>
      <c r="AI143" s="64">
        <v>1.6905E-2</v>
      </c>
      <c r="AJ143" s="64">
        <v>1.7852E-2</v>
      </c>
      <c r="AK143" s="62" t="s">
        <v>467</v>
      </c>
    </row>
    <row r="144" spans="1:37" ht="15" customHeight="1" x14ac:dyDescent="0.2">
      <c r="A144" s="57" t="s">
        <v>1035</v>
      </c>
      <c r="B144" s="60" t="s">
        <v>917</v>
      </c>
      <c r="C144" s="64">
        <v>0</v>
      </c>
      <c r="D144" s="64">
        <v>0</v>
      </c>
      <c r="E144" s="64">
        <v>0</v>
      </c>
      <c r="F144" s="64">
        <v>2.7999999999999998E-4</v>
      </c>
      <c r="G144" s="64">
        <v>5.6999999999999998E-4</v>
      </c>
      <c r="H144" s="64">
        <v>8.6499999999999999E-4</v>
      </c>
      <c r="I144" s="64">
        <v>1.1709999999999999E-3</v>
      </c>
      <c r="J144" s="64">
        <v>1.488E-3</v>
      </c>
      <c r="K144" s="64">
        <v>1.8159999999999999E-3</v>
      </c>
      <c r="L144" s="64">
        <v>2.1570000000000001E-3</v>
      </c>
      <c r="M144" s="64">
        <v>2.5100000000000001E-3</v>
      </c>
      <c r="N144" s="64">
        <v>2.879E-3</v>
      </c>
      <c r="O144" s="64">
        <v>3.261E-3</v>
      </c>
      <c r="P144" s="64">
        <v>3.663E-3</v>
      </c>
      <c r="Q144" s="64">
        <v>4.0860000000000002E-3</v>
      </c>
      <c r="R144" s="64">
        <v>4.5269999999999998E-3</v>
      </c>
      <c r="S144" s="64">
        <v>4.9880000000000002E-3</v>
      </c>
      <c r="T144" s="64">
        <v>5.4710000000000002E-3</v>
      </c>
      <c r="U144" s="64">
        <v>5.9740000000000001E-3</v>
      </c>
      <c r="V144" s="64">
        <v>6.496E-3</v>
      </c>
      <c r="W144" s="64">
        <v>7.0400000000000003E-3</v>
      </c>
      <c r="X144" s="64">
        <v>7.607E-3</v>
      </c>
      <c r="Y144" s="64">
        <v>8.1949999999999992E-3</v>
      </c>
      <c r="Z144" s="64">
        <v>8.8059999999999996E-3</v>
      </c>
      <c r="AA144" s="64">
        <v>9.4389999999999995E-3</v>
      </c>
      <c r="AB144" s="64">
        <v>1.0094000000000001E-2</v>
      </c>
      <c r="AC144" s="64">
        <v>1.0772E-2</v>
      </c>
      <c r="AD144" s="64">
        <v>1.1476999999999999E-2</v>
      </c>
      <c r="AE144" s="64">
        <v>1.2208999999999999E-2</v>
      </c>
      <c r="AF144" s="64">
        <v>1.2968E-2</v>
      </c>
      <c r="AG144" s="64">
        <v>1.3752E-2</v>
      </c>
      <c r="AH144" s="64">
        <v>1.4559000000000001E-2</v>
      </c>
      <c r="AI144" s="64">
        <v>1.5394E-2</v>
      </c>
      <c r="AJ144" s="64">
        <v>1.6256E-2</v>
      </c>
      <c r="AK144" s="62" t="s">
        <v>467</v>
      </c>
    </row>
    <row r="145" spans="1:37" ht="15" customHeight="1" x14ac:dyDescent="0.2">
      <c r="A145" s="57" t="s">
        <v>1036</v>
      </c>
      <c r="B145" s="60" t="s">
        <v>919</v>
      </c>
      <c r="C145" s="64">
        <v>0</v>
      </c>
      <c r="D145" s="64">
        <v>0</v>
      </c>
      <c r="E145" s="64">
        <v>0</v>
      </c>
      <c r="F145" s="64">
        <v>0</v>
      </c>
      <c r="G145" s="64">
        <v>0</v>
      </c>
      <c r="H145" s="64">
        <v>0</v>
      </c>
      <c r="I145" s="64">
        <v>0</v>
      </c>
      <c r="J145" s="64">
        <v>0</v>
      </c>
      <c r="K145" s="64">
        <v>0</v>
      </c>
      <c r="L145" s="64">
        <v>0</v>
      </c>
      <c r="M145" s="64">
        <v>0</v>
      </c>
      <c r="N145" s="64">
        <v>0</v>
      </c>
      <c r="O145" s="64">
        <v>0</v>
      </c>
      <c r="P145" s="64">
        <v>0</v>
      </c>
      <c r="Q145" s="64">
        <v>0</v>
      </c>
      <c r="R145" s="64">
        <v>0</v>
      </c>
      <c r="S145" s="64">
        <v>0</v>
      </c>
      <c r="T145" s="64">
        <v>0</v>
      </c>
      <c r="U145" s="64">
        <v>0</v>
      </c>
      <c r="V145" s="64">
        <v>0</v>
      </c>
      <c r="W145" s="64">
        <v>0</v>
      </c>
      <c r="X145" s="64">
        <v>0</v>
      </c>
      <c r="Y145" s="64">
        <v>0</v>
      </c>
      <c r="Z145" s="64">
        <v>0</v>
      </c>
      <c r="AA145" s="64">
        <v>0</v>
      </c>
      <c r="AB145" s="64">
        <v>0</v>
      </c>
      <c r="AC145" s="64">
        <v>0</v>
      </c>
      <c r="AD145" s="64">
        <v>0</v>
      </c>
      <c r="AE145" s="64">
        <v>0</v>
      </c>
      <c r="AF145" s="64">
        <v>0</v>
      </c>
      <c r="AG145" s="64">
        <v>0</v>
      </c>
      <c r="AH145" s="64">
        <v>0</v>
      </c>
      <c r="AI145" s="64">
        <v>0</v>
      </c>
      <c r="AJ145" s="64">
        <v>0</v>
      </c>
      <c r="AK145" s="62" t="s">
        <v>467</v>
      </c>
    </row>
    <row r="146" spans="1:37" ht="15" customHeight="1" x14ac:dyDescent="0.2">
      <c r="A146" s="57" t="s">
        <v>1037</v>
      </c>
      <c r="B146" s="60" t="s">
        <v>921</v>
      </c>
      <c r="C146" s="64">
        <v>3.4315709999999999</v>
      </c>
      <c r="D146" s="64">
        <v>3.5535899999999998</v>
      </c>
      <c r="E146" s="64">
        <v>3.6669070000000001</v>
      </c>
      <c r="F146" s="64">
        <v>3.7883800000000001</v>
      </c>
      <c r="G146" s="64">
        <v>3.91249</v>
      </c>
      <c r="H146" s="64">
        <v>4.025995</v>
      </c>
      <c r="I146" s="64">
        <v>4.1314830000000002</v>
      </c>
      <c r="J146" s="64">
        <v>4.241428</v>
      </c>
      <c r="K146" s="64">
        <v>4.3545170000000004</v>
      </c>
      <c r="L146" s="64">
        <v>4.4683020000000004</v>
      </c>
      <c r="M146" s="64">
        <v>4.5784289999999999</v>
      </c>
      <c r="N146" s="64">
        <v>4.6759360000000001</v>
      </c>
      <c r="O146" s="64">
        <v>4.7873780000000004</v>
      </c>
      <c r="P146" s="64">
        <v>4.8777520000000001</v>
      </c>
      <c r="Q146" s="64">
        <v>5.0227930000000001</v>
      </c>
      <c r="R146" s="64">
        <v>5.1087699999999998</v>
      </c>
      <c r="S146" s="64">
        <v>5.2173920000000003</v>
      </c>
      <c r="T146" s="64">
        <v>5.2997990000000001</v>
      </c>
      <c r="U146" s="64">
        <v>5.3990669999999996</v>
      </c>
      <c r="V146" s="64">
        <v>5.5013969999999999</v>
      </c>
      <c r="W146" s="64">
        <v>5.6201670000000004</v>
      </c>
      <c r="X146" s="64">
        <v>5.72912</v>
      </c>
      <c r="Y146" s="64">
        <v>5.792535</v>
      </c>
      <c r="Z146" s="64">
        <v>5.9084969999999997</v>
      </c>
      <c r="AA146" s="64">
        <v>5.9578449999999998</v>
      </c>
      <c r="AB146" s="64">
        <v>6.0641059999999998</v>
      </c>
      <c r="AC146" s="64">
        <v>6.222073</v>
      </c>
      <c r="AD146" s="64">
        <v>6.3495480000000004</v>
      </c>
      <c r="AE146" s="64">
        <v>6.4415009999999997</v>
      </c>
      <c r="AF146" s="64">
        <v>6.5630750000000004</v>
      </c>
      <c r="AG146" s="64">
        <v>6.723814</v>
      </c>
      <c r="AH146" s="64">
        <v>6.8111790000000001</v>
      </c>
      <c r="AI146" s="64">
        <v>6.9200290000000004</v>
      </c>
      <c r="AJ146" s="64">
        <v>7.0314610000000002</v>
      </c>
      <c r="AK146" s="62">
        <v>2.1555000000000001E-2</v>
      </c>
    </row>
    <row r="147" spans="1:37" ht="15" customHeight="1" x14ac:dyDescent="0.2">
      <c r="B147" s="59" t="s">
        <v>922</v>
      </c>
    </row>
    <row r="148" spans="1:37" ht="15" customHeight="1" x14ac:dyDescent="0.2">
      <c r="A148" s="57" t="s">
        <v>1038</v>
      </c>
      <c r="B148" s="60" t="s">
        <v>903</v>
      </c>
      <c r="C148" s="64">
        <v>1.9520729999999999</v>
      </c>
      <c r="D148" s="64">
        <v>1.958888</v>
      </c>
      <c r="E148" s="64">
        <v>1.9786509999999999</v>
      </c>
      <c r="F148" s="64">
        <v>1.997161</v>
      </c>
      <c r="G148" s="64">
        <v>2.008991</v>
      </c>
      <c r="H148" s="64">
        <v>2.0289269999999999</v>
      </c>
      <c r="I148" s="64">
        <v>2.0468869999999999</v>
      </c>
      <c r="J148" s="64">
        <v>2.0646810000000002</v>
      </c>
      <c r="K148" s="64">
        <v>2.087831</v>
      </c>
      <c r="L148" s="64">
        <v>2.1092710000000001</v>
      </c>
      <c r="M148" s="64">
        <v>2.138871</v>
      </c>
      <c r="N148" s="64">
        <v>2.1531609999999999</v>
      </c>
      <c r="O148" s="64">
        <v>2.1794069999999999</v>
      </c>
      <c r="P148" s="64">
        <v>2.1984159999999999</v>
      </c>
      <c r="Q148" s="64">
        <v>2.236834</v>
      </c>
      <c r="R148" s="64">
        <v>2.2623160000000002</v>
      </c>
      <c r="S148" s="64">
        <v>2.2811020000000002</v>
      </c>
      <c r="T148" s="64">
        <v>2.3075779999999999</v>
      </c>
      <c r="U148" s="64">
        <v>2.3438750000000002</v>
      </c>
      <c r="V148" s="64">
        <v>2.3839190000000001</v>
      </c>
      <c r="W148" s="64">
        <v>2.4261370000000002</v>
      </c>
      <c r="X148" s="64">
        <v>2.4684200000000001</v>
      </c>
      <c r="Y148" s="64">
        <v>2.5096919999999998</v>
      </c>
      <c r="Z148" s="64">
        <v>2.5463990000000001</v>
      </c>
      <c r="AA148" s="64">
        <v>2.5785520000000002</v>
      </c>
      <c r="AB148" s="64">
        <v>2.6301890000000001</v>
      </c>
      <c r="AC148" s="64">
        <v>2.6957939999999998</v>
      </c>
      <c r="AD148" s="64">
        <v>2.765269</v>
      </c>
      <c r="AE148" s="64">
        <v>2.8274689999999998</v>
      </c>
      <c r="AF148" s="64">
        <v>2.897141</v>
      </c>
      <c r="AG148" s="64">
        <v>2.9720059999999999</v>
      </c>
      <c r="AH148" s="64">
        <v>3.0439240000000001</v>
      </c>
      <c r="AI148" s="64">
        <v>3.1143689999999999</v>
      </c>
      <c r="AJ148" s="64">
        <v>3.1872630000000002</v>
      </c>
      <c r="AK148" s="62">
        <v>1.5328E-2</v>
      </c>
    </row>
    <row r="149" spans="1:37" ht="15" customHeight="1" x14ac:dyDescent="0.2">
      <c r="A149" s="57" t="s">
        <v>1039</v>
      </c>
      <c r="B149" s="60" t="s">
        <v>905</v>
      </c>
      <c r="C149" s="64">
        <v>1.312209</v>
      </c>
      <c r="D149" s="64">
        <v>1.2796989999999999</v>
      </c>
      <c r="E149" s="64">
        <v>1.263997</v>
      </c>
      <c r="F149" s="64">
        <v>1.2495210000000001</v>
      </c>
      <c r="G149" s="64">
        <v>1.231627</v>
      </c>
      <c r="H149" s="64">
        <v>1.221087</v>
      </c>
      <c r="I149" s="64">
        <v>1.213473</v>
      </c>
      <c r="J149" s="64">
        <v>1.2132559999999999</v>
      </c>
      <c r="K149" s="64">
        <v>1.214426</v>
      </c>
      <c r="L149" s="64">
        <v>1.2221040000000001</v>
      </c>
      <c r="M149" s="64">
        <v>1.228478</v>
      </c>
      <c r="N149" s="64">
        <v>1.2296279999999999</v>
      </c>
      <c r="O149" s="64">
        <v>1.245182</v>
      </c>
      <c r="P149" s="64">
        <v>1.2447569999999999</v>
      </c>
      <c r="Q149" s="64">
        <v>1.2683629999999999</v>
      </c>
      <c r="R149" s="64">
        <v>1.2759400000000001</v>
      </c>
      <c r="S149" s="64">
        <v>1.280154</v>
      </c>
      <c r="T149" s="64">
        <v>1.2990930000000001</v>
      </c>
      <c r="U149" s="64">
        <v>1.3173429999999999</v>
      </c>
      <c r="V149" s="64">
        <v>1.3384990000000001</v>
      </c>
      <c r="W149" s="64">
        <v>1.3559600000000001</v>
      </c>
      <c r="X149" s="64">
        <v>1.3864300000000001</v>
      </c>
      <c r="Y149" s="64">
        <v>1.4040729999999999</v>
      </c>
      <c r="Z149" s="64">
        <v>1.4277820000000001</v>
      </c>
      <c r="AA149" s="64">
        <v>1.4500690000000001</v>
      </c>
      <c r="AB149" s="64">
        <v>1.4804349999999999</v>
      </c>
      <c r="AC149" s="64">
        <v>1.5186820000000001</v>
      </c>
      <c r="AD149" s="64">
        <v>1.553091</v>
      </c>
      <c r="AE149" s="64">
        <v>1.5860190000000001</v>
      </c>
      <c r="AF149" s="64">
        <v>1.6194</v>
      </c>
      <c r="AG149" s="64">
        <v>1.653179</v>
      </c>
      <c r="AH149" s="64">
        <v>1.6897420000000001</v>
      </c>
      <c r="AI149" s="64">
        <v>1.7163649999999999</v>
      </c>
      <c r="AJ149" s="64">
        <v>1.748502</v>
      </c>
      <c r="AK149" s="62">
        <v>9.8019999999999999E-3</v>
      </c>
    </row>
    <row r="150" spans="1:37" ht="15" customHeight="1" x14ac:dyDescent="0.2">
      <c r="A150" s="57" t="s">
        <v>1040</v>
      </c>
      <c r="B150" s="60" t="s">
        <v>907</v>
      </c>
      <c r="C150" s="64">
        <v>3.5339999999999998E-3</v>
      </c>
      <c r="D150" s="64">
        <v>3.4350000000000001E-3</v>
      </c>
      <c r="E150" s="64">
        <v>3.3679999999999999E-3</v>
      </c>
      <c r="F150" s="64">
        <v>3.3649999999999999E-3</v>
      </c>
      <c r="G150" s="64">
        <v>3.4420000000000002E-3</v>
      </c>
      <c r="H150" s="64">
        <v>3.5479999999999999E-3</v>
      </c>
      <c r="I150" s="64">
        <v>3.6740000000000002E-3</v>
      </c>
      <c r="J150" s="64">
        <v>3.8110000000000002E-3</v>
      </c>
      <c r="K150" s="64">
        <v>3.993E-3</v>
      </c>
      <c r="L150" s="64">
        <v>4.169E-3</v>
      </c>
      <c r="M150" s="64">
        <v>4.4010000000000004E-3</v>
      </c>
      <c r="N150" s="64">
        <v>4.5139999999999998E-3</v>
      </c>
      <c r="O150" s="64">
        <v>4.7159999999999997E-3</v>
      </c>
      <c r="P150" s="64">
        <v>4.8690000000000001E-3</v>
      </c>
      <c r="Q150" s="64">
        <v>5.0220000000000004E-3</v>
      </c>
      <c r="R150" s="64">
        <v>5.3150000000000003E-3</v>
      </c>
      <c r="S150" s="64">
        <v>5.5079999999999999E-3</v>
      </c>
      <c r="T150" s="64">
        <v>5.6470000000000001E-3</v>
      </c>
      <c r="U150" s="64">
        <v>5.8900000000000003E-3</v>
      </c>
      <c r="V150" s="64">
        <v>6.1549999999999999E-3</v>
      </c>
      <c r="W150" s="64">
        <v>6.4419999999999998E-3</v>
      </c>
      <c r="X150" s="64">
        <v>6.7520000000000002E-3</v>
      </c>
      <c r="Y150" s="64">
        <v>7.084E-3</v>
      </c>
      <c r="Z150" s="64">
        <v>7.4359999999999999E-3</v>
      </c>
      <c r="AA150" s="64">
        <v>7.809E-3</v>
      </c>
      <c r="AB150" s="64">
        <v>8.2059999999999998E-3</v>
      </c>
      <c r="AC150" s="64">
        <v>8.6289999999999995E-3</v>
      </c>
      <c r="AD150" s="64">
        <v>9.0760000000000007E-3</v>
      </c>
      <c r="AE150" s="64">
        <v>9.5490000000000002E-3</v>
      </c>
      <c r="AF150" s="64">
        <v>1.0045999999999999E-2</v>
      </c>
      <c r="AG150" s="64">
        <v>1.0859000000000001E-2</v>
      </c>
      <c r="AH150" s="64">
        <v>1.1072E-2</v>
      </c>
      <c r="AI150" s="64">
        <v>1.1589E-2</v>
      </c>
      <c r="AJ150" s="64">
        <v>1.2186000000000001E-2</v>
      </c>
      <c r="AK150" s="62">
        <v>4.0365999999999999E-2</v>
      </c>
    </row>
    <row r="151" spans="1:37" ht="15" customHeight="1" x14ac:dyDescent="0.2">
      <c r="A151" s="57" t="s">
        <v>1041</v>
      </c>
      <c r="B151" s="60" t="s">
        <v>909</v>
      </c>
      <c r="C151" s="64">
        <v>1.807E-3</v>
      </c>
      <c r="D151" s="64">
        <v>2.2520000000000001E-3</v>
      </c>
      <c r="E151" s="64">
        <v>2.7390000000000001E-3</v>
      </c>
      <c r="F151" s="64">
        <v>3.1979999999999999E-3</v>
      </c>
      <c r="G151" s="64">
        <v>3.6410000000000001E-3</v>
      </c>
      <c r="H151" s="64">
        <v>4.1279999999999997E-3</v>
      </c>
      <c r="I151" s="64">
        <v>4.6109999999999996E-3</v>
      </c>
      <c r="J151" s="64">
        <v>5.0819999999999997E-3</v>
      </c>
      <c r="K151" s="64">
        <v>5.5510000000000004E-3</v>
      </c>
      <c r="L151" s="64">
        <v>6.0219999999999996E-3</v>
      </c>
      <c r="M151" s="64">
        <v>6.4929999999999996E-3</v>
      </c>
      <c r="N151" s="64">
        <v>6.9610000000000002E-3</v>
      </c>
      <c r="O151" s="64">
        <v>7.4400000000000004E-3</v>
      </c>
      <c r="P151" s="64">
        <v>7.9139999999999992E-3</v>
      </c>
      <c r="Q151" s="64">
        <v>8.4010000000000005E-3</v>
      </c>
      <c r="R151" s="64">
        <v>8.914E-3</v>
      </c>
      <c r="S151" s="64">
        <v>9.4129999999999995E-3</v>
      </c>
      <c r="T151" s="64">
        <v>9.953E-3</v>
      </c>
      <c r="U151" s="64">
        <v>1.0468999999999999E-2</v>
      </c>
      <c r="V151" s="64">
        <v>1.1004999999999999E-2</v>
      </c>
      <c r="W151" s="64">
        <v>1.1524E-2</v>
      </c>
      <c r="X151" s="64">
        <v>1.2109999999999999E-2</v>
      </c>
      <c r="Y151" s="64">
        <v>1.2781000000000001E-2</v>
      </c>
      <c r="Z151" s="64">
        <v>1.3365E-2</v>
      </c>
      <c r="AA151" s="64">
        <v>1.4144E-2</v>
      </c>
      <c r="AB151" s="64">
        <v>1.4803999999999999E-2</v>
      </c>
      <c r="AC151" s="64">
        <v>1.5441E-2</v>
      </c>
      <c r="AD151" s="64">
        <v>1.6226999999999998E-2</v>
      </c>
      <c r="AE151" s="64">
        <v>1.7111999999999999E-2</v>
      </c>
      <c r="AF151" s="64">
        <v>1.7991E-2</v>
      </c>
      <c r="AG151" s="64">
        <v>1.8866999999999998E-2</v>
      </c>
      <c r="AH151" s="64">
        <v>1.9778E-2</v>
      </c>
      <c r="AI151" s="64">
        <v>2.0764000000000001E-2</v>
      </c>
      <c r="AJ151" s="64">
        <v>2.1919000000000001E-2</v>
      </c>
      <c r="AK151" s="62">
        <v>7.3695999999999998E-2</v>
      </c>
    </row>
    <row r="152" spans="1:37" ht="15" customHeight="1" x14ac:dyDescent="0.2">
      <c r="A152" s="57" t="s">
        <v>1042</v>
      </c>
      <c r="B152" s="60" t="s">
        <v>911</v>
      </c>
      <c r="C152" s="64">
        <v>2.0632999999999999E-2</v>
      </c>
      <c r="D152" s="64">
        <v>2.4549999999999999E-2</v>
      </c>
      <c r="E152" s="64">
        <v>2.8778000000000001E-2</v>
      </c>
      <c r="F152" s="64">
        <v>3.2744000000000002E-2</v>
      </c>
      <c r="G152" s="64">
        <v>3.6528999999999999E-2</v>
      </c>
      <c r="H152" s="64">
        <v>4.0639000000000002E-2</v>
      </c>
      <c r="I152" s="64">
        <v>4.4692000000000003E-2</v>
      </c>
      <c r="J152" s="64">
        <v>4.8614999999999998E-2</v>
      </c>
      <c r="K152" s="64">
        <v>5.253E-2</v>
      </c>
      <c r="L152" s="64">
        <v>5.6461999999999998E-2</v>
      </c>
      <c r="M152" s="64">
        <v>6.0427000000000002E-2</v>
      </c>
      <c r="N152" s="64">
        <v>6.4405000000000004E-2</v>
      </c>
      <c r="O152" s="64">
        <v>6.8462999999999996E-2</v>
      </c>
      <c r="P152" s="64">
        <v>7.2690000000000005E-2</v>
      </c>
      <c r="Q152" s="64">
        <v>7.7095999999999998E-2</v>
      </c>
      <c r="R152" s="64">
        <v>8.1682000000000005E-2</v>
      </c>
      <c r="S152" s="64">
        <v>8.6486999999999994E-2</v>
      </c>
      <c r="T152" s="64">
        <v>9.1560000000000002E-2</v>
      </c>
      <c r="U152" s="64">
        <v>9.6827999999999997E-2</v>
      </c>
      <c r="V152" s="64">
        <v>0.10227899999999999</v>
      </c>
      <c r="W152" s="64">
        <v>0.108011</v>
      </c>
      <c r="X152" s="64">
        <v>0.114078</v>
      </c>
      <c r="Y152" s="64">
        <v>0.121225</v>
      </c>
      <c r="Z152" s="64">
        <v>0.126972</v>
      </c>
      <c r="AA152" s="64">
        <v>0.13395699999999999</v>
      </c>
      <c r="AB152" s="64">
        <v>0.1416</v>
      </c>
      <c r="AC152" s="64">
        <v>0.14948400000000001</v>
      </c>
      <c r="AD152" s="64">
        <v>0.15804199999999999</v>
      </c>
      <c r="AE152" s="64">
        <v>0.166797</v>
      </c>
      <c r="AF152" s="64">
        <v>0.176319</v>
      </c>
      <c r="AG152" s="64">
        <v>0.185227</v>
      </c>
      <c r="AH152" s="64">
        <v>0.194993</v>
      </c>
      <c r="AI152" s="64">
        <v>0.20551900000000001</v>
      </c>
      <c r="AJ152" s="64">
        <v>0.21621099999999999</v>
      </c>
      <c r="AK152" s="62">
        <v>7.0349999999999996E-2</v>
      </c>
    </row>
    <row r="153" spans="1:37" ht="15" customHeight="1" x14ac:dyDescent="0.2">
      <c r="A153" s="57" t="s">
        <v>1043</v>
      </c>
      <c r="B153" s="60" t="s">
        <v>913</v>
      </c>
      <c r="C153" s="64">
        <v>3.9999999999999998E-6</v>
      </c>
      <c r="D153" s="64">
        <v>1.108E-3</v>
      </c>
      <c r="E153" s="64">
        <v>2.3519999999999999E-3</v>
      </c>
      <c r="F153" s="64">
        <v>3.5750000000000001E-3</v>
      </c>
      <c r="G153" s="64">
        <v>4.7999999999999996E-3</v>
      </c>
      <c r="H153" s="64">
        <v>6.1809999999999999E-3</v>
      </c>
      <c r="I153" s="64">
        <v>7.6020000000000003E-3</v>
      </c>
      <c r="J153" s="64">
        <v>9.0349999999999996E-3</v>
      </c>
      <c r="K153" s="64">
        <v>1.0512000000000001E-2</v>
      </c>
      <c r="L153" s="64">
        <v>1.2041E-2</v>
      </c>
      <c r="M153" s="64">
        <v>1.3618E-2</v>
      </c>
      <c r="N153" s="64">
        <v>1.5233E-2</v>
      </c>
      <c r="O153" s="64">
        <v>1.6899999999999998E-2</v>
      </c>
      <c r="P153" s="64">
        <v>1.8641000000000001E-2</v>
      </c>
      <c r="Q153" s="64">
        <v>2.0456999999999999E-2</v>
      </c>
      <c r="R153" s="64">
        <v>2.2346999999999999E-2</v>
      </c>
      <c r="S153" s="64">
        <v>2.4323000000000001E-2</v>
      </c>
      <c r="T153" s="64">
        <v>2.6402999999999999E-2</v>
      </c>
      <c r="U153" s="64">
        <v>2.8556999999999999E-2</v>
      </c>
      <c r="V153" s="64">
        <v>3.0779999999999998E-2</v>
      </c>
      <c r="W153" s="64">
        <v>3.3105999999999997E-2</v>
      </c>
      <c r="X153" s="64">
        <v>3.5552E-2</v>
      </c>
      <c r="Y153" s="64">
        <v>3.8115999999999997E-2</v>
      </c>
      <c r="Z153" s="64">
        <v>4.0793999999999997E-2</v>
      </c>
      <c r="AA153" s="64">
        <v>4.3597999999999998E-2</v>
      </c>
      <c r="AB153" s="64">
        <v>4.6542E-2</v>
      </c>
      <c r="AC153" s="64">
        <v>4.9641999999999999E-2</v>
      </c>
      <c r="AD153" s="64">
        <v>5.2893000000000003E-2</v>
      </c>
      <c r="AE153" s="64">
        <v>5.6306000000000002E-2</v>
      </c>
      <c r="AF153" s="64">
        <v>5.9858000000000001E-2</v>
      </c>
      <c r="AG153" s="64">
        <v>6.3568E-2</v>
      </c>
      <c r="AH153" s="64">
        <v>6.7423999999999998E-2</v>
      </c>
      <c r="AI153" s="64">
        <v>7.1439000000000002E-2</v>
      </c>
      <c r="AJ153" s="64">
        <v>7.5941999999999996E-2</v>
      </c>
      <c r="AK153" s="62">
        <v>0.14121500000000001</v>
      </c>
    </row>
    <row r="154" spans="1:37" ht="15" customHeight="1" x14ac:dyDescent="0.2">
      <c r="A154" s="57" t="s">
        <v>1044</v>
      </c>
      <c r="B154" s="60" t="s">
        <v>915</v>
      </c>
      <c r="C154" s="64">
        <v>0</v>
      </c>
      <c r="D154" s="64">
        <v>4.6700000000000002E-4</v>
      </c>
      <c r="E154" s="64">
        <v>9.9200000000000004E-4</v>
      </c>
      <c r="F154" s="64">
        <v>1.5089999999999999E-3</v>
      </c>
      <c r="G154" s="64">
        <v>2.026E-3</v>
      </c>
      <c r="H154" s="64">
        <v>2.6099999999999999E-3</v>
      </c>
      <c r="I154" s="64">
        <v>3.2100000000000002E-3</v>
      </c>
      <c r="J154" s="64">
        <v>3.8159999999999999E-3</v>
      </c>
      <c r="K154" s="64">
        <v>4.4400000000000004E-3</v>
      </c>
      <c r="L154" s="64">
        <v>5.0860000000000002E-3</v>
      </c>
      <c r="M154" s="64">
        <v>5.7530000000000003E-3</v>
      </c>
      <c r="N154" s="64">
        <v>6.4349999999999997E-3</v>
      </c>
      <c r="O154" s="64">
        <v>7.1399999999999996E-3</v>
      </c>
      <c r="P154" s="64">
        <v>7.8750000000000001E-3</v>
      </c>
      <c r="Q154" s="64">
        <v>8.6420000000000004E-3</v>
      </c>
      <c r="R154" s="64">
        <v>9.4409999999999997E-3</v>
      </c>
      <c r="S154" s="64">
        <v>1.0276E-2</v>
      </c>
      <c r="T154" s="64">
        <v>1.1155E-2</v>
      </c>
      <c r="U154" s="64">
        <v>1.2064999999999999E-2</v>
      </c>
      <c r="V154" s="64">
        <v>1.3004999999999999E-2</v>
      </c>
      <c r="W154" s="64">
        <v>1.3986999999999999E-2</v>
      </c>
      <c r="X154" s="64">
        <v>1.5021E-2</v>
      </c>
      <c r="Y154" s="64">
        <v>1.6104E-2</v>
      </c>
      <c r="Z154" s="64">
        <v>1.7236000000000001E-2</v>
      </c>
      <c r="AA154" s="64">
        <v>1.8421E-2</v>
      </c>
      <c r="AB154" s="64">
        <v>1.9664999999999998E-2</v>
      </c>
      <c r="AC154" s="64">
        <v>2.0975000000000001E-2</v>
      </c>
      <c r="AD154" s="64">
        <v>2.2349000000000001E-2</v>
      </c>
      <c r="AE154" s="64">
        <v>2.3791E-2</v>
      </c>
      <c r="AF154" s="64">
        <v>2.5291999999999999E-2</v>
      </c>
      <c r="AG154" s="64">
        <v>2.6859000000000001E-2</v>
      </c>
      <c r="AH154" s="64">
        <v>2.8489E-2</v>
      </c>
      <c r="AI154" s="64">
        <v>3.0185E-2</v>
      </c>
      <c r="AJ154" s="64">
        <v>3.2087999999999998E-2</v>
      </c>
      <c r="AK154" s="62">
        <v>0.141344</v>
      </c>
    </row>
    <row r="155" spans="1:37" ht="15" customHeight="1" x14ac:dyDescent="0.2">
      <c r="A155" s="57" t="s">
        <v>1045</v>
      </c>
      <c r="B155" s="60" t="s">
        <v>917</v>
      </c>
      <c r="C155" s="64">
        <v>0</v>
      </c>
      <c r="D155" s="64">
        <v>3.8499999999999998E-4</v>
      </c>
      <c r="E155" s="64">
        <v>8.1800000000000004E-4</v>
      </c>
      <c r="F155" s="64">
        <v>1.2440000000000001E-3</v>
      </c>
      <c r="G155" s="64">
        <v>1.671E-3</v>
      </c>
      <c r="H155" s="64">
        <v>2.153E-3</v>
      </c>
      <c r="I155" s="64">
        <v>2.6480000000000002E-3</v>
      </c>
      <c r="J155" s="64">
        <v>3.1470000000000001E-3</v>
      </c>
      <c r="K155" s="64">
        <v>3.6619999999999999E-3</v>
      </c>
      <c r="L155" s="64">
        <v>4.1949999999999999E-3</v>
      </c>
      <c r="M155" s="64">
        <v>4.744E-3</v>
      </c>
      <c r="N155" s="64">
        <v>5.3070000000000001E-3</v>
      </c>
      <c r="O155" s="64">
        <v>5.888E-3</v>
      </c>
      <c r="P155" s="64">
        <v>6.4939999999999998E-3</v>
      </c>
      <c r="Q155" s="64">
        <v>7.1269999999999997E-3</v>
      </c>
      <c r="R155" s="64">
        <v>7.7860000000000004E-3</v>
      </c>
      <c r="S155" s="64">
        <v>8.4749999999999999E-3</v>
      </c>
      <c r="T155" s="64">
        <v>9.1990000000000006E-3</v>
      </c>
      <c r="U155" s="64">
        <v>9.9500000000000005E-3</v>
      </c>
      <c r="V155" s="64">
        <v>1.0725E-2</v>
      </c>
      <c r="W155" s="64">
        <v>1.1535E-2</v>
      </c>
      <c r="X155" s="64">
        <v>1.2388E-2</v>
      </c>
      <c r="Y155" s="64">
        <v>1.3280999999999999E-2</v>
      </c>
      <c r="Z155" s="64">
        <v>1.4215E-2</v>
      </c>
      <c r="AA155" s="64">
        <v>1.5192000000000001E-2</v>
      </c>
      <c r="AB155" s="64">
        <v>1.6218E-2</v>
      </c>
      <c r="AC155" s="64">
        <v>1.7298000000000001E-2</v>
      </c>
      <c r="AD155" s="64">
        <v>1.8430999999999999E-2</v>
      </c>
      <c r="AE155" s="64">
        <v>1.9619999999999999E-2</v>
      </c>
      <c r="AF155" s="64">
        <v>2.0858000000000002E-2</v>
      </c>
      <c r="AG155" s="64">
        <v>2.215E-2</v>
      </c>
      <c r="AH155" s="64">
        <v>2.3494000000000001E-2</v>
      </c>
      <c r="AI155" s="64">
        <v>2.4893999999999999E-2</v>
      </c>
      <c r="AJ155" s="64">
        <v>2.6463E-2</v>
      </c>
      <c r="AK155" s="62">
        <v>0.141344</v>
      </c>
    </row>
    <row r="156" spans="1:37" ht="15" customHeight="1" x14ac:dyDescent="0.2">
      <c r="A156" s="57" t="s">
        <v>1046</v>
      </c>
      <c r="B156" s="60" t="s">
        <v>919</v>
      </c>
      <c r="C156" s="64">
        <v>0</v>
      </c>
      <c r="D156" s="64">
        <v>6.6100000000000002E-4</v>
      </c>
      <c r="E156" s="64">
        <v>1.405E-3</v>
      </c>
      <c r="F156" s="64">
        <v>2.1359999999999999E-3</v>
      </c>
      <c r="G156" s="64">
        <v>2.869E-3</v>
      </c>
      <c r="H156" s="64">
        <v>3.6960000000000001E-3</v>
      </c>
      <c r="I156" s="64">
        <v>4.5459999999999997E-3</v>
      </c>
      <c r="J156" s="64">
        <v>5.4029999999999998E-3</v>
      </c>
      <c r="K156" s="64">
        <v>6.2870000000000001E-3</v>
      </c>
      <c r="L156" s="64">
        <v>7.2020000000000001E-3</v>
      </c>
      <c r="M156" s="64">
        <v>8.1460000000000005E-3</v>
      </c>
      <c r="N156" s="64">
        <v>9.1120000000000003E-3</v>
      </c>
      <c r="O156" s="64">
        <v>1.0109999999999999E-2</v>
      </c>
      <c r="P156" s="64">
        <v>1.1150999999999999E-2</v>
      </c>
      <c r="Q156" s="64">
        <v>1.2238000000000001E-2</v>
      </c>
      <c r="R156" s="64">
        <v>1.3369000000000001E-2</v>
      </c>
      <c r="S156" s="64">
        <v>1.4552000000000001E-2</v>
      </c>
      <c r="T156" s="64">
        <v>1.5796000000000001E-2</v>
      </c>
      <c r="U156" s="64">
        <v>1.7084999999999999E-2</v>
      </c>
      <c r="V156" s="64">
        <v>1.8415000000000001E-2</v>
      </c>
      <c r="W156" s="64">
        <v>1.9807000000000002E-2</v>
      </c>
      <c r="X156" s="64">
        <v>2.1271000000000002E-2</v>
      </c>
      <c r="Y156" s="64">
        <v>2.2804999999999999E-2</v>
      </c>
      <c r="Z156" s="64">
        <v>2.4407000000000002E-2</v>
      </c>
      <c r="AA156" s="64">
        <v>2.6085000000000001E-2</v>
      </c>
      <c r="AB156" s="64">
        <v>2.7845999999999999E-2</v>
      </c>
      <c r="AC156" s="64">
        <v>2.9701000000000002E-2</v>
      </c>
      <c r="AD156" s="64">
        <v>3.1647000000000002E-2</v>
      </c>
      <c r="AE156" s="64">
        <v>3.3688000000000003E-2</v>
      </c>
      <c r="AF156" s="64">
        <v>3.5813999999999999E-2</v>
      </c>
      <c r="AG156" s="64">
        <v>3.8032999999999997E-2</v>
      </c>
      <c r="AH156" s="64">
        <v>4.0341000000000002E-2</v>
      </c>
      <c r="AI156" s="64">
        <v>4.2743999999999997E-2</v>
      </c>
      <c r="AJ156" s="64">
        <v>4.5437999999999999E-2</v>
      </c>
      <c r="AK156" s="62">
        <v>0.141344</v>
      </c>
    </row>
    <row r="157" spans="1:37" ht="15" customHeight="1" x14ac:dyDescent="0.2">
      <c r="A157" s="57" t="s">
        <v>1047</v>
      </c>
      <c r="B157" s="60" t="s">
        <v>933</v>
      </c>
      <c r="C157" s="64">
        <v>3.29026</v>
      </c>
      <c r="D157" s="64">
        <v>3.2714449999999999</v>
      </c>
      <c r="E157" s="64">
        <v>3.2830979999999998</v>
      </c>
      <c r="F157" s="64">
        <v>3.2944529999999999</v>
      </c>
      <c r="G157" s="64">
        <v>3.295598</v>
      </c>
      <c r="H157" s="64">
        <v>3.3129689999999998</v>
      </c>
      <c r="I157" s="64">
        <v>3.3313429999999999</v>
      </c>
      <c r="J157" s="64">
        <v>3.3568470000000001</v>
      </c>
      <c r="K157" s="64">
        <v>3.3892310000000001</v>
      </c>
      <c r="L157" s="64">
        <v>3.4265509999999999</v>
      </c>
      <c r="M157" s="64">
        <v>3.4709310000000002</v>
      </c>
      <c r="N157" s="64">
        <v>3.4947569999999999</v>
      </c>
      <c r="O157" s="64">
        <v>3.545245</v>
      </c>
      <c r="P157" s="64">
        <v>3.5728089999999999</v>
      </c>
      <c r="Q157" s="64">
        <v>3.64418</v>
      </c>
      <c r="R157" s="64">
        <v>3.6871079999999998</v>
      </c>
      <c r="S157" s="64">
        <v>3.720291</v>
      </c>
      <c r="T157" s="64">
        <v>3.7763870000000002</v>
      </c>
      <c r="U157" s="64">
        <v>3.8420619999999999</v>
      </c>
      <c r="V157" s="64">
        <v>3.9147799999999999</v>
      </c>
      <c r="W157" s="64">
        <v>3.98651</v>
      </c>
      <c r="X157" s="64">
        <v>4.0720239999999999</v>
      </c>
      <c r="Y157" s="64">
        <v>4.1451630000000002</v>
      </c>
      <c r="Z157" s="64">
        <v>4.21861</v>
      </c>
      <c r="AA157" s="64">
        <v>4.2878280000000002</v>
      </c>
      <c r="AB157" s="64">
        <v>4.3855050000000002</v>
      </c>
      <c r="AC157" s="64">
        <v>4.5056419999999999</v>
      </c>
      <c r="AD157" s="64">
        <v>4.6270230000000003</v>
      </c>
      <c r="AE157" s="64">
        <v>4.7403469999999999</v>
      </c>
      <c r="AF157" s="64">
        <v>4.8627200000000004</v>
      </c>
      <c r="AG157" s="64">
        <v>4.9907459999999997</v>
      </c>
      <c r="AH157" s="64">
        <v>5.1192539999999997</v>
      </c>
      <c r="AI157" s="64">
        <v>5.2378640000000001</v>
      </c>
      <c r="AJ157" s="64">
        <v>5.3660129999999997</v>
      </c>
      <c r="AK157" s="62">
        <v>1.5584000000000001E-2</v>
      </c>
    </row>
    <row r="158" spans="1:37" ht="15" customHeight="1" x14ac:dyDescent="0.2">
      <c r="B158" s="59" t="s">
        <v>934</v>
      </c>
    </row>
    <row r="159" spans="1:37" ht="15" customHeight="1" x14ac:dyDescent="0.2">
      <c r="A159" s="57" t="s">
        <v>1048</v>
      </c>
      <c r="B159" s="60" t="s">
        <v>903</v>
      </c>
      <c r="C159" s="64">
        <v>5.122045</v>
      </c>
      <c r="D159" s="64">
        <v>5.1238849999999996</v>
      </c>
      <c r="E159" s="64">
        <v>5.1538120000000003</v>
      </c>
      <c r="F159" s="64">
        <v>5.1559749999999998</v>
      </c>
      <c r="G159" s="64">
        <v>5.1458560000000002</v>
      </c>
      <c r="H159" s="64">
        <v>5.1551039999999997</v>
      </c>
      <c r="I159" s="64">
        <v>5.150773</v>
      </c>
      <c r="J159" s="64">
        <v>5.1470630000000002</v>
      </c>
      <c r="K159" s="64">
        <v>5.1551770000000001</v>
      </c>
      <c r="L159" s="64">
        <v>5.1652149999999999</v>
      </c>
      <c r="M159" s="64">
        <v>5.1781620000000004</v>
      </c>
      <c r="N159" s="64">
        <v>5.1574859999999996</v>
      </c>
      <c r="O159" s="64">
        <v>5.1477940000000002</v>
      </c>
      <c r="P159" s="64">
        <v>5.1495119999999996</v>
      </c>
      <c r="Q159" s="64">
        <v>5.1543460000000003</v>
      </c>
      <c r="R159" s="64">
        <v>5.1578210000000002</v>
      </c>
      <c r="S159" s="64">
        <v>5.1256729999999999</v>
      </c>
      <c r="T159" s="64">
        <v>5.1085659999999997</v>
      </c>
      <c r="U159" s="64">
        <v>5.1171499999999996</v>
      </c>
      <c r="V159" s="64">
        <v>5.1183040000000002</v>
      </c>
      <c r="W159" s="64">
        <v>5.1345080000000003</v>
      </c>
      <c r="X159" s="64">
        <v>5.1312540000000002</v>
      </c>
      <c r="Y159" s="64">
        <v>5.1405099999999999</v>
      </c>
      <c r="Z159" s="64">
        <v>5.0776779999999997</v>
      </c>
      <c r="AA159" s="64">
        <v>5.0767350000000002</v>
      </c>
      <c r="AB159" s="64">
        <v>5.0711979999999999</v>
      </c>
      <c r="AC159" s="64">
        <v>5.0860630000000002</v>
      </c>
      <c r="AD159" s="64">
        <v>5.1128369999999999</v>
      </c>
      <c r="AE159" s="64">
        <v>5.123977</v>
      </c>
      <c r="AF159" s="64">
        <v>5.1297170000000003</v>
      </c>
      <c r="AG159" s="64">
        <v>5.1446630000000004</v>
      </c>
      <c r="AH159" s="64">
        <v>5.1514790000000001</v>
      </c>
      <c r="AI159" s="64">
        <v>5.1329419999999999</v>
      </c>
      <c r="AJ159" s="64">
        <v>5.127694</v>
      </c>
      <c r="AK159" s="62">
        <v>2.3E-5</v>
      </c>
    </row>
    <row r="160" spans="1:37" ht="15" customHeight="1" x14ac:dyDescent="0.2">
      <c r="A160" s="57" t="s">
        <v>1049</v>
      </c>
      <c r="B160" s="60" t="s">
        <v>905</v>
      </c>
      <c r="C160" s="64">
        <v>6.1728999999999999E-2</v>
      </c>
      <c r="D160" s="64">
        <v>5.3967000000000001E-2</v>
      </c>
      <c r="E160" s="64">
        <v>4.7056000000000001E-2</v>
      </c>
      <c r="F160" s="64">
        <v>4.0717000000000003E-2</v>
      </c>
      <c r="G160" s="64">
        <v>3.5407000000000001E-2</v>
      </c>
      <c r="H160" s="64">
        <v>3.1396E-2</v>
      </c>
      <c r="I160" s="64">
        <v>2.7414000000000001E-2</v>
      </c>
      <c r="J160" s="64">
        <v>2.3458E-2</v>
      </c>
      <c r="K160" s="64">
        <v>2.0635000000000001E-2</v>
      </c>
      <c r="L160" s="64">
        <v>1.8578000000000001E-2</v>
      </c>
      <c r="M160" s="64">
        <v>1.7042000000000002E-2</v>
      </c>
      <c r="N160" s="64">
        <v>1.5249E-2</v>
      </c>
      <c r="O160" s="64">
        <v>1.4215999999999999E-2</v>
      </c>
      <c r="P160" s="64">
        <v>1.2872E-2</v>
      </c>
      <c r="Q160" s="64">
        <v>1.1771E-2</v>
      </c>
      <c r="R160" s="64">
        <v>1.0970000000000001E-2</v>
      </c>
      <c r="S160" s="64">
        <v>1.0212000000000001E-2</v>
      </c>
      <c r="T160" s="64">
        <v>9.9319999999999999E-3</v>
      </c>
      <c r="U160" s="64">
        <v>9.325E-3</v>
      </c>
      <c r="V160" s="64">
        <v>9.0930000000000004E-3</v>
      </c>
      <c r="W160" s="64">
        <v>9.0259999999999993E-3</v>
      </c>
      <c r="X160" s="64">
        <v>8.9440000000000006E-3</v>
      </c>
      <c r="Y160" s="64">
        <v>8.6569999999999998E-3</v>
      </c>
      <c r="Z160" s="64">
        <v>8.6770000000000007E-3</v>
      </c>
      <c r="AA160" s="64">
        <v>8.4360000000000008E-3</v>
      </c>
      <c r="AB160" s="64">
        <v>8.0809999999999996E-3</v>
      </c>
      <c r="AC160" s="64">
        <v>8.0409999999999995E-3</v>
      </c>
      <c r="AD160" s="64">
        <v>8.0579999999999992E-3</v>
      </c>
      <c r="AE160" s="64">
        <v>8.0940000000000005E-3</v>
      </c>
      <c r="AF160" s="64">
        <v>8.1119999999999994E-3</v>
      </c>
      <c r="AG160" s="64">
        <v>8.2100000000000003E-3</v>
      </c>
      <c r="AH160" s="64">
        <v>8.2480000000000001E-3</v>
      </c>
      <c r="AI160" s="64">
        <v>8.3619999999999996E-3</v>
      </c>
      <c r="AJ160" s="64">
        <v>8.3470000000000003E-3</v>
      </c>
      <c r="AK160" s="62">
        <v>-5.6660000000000002E-2</v>
      </c>
    </row>
    <row r="161" spans="1:37" ht="15" customHeight="1" x14ac:dyDescent="0.2">
      <c r="A161" s="57" t="s">
        <v>1050</v>
      </c>
      <c r="B161" s="60" t="s">
        <v>907</v>
      </c>
      <c r="C161" s="64">
        <v>3.7629999999999999E-3</v>
      </c>
      <c r="D161" s="64">
        <v>3.8630000000000001E-3</v>
      </c>
      <c r="E161" s="64">
        <v>3.9269999999999999E-3</v>
      </c>
      <c r="F161" s="64">
        <v>4.0309999999999999E-3</v>
      </c>
      <c r="G161" s="64">
        <v>4.071E-3</v>
      </c>
      <c r="H161" s="64">
        <v>4.0920000000000002E-3</v>
      </c>
      <c r="I161" s="64">
        <v>4.1240000000000001E-3</v>
      </c>
      <c r="J161" s="64">
        <v>4.0810000000000004E-3</v>
      </c>
      <c r="K161" s="64">
        <v>4.2209999999999999E-3</v>
      </c>
      <c r="L161" s="64">
        <v>4.3439999999999998E-3</v>
      </c>
      <c r="M161" s="64">
        <v>4.5269999999999998E-3</v>
      </c>
      <c r="N161" s="64">
        <v>4.4260000000000002E-3</v>
      </c>
      <c r="O161" s="64">
        <v>4.4799999999999996E-3</v>
      </c>
      <c r="P161" s="64">
        <v>4.555E-3</v>
      </c>
      <c r="Q161" s="64">
        <v>4.4330000000000003E-3</v>
      </c>
      <c r="R161" s="64">
        <v>4.4949999999999999E-3</v>
      </c>
      <c r="S161" s="64">
        <v>4.5760000000000002E-3</v>
      </c>
      <c r="T161" s="64">
        <v>4.6699999999999997E-3</v>
      </c>
      <c r="U161" s="64">
        <v>4.7670000000000004E-3</v>
      </c>
      <c r="V161" s="64">
        <v>4.8589999999999996E-3</v>
      </c>
      <c r="W161" s="64">
        <v>4.9519999999999998E-3</v>
      </c>
      <c r="X161" s="64">
        <v>5.0439999999999999E-3</v>
      </c>
      <c r="Y161" s="64">
        <v>5.1330000000000004E-3</v>
      </c>
      <c r="Z161" s="64">
        <v>5.2170000000000003E-3</v>
      </c>
      <c r="AA161" s="64">
        <v>5.2979999999999998E-3</v>
      </c>
      <c r="AB161" s="64">
        <v>5.3759999999999997E-3</v>
      </c>
      <c r="AC161" s="64">
        <v>5.4510000000000001E-3</v>
      </c>
      <c r="AD161" s="64">
        <v>5.522E-3</v>
      </c>
      <c r="AE161" s="64">
        <v>5.5900000000000004E-3</v>
      </c>
      <c r="AF161" s="64">
        <v>5.6610000000000002E-3</v>
      </c>
      <c r="AG161" s="64">
        <v>5.7730000000000004E-3</v>
      </c>
      <c r="AH161" s="64">
        <v>5.8409999999999998E-3</v>
      </c>
      <c r="AI161" s="64">
        <v>5.8450000000000004E-3</v>
      </c>
      <c r="AJ161" s="64">
        <v>5.8760000000000001E-3</v>
      </c>
      <c r="AK161" s="62">
        <v>1.3195E-2</v>
      </c>
    </row>
    <row r="162" spans="1:37" ht="15" customHeight="1" x14ac:dyDescent="0.2">
      <c r="A162" s="57" t="s">
        <v>1051</v>
      </c>
      <c r="B162" s="60" t="s">
        <v>909</v>
      </c>
      <c r="C162" s="64">
        <v>3.0304000000000001E-2</v>
      </c>
      <c r="D162" s="64">
        <v>3.4639000000000003E-2</v>
      </c>
      <c r="E162" s="64">
        <v>3.8878000000000003E-2</v>
      </c>
      <c r="F162" s="64">
        <v>4.249E-2</v>
      </c>
      <c r="G162" s="64">
        <v>4.5643999999999997E-2</v>
      </c>
      <c r="H162" s="64">
        <v>4.8826000000000001E-2</v>
      </c>
      <c r="I162" s="64">
        <v>5.1737999999999999E-2</v>
      </c>
      <c r="J162" s="64">
        <v>5.4364000000000003E-2</v>
      </c>
      <c r="K162" s="64">
        <v>5.6822999999999999E-2</v>
      </c>
      <c r="L162" s="64">
        <v>5.9193999999999997E-2</v>
      </c>
      <c r="M162" s="64">
        <v>6.1497000000000003E-2</v>
      </c>
      <c r="N162" s="64">
        <v>6.3752000000000003E-2</v>
      </c>
      <c r="O162" s="64">
        <v>6.6059000000000007E-2</v>
      </c>
      <c r="P162" s="64">
        <v>6.8513000000000004E-2</v>
      </c>
      <c r="Q162" s="64">
        <v>7.1165999999999993E-2</v>
      </c>
      <c r="R162" s="64">
        <v>7.4079999999999993E-2</v>
      </c>
      <c r="S162" s="64">
        <v>7.7352000000000004E-2</v>
      </c>
      <c r="T162" s="64">
        <v>8.1030000000000005E-2</v>
      </c>
      <c r="U162" s="64">
        <v>8.5012000000000004E-2</v>
      </c>
      <c r="V162" s="64">
        <v>8.9478000000000002E-2</v>
      </c>
      <c r="W162" s="64">
        <v>9.4362000000000001E-2</v>
      </c>
      <c r="X162" s="64">
        <v>9.9908999999999998E-2</v>
      </c>
      <c r="Y162" s="64">
        <v>0.106197</v>
      </c>
      <c r="Z162" s="64">
        <v>0.11326600000000001</v>
      </c>
      <c r="AA162" s="64">
        <v>0.12119099999999999</v>
      </c>
      <c r="AB162" s="64">
        <v>0.12975600000000001</v>
      </c>
      <c r="AC162" s="64">
        <v>0.13960800000000001</v>
      </c>
      <c r="AD162" s="64">
        <v>0.15066099999999999</v>
      </c>
      <c r="AE162" s="64">
        <v>0.16228899999999999</v>
      </c>
      <c r="AF162" s="64">
        <v>0.17519799999999999</v>
      </c>
      <c r="AG162" s="64">
        <v>0.18831200000000001</v>
      </c>
      <c r="AH162" s="64">
        <v>0.20238900000000001</v>
      </c>
      <c r="AI162" s="64">
        <v>0.21648000000000001</v>
      </c>
      <c r="AJ162" s="64">
        <v>0.231435</v>
      </c>
      <c r="AK162" s="62">
        <v>6.1150999999999997E-2</v>
      </c>
    </row>
    <row r="163" spans="1:37" ht="15" customHeight="1" x14ac:dyDescent="0.2">
      <c r="A163" s="57" t="s">
        <v>1052</v>
      </c>
      <c r="B163" s="60" t="s">
        <v>911</v>
      </c>
      <c r="C163" s="64">
        <v>0</v>
      </c>
      <c r="D163" s="64">
        <v>0</v>
      </c>
      <c r="E163" s="64">
        <v>0</v>
      </c>
      <c r="F163" s="64">
        <v>0</v>
      </c>
      <c r="G163" s="64">
        <v>0</v>
      </c>
      <c r="H163" s="64">
        <v>0</v>
      </c>
      <c r="I163" s="64">
        <v>0</v>
      </c>
      <c r="J163" s="64">
        <v>0</v>
      </c>
      <c r="K163" s="64">
        <v>0</v>
      </c>
      <c r="L163" s="64">
        <v>0</v>
      </c>
      <c r="M163" s="64">
        <v>0</v>
      </c>
      <c r="N163" s="64">
        <v>0</v>
      </c>
      <c r="O163" s="64">
        <v>0</v>
      </c>
      <c r="P163" s="64">
        <v>0</v>
      </c>
      <c r="Q163" s="64">
        <v>0</v>
      </c>
      <c r="R163" s="64">
        <v>0</v>
      </c>
      <c r="S163" s="64">
        <v>0</v>
      </c>
      <c r="T163" s="64">
        <v>0</v>
      </c>
      <c r="U163" s="64">
        <v>0</v>
      </c>
      <c r="V163" s="64">
        <v>0</v>
      </c>
      <c r="W163" s="64">
        <v>0</v>
      </c>
      <c r="X163" s="64">
        <v>0</v>
      </c>
      <c r="Y163" s="64">
        <v>0</v>
      </c>
      <c r="Z163" s="64">
        <v>0</v>
      </c>
      <c r="AA163" s="64">
        <v>0</v>
      </c>
      <c r="AB163" s="64">
        <v>0</v>
      </c>
      <c r="AC163" s="64">
        <v>0</v>
      </c>
      <c r="AD163" s="64">
        <v>0</v>
      </c>
      <c r="AE163" s="64">
        <v>0</v>
      </c>
      <c r="AF163" s="64">
        <v>0</v>
      </c>
      <c r="AG163" s="64">
        <v>0</v>
      </c>
      <c r="AH163" s="64">
        <v>0</v>
      </c>
      <c r="AI163" s="64">
        <v>0</v>
      </c>
      <c r="AJ163" s="64">
        <v>0</v>
      </c>
      <c r="AK163" s="62" t="s">
        <v>467</v>
      </c>
    </row>
    <row r="164" spans="1:37" ht="15" customHeight="1" x14ac:dyDescent="0.2">
      <c r="A164" s="57" t="s">
        <v>1053</v>
      </c>
      <c r="B164" s="60" t="s">
        <v>913</v>
      </c>
      <c r="C164" s="64">
        <v>0</v>
      </c>
      <c r="D164" s="64">
        <v>5.2700000000000002E-4</v>
      </c>
      <c r="E164" s="64">
        <v>1.106E-3</v>
      </c>
      <c r="F164" s="64">
        <v>1.663E-3</v>
      </c>
      <c r="G164" s="64">
        <v>2.2079999999999999E-3</v>
      </c>
      <c r="H164" s="64">
        <v>2.8080000000000002E-3</v>
      </c>
      <c r="I164" s="64">
        <v>3.411E-3</v>
      </c>
      <c r="J164" s="64">
        <v>4.0039999999999997E-3</v>
      </c>
      <c r="K164" s="64">
        <v>4.6020000000000002E-3</v>
      </c>
      <c r="L164" s="64">
        <v>5.2050000000000004E-3</v>
      </c>
      <c r="M164" s="64">
        <v>5.8120000000000003E-3</v>
      </c>
      <c r="N164" s="64">
        <v>6.417E-3</v>
      </c>
      <c r="O164" s="64">
        <v>7.0260000000000001E-3</v>
      </c>
      <c r="P164" s="64">
        <v>7.6449999999999999E-3</v>
      </c>
      <c r="Q164" s="64">
        <v>8.2719999999999998E-3</v>
      </c>
      <c r="R164" s="64">
        <v>8.9079999999999993E-3</v>
      </c>
      <c r="S164" s="64">
        <v>9.554E-3</v>
      </c>
      <c r="T164" s="64">
        <v>1.0214000000000001E-2</v>
      </c>
      <c r="U164" s="64">
        <v>1.0877E-2</v>
      </c>
      <c r="V164" s="64">
        <v>1.1540999999999999E-2</v>
      </c>
      <c r="W164" s="64">
        <v>1.2215E-2</v>
      </c>
      <c r="X164" s="64">
        <v>1.2903E-2</v>
      </c>
      <c r="Y164" s="64">
        <v>1.3601E-2</v>
      </c>
      <c r="Z164" s="64">
        <v>1.4309000000000001E-2</v>
      </c>
      <c r="AA164" s="64">
        <v>1.5025999999999999E-2</v>
      </c>
      <c r="AB164" s="64">
        <v>1.5755999999999999E-2</v>
      </c>
      <c r="AC164" s="64">
        <v>1.6500999999999998E-2</v>
      </c>
      <c r="AD164" s="64">
        <v>1.7257999999999999E-2</v>
      </c>
      <c r="AE164" s="64">
        <v>1.8027999999999999E-2</v>
      </c>
      <c r="AF164" s="64">
        <v>1.8804000000000001E-2</v>
      </c>
      <c r="AG164" s="64">
        <v>1.9588999999999999E-2</v>
      </c>
      <c r="AH164" s="64">
        <v>2.0378E-2</v>
      </c>
      <c r="AI164" s="64">
        <v>2.1172E-2</v>
      </c>
      <c r="AJ164" s="64">
        <v>2.2127000000000001E-2</v>
      </c>
      <c r="AK164" s="62">
        <v>0.12389799999999999</v>
      </c>
    </row>
    <row r="165" spans="1:37" ht="15" customHeight="1" x14ac:dyDescent="0.2">
      <c r="A165" s="57" t="s">
        <v>1054</v>
      </c>
      <c r="B165" s="60" t="s">
        <v>915</v>
      </c>
      <c r="C165" s="64">
        <v>0</v>
      </c>
      <c r="D165" s="64">
        <v>2.1699999999999999E-4</v>
      </c>
      <c r="E165" s="64">
        <v>4.5600000000000003E-4</v>
      </c>
      <c r="F165" s="64">
        <v>6.8599999999999998E-4</v>
      </c>
      <c r="G165" s="64">
        <v>9.1100000000000003E-4</v>
      </c>
      <c r="H165" s="64">
        <v>1.158E-3</v>
      </c>
      <c r="I165" s="64">
        <v>1.407E-3</v>
      </c>
      <c r="J165" s="64">
        <v>1.652E-3</v>
      </c>
      <c r="K165" s="64">
        <v>1.8990000000000001E-3</v>
      </c>
      <c r="L165" s="64">
        <v>2.1480000000000002E-3</v>
      </c>
      <c r="M165" s="64">
        <v>2.398E-3</v>
      </c>
      <c r="N165" s="64">
        <v>2.6480000000000002E-3</v>
      </c>
      <c r="O165" s="64">
        <v>2.8990000000000001E-3</v>
      </c>
      <c r="P165" s="64">
        <v>3.1540000000000001E-3</v>
      </c>
      <c r="Q165" s="64">
        <v>3.4129999999999998E-3</v>
      </c>
      <c r="R165" s="64">
        <v>3.6749999999999999E-3</v>
      </c>
      <c r="S165" s="64">
        <v>3.9420000000000002E-3</v>
      </c>
      <c r="T165" s="64">
        <v>4.2139999999999999E-3</v>
      </c>
      <c r="U165" s="64">
        <v>4.4879999999999998E-3</v>
      </c>
      <c r="V165" s="64">
        <v>4.7619999999999997E-3</v>
      </c>
      <c r="W165" s="64">
        <v>5.0400000000000002E-3</v>
      </c>
      <c r="X165" s="64">
        <v>5.3239999999999997E-3</v>
      </c>
      <c r="Y165" s="64">
        <v>5.6119999999999998E-3</v>
      </c>
      <c r="Z165" s="64">
        <v>5.9040000000000004E-3</v>
      </c>
      <c r="AA165" s="64">
        <v>6.1989999999999996E-3</v>
      </c>
      <c r="AB165" s="64">
        <v>6.5009999999999998E-3</v>
      </c>
      <c r="AC165" s="64">
        <v>6.8079999999999998E-3</v>
      </c>
      <c r="AD165" s="64">
        <v>7.1199999999999996E-3</v>
      </c>
      <c r="AE165" s="64">
        <v>7.4380000000000002E-3</v>
      </c>
      <c r="AF165" s="64">
        <v>7.7580000000000001E-3</v>
      </c>
      <c r="AG165" s="64">
        <v>8.0820000000000006E-3</v>
      </c>
      <c r="AH165" s="64">
        <v>8.4080000000000005E-3</v>
      </c>
      <c r="AI165" s="64">
        <v>8.7349999999999997E-3</v>
      </c>
      <c r="AJ165" s="64">
        <v>9.129E-3</v>
      </c>
      <c r="AK165" s="62">
        <v>0.12389799999999999</v>
      </c>
    </row>
    <row r="166" spans="1:37" ht="15" customHeight="1" x14ac:dyDescent="0.2">
      <c r="A166" s="57" t="s">
        <v>1055</v>
      </c>
      <c r="B166" s="60" t="s">
        <v>917</v>
      </c>
      <c r="C166" s="64">
        <v>0</v>
      </c>
      <c r="D166" s="64">
        <v>2.0699999999999999E-4</v>
      </c>
      <c r="E166" s="64">
        <v>4.3600000000000003E-4</v>
      </c>
      <c r="F166" s="64">
        <v>6.5499999999999998E-4</v>
      </c>
      <c r="G166" s="64">
        <v>8.6899999999999998E-4</v>
      </c>
      <c r="H166" s="64">
        <v>1.106E-3</v>
      </c>
      <c r="I166" s="64">
        <v>1.343E-3</v>
      </c>
      <c r="J166" s="64">
        <v>1.5770000000000001E-3</v>
      </c>
      <c r="K166" s="64">
        <v>1.812E-3</v>
      </c>
      <c r="L166" s="64">
        <v>2.0500000000000002E-3</v>
      </c>
      <c r="M166" s="64">
        <v>2.2889999999999998E-3</v>
      </c>
      <c r="N166" s="64">
        <v>2.5270000000000002E-3</v>
      </c>
      <c r="O166" s="64">
        <v>2.7669999999999999E-3</v>
      </c>
      <c r="P166" s="64">
        <v>3.0109999999999998E-3</v>
      </c>
      <c r="Q166" s="64">
        <v>3.258E-3</v>
      </c>
      <c r="R166" s="64">
        <v>3.5079999999999998E-3</v>
      </c>
      <c r="S166" s="64">
        <v>3.7620000000000002E-3</v>
      </c>
      <c r="T166" s="64">
        <v>4.0220000000000004E-3</v>
      </c>
      <c r="U166" s="64">
        <v>4.2839999999999996E-3</v>
      </c>
      <c r="V166" s="64">
        <v>4.5450000000000004E-3</v>
      </c>
      <c r="W166" s="64">
        <v>4.8110000000000002E-3</v>
      </c>
      <c r="X166" s="64">
        <v>5.0809999999999996E-3</v>
      </c>
      <c r="Y166" s="64">
        <v>5.3559999999999997E-3</v>
      </c>
      <c r="Z166" s="64">
        <v>5.6350000000000003E-3</v>
      </c>
      <c r="AA166" s="64">
        <v>5.9170000000000004E-3</v>
      </c>
      <c r="AB166" s="64">
        <v>6.2049999999999996E-3</v>
      </c>
      <c r="AC166" s="64">
        <v>6.4980000000000003E-3</v>
      </c>
      <c r="AD166" s="64">
        <v>6.7970000000000001E-3</v>
      </c>
      <c r="AE166" s="64">
        <v>7.1000000000000004E-3</v>
      </c>
      <c r="AF166" s="64">
        <v>7.4050000000000001E-3</v>
      </c>
      <c r="AG166" s="64">
        <v>7.7140000000000004E-3</v>
      </c>
      <c r="AH166" s="64">
        <v>8.0249999999999991E-3</v>
      </c>
      <c r="AI166" s="64">
        <v>8.3379999999999999E-3</v>
      </c>
      <c r="AJ166" s="64">
        <v>8.7139999999999995E-3</v>
      </c>
      <c r="AK166" s="62">
        <v>0.12389799999999999</v>
      </c>
    </row>
    <row r="167" spans="1:37" ht="15" customHeight="1" x14ac:dyDescent="0.2">
      <c r="A167" s="57" t="s">
        <v>1056</v>
      </c>
      <c r="B167" s="60" t="s">
        <v>919</v>
      </c>
      <c r="C167" s="64">
        <v>0</v>
      </c>
      <c r="D167" s="64">
        <v>3.1199999999999999E-4</v>
      </c>
      <c r="E167" s="64">
        <v>6.5499999999999998E-4</v>
      </c>
      <c r="F167" s="64">
        <v>9.8400000000000007E-4</v>
      </c>
      <c r="G167" s="64">
        <v>1.3060000000000001E-3</v>
      </c>
      <c r="H167" s="64">
        <v>1.6620000000000001E-3</v>
      </c>
      <c r="I167" s="64">
        <v>2.0179999999999998E-3</v>
      </c>
      <c r="J167" s="64">
        <v>2.3700000000000001E-3</v>
      </c>
      <c r="K167" s="64">
        <v>2.7230000000000002E-3</v>
      </c>
      <c r="L167" s="64">
        <v>3.0799999999999998E-3</v>
      </c>
      <c r="M167" s="64">
        <v>3.4390000000000002E-3</v>
      </c>
      <c r="N167" s="64">
        <v>3.797E-3</v>
      </c>
      <c r="O167" s="64">
        <v>4.1580000000000002E-3</v>
      </c>
      <c r="P167" s="64">
        <v>4.5240000000000002E-3</v>
      </c>
      <c r="Q167" s="64">
        <v>4.895E-3</v>
      </c>
      <c r="R167" s="64">
        <v>5.2709999999999996E-3</v>
      </c>
      <c r="S167" s="64">
        <v>5.653E-3</v>
      </c>
      <c r="T167" s="64">
        <v>6.0439999999999999E-3</v>
      </c>
      <c r="U167" s="64">
        <v>6.437E-3</v>
      </c>
      <c r="V167" s="64">
        <v>6.8300000000000001E-3</v>
      </c>
      <c r="W167" s="64">
        <v>7.228E-3</v>
      </c>
      <c r="X167" s="64">
        <v>7.6350000000000003E-3</v>
      </c>
      <c r="Y167" s="64">
        <v>8.0490000000000006E-3</v>
      </c>
      <c r="Z167" s="64">
        <v>8.4670000000000006E-3</v>
      </c>
      <c r="AA167" s="64">
        <v>8.8920000000000006E-3</v>
      </c>
      <c r="AB167" s="64">
        <v>9.3240000000000007E-3</v>
      </c>
      <c r="AC167" s="64">
        <v>9.7649999999999994E-3</v>
      </c>
      <c r="AD167" s="64">
        <v>1.0213E-2</v>
      </c>
      <c r="AE167" s="64">
        <v>1.0668E-2</v>
      </c>
      <c r="AF167" s="64">
        <v>1.1127E-2</v>
      </c>
      <c r="AG167" s="64">
        <v>1.1592E-2</v>
      </c>
      <c r="AH167" s="64">
        <v>1.2057999999999999E-2</v>
      </c>
      <c r="AI167" s="64">
        <v>1.2529E-2</v>
      </c>
      <c r="AJ167" s="64">
        <v>1.3094E-2</v>
      </c>
      <c r="AK167" s="62">
        <v>0.12389799999999999</v>
      </c>
    </row>
    <row r="168" spans="1:37" ht="15" customHeight="1" x14ac:dyDescent="0.2">
      <c r="A168" s="57" t="s">
        <v>1057</v>
      </c>
      <c r="B168" s="60" t="s">
        <v>945</v>
      </c>
      <c r="C168" s="64">
        <v>5.2178420000000001</v>
      </c>
      <c r="D168" s="64">
        <v>5.2176150000000003</v>
      </c>
      <c r="E168" s="64">
        <v>5.2463259999999998</v>
      </c>
      <c r="F168" s="64">
        <v>5.2472000000000003</v>
      </c>
      <c r="G168" s="64">
        <v>5.2362700000000002</v>
      </c>
      <c r="H168" s="64">
        <v>5.2461539999999998</v>
      </c>
      <c r="I168" s="64">
        <v>5.242229</v>
      </c>
      <c r="J168" s="64">
        <v>5.2385719999999996</v>
      </c>
      <c r="K168" s="64">
        <v>5.2478920000000002</v>
      </c>
      <c r="L168" s="64">
        <v>5.2598140000000004</v>
      </c>
      <c r="M168" s="64">
        <v>5.2751650000000003</v>
      </c>
      <c r="N168" s="64">
        <v>5.2563040000000001</v>
      </c>
      <c r="O168" s="64">
        <v>5.249403</v>
      </c>
      <c r="P168" s="64">
        <v>5.2537859999999998</v>
      </c>
      <c r="Q168" s="64">
        <v>5.261552</v>
      </c>
      <c r="R168" s="64">
        <v>5.268726</v>
      </c>
      <c r="S168" s="64">
        <v>5.2407240000000002</v>
      </c>
      <c r="T168" s="64">
        <v>5.2286910000000004</v>
      </c>
      <c r="U168" s="64">
        <v>5.2423409999999997</v>
      </c>
      <c r="V168" s="64">
        <v>5.2494100000000001</v>
      </c>
      <c r="W168" s="64">
        <v>5.2721410000000004</v>
      </c>
      <c r="X168" s="64">
        <v>5.2760930000000004</v>
      </c>
      <c r="Y168" s="64">
        <v>5.2931160000000004</v>
      </c>
      <c r="Z168" s="64">
        <v>5.2391500000000004</v>
      </c>
      <c r="AA168" s="64">
        <v>5.2476940000000001</v>
      </c>
      <c r="AB168" s="64">
        <v>5.2521990000000001</v>
      </c>
      <c r="AC168" s="64">
        <v>5.2787329999999999</v>
      </c>
      <c r="AD168" s="64">
        <v>5.3184670000000001</v>
      </c>
      <c r="AE168" s="64">
        <v>5.3431839999999999</v>
      </c>
      <c r="AF168" s="64">
        <v>5.3637810000000004</v>
      </c>
      <c r="AG168" s="64">
        <v>5.3939360000000001</v>
      </c>
      <c r="AH168" s="64">
        <v>5.4168209999999997</v>
      </c>
      <c r="AI168" s="64">
        <v>5.4144050000000004</v>
      </c>
      <c r="AJ168" s="64">
        <v>5.4264140000000003</v>
      </c>
      <c r="AK168" s="62">
        <v>1.227E-3</v>
      </c>
    </row>
    <row r="169" spans="1:37" ht="15" customHeight="1" x14ac:dyDescent="0.2">
      <c r="A169" s="57" t="s">
        <v>1058</v>
      </c>
      <c r="B169" s="59" t="s">
        <v>1059</v>
      </c>
      <c r="C169" s="65">
        <v>11.939672</v>
      </c>
      <c r="D169" s="65">
        <v>12.042655999999999</v>
      </c>
      <c r="E169" s="65">
        <v>12.196332999999999</v>
      </c>
      <c r="F169" s="65">
        <v>12.330031</v>
      </c>
      <c r="G169" s="65">
        <v>12.444366</v>
      </c>
      <c r="H169" s="65">
        <v>12.58512</v>
      </c>
      <c r="I169" s="65">
        <v>12.705061000000001</v>
      </c>
      <c r="J169" s="65">
        <v>12.836846</v>
      </c>
      <c r="K169" s="65">
        <v>12.991645</v>
      </c>
      <c r="L169" s="65">
        <v>13.154672</v>
      </c>
      <c r="M169" s="65">
        <v>13.324525</v>
      </c>
      <c r="N169" s="65">
        <v>13.426994000000001</v>
      </c>
      <c r="O169" s="65">
        <v>13.582013</v>
      </c>
      <c r="P169" s="65">
        <v>13.704345999999999</v>
      </c>
      <c r="Q169" s="65">
        <v>13.928534000000001</v>
      </c>
      <c r="R169" s="65">
        <v>14.064609000000001</v>
      </c>
      <c r="S169" s="65">
        <v>14.17841</v>
      </c>
      <c r="T169" s="65">
        <v>14.304871</v>
      </c>
      <c r="U169" s="65">
        <v>14.483470000000001</v>
      </c>
      <c r="V169" s="65">
        <v>14.665588</v>
      </c>
      <c r="W169" s="65">
        <v>14.878816</v>
      </c>
      <c r="X169" s="65">
        <v>15.077244</v>
      </c>
      <c r="Y169" s="65">
        <v>15.230816000000001</v>
      </c>
      <c r="Z169" s="65">
        <v>15.366244999999999</v>
      </c>
      <c r="AA169" s="65">
        <v>15.493358000000001</v>
      </c>
      <c r="AB169" s="65">
        <v>15.701805</v>
      </c>
      <c r="AC169" s="65">
        <v>16.006464000000001</v>
      </c>
      <c r="AD169" s="65">
        <v>16.29504</v>
      </c>
      <c r="AE169" s="65">
        <v>16.525041999999999</v>
      </c>
      <c r="AF169" s="65">
        <v>16.789574000000002</v>
      </c>
      <c r="AG169" s="65">
        <v>17.108499999999999</v>
      </c>
      <c r="AH169" s="65">
        <v>17.347254</v>
      </c>
      <c r="AI169" s="65">
        <v>17.572264000000001</v>
      </c>
      <c r="AJ169" s="65">
        <v>17.823877</v>
      </c>
      <c r="AK169" s="66">
        <v>1.2328E-2</v>
      </c>
    </row>
    <row r="170" spans="1:37" ht="15.75" customHeight="1" x14ac:dyDescent="0.2"/>
    <row r="171" spans="1:37" ht="15" customHeight="1" x14ac:dyDescent="0.2">
      <c r="B171" s="59" t="s">
        <v>1060</v>
      </c>
    </row>
    <row r="172" spans="1:37" ht="15.75" customHeight="1" x14ac:dyDescent="0.2"/>
    <row r="173" spans="1:37" ht="15" customHeight="1" x14ac:dyDescent="0.2">
      <c r="B173" s="59" t="s">
        <v>991</v>
      </c>
    </row>
    <row r="174" spans="1:37" ht="15" customHeight="1" x14ac:dyDescent="0.2">
      <c r="B174" s="59" t="s">
        <v>901</v>
      </c>
    </row>
    <row r="175" spans="1:37" ht="15" customHeight="1" x14ac:dyDescent="0.2">
      <c r="A175" s="57" t="s">
        <v>1061</v>
      </c>
      <c r="B175" s="60" t="s">
        <v>903</v>
      </c>
      <c r="C175" s="63">
        <v>14.406879999999999</v>
      </c>
      <c r="D175" s="63">
        <v>15.773561000000001</v>
      </c>
      <c r="E175" s="63">
        <v>15.833392999999999</v>
      </c>
      <c r="F175" s="63">
        <v>15.918488999999999</v>
      </c>
      <c r="G175" s="63">
        <v>16.171700000000001</v>
      </c>
      <c r="H175" s="63">
        <v>16.419457999999999</v>
      </c>
      <c r="I175" s="63">
        <v>16.730319999999999</v>
      </c>
      <c r="J175" s="63">
        <v>17.123816999999999</v>
      </c>
      <c r="K175" s="63">
        <v>17.606863000000001</v>
      </c>
      <c r="L175" s="63">
        <v>18.080684999999999</v>
      </c>
      <c r="M175" s="63">
        <v>18.474917999999999</v>
      </c>
      <c r="N175" s="63">
        <v>18.563770000000002</v>
      </c>
      <c r="O175" s="63">
        <v>18.670235000000002</v>
      </c>
      <c r="P175" s="63">
        <v>18.761223000000001</v>
      </c>
      <c r="Q175" s="63">
        <v>18.741661000000001</v>
      </c>
      <c r="R175" s="63">
        <v>18.739273000000001</v>
      </c>
      <c r="S175" s="63">
        <v>18.798822000000001</v>
      </c>
      <c r="T175" s="63">
        <v>18.756615</v>
      </c>
      <c r="U175" s="63">
        <v>18.682265999999998</v>
      </c>
      <c r="V175" s="63">
        <v>18.749262000000002</v>
      </c>
      <c r="W175" s="63">
        <v>18.817530000000001</v>
      </c>
      <c r="X175" s="63">
        <v>18.888048000000001</v>
      </c>
      <c r="Y175" s="63">
        <v>18.957744999999999</v>
      </c>
      <c r="Z175" s="63">
        <v>19.031662000000001</v>
      </c>
      <c r="AA175" s="63">
        <v>19.106888000000001</v>
      </c>
      <c r="AB175" s="63">
        <v>19.183278999999999</v>
      </c>
      <c r="AC175" s="63">
        <v>19.254062999999999</v>
      </c>
      <c r="AD175" s="63">
        <v>19.313334000000001</v>
      </c>
      <c r="AE175" s="63">
        <v>19.357613000000001</v>
      </c>
      <c r="AF175" s="63">
        <v>19.387160999999999</v>
      </c>
      <c r="AG175" s="63">
        <v>19.406769000000001</v>
      </c>
      <c r="AH175" s="63">
        <v>19.419485000000002</v>
      </c>
      <c r="AI175" s="63">
        <v>19.424178999999999</v>
      </c>
      <c r="AJ175" s="63">
        <v>19.422243000000002</v>
      </c>
      <c r="AK175" s="62">
        <v>6.5240000000000003E-3</v>
      </c>
    </row>
    <row r="176" spans="1:37" ht="15" customHeight="1" x14ac:dyDescent="0.2">
      <c r="A176" s="57" t="s">
        <v>1062</v>
      </c>
      <c r="B176" s="60" t="s">
        <v>905</v>
      </c>
      <c r="C176" s="63">
        <v>10.446713000000001</v>
      </c>
      <c r="D176" s="63">
        <v>10.924706</v>
      </c>
      <c r="E176" s="63">
        <v>10.994101000000001</v>
      </c>
      <c r="F176" s="63">
        <v>11.069461</v>
      </c>
      <c r="G176" s="63">
        <v>11.379225</v>
      </c>
      <c r="H176" s="63">
        <v>11.576933</v>
      </c>
      <c r="I176" s="63">
        <v>11.819259000000001</v>
      </c>
      <c r="J176" s="63">
        <v>12.117368000000001</v>
      </c>
      <c r="K176" s="63">
        <v>12.483879999999999</v>
      </c>
      <c r="L176" s="63">
        <v>12.861794</v>
      </c>
      <c r="M176" s="63">
        <v>13.238909</v>
      </c>
      <c r="N176" s="63">
        <v>13.371187000000001</v>
      </c>
      <c r="O176" s="63">
        <v>13.639447000000001</v>
      </c>
      <c r="P176" s="63">
        <v>13.854307</v>
      </c>
      <c r="Q176" s="63">
        <v>14.039776</v>
      </c>
      <c r="R176" s="63">
        <v>14.144244</v>
      </c>
      <c r="S176" s="63">
        <v>14.174962000000001</v>
      </c>
      <c r="T176" s="63">
        <v>14.202070000000001</v>
      </c>
      <c r="U176" s="63">
        <v>14.231171</v>
      </c>
      <c r="V176" s="63">
        <v>14.263208000000001</v>
      </c>
      <c r="W176" s="63">
        <v>14.290462</v>
      </c>
      <c r="X176" s="63">
        <v>14.245219000000001</v>
      </c>
      <c r="Y176" s="63">
        <v>14.285898</v>
      </c>
      <c r="Z176" s="63">
        <v>14.324158000000001</v>
      </c>
      <c r="AA176" s="63">
        <v>14.377775</v>
      </c>
      <c r="AB176" s="63">
        <v>14.369249</v>
      </c>
      <c r="AC176" s="63">
        <v>14.451148</v>
      </c>
      <c r="AD176" s="63">
        <v>14.542147</v>
      </c>
      <c r="AE176" s="63">
        <v>14.638320999999999</v>
      </c>
      <c r="AF176" s="63">
        <v>14.743446</v>
      </c>
      <c r="AG176" s="63">
        <v>14.843849000000001</v>
      </c>
      <c r="AH176" s="63">
        <v>14.953319</v>
      </c>
      <c r="AI176" s="63">
        <v>15.039395000000001</v>
      </c>
      <c r="AJ176" s="63">
        <v>15.125016</v>
      </c>
      <c r="AK176" s="62">
        <v>1.0218E-2</v>
      </c>
    </row>
    <row r="177" spans="1:37" ht="15" customHeight="1" x14ac:dyDescent="0.2">
      <c r="A177" s="57" t="s">
        <v>1063</v>
      </c>
      <c r="B177" s="60" t="s">
        <v>907</v>
      </c>
      <c r="C177" s="63">
        <v>10.193827000000001</v>
      </c>
      <c r="D177" s="63">
        <v>11.897914</v>
      </c>
      <c r="E177" s="63">
        <v>12.173746</v>
      </c>
      <c r="F177" s="63">
        <v>12.213232</v>
      </c>
      <c r="G177" s="63">
        <v>12.363984</v>
      </c>
      <c r="H177" s="63">
        <v>12.473894</v>
      </c>
      <c r="I177" s="63">
        <v>12.628223999999999</v>
      </c>
      <c r="J177" s="63">
        <v>12.836162</v>
      </c>
      <c r="K177" s="63">
        <v>13.107298999999999</v>
      </c>
      <c r="L177" s="63">
        <v>13.438685</v>
      </c>
      <c r="M177" s="63">
        <v>13.809010000000001</v>
      </c>
      <c r="N177" s="63">
        <v>13.914467999999999</v>
      </c>
      <c r="O177" s="63">
        <v>14.110385000000001</v>
      </c>
      <c r="P177" s="63">
        <v>14.263548</v>
      </c>
      <c r="Q177" s="63">
        <v>14.366795</v>
      </c>
      <c r="R177" s="63">
        <v>14.387191</v>
      </c>
      <c r="S177" s="63">
        <v>14.385683</v>
      </c>
      <c r="T177" s="63">
        <v>14.384314</v>
      </c>
      <c r="U177" s="63">
        <v>14.140760999999999</v>
      </c>
      <c r="V177" s="63">
        <v>14.151555999999999</v>
      </c>
      <c r="W177" s="63">
        <v>14.169192000000001</v>
      </c>
      <c r="X177" s="63">
        <v>14.196664999999999</v>
      </c>
      <c r="Y177" s="63">
        <v>14.237575</v>
      </c>
      <c r="Z177" s="63">
        <v>14.294543000000001</v>
      </c>
      <c r="AA177" s="63">
        <v>14.36697</v>
      </c>
      <c r="AB177" s="63">
        <v>14.449654000000001</v>
      </c>
      <c r="AC177" s="63">
        <v>14.533996</v>
      </c>
      <c r="AD177" s="63">
        <v>14.608931</v>
      </c>
      <c r="AE177" s="63">
        <v>14.668530000000001</v>
      </c>
      <c r="AF177" s="63">
        <v>14.713967999999999</v>
      </c>
      <c r="AG177" s="63">
        <v>14.745752</v>
      </c>
      <c r="AH177" s="63">
        <v>14.763111</v>
      </c>
      <c r="AI177" s="63">
        <v>14.763052</v>
      </c>
      <c r="AJ177" s="63">
        <v>14.762999000000001</v>
      </c>
      <c r="AK177" s="62">
        <v>6.7650000000000002E-3</v>
      </c>
    </row>
    <row r="178" spans="1:37" ht="15" customHeight="1" x14ac:dyDescent="0.2">
      <c r="A178" s="57" t="s">
        <v>1064</v>
      </c>
      <c r="B178" s="60" t="s">
        <v>909</v>
      </c>
      <c r="C178" s="63">
        <v>10.126595</v>
      </c>
      <c r="D178" s="63">
        <v>13.021732</v>
      </c>
      <c r="E178" s="63">
        <v>12.041150999999999</v>
      </c>
      <c r="F178" s="63">
        <v>12.082383</v>
      </c>
      <c r="G178" s="63">
        <v>12.243868000000001</v>
      </c>
      <c r="H178" s="63">
        <v>12.351077999999999</v>
      </c>
      <c r="I178" s="63">
        <v>12.474788999999999</v>
      </c>
      <c r="J178" s="63">
        <v>12.657869</v>
      </c>
      <c r="K178" s="63">
        <v>12.913164</v>
      </c>
      <c r="L178" s="63">
        <v>13.205118000000001</v>
      </c>
      <c r="M178" s="63">
        <v>13.513989</v>
      </c>
      <c r="N178" s="63">
        <v>13.573575999999999</v>
      </c>
      <c r="O178" s="63">
        <v>13.750127000000001</v>
      </c>
      <c r="P178" s="63">
        <v>13.884081</v>
      </c>
      <c r="Q178" s="63">
        <v>13.985969000000001</v>
      </c>
      <c r="R178" s="63">
        <v>14.014207000000001</v>
      </c>
      <c r="S178" s="63">
        <v>13.996679</v>
      </c>
      <c r="T178" s="63">
        <v>13.978498</v>
      </c>
      <c r="U178" s="63">
        <v>13.958835000000001</v>
      </c>
      <c r="V178" s="63">
        <v>13.940322</v>
      </c>
      <c r="W178" s="63">
        <v>13.923676</v>
      </c>
      <c r="X178" s="63">
        <v>13.908616</v>
      </c>
      <c r="Y178" s="63">
        <v>13.896667000000001</v>
      </c>
      <c r="Z178" s="63">
        <v>13.8863</v>
      </c>
      <c r="AA178" s="63">
        <v>13.878743999999999</v>
      </c>
      <c r="AB178" s="63">
        <v>13.872</v>
      </c>
      <c r="AC178" s="63">
        <v>13.865968000000001</v>
      </c>
      <c r="AD178" s="63">
        <v>13.853548999999999</v>
      </c>
      <c r="AE178" s="63">
        <v>13.849646999999999</v>
      </c>
      <c r="AF178" s="63">
        <v>13.846569000000001</v>
      </c>
      <c r="AG178" s="63">
        <v>13.844393999999999</v>
      </c>
      <c r="AH178" s="63">
        <v>13.843266</v>
      </c>
      <c r="AI178" s="63">
        <v>13.843265000000001</v>
      </c>
      <c r="AJ178" s="63">
        <v>13.840393000000001</v>
      </c>
      <c r="AK178" s="62">
        <v>1.9070000000000001E-3</v>
      </c>
    </row>
    <row r="179" spans="1:37" ht="15" customHeight="1" x14ac:dyDescent="0.2">
      <c r="A179" s="57" t="s">
        <v>1065</v>
      </c>
      <c r="B179" s="60" t="s">
        <v>911</v>
      </c>
      <c r="C179" s="63">
        <v>10.166527</v>
      </c>
      <c r="D179" s="63">
        <v>10.525086</v>
      </c>
      <c r="E179" s="63">
        <v>10.610640999999999</v>
      </c>
      <c r="F179" s="63">
        <v>10.715299</v>
      </c>
      <c r="G179" s="63">
        <v>11.056136</v>
      </c>
      <c r="H179" s="63">
        <v>11.271841</v>
      </c>
      <c r="I179" s="63">
        <v>11.53112</v>
      </c>
      <c r="J179" s="63">
        <v>11.843317000000001</v>
      </c>
      <c r="K179" s="63">
        <v>12.220898999999999</v>
      </c>
      <c r="L179" s="63">
        <v>12.638263</v>
      </c>
      <c r="M179" s="63">
        <v>13.042807</v>
      </c>
      <c r="N179" s="63">
        <v>13.171944</v>
      </c>
      <c r="O179" s="63">
        <v>13.406663999999999</v>
      </c>
      <c r="P179" s="63">
        <v>13.61847</v>
      </c>
      <c r="Q179" s="63">
        <v>13.779142999999999</v>
      </c>
      <c r="R179" s="63">
        <v>13.838854</v>
      </c>
      <c r="S179" s="63">
        <v>13.827835</v>
      </c>
      <c r="T179" s="63">
        <v>13.817102999999999</v>
      </c>
      <c r="U179" s="63">
        <v>13.80857</v>
      </c>
      <c r="V179" s="63">
        <v>13.802683999999999</v>
      </c>
      <c r="W179" s="63">
        <v>13.790620000000001</v>
      </c>
      <c r="X179" s="63">
        <v>13.716041000000001</v>
      </c>
      <c r="Y179" s="63">
        <v>13.722557</v>
      </c>
      <c r="Z179" s="63">
        <v>13.753493000000001</v>
      </c>
      <c r="AA179" s="63">
        <v>13.776433000000001</v>
      </c>
      <c r="AB179" s="63">
        <v>13.741388000000001</v>
      </c>
      <c r="AC179" s="63">
        <v>13.785826</v>
      </c>
      <c r="AD179" s="63">
        <v>13.837538</v>
      </c>
      <c r="AE179" s="63">
        <v>13.900427000000001</v>
      </c>
      <c r="AF179" s="63">
        <v>13.96349</v>
      </c>
      <c r="AG179" s="63">
        <v>14.048128</v>
      </c>
      <c r="AH179" s="63">
        <v>14.142733</v>
      </c>
      <c r="AI179" s="63">
        <v>14.25155</v>
      </c>
      <c r="AJ179" s="63">
        <v>14.351941999999999</v>
      </c>
      <c r="AK179" s="62">
        <v>9.7380000000000001E-3</v>
      </c>
    </row>
    <row r="180" spans="1:37" ht="15" customHeight="1" x14ac:dyDescent="0.2">
      <c r="A180" s="57" t="s">
        <v>1066</v>
      </c>
      <c r="B180" s="60" t="s">
        <v>913</v>
      </c>
      <c r="C180" s="63">
        <v>23.527550000000002</v>
      </c>
      <c r="D180" s="63">
        <v>26.787324999999999</v>
      </c>
      <c r="E180" s="63">
        <v>26.873840000000001</v>
      </c>
      <c r="F180" s="63">
        <v>26.909089999999999</v>
      </c>
      <c r="G180" s="63">
        <v>27.102146000000001</v>
      </c>
      <c r="H180" s="63">
        <v>27.300934000000002</v>
      </c>
      <c r="I180" s="63">
        <v>27.512577</v>
      </c>
      <c r="J180" s="63">
        <v>27.809854999999999</v>
      </c>
      <c r="K180" s="63">
        <v>28.183358999999999</v>
      </c>
      <c r="L180" s="63">
        <v>28.606936999999999</v>
      </c>
      <c r="M180" s="63">
        <v>29.020187</v>
      </c>
      <c r="N180" s="63">
        <v>29.123104000000001</v>
      </c>
      <c r="O180" s="63">
        <v>29.311388000000001</v>
      </c>
      <c r="P180" s="63">
        <v>29.472035999999999</v>
      </c>
      <c r="Q180" s="63">
        <v>29.565922</v>
      </c>
      <c r="R180" s="63">
        <v>29.603802000000002</v>
      </c>
      <c r="S180" s="63">
        <v>29.594542000000001</v>
      </c>
      <c r="T180" s="63">
        <v>29.578569000000002</v>
      </c>
      <c r="U180" s="63">
        <v>29.564184000000001</v>
      </c>
      <c r="V180" s="63">
        <v>29.551283000000002</v>
      </c>
      <c r="W180" s="63">
        <v>29.539705000000001</v>
      </c>
      <c r="X180" s="63">
        <v>29.529171000000002</v>
      </c>
      <c r="Y180" s="63">
        <v>29.519506</v>
      </c>
      <c r="Z180" s="63">
        <v>29.510504000000001</v>
      </c>
      <c r="AA180" s="63">
        <v>29.502144000000001</v>
      </c>
      <c r="AB180" s="63">
        <v>29.494267000000001</v>
      </c>
      <c r="AC180" s="63">
        <v>29.486788000000001</v>
      </c>
      <c r="AD180" s="63">
        <v>29.479541999999999</v>
      </c>
      <c r="AE180" s="63">
        <v>29.472559</v>
      </c>
      <c r="AF180" s="63">
        <v>29.466080000000002</v>
      </c>
      <c r="AG180" s="63">
        <v>29.460076999999998</v>
      </c>
      <c r="AH180" s="63">
        <v>29.454546000000001</v>
      </c>
      <c r="AI180" s="63">
        <v>29.449438000000001</v>
      </c>
      <c r="AJ180" s="63">
        <v>29.444683000000001</v>
      </c>
      <c r="AK180" s="62">
        <v>2.96E-3</v>
      </c>
    </row>
    <row r="181" spans="1:37" ht="15" customHeight="1" x14ac:dyDescent="0.2">
      <c r="A181" s="57" t="s">
        <v>1067</v>
      </c>
      <c r="B181" s="60" t="s">
        <v>915</v>
      </c>
      <c r="C181" s="63">
        <v>0</v>
      </c>
      <c r="D181" s="63">
        <v>0</v>
      </c>
      <c r="E181" s="63">
        <v>0</v>
      </c>
      <c r="F181" s="63">
        <v>22.599893999999999</v>
      </c>
      <c r="G181" s="63">
        <v>23.079810999999999</v>
      </c>
      <c r="H181" s="63">
        <v>23.474857</v>
      </c>
      <c r="I181" s="63">
        <v>23.893077999999999</v>
      </c>
      <c r="J181" s="63">
        <v>24.412179999999999</v>
      </c>
      <c r="K181" s="63">
        <v>25.070366</v>
      </c>
      <c r="L181" s="63">
        <v>25.873525999999998</v>
      </c>
      <c r="M181" s="63">
        <v>26.817596000000002</v>
      </c>
      <c r="N181" s="63">
        <v>27.333594999999999</v>
      </c>
      <c r="O181" s="63">
        <v>28.170458</v>
      </c>
      <c r="P181" s="63">
        <v>28.797892000000001</v>
      </c>
      <c r="Q181" s="63">
        <v>28.967593999999998</v>
      </c>
      <c r="R181" s="63">
        <v>29.121632000000002</v>
      </c>
      <c r="S181" s="63">
        <v>29.211328999999999</v>
      </c>
      <c r="T181" s="63">
        <v>29.291046000000001</v>
      </c>
      <c r="U181" s="63">
        <v>29.355630999999999</v>
      </c>
      <c r="V181" s="63">
        <v>29.387383</v>
      </c>
      <c r="W181" s="63">
        <v>29.409345999999999</v>
      </c>
      <c r="X181" s="63">
        <v>29.423919999999999</v>
      </c>
      <c r="Y181" s="63">
        <v>29.425394000000001</v>
      </c>
      <c r="Z181" s="63">
        <v>29.424842999999999</v>
      </c>
      <c r="AA181" s="63">
        <v>29.424368000000001</v>
      </c>
      <c r="AB181" s="63">
        <v>29.423956</v>
      </c>
      <c r="AC181" s="63">
        <v>29.423594999999999</v>
      </c>
      <c r="AD181" s="63">
        <v>29.423259999999999</v>
      </c>
      <c r="AE181" s="63">
        <v>29.422947000000001</v>
      </c>
      <c r="AF181" s="63">
        <v>29.422647000000001</v>
      </c>
      <c r="AG181" s="63">
        <v>29.422359</v>
      </c>
      <c r="AH181" s="63">
        <v>29.422084999999999</v>
      </c>
      <c r="AI181" s="63">
        <v>29.421832999999999</v>
      </c>
      <c r="AJ181" s="63">
        <v>29.421614000000002</v>
      </c>
      <c r="AK181" s="62" t="s">
        <v>467</v>
      </c>
    </row>
    <row r="182" spans="1:37" ht="15" customHeight="1" x14ac:dyDescent="0.2">
      <c r="A182" s="57" t="s">
        <v>1068</v>
      </c>
      <c r="B182" s="60" t="s">
        <v>917</v>
      </c>
      <c r="C182" s="63">
        <v>0</v>
      </c>
      <c r="D182" s="63">
        <v>0</v>
      </c>
      <c r="E182" s="63">
        <v>0</v>
      </c>
      <c r="F182" s="63">
        <v>18.040068000000002</v>
      </c>
      <c r="G182" s="63">
        <v>18.424671</v>
      </c>
      <c r="H182" s="63">
        <v>18.591646000000001</v>
      </c>
      <c r="I182" s="63">
        <v>18.760484999999999</v>
      </c>
      <c r="J182" s="63">
        <v>18.995819000000001</v>
      </c>
      <c r="K182" s="63">
        <v>19.317602000000001</v>
      </c>
      <c r="L182" s="63">
        <v>19.722746000000001</v>
      </c>
      <c r="M182" s="63">
        <v>20.218101999999998</v>
      </c>
      <c r="N182" s="63">
        <v>20.378388999999999</v>
      </c>
      <c r="O182" s="63">
        <v>20.722024999999999</v>
      </c>
      <c r="P182" s="63">
        <v>20.999842000000001</v>
      </c>
      <c r="Q182" s="63">
        <v>21.212738000000002</v>
      </c>
      <c r="R182" s="63">
        <v>21.336113000000001</v>
      </c>
      <c r="S182" s="63">
        <v>21.369592999999998</v>
      </c>
      <c r="T182" s="63">
        <v>21.374753999999999</v>
      </c>
      <c r="U182" s="63">
        <v>21.361848999999999</v>
      </c>
      <c r="V182" s="63">
        <v>21.350109</v>
      </c>
      <c r="W182" s="63">
        <v>21.340786000000001</v>
      </c>
      <c r="X182" s="63">
        <v>21.252241000000001</v>
      </c>
      <c r="Y182" s="63">
        <v>21.239913999999999</v>
      </c>
      <c r="Z182" s="63">
        <v>21.242899000000001</v>
      </c>
      <c r="AA182" s="63">
        <v>21.252673999999999</v>
      </c>
      <c r="AB182" s="63">
        <v>21.279043000000001</v>
      </c>
      <c r="AC182" s="63">
        <v>21.313652000000001</v>
      </c>
      <c r="AD182" s="63">
        <v>21.352070000000001</v>
      </c>
      <c r="AE182" s="63">
        <v>21.389952000000001</v>
      </c>
      <c r="AF182" s="63">
        <v>21.424719</v>
      </c>
      <c r="AG182" s="63">
        <v>21.453818999999999</v>
      </c>
      <c r="AH182" s="63">
        <v>21.476658</v>
      </c>
      <c r="AI182" s="63">
        <v>21.481724</v>
      </c>
      <c r="AJ182" s="63">
        <v>21.484068000000001</v>
      </c>
      <c r="AK182" s="62" t="s">
        <v>467</v>
      </c>
    </row>
    <row r="183" spans="1:37" ht="15" customHeight="1" x14ac:dyDescent="0.2">
      <c r="A183" s="57" t="s">
        <v>1069</v>
      </c>
      <c r="B183" s="60" t="s">
        <v>919</v>
      </c>
      <c r="C183" s="63">
        <v>0</v>
      </c>
      <c r="D183" s="63">
        <v>0</v>
      </c>
      <c r="E183" s="63">
        <v>0</v>
      </c>
      <c r="F183" s="63">
        <v>0</v>
      </c>
      <c r="G183" s="63">
        <v>0</v>
      </c>
      <c r="H183" s="63">
        <v>0</v>
      </c>
      <c r="I183" s="63">
        <v>0</v>
      </c>
      <c r="J183" s="63">
        <v>0</v>
      </c>
      <c r="K183" s="63">
        <v>0</v>
      </c>
      <c r="L183" s="63">
        <v>0</v>
      </c>
      <c r="M183" s="63">
        <v>0</v>
      </c>
      <c r="N183" s="63">
        <v>0</v>
      </c>
      <c r="O183" s="63">
        <v>0</v>
      </c>
      <c r="P183" s="63">
        <v>0</v>
      </c>
      <c r="Q183" s="63">
        <v>0</v>
      </c>
      <c r="R183" s="63">
        <v>0</v>
      </c>
      <c r="S183" s="63">
        <v>0</v>
      </c>
      <c r="T183" s="63">
        <v>0</v>
      </c>
      <c r="U183" s="63">
        <v>0</v>
      </c>
      <c r="V183" s="63">
        <v>0</v>
      </c>
      <c r="W183" s="63">
        <v>0</v>
      </c>
      <c r="X183" s="63">
        <v>0</v>
      </c>
      <c r="Y183" s="63">
        <v>0</v>
      </c>
      <c r="Z183" s="63">
        <v>0</v>
      </c>
      <c r="AA183" s="63">
        <v>0</v>
      </c>
      <c r="AB183" s="63">
        <v>0</v>
      </c>
      <c r="AC183" s="63">
        <v>0</v>
      </c>
      <c r="AD183" s="63">
        <v>0</v>
      </c>
      <c r="AE183" s="63">
        <v>0</v>
      </c>
      <c r="AF183" s="63">
        <v>0</v>
      </c>
      <c r="AG183" s="63">
        <v>0</v>
      </c>
      <c r="AH183" s="63">
        <v>0</v>
      </c>
      <c r="AI183" s="63">
        <v>0</v>
      </c>
      <c r="AJ183" s="63">
        <v>0</v>
      </c>
      <c r="AK183" s="62" t="s">
        <v>467</v>
      </c>
    </row>
    <row r="184" spans="1:37" ht="15" customHeight="1" x14ac:dyDescent="0.2">
      <c r="A184" s="57" t="s">
        <v>1070</v>
      </c>
      <c r="B184" s="60" t="s">
        <v>1002</v>
      </c>
      <c r="C184" s="63">
        <v>13.581099</v>
      </c>
      <c r="D184" s="63">
        <v>14.701447</v>
      </c>
      <c r="E184" s="63">
        <v>14.748251</v>
      </c>
      <c r="F184" s="63">
        <v>14.814557000000001</v>
      </c>
      <c r="G184" s="63">
        <v>15.073176</v>
      </c>
      <c r="H184" s="63">
        <v>15.29209</v>
      </c>
      <c r="I184" s="63">
        <v>15.568918</v>
      </c>
      <c r="J184" s="63">
        <v>15.920766</v>
      </c>
      <c r="K184" s="63">
        <v>16.359932000000001</v>
      </c>
      <c r="L184" s="63">
        <v>16.796824000000001</v>
      </c>
      <c r="M184" s="63">
        <v>17.174116000000001</v>
      </c>
      <c r="N184" s="63">
        <v>17.267616</v>
      </c>
      <c r="O184" s="63">
        <v>17.407450000000001</v>
      </c>
      <c r="P184" s="63">
        <v>17.52383</v>
      </c>
      <c r="Q184" s="63">
        <v>17.549999</v>
      </c>
      <c r="R184" s="63">
        <v>17.560907</v>
      </c>
      <c r="S184" s="63">
        <v>17.595333</v>
      </c>
      <c r="T184" s="63">
        <v>17.558247000000001</v>
      </c>
      <c r="U184" s="63">
        <v>17.499254000000001</v>
      </c>
      <c r="V184" s="63">
        <v>17.538221</v>
      </c>
      <c r="W184" s="63">
        <v>17.578802</v>
      </c>
      <c r="X184" s="63">
        <v>17.597840999999999</v>
      </c>
      <c r="Y184" s="63">
        <v>17.651411</v>
      </c>
      <c r="Z184" s="63">
        <v>17.701248</v>
      </c>
      <c r="AA184" s="63">
        <v>17.75421</v>
      </c>
      <c r="AB184" s="63">
        <v>17.785958999999998</v>
      </c>
      <c r="AC184" s="63">
        <v>17.846937</v>
      </c>
      <c r="AD184" s="63">
        <v>17.905311999999999</v>
      </c>
      <c r="AE184" s="63">
        <v>17.953959999999999</v>
      </c>
      <c r="AF184" s="63">
        <v>17.993053</v>
      </c>
      <c r="AG184" s="63">
        <v>18.019684000000002</v>
      </c>
      <c r="AH184" s="63">
        <v>18.055299999999999</v>
      </c>
      <c r="AI184" s="63">
        <v>18.074691999999999</v>
      </c>
      <c r="AJ184" s="63">
        <v>18.090858000000001</v>
      </c>
      <c r="AK184" s="62">
        <v>6.5040000000000002E-3</v>
      </c>
    </row>
    <row r="185" spans="1:37" ht="15" customHeight="1" x14ac:dyDescent="0.2">
      <c r="B185" s="59" t="s">
        <v>922</v>
      </c>
    </row>
    <row r="186" spans="1:37" ht="15" customHeight="1" x14ac:dyDescent="0.2">
      <c r="A186" s="57" t="s">
        <v>1071</v>
      </c>
      <c r="B186" s="60" t="s">
        <v>903</v>
      </c>
      <c r="C186" s="63">
        <v>9.0215219999999992</v>
      </c>
      <c r="D186" s="63">
        <v>9.5869260000000001</v>
      </c>
      <c r="E186" s="63">
        <v>9.6265389999999993</v>
      </c>
      <c r="F186" s="63">
        <v>9.6713579999999997</v>
      </c>
      <c r="G186" s="63">
        <v>9.9980890000000002</v>
      </c>
      <c r="H186" s="63">
        <v>10.198173000000001</v>
      </c>
      <c r="I186" s="63">
        <v>10.457096</v>
      </c>
      <c r="J186" s="63">
        <v>10.769475</v>
      </c>
      <c r="K186" s="63">
        <v>11.114803999999999</v>
      </c>
      <c r="L186" s="63">
        <v>11.467535</v>
      </c>
      <c r="M186" s="63">
        <v>11.856070000000001</v>
      </c>
      <c r="N186" s="63">
        <v>12.047058</v>
      </c>
      <c r="O186" s="63">
        <v>12.371178</v>
      </c>
      <c r="P186" s="63">
        <v>12.685072999999999</v>
      </c>
      <c r="Q186" s="63">
        <v>12.97297</v>
      </c>
      <c r="R186" s="63">
        <v>13.128185999999999</v>
      </c>
      <c r="S186" s="63">
        <v>13.136378000000001</v>
      </c>
      <c r="T186" s="63">
        <v>13.14312</v>
      </c>
      <c r="U186" s="63">
        <v>13.122807</v>
      </c>
      <c r="V186" s="63">
        <v>13.129058000000001</v>
      </c>
      <c r="W186" s="63">
        <v>13.133602</v>
      </c>
      <c r="X186" s="63">
        <v>13.138983</v>
      </c>
      <c r="Y186" s="63">
        <v>13.1447</v>
      </c>
      <c r="Z186" s="63">
        <v>13.150172</v>
      </c>
      <c r="AA186" s="63">
        <v>13.154643999999999</v>
      </c>
      <c r="AB186" s="63">
        <v>13.157807999999999</v>
      </c>
      <c r="AC186" s="63">
        <v>13.160017</v>
      </c>
      <c r="AD186" s="63">
        <v>13.161431</v>
      </c>
      <c r="AE186" s="63">
        <v>13.162298</v>
      </c>
      <c r="AF186" s="63">
        <v>13.162485</v>
      </c>
      <c r="AG186" s="63">
        <v>13.162436</v>
      </c>
      <c r="AH186" s="63">
        <v>13.162386</v>
      </c>
      <c r="AI186" s="63">
        <v>13.162338</v>
      </c>
      <c r="AJ186" s="63">
        <v>13.162292000000001</v>
      </c>
      <c r="AK186" s="62">
        <v>9.9539999999999993E-3</v>
      </c>
    </row>
    <row r="187" spans="1:37" ht="15" customHeight="1" x14ac:dyDescent="0.2">
      <c r="A187" s="57" t="s">
        <v>1072</v>
      </c>
      <c r="B187" s="60" t="s">
        <v>905</v>
      </c>
      <c r="C187" s="63">
        <v>6.9740010000000003</v>
      </c>
      <c r="D187" s="63">
        <v>7.0326060000000004</v>
      </c>
      <c r="E187" s="63">
        <v>7.0450879999999998</v>
      </c>
      <c r="F187" s="63">
        <v>7.072495</v>
      </c>
      <c r="G187" s="63">
        <v>7.2987489999999999</v>
      </c>
      <c r="H187" s="63">
        <v>7.4181400000000002</v>
      </c>
      <c r="I187" s="63">
        <v>7.5588379999999997</v>
      </c>
      <c r="J187" s="63">
        <v>7.7343580000000003</v>
      </c>
      <c r="K187" s="63">
        <v>7.9420770000000003</v>
      </c>
      <c r="L187" s="63">
        <v>8.1592710000000004</v>
      </c>
      <c r="M187" s="63">
        <v>8.4020440000000001</v>
      </c>
      <c r="N187" s="63">
        <v>8.5293659999999996</v>
      </c>
      <c r="O187" s="63">
        <v>8.7457820000000002</v>
      </c>
      <c r="P187" s="63">
        <v>8.9419620000000002</v>
      </c>
      <c r="Q187" s="63">
        <v>9.1234900000000003</v>
      </c>
      <c r="R187" s="63">
        <v>9.2228720000000006</v>
      </c>
      <c r="S187" s="63">
        <v>9.2202269999999995</v>
      </c>
      <c r="T187" s="63">
        <v>9.2182060000000003</v>
      </c>
      <c r="U187" s="63">
        <v>9.2164409999999997</v>
      </c>
      <c r="V187" s="63">
        <v>9.2147900000000007</v>
      </c>
      <c r="W187" s="63">
        <v>9.2132020000000008</v>
      </c>
      <c r="X187" s="63">
        <v>9.2116790000000002</v>
      </c>
      <c r="Y187" s="63">
        <v>9.2101889999999997</v>
      </c>
      <c r="Z187" s="63">
        <v>9.2143080000000008</v>
      </c>
      <c r="AA187" s="63">
        <v>9.2156929999999999</v>
      </c>
      <c r="AB187" s="63">
        <v>9.2184539999999995</v>
      </c>
      <c r="AC187" s="63">
        <v>9.2225509999999993</v>
      </c>
      <c r="AD187" s="63">
        <v>9.2281259999999996</v>
      </c>
      <c r="AE187" s="63">
        <v>9.2300260000000005</v>
      </c>
      <c r="AF187" s="63">
        <v>9.2395960000000006</v>
      </c>
      <c r="AG187" s="63">
        <v>9.2503949999999993</v>
      </c>
      <c r="AH187" s="63">
        <v>9.2617619999999992</v>
      </c>
      <c r="AI187" s="63">
        <v>9.2729850000000003</v>
      </c>
      <c r="AJ187" s="63">
        <v>9.2835180000000008</v>
      </c>
      <c r="AK187" s="62">
        <v>8.7150000000000005E-3</v>
      </c>
    </row>
    <row r="188" spans="1:37" ht="15" customHeight="1" x14ac:dyDescent="0.2">
      <c r="A188" s="57" t="s">
        <v>1073</v>
      </c>
      <c r="B188" s="60" t="s">
        <v>907</v>
      </c>
      <c r="C188" s="63">
        <v>7.1358129999999997</v>
      </c>
      <c r="D188" s="63">
        <v>7.3166580000000003</v>
      </c>
      <c r="E188" s="63">
        <v>7.1186660000000002</v>
      </c>
      <c r="F188" s="63">
        <v>7.1481459999999997</v>
      </c>
      <c r="G188" s="63">
        <v>7.3861309999999998</v>
      </c>
      <c r="H188" s="63">
        <v>7.5215100000000001</v>
      </c>
      <c r="I188" s="63">
        <v>7.6969979999999998</v>
      </c>
      <c r="J188" s="63">
        <v>7.9151569999999998</v>
      </c>
      <c r="K188" s="63">
        <v>8.1681749999999997</v>
      </c>
      <c r="L188" s="63">
        <v>8.4137740000000001</v>
      </c>
      <c r="M188" s="63">
        <v>8.6583389999999998</v>
      </c>
      <c r="N188" s="63">
        <v>8.7867680000000004</v>
      </c>
      <c r="O188" s="63">
        <v>9.0066159999999993</v>
      </c>
      <c r="P188" s="63">
        <v>9.2061299999999999</v>
      </c>
      <c r="Q188" s="63">
        <v>9.3901640000000004</v>
      </c>
      <c r="R188" s="63">
        <v>9.4890220000000003</v>
      </c>
      <c r="S188" s="63">
        <v>9.4830400000000008</v>
      </c>
      <c r="T188" s="63">
        <v>9.4801690000000001</v>
      </c>
      <c r="U188" s="63">
        <v>9.4774600000000007</v>
      </c>
      <c r="V188" s="63">
        <v>9.4753059999999998</v>
      </c>
      <c r="W188" s="63">
        <v>9.4751779999999997</v>
      </c>
      <c r="X188" s="63">
        <v>9.4750689999999995</v>
      </c>
      <c r="Y188" s="63">
        <v>9.4749750000000006</v>
      </c>
      <c r="Z188" s="63">
        <v>9.4748940000000008</v>
      </c>
      <c r="AA188" s="63">
        <v>9.4748239999999999</v>
      </c>
      <c r="AB188" s="63">
        <v>9.4747640000000004</v>
      </c>
      <c r="AC188" s="63">
        <v>9.4747090000000007</v>
      </c>
      <c r="AD188" s="63">
        <v>9.4746620000000004</v>
      </c>
      <c r="AE188" s="63">
        <v>9.4746190000000006</v>
      </c>
      <c r="AF188" s="63">
        <v>9.4745799999999996</v>
      </c>
      <c r="AG188" s="63">
        <v>9.4745460000000001</v>
      </c>
      <c r="AH188" s="63">
        <v>9.4745170000000005</v>
      </c>
      <c r="AI188" s="63">
        <v>9.4744879999999991</v>
      </c>
      <c r="AJ188" s="63">
        <v>9.4744639999999993</v>
      </c>
      <c r="AK188" s="62">
        <v>8.1089999999999999E-3</v>
      </c>
    </row>
    <row r="189" spans="1:37" ht="15" customHeight="1" x14ac:dyDescent="0.2">
      <c r="A189" s="57" t="s">
        <v>1074</v>
      </c>
      <c r="B189" s="60" t="s">
        <v>909</v>
      </c>
      <c r="C189" s="63">
        <v>6.6287909999999997</v>
      </c>
      <c r="D189" s="63">
        <v>6.9621890000000004</v>
      </c>
      <c r="E189" s="63">
        <v>6.9473669999999998</v>
      </c>
      <c r="F189" s="63">
        <v>6.9997220000000002</v>
      </c>
      <c r="G189" s="63">
        <v>7.2399699999999996</v>
      </c>
      <c r="H189" s="63">
        <v>7.3798769999999996</v>
      </c>
      <c r="I189" s="63">
        <v>7.5642269999999998</v>
      </c>
      <c r="J189" s="63">
        <v>7.7991219999999997</v>
      </c>
      <c r="K189" s="63">
        <v>8.0773320000000002</v>
      </c>
      <c r="L189" s="63">
        <v>8.3759809999999995</v>
      </c>
      <c r="M189" s="63">
        <v>8.6645430000000001</v>
      </c>
      <c r="N189" s="63">
        <v>8.8130799999999994</v>
      </c>
      <c r="O189" s="63">
        <v>9.0532210000000006</v>
      </c>
      <c r="P189" s="63">
        <v>9.2674090000000007</v>
      </c>
      <c r="Q189" s="63">
        <v>9.4595470000000006</v>
      </c>
      <c r="R189" s="63">
        <v>9.5665759999999995</v>
      </c>
      <c r="S189" s="63">
        <v>9.5676380000000005</v>
      </c>
      <c r="T189" s="63">
        <v>9.5698080000000001</v>
      </c>
      <c r="U189" s="63">
        <v>9.5722400000000007</v>
      </c>
      <c r="V189" s="63">
        <v>9.5746719999999996</v>
      </c>
      <c r="W189" s="63">
        <v>9.5778040000000004</v>
      </c>
      <c r="X189" s="63">
        <v>9.5812939999999998</v>
      </c>
      <c r="Y189" s="63">
        <v>9.5860559999999992</v>
      </c>
      <c r="Z189" s="63">
        <v>9.5909189999999995</v>
      </c>
      <c r="AA189" s="63">
        <v>9.5956630000000001</v>
      </c>
      <c r="AB189" s="63">
        <v>9.5997249999999994</v>
      </c>
      <c r="AC189" s="63">
        <v>9.603548</v>
      </c>
      <c r="AD189" s="63">
        <v>9.6097180000000009</v>
      </c>
      <c r="AE189" s="63">
        <v>9.6148190000000007</v>
      </c>
      <c r="AF189" s="63">
        <v>9.6177879999999991</v>
      </c>
      <c r="AG189" s="63">
        <v>9.6205890000000007</v>
      </c>
      <c r="AH189" s="63">
        <v>9.6267289999999992</v>
      </c>
      <c r="AI189" s="63">
        <v>9.6340859999999999</v>
      </c>
      <c r="AJ189" s="63">
        <v>9.6398890000000002</v>
      </c>
      <c r="AK189" s="62">
        <v>1.0220999999999999E-2</v>
      </c>
    </row>
    <row r="190" spans="1:37" ht="15" customHeight="1" x14ac:dyDescent="0.2">
      <c r="A190" s="57" t="s">
        <v>1075</v>
      </c>
      <c r="B190" s="60" t="s">
        <v>911</v>
      </c>
      <c r="C190" s="63">
        <v>7.1736610000000001</v>
      </c>
      <c r="D190" s="63">
        <v>6.997744</v>
      </c>
      <c r="E190" s="63">
        <v>7.0105810000000002</v>
      </c>
      <c r="F190" s="63">
        <v>7.0360399999999998</v>
      </c>
      <c r="G190" s="63">
        <v>7.260027</v>
      </c>
      <c r="H190" s="63">
        <v>7.3769590000000003</v>
      </c>
      <c r="I190" s="63">
        <v>7.5177040000000002</v>
      </c>
      <c r="J190" s="63">
        <v>7.6889469999999998</v>
      </c>
      <c r="K190" s="63">
        <v>7.890841</v>
      </c>
      <c r="L190" s="63">
        <v>8.1039569999999994</v>
      </c>
      <c r="M190" s="63">
        <v>8.3419349999999994</v>
      </c>
      <c r="N190" s="63">
        <v>8.4687040000000007</v>
      </c>
      <c r="O190" s="63">
        <v>8.6833939999999998</v>
      </c>
      <c r="P190" s="63">
        <v>8.8794730000000008</v>
      </c>
      <c r="Q190" s="63">
        <v>9.0629760000000008</v>
      </c>
      <c r="R190" s="63">
        <v>9.1643620000000006</v>
      </c>
      <c r="S190" s="63">
        <v>9.1634949999999993</v>
      </c>
      <c r="T190" s="63">
        <v>9.1627729999999996</v>
      </c>
      <c r="U190" s="63">
        <v>9.162172</v>
      </c>
      <c r="V190" s="63">
        <v>9.1616850000000003</v>
      </c>
      <c r="W190" s="63">
        <v>9.1612869999999997</v>
      </c>
      <c r="X190" s="63">
        <v>9.1609660000000002</v>
      </c>
      <c r="Y190" s="63">
        <v>9.1607129999999994</v>
      </c>
      <c r="Z190" s="63">
        <v>9.1668850000000006</v>
      </c>
      <c r="AA190" s="63">
        <v>9.1697310000000005</v>
      </c>
      <c r="AB190" s="63">
        <v>9.1738520000000001</v>
      </c>
      <c r="AC190" s="63">
        <v>9.1795249999999999</v>
      </c>
      <c r="AD190" s="63">
        <v>9.1869700000000005</v>
      </c>
      <c r="AE190" s="63">
        <v>9.1925550000000005</v>
      </c>
      <c r="AF190" s="63">
        <v>9.2042129999999993</v>
      </c>
      <c r="AG190" s="63">
        <v>9.2171719999999997</v>
      </c>
      <c r="AH190" s="63">
        <v>9.2306729999999995</v>
      </c>
      <c r="AI190" s="63">
        <v>9.2438380000000002</v>
      </c>
      <c r="AJ190" s="63">
        <v>9.2559710000000006</v>
      </c>
      <c r="AK190" s="62">
        <v>8.7779999999999993E-3</v>
      </c>
    </row>
    <row r="191" spans="1:37" ht="15" customHeight="1" x14ac:dyDescent="0.2">
      <c r="A191" s="57" t="s">
        <v>1076</v>
      </c>
      <c r="B191" s="60" t="s">
        <v>913</v>
      </c>
      <c r="C191" s="63">
        <v>15.166945</v>
      </c>
      <c r="D191" s="63">
        <v>16.819814999999998</v>
      </c>
      <c r="E191" s="63">
        <v>16.983899999999998</v>
      </c>
      <c r="F191" s="63">
        <v>17.036954999999999</v>
      </c>
      <c r="G191" s="63">
        <v>17.520826</v>
      </c>
      <c r="H191" s="63">
        <v>17.736982000000001</v>
      </c>
      <c r="I191" s="63">
        <v>18.025956999999998</v>
      </c>
      <c r="J191" s="63">
        <v>18.431498000000001</v>
      </c>
      <c r="K191" s="63">
        <v>18.927897999999999</v>
      </c>
      <c r="L191" s="63">
        <v>19.5002</v>
      </c>
      <c r="M191" s="63">
        <v>20.083714000000001</v>
      </c>
      <c r="N191" s="63">
        <v>20.337225</v>
      </c>
      <c r="O191" s="63">
        <v>20.898678</v>
      </c>
      <c r="P191" s="63">
        <v>21.383772</v>
      </c>
      <c r="Q191" s="63">
        <v>21.795856000000001</v>
      </c>
      <c r="R191" s="63">
        <v>22.070501</v>
      </c>
      <c r="S191" s="63">
        <v>22.180422</v>
      </c>
      <c r="T191" s="63">
        <v>22.217096000000002</v>
      </c>
      <c r="U191" s="63">
        <v>22.232544000000001</v>
      </c>
      <c r="V191" s="63">
        <v>22.232544000000001</v>
      </c>
      <c r="W191" s="63">
        <v>22.232544000000001</v>
      </c>
      <c r="X191" s="63">
        <v>22.232541999999999</v>
      </c>
      <c r="Y191" s="63">
        <v>22.232541999999999</v>
      </c>
      <c r="Z191" s="63">
        <v>22.232544000000001</v>
      </c>
      <c r="AA191" s="63">
        <v>22.232541999999999</v>
      </c>
      <c r="AB191" s="63">
        <v>22.232541999999999</v>
      </c>
      <c r="AC191" s="63">
        <v>22.232541999999999</v>
      </c>
      <c r="AD191" s="63">
        <v>22.232541999999999</v>
      </c>
      <c r="AE191" s="63">
        <v>22.232544000000001</v>
      </c>
      <c r="AF191" s="63">
        <v>22.232541999999999</v>
      </c>
      <c r="AG191" s="63">
        <v>22.232544000000001</v>
      </c>
      <c r="AH191" s="63">
        <v>22.232541999999999</v>
      </c>
      <c r="AI191" s="63">
        <v>22.232541999999999</v>
      </c>
      <c r="AJ191" s="63">
        <v>22.232541999999999</v>
      </c>
      <c r="AK191" s="62">
        <v>8.7569999999999992E-3</v>
      </c>
    </row>
    <row r="192" spans="1:37" ht="15" customHeight="1" x14ac:dyDescent="0.2">
      <c r="A192" s="57" t="s">
        <v>1077</v>
      </c>
      <c r="B192" s="60" t="s">
        <v>915</v>
      </c>
      <c r="C192" s="63">
        <v>0</v>
      </c>
      <c r="D192" s="63">
        <v>14.113035999999999</v>
      </c>
      <c r="E192" s="63">
        <v>14.401681999999999</v>
      </c>
      <c r="F192" s="63">
        <v>14.516216999999999</v>
      </c>
      <c r="G192" s="63">
        <v>15.038576000000001</v>
      </c>
      <c r="H192" s="63">
        <v>15.393996</v>
      </c>
      <c r="I192" s="63">
        <v>15.860334</v>
      </c>
      <c r="J192" s="63">
        <v>16.342506</v>
      </c>
      <c r="K192" s="63">
        <v>16.844891000000001</v>
      </c>
      <c r="L192" s="63">
        <v>17.369620999999999</v>
      </c>
      <c r="M192" s="63">
        <v>17.956704999999999</v>
      </c>
      <c r="N192" s="63">
        <v>18.160402000000001</v>
      </c>
      <c r="O192" s="63">
        <v>18.623778999999999</v>
      </c>
      <c r="P192" s="63">
        <v>19.028113999999999</v>
      </c>
      <c r="Q192" s="63">
        <v>19.373159000000001</v>
      </c>
      <c r="R192" s="63">
        <v>19.574472</v>
      </c>
      <c r="S192" s="63">
        <v>19.501100999999998</v>
      </c>
      <c r="T192" s="63">
        <v>19.583127999999999</v>
      </c>
      <c r="U192" s="63">
        <v>19.621297999999999</v>
      </c>
      <c r="V192" s="63">
        <v>19.701381999999999</v>
      </c>
      <c r="W192" s="63">
        <v>19.758365999999999</v>
      </c>
      <c r="X192" s="63">
        <v>19.810752999999998</v>
      </c>
      <c r="Y192" s="63">
        <v>19.863636</v>
      </c>
      <c r="Z192" s="63">
        <v>19.914277999999999</v>
      </c>
      <c r="AA192" s="63">
        <v>19.959820000000001</v>
      </c>
      <c r="AB192" s="63">
        <v>19.998438</v>
      </c>
      <c r="AC192" s="63">
        <v>20.029474</v>
      </c>
      <c r="AD192" s="63">
        <v>20.053158</v>
      </c>
      <c r="AE192" s="63">
        <v>20.071118999999999</v>
      </c>
      <c r="AF192" s="63">
        <v>20.084150000000001</v>
      </c>
      <c r="AG192" s="63">
        <v>20.092699</v>
      </c>
      <c r="AH192" s="63">
        <v>20.092457</v>
      </c>
      <c r="AI192" s="63">
        <v>20.092279000000001</v>
      </c>
      <c r="AJ192" s="63">
        <v>20.092175000000001</v>
      </c>
      <c r="AK192" s="62">
        <v>1.11E-2</v>
      </c>
    </row>
    <row r="193" spans="1:37" ht="15" customHeight="1" x14ac:dyDescent="0.2">
      <c r="A193" s="57" t="s">
        <v>1078</v>
      </c>
      <c r="B193" s="60" t="s">
        <v>917</v>
      </c>
      <c r="C193" s="63">
        <v>0</v>
      </c>
      <c r="D193" s="63">
        <v>10.272853</v>
      </c>
      <c r="E193" s="63">
        <v>10.382417999999999</v>
      </c>
      <c r="F193" s="63">
        <v>10.434157000000001</v>
      </c>
      <c r="G193" s="63">
        <v>10.771236999999999</v>
      </c>
      <c r="H193" s="63">
        <v>10.967269</v>
      </c>
      <c r="I193" s="63">
        <v>11.226281</v>
      </c>
      <c r="J193" s="63">
        <v>11.553718</v>
      </c>
      <c r="K193" s="63">
        <v>11.940467</v>
      </c>
      <c r="L193" s="63">
        <v>12.351609</v>
      </c>
      <c r="M193" s="63">
        <v>12.798921</v>
      </c>
      <c r="N193" s="63">
        <v>12.969849</v>
      </c>
      <c r="O193" s="63">
        <v>13.342921</v>
      </c>
      <c r="P193" s="63">
        <v>13.655165999999999</v>
      </c>
      <c r="Q193" s="63">
        <v>13.924754</v>
      </c>
      <c r="R193" s="63">
        <v>14.104486</v>
      </c>
      <c r="S193" s="63">
        <v>14.180408</v>
      </c>
      <c r="T193" s="63">
        <v>14.205746</v>
      </c>
      <c r="U193" s="63">
        <v>14.211041</v>
      </c>
      <c r="V193" s="63">
        <v>14.211041</v>
      </c>
      <c r="W193" s="63">
        <v>14.211041</v>
      </c>
      <c r="X193" s="63">
        <v>14.211041</v>
      </c>
      <c r="Y193" s="63">
        <v>14.211042000000001</v>
      </c>
      <c r="Z193" s="63">
        <v>14.211041</v>
      </c>
      <c r="AA193" s="63">
        <v>14.211042000000001</v>
      </c>
      <c r="AB193" s="63">
        <v>14.211042000000001</v>
      </c>
      <c r="AC193" s="63">
        <v>14.211041</v>
      </c>
      <c r="AD193" s="63">
        <v>14.211042000000001</v>
      </c>
      <c r="AE193" s="63">
        <v>14.211041</v>
      </c>
      <c r="AF193" s="63">
        <v>14.211041</v>
      </c>
      <c r="AG193" s="63">
        <v>14.211042000000001</v>
      </c>
      <c r="AH193" s="63">
        <v>14.211041</v>
      </c>
      <c r="AI193" s="63">
        <v>14.211042000000001</v>
      </c>
      <c r="AJ193" s="63">
        <v>14.211041</v>
      </c>
      <c r="AK193" s="62">
        <v>1.0193000000000001E-2</v>
      </c>
    </row>
    <row r="194" spans="1:37" ht="15" customHeight="1" x14ac:dyDescent="0.2">
      <c r="A194" s="57" t="s">
        <v>1079</v>
      </c>
      <c r="B194" s="60" t="s">
        <v>919</v>
      </c>
      <c r="C194" s="63">
        <v>0</v>
      </c>
      <c r="D194" s="63">
        <v>11.520417999999999</v>
      </c>
      <c r="E194" s="63">
        <v>11.520415</v>
      </c>
      <c r="F194" s="63">
        <v>11.520415</v>
      </c>
      <c r="G194" s="63">
        <v>11.520415</v>
      </c>
      <c r="H194" s="63">
        <v>11.520415</v>
      </c>
      <c r="I194" s="63">
        <v>11.520415</v>
      </c>
      <c r="J194" s="63">
        <v>11.520413</v>
      </c>
      <c r="K194" s="63">
        <v>11.520414000000001</v>
      </c>
      <c r="L194" s="63">
        <v>11.520415</v>
      </c>
      <c r="M194" s="63">
        <v>11.520415</v>
      </c>
      <c r="N194" s="63">
        <v>11.520415</v>
      </c>
      <c r="O194" s="63">
        <v>11.520415</v>
      </c>
      <c r="P194" s="63">
        <v>11.520414000000001</v>
      </c>
      <c r="Q194" s="63">
        <v>11.520415</v>
      </c>
      <c r="R194" s="63">
        <v>11.520414000000001</v>
      </c>
      <c r="S194" s="63">
        <v>11.520414000000001</v>
      </c>
      <c r="T194" s="63">
        <v>11.520415</v>
      </c>
      <c r="U194" s="63">
        <v>11.520415</v>
      </c>
      <c r="V194" s="63">
        <v>11.520415</v>
      </c>
      <c r="W194" s="63">
        <v>11.520414000000001</v>
      </c>
      <c r="X194" s="63">
        <v>11.520415</v>
      </c>
      <c r="Y194" s="63">
        <v>11.520415</v>
      </c>
      <c r="Z194" s="63">
        <v>11.520414000000001</v>
      </c>
      <c r="AA194" s="63">
        <v>11.520415</v>
      </c>
      <c r="AB194" s="63">
        <v>11.520415</v>
      </c>
      <c r="AC194" s="63">
        <v>11.520414000000001</v>
      </c>
      <c r="AD194" s="63">
        <v>11.520414000000001</v>
      </c>
      <c r="AE194" s="63">
        <v>11.520414000000001</v>
      </c>
      <c r="AF194" s="63">
        <v>11.520415</v>
      </c>
      <c r="AG194" s="63">
        <v>11.520415</v>
      </c>
      <c r="AH194" s="63">
        <v>11.520415</v>
      </c>
      <c r="AI194" s="63">
        <v>11.520415</v>
      </c>
      <c r="AJ194" s="63">
        <v>11.520415</v>
      </c>
      <c r="AK194" s="62">
        <v>0</v>
      </c>
    </row>
    <row r="195" spans="1:37" ht="15" customHeight="1" x14ac:dyDescent="0.2">
      <c r="A195" s="57" t="s">
        <v>1080</v>
      </c>
      <c r="B195" s="60" t="s">
        <v>1013</v>
      </c>
      <c r="C195" s="63">
        <v>8.4333709999999993</v>
      </c>
      <c r="D195" s="63">
        <v>8.8237459999999999</v>
      </c>
      <c r="E195" s="63">
        <v>8.8532039999999999</v>
      </c>
      <c r="F195" s="63">
        <v>8.8928840000000005</v>
      </c>
      <c r="G195" s="63">
        <v>9.1885560000000002</v>
      </c>
      <c r="H195" s="63">
        <v>9.3672830000000005</v>
      </c>
      <c r="I195" s="63">
        <v>9.5824759999999998</v>
      </c>
      <c r="J195" s="63">
        <v>9.8418810000000008</v>
      </c>
      <c r="K195" s="63">
        <v>10.136348</v>
      </c>
      <c r="L195" s="63">
        <v>10.442803</v>
      </c>
      <c r="M195" s="63">
        <v>10.783436</v>
      </c>
      <c r="N195" s="63">
        <v>10.949768000000001</v>
      </c>
      <c r="O195" s="63">
        <v>11.236462</v>
      </c>
      <c r="P195" s="63">
        <v>11.510793</v>
      </c>
      <c r="Q195" s="63">
        <v>11.764540999999999</v>
      </c>
      <c r="R195" s="63">
        <v>11.903606999999999</v>
      </c>
      <c r="S195" s="63">
        <v>11.911607999999999</v>
      </c>
      <c r="T195" s="63">
        <v>11.919383</v>
      </c>
      <c r="U195" s="63">
        <v>11.910311999999999</v>
      </c>
      <c r="V195" s="63">
        <v>11.917840999999999</v>
      </c>
      <c r="W195" s="63">
        <v>11.924322</v>
      </c>
      <c r="X195" s="63">
        <v>11.931355</v>
      </c>
      <c r="Y195" s="63">
        <v>11.93863</v>
      </c>
      <c r="Z195" s="63">
        <v>11.948675</v>
      </c>
      <c r="AA195" s="63">
        <v>11.95804</v>
      </c>
      <c r="AB195" s="63">
        <v>11.9672</v>
      </c>
      <c r="AC195" s="63">
        <v>11.976357999999999</v>
      </c>
      <c r="AD195" s="63">
        <v>11.985683999999999</v>
      </c>
      <c r="AE195" s="63">
        <v>11.993372000000001</v>
      </c>
      <c r="AF195" s="63">
        <v>12.003622</v>
      </c>
      <c r="AG195" s="63">
        <v>12.014277</v>
      </c>
      <c r="AH195" s="63">
        <v>12.025264</v>
      </c>
      <c r="AI195" s="63">
        <v>12.036317</v>
      </c>
      <c r="AJ195" s="63">
        <v>12.046656</v>
      </c>
      <c r="AK195" s="62">
        <v>9.7769999999999992E-3</v>
      </c>
    </row>
    <row r="196" spans="1:37" ht="15" customHeight="1" x14ac:dyDescent="0.2">
      <c r="B196" s="59" t="s">
        <v>934</v>
      </c>
    </row>
    <row r="197" spans="1:37" ht="15" customHeight="1" x14ac:dyDescent="0.2">
      <c r="A197" s="57" t="s">
        <v>1081</v>
      </c>
      <c r="B197" s="60" t="s">
        <v>903</v>
      </c>
      <c r="C197" s="63">
        <v>6.5998830000000002</v>
      </c>
      <c r="D197" s="63">
        <v>6.820227</v>
      </c>
      <c r="E197" s="63">
        <v>6.86076</v>
      </c>
      <c r="F197" s="63">
        <v>6.917414</v>
      </c>
      <c r="G197" s="63">
        <v>6.9947650000000001</v>
      </c>
      <c r="H197" s="63">
        <v>7.1021879999999999</v>
      </c>
      <c r="I197" s="63">
        <v>7.2309960000000002</v>
      </c>
      <c r="J197" s="63">
        <v>7.4026180000000004</v>
      </c>
      <c r="K197" s="63">
        <v>7.6006549999999997</v>
      </c>
      <c r="L197" s="63">
        <v>7.819922</v>
      </c>
      <c r="M197" s="63">
        <v>8.0449830000000002</v>
      </c>
      <c r="N197" s="63">
        <v>8.160266</v>
      </c>
      <c r="O197" s="63">
        <v>8.3217739999999996</v>
      </c>
      <c r="P197" s="63">
        <v>8.4549970000000005</v>
      </c>
      <c r="Q197" s="63">
        <v>8.5703829999999996</v>
      </c>
      <c r="R197" s="63">
        <v>8.6325040000000008</v>
      </c>
      <c r="S197" s="63">
        <v>8.6383469999999996</v>
      </c>
      <c r="T197" s="63">
        <v>8.6438500000000005</v>
      </c>
      <c r="U197" s="63">
        <v>8.6438269999999999</v>
      </c>
      <c r="V197" s="63">
        <v>8.6476819999999996</v>
      </c>
      <c r="W197" s="63">
        <v>8.6504359999999991</v>
      </c>
      <c r="X197" s="63">
        <v>8.6506319999999999</v>
      </c>
      <c r="Y197" s="63">
        <v>8.6511499999999995</v>
      </c>
      <c r="Z197" s="63">
        <v>8.6515769999999996</v>
      </c>
      <c r="AA197" s="63">
        <v>8.6524570000000001</v>
      </c>
      <c r="AB197" s="63">
        <v>8.6535309999999992</v>
      </c>
      <c r="AC197" s="63">
        <v>8.654325</v>
      </c>
      <c r="AD197" s="63">
        <v>8.6551189999999991</v>
      </c>
      <c r="AE197" s="63">
        <v>8.6559670000000004</v>
      </c>
      <c r="AF197" s="63">
        <v>8.6568950000000005</v>
      </c>
      <c r="AG197" s="63">
        <v>8.6579339999999991</v>
      </c>
      <c r="AH197" s="63">
        <v>8.6591179999999994</v>
      </c>
      <c r="AI197" s="63">
        <v>8.6604880000000009</v>
      </c>
      <c r="AJ197" s="63">
        <v>8.6625449999999997</v>
      </c>
      <c r="AK197" s="62">
        <v>7.4999999999999997E-3</v>
      </c>
    </row>
    <row r="198" spans="1:37" ht="15" customHeight="1" x14ac:dyDescent="0.2">
      <c r="A198" s="57" t="s">
        <v>1082</v>
      </c>
      <c r="B198" s="60" t="s">
        <v>905</v>
      </c>
      <c r="C198" s="63">
        <v>6.3706759999999996</v>
      </c>
      <c r="D198" s="63">
        <v>5.9342560000000004</v>
      </c>
      <c r="E198" s="63">
        <v>6.0221549999999997</v>
      </c>
      <c r="F198" s="63">
        <v>6.0603389999999999</v>
      </c>
      <c r="G198" s="63">
        <v>6.2222809999999997</v>
      </c>
      <c r="H198" s="63">
        <v>6.3260430000000003</v>
      </c>
      <c r="I198" s="63">
        <v>6.4539220000000004</v>
      </c>
      <c r="J198" s="63">
        <v>6.6006739999999997</v>
      </c>
      <c r="K198" s="63">
        <v>6.7684129999999998</v>
      </c>
      <c r="L198" s="63">
        <v>6.9433809999999996</v>
      </c>
      <c r="M198" s="63">
        <v>7.1201920000000003</v>
      </c>
      <c r="N198" s="63">
        <v>7.1870960000000004</v>
      </c>
      <c r="O198" s="63">
        <v>7.3247920000000004</v>
      </c>
      <c r="P198" s="63">
        <v>7.4497840000000002</v>
      </c>
      <c r="Q198" s="63">
        <v>7.5597580000000004</v>
      </c>
      <c r="R198" s="63">
        <v>7.6179129999999997</v>
      </c>
      <c r="S198" s="63">
        <v>7.6163230000000004</v>
      </c>
      <c r="T198" s="63">
        <v>7.6151249999999999</v>
      </c>
      <c r="U198" s="63">
        <v>7.6142459999999996</v>
      </c>
      <c r="V198" s="63">
        <v>7.6136999999999997</v>
      </c>
      <c r="W198" s="63">
        <v>7.6134240000000002</v>
      </c>
      <c r="X198" s="63">
        <v>7.586328</v>
      </c>
      <c r="Y198" s="63">
        <v>7.5786600000000002</v>
      </c>
      <c r="Z198" s="63">
        <v>7.581442</v>
      </c>
      <c r="AA198" s="63">
        <v>7.5856089999999998</v>
      </c>
      <c r="AB198" s="63">
        <v>7.5916009999999998</v>
      </c>
      <c r="AC198" s="63">
        <v>7.5997159999999999</v>
      </c>
      <c r="AD198" s="63">
        <v>7.6098660000000002</v>
      </c>
      <c r="AE198" s="63">
        <v>7.6203649999999996</v>
      </c>
      <c r="AF198" s="63">
        <v>7.622973</v>
      </c>
      <c r="AG198" s="63">
        <v>7.6255889999999997</v>
      </c>
      <c r="AH198" s="63">
        <v>7.6280409999999996</v>
      </c>
      <c r="AI198" s="63">
        <v>7.6301819999999996</v>
      </c>
      <c r="AJ198" s="63">
        <v>7.6319319999999999</v>
      </c>
      <c r="AK198" s="62">
        <v>7.8930000000000007E-3</v>
      </c>
    </row>
    <row r="199" spans="1:37" ht="15" customHeight="1" x14ac:dyDescent="0.2">
      <c r="A199" s="57" t="s">
        <v>1083</v>
      </c>
      <c r="B199" s="60" t="s">
        <v>907</v>
      </c>
      <c r="C199" s="63">
        <v>5.472283</v>
      </c>
      <c r="D199" s="63">
        <v>6.3757919999999997</v>
      </c>
      <c r="E199" s="63">
        <v>6.2913420000000002</v>
      </c>
      <c r="F199" s="63">
        <v>6.3214550000000003</v>
      </c>
      <c r="G199" s="63">
        <v>6.498996</v>
      </c>
      <c r="H199" s="63">
        <v>6.6021470000000004</v>
      </c>
      <c r="I199" s="63">
        <v>6.7340999999999998</v>
      </c>
      <c r="J199" s="63">
        <v>6.897856</v>
      </c>
      <c r="K199" s="63">
        <v>7.084962</v>
      </c>
      <c r="L199" s="63">
        <v>7.2561249999999999</v>
      </c>
      <c r="M199" s="63">
        <v>7.4305979999999998</v>
      </c>
      <c r="N199" s="63">
        <v>7.515549</v>
      </c>
      <c r="O199" s="63">
        <v>7.6664859999999999</v>
      </c>
      <c r="P199" s="63">
        <v>7.7892450000000002</v>
      </c>
      <c r="Q199" s="63">
        <v>7.8947180000000001</v>
      </c>
      <c r="R199" s="63">
        <v>7.9374390000000004</v>
      </c>
      <c r="S199" s="63">
        <v>7.918069</v>
      </c>
      <c r="T199" s="63">
        <v>7.8962510000000004</v>
      </c>
      <c r="U199" s="63">
        <v>7.8722089999999998</v>
      </c>
      <c r="V199" s="63">
        <v>7.847512</v>
      </c>
      <c r="W199" s="63">
        <v>7.8242529999999997</v>
      </c>
      <c r="X199" s="63">
        <v>7.803267</v>
      </c>
      <c r="Y199" s="63">
        <v>7.7834240000000001</v>
      </c>
      <c r="Z199" s="63">
        <v>7.7639300000000002</v>
      </c>
      <c r="AA199" s="63">
        <v>7.7459350000000002</v>
      </c>
      <c r="AB199" s="63">
        <v>7.7288389999999998</v>
      </c>
      <c r="AC199" s="63">
        <v>7.7121820000000003</v>
      </c>
      <c r="AD199" s="63">
        <v>7.6964079999999999</v>
      </c>
      <c r="AE199" s="63">
        <v>7.6817260000000003</v>
      </c>
      <c r="AF199" s="63">
        <v>7.6681439999999998</v>
      </c>
      <c r="AG199" s="63">
        <v>7.6550539999999998</v>
      </c>
      <c r="AH199" s="63">
        <v>7.642557</v>
      </c>
      <c r="AI199" s="63">
        <v>7.6304959999999999</v>
      </c>
      <c r="AJ199" s="63">
        <v>7.6181869999999998</v>
      </c>
      <c r="AK199" s="62">
        <v>5.5789999999999998E-3</v>
      </c>
    </row>
    <row r="200" spans="1:37" ht="15" customHeight="1" x14ac:dyDescent="0.2">
      <c r="A200" s="57" t="s">
        <v>1084</v>
      </c>
      <c r="B200" s="60" t="s">
        <v>909</v>
      </c>
      <c r="C200" s="63">
        <v>6.2446219999999997</v>
      </c>
      <c r="D200" s="63">
        <v>6.4314840000000002</v>
      </c>
      <c r="E200" s="63">
        <v>6.4930830000000004</v>
      </c>
      <c r="F200" s="63">
        <v>6.5526460000000002</v>
      </c>
      <c r="G200" s="63">
        <v>6.71814</v>
      </c>
      <c r="H200" s="63">
        <v>6.8485290000000001</v>
      </c>
      <c r="I200" s="63">
        <v>7.0071519999999996</v>
      </c>
      <c r="J200" s="63">
        <v>7.1965849999999998</v>
      </c>
      <c r="K200" s="63">
        <v>7.4073640000000003</v>
      </c>
      <c r="L200" s="63">
        <v>7.6246140000000002</v>
      </c>
      <c r="M200" s="63">
        <v>7.8459450000000004</v>
      </c>
      <c r="N200" s="63">
        <v>7.9354319999999996</v>
      </c>
      <c r="O200" s="63">
        <v>8.0887170000000008</v>
      </c>
      <c r="P200" s="63">
        <v>8.2131900000000009</v>
      </c>
      <c r="Q200" s="63">
        <v>8.3214070000000007</v>
      </c>
      <c r="R200" s="63">
        <v>8.3916989999999991</v>
      </c>
      <c r="S200" s="63">
        <v>8.4112439999999999</v>
      </c>
      <c r="T200" s="63">
        <v>8.4175550000000001</v>
      </c>
      <c r="U200" s="63">
        <v>8.4157740000000008</v>
      </c>
      <c r="V200" s="63">
        <v>8.4074190000000009</v>
      </c>
      <c r="W200" s="63">
        <v>8.4085149999999995</v>
      </c>
      <c r="X200" s="63">
        <v>8.4071040000000004</v>
      </c>
      <c r="Y200" s="63">
        <v>8.4063400000000001</v>
      </c>
      <c r="Z200" s="63">
        <v>8.4057860000000009</v>
      </c>
      <c r="AA200" s="63">
        <v>8.4053570000000004</v>
      </c>
      <c r="AB200" s="63">
        <v>8.4049870000000002</v>
      </c>
      <c r="AC200" s="63">
        <v>8.4046520000000005</v>
      </c>
      <c r="AD200" s="63">
        <v>8.4033149999999992</v>
      </c>
      <c r="AE200" s="63">
        <v>8.4015920000000008</v>
      </c>
      <c r="AF200" s="63">
        <v>8.3994710000000001</v>
      </c>
      <c r="AG200" s="63">
        <v>8.3954830000000005</v>
      </c>
      <c r="AH200" s="63">
        <v>8.3880909999999993</v>
      </c>
      <c r="AI200" s="63">
        <v>8.3803570000000001</v>
      </c>
      <c r="AJ200" s="63">
        <v>8.3667219999999993</v>
      </c>
      <c r="AK200" s="62">
        <v>8.2539999999999992E-3</v>
      </c>
    </row>
    <row r="201" spans="1:37" ht="15" customHeight="1" x14ac:dyDescent="0.2">
      <c r="A201" s="57" t="s">
        <v>1085</v>
      </c>
      <c r="B201" s="60" t="s">
        <v>911</v>
      </c>
      <c r="C201" s="63">
        <v>0</v>
      </c>
      <c r="D201" s="63">
        <v>0</v>
      </c>
      <c r="E201" s="63">
        <v>0</v>
      </c>
      <c r="F201" s="63">
        <v>0</v>
      </c>
      <c r="G201" s="63">
        <v>0</v>
      </c>
      <c r="H201" s="63">
        <v>0</v>
      </c>
      <c r="I201" s="63">
        <v>0</v>
      </c>
      <c r="J201" s="63">
        <v>0</v>
      </c>
      <c r="K201" s="63">
        <v>0</v>
      </c>
      <c r="L201" s="63">
        <v>0</v>
      </c>
      <c r="M201" s="63">
        <v>0</v>
      </c>
      <c r="N201" s="63">
        <v>0</v>
      </c>
      <c r="O201" s="63">
        <v>0</v>
      </c>
      <c r="P201" s="63">
        <v>0</v>
      </c>
      <c r="Q201" s="63">
        <v>0</v>
      </c>
      <c r="R201" s="63">
        <v>0</v>
      </c>
      <c r="S201" s="63">
        <v>0</v>
      </c>
      <c r="T201" s="63">
        <v>0</v>
      </c>
      <c r="U201" s="63">
        <v>0</v>
      </c>
      <c r="V201" s="63">
        <v>0</v>
      </c>
      <c r="W201" s="63">
        <v>0</v>
      </c>
      <c r="X201" s="63">
        <v>0</v>
      </c>
      <c r="Y201" s="63">
        <v>0</v>
      </c>
      <c r="Z201" s="63">
        <v>0</v>
      </c>
      <c r="AA201" s="63">
        <v>0</v>
      </c>
      <c r="AB201" s="63">
        <v>0</v>
      </c>
      <c r="AC201" s="63">
        <v>0</v>
      </c>
      <c r="AD201" s="63">
        <v>0</v>
      </c>
      <c r="AE201" s="63">
        <v>0</v>
      </c>
      <c r="AF201" s="63">
        <v>0</v>
      </c>
      <c r="AG201" s="63">
        <v>0</v>
      </c>
      <c r="AH201" s="63">
        <v>0</v>
      </c>
      <c r="AI201" s="63">
        <v>0</v>
      </c>
      <c r="AJ201" s="63">
        <v>0</v>
      </c>
      <c r="AK201" s="62" t="s">
        <v>467</v>
      </c>
    </row>
    <row r="202" spans="1:37" ht="15" customHeight="1" x14ac:dyDescent="0.2">
      <c r="A202" s="57" t="s">
        <v>1086</v>
      </c>
      <c r="B202" s="60" t="s">
        <v>913</v>
      </c>
      <c r="C202" s="63">
        <v>0</v>
      </c>
      <c r="D202" s="63">
        <v>7.9114659999999999</v>
      </c>
      <c r="E202" s="63">
        <v>11.871566</v>
      </c>
      <c r="F202" s="63">
        <v>11.904978</v>
      </c>
      <c r="G202" s="63">
        <v>12.160323999999999</v>
      </c>
      <c r="H202" s="63">
        <v>12.288104000000001</v>
      </c>
      <c r="I202" s="63">
        <v>12.457964</v>
      </c>
      <c r="J202" s="63">
        <v>12.677249</v>
      </c>
      <c r="K202" s="63">
        <v>12.923068000000001</v>
      </c>
      <c r="L202" s="63">
        <v>13.201089</v>
      </c>
      <c r="M202" s="63">
        <v>13.500767</v>
      </c>
      <c r="N202" s="63">
        <v>13.624096</v>
      </c>
      <c r="O202" s="63">
        <v>13.892499000000001</v>
      </c>
      <c r="P202" s="63">
        <v>14.139872</v>
      </c>
      <c r="Q202" s="63">
        <v>14.354289</v>
      </c>
      <c r="R202" s="63">
        <v>14.48175</v>
      </c>
      <c r="S202" s="63">
        <v>14.504619999999999</v>
      </c>
      <c r="T202" s="63">
        <v>14.519325</v>
      </c>
      <c r="U202" s="63">
        <v>14.520246999999999</v>
      </c>
      <c r="V202" s="63">
        <v>14.52</v>
      </c>
      <c r="W202" s="63">
        <v>14.519045</v>
      </c>
      <c r="X202" s="63">
        <v>14.518165</v>
      </c>
      <c r="Y202" s="63">
        <v>14.517346999999999</v>
      </c>
      <c r="Z202" s="63">
        <v>14.516572</v>
      </c>
      <c r="AA202" s="63">
        <v>14.515841999999999</v>
      </c>
      <c r="AB202" s="63">
        <v>14.51515</v>
      </c>
      <c r="AC202" s="63">
        <v>14.514485000000001</v>
      </c>
      <c r="AD202" s="63">
        <v>14.513847999999999</v>
      </c>
      <c r="AE202" s="63">
        <v>14.513242999999999</v>
      </c>
      <c r="AF202" s="63">
        <v>14.512672999999999</v>
      </c>
      <c r="AG202" s="63">
        <v>14.512147000000001</v>
      </c>
      <c r="AH202" s="63">
        <v>14.511658000000001</v>
      </c>
      <c r="AI202" s="63">
        <v>14.511206</v>
      </c>
      <c r="AJ202" s="63">
        <v>14.510787000000001</v>
      </c>
      <c r="AK202" s="62">
        <v>1.9136E-2</v>
      </c>
    </row>
    <row r="203" spans="1:37" ht="15" customHeight="1" x14ac:dyDescent="0.2">
      <c r="A203" s="57" t="s">
        <v>1087</v>
      </c>
      <c r="B203" s="60" t="s">
        <v>915</v>
      </c>
      <c r="C203" s="63">
        <v>0</v>
      </c>
      <c r="D203" s="63">
        <v>1.375383</v>
      </c>
      <c r="E203" s="63">
        <v>10.05395</v>
      </c>
      <c r="F203" s="63">
        <v>10.141945</v>
      </c>
      <c r="G203" s="63">
        <v>10.436864999999999</v>
      </c>
      <c r="H203" s="63">
        <v>10.644992999999999</v>
      </c>
      <c r="I203" s="63">
        <v>10.913904</v>
      </c>
      <c r="J203" s="63">
        <v>11.239521999999999</v>
      </c>
      <c r="K203" s="63">
        <v>11.589805</v>
      </c>
      <c r="L203" s="63">
        <v>11.936019999999999</v>
      </c>
      <c r="M203" s="63">
        <v>12.285615999999999</v>
      </c>
      <c r="N203" s="63">
        <v>12.391835</v>
      </c>
      <c r="O203" s="63">
        <v>12.588770999999999</v>
      </c>
      <c r="P203" s="63">
        <v>12.80198</v>
      </c>
      <c r="Q203" s="63">
        <v>12.998927999999999</v>
      </c>
      <c r="R203" s="63">
        <v>13.110041000000001</v>
      </c>
      <c r="S203" s="63">
        <v>13.130402999999999</v>
      </c>
      <c r="T203" s="63">
        <v>13.081282</v>
      </c>
      <c r="U203" s="63">
        <v>13.036749</v>
      </c>
      <c r="V203" s="63">
        <v>13.069077999999999</v>
      </c>
      <c r="W203" s="63">
        <v>13.083608</v>
      </c>
      <c r="X203" s="63">
        <v>13.120680999999999</v>
      </c>
      <c r="Y203" s="63">
        <v>13.152775999999999</v>
      </c>
      <c r="Z203" s="63">
        <v>13.185354999999999</v>
      </c>
      <c r="AA203" s="63">
        <v>13.217001</v>
      </c>
      <c r="AB203" s="63">
        <v>13.246644</v>
      </c>
      <c r="AC203" s="63">
        <v>13.273211999999999</v>
      </c>
      <c r="AD203" s="63">
        <v>13.29552</v>
      </c>
      <c r="AE203" s="63">
        <v>13.312075</v>
      </c>
      <c r="AF203" s="63">
        <v>13.325437000000001</v>
      </c>
      <c r="AG203" s="63">
        <v>13.335711</v>
      </c>
      <c r="AH203" s="63">
        <v>13.343432999999999</v>
      </c>
      <c r="AI203" s="63">
        <v>13.349387999999999</v>
      </c>
      <c r="AJ203" s="63">
        <v>13.354041</v>
      </c>
      <c r="AK203" s="62">
        <v>7.3618000000000003E-2</v>
      </c>
    </row>
    <row r="204" spans="1:37" ht="15" customHeight="1" x14ac:dyDescent="0.2">
      <c r="A204" s="57" t="s">
        <v>1088</v>
      </c>
      <c r="B204" s="60" t="s">
        <v>917</v>
      </c>
      <c r="C204" s="63">
        <v>0</v>
      </c>
      <c r="D204" s="63">
        <v>1.363818</v>
      </c>
      <c r="E204" s="63">
        <v>8.9385519999999996</v>
      </c>
      <c r="F204" s="63">
        <v>8.9918960000000006</v>
      </c>
      <c r="G204" s="63">
        <v>9.2145899999999994</v>
      </c>
      <c r="H204" s="63">
        <v>9.3531069999999996</v>
      </c>
      <c r="I204" s="63">
        <v>9.5340679999999995</v>
      </c>
      <c r="J204" s="63">
        <v>9.7624940000000002</v>
      </c>
      <c r="K204" s="63">
        <v>10.020200000000001</v>
      </c>
      <c r="L204" s="63">
        <v>10.301494999999999</v>
      </c>
      <c r="M204" s="63">
        <v>10.601782999999999</v>
      </c>
      <c r="N204" s="63">
        <v>10.709752999999999</v>
      </c>
      <c r="O204" s="63">
        <v>10.919966000000001</v>
      </c>
      <c r="P204" s="63">
        <v>11.101459999999999</v>
      </c>
      <c r="Q204" s="63">
        <v>11.266972000000001</v>
      </c>
      <c r="R204" s="63">
        <v>11.363353999999999</v>
      </c>
      <c r="S204" s="63">
        <v>11.379628</v>
      </c>
      <c r="T204" s="63">
        <v>11.387623</v>
      </c>
      <c r="U204" s="63">
        <v>11.321859999999999</v>
      </c>
      <c r="V204" s="63">
        <v>11.328517</v>
      </c>
      <c r="W204" s="63">
        <v>11.337166</v>
      </c>
      <c r="X204" s="63">
        <v>11.306277</v>
      </c>
      <c r="Y204" s="63">
        <v>11.321028</v>
      </c>
      <c r="Z204" s="63">
        <v>11.338403</v>
      </c>
      <c r="AA204" s="63">
        <v>11.358454999999999</v>
      </c>
      <c r="AB204" s="63">
        <v>11.380922999999999</v>
      </c>
      <c r="AC204" s="63">
        <v>11.40527</v>
      </c>
      <c r="AD204" s="63">
        <v>11.430652</v>
      </c>
      <c r="AE204" s="63">
        <v>11.454190000000001</v>
      </c>
      <c r="AF204" s="63">
        <v>11.463385000000001</v>
      </c>
      <c r="AG204" s="63">
        <v>11.470950999999999</v>
      </c>
      <c r="AH204" s="63">
        <v>11.477052</v>
      </c>
      <c r="AI204" s="63">
        <v>11.481887</v>
      </c>
      <c r="AJ204" s="63">
        <v>11.484220000000001</v>
      </c>
      <c r="AK204" s="62">
        <v>6.8850999999999996E-2</v>
      </c>
    </row>
    <row r="205" spans="1:37" ht="15" customHeight="1" x14ac:dyDescent="0.2">
      <c r="A205" s="57" t="s">
        <v>1089</v>
      </c>
      <c r="B205" s="60" t="s">
        <v>919</v>
      </c>
      <c r="C205" s="63">
        <v>0</v>
      </c>
      <c r="D205" s="63">
        <v>7.892048</v>
      </c>
      <c r="E205" s="63">
        <v>8.0608160000000009</v>
      </c>
      <c r="F205" s="63">
        <v>8.0608160000000009</v>
      </c>
      <c r="G205" s="63">
        <v>8.0608160000000009</v>
      </c>
      <c r="H205" s="63">
        <v>8.0608160000000009</v>
      </c>
      <c r="I205" s="63">
        <v>8.0608160000000009</v>
      </c>
      <c r="J205" s="63">
        <v>8.0608160000000009</v>
      </c>
      <c r="K205" s="63">
        <v>8.0608160000000009</v>
      </c>
      <c r="L205" s="63">
        <v>8.0608160000000009</v>
      </c>
      <c r="M205" s="63">
        <v>8.0608170000000001</v>
      </c>
      <c r="N205" s="63">
        <v>8.0608160000000009</v>
      </c>
      <c r="O205" s="63">
        <v>8.0608160000000009</v>
      </c>
      <c r="P205" s="63">
        <v>8.0608160000000009</v>
      </c>
      <c r="Q205" s="63">
        <v>8.0608160000000009</v>
      </c>
      <c r="R205" s="63">
        <v>8.0608160000000009</v>
      </c>
      <c r="S205" s="63">
        <v>8.0608160000000009</v>
      </c>
      <c r="T205" s="63">
        <v>8.0608160000000009</v>
      </c>
      <c r="U205" s="63">
        <v>8.0608160000000009</v>
      </c>
      <c r="V205" s="63">
        <v>8.0608170000000001</v>
      </c>
      <c r="W205" s="63">
        <v>8.0608160000000009</v>
      </c>
      <c r="X205" s="63">
        <v>8.0608160000000009</v>
      </c>
      <c r="Y205" s="63">
        <v>8.0608160000000009</v>
      </c>
      <c r="Z205" s="63">
        <v>8.0608160000000009</v>
      </c>
      <c r="AA205" s="63">
        <v>8.0608160000000009</v>
      </c>
      <c r="AB205" s="63">
        <v>8.0608160000000009</v>
      </c>
      <c r="AC205" s="63">
        <v>8.0608160000000009</v>
      </c>
      <c r="AD205" s="63">
        <v>8.0608160000000009</v>
      </c>
      <c r="AE205" s="63">
        <v>8.0608160000000009</v>
      </c>
      <c r="AF205" s="63">
        <v>8.0608160000000009</v>
      </c>
      <c r="AG205" s="63">
        <v>8.0608160000000009</v>
      </c>
      <c r="AH205" s="63">
        <v>8.0608160000000009</v>
      </c>
      <c r="AI205" s="63">
        <v>8.0608160000000009</v>
      </c>
      <c r="AJ205" s="63">
        <v>8.0608160000000009</v>
      </c>
      <c r="AK205" s="62">
        <v>6.6100000000000002E-4</v>
      </c>
    </row>
    <row r="206" spans="1:37" ht="15" customHeight="1" x14ac:dyDescent="0.2">
      <c r="A206" s="57" t="s">
        <v>1090</v>
      </c>
      <c r="B206" s="60" t="s">
        <v>1024</v>
      </c>
      <c r="C206" s="63">
        <v>6.5948120000000001</v>
      </c>
      <c r="D206" s="63">
        <v>6.8147489999999999</v>
      </c>
      <c r="E206" s="63">
        <v>6.855842</v>
      </c>
      <c r="F206" s="63">
        <v>6.9127409999999996</v>
      </c>
      <c r="G206" s="63">
        <v>6.991339</v>
      </c>
      <c r="H206" s="63">
        <v>7.0990729999999997</v>
      </c>
      <c r="I206" s="63">
        <v>7.2282440000000001</v>
      </c>
      <c r="J206" s="63">
        <v>7.4000539999999999</v>
      </c>
      <c r="K206" s="63">
        <v>7.5981969999999999</v>
      </c>
      <c r="L206" s="63">
        <v>7.817348</v>
      </c>
      <c r="M206" s="63">
        <v>8.0422460000000004</v>
      </c>
      <c r="N206" s="63">
        <v>8.1570540000000005</v>
      </c>
      <c r="O206" s="63">
        <v>8.3182500000000008</v>
      </c>
      <c r="P206" s="63">
        <v>8.451098</v>
      </c>
      <c r="Q206" s="63">
        <v>8.5660640000000008</v>
      </c>
      <c r="R206" s="63">
        <v>8.627955</v>
      </c>
      <c r="S206" s="63">
        <v>8.6336589999999998</v>
      </c>
      <c r="T206" s="63">
        <v>8.6387619999999998</v>
      </c>
      <c r="U206" s="63">
        <v>8.6382329999999996</v>
      </c>
      <c r="V206" s="63">
        <v>8.6412560000000003</v>
      </c>
      <c r="W206" s="63">
        <v>8.6433710000000001</v>
      </c>
      <c r="X206" s="63">
        <v>8.6428600000000007</v>
      </c>
      <c r="Y206" s="63">
        <v>8.6426219999999994</v>
      </c>
      <c r="Z206" s="63">
        <v>8.6422150000000002</v>
      </c>
      <c r="AA206" s="63">
        <v>8.6421729999999997</v>
      </c>
      <c r="AB206" s="63">
        <v>8.6422229999999995</v>
      </c>
      <c r="AC206" s="63">
        <v>8.6419250000000005</v>
      </c>
      <c r="AD206" s="63">
        <v>8.641489</v>
      </c>
      <c r="AE206" s="63">
        <v>8.6409950000000002</v>
      </c>
      <c r="AF206" s="63">
        <v>8.6405659999999997</v>
      </c>
      <c r="AG206" s="63">
        <v>8.6400579999999998</v>
      </c>
      <c r="AH206" s="63">
        <v>8.6393299999999993</v>
      </c>
      <c r="AI206" s="63">
        <v>8.6389469999999999</v>
      </c>
      <c r="AJ206" s="63">
        <v>8.6386839999999996</v>
      </c>
      <c r="AK206" s="62">
        <v>7.4390000000000003E-3</v>
      </c>
    </row>
    <row r="207" spans="1:37" ht="15" customHeight="1" x14ac:dyDescent="0.2">
      <c r="A207" s="57" t="s">
        <v>1091</v>
      </c>
      <c r="B207" s="59" t="s">
        <v>1026</v>
      </c>
      <c r="C207" s="69">
        <v>7.585216</v>
      </c>
      <c r="D207" s="69">
        <v>7.8714259999999996</v>
      </c>
      <c r="E207" s="69">
        <v>7.8891099999999996</v>
      </c>
      <c r="F207" s="69">
        <v>8.0013930000000002</v>
      </c>
      <c r="G207" s="69">
        <v>8.1648359999999993</v>
      </c>
      <c r="H207" s="69">
        <v>8.2371259999999999</v>
      </c>
      <c r="I207" s="69">
        <v>8.4154579999999992</v>
      </c>
      <c r="J207" s="69">
        <v>8.6534580000000005</v>
      </c>
      <c r="K207" s="69">
        <v>8.908118</v>
      </c>
      <c r="L207" s="69">
        <v>9.1809650000000005</v>
      </c>
      <c r="M207" s="69">
        <v>9.4640179999999994</v>
      </c>
      <c r="N207" s="69">
        <v>9.6211629999999992</v>
      </c>
      <c r="O207" s="69">
        <v>9.8279300000000003</v>
      </c>
      <c r="P207" s="69">
        <v>10.005991</v>
      </c>
      <c r="Q207" s="69">
        <v>10.166619000000001</v>
      </c>
      <c r="R207" s="69">
        <v>10.255566999999999</v>
      </c>
      <c r="S207" s="69">
        <v>10.279451999999999</v>
      </c>
      <c r="T207" s="69">
        <v>10.296113999999999</v>
      </c>
      <c r="U207" s="69">
        <v>10.310067</v>
      </c>
      <c r="V207" s="69">
        <v>10.337543</v>
      </c>
      <c r="W207" s="69">
        <v>10.357829000000001</v>
      </c>
      <c r="X207" s="69">
        <v>10.370578999999999</v>
      </c>
      <c r="Y207" s="69">
        <v>10.385742</v>
      </c>
      <c r="Z207" s="69">
        <v>10.404567</v>
      </c>
      <c r="AA207" s="69">
        <v>10.422866000000001</v>
      </c>
      <c r="AB207" s="69">
        <v>10.434202000000001</v>
      </c>
      <c r="AC207" s="69">
        <v>10.447293</v>
      </c>
      <c r="AD207" s="69">
        <v>10.467929</v>
      </c>
      <c r="AE207" s="69">
        <v>10.486052000000001</v>
      </c>
      <c r="AF207" s="69">
        <v>10.509328</v>
      </c>
      <c r="AG207" s="69">
        <v>10.526007</v>
      </c>
      <c r="AH207" s="69">
        <v>10.544757000000001</v>
      </c>
      <c r="AI207" s="69">
        <v>10.566418000000001</v>
      </c>
      <c r="AJ207" s="69">
        <v>10.586605</v>
      </c>
      <c r="AK207" s="66">
        <v>9.3039999999999998E-3</v>
      </c>
    </row>
    <row r="208" spans="1:37" ht="15.75" customHeight="1" x14ac:dyDescent="0.2"/>
    <row r="209" spans="1:37" ht="15" customHeight="1" x14ac:dyDescent="0.2">
      <c r="B209" s="59" t="s">
        <v>1092</v>
      </c>
    </row>
    <row r="210" spans="1:37" ht="15" customHeight="1" x14ac:dyDescent="0.2">
      <c r="B210" s="59" t="s">
        <v>901</v>
      </c>
    </row>
    <row r="211" spans="1:37" ht="15" customHeight="1" x14ac:dyDescent="0.2">
      <c r="A211" s="57" t="s">
        <v>1093</v>
      </c>
      <c r="B211" s="60" t="s">
        <v>903</v>
      </c>
      <c r="C211" s="63">
        <v>147.64494300000001</v>
      </c>
      <c r="D211" s="63">
        <v>153.20697000000001</v>
      </c>
      <c r="E211" s="63">
        <v>156.187546</v>
      </c>
      <c r="F211" s="63">
        <v>156.08935500000001</v>
      </c>
      <c r="G211" s="63">
        <v>155.934845</v>
      </c>
      <c r="H211" s="63">
        <v>152.52136200000001</v>
      </c>
      <c r="I211" s="63">
        <v>152.60333299999999</v>
      </c>
      <c r="J211" s="63">
        <v>152.37464900000001</v>
      </c>
      <c r="K211" s="63">
        <v>151.94624300000001</v>
      </c>
      <c r="L211" s="63">
        <v>151.991669</v>
      </c>
      <c r="M211" s="63">
        <v>152.1362</v>
      </c>
      <c r="N211" s="63">
        <v>153.43005400000001</v>
      </c>
      <c r="O211" s="63">
        <v>153.689255</v>
      </c>
      <c r="P211" s="63">
        <v>155.17926</v>
      </c>
      <c r="Q211" s="63">
        <v>157.87287900000001</v>
      </c>
      <c r="R211" s="63">
        <v>158.487381</v>
      </c>
      <c r="S211" s="63">
        <v>159.82054099999999</v>
      </c>
      <c r="T211" s="63">
        <v>161.65834000000001</v>
      </c>
      <c r="U211" s="63">
        <v>162.34877</v>
      </c>
      <c r="V211" s="63">
        <v>162.66282699999999</v>
      </c>
      <c r="W211" s="63">
        <v>163.65448000000001</v>
      </c>
      <c r="X211" s="63">
        <v>164.66963200000001</v>
      </c>
      <c r="Y211" s="63">
        <v>164.80993699999999</v>
      </c>
      <c r="Z211" s="63">
        <v>165.16043099999999</v>
      </c>
      <c r="AA211" s="63">
        <v>165.42094399999999</v>
      </c>
      <c r="AB211" s="63">
        <v>164.952988</v>
      </c>
      <c r="AC211" s="63">
        <v>164.75465399999999</v>
      </c>
      <c r="AD211" s="63">
        <v>165.20619199999999</v>
      </c>
      <c r="AE211" s="63">
        <v>165.44735700000001</v>
      </c>
      <c r="AF211" s="63">
        <v>165.418915</v>
      </c>
      <c r="AG211" s="63">
        <v>164.467422</v>
      </c>
      <c r="AH211" s="63">
        <v>163.30592300000001</v>
      </c>
      <c r="AI211" s="63">
        <v>162.97941599999999</v>
      </c>
      <c r="AJ211" s="63">
        <v>162.475616</v>
      </c>
      <c r="AK211" s="62">
        <v>1.8370000000000001E-3</v>
      </c>
    </row>
    <row r="212" spans="1:37" ht="15" customHeight="1" x14ac:dyDescent="0.2">
      <c r="A212" s="57" t="s">
        <v>1094</v>
      </c>
      <c r="B212" s="60" t="s">
        <v>905</v>
      </c>
      <c r="C212" s="63">
        <v>48.813828000000001</v>
      </c>
      <c r="D212" s="63">
        <v>51.900784000000002</v>
      </c>
      <c r="E212" s="63">
        <v>53.980282000000003</v>
      </c>
      <c r="F212" s="63">
        <v>55.087051000000002</v>
      </c>
      <c r="G212" s="63">
        <v>56.158473999999998</v>
      </c>
      <c r="H212" s="63">
        <v>56.146076000000001</v>
      </c>
      <c r="I212" s="63">
        <v>57.430388999999998</v>
      </c>
      <c r="J212" s="63">
        <v>58.632922999999998</v>
      </c>
      <c r="K212" s="63">
        <v>59.552238000000003</v>
      </c>
      <c r="L212" s="63">
        <v>60.586826000000002</v>
      </c>
      <c r="M212" s="63">
        <v>61.873711</v>
      </c>
      <c r="N212" s="63">
        <v>63.091045000000001</v>
      </c>
      <c r="O212" s="63">
        <v>64.544608999999994</v>
      </c>
      <c r="P212" s="63">
        <v>66.244079999999997</v>
      </c>
      <c r="Q212" s="63">
        <v>68.784369999999996</v>
      </c>
      <c r="R212" s="63">
        <v>70.631980999999996</v>
      </c>
      <c r="S212" s="63">
        <v>72.543746999999996</v>
      </c>
      <c r="T212" s="63">
        <v>74.719238000000004</v>
      </c>
      <c r="U212" s="63">
        <v>76.424118000000007</v>
      </c>
      <c r="V212" s="63">
        <v>78.048018999999996</v>
      </c>
      <c r="W212" s="63">
        <v>79.780929999999998</v>
      </c>
      <c r="X212" s="63">
        <v>81.395126000000005</v>
      </c>
      <c r="Y212" s="63">
        <v>81.992485000000002</v>
      </c>
      <c r="Z212" s="63">
        <v>83.187766999999994</v>
      </c>
      <c r="AA212" s="63">
        <v>84.593506000000005</v>
      </c>
      <c r="AB212" s="63">
        <v>85.627021999999997</v>
      </c>
      <c r="AC212" s="63">
        <v>86.662918000000005</v>
      </c>
      <c r="AD212" s="63">
        <v>87.874069000000006</v>
      </c>
      <c r="AE212" s="63">
        <v>89.134155000000007</v>
      </c>
      <c r="AF212" s="63">
        <v>90.545769000000007</v>
      </c>
      <c r="AG212" s="63">
        <v>91.876052999999999</v>
      </c>
      <c r="AH212" s="63">
        <v>92.080153999999993</v>
      </c>
      <c r="AI212" s="63">
        <v>93.016548</v>
      </c>
      <c r="AJ212" s="63">
        <v>93.711250000000007</v>
      </c>
      <c r="AK212" s="62">
        <v>1.8637000000000001E-2</v>
      </c>
    </row>
    <row r="213" spans="1:37" ht="15" customHeight="1" x14ac:dyDescent="0.2">
      <c r="A213" s="57" t="s">
        <v>1095</v>
      </c>
      <c r="B213" s="60" t="s">
        <v>907</v>
      </c>
      <c r="C213" s="63">
        <v>0</v>
      </c>
      <c r="D213" s="63">
        <v>0.17848600000000001</v>
      </c>
      <c r="E213" s="63">
        <v>0.18857099999999999</v>
      </c>
      <c r="F213" s="63">
        <v>0.19606999999999999</v>
      </c>
      <c r="G213" s="63">
        <v>0.20311799999999999</v>
      </c>
      <c r="H213" s="63">
        <v>0.20616200000000001</v>
      </c>
      <c r="I213" s="63">
        <v>0.214114</v>
      </c>
      <c r="J213" s="63">
        <v>0.22199099999999999</v>
      </c>
      <c r="K213" s="63">
        <v>0.230104</v>
      </c>
      <c r="L213" s="63">
        <v>0.23915500000000001</v>
      </c>
      <c r="M213" s="63">
        <v>0.24867700000000001</v>
      </c>
      <c r="N213" s="63">
        <v>0.25992900000000002</v>
      </c>
      <c r="O213" s="63">
        <v>0.27106400000000003</v>
      </c>
      <c r="P213" s="63">
        <v>0.28522799999999998</v>
      </c>
      <c r="Q213" s="63">
        <v>0.30220799999999998</v>
      </c>
      <c r="R213" s="63">
        <v>0.31625999999999999</v>
      </c>
      <c r="S213" s="63">
        <v>0.33210800000000001</v>
      </c>
      <c r="T213" s="63">
        <v>0.34988900000000001</v>
      </c>
      <c r="U213" s="63">
        <v>0.36610900000000002</v>
      </c>
      <c r="V213" s="63">
        <v>0.38239600000000001</v>
      </c>
      <c r="W213" s="63">
        <v>0.40076600000000001</v>
      </c>
      <c r="X213" s="63">
        <v>0.41990300000000003</v>
      </c>
      <c r="Y213" s="63">
        <v>0.438251</v>
      </c>
      <c r="Z213" s="63">
        <v>0.45784799999999998</v>
      </c>
      <c r="AA213" s="63">
        <v>0.47822300000000001</v>
      </c>
      <c r="AB213" s="63">
        <v>0.49744100000000002</v>
      </c>
      <c r="AC213" s="63">
        <v>0.51814899999999997</v>
      </c>
      <c r="AD213" s="63">
        <v>0.54234199999999999</v>
      </c>
      <c r="AE213" s="63">
        <v>0.566778</v>
      </c>
      <c r="AF213" s="63">
        <v>0.59150199999999997</v>
      </c>
      <c r="AG213" s="63">
        <v>0.614896</v>
      </c>
      <c r="AH213" s="63">
        <v>0.63745099999999999</v>
      </c>
      <c r="AI213" s="63">
        <v>0.66386100000000003</v>
      </c>
      <c r="AJ213" s="63">
        <v>0.68984599999999996</v>
      </c>
      <c r="AK213" s="62">
        <v>4.3153999999999998E-2</v>
      </c>
    </row>
    <row r="214" spans="1:37" ht="15" customHeight="1" x14ac:dyDescent="0.2">
      <c r="A214" s="57" t="s">
        <v>1096</v>
      </c>
      <c r="B214" s="60" t="s">
        <v>909</v>
      </c>
      <c r="C214" s="63">
        <v>3.058E-3</v>
      </c>
      <c r="D214" s="63">
        <v>0.11476600000000001</v>
      </c>
      <c r="E214" s="63">
        <v>0.117796</v>
      </c>
      <c r="F214" s="63">
        <v>0.119323</v>
      </c>
      <c r="G214" s="63">
        <v>0.12095400000000001</v>
      </c>
      <c r="H214" s="63">
        <v>0.121257</v>
      </c>
      <c r="I214" s="63">
        <v>0.126419</v>
      </c>
      <c r="J214" s="63">
        <v>0.13363800000000001</v>
      </c>
      <c r="K214" s="63">
        <v>0.14155799999999999</v>
      </c>
      <c r="L214" s="63">
        <v>0.15068899999999999</v>
      </c>
      <c r="M214" s="63">
        <v>0.16094600000000001</v>
      </c>
      <c r="N214" s="63">
        <v>0.174181</v>
      </c>
      <c r="O214" s="63">
        <v>0.18630099999999999</v>
      </c>
      <c r="P214" s="63">
        <v>0.20347899999999999</v>
      </c>
      <c r="Q214" s="63">
        <v>0.22419800000000001</v>
      </c>
      <c r="R214" s="63">
        <v>0.24487</v>
      </c>
      <c r="S214" s="63">
        <v>0.270339</v>
      </c>
      <c r="T214" s="63">
        <v>0.299848</v>
      </c>
      <c r="U214" s="63">
        <v>0.33077000000000001</v>
      </c>
      <c r="V214" s="63">
        <v>0.36460500000000001</v>
      </c>
      <c r="W214" s="63">
        <v>0.40365200000000001</v>
      </c>
      <c r="X214" s="63">
        <v>0.448023</v>
      </c>
      <c r="Y214" s="63">
        <v>0.49601400000000001</v>
      </c>
      <c r="Z214" s="63">
        <v>0.55126699999999995</v>
      </c>
      <c r="AA214" s="63">
        <v>0.61275599999999997</v>
      </c>
      <c r="AB214" s="63">
        <v>0.67850200000000005</v>
      </c>
      <c r="AC214" s="63">
        <v>0.75301399999999996</v>
      </c>
      <c r="AD214" s="63">
        <v>0.83994599999999997</v>
      </c>
      <c r="AE214" s="63">
        <v>0.93562900000000004</v>
      </c>
      <c r="AF214" s="63">
        <v>1.0409600000000001</v>
      </c>
      <c r="AG214" s="63">
        <v>1.1538139999999999</v>
      </c>
      <c r="AH214" s="63">
        <v>1.275555</v>
      </c>
      <c r="AI214" s="63">
        <v>1.41028</v>
      </c>
      <c r="AJ214" s="63">
        <v>1.557258</v>
      </c>
      <c r="AK214" s="62">
        <v>8.4905999999999995E-2</v>
      </c>
    </row>
    <row r="215" spans="1:37" ht="15" customHeight="1" x14ac:dyDescent="0.2">
      <c r="A215" s="57" t="s">
        <v>1097</v>
      </c>
      <c r="B215" s="60" t="s">
        <v>911</v>
      </c>
      <c r="C215" s="63">
        <v>21.45532</v>
      </c>
      <c r="D215" s="63">
        <v>22.699873</v>
      </c>
      <c r="E215" s="63">
        <v>23.451350999999999</v>
      </c>
      <c r="F215" s="63">
        <v>24.019413</v>
      </c>
      <c r="G215" s="63">
        <v>24.387910999999999</v>
      </c>
      <c r="H215" s="63">
        <v>24.292349000000002</v>
      </c>
      <c r="I215" s="63">
        <v>24.786397999999998</v>
      </c>
      <c r="J215" s="63">
        <v>25.275410000000001</v>
      </c>
      <c r="K215" s="63">
        <v>26.199223</v>
      </c>
      <c r="L215" s="63">
        <v>27.182089000000001</v>
      </c>
      <c r="M215" s="63">
        <v>27.939147999999999</v>
      </c>
      <c r="N215" s="63">
        <v>28.907717000000002</v>
      </c>
      <c r="O215" s="63">
        <v>30.149885000000001</v>
      </c>
      <c r="P215" s="63">
        <v>32.213115999999999</v>
      </c>
      <c r="Q215" s="63">
        <v>34.130828999999999</v>
      </c>
      <c r="R215" s="63">
        <v>35.717793</v>
      </c>
      <c r="S215" s="63">
        <v>37.507750999999999</v>
      </c>
      <c r="T215" s="63">
        <v>39.515822999999997</v>
      </c>
      <c r="U215" s="63">
        <v>41.347659999999998</v>
      </c>
      <c r="V215" s="63">
        <v>43.187171999999997</v>
      </c>
      <c r="W215" s="63">
        <v>45.261848000000001</v>
      </c>
      <c r="X215" s="63">
        <v>47.423065000000001</v>
      </c>
      <c r="Y215" s="63">
        <v>50.392615999999997</v>
      </c>
      <c r="Z215" s="63">
        <v>52.885235000000002</v>
      </c>
      <c r="AA215" s="63">
        <v>55.238624999999999</v>
      </c>
      <c r="AB215" s="63">
        <v>57.458523</v>
      </c>
      <c r="AC215" s="63">
        <v>59.850422000000002</v>
      </c>
      <c r="AD215" s="63">
        <v>62.967480000000002</v>
      </c>
      <c r="AE215" s="63">
        <v>65.804587999999995</v>
      </c>
      <c r="AF215" s="63">
        <v>68.358711</v>
      </c>
      <c r="AG215" s="63">
        <v>70.668899999999994</v>
      </c>
      <c r="AH215" s="63">
        <v>73.409987999999998</v>
      </c>
      <c r="AI215" s="63">
        <v>76.096024</v>
      </c>
      <c r="AJ215" s="63">
        <v>78.476890999999995</v>
      </c>
      <c r="AK215" s="62">
        <v>3.9524999999999998E-2</v>
      </c>
    </row>
    <row r="216" spans="1:37" ht="15" customHeight="1" x14ac:dyDescent="0.2">
      <c r="A216" s="57" t="s">
        <v>1098</v>
      </c>
      <c r="B216" s="60" t="s">
        <v>913</v>
      </c>
      <c r="C216" s="63">
        <v>0</v>
      </c>
      <c r="D216" s="63">
        <v>1.4305639999999999</v>
      </c>
      <c r="E216" s="63">
        <v>1.5113909999999999</v>
      </c>
      <c r="F216" s="63">
        <v>1.5714999999999999</v>
      </c>
      <c r="G216" s="63">
        <v>1.6279870000000001</v>
      </c>
      <c r="H216" s="63">
        <v>1.6523829999999999</v>
      </c>
      <c r="I216" s="63">
        <v>1.7161230000000001</v>
      </c>
      <c r="J216" s="63">
        <v>1.7792509999999999</v>
      </c>
      <c r="K216" s="63">
        <v>1.8442810000000001</v>
      </c>
      <c r="L216" s="63">
        <v>1.9168259999999999</v>
      </c>
      <c r="M216" s="63">
        <v>1.993142</v>
      </c>
      <c r="N216" s="63">
        <v>2.0833249999999999</v>
      </c>
      <c r="O216" s="63">
        <v>2.1725759999999998</v>
      </c>
      <c r="P216" s="63">
        <v>2.2860939999999998</v>
      </c>
      <c r="Q216" s="63">
        <v>2.4221889999999999</v>
      </c>
      <c r="R216" s="63">
        <v>2.5348130000000002</v>
      </c>
      <c r="S216" s="63">
        <v>2.6618430000000002</v>
      </c>
      <c r="T216" s="63">
        <v>2.804351</v>
      </c>
      <c r="U216" s="63">
        <v>2.9343520000000001</v>
      </c>
      <c r="V216" s="63">
        <v>3.0648979999999999</v>
      </c>
      <c r="W216" s="63">
        <v>3.2121339999999998</v>
      </c>
      <c r="X216" s="63">
        <v>3.36551</v>
      </c>
      <c r="Y216" s="63">
        <v>3.5125700000000002</v>
      </c>
      <c r="Z216" s="63">
        <v>3.6696460000000002</v>
      </c>
      <c r="AA216" s="63">
        <v>3.8329439999999999</v>
      </c>
      <c r="AB216" s="63">
        <v>3.9869810000000001</v>
      </c>
      <c r="AC216" s="63">
        <v>4.152952</v>
      </c>
      <c r="AD216" s="63">
        <v>4.3468590000000003</v>
      </c>
      <c r="AE216" s="63">
        <v>4.5427150000000003</v>
      </c>
      <c r="AF216" s="63">
        <v>4.7408770000000002</v>
      </c>
      <c r="AG216" s="63">
        <v>4.928382</v>
      </c>
      <c r="AH216" s="63">
        <v>5.1091579999999999</v>
      </c>
      <c r="AI216" s="63">
        <v>5.3208299999999999</v>
      </c>
      <c r="AJ216" s="63">
        <v>5.5290990000000004</v>
      </c>
      <c r="AK216" s="62">
        <v>4.3153999999999998E-2</v>
      </c>
    </row>
    <row r="217" spans="1:37" ht="15" customHeight="1" x14ac:dyDescent="0.2">
      <c r="A217" s="57" t="s">
        <v>1099</v>
      </c>
      <c r="B217" s="60" t="s">
        <v>915</v>
      </c>
      <c r="C217" s="63">
        <v>0</v>
      </c>
      <c r="D217" s="63">
        <v>0</v>
      </c>
      <c r="E217" s="63">
        <v>0</v>
      </c>
      <c r="F217" s="63">
        <v>0.30754700000000001</v>
      </c>
      <c r="G217" s="63">
        <v>0.318602</v>
      </c>
      <c r="H217" s="63">
        <v>0.323376</v>
      </c>
      <c r="I217" s="63">
        <v>0.33584999999999998</v>
      </c>
      <c r="J217" s="63">
        <v>0.34820499999999999</v>
      </c>
      <c r="K217" s="63">
        <v>0.360931</v>
      </c>
      <c r="L217" s="63">
        <v>0.37512899999999999</v>
      </c>
      <c r="M217" s="63">
        <v>0.39006400000000002</v>
      </c>
      <c r="N217" s="63">
        <v>0.40771299999999999</v>
      </c>
      <c r="O217" s="63">
        <v>0.42518</v>
      </c>
      <c r="P217" s="63">
        <v>0.44739499999999999</v>
      </c>
      <c r="Q217" s="63">
        <v>0.47403000000000001</v>
      </c>
      <c r="R217" s="63">
        <v>0.49607000000000001</v>
      </c>
      <c r="S217" s="63">
        <v>0.52093100000000003</v>
      </c>
      <c r="T217" s="63">
        <v>0.54881999999999997</v>
      </c>
      <c r="U217" s="63">
        <v>0.57426200000000005</v>
      </c>
      <c r="V217" s="63">
        <v>0.59980999999999995</v>
      </c>
      <c r="W217" s="63">
        <v>0.62862399999999996</v>
      </c>
      <c r="X217" s="63">
        <v>0.65864</v>
      </c>
      <c r="Y217" s="63">
        <v>0.68742000000000003</v>
      </c>
      <c r="Z217" s="63">
        <v>0.71816100000000005</v>
      </c>
      <c r="AA217" s="63">
        <v>0.75011899999999998</v>
      </c>
      <c r="AB217" s="63">
        <v>0.78026399999999996</v>
      </c>
      <c r="AC217" s="63">
        <v>0.81274500000000005</v>
      </c>
      <c r="AD217" s="63">
        <v>0.85069300000000003</v>
      </c>
      <c r="AE217" s="63">
        <v>0.88902300000000001</v>
      </c>
      <c r="AF217" s="63">
        <v>0.92780399999999996</v>
      </c>
      <c r="AG217" s="63">
        <v>0.964499</v>
      </c>
      <c r="AH217" s="63">
        <v>0.99987700000000002</v>
      </c>
      <c r="AI217" s="63">
        <v>1.0413019999999999</v>
      </c>
      <c r="AJ217" s="63">
        <v>1.0820609999999999</v>
      </c>
      <c r="AK217" s="62" t="s">
        <v>467</v>
      </c>
    </row>
    <row r="218" spans="1:37" ht="15" customHeight="1" x14ac:dyDescent="0.2">
      <c r="A218" s="57" t="s">
        <v>1100</v>
      </c>
      <c r="B218" s="60" t="s">
        <v>917</v>
      </c>
      <c r="C218" s="63">
        <v>0</v>
      </c>
      <c r="D218" s="63">
        <v>0</v>
      </c>
      <c r="E218" s="63">
        <v>0</v>
      </c>
      <c r="F218" s="63">
        <v>0.28006199999999998</v>
      </c>
      <c r="G218" s="63">
        <v>0.29012900000000003</v>
      </c>
      <c r="H218" s="63">
        <v>0.29447699999999999</v>
      </c>
      <c r="I218" s="63">
        <v>0.305836</v>
      </c>
      <c r="J218" s="63">
        <v>0.31708599999999998</v>
      </c>
      <c r="K218" s="63">
        <v>0.32867499999999999</v>
      </c>
      <c r="L218" s="63">
        <v>0.34160400000000002</v>
      </c>
      <c r="M218" s="63">
        <v>0.35520400000000002</v>
      </c>
      <c r="N218" s="63">
        <v>0.37127599999999999</v>
      </c>
      <c r="O218" s="63">
        <v>0.38718200000000003</v>
      </c>
      <c r="P218" s="63">
        <v>0.407412</v>
      </c>
      <c r="Q218" s="63">
        <v>0.43166599999999999</v>
      </c>
      <c r="R218" s="63">
        <v>0.451737</v>
      </c>
      <c r="S218" s="63">
        <v>0.47437600000000002</v>
      </c>
      <c r="T218" s="63">
        <v>0.49977199999999999</v>
      </c>
      <c r="U218" s="63">
        <v>0.52293999999999996</v>
      </c>
      <c r="V218" s="63">
        <v>0.54620500000000005</v>
      </c>
      <c r="W218" s="63">
        <v>0.57244499999999998</v>
      </c>
      <c r="X218" s="63">
        <v>0.59977800000000003</v>
      </c>
      <c r="Y218" s="63">
        <v>0.62598699999999996</v>
      </c>
      <c r="Z218" s="63">
        <v>0.65397899999999998</v>
      </c>
      <c r="AA218" s="63">
        <v>0.68308199999999997</v>
      </c>
      <c r="AB218" s="63">
        <v>0.71053299999999997</v>
      </c>
      <c r="AC218" s="63">
        <v>0.74011099999999996</v>
      </c>
      <c r="AD218" s="63">
        <v>0.77466800000000002</v>
      </c>
      <c r="AE218" s="63">
        <v>0.80957199999999996</v>
      </c>
      <c r="AF218" s="63">
        <v>0.84488700000000005</v>
      </c>
      <c r="AG218" s="63">
        <v>0.87830299999999994</v>
      </c>
      <c r="AH218" s="63">
        <v>0.91051899999999997</v>
      </c>
      <c r="AI218" s="63">
        <v>0.94824200000000003</v>
      </c>
      <c r="AJ218" s="63">
        <v>0.98535899999999998</v>
      </c>
      <c r="AK218" s="62" t="s">
        <v>467</v>
      </c>
    </row>
    <row r="219" spans="1:37" ht="15" customHeight="1" x14ac:dyDescent="0.2">
      <c r="A219" s="57" t="s">
        <v>1101</v>
      </c>
      <c r="B219" s="60" t="s">
        <v>919</v>
      </c>
      <c r="C219" s="63">
        <v>0</v>
      </c>
      <c r="D219" s="63">
        <v>0</v>
      </c>
      <c r="E219" s="63">
        <v>0</v>
      </c>
      <c r="F219" s="63">
        <v>0</v>
      </c>
      <c r="G219" s="63">
        <v>0</v>
      </c>
      <c r="H219" s="63">
        <v>0</v>
      </c>
      <c r="I219" s="63">
        <v>0</v>
      </c>
      <c r="J219" s="63">
        <v>0</v>
      </c>
      <c r="K219" s="63">
        <v>0</v>
      </c>
      <c r="L219" s="63">
        <v>0</v>
      </c>
      <c r="M219" s="63">
        <v>0</v>
      </c>
      <c r="N219" s="63">
        <v>0</v>
      </c>
      <c r="O219" s="63">
        <v>0</v>
      </c>
      <c r="P219" s="63">
        <v>0</v>
      </c>
      <c r="Q219" s="63">
        <v>0</v>
      </c>
      <c r="R219" s="63">
        <v>0</v>
      </c>
      <c r="S219" s="63">
        <v>0</v>
      </c>
      <c r="T219" s="63">
        <v>0</v>
      </c>
      <c r="U219" s="63">
        <v>0</v>
      </c>
      <c r="V219" s="63">
        <v>0</v>
      </c>
      <c r="W219" s="63">
        <v>0</v>
      </c>
      <c r="X219" s="63">
        <v>0</v>
      </c>
      <c r="Y219" s="63">
        <v>0</v>
      </c>
      <c r="Z219" s="63">
        <v>0</v>
      </c>
      <c r="AA219" s="63">
        <v>0</v>
      </c>
      <c r="AB219" s="63">
        <v>0</v>
      </c>
      <c r="AC219" s="63">
        <v>0</v>
      </c>
      <c r="AD219" s="63">
        <v>0</v>
      </c>
      <c r="AE219" s="63">
        <v>0</v>
      </c>
      <c r="AF219" s="63">
        <v>0</v>
      </c>
      <c r="AG219" s="63">
        <v>0</v>
      </c>
      <c r="AH219" s="63">
        <v>0</v>
      </c>
      <c r="AI219" s="63">
        <v>0</v>
      </c>
      <c r="AJ219" s="63">
        <v>0</v>
      </c>
      <c r="AK219" s="62" t="s">
        <v>467</v>
      </c>
    </row>
    <row r="220" spans="1:37" ht="15" customHeight="1" x14ac:dyDescent="0.2">
      <c r="A220" s="57" t="s">
        <v>1102</v>
      </c>
      <c r="B220" s="60" t="s">
        <v>921</v>
      </c>
      <c r="C220" s="63">
        <v>217.917145</v>
      </c>
      <c r="D220" s="63">
        <v>229.53144800000001</v>
      </c>
      <c r="E220" s="63">
        <v>235.43696600000001</v>
      </c>
      <c r="F220" s="63">
        <v>237.670334</v>
      </c>
      <c r="G220" s="63">
        <v>239.04199199999999</v>
      </c>
      <c r="H220" s="63">
        <v>235.557434</v>
      </c>
      <c r="I220" s="63">
        <v>237.51847799999999</v>
      </c>
      <c r="J220" s="63">
        <v>239.08320599999999</v>
      </c>
      <c r="K220" s="63">
        <v>240.60327100000001</v>
      </c>
      <c r="L220" s="63">
        <v>242.78398100000001</v>
      </c>
      <c r="M220" s="63">
        <v>245.097061</v>
      </c>
      <c r="N220" s="63">
        <v>248.725235</v>
      </c>
      <c r="O220" s="63">
        <v>251.82598899999999</v>
      </c>
      <c r="P220" s="63">
        <v>257.26608299999998</v>
      </c>
      <c r="Q220" s="63">
        <v>264.64236499999998</v>
      </c>
      <c r="R220" s="63">
        <v>268.88092</v>
      </c>
      <c r="S220" s="63">
        <v>274.13171399999999</v>
      </c>
      <c r="T220" s="63">
        <v>280.39608800000002</v>
      </c>
      <c r="U220" s="63">
        <v>284.84896900000001</v>
      </c>
      <c r="V220" s="63">
        <v>288.85592700000001</v>
      </c>
      <c r="W220" s="63">
        <v>293.91488600000002</v>
      </c>
      <c r="X220" s="63">
        <v>298.97967499999999</v>
      </c>
      <c r="Y220" s="63">
        <v>302.95529199999999</v>
      </c>
      <c r="Z220" s="63">
        <v>307.28439300000002</v>
      </c>
      <c r="AA220" s="63">
        <v>311.61019900000002</v>
      </c>
      <c r="AB220" s="63">
        <v>314.69226099999997</v>
      </c>
      <c r="AC220" s="63">
        <v>318.24499500000002</v>
      </c>
      <c r="AD220" s="63">
        <v>323.40219100000002</v>
      </c>
      <c r="AE220" s="63">
        <v>328.12979100000001</v>
      </c>
      <c r="AF220" s="63">
        <v>332.46933000000001</v>
      </c>
      <c r="AG220" s="63">
        <v>335.55224600000003</v>
      </c>
      <c r="AH220" s="63">
        <v>337.72863799999999</v>
      </c>
      <c r="AI220" s="63">
        <v>341.476562</v>
      </c>
      <c r="AJ220" s="63">
        <v>344.50735500000002</v>
      </c>
      <c r="AK220" s="62">
        <v>1.2770999999999999E-2</v>
      </c>
    </row>
    <row r="221" spans="1:37" ht="15" customHeight="1" x14ac:dyDescent="0.2">
      <c r="B221" s="59" t="s">
        <v>922</v>
      </c>
    </row>
    <row r="222" spans="1:37" ht="15" customHeight="1" x14ac:dyDescent="0.2">
      <c r="A222" s="57" t="s">
        <v>1103</v>
      </c>
      <c r="B222" s="60" t="s">
        <v>903</v>
      </c>
      <c r="C222" s="63">
        <v>102.67888600000001</v>
      </c>
      <c r="D222" s="63">
        <v>112.08947000000001</v>
      </c>
      <c r="E222" s="63">
        <v>122.47764599999999</v>
      </c>
      <c r="F222" s="63">
        <v>116.882401</v>
      </c>
      <c r="G222" s="63">
        <v>113.68174</v>
      </c>
      <c r="H222" s="63">
        <v>125.006111</v>
      </c>
      <c r="I222" s="63">
        <v>124.908951</v>
      </c>
      <c r="J222" s="63">
        <v>122.507385</v>
      </c>
      <c r="K222" s="63">
        <v>123.09715300000001</v>
      </c>
      <c r="L222" s="63">
        <v>124.724144</v>
      </c>
      <c r="M222" s="63">
        <v>126.084808</v>
      </c>
      <c r="N222" s="63">
        <v>126.489594</v>
      </c>
      <c r="O222" s="63">
        <v>128.13020299999999</v>
      </c>
      <c r="P222" s="63">
        <v>131.307388</v>
      </c>
      <c r="Q222" s="63">
        <v>134.634995</v>
      </c>
      <c r="R222" s="63">
        <v>137.83502200000001</v>
      </c>
      <c r="S222" s="63">
        <v>141.78999300000001</v>
      </c>
      <c r="T222" s="63">
        <v>146.63166799999999</v>
      </c>
      <c r="U222" s="63">
        <v>149.53233299999999</v>
      </c>
      <c r="V222" s="63">
        <v>152.04054300000001</v>
      </c>
      <c r="W222" s="63">
        <v>156.287781</v>
      </c>
      <c r="X222" s="63">
        <v>161.33818099999999</v>
      </c>
      <c r="Y222" s="63">
        <v>165.920456</v>
      </c>
      <c r="Z222" s="63">
        <v>170.20137</v>
      </c>
      <c r="AA222" s="63">
        <v>174.82044999999999</v>
      </c>
      <c r="AB222" s="63">
        <v>179.92517100000001</v>
      </c>
      <c r="AC222" s="63">
        <v>185.49099699999999</v>
      </c>
      <c r="AD222" s="63">
        <v>190.486557</v>
      </c>
      <c r="AE222" s="63">
        <v>195.683685</v>
      </c>
      <c r="AF222" s="63">
        <v>199.611481</v>
      </c>
      <c r="AG222" s="63">
        <v>204.05767800000001</v>
      </c>
      <c r="AH222" s="63">
        <v>207.80862400000001</v>
      </c>
      <c r="AI222" s="63">
        <v>211.807816</v>
      </c>
      <c r="AJ222" s="63">
        <v>215.810089</v>
      </c>
      <c r="AK222" s="62">
        <v>2.0683E-2</v>
      </c>
    </row>
    <row r="223" spans="1:37" ht="15" customHeight="1" x14ac:dyDescent="0.2">
      <c r="A223" s="57" t="s">
        <v>1104</v>
      </c>
      <c r="B223" s="60" t="s">
        <v>905</v>
      </c>
      <c r="C223" s="63">
        <v>52.390663000000004</v>
      </c>
      <c r="D223" s="63">
        <v>56.706176999999997</v>
      </c>
      <c r="E223" s="63">
        <v>61.993693999999998</v>
      </c>
      <c r="F223" s="63">
        <v>59.119225</v>
      </c>
      <c r="G223" s="63">
        <v>57.506076999999998</v>
      </c>
      <c r="H223" s="63">
        <v>62.707127</v>
      </c>
      <c r="I223" s="63">
        <v>63.158400999999998</v>
      </c>
      <c r="J223" s="63">
        <v>62.708869999999997</v>
      </c>
      <c r="K223" s="63">
        <v>63.549809000000003</v>
      </c>
      <c r="L223" s="63">
        <v>64.551338000000001</v>
      </c>
      <c r="M223" s="63">
        <v>65.244003000000006</v>
      </c>
      <c r="N223" s="63">
        <v>65.817809999999994</v>
      </c>
      <c r="O223" s="63">
        <v>66.897507000000004</v>
      </c>
      <c r="P223" s="63">
        <v>68.581680000000006</v>
      </c>
      <c r="Q223" s="63">
        <v>70.206840999999997</v>
      </c>
      <c r="R223" s="63">
        <v>71.664908999999994</v>
      </c>
      <c r="S223" s="63">
        <v>73.352340999999996</v>
      </c>
      <c r="T223" s="63">
        <v>75.439644000000001</v>
      </c>
      <c r="U223" s="63">
        <v>76.509749999999997</v>
      </c>
      <c r="V223" s="63">
        <v>77.365302999999997</v>
      </c>
      <c r="W223" s="63">
        <v>79.088913000000005</v>
      </c>
      <c r="X223" s="63">
        <v>81.192359999999994</v>
      </c>
      <c r="Y223" s="63">
        <v>83.032889999999995</v>
      </c>
      <c r="Z223" s="63">
        <v>84.622840999999994</v>
      </c>
      <c r="AA223" s="63">
        <v>86.247191999999998</v>
      </c>
      <c r="AB223" s="63">
        <v>88.065513999999993</v>
      </c>
      <c r="AC223" s="63">
        <v>90.052588999999998</v>
      </c>
      <c r="AD223" s="63">
        <v>91.710548000000003</v>
      </c>
      <c r="AE223" s="63">
        <v>93.415122999999994</v>
      </c>
      <c r="AF223" s="63">
        <v>94.460991000000007</v>
      </c>
      <c r="AG223" s="63">
        <v>95.708343999999997</v>
      </c>
      <c r="AH223" s="63">
        <v>96.575385999999995</v>
      </c>
      <c r="AI223" s="63">
        <v>97.509071000000006</v>
      </c>
      <c r="AJ223" s="63">
        <v>98.468688999999998</v>
      </c>
      <c r="AK223" s="62">
        <v>1.7395000000000001E-2</v>
      </c>
    </row>
    <row r="224" spans="1:37" ht="15" customHeight="1" x14ac:dyDescent="0.2">
      <c r="A224" s="57" t="s">
        <v>1105</v>
      </c>
      <c r="B224" s="60" t="s">
        <v>907</v>
      </c>
      <c r="C224" s="63">
        <v>0.13076599999999999</v>
      </c>
      <c r="D224" s="63">
        <v>0.245697</v>
      </c>
      <c r="E224" s="63">
        <v>0.26755400000000001</v>
      </c>
      <c r="F224" s="63">
        <v>0.25459399999999999</v>
      </c>
      <c r="G224" s="63">
        <v>0.24720600000000001</v>
      </c>
      <c r="H224" s="63">
        <v>0.27087099999999997</v>
      </c>
      <c r="I224" s="63">
        <v>0.27151700000000001</v>
      </c>
      <c r="J224" s="63">
        <v>0.26804899999999998</v>
      </c>
      <c r="K224" s="63">
        <v>0.27106200000000003</v>
      </c>
      <c r="L224" s="63">
        <v>0.27628399999999997</v>
      </c>
      <c r="M224" s="63">
        <v>0.281165</v>
      </c>
      <c r="N224" s="63">
        <v>0.28528100000000001</v>
      </c>
      <c r="O224" s="63">
        <v>0.29316799999999998</v>
      </c>
      <c r="P224" s="63">
        <v>0.30475999999999998</v>
      </c>
      <c r="Q224" s="63">
        <v>0.31702599999999997</v>
      </c>
      <c r="R224" s="63">
        <v>0.33011800000000002</v>
      </c>
      <c r="S224" s="63">
        <v>0.34764</v>
      </c>
      <c r="T224" s="63">
        <v>0.36810799999999999</v>
      </c>
      <c r="U224" s="63">
        <v>0.38486300000000001</v>
      </c>
      <c r="V224" s="63">
        <v>0.40303800000000001</v>
      </c>
      <c r="W224" s="63">
        <v>0.426734</v>
      </c>
      <c r="X224" s="63">
        <v>0.45377699999999999</v>
      </c>
      <c r="Y224" s="63">
        <v>0.48073300000000002</v>
      </c>
      <c r="Z224" s="63">
        <v>0.50788699999999998</v>
      </c>
      <c r="AA224" s="63">
        <v>0.53708999999999996</v>
      </c>
      <c r="AB224" s="63">
        <v>0.569133</v>
      </c>
      <c r="AC224" s="63">
        <v>0.60412100000000002</v>
      </c>
      <c r="AD224" s="63">
        <v>0.63878999999999997</v>
      </c>
      <c r="AE224" s="63">
        <v>0.67569699999999999</v>
      </c>
      <c r="AF224" s="63">
        <v>0.70973600000000003</v>
      </c>
      <c r="AG224" s="63">
        <v>0.747116</v>
      </c>
      <c r="AH224" s="63">
        <v>0.78348700000000004</v>
      </c>
      <c r="AI224" s="63">
        <v>0.82233900000000004</v>
      </c>
      <c r="AJ224" s="63">
        <v>0.86283799999999999</v>
      </c>
      <c r="AK224" s="62">
        <v>4.0035000000000001E-2</v>
      </c>
    </row>
    <row r="225" spans="1:37" ht="15" customHeight="1" x14ac:dyDescent="0.2">
      <c r="A225" s="57" t="s">
        <v>1106</v>
      </c>
      <c r="B225" s="60" t="s">
        <v>909</v>
      </c>
      <c r="C225" s="63">
        <v>2.1940999999999999E-2</v>
      </c>
      <c r="D225" s="63">
        <v>0.47561100000000001</v>
      </c>
      <c r="E225" s="63">
        <v>0.51994099999999999</v>
      </c>
      <c r="F225" s="63">
        <v>0.49647000000000002</v>
      </c>
      <c r="G225" s="63">
        <v>0.48375699999999999</v>
      </c>
      <c r="H225" s="63">
        <v>0.53152699999999997</v>
      </c>
      <c r="I225" s="63">
        <v>0.53371599999999997</v>
      </c>
      <c r="J225" s="63">
        <v>0.526922</v>
      </c>
      <c r="K225" s="63">
        <v>0.53310900000000006</v>
      </c>
      <c r="L225" s="63">
        <v>0.54296100000000003</v>
      </c>
      <c r="M225" s="63">
        <v>0.55153099999999999</v>
      </c>
      <c r="N225" s="63">
        <v>0.55879800000000002</v>
      </c>
      <c r="O225" s="63">
        <v>0.57170699999999997</v>
      </c>
      <c r="P225" s="63">
        <v>0.59290600000000004</v>
      </c>
      <c r="Q225" s="63">
        <v>0.61539200000000005</v>
      </c>
      <c r="R225" s="63">
        <v>0.63812000000000002</v>
      </c>
      <c r="S225" s="63">
        <v>0.66453099999999998</v>
      </c>
      <c r="T225" s="63">
        <v>0.69583099999999998</v>
      </c>
      <c r="U225" s="63">
        <v>0.72067899999999996</v>
      </c>
      <c r="V225" s="63">
        <v>0.74566699999999997</v>
      </c>
      <c r="W225" s="63">
        <v>0.78112499999999996</v>
      </c>
      <c r="X225" s="63">
        <v>0.82440999999999998</v>
      </c>
      <c r="Y225" s="63">
        <v>0.86785100000000004</v>
      </c>
      <c r="Z225" s="63">
        <v>0.91180799999999995</v>
      </c>
      <c r="AA225" s="63">
        <v>0.95877299999999999</v>
      </c>
      <c r="AB225" s="63">
        <v>1.0109649999999999</v>
      </c>
      <c r="AC225" s="63">
        <v>1.074079</v>
      </c>
      <c r="AD225" s="63">
        <v>1.1359870000000001</v>
      </c>
      <c r="AE225" s="63">
        <v>1.198664</v>
      </c>
      <c r="AF225" s="63">
        <v>1.2575019999999999</v>
      </c>
      <c r="AG225" s="63">
        <v>1.3154619999999999</v>
      </c>
      <c r="AH225" s="63">
        <v>1.373788</v>
      </c>
      <c r="AI225" s="63">
        <v>1.43276</v>
      </c>
      <c r="AJ225" s="63">
        <v>1.487868</v>
      </c>
      <c r="AK225" s="62">
        <v>3.6283000000000003E-2</v>
      </c>
    </row>
    <row r="226" spans="1:37" ht="15" customHeight="1" x14ac:dyDescent="0.2">
      <c r="A226" s="57" t="s">
        <v>1107</v>
      </c>
      <c r="B226" s="60" t="s">
        <v>911</v>
      </c>
      <c r="C226" s="63">
        <v>3.6505909999999999</v>
      </c>
      <c r="D226" s="63">
        <v>4.0185380000000004</v>
      </c>
      <c r="E226" s="63">
        <v>4.3652550000000003</v>
      </c>
      <c r="F226" s="63">
        <v>4.1434860000000002</v>
      </c>
      <c r="G226" s="63">
        <v>4.0131889999999997</v>
      </c>
      <c r="H226" s="63">
        <v>4.3953239999999996</v>
      </c>
      <c r="I226" s="63">
        <v>4.4062460000000003</v>
      </c>
      <c r="J226" s="63">
        <v>4.3522020000000001</v>
      </c>
      <c r="K226" s="63">
        <v>4.4267500000000002</v>
      </c>
      <c r="L226" s="63">
        <v>4.5348569999999997</v>
      </c>
      <c r="M226" s="63">
        <v>4.6667329999999998</v>
      </c>
      <c r="N226" s="63">
        <v>4.7838729999999998</v>
      </c>
      <c r="O226" s="63">
        <v>4.9746620000000004</v>
      </c>
      <c r="P226" s="63">
        <v>5.2593209999999999</v>
      </c>
      <c r="Q226" s="63">
        <v>5.5597320000000003</v>
      </c>
      <c r="R226" s="63">
        <v>5.8659379999999999</v>
      </c>
      <c r="S226" s="63">
        <v>6.2147550000000003</v>
      </c>
      <c r="T226" s="63">
        <v>6.618474</v>
      </c>
      <c r="U226" s="63">
        <v>6.9510379999999996</v>
      </c>
      <c r="V226" s="63">
        <v>7.2793020000000004</v>
      </c>
      <c r="W226" s="63">
        <v>7.7072659999999997</v>
      </c>
      <c r="X226" s="63">
        <v>8.1956880000000005</v>
      </c>
      <c r="Y226" s="63">
        <v>8.6825559999999999</v>
      </c>
      <c r="Z226" s="63">
        <v>9.1729730000000007</v>
      </c>
      <c r="AA226" s="63">
        <v>9.7004239999999999</v>
      </c>
      <c r="AB226" s="63">
        <v>10.279139000000001</v>
      </c>
      <c r="AC226" s="63">
        <v>10.911072000000001</v>
      </c>
      <c r="AD226" s="63">
        <v>11.537217999999999</v>
      </c>
      <c r="AE226" s="63">
        <v>12.203803000000001</v>
      </c>
      <c r="AF226" s="63">
        <v>12.81859</v>
      </c>
      <c r="AG226" s="63">
        <v>13.493717</v>
      </c>
      <c r="AH226" s="63">
        <v>14.150603</v>
      </c>
      <c r="AI226" s="63">
        <v>14.852321</v>
      </c>
      <c r="AJ226" s="63">
        <v>15.510106</v>
      </c>
      <c r="AK226" s="62">
        <v>4.3109000000000001E-2</v>
      </c>
    </row>
    <row r="227" spans="1:37" ht="15" customHeight="1" x14ac:dyDescent="0.2">
      <c r="A227" s="57" t="s">
        <v>1108</v>
      </c>
      <c r="B227" s="60" t="s">
        <v>913</v>
      </c>
      <c r="C227" s="63">
        <v>0</v>
      </c>
      <c r="D227" s="63">
        <v>1.1044499999999999</v>
      </c>
      <c r="E227" s="63">
        <v>1.2436130000000001</v>
      </c>
      <c r="F227" s="63">
        <v>1.2225330000000001</v>
      </c>
      <c r="G227" s="63">
        <v>1.2252419999999999</v>
      </c>
      <c r="H227" s="63">
        <v>1.384479</v>
      </c>
      <c r="I227" s="63">
        <v>1.4294610000000001</v>
      </c>
      <c r="J227" s="63">
        <v>1.4508989999999999</v>
      </c>
      <c r="K227" s="63">
        <v>1.5071319999999999</v>
      </c>
      <c r="L227" s="63">
        <v>1.5754870000000001</v>
      </c>
      <c r="M227" s="63">
        <v>1.642029</v>
      </c>
      <c r="N227" s="63">
        <v>1.7018120000000001</v>
      </c>
      <c r="O227" s="63">
        <v>1.779917</v>
      </c>
      <c r="P227" s="63">
        <v>1.881767</v>
      </c>
      <c r="Q227" s="63">
        <v>1.9892540000000001</v>
      </c>
      <c r="R227" s="63">
        <v>2.0988129999999998</v>
      </c>
      <c r="S227" s="63">
        <v>2.2236189999999998</v>
      </c>
      <c r="T227" s="63">
        <v>2.3680680000000001</v>
      </c>
      <c r="U227" s="63">
        <v>2.4870580000000002</v>
      </c>
      <c r="V227" s="63">
        <v>2.6045099999999999</v>
      </c>
      <c r="W227" s="63">
        <v>2.7576339999999999</v>
      </c>
      <c r="X227" s="63">
        <v>2.9323899999999998</v>
      </c>
      <c r="Y227" s="63">
        <v>3.1065900000000002</v>
      </c>
      <c r="Z227" s="63">
        <v>3.2820589999999998</v>
      </c>
      <c r="AA227" s="63">
        <v>3.4707789999999998</v>
      </c>
      <c r="AB227" s="63">
        <v>3.6778409999999999</v>
      </c>
      <c r="AC227" s="63">
        <v>3.9039450000000002</v>
      </c>
      <c r="AD227" s="63">
        <v>4.1279779999999997</v>
      </c>
      <c r="AE227" s="63">
        <v>4.3664800000000001</v>
      </c>
      <c r="AF227" s="63">
        <v>4.586449</v>
      </c>
      <c r="AG227" s="63">
        <v>4.8280060000000002</v>
      </c>
      <c r="AH227" s="63">
        <v>5.0630379999999997</v>
      </c>
      <c r="AI227" s="63">
        <v>5.3141109999999996</v>
      </c>
      <c r="AJ227" s="63">
        <v>5.5758200000000002</v>
      </c>
      <c r="AK227" s="62">
        <v>5.1898E-2</v>
      </c>
    </row>
    <row r="228" spans="1:37" ht="15" customHeight="1" x14ac:dyDescent="0.2">
      <c r="A228" s="57" t="s">
        <v>1109</v>
      </c>
      <c r="B228" s="60" t="s">
        <v>915</v>
      </c>
      <c r="C228" s="63">
        <v>0</v>
      </c>
      <c r="D228" s="63">
        <v>0.46667199999999998</v>
      </c>
      <c r="E228" s="63">
        <v>0.52547299999999997</v>
      </c>
      <c r="F228" s="63">
        <v>0.51656599999999997</v>
      </c>
      <c r="G228" s="63">
        <v>0.51771100000000003</v>
      </c>
      <c r="H228" s="63">
        <v>0.58499400000000001</v>
      </c>
      <c r="I228" s="63">
        <v>0.60400100000000001</v>
      </c>
      <c r="J228" s="63">
        <v>0.61306000000000005</v>
      </c>
      <c r="K228" s="63">
        <v>0.63682000000000005</v>
      </c>
      <c r="L228" s="63">
        <v>0.66570300000000004</v>
      </c>
      <c r="M228" s="63">
        <v>0.69381899999999996</v>
      </c>
      <c r="N228" s="63">
        <v>0.71908000000000005</v>
      </c>
      <c r="O228" s="63">
        <v>0.75208200000000003</v>
      </c>
      <c r="P228" s="63">
        <v>0.79511799999999999</v>
      </c>
      <c r="Q228" s="63">
        <v>0.84053500000000003</v>
      </c>
      <c r="R228" s="63">
        <v>0.88682799999999995</v>
      </c>
      <c r="S228" s="63">
        <v>0.93956300000000004</v>
      </c>
      <c r="T228" s="63">
        <v>1.0005980000000001</v>
      </c>
      <c r="U228" s="63">
        <v>1.0508759999999999</v>
      </c>
      <c r="V228" s="63">
        <v>1.1005039999999999</v>
      </c>
      <c r="W228" s="63">
        <v>1.1652039999999999</v>
      </c>
      <c r="X228" s="63">
        <v>1.239045</v>
      </c>
      <c r="Y228" s="63">
        <v>1.312651</v>
      </c>
      <c r="Z228" s="63">
        <v>1.3867929999999999</v>
      </c>
      <c r="AA228" s="63">
        <v>1.4665349999999999</v>
      </c>
      <c r="AB228" s="63">
        <v>1.554027</v>
      </c>
      <c r="AC228" s="63">
        <v>1.649564</v>
      </c>
      <c r="AD228" s="63">
        <v>1.744227</v>
      </c>
      <c r="AE228" s="63">
        <v>1.845002</v>
      </c>
      <c r="AF228" s="63">
        <v>1.937948</v>
      </c>
      <c r="AG228" s="63">
        <v>2.0400149999999999</v>
      </c>
      <c r="AH228" s="63">
        <v>2.1393249999999999</v>
      </c>
      <c r="AI228" s="63">
        <v>2.245412</v>
      </c>
      <c r="AJ228" s="63">
        <v>2.3559939999999999</v>
      </c>
      <c r="AK228" s="62">
        <v>5.1898E-2</v>
      </c>
    </row>
    <row r="229" spans="1:37" ht="15" customHeight="1" x14ac:dyDescent="0.2">
      <c r="A229" s="57" t="s">
        <v>1110</v>
      </c>
      <c r="B229" s="60" t="s">
        <v>917</v>
      </c>
      <c r="C229" s="63">
        <v>0</v>
      </c>
      <c r="D229" s="63">
        <v>0.38485799999999998</v>
      </c>
      <c r="E229" s="63">
        <v>0.43335099999999999</v>
      </c>
      <c r="F229" s="63">
        <v>0.426006</v>
      </c>
      <c r="G229" s="63">
        <v>0.42695</v>
      </c>
      <c r="H229" s="63">
        <v>0.48243799999999998</v>
      </c>
      <c r="I229" s="63">
        <v>0.498112</v>
      </c>
      <c r="J229" s="63">
        <v>0.505583</v>
      </c>
      <c r="K229" s="63">
        <v>0.52517800000000003</v>
      </c>
      <c r="L229" s="63">
        <v>0.54899699999999996</v>
      </c>
      <c r="M229" s="63">
        <v>0.57218400000000003</v>
      </c>
      <c r="N229" s="63">
        <v>0.59301599999999999</v>
      </c>
      <c r="O229" s="63">
        <v>0.62023300000000003</v>
      </c>
      <c r="P229" s="63">
        <v>0.65572399999999997</v>
      </c>
      <c r="Q229" s="63">
        <v>0.69317899999999999</v>
      </c>
      <c r="R229" s="63">
        <v>0.73135600000000001</v>
      </c>
      <c r="S229" s="63">
        <v>0.77484600000000003</v>
      </c>
      <c r="T229" s="63">
        <v>0.82518100000000005</v>
      </c>
      <c r="U229" s="63">
        <v>0.86664399999999997</v>
      </c>
      <c r="V229" s="63">
        <v>0.90757200000000005</v>
      </c>
      <c r="W229" s="63">
        <v>0.96092999999999995</v>
      </c>
      <c r="X229" s="63">
        <v>1.021825</v>
      </c>
      <c r="Y229" s="63">
        <v>1.082527</v>
      </c>
      <c r="Z229" s="63">
        <v>1.1436710000000001</v>
      </c>
      <c r="AA229" s="63">
        <v>1.209433</v>
      </c>
      <c r="AB229" s="63">
        <v>1.2815859999999999</v>
      </c>
      <c r="AC229" s="63">
        <v>1.3603749999999999</v>
      </c>
      <c r="AD229" s="63">
        <v>1.438442</v>
      </c>
      <c r="AE229" s="63">
        <v>1.52155</v>
      </c>
      <c r="AF229" s="63">
        <v>1.598201</v>
      </c>
      <c r="AG229" s="63">
        <v>1.682375</v>
      </c>
      <c r="AH229" s="63">
        <v>1.7642739999999999</v>
      </c>
      <c r="AI229" s="63">
        <v>1.851763</v>
      </c>
      <c r="AJ229" s="63">
        <v>1.9429590000000001</v>
      </c>
      <c r="AK229" s="62">
        <v>5.1898E-2</v>
      </c>
    </row>
    <row r="230" spans="1:37" ht="15" customHeight="1" x14ac:dyDescent="0.2">
      <c r="A230" s="57" t="s">
        <v>1111</v>
      </c>
      <c r="B230" s="60" t="s">
        <v>919</v>
      </c>
      <c r="C230" s="63">
        <v>0</v>
      </c>
      <c r="D230" s="63">
        <v>0.66082399999999997</v>
      </c>
      <c r="E230" s="63">
        <v>0.744089</v>
      </c>
      <c r="F230" s="63">
        <v>0.73147700000000004</v>
      </c>
      <c r="G230" s="63">
        <v>0.73309800000000003</v>
      </c>
      <c r="H230" s="63">
        <v>0.82837300000000003</v>
      </c>
      <c r="I230" s="63">
        <v>0.85528800000000005</v>
      </c>
      <c r="J230" s="63">
        <v>0.86811499999999997</v>
      </c>
      <c r="K230" s="63">
        <v>0.90176000000000001</v>
      </c>
      <c r="L230" s="63">
        <v>0.94266000000000005</v>
      </c>
      <c r="M230" s="63">
        <v>0.98247300000000004</v>
      </c>
      <c r="N230" s="63">
        <v>1.018243</v>
      </c>
      <c r="O230" s="63">
        <v>1.0649759999999999</v>
      </c>
      <c r="P230" s="63">
        <v>1.125915</v>
      </c>
      <c r="Q230" s="63">
        <v>1.1902280000000001</v>
      </c>
      <c r="R230" s="63">
        <v>1.2557799999999999</v>
      </c>
      <c r="S230" s="63">
        <v>1.3304549999999999</v>
      </c>
      <c r="T230" s="63">
        <v>1.4168829999999999</v>
      </c>
      <c r="U230" s="63">
        <v>1.488078</v>
      </c>
      <c r="V230" s="63">
        <v>1.5583530000000001</v>
      </c>
      <c r="W230" s="63">
        <v>1.6499710000000001</v>
      </c>
      <c r="X230" s="63">
        <v>1.7545329999999999</v>
      </c>
      <c r="Y230" s="63">
        <v>1.858762</v>
      </c>
      <c r="Z230" s="63">
        <v>1.9637500000000001</v>
      </c>
      <c r="AA230" s="63">
        <v>2.076667</v>
      </c>
      <c r="AB230" s="63">
        <v>2.200558</v>
      </c>
      <c r="AC230" s="63">
        <v>2.3358430000000001</v>
      </c>
      <c r="AD230" s="63">
        <v>2.4698880000000001</v>
      </c>
      <c r="AE230" s="63">
        <v>2.61259</v>
      </c>
      <c r="AF230" s="63">
        <v>2.7442030000000002</v>
      </c>
      <c r="AG230" s="63">
        <v>2.8887350000000001</v>
      </c>
      <c r="AH230" s="63">
        <v>3.0293610000000002</v>
      </c>
      <c r="AI230" s="63">
        <v>3.1795849999999999</v>
      </c>
      <c r="AJ230" s="63">
        <v>3.3361730000000001</v>
      </c>
      <c r="AK230" s="62">
        <v>5.1898E-2</v>
      </c>
    </row>
    <row r="231" spans="1:37" ht="15" customHeight="1" x14ac:dyDescent="0.2">
      <c r="A231" s="57" t="s">
        <v>1112</v>
      </c>
      <c r="B231" s="60" t="s">
        <v>933</v>
      </c>
      <c r="C231" s="63">
        <v>158.87283300000001</v>
      </c>
      <c r="D231" s="63">
        <v>176.152252</v>
      </c>
      <c r="E231" s="63">
        <v>192.57060200000001</v>
      </c>
      <c r="F231" s="63">
        <v>183.792755</v>
      </c>
      <c r="G231" s="63">
        <v>178.83496099999999</v>
      </c>
      <c r="H231" s="63">
        <v>196.191238</v>
      </c>
      <c r="I231" s="63">
        <v>196.665695</v>
      </c>
      <c r="J231" s="63">
        <v>193.80110199999999</v>
      </c>
      <c r="K231" s="63">
        <v>195.44880699999999</v>
      </c>
      <c r="L231" s="63">
        <v>198.36241100000001</v>
      </c>
      <c r="M231" s="63">
        <v>200.71876499999999</v>
      </c>
      <c r="N231" s="63">
        <v>201.96751399999999</v>
      </c>
      <c r="O231" s="63">
        <v>205.08442700000001</v>
      </c>
      <c r="P231" s="63">
        <v>210.50457800000001</v>
      </c>
      <c r="Q231" s="63">
        <v>216.04718</v>
      </c>
      <c r="R231" s="63">
        <v>221.30688499999999</v>
      </c>
      <c r="S231" s="63">
        <v>227.63774100000001</v>
      </c>
      <c r="T231" s="63">
        <v>235.36445599999999</v>
      </c>
      <c r="U231" s="63">
        <v>239.991287</v>
      </c>
      <c r="V231" s="63">
        <v>244.004807</v>
      </c>
      <c r="W231" s="63">
        <v>250.82556199999999</v>
      </c>
      <c r="X231" s="63">
        <v>258.95224000000002</v>
      </c>
      <c r="Y231" s="63">
        <v>266.34497099999999</v>
      </c>
      <c r="Z231" s="63">
        <v>273.19314600000001</v>
      </c>
      <c r="AA231" s="63">
        <v>280.48736600000001</v>
      </c>
      <c r="AB231" s="63">
        <v>288.563965</v>
      </c>
      <c r="AC231" s="63">
        <v>297.38259900000003</v>
      </c>
      <c r="AD231" s="63">
        <v>305.28961199999998</v>
      </c>
      <c r="AE231" s="63">
        <v>313.522583</v>
      </c>
      <c r="AF231" s="63">
        <v>319.72506700000002</v>
      </c>
      <c r="AG231" s="63">
        <v>326.76147500000002</v>
      </c>
      <c r="AH231" s="63">
        <v>332.68786599999999</v>
      </c>
      <c r="AI231" s="63">
        <v>339.01522799999998</v>
      </c>
      <c r="AJ231" s="63">
        <v>345.350525</v>
      </c>
      <c r="AK231" s="62">
        <v>2.1260999999999999E-2</v>
      </c>
    </row>
    <row r="232" spans="1:37" ht="15" customHeight="1" x14ac:dyDescent="0.2">
      <c r="B232" s="59" t="s">
        <v>934</v>
      </c>
    </row>
    <row r="233" spans="1:37" ht="15" customHeight="1" x14ac:dyDescent="0.2">
      <c r="A233" s="57" t="s">
        <v>1113</v>
      </c>
      <c r="B233" s="60" t="s">
        <v>903</v>
      </c>
      <c r="C233" s="63">
        <v>251.589752</v>
      </c>
      <c r="D233" s="63">
        <v>271.43713400000001</v>
      </c>
      <c r="E233" s="63">
        <v>290.17019699999997</v>
      </c>
      <c r="F233" s="63">
        <v>270.784088</v>
      </c>
      <c r="G233" s="63">
        <v>257.59075899999999</v>
      </c>
      <c r="H233" s="63">
        <v>276.23306300000002</v>
      </c>
      <c r="I233" s="63">
        <v>270.66409299999998</v>
      </c>
      <c r="J233" s="63">
        <v>260.69656400000002</v>
      </c>
      <c r="K233" s="63">
        <v>256.94982900000002</v>
      </c>
      <c r="L233" s="63">
        <v>254.82302899999999</v>
      </c>
      <c r="M233" s="63">
        <v>251.940247</v>
      </c>
      <c r="N233" s="63">
        <v>247.67163099999999</v>
      </c>
      <c r="O233" s="63">
        <v>245.64317299999999</v>
      </c>
      <c r="P233" s="63">
        <v>246.22178600000001</v>
      </c>
      <c r="Q233" s="63">
        <v>246.73696899999999</v>
      </c>
      <c r="R233" s="63">
        <v>246.71572900000001</v>
      </c>
      <c r="S233" s="63">
        <v>247.68417400000001</v>
      </c>
      <c r="T233" s="63">
        <v>249.91044600000001</v>
      </c>
      <c r="U233" s="63">
        <v>248.61093099999999</v>
      </c>
      <c r="V233" s="63">
        <v>246.55435199999999</v>
      </c>
      <c r="W233" s="63">
        <v>247.170883</v>
      </c>
      <c r="X233" s="63">
        <v>248.80387899999999</v>
      </c>
      <c r="Y233" s="63">
        <v>249.45353700000001</v>
      </c>
      <c r="Z233" s="63">
        <v>249.31578099999999</v>
      </c>
      <c r="AA233" s="63">
        <v>249.34562700000001</v>
      </c>
      <c r="AB233" s="63">
        <v>249.78147899999999</v>
      </c>
      <c r="AC233" s="63">
        <v>250.55844099999999</v>
      </c>
      <c r="AD233" s="63">
        <v>250.288544</v>
      </c>
      <c r="AE233" s="63">
        <v>250.04733300000001</v>
      </c>
      <c r="AF233" s="63">
        <v>248.14274599999999</v>
      </c>
      <c r="AG233" s="63">
        <v>246.77183500000001</v>
      </c>
      <c r="AH233" s="63">
        <v>244.43017599999999</v>
      </c>
      <c r="AI233" s="63">
        <v>242.585632</v>
      </c>
      <c r="AJ233" s="63">
        <v>240.686859</v>
      </c>
      <c r="AK233" s="62">
        <v>-3.7499999999999999E-3</v>
      </c>
    </row>
    <row r="234" spans="1:37" ht="15" customHeight="1" x14ac:dyDescent="0.2">
      <c r="A234" s="57" t="s">
        <v>1114</v>
      </c>
      <c r="B234" s="60" t="s">
        <v>905</v>
      </c>
      <c r="C234" s="63">
        <v>0.538906</v>
      </c>
      <c r="D234" s="63">
        <v>0.415493</v>
      </c>
      <c r="E234" s="63">
        <v>0.44368600000000002</v>
      </c>
      <c r="F234" s="63">
        <v>0.41369</v>
      </c>
      <c r="G234" s="63">
        <v>0.39328600000000002</v>
      </c>
      <c r="H234" s="63">
        <v>0.42158899999999999</v>
      </c>
      <c r="I234" s="63">
        <v>0.41298400000000002</v>
      </c>
      <c r="J234" s="63">
        <v>0.39773500000000001</v>
      </c>
      <c r="K234" s="63">
        <v>0.39204899999999998</v>
      </c>
      <c r="L234" s="63">
        <v>0.388928</v>
      </c>
      <c r="M234" s="63">
        <v>0.38470700000000002</v>
      </c>
      <c r="N234" s="63">
        <v>0.37842900000000002</v>
      </c>
      <c r="O234" s="63">
        <v>0.37568200000000002</v>
      </c>
      <c r="P234" s="63">
        <v>0.37701400000000002</v>
      </c>
      <c r="Q234" s="63">
        <v>0.37833099999999997</v>
      </c>
      <c r="R234" s="63">
        <v>0.37893399999999999</v>
      </c>
      <c r="S234" s="63">
        <v>0.381129</v>
      </c>
      <c r="T234" s="63">
        <v>0.38533699999999999</v>
      </c>
      <c r="U234" s="63">
        <v>0.384218</v>
      </c>
      <c r="V234" s="63">
        <v>0.38200600000000001</v>
      </c>
      <c r="W234" s="63">
        <v>0.38400600000000001</v>
      </c>
      <c r="X234" s="63">
        <v>0.38768799999999998</v>
      </c>
      <c r="Y234" s="63">
        <v>0.38994600000000001</v>
      </c>
      <c r="Z234" s="63">
        <v>0.39113300000000001</v>
      </c>
      <c r="AA234" s="63">
        <v>0.39269700000000002</v>
      </c>
      <c r="AB234" s="63">
        <v>0.39506599999999997</v>
      </c>
      <c r="AC234" s="63">
        <v>0.398123</v>
      </c>
      <c r="AD234" s="63">
        <v>0.39964499999999997</v>
      </c>
      <c r="AE234" s="63">
        <v>0.401308</v>
      </c>
      <c r="AF234" s="63">
        <v>0.400144</v>
      </c>
      <c r="AG234" s="63">
        <v>0.39983400000000002</v>
      </c>
      <c r="AH234" s="63">
        <v>0.39799200000000001</v>
      </c>
      <c r="AI234" s="63">
        <v>0.39647900000000003</v>
      </c>
      <c r="AJ234" s="63">
        <v>0.39481899999999998</v>
      </c>
      <c r="AK234" s="62">
        <v>-1.5939999999999999E-3</v>
      </c>
    </row>
    <row r="235" spans="1:37" ht="15" customHeight="1" x14ac:dyDescent="0.2">
      <c r="A235" s="57" t="s">
        <v>1115</v>
      </c>
      <c r="B235" s="60" t="s">
        <v>907</v>
      </c>
      <c r="C235" s="63">
        <v>0.246971</v>
      </c>
      <c r="D235" s="63">
        <v>0.306732</v>
      </c>
      <c r="E235" s="63">
        <v>0.32074999999999998</v>
      </c>
      <c r="F235" s="63">
        <v>0.29300399999999999</v>
      </c>
      <c r="G235" s="63">
        <v>0.27304600000000001</v>
      </c>
      <c r="H235" s="63">
        <v>0.28706199999999998</v>
      </c>
      <c r="I235" s="63">
        <v>0.27594200000000002</v>
      </c>
      <c r="J235" s="63">
        <v>0.26093100000000002</v>
      </c>
      <c r="K235" s="63">
        <v>0.25268200000000002</v>
      </c>
      <c r="L235" s="63">
        <v>0.246418</v>
      </c>
      <c r="M235" s="63">
        <v>0.239761</v>
      </c>
      <c r="N235" s="63">
        <v>0.23214599999999999</v>
      </c>
      <c r="O235" s="63">
        <v>0.226996</v>
      </c>
      <c r="P235" s="63">
        <v>0.22453200000000001</v>
      </c>
      <c r="Q235" s="63">
        <v>0.22224099999999999</v>
      </c>
      <c r="R235" s="63">
        <v>0.219775</v>
      </c>
      <c r="S235" s="63">
        <v>0.218414</v>
      </c>
      <c r="T235" s="63">
        <v>0.218477</v>
      </c>
      <c r="U235" s="63">
        <v>0.2157</v>
      </c>
      <c r="V235" s="63">
        <v>0.21282999999999999</v>
      </c>
      <c r="W235" s="63">
        <v>0.21321499999999999</v>
      </c>
      <c r="X235" s="63">
        <v>0.21502399999999999</v>
      </c>
      <c r="Y235" s="63">
        <v>0.21623400000000001</v>
      </c>
      <c r="Z235" s="63">
        <v>0.217304</v>
      </c>
      <c r="AA235" s="63">
        <v>0.218864</v>
      </c>
      <c r="AB235" s="63">
        <v>0.22107599999999999</v>
      </c>
      <c r="AC235" s="63">
        <v>0.223937</v>
      </c>
      <c r="AD235" s="63">
        <v>0.226244</v>
      </c>
      <c r="AE235" s="63">
        <v>0.22884499999999999</v>
      </c>
      <c r="AF235" s="63">
        <v>0.23003999999999999</v>
      </c>
      <c r="AG235" s="63">
        <v>0.23192399999999999</v>
      </c>
      <c r="AH235" s="63">
        <v>0.23311499999999999</v>
      </c>
      <c r="AI235" s="63">
        <v>0.23458399999999999</v>
      </c>
      <c r="AJ235" s="63">
        <v>0.23625399999999999</v>
      </c>
      <c r="AK235" s="62">
        <v>-8.1250000000000003E-3</v>
      </c>
    </row>
    <row r="236" spans="1:37" ht="15" customHeight="1" x14ac:dyDescent="0.2">
      <c r="A236" s="57" t="s">
        <v>1116</v>
      </c>
      <c r="B236" s="60" t="s">
        <v>909</v>
      </c>
      <c r="C236" s="63">
        <v>4.2515359999999998</v>
      </c>
      <c r="D236" s="63">
        <v>4.4833590000000001</v>
      </c>
      <c r="E236" s="63">
        <v>4.4393950000000002</v>
      </c>
      <c r="F236" s="63">
        <v>3.8754520000000001</v>
      </c>
      <c r="G236" s="63">
        <v>3.4891350000000001</v>
      </c>
      <c r="H236" s="63">
        <v>3.5991390000000001</v>
      </c>
      <c r="I236" s="63">
        <v>3.4193220000000002</v>
      </c>
      <c r="J236" s="63">
        <v>3.2297280000000002</v>
      </c>
      <c r="K236" s="63">
        <v>3.1649769999999999</v>
      </c>
      <c r="L236" s="63">
        <v>3.1817570000000002</v>
      </c>
      <c r="M236" s="63">
        <v>3.2241339999999998</v>
      </c>
      <c r="N236" s="63">
        <v>3.2871760000000001</v>
      </c>
      <c r="O236" s="63">
        <v>3.45173</v>
      </c>
      <c r="P236" s="63">
        <v>3.7116760000000002</v>
      </c>
      <c r="Q236" s="63">
        <v>4.0234909999999999</v>
      </c>
      <c r="R236" s="63">
        <v>4.3961959999999998</v>
      </c>
      <c r="S236" s="63">
        <v>4.8328239999999996</v>
      </c>
      <c r="T236" s="63">
        <v>5.3420430000000003</v>
      </c>
      <c r="U236" s="63">
        <v>5.8458969999999999</v>
      </c>
      <c r="V236" s="63">
        <v>6.3814659999999996</v>
      </c>
      <c r="W236" s="63">
        <v>7.0302049999999996</v>
      </c>
      <c r="X236" s="63">
        <v>7.773047</v>
      </c>
      <c r="Y236" s="63">
        <v>8.5534669999999995</v>
      </c>
      <c r="Z236" s="63">
        <v>9.4099029999999999</v>
      </c>
      <c r="AA236" s="63">
        <v>10.345533</v>
      </c>
      <c r="AB236" s="63">
        <v>11.40413</v>
      </c>
      <c r="AC236" s="63">
        <v>12.572865</v>
      </c>
      <c r="AD236" s="63">
        <v>13.771280000000001</v>
      </c>
      <c r="AE236" s="63">
        <v>15.030868999999999</v>
      </c>
      <c r="AF236" s="63">
        <v>16.083143</v>
      </c>
      <c r="AG236" s="63">
        <v>17.164353999999999</v>
      </c>
      <c r="AH236" s="63">
        <v>18.202266999999999</v>
      </c>
      <c r="AI236" s="63">
        <v>18.958186999999999</v>
      </c>
      <c r="AJ236" s="63">
        <v>19.668839999999999</v>
      </c>
      <c r="AK236" s="62">
        <v>4.7292000000000001E-2</v>
      </c>
    </row>
    <row r="237" spans="1:37" ht="15" customHeight="1" x14ac:dyDescent="0.2">
      <c r="A237" s="57" t="s">
        <v>1117</v>
      </c>
      <c r="B237" s="60" t="s">
        <v>911</v>
      </c>
      <c r="C237" s="63">
        <v>0</v>
      </c>
      <c r="D237" s="63">
        <v>0</v>
      </c>
      <c r="E237" s="63">
        <v>0</v>
      </c>
      <c r="F237" s="63">
        <v>0</v>
      </c>
      <c r="G237" s="63">
        <v>0</v>
      </c>
      <c r="H237" s="63">
        <v>0</v>
      </c>
      <c r="I237" s="63">
        <v>0</v>
      </c>
      <c r="J237" s="63">
        <v>0</v>
      </c>
      <c r="K237" s="63">
        <v>0</v>
      </c>
      <c r="L237" s="63">
        <v>0</v>
      </c>
      <c r="M237" s="63">
        <v>0</v>
      </c>
      <c r="N237" s="63">
        <v>0</v>
      </c>
      <c r="O237" s="63">
        <v>0</v>
      </c>
      <c r="P237" s="63">
        <v>0</v>
      </c>
      <c r="Q237" s="63">
        <v>0</v>
      </c>
      <c r="R237" s="63">
        <v>0</v>
      </c>
      <c r="S237" s="63">
        <v>0</v>
      </c>
      <c r="T237" s="63">
        <v>0</v>
      </c>
      <c r="U237" s="63">
        <v>0</v>
      </c>
      <c r="V237" s="63">
        <v>0</v>
      </c>
      <c r="W237" s="63">
        <v>0</v>
      </c>
      <c r="X237" s="63">
        <v>0</v>
      </c>
      <c r="Y237" s="63">
        <v>0</v>
      </c>
      <c r="Z237" s="63">
        <v>0</v>
      </c>
      <c r="AA237" s="63">
        <v>0</v>
      </c>
      <c r="AB237" s="63">
        <v>0</v>
      </c>
      <c r="AC237" s="63">
        <v>0</v>
      </c>
      <c r="AD237" s="63">
        <v>0</v>
      </c>
      <c r="AE237" s="63">
        <v>0</v>
      </c>
      <c r="AF237" s="63">
        <v>0</v>
      </c>
      <c r="AG237" s="63">
        <v>0</v>
      </c>
      <c r="AH237" s="63">
        <v>0</v>
      </c>
      <c r="AI237" s="63">
        <v>0</v>
      </c>
      <c r="AJ237" s="63">
        <v>0</v>
      </c>
      <c r="AK237" s="62" t="s">
        <v>467</v>
      </c>
    </row>
    <row r="238" spans="1:37" ht="15" customHeight="1" x14ac:dyDescent="0.2">
      <c r="A238" s="57" t="s">
        <v>1118</v>
      </c>
      <c r="B238" s="60" t="s">
        <v>913</v>
      </c>
      <c r="C238" s="63">
        <v>0</v>
      </c>
      <c r="D238" s="63">
        <v>0.52680800000000005</v>
      </c>
      <c r="E238" s="63">
        <v>0.57943199999999995</v>
      </c>
      <c r="F238" s="63">
        <v>0.55646600000000002</v>
      </c>
      <c r="G238" s="63">
        <v>0.54488999999999999</v>
      </c>
      <c r="H238" s="63">
        <v>0.60162700000000002</v>
      </c>
      <c r="I238" s="63">
        <v>0.60702699999999998</v>
      </c>
      <c r="J238" s="63">
        <v>0.60215200000000002</v>
      </c>
      <c r="K238" s="63">
        <v>0.61134999999999995</v>
      </c>
      <c r="L238" s="63">
        <v>0.62467799999999996</v>
      </c>
      <c r="M238" s="63">
        <v>0.636436</v>
      </c>
      <c r="N238" s="63">
        <v>0.64483000000000001</v>
      </c>
      <c r="O238" s="63">
        <v>0.65935500000000002</v>
      </c>
      <c r="P238" s="63">
        <v>0.68154300000000001</v>
      </c>
      <c r="Q238" s="63">
        <v>0.70444200000000001</v>
      </c>
      <c r="R238" s="63">
        <v>0.72673100000000002</v>
      </c>
      <c r="S238" s="63">
        <v>0.75287000000000004</v>
      </c>
      <c r="T238" s="63">
        <v>0.78401699999999996</v>
      </c>
      <c r="U238" s="63">
        <v>0.80519099999999999</v>
      </c>
      <c r="V238" s="63">
        <v>0.82457199999999997</v>
      </c>
      <c r="W238" s="63">
        <v>0.85375599999999996</v>
      </c>
      <c r="X238" s="63">
        <v>0.88780099999999995</v>
      </c>
      <c r="Y238" s="63">
        <v>0.91976000000000002</v>
      </c>
      <c r="Z238" s="63">
        <v>0.950237</v>
      </c>
      <c r="AA238" s="63">
        <v>0.98265899999999995</v>
      </c>
      <c r="AB238" s="63">
        <v>1.0182439999999999</v>
      </c>
      <c r="AC238" s="63">
        <v>1.056905</v>
      </c>
      <c r="AD238" s="63">
        <v>1.092776</v>
      </c>
      <c r="AE238" s="63">
        <v>1.1302430000000001</v>
      </c>
      <c r="AF238" s="63">
        <v>1.1607719999999999</v>
      </c>
      <c r="AG238" s="63">
        <v>1.194671</v>
      </c>
      <c r="AH238" s="63">
        <v>1.2248429999999999</v>
      </c>
      <c r="AI238" s="63">
        <v>1.256791</v>
      </c>
      <c r="AJ238" s="63">
        <v>1.2890729999999999</v>
      </c>
      <c r="AK238" s="62">
        <v>2.8358000000000001E-2</v>
      </c>
    </row>
    <row r="239" spans="1:37" ht="15" customHeight="1" x14ac:dyDescent="0.2">
      <c r="A239" s="57" t="s">
        <v>1119</v>
      </c>
      <c r="B239" s="60" t="s">
        <v>915</v>
      </c>
      <c r="C239" s="63">
        <v>0</v>
      </c>
      <c r="D239" s="63">
        <v>0.21735299999999999</v>
      </c>
      <c r="E239" s="63">
        <v>0.239065</v>
      </c>
      <c r="F239" s="63">
        <v>0.22958999999999999</v>
      </c>
      <c r="G239" s="63">
        <v>0.22481400000000001</v>
      </c>
      <c r="H239" s="63">
        <v>0.248222</v>
      </c>
      <c r="I239" s="63">
        <v>0.25045000000000001</v>
      </c>
      <c r="J239" s="63">
        <v>0.24843899999999999</v>
      </c>
      <c r="K239" s="63">
        <v>0.25223400000000001</v>
      </c>
      <c r="L239" s="63">
        <v>0.25773299999999999</v>
      </c>
      <c r="M239" s="63">
        <v>0.26258399999999998</v>
      </c>
      <c r="N239" s="63">
        <v>0.26604800000000001</v>
      </c>
      <c r="O239" s="63">
        <v>0.27204</v>
      </c>
      <c r="P239" s="63">
        <v>0.28119499999999997</v>
      </c>
      <c r="Q239" s="63">
        <v>0.29064200000000001</v>
      </c>
      <c r="R239" s="63">
        <v>0.29983799999999999</v>
      </c>
      <c r="S239" s="63">
        <v>0.31062299999999998</v>
      </c>
      <c r="T239" s="63">
        <v>0.32347399999999998</v>
      </c>
      <c r="U239" s="63">
        <v>0.33221000000000001</v>
      </c>
      <c r="V239" s="63">
        <v>0.34020600000000001</v>
      </c>
      <c r="W239" s="63">
        <v>0.35224699999999998</v>
      </c>
      <c r="X239" s="63">
        <v>0.36629400000000001</v>
      </c>
      <c r="Y239" s="63">
        <v>0.37947999999999998</v>
      </c>
      <c r="Z239" s="63">
        <v>0.39205400000000001</v>
      </c>
      <c r="AA239" s="63">
        <v>0.40543099999999999</v>
      </c>
      <c r="AB239" s="63">
        <v>0.42011199999999999</v>
      </c>
      <c r="AC239" s="63">
        <v>0.43606400000000001</v>
      </c>
      <c r="AD239" s="63">
        <v>0.45086300000000001</v>
      </c>
      <c r="AE239" s="63">
        <v>0.46632200000000001</v>
      </c>
      <c r="AF239" s="63">
        <v>0.47891699999999998</v>
      </c>
      <c r="AG239" s="63">
        <v>0.49290400000000001</v>
      </c>
      <c r="AH239" s="63">
        <v>0.50535200000000002</v>
      </c>
      <c r="AI239" s="63">
        <v>0.51853300000000002</v>
      </c>
      <c r="AJ239" s="63">
        <v>0.53185199999999999</v>
      </c>
      <c r="AK239" s="62">
        <v>2.8358000000000001E-2</v>
      </c>
    </row>
    <row r="240" spans="1:37" ht="15" customHeight="1" x14ac:dyDescent="0.2">
      <c r="A240" s="57" t="s">
        <v>1120</v>
      </c>
      <c r="B240" s="60" t="s">
        <v>917</v>
      </c>
      <c r="C240" s="63">
        <v>0</v>
      </c>
      <c r="D240" s="63">
        <v>0.20746700000000001</v>
      </c>
      <c r="E240" s="63">
        <v>0.228191</v>
      </c>
      <c r="F240" s="63">
        <v>0.21914700000000001</v>
      </c>
      <c r="G240" s="63">
        <v>0.214588</v>
      </c>
      <c r="H240" s="63">
        <v>0.236932</v>
      </c>
      <c r="I240" s="63">
        <v>0.23905899999999999</v>
      </c>
      <c r="J240" s="63">
        <v>0.23713899999999999</v>
      </c>
      <c r="K240" s="63">
        <v>0.240761</v>
      </c>
      <c r="L240" s="63">
        <v>0.24601000000000001</v>
      </c>
      <c r="M240" s="63">
        <v>0.25063999999999997</v>
      </c>
      <c r="N240" s="63">
        <v>0.25394600000000001</v>
      </c>
      <c r="O240" s="63">
        <v>0.25966699999999998</v>
      </c>
      <c r="P240" s="63">
        <v>0.26840399999999998</v>
      </c>
      <c r="Q240" s="63">
        <v>0.277422</v>
      </c>
      <c r="R240" s="63">
        <v>0.28620000000000001</v>
      </c>
      <c r="S240" s="63">
        <v>0.29649399999999998</v>
      </c>
      <c r="T240" s="63">
        <v>0.30876100000000001</v>
      </c>
      <c r="U240" s="63">
        <v>0.31709999999999999</v>
      </c>
      <c r="V240" s="63">
        <v>0.32473200000000002</v>
      </c>
      <c r="W240" s="63">
        <v>0.336225</v>
      </c>
      <c r="X240" s="63">
        <v>0.34963300000000003</v>
      </c>
      <c r="Y240" s="63">
        <v>0.36221900000000001</v>
      </c>
      <c r="Z240" s="63">
        <v>0.37422100000000003</v>
      </c>
      <c r="AA240" s="63">
        <v>0.38699</v>
      </c>
      <c r="AB240" s="63">
        <v>0.40100400000000003</v>
      </c>
      <c r="AC240" s="63">
        <v>0.41622900000000002</v>
      </c>
      <c r="AD240" s="63">
        <v>0.43035600000000002</v>
      </c>
      <c r="AE240" s="63">
        <v>0.44511099999999998</v>
      </c>
      <c r="AF240" s="63">
        <v>0.45713399999999998</v>
      </c>
      <c r="AG240" s="63">
        <v>0.47048400000000001</v>
      </c>
      <c r="AH240" s="63">
        <v>0.48236600000000002</v>
      </c>
      <c r="AI240" s="63">
        <v>0.494948</v>
      </c>
      <c r="AJ240" s="63">
        <v>0.50766100000000003</v>
      </c>
      <c r="AK240" s="62">
        <v>2.8358000000000001E-2</v>
      </c>
    </row>
    <row r="241" spans="1:37" ht="15" customHeight="1" x14ac:dyDescent="0.2">
      <c r="A241" s="57" t="s">
        <v>1121</v>
      </c>
      <c r="B241" s="60" t="s">
        <v>919</v>
      </c>
      <c r="C241" s="63">
        <v>0</v>
      </c>
      <c r="D241" s="63">
        <v>0.31173899999999999</v>
      </c>
      <c r="E241" s="63">
        <v>0.34287899999999999</v>
      </c>
      <c r="F241" s="63">
        <v>0.329289</v>
      </c>
      <c r="G241" s="63">
        <v>0.32243899999999998</v>
      </c>
      <c r="H241" s="63">
        <v>0.35601300000000002</v>
      </c>
      <c r="I241" s="63">
        <v>0.359209</v>
      </c>
      <c r="J241" s="63">
        <v>0.35632399999999997</v>
      </c>
      <c r="K241" s="63">
        <v>0.36176700000000001</v>
      </c>
      <c r="L241" s="63">
        <v>0.36965300000000001</v>
      </c>
      <c r="M241" s="63">
        <v>0.37661099999999997</v>
      </c>
      <c r="N241" s="63">
        <v>0.381579</v>
      </c>
      <c r="O241" s="63">
        <v>0.39017400000000002</v>
      </c>
      <c r="P241" s="63">
        <v>0.40330300000000002</v>
      </c>
      <c r="Q241" s="63">
        <v>0.416854</v>
      </c>
      <c r="R241" s="63">
        <v>0.43004300000000001</v>
      </c>
      <c r="S241" s="63">
        <v>0.44551099999999999</v>
      </c>
      <c r="T241" s="63">
        <v>0.46394200000000002</v>
      </c>
      <c r="U241" s="63">
        <v>0.47647299999999998</v>
      </c>
      <c r="V241" s="63">
        <v>0.48794100000000001</v>
      </c>
      <c r="W241" s="63">
        <v>0.50521000000000005</v>
      </c>
      <c r="X241" s="63">
        <v>0.52535699999999996</v>
      </c>
      <c r="Y241" s="63">
        <v>0.544269</v>
      </c>
      <c r="Z241" s="63">
        <v>0.562303</v>
      </c>
      <c r="AA241" s="63">
        <v>0.58148900000000003</v>
      </c>
      <c r="AB241" s="63">
        <v>0.60254700000000005</v>
      </c>
      <c r="AC241" s="63">
        <v>0.62542399999999998</v>
      </c>
      <c r="AD241" s="63">
        <v>0.64665099999999998</v>
      </c>
      <c r="AE241" s="63">
        <v>0.66882200000000003</v>
      </c>
      <c r="AF241" s="63">
        <v>0.68688700000000003</v>
      </c>
      <c r="AG241" s="63">
        <v>0.70694699999999999</v>
      </c>
      <c r="AH241" s="63">
        <v>0.72480100000000003</v>
      </c>
      <c r="AI241" s="63">
        <v>0.74370700000000001</v>
      </c>
      <c r="AJ241" s="63">
        <v>0.76280999999999999</v>
      </c>
      <c r="AK241" s="62">
        <v>2.8358000000000001E-2</v>
      </c>
    </row>
    <row r="242" spans="1:37" ht="15" customHeight="1" x14ac:dyDescent="0.2">
      <c r="A242" s="57" t="s">
        <v>1122</v>
      </c>
      <c r="B242" s="60" t="s">
        <v>945</v>
      </c>
      <c r="C242" s="63">
        <v>256.62713600000001</v>
      </c>
      <c r="D242" s="63">
        <v>277.90609699999999</v>
      </c>
      <c r="E242" s="63">
        <v>296.76364100000001</v>
      </c>
      <c r="F242" s="63">
        <v>276.70068400000002</v>
      </c>
      <c r="G242" s="63">
        <v>263.05297899999999</v>
      </c>
      <c r="H242" s="63">
        <v>281.98364299999997</v>
      </c>
      <c r="I242" s="63">
        <v>276.22811899999999</v>
      </c>
      <c r="J242" s="63">
        <v>266.02896099999998</v>
      </c>
      <c r="K242" s="63">
        <v>262.225616</v>
      </c>
      <c r="L242" s="63">
        <v>260.138214</v>
      </c>
      <c r="M242" s="63">
        <v>257.315155</v>
      </c>
      <c r="N242" s="63">
        <v>253.115768</v>
      </c>
      <c r="O242" s="63">
        <v>251.27882399999999</v>
      </c>
      <c r="P242" s="63">
        <v>252.169434</v>
      </c>
      <c r="Q242" s="63">
        <v>253.05038500000001</v>
      </c>
      <c r="R242" s="63">
        <v>253.45343</v>
      </c>
      <c r="S242" s="63">
        <v>254.92205799999999</v>
      </c>
      <c r="T242" s="63">
        <v>257.73648100000003</v>
      </c>
      <c r="U242" s="63">
        <v>256.98773199999999</v>
      </c>
      <c r="V242" s="63">
        <v>255.508118</v>
      </c>
      <c r="W242" s="63">
        <v>256.84570300000001</v>
      </c>
      <c r="X242" s="63">
        <v>259.308716</v>
      </c>
      <c r="Y242" s="63">
        <v>260.818939</v>
      </c>
      <c r="Z242" s="63">
        <v>261.61294600000002</v>
      </c>
      <c r="AA242" s="63">
        <v>262.65930200000003</v>
      </c>
      <c r="AB242" s="63">
        <v>264.24368299999998</v>
      </c>
      <c r="AC242" s="63">
        <v>266.28799400000003</v>
      </c>
      <c r="AD242" s="63">
        <v>267.30639600000001</v>
      </c>
      <c r="AE242" s="63">
        <v>268.41882299999997</v>
      </c>
      <c r="AF242" s="63">
        <v>267.63980099999998</v>
      </c>
      <c r="AG242" s="63">
        <v>267.43292200000002</v>
      </c>
      <c r="AH242" s="63">
        <v>266.20086700000002</v>
      </c>
      <c r="AI242" s="63">
        <v>265.188873</v>
      </c>
      <c r="AJ242" s="63">
        <v>264.078125</v>
      </c>
      <c r="AK242" s="62">
        <v>-1.5939999999999999E-3</v>
      </c>
    </row>
    <row r="243" spans="1:37" ht="15" customHeight="1" x14ac:dyDescent="0.2">
      <c r="A243" s="57" t="s">
        <v>1123</v>
      </c>
      <c r="B243" s="59" t="s">
        <v>1124</v>
      </c>
      <c r="C243" s="69">
        <v>633.417236</v>
      </c>
      <c r="D243" s="69">
        <v>683.58990500000004</v>
      </c>
      <c r="E243" s="69">
        <v>724.771118</v>
      </c>
      <c r="F243" s="69">
        <v>698.16375700000003</v>
      </c>
      <c r="G243" s="69">
        <v>680.92987100000005</v>
      </c>
      <c r="H243" s="69">
        <v>713.73236099999997</v>
      </c>
      <c r="I243" s="69">
        <v>710.41198699999995</v>
      </c>
      <c r="J243" s="69">
        <v>698.91326900000001</v>
      </c>
      <c r="K243" s="69">
        <v>698.27777100000003</v>
      </c>
      <c r="L243" s="69">
        <v>701.28448500000002</v>
      </c>
      <c r="M243" s="69">
        <v>703.13091999999995</v>
      </c>
      <c r="N243" s="69">
        <v>703.80853300000001</v>
      </c>
      <c r="O243" s="69">
        <v>708.18920900000001</v>
      </c>
      <c r="P243" s="69">
        <v>719.94030799999996</v>
      </c>
      <c r="Q243" s="69">
        <v>733.739868</v>
      </c>
      <c r="R243" s="69">
        <v>743.64123500000005</v>
      </c>
      <c r="S243" s="69">
        <v>756.69152799999995</v>
      </c>
      <c r="T243" s="69">
        <v>773.49713099999997</v>
      </c>
      <c r="U243" s="69">
        <v>781.82800299999997</v>
      </c>
      <c r="V243" s="69">
        <v>788.36889599999995</v>
      </c>
      <c r="W243" s="69">
        <v>801.58605999999997</v>
      </c>
      <c r="X243" s="69">
        <v>817.24054000000001</v>
      </c>
      <c r="Y243" s="69">
        <v>830.11914100000001</v>
      </c>
      <c r="Z243" s="69">
        <v>842.09051499999998</v>
      </c>
      <c r="AA243" s="69">
        <v>854.75677499999995</v>
      </c>
      <c r="AB243" s="69">
        <v>867.49981700000001</v>
      </c>
      <c r="AC243" s="69">
        <v>881.91564900000003</v>
      </c>
      <c r="AD243" s="69">
        <v>895.99823000000004</v>
      </c>
      <c r="AE243" s="69">
        <v>910.07122800000002</v>
      </c>
      <c r="AF243" s="69">
        <v>919.83416699999998</v>
      </c>
      <c r="AG243" s="69">
        <v>929.74670400000002</v>
      </c>
      <c r="AH243" s="69">
        <v>936.61749299999997</v>
      </c>
      <c r="AI243" s="69">
        <v>945.68072500000005</v>
      </c>
      <c r="AJ243" s="69">
        <v>953.93615699999998</v>
      </c>
      <c r="AK243" s="66">
        <v>1.0468E-2</v>
      </c>
    </row>
    <row r="244" spans="1:37" ht="15.75" customHeight="1" x14ac:dyDescent="0.2"/>
    <row r="245" spans="1:37" ht="15.75" customHeight="1" x14ac:dyDescent="0.2"/>
    <row r="246" spans="1:37" ht="15.75" customHeight="1" x14ac:dyDescent="0.2"/>
    <row r="247" spans="1:37" ht="15" customHeight="1" x14ac:dyDescent="0.2">
      <c r="B247" s="59" t="s">
        <v>1125</v>
      </c>
    </row>
    <row r="248" spans="1:37" ht="15" customHeight="1" x14ac:dyDescent="0.2">
      <c r="A248" s="57" t="s">
        <v>1126</v>
      </c>
      <c r="B248" s="60" t="s">
        <v>1127</v>
      </c>
      <c r="C248" s="61">
        <v>1787.5373540000001</v>
      </c>
      <c r="D248" s="61">
        <v>1788.736328</v>
      </c>
      <c r="E248" s="61">
        <v>1812.1239009999999</v>
      </c>
      <c r="F248" s="61">
        <v>1776.6970209999999</v>
      </c>
      <c r="G248" s="61">
        <v>1769.3908690000001</v>
      </c>
      <c r="H248" s="61">
        <v>1761.3310550000001</v>
      </c>
      <c r="I248" s="61">
        <v>1760.6547849999999</v>
      </c>
      <c r="J248" s="61">
        <v>1779.434814</v>
      </c>
      <c r="K248" s="61">
        <v>1793.866943</v>
      </c>
      <c r="L248" s="61">
        <v>1809.7041019999999</v>
      </c>
      <c r="M248" s="61">
        <v>1816.5014650000001</v>
      </c>
      <c r="N248" s="61">
        <v>1828.677124</v>
      </c>
      <c r="O248" s="61">
        <v>1865.317749</v>
      </c>
      <c r="P248" s="61">
        <v>1893.7076420000001</v>
      </c>
      <c r="Q248" s="61">
        <v>1898.4255370000001</v>
      </c>
      <c r="R248" s="61">
        <v>1901.764038</v>
      </c>
      <c r="S248" s="61">
        <v>1914.6235349999999</v>
      </c>
      <c r="T248" s="61">
        <v>1915.7353519999999</v>
      </c>
      <c r="U248" s="61">
        <v>1929.5085449999999</v>
      </c>
      <c r="V248" s="61">
        <v>1945.8416749999999</v>
      </c>
      <c r="W248" s="61">
        <v>1957.783813</v>
      </c>
      <c r="X248" s="61">
        <v>1973.637939</v>
      </c>
      <c r="Y248" s="61">
        <v>1989.2650149999999</v>
      </c>
      <c r="Z248" s="61">
        <v>2003.4233400000001</v>
      </c>
      <c r="AA248" s="61">
        <v>2016.8127440000001</v>
      </c>
      <c r="AB248" s="61">
        <v>2027.8079829999999</v>
      </c>
      <c r="AC248" s="61">
        <v>2037.517212</v>
      </c>
      <c r="AD248" s="61">
        <v>2052.54126</v>
      </c>
      <c r="AE248" s="61">
        <v>2069.3688959999999</v>
      </c>
      <c r="AF248" s="61">
        <v>2081.4025879999999</v>
      </c>
      <c r="AG248" s="61">
        <v>2096.3093260000001</v>
      </c>
      <c r="AH248" s="61">
        <v>2113.6645509999998</v>
      </c>
      <c r="AI248" s="61">
        <v>2130.516357</v>
      </c>
      <c r="AJ248" s="61">
        <v>2149.3510740000002</v>
      </c>
      <c r="AK248" s="62">
        <v>5.7559999999999998E-3</v>
      </c>
    </row>
    <row r="249" spans="1:37" ht="15" customHeight="1" x14ac:dyDescent="0.2">
      <c r="A249" s="57" t="s">
        <v>1128</v>
      </c>
      <c r="B249" s="60" t="s">
        <v>1129</v>
      </c>
      <c r="C249" s="63">
        <v>3.422345</v>
      </c>
      <c r="D249" s="63">
        <v>3.4445429999999999</v>
      </c>
      <c r="E249" s="63">
        <v>3.4668839999999999</v>
      </c>
      <c r="F249" s="63">
        <v>3.4893709999999998</v>
      </c>
      <c r="G249" s="63">
        <v>3.512003</v>
      </c>
      <c r="H249" s="63">
        <v>3.5347819999999999</v>
      </c>
      <c r="I249" s="63">
        <v>3.5577100000000002</v>
      </c>
      <c r="J249" s="63">
        <v>3.5807850000000001</v>
      </c>
      <c r="K249" s="63">
        <v>3.6040100000000002</v>
      </c>
      <c r="L249" s="63">
        <v>3.627386</v>
      </c>
      <c r="M249" s="63">
        <v>3.6509140000000002</v>
      </c>
      <c r="N249" s="63">
        <v>3.6745939999999999</v>
      </c>
      <c r="O249" s="63">
        <v>3.6984279999999998</v>
      </c>
      <c r="P249" s="63">
        <v>3.7224159999999999</v>
      </c>
      <c r="Q249" s="63">
        <v>3.7465600000000001</v>
      </c>
      <c r="R249" s="63">
        <v>3.7708599999999999</v>
      </c>
      <c r="S249" s="63">
        <v>3.795318</v>
      </c>
      <c r="T249" s="63">
        <v>3.8199350000000001</v>
      </c>
      <c r="U249" s="63">
        <v>3.8447119999999999</v>
      </c>
      <c r="V249" s="63">
        <v>3.8696489999999999</v>
      </c>
      <c r="W249" s="63">
        <v>3.8947479999999999</v>
      </c>
      <c r="X249" s="63">
        <v>3.9200089999999999</v>
      </c>
      <c r="Y249" s="63">
        <v>3.9454349999999998</v>
      </c>
      <c r="Z249" s="63">
        <v>3.971025</v>
      </c>
      <c r="AA249" s="63">
        <v>3.9967820000000001</v>
      </c>
      <c r="AB249" s="63">
        <v>4.0227050000000002</v>
      </c>
      <c r="AC249" s="63">
        <v>4.0487970000000004</v>
      </c>
      <c r="AD249" s="63">
        <v>4.0750580000000003</v>
      </c>
      <c r="AE249" s="63">
        <v>4.1014889999999999</v>
      </c>
      <c r="AF249" s="63">
        <v>4.1280910000000004</v>
      </c>
      <c r="AG249" s="63">
        <v>4.1548660000000002</v>
      </c>
      <c r="AH249" s="63">
        <v>4.1818150000000003</v>
      </c>
      <c r="AI249" s="63">
        <v>4.208939</v>
      </c>
      <c r="AJ249" s="63">
        <v>4.2362380000000002</v>
      </c>
      <c r="AK249" s="62">
        <v>6.4859999999999996E-3</v>
      </c>
    </row>
    <row r="250" spans="1:37" ht="15" customHeight="1" x14ac:dyDescent="0.2">
      <c r="B250" s="59" t="s">
        <v>1130</v>
      </c>
    </row>
    <row r="251" spans="1:37" ht="15" customHeight="1" x14ac:dyDescent="0.2">
      <c r="A251" s="57" t="s">
        <v>1131</v>
      </c>
      <c r="B251" s="60" t="s">
        <v>1132</v>
      </c>
      <c r="C251" s="63">
        <v>522.31347700000003</v>
      </c>
      <c r="D251" s="63">
        <v>519.29571499999997</v>
      </c>
      <c r="E251" s="63">
        <v>522.69519000000003</v>
      </c>
      <c r="F251" s="63">
        <v>508.62905899999998</v>
      </c>
      <c r="G251" s="63">
        <v>502.19607500000001</v>
      </c>
      <c r="H251" s="63">
        <v>495.09234600000002</v>
      </c>
      <c r="I251" s="63">
        <v>489.60803199999998</v>
      </c>
      <c r="J251" s="63">
        <v>489.01086400000003</v>
      </c>
      <c r="K251" s="63">
        <v>485.47164900000001</v>
      </c>
      <c r="L251" s="63">
        <v>480.60494999999997</v>
      </c>
      <c r="M251" s="63">
        <v>471.72384599999998</v>
      </c>
      <c r="N251" s="63">
        <v>462.72113000000002</v>
      </c>
      <c r="O251" s="63">
        <v>458.26724200000001</v>
      </c>
      <c r="P251" s="63">
        <v>451.69775399999997</v>
      </c>
      <c r="Q251" s="63">
        <v>439.62548800000002</v>
      </c>
      <c r="R251" s="63">
        <v>427.54873700000002</v>
      </c>
      <c r="S251" s="63">
        <v>417.86636399999998</v>
      </c>
      <c r="T251" s="63">
        <v>405.88204999999999</v>
      </c>
      <c r="U251" s="63">
        <v>396.84536700000001</v>
      </c>
      <c r="V251" s="63">
        <v>388.501282</v>
      </c>
      <c r="W251" s="63">
        <v>379.45471199999997</v>
      </c>
      <c r="X251" s="63">
        <v>371.34112499999998</v>
      </c>
      <c r="Y251" s="63">
        <v>363.33615099999997</v>
      </c>
      <c r="Z251" s="63">
        <v>355.22128300000003</v>
      </c>
      <c r="AA251" s="63">
        <v>347.13797</v>
      </c>
      <c r="AB251" s="63">
        <v>338.82363900000001</v>
      </c>
      <c r="AC251" s="63">
        <v>330.49014299999999</v>
      </c>
      <c r="AD251" s="63">
        <v>323.191101</v>
      </c>
      <c r="AE251" s="63">
        <v>316.312073</v>
      </c>
      <c r="AF251" s="63">
        <v>308.84759500000001</v>
      </c>
      <c r="AG251" s="63">
        <v>301.96307400000001</v>
      </c>
      <c r="AH251" s="63">
        <v>295.55944799999997</v>
      </c>
      <c r="AI251" s="63">
        <v>289.20376599999997</v>
      </c>
      <c r="AJ251" s="63">
        <v>283.22842400000002</v>
      </c>
      <c r="AK251" s="62">
        <v>-1.8766000000000001E-2</v>
      </c>
    </row>
    <row r="252" spans="1:37" ht="15" customHeight="1" x14ac:dyDescent="0.2">
      <c r="A252" s="57" t="s">
        <v>1133</v>
      </c>
      <c r="B252" s="60" t="s">
        <v>1134</v>
      </c>
      <c r="C252" s="63">
        <v>0</v>
      </c>
      <c r="D252" s="63">
        <v>0</v>
      </c>
      <c r="E252" s="63">
        <v>0</v>
      </c>
      <c r="F252" s="63">
        <v>0</v>
      </c>
      <c r="G252" s="63">
        <v>0</v>
      </c>
      <c r="H252" s="63">
        <v>0</v>
      </c>
      <c r="I252" s="63">
        <v>0</v>
      </c>
      <c r="J252" s="63">
        <v>0</v>
      </c>
      <c r="K252" s="63">
        <v>0</v>
      </c>
      <c r="L252" s="63">
        <v>0</v>
      </c>
      <c r="M252" s="63">
        <v>0</v>
      </c>
      <c r="N252" s="63">
        <v>0</v>
      </c>
      <c r="O252" s="63">
        <v>0</v>
      </c>
      <c r="P252" s="63">
        <v>0</v>
      </c>
      <c r="Q252" s="63">
        <v>0</v>
      </c>
      <c r="R252" s="63">
        <v>0</v>
      </c>
      <c r="S252" s="63">
        <v>0</v>
      </c>
      <c r="T252" s="63">
        <v>0</v>
      </c>
      <c r="U252" s="63">
        <v>0</v>
      </c>
      <c r="V252" s="63">
        <v>0</v>
      </c>
      <c r="W252" s="63">
        <v>0</v>
      </c>
      <c r="X252" s="63">
        <v>0</v>
      </c>
      <c r="Y252" s="63">
        <v>0</v>
      </c>
      <c r="Z252" s="63">
        <v>0</v>
      </c>
      <c r="AA252" s="63">
        <v>0</v>
      </c>
      <c r="AB252" s="63">
        <v>0</v>
      </c>
      <c r="AC252" s="63">
        <v>0</v>
      </c>
      <c r="AD252" s="63">
        <v>0</v>
      </c>
      <c r="AE252" s="63">
        <v>0</v>
      </c>
      <c r="AF252" s="63">
        <v>0</v>
      </c>
      <c r="AG252" s="63">
        <v>0</v>
      </c>
      <c r="AH252" s="63">
        <v>0</v>
      </c>
      <c r="AI252" s="63">
        <v>0</v>
      </c>
      <c r="AJ252" s="63">
        <v>0</v>
      </c>
      <c r="AK252" s="62" t="s">
        <v>467</v>
      </c>
    </row>
    <row r="253" spans="1:37" ht="15" customHeight="1" x14ac:dyDescent="0.2">
      <c r="A253" s="57" t="s">
        <v>1135</v>
      </c>
      <c r="B253" s="60" t="s">
        <v>1136</v>
      </c>
      <c r="C253" s="63">
        <v>0</v>
      </c>
      <c r="D253" s="63">
        <v>0</v>
      </c>
      <c r="E253" s="63">
        <v>0</v>
      </c>
      <c r="F253" s="63">
        <v>0</v>
      </c>
      <c r="G253" s="63">
        <v>0</v>
      </c>
      <c r="H253" s="63">
        <v>0</v>
      </c>
      <c r="I253" s="63">
        <v>0</v>
      </c>
      <c r="J253" s="63">
        <v>0</v>
      </c>
      <c r="K253" s="63">
        <v>0</v>
      </c>
      <c r="L253" s="63">
        <v>0</v>
      </c>
      <c r="M253" s="63">
        <v>0</v>
      </c>
      <c r="N253" s="63">
        <v>0</v>
      </c>
      <c r="O253" s="63">
        <v>0</v>
      </c>
      <c r="P253" s="63">
        <v>0</v>
      </c>
      <c r="Q253" s="63">
        <v>0</v>
      </c>
      <c r="R253" s="63">
        <v>0</v>
      </c>
      <c r="S253" s="63">
        <v>0</v>
      </c>
      <c r="T253" s="63">
        <v>0</v>
      </c>
      <c r="U253" s="63">
        <v>0</v>
      </c>
      <c r="V253" s="63">
        <v>0</v>
      </c>
      <c r="W253" s="63">
        <v>0</v>
      </c>
      <c r="X253" s="63">
        <v>0</v>
      </c>
      <c r="Y253" s="63">
        <v>0</v>
      </c>
      <c r="Z253" s="63">
        <v>0</v>
      </c>
      <c r="AA253" s="63">
        <v>0</v>
      </c>
      <c r="AB253" s="63">
        <v>0</v>
      </c>
      <c r="AC253" s="63">
        <v>0</v>
      </c>
      <c r="AD253" s="63">
        <v>0</v>
      </c>
      <c r="AE253" s="63">
        <v>0</v>
      </c>
      <c r="AF253" s="63">
        <v>0</v>
      </c>
      <c r="AG253" s="63">
        <v>0</v>
      </c>
      <c r="AH253" s="63">
        <v>0</v>
      </c>
      <c r="AI253" s="63">
        <v>0</v>
      </c>
      <c r="AJ253" s="63">
        <v>0</v>
      </c>
      <c r="AK253" s="62" t="s">
        <v>467</v>
      </c>
    </row>
    <row r="254" spans="1:37" ht="15" customHeight="1" x14ac:dyDescent="0.2">
      <c r="A254" s="57" t="s">
        <v>1137</v>
      </c>
      <c r="B254" s="60" t="s">
        <v>1138</v>
      </c>
      <c r="C254" s="63">
        <v>0</v>
      </c>
      <c r="D254" s="63">
        <v>0</v>
      </c>
      <c r="E254" s="63">
        <v>0</v>
      </c>
      <c r="F254" s="63">
        <v>0.544906</v>
      </c>
      <c r="G254" s="63">
        <v>1.6163510000000001</v>
      </c>
      <c r="H254" s="63">
        <v>3.1932480000000001</v>
      </c>
      <c r="I254" s="63">
        <v>5.2763299999999997</v>
      </c>
      <c r="J254" s="63">
        <v>7.9289610000000001</v>
      </c>
      <c r="K254" s="63">
        <v>12.270179000000001</v>
      </c>
      <c r="L254" s="63">
        <v>18.295300000000001</v>
      </c>
      <c r="M254" s="63">
        <v>25.823232999999998</v>
      </c>
      <c r="N254" s="63">
        <v>34.933044000000002</v>
      </c>
      <c r="O254" s="63">
        <v>46.087021</v>
      </c>
      <c r="P254" s="63">
        <v>57.033062000000001</v>
      </c>
      <c r="Q254" s="63">
        <v>67.086143000000007</v>
      </c>
      <c r="R254" s="63">
        <v>76.782882999999998</v>
      </c>
      <c r="S254" s="63">
        <v>86.603499999999997</v>
      </c>
      <c r="T254" s="63">
        <v>95.627898999999999</v>
      </c>
      <c r="U254" s="63">
        <v>105.015038</v>
      </c>
      <c r="V254" s="63">
        <v>114.345848</v>
      </c>
      <c r="W254" s="63">
        <v>123.218079</v>
      </c>
      <c r="X254" s="63">
        <v>132.13673399999999</v>
      </c>
      <c r="Y254" s="63">
        <v>140.85803200000001</v>
      </c>
      <c r="Z254" s="63">
        <v>149.28909300000001</v>
      </c>
      <c r="AA254" s="63">
        <v>157.47122200000001</v>
      </c>
      <c r="AB254" s="63">
        <v>165.26701399999999</v>
      </c>
      <c r="AC254" s="63">
        <v>172.750092</v>
      </c>
      <c r="AD254" s="63">
        <v>180.49288899999999</v>
      </c>
      <c r="AE254" s="63">
        <v>188.22886700000001</v>
      </c>
      <c r="AF254" s="63">
        <v>195.356979</v>
      </c>
      <c r="AG254" s="63">
        <v>202.58007799999999</v>
      </c>
      <c r="AH254" s="63">
        <v>209.882385</v>
      </c>
      <c r="AI254" s="63">
        <v>216.98468</v>
      </c>
      <c r="AJ254" s="63">
        <v>224.14416499999999</v>
      </c>
      <c r="AK254" s="62" t="s">
        <v>467</v>
      </c>
    </row>
    <row r="255" spans="1:37" ht="15.75" customHeight="1" x14ac:dyDescent="0.2"/>
    <row r="256" spans="1:37" ht="15" customHeight="1" x14ac:dyDescent="0.2">
      <c r="B256" s="59" t="s">
        <v>490</v>
      </c>
    </row>
    <row r="257" spans="1:37" ht="15" customHeight="1" x14ac:dyDescent="0.2">
      <c r="A257" s="57" t="s">
        <v>1139</v>
      </c>
      <c r="B257" s="60" t="s">
        <v>1140</v>
      </c>
      <c r="C257" s="61">
        <v>447.72595200000001</v>
      </c>
      <c r="D257" s="61">
        <v>444.52056900000002</v>
      </c>
      <c r="E257" s="61">
        <v>435.793274</v>
      </c>
      <c r="F257" s="61">
        <v>426.557434</v>
      </c>
      <c r="G257" s="61">
        <v>415.90875199999999</v>
      </c>
      <c r="H257" s="61">
        <v>407.28921500000001</v>
      </c>
      <c r="I257" s="61">
        <v>397.98156699999998</v>
      </c>
      <c r="J257" s="61">
        <v>387.66037</v>
      </c>
      <c r="K257" s="61">
        <v>377.813965</v>
      </c>
      <c r="L257" s="61">
        <v>368.69982900000002</v>
      </c>
      <c r="M257" s="61">
        <v>359.43420400000002</v>
      </c>
      <c r="N257" s="61">
        <v>349.288025</v>
      </c>
      <c r="O257" s="61">
        <v>339.07843000000003</v>
      </c>
      <c r="P257" s="61">
        <v>328.70654300000001</v>
      </c>
      <c r="Q257" s="61">
        <v>324.044037</v>
      </c>
      <c r="R257" s="61">
        <v>318.92053199999998</v>
      </c>
      <c r="S257" s="61">
        <v>314.17520100000002</v>
      </c>
      <c r="T257" s="61">
        <v>309.60534699999999</v>
      </c>
      <c r="U257" s="61">
        <v>305.29675300000002</v>
      </c>
      <c r="V257" s="61">
        <v>300.715576</v>
      </c>
      <c r="W257" s="61">
        <v>296.95437600000002</v>
      </c>
      <c r="X257" s="61">
        <v>292.93774400000001</v>
      </c>
      <c r="Y257" s="61">
        <v>288.72515900000002</v>
      </c>
      <c r="Z257" s="61">
        <v>284.264679</v>
      </c>
      <c r="AA257" s="61">
        <v>282.858948</v>
      </c>
      <c r="AB257" s="61">
        <v>281.43481400000002</v>
      </c>
      <c r="AC257" s="61">
        <v>279.57015999999999</v>
      </c>
      <c r="AD257" s="61">
        <v>278.13324</v>
      </c>
      <c r="AE257" s="61">
        <v>276.71731599999998</v>
      </c>
      <c r="AF257" s="61">
        <v>275.622589</v>
      </c>
      <c r="AG257" s="61">
        <v>274.33264200000002</v>
      </c>
      <c r="AH257" s="61">
        <v>273.42160000000001</v>
      </c>
      <c r="AI257" s="61">
        <v>271.81381199999998</v>
      </c>
      <c r="AJ257" s="61">
        <v>270.61059599999999</v>
      </c>
      <c r="AK257" s="62">
        <v>-1.5389999999999999E-2</v>
      </c>
    </row>
    <row r="258" spans="1:37" ht="15" customHeight="1" x14ac:dyDescent="0.2">
      <c r="A258" s="57" t="s">
        <v>1141</v>
      </c>
      <c r="B258" s="60" t="s">
        <v>1129</v>
      </c>
      <c r="C258" s="63">
        <v>4.756678</v>
      </c>
      <c r="D258" s="63">
        <v>4.7849370000000002</v>
      </c>
      <c r="E258" s="63">
        <v>4.8133650000000001</v>
      </c>
      <c r="F258" s="63">
        <v>4.8419600000000003</v>
      </c>
      <c r="G258" s="63">
        <v>4.8707260000000003</v>
      </c>
      <c r="H258" s="63">
        <v>4.8996630000000003</v>
      </c>
      <c r="I258" s="63">
        <v>4.9287720000000004</v>
      </c>
      <c r="J258" s="63">
        <v>4.9580539999999997</v>
      </c>
      <c r="K258" s="63">
        <v>4.9875090000000002</v>
      </c>
      <c r="L258" s="63">
        <v>5.0171400000000004</v>
      </c>
      <c r="M258" s="63">
        <v>5.0469470000000003</v>
      </c>
      <c r="N258" s="63">
        <v>5.0769310000000001</v>
      </c>
      <c r="O258" s="63">
        <v>5.1070919999999997</v>
      </c>
      <c r="P258" s="63">
        <v>5.1374339999999998</v>
      </c>
      <c r="Q258" s="63">
        <v>5.1679550000000001</v>
      </c>
      <c r="R258" s="63">
        <v>5.198658</v>
      </c>
      <c r="S258" s="63">
        <v>5.2295429999999996</v>
      </c>
      <c r="T258" s="63">
        <v>5.2606109999999999</v>
      </c>
      <c r="U258" s="63">
        <v>5.2918640000000003</v>
      </c>
      <c r="V258" s="63">
        <v>5.3233030000000001</v>
      </c>
      <c r="W258" s="63">
        <v>5.3549290000000003</v>
      </c>
      <c r="X258" s="63">
        <v>5.3867419999999999</v>
      </c>
      <c r="Y258" s="63">
        <v>5.4187450000000004</v>
      </c>
      <c r="Z258" s="63">
        <v>5.4509379999999998</v>
      </c>
      <c r="AA258" s="63">
        <v>5.4833220000000003</v>
      </c>
      <c r="AB258" s="63">
        <v>5.515898</v>
      </c>
      <c r="AC258" s="63">
        <v>5.548667</v>
      </c>
      <c r="AD258" s="63">
        <v>5.5816319999999999</v>
      </c>
      <c r="AE258" s="63">
        <v>5.6147919999999996</v>
      </c>
      <c r="AF258" s="63">
        <v>5.6481500000000002</v>
      </c>
      <c r="AG258" s="63">
        <v>5.681705</v>
      </c>
      <c r="AH258" s="63">
        <v>5.7154600000000002</v>
      </c>
      <c r="AI258" s="63">
        <v>5.7494160000000001</v>
      </c>
      <c r="AJ258" s="63">
        <v>5.7835729999999996</v>
      </c>
      <c r="AK258" s="62">
        <v>5.9410000000000001E-3</v>
      </c>
    </row>
    <row r="259" spans="1:37" ht="15" customHeight="1" x14ac:dyDescent="0.2">
      <c r="B259" s="59" t="s">
        <v>1130</v>
      </c>
    </row>
    <row r="260" spans="1:37" ht="15" customHeight="1" x14ac:dyDescent="0.2">
      <c r="A260" s="57" t="s">
        <v>1142</v>
      </c>
      <c r="B260" s="60" t="s">
        <v>1132</v>
      </c>
      <c r="C260" s="63">
        <v>91.653205999999997</v>
      </c>
      <c r="D260" s="63">
        <v>90.538925000000006</v>
      </c>
      <c r="E260" s="63">
        <v>88.023674</v>
      </c>
      <c r="F260" s="63">
        <v>85.752135999999993</v>
      </c>
      <c r="G260" s="63">
        <v>83.230179000000007</v>
      </c>
      <c r="H260" s="63">
        <v>81.042968999999999</v>
      </c>
      <c r="I260" s="63">
        <v>78.741394</v>
      </c>
      <c r="J260" s="63">
        <v>76.263205999999997</v>
      </c>
      <c r="K260" s="63">
        <v>73.903214000000006</v>
      </c>
      <c r="L260" s="63">
        <v>71.708343999999997</v>
      </c>
      <c r="M260" s="63">
        <v>69.507537999999997</v>
      </c>
      <c r="N260" s="63">
        <v>67.160042000000004</v>
      </c>
      <c r="O260" s="63">
        <v>64.824843999999999</v>
      </c>
      <c r="P260" s="63">
        <v>62.484051000000001</v>
      </c>
      <c r="Q260" s="63">
        <v>61.247570000000003</v>
      </c>
      <c r="R260" s="63">
        <v>59.936171999999999</v>
      </c>
      <c r="S260" s="63">
        <v>58.708778000000002</v>
      </c>
      <c r="T260" s="63">
        <v>57.525630999999997</v>
      </c>
      <c r="U260" s="63">
        <v>56.401947</v>
      </c>
      <c r="V260" s="63">
        <v>55.237507000000001</v>
      </c>
      <c r="W260" s="63">
        <v>54.235290999999997</v>
      </c>
      <c r="X260" s="63">
        <v>53.197944999999997</v>
      </c>
      <c r="Y260" s="63">
        <v>52.136215</v>
      </c>
      <c r="Z260" s="63">
        <v>51.012058000000003</v>
      </c>
      <c r="AA260" s="63">
        <v>50.399712000000001</v>
      </c>
      <c r="AB260" s="63">
        <v>49.786071999999997</v>
      </c>
      <c r="AC260" s="63">
        <v>49.096877999999997</v>
      </c>
      <c r="AD260" s="63">
        <v>48.484997</v>
      </c>
      <c r="AE260" s="63">
        <v>47.878188999999999</v>
      </c>
      <c r="AF260" s="63">
        <v>47.327674999999999</v>
      </c>
      <c r="AG260" s="63">
        <v>46.743977000000001</v>
      </c>
      <c r="AH260" s="63">
        <v>46.224663</v>
      </c>
      <c r="AI260" s="63">
        <v>45.587563000000003</v>
      </c>
      <c r="AJ260" s="63">
        <v>45.018428999999998</v>
      </c>
      <c r="AK260" s="62">
        <v>-2.1597999999999999E-2</v>
      </c>
    </row>
    <row r="261" spans="1:37" ht="15" customHeight="1" x14ac:dyDescent="0.2">
      <c r="A261" s="57" t="s">
        <v>1143</v>
      </c>
      <c r="B261" s="60" t="s">
        <v>1134</v>
      </c>
      <c r="C261" s="63">
        <v>2.5443410000000002</v>
      </c>
      <c r="D261" s="63">
        <v>2.271792</v>
      </c>
      <c r="E261" s="63">
        <v>2.8706550000000002</v>
      </c>
      <c r="F261" s="63">
        <v>2.3861240000000001</v>
      </c>
      <c r="G261" s="63">
        <v>1.9438960000000001</v>
      </c>
      <c r="H261" s="63">
        <v>1.809858</v>
      </c>
      <c r="I261" s="63">
        <v>1.6794629999999999</v>
      </c>
      <c r="J261" s="63">
        <v>1.553509</v>
      </c>
      <c r="K261" s="63">
        <v>1.4358820000000001</v>
      </c>
      <c r="L261" s="63">
        <v>1.3331900000000001</v>
      </c>
      <c r="M261" s="63">
        <v>1.2310399999999999</v>
      </c>
      <c r="N261" s="63">
        <v>1.131057</v>
      </c>
      <c r="O261" s="63">
        <v>1.0357799999999999</v>
      </c>
      <c r="P261" s="63">
        <v>0.94113199999999997</v>
      </c>
      <c r="Q261" s="63">
        <v>0.86363000000000001</v>
      </c>
      <c r="R261" s="63">
        <v>0.78897600000000001</v>
      </c>
      <c r="S261" s="63">
        <v>0.71611899999999995</v>
      </c>
      <c r="T261" s="63">
        <v>0.64781699999999998</v>
      </c>
      <c r="U261" s="63">
        <v>0.58395200000000003</v>
      </c>
      <c r="V261" s="63">
        <v>0.52879500000000002</v>
      </c>
      <c r="W261" s="63">
        <v>0.47258699999999998</v>
      </c>
      <c r="X261" s="63">
        <v>0.41093299999999999</v>
      </c>
      <c r="Y261" s="63">
        <v>0.347049</v>
      </c>
      <c r="Z261" s="63">
        <v>0.29088999999999998</v>
      </c>
      <c r="AA261" s="63">
        <v>0.28772700000000001</v>
      </c>
      <c r="AB261" s="63">
        <v>0.28458099999999997</v>
      </c>
      <c r="AC261" s="63">
        <v>0.28101199999999998</v>
      </c>
      <c r="AD261" s="63">
        <v>0.27790500000000001</v>
      </c>
      <c r="AE261" s="63">
        <v>0.27484199999999998</v>
      </c>
      <c r="AF261" s="63">
        <v>0.27213900000000002</v>
      </c>
      <c r="AG261" s="63">
        <v>0.269256</v>
      </c>
      <c r="AH261" s="63">
        <v>0.26677299999999998</v>
      </c>
      <c r="AI261" s="63">
        <v>0.26362200000000002</v>
      </c>
      <c r="AJ261" s="63">
        <v>0.26089600000000002</v>
      </c>
      <c r="AK261" s="62">
        <v>-6.5394999999999995E-2</v>
      </c>
    </row>
    <row r="262" spans="1:37" ht="15" customHeight="1" x14ac:dyDescent="0.2">
      <c r="A262" s="57" t="s">
        <v>1144</v>
      </c>
      <c r="B262" s="60" t="s">
        <v>1136</v>
      </c>
      <c r="C262" s="63">
        <v>0</v>
      </c>
      <c r="D262" s="63">
        <v>0</v>
      </c>
      <c r="E262" s="63">
        <v>0</v>
      </c>
      <c r="F262" s="63">
        <v>0</v>
      </c>
      <c r="G262" s="63">
        <v>0</v>
      </c>
      <c r="H262" s="63">
        <v>0</v>
      </c>
      <c r="I262" s="63">
        <v>0</v>
      </c>
      <c r="J262" s="63">
        <v>0</v>
      </c>
      <c r="K262" s="63">
        <v>0</v>
      </c>
      <c r="L262" s="63">
        <v>0</v>
      </c>
      <c r="M262" s="63">
        <v>0</v>
      </c>
      <c r="N262" s="63">
        <v>0</v>
      </c>
      <c r="O262" s="63">
        <v>0</v>
      </c>
      <c r="P262" s="63">
        <v>0</v>
      </c>
      <c r="Q262" s="63">
        <v>0</v>
      </c>
      <c r="R262" s="63">
        <v>0</v>
      </c>
      <c r="S262" s="63">
        <v>0</v>
      </c>
      <c r="T262" s="63">
        <v>0</v>
      </c>
      <c r="U262" s="63">
        <v>0</v>
      </c>
      <c r="V262" s="63">
        <v>0</v>
      </c>
      <c r="W262" s="63">
        <v>0</v>
      </c>
      <c r="X262" s="63">
        <v>0</v>
      </c>
      <c r="Y262" s="63">
        <v>0</v>
      </c>
      <c r="Z262" s="63">
        <v>0</v>
      </c>
      <c r="AA262" s="63">
        <v>0</v>
      </c>
      <c r="AB262" s="63">
        <v>0</v>
      </c>
      <c r="AC262" s="63">
        <v>0</v>
      </c>
      <c r="AD262" s="63">
        <v>0</v>
      </c>
      <c r="AE262" s="63">
        <v>0</v>
      </c>
      <c r="AF262" s="63">
        <v>0</v>
      </c>
      <c r="AG262" s="63">
        <v>0</v>
      </c>
      <c r="AH262" s="63">
        <v>0</v>
      </c>
      <c r="AI262" s="63">
        <v>0</v>
      </c>
      <c r="AJ262" s="63">
        <v>0</v>
      </c>
      <c r="AK262" s="62" t="s">
        <v>467</v>
      </c>
    </row>
    <row r="263" spans="1:37" ht="15" customHeight="1" x14ac:dyDescent="0.2">
      <c r="A263" s="57" t="s">
        <v>1145</v>
      </c>
      <c r="B263" s="60" t="s">
        <v>1138</v>
      </c>
      <c r="C263" s="63">
        <v>0.30710300000000001</v>
      </c>
      <c r="D263" s="63">
        <v>0.365315</v>
      </c>
      <c r="E263" s="63">
        <v>0.416356</v>
      </c>
      <c r="F263" s="63">
        <v>0.46239799999999998</v>
      </c>
      <c r="G263" s="63">
        <v>0.50262099999999998</v>
      </c>
      <c r="H263" s="63">
        <v>0.54025599999999996</v>
      </c>
      <c r="I263" s="63">
        <v>0.57334200000000002</v>
      </c>
      <c r="J263" s="63">
        <v>0.60007500000000003</v>
      </c>
      <c r="K263" s="63">
        <v>0.62419500000000006</v>
      </c>
      <c r="L263" s="63">
        <v>0.64247299999999996</v>
      </c>
      <c r="M263" s="63">
        <v>0.66039300000000001</v>
      </c>
      <c r="N263" s="63">
        <v>0.67395499999999997</v>
      </c>
      <c r="O263" s="63">
        <v>0.68490799999999996</v>
      </c>
      <c r="P263" s="63">
        <v>0.69536299999999995</v>
      </c>
      <c r="Q263" s="63">
        <v>0.71782500000000005</v>
      </c>
      <c r="R263" s="63">
        <v>0.73700100000000002</v>
      </c>
      <c r="S263" s="63">
        <v>0.75680400000000003</v>
      </c>
      <c r="T263" s="63">
        <v>0.77471900000000005</v>
      </c>
      <c r="U263" s="63">
        <v>0.79109499999999999</v>
      </c>
      <c r="V263" s="63">
        <v>0.80128299999999997</v>
      </c>
      <c r="W263" s="63">
        <v>0.81547199999999997</v>
      </c>
      <c r="X263" s="63">
        <v>0.83228800000000003</v>
      </c>
      <c r="Y263" s="63">
        <v>0.84999199999999997</v>
      </c>
      <c r="Z263" s="63">
        <v>0.88909300000000002</v>
      </c>
      <c r="AA263" s="63">
        <v>0.93970299999999995</v>
      </c>
      <c r="AB263" s="63">
        <v>0.99310500000000002</v>
      </c>
      <c r="AC263" s="63">
        <v>1.0478639999999999</v>
      </c>
      <c r="AD263" s="63">
        <v>1.1072960000000001</v>
      </c>
      <c r="AE263" s="63">
        <v>1.170156</v>
      </c>
      <c r="AF263" s="63">
        <v>1.237994</v>
      </c>
      <c r="AG263" s="63">
        <v>1.308813</v>
      </c>
      <c r="AH263" s="63">
        <v>1.385572</v>
      </c>
      <c r="AI263" s="63">
        <v>1.4630669999999999</v>
      </c>
      <c r="AJ263" s="63">
        <v>1.5471550000000001</v>
      </c>
      <c r="AK263" s="62">
        <v>4.6138999999999999E-2</v>
      </c>
    </row>
    <row r="264" spans="1:37" ht="15.75" customHeight="1" x14ac:dyDescent="0.2"/>
    <row r="265" spans="1:37" ht="15" customHeight="1" x14ac:dyDescent="0.2">
      <c r="B265" s="59" t="s">
        <v>497</v>
      </c>
    </row>
    <row r="266" spans="1:37" ht="15" customHeight="1" x14ac:dyDescent="0.2">
      <c r="A266" s="57" t="s">
        <v>1146</v>
      </c>
      <c r="B266" s="60" t="s">
        <v>1147</v>
      </c>
      <c r="C266" s="61">
        <v>3961.7465820000002</v>
      </c>
      <c r="D266" s="61">
        <v>4206.1987300000001</v>
      </c>
      <c r="E266" s="61">
        <v>4467.1489259999998</v>
      </c>
      <c r="F266" s="61">
        <v>4792.2685549999997</v>
      </c>
      <c r="G266" s="61">
        <v>4979.6401370000003</v>
      </c>
      <c r="H266" s="61">
        <v>5152.9335940000001</v>
      </c>
      <c r="I266" s="61">
        <v>5324.8940430000002</v>
      </c>
      <c r="J266" s="61">
        <v>5475.6640619999998</v>
      </c>
      <c r="K266" s="61">
        <v>5626.1142579999996</v>
      </c>
      <c r="L266" s="61">
        <v>5748.888672</v>
      </c>
      <c r="M266" s="61">
        <v>5874.0839839999999</v>
      </c>
      <c r="N266" s="61">
        <v>6037.0810549999997</v>
      </c>
      <c r="O266" s="61">
        <v>6211.6572269999997</v>
      </c>
      <c r="P266" s="61">
        <v>6403.2597660000001</v>
      </c>
      <c r="Q266" s="61">
        <v>6597.2773440000001</v>
      </c>
      <c r="R266" s="61">
        <v>6793.4570309999999</v>
      </c>
      <c r="S266" s="61">
        <v>6999.2333980000003</v>
      </c>
      <c r="T266" s="61">
        <v>7218.919922</v>
      </c>
      <c r="U266" s="61">
        <v>7430.3408200000003</v>
      </c>
      <c r="V266" s="61">
        <v>7650.001953</v>
      </c>
      <c r="W266" s="61">
        <v>7881.9653319999998</v>
      </c>
      <c r="X266" s="61">
        <v>8121.2900390000004</v>
      </c>
      <c r="Y266" s="61">
        <v>8363.0585940000001</v>
      </c>
      <c r="Z266" s="61">
        <v>8619.2246090000008</v>
      </c>
      <c r="AA266" s="61">
        <v>8881.0361329999996</v>
      </c>
      <c r="AB266" s="61">
        <v>9108.7763670000004</v>
      </c>
      <c r="AC266" s="61">
        <v>9428</v>
      </c>
      <c r="AD266" s="61">
        <v>9678.1386719999991</v>
      </c>
      <c r="AE266" s="61">
        <v>10013.517578000001</v>
      </c>
      <c r="AF266" s="61">
        <v>10264.605469</v>
      </c>
      <c r="AG266" s="61">
        <v>10560.549805000001</v>
      </c>
      <c r="AH266" s="61">
        <v>10849.081055000001</v>
      </c>
      <c r="AI266" s="61">
        <v>11156.761719</v>
      </c>
      <c r="AJ266" s="61">
        <v>11484.837890999999</v>
      </c>
      <c r="AK266" s="62">
        <v>3.1888E-2</v>
      </c>
    </row>
    <row r="267" spans="1:37" ht="15" customHeight="1" x14ac:dyDescent="0.2">
      <c r="A267" s="57" t="s">
        <v>1148</v>
      </c>
      <c r="B267" s="60" t="s">
        <v>1149</v>
      </c>
      <c r="C267" s="61">
        <v>1512.275269</v>
      </c>
      <c r="D267" s="61">
        <v>1617.0107419999999</v>
      </c>
      <c r="E267" s="61">
        <v>1709.778198</v>
      </c>
      <c r="F267" s="61">
        <v>1815.3461910000001</v>
      </c>
      <c r="G267" s="61">
        <v>1870.465698</v>
      </c>
      <c r="H267" s="61">
        <v>1937.9582519999999</v>
      </c>
      <c r="I267" s="61">
        <v>2018.8992920000001</v>
      </c>
      <c r="J267" s="61">
        <v>2099.4401859999998</v>
      </c>
      <c r="K267" s="61">
        <v>2179.4201659999999</v>
      </c>
      <c r="L267" s="61">
        <v>2250.0844729999999</v>
      </c>
      <c r="M267" s="61">
        <v>2317.2595209999999</v>
      </c>
      <c r="N267" s="61">
        <v>2395.544922</v>
      </c>
      <c r="O267" s="61">
        <v>2478.7553710000002</v>
      </c>
      <c r="P267" s="61">
        <v>2573.9536130000001</v>
      </c>
      <c r="Q267" s="61">
        <v>2671.6276859999998</v>
      </c>
      <c r="R267" s="61">
        <v>2770.6215820000002</v>
      </c>
      <c r="S267" s="61">
        <v>2876.6530760000001</v>
      </c>
      <c r="T267" s="61">
        <v>2983.858154</v>
      </c>
      <c r="U267" s="61">
        <v>3091.899414</v>
      </c>
      <c r="V267" s="61">
        <v>3206.188232</v>
      </c>
      <c r="W267" s="61">
        <v>3324.4316410000001</v>
      </c>
      <c r="X267" s="61">
        <v>3445.476807</v>
      </c>
      <c r="Y267" s="61">
        <v>3567.342529</v>
      </c>
      <c r="Z267" s="61">
        <v>3695.8942870000001</v>
      </c>
      <c r="AA267" s="61">
        <v>3824.3884280000002</v>
      </c>
      <c r="AB267" s="61">
        <v>3937.6083979999999</v>
      </c>
      <c r="AC267" s="61">
        <v>4086.4135740000002</v>
      </c>
      <c r="AD267" s="61">
        <v>4209.2954099999997</v>
      </c>
      <c r="AE267" s="61">
        <v>4364.3007809999999</v>
      </c>
      <c r="AF267" s="61">
        <v>4487.3515619999998</v>
      </c>
      <c r="AG267" s="61">
        <v>4627.2036129999997</v>
      </c>
      <c r="AH267" s="61">
        <v>4770.623047</v>
      </c>
      <c r="AI267" s="61">
        <v>4911.3442379999997</v>
      </c>
      <c r="AJ267" s="61">
        <v>5056.6450199999999</v>
      </c>
      <c r="AK267" s="62">
        <v>3.6270999999999998E-2</v>
      </c>
    </row>
    <row r="268" spans="1:37" ht="15" customHeight="1" x14ac:dyDescent="0.2">
      <c r="A268" s="57" t="s">
        <v>1150</v>
      </c>
      <c r="B268" s="60" t="s">
        <v>1151</v>
      </c>
      <c r="C268" s="61">
        <v>2449.4711910000001</v>
      </c>
      <c r="D268" s="61">
        <v>2589.1879880000001</v>
      </c>
      <c r="E268" s="61">
        <v>2757.3708499999998</v>
      </c>
      <c r="F268" s="61">
        <v>2976.9221189999998</v>
      </c>
      <c r="G268" s="61">
        <v>3109.1743160000001</v>
      </c>
      <c r="H268" s="61">
        <v>3214.9750979999999</v>
      </c>
      <c r="I268" s="61">
        <v>3305.9946289999998</v>
      </c>
      <c r="J268" s="61">
        <v>3376.2241210000002</v>
      </c>
      <c r="K268" s="61">
        <v>3446.6938479999999</v>
      </c>
      <c r="L268" s="61">
        <v>3498.804443</v>
      </c>
      <c r="M268" s="61">
        <v>3556.8247070000002</v>
      </c>
      <c r="N268" s="61">
        <v>3641.5363769999999</v>
      </c>
      <c r="O268" s="61">
        <v>3732.9018550000001</v>
      </c>
      <c r="P268" s="61">
        <v>3829.3063959999999</v>
      </c>
      <c r="Q268" s="61">
        <v>3925.6499020000001</v>
      </c>
      <c r="R268" s="61">
        <v>4022.8354490000002</v>
      </c>
      <c r="S268" s="61">
        <v>4122.5805659999996</v>
      </c>
      <c r="T268" s="61">
        <v>4235.0615230000003</v>
      </c>
      <c r="U268" s="61">
        <v>4338.4414059999999</v>
      </c>
      <c r="V268" s="61">
        <v>4443.8134769999997</v>
      </c>
      <c r="W268" s="61">
        <v>4557.5336909999996</v>
      </c>
      <c r="X268" s="61">
        <v>4675.8134769999997</v>
      </c>
      <c r="Y268" s="61">
        <v>4795.7158200000003</v>
      </c>
      <c r="Z268" s="61">
        <v>4923.330078</v>
      </c>
      <c r="AA268" s="61">
        <v>5056.6474609999996</v>
      </c>
      <c r="AB268" s="61">
        <v>5171.1679690000001</v>
      </c>
      <c r="AC268" s="61">
        <v>5341.5859380000002</v>
      </c>
      <c r="AD268" s="61">
        <v>5468.8432620000003</v>
      </c>
      <c r="AE268" s="61">
        <v>5649.2172849999997</v>
      </c>
      <c r="AF268" s="61">
        <v>5777.2534180000002</v>
      </c>
      <c r="AG268" s="61">
        <v>5933.3461909999996</v>
      </c>
      <c r="AH268" s="61">
        <v>6078.4580079999996</v>
      </c>
      <c r="AI268" s="61">
        <v>6245.4179690000001</v>
      </c>
      <c r="AJ268" s="61">
        <v>6428.1933589999999</v>
      </c>
      <c r="AK268" s="62">
        <v>2.8825E-2</v>
      </c>
    </row>
    <row r="269" spans="1:37" ht="15" customHeight="1" x14ac:dyDescent="0.2">
      <c r="B269" s="59" t="s">
        <v>1130</v>
      </c>
    </row>
    <row r="270" spans="1:37" ht="15" customHeight="1" x14ac:dyDescent="0.2">
      <c r="A270" s="57" t="s">
        <v>1152</v>
      </c>
      <c r="B270" s="60" t="s">
        <v>1132</v>
      </c>
      <c r="C270" s="63">
        <v>285.263306</v>
      </c>
      <c r="D270" s="63">
        <v>284.82601899999997</v>
      </c>
      <c r="E270" s="63">
        <v>373.96890300000001</v>
      </c>
      <c r="F270" s="63">
        <v>494.09884599999998</v>
      </c>
      <c r="G270" s="63">
        <v>391.50769000000003</v>
      </c>
      <c r="H270" s="63">
        <v>314.95715300000001</v>
      </c>
      <c r="I270" s="63">
        <v>296.20208700000001</v>
      </c>
      <c r="J270" s="63">
        <v>285.24069200000002</v>
      </c>
      <c r="K270" s="63">
        <v>278.031769</v>
      </c>
      <c r="L270" s="63">
        <v>281.650757</v>
      </c>
      <c r="M270" s="63">
        <v>280.631348</v>
      </c>
      <c r="N270" s="63">
        <v>281.71130399999998</v>
      </c>
      <c r="O270" s="63">
        <v>280.30639600000001</v>
      </c>
      <c r="P270" s="63">
        <v>288.04791299999999</v>
      </c>
      <c r="Q270" s="63">
        <v>286.99865699999998</v>
      </c>
      <c r="R270" s="63">
        <v>286.33151199999998</v>
      </c>
      <c r="S270" s="63">
        <v>286.49920700000001</v>
      </c>
      <c r="T270" s="63">
        <v>287.07067899999998</v>
      </c>
      <c r="U270" s="63">
        <v>301.24890099999999</v>
      </c>
      <c r="V270" s="63">
        <v>300.15228300000001</v>
      </c>
      <c r="W270" s="63">
        <v>303.86437999999998</v>
      </c>
      <c r="X270" s="63">
        <v>303.56253099999998</v>
      </c>
      <c r="Y270" s="63">
        <v>302.87805200000003</v>
      </c>
      <c r="Z270" s="63">
        <v>303.27157599999998</v>
      </c>
      <c r="AA270" s="63">
        <v>303.63647500000002</v>
      </c>
      <c r="AB270" s="63">
        <v>303.445312</v>
      </c>
      <c r="AC270" s="63">
        <v>298.36987299999998</v>
      </c>
      <c r="AD270" s="63">
        <v>307.66924999999998</v>
      </c>
      <c r="AE270" s="63">
        <v>309.144409</v>
      </c>
      <c r="AF270" s="63">
        <v>315.045593</v>
      </c>
      <c r="AG270" s="63">
        <v>317.74377399999997</v>
      </c>
      <c r="AH270" s="63">
        <v>321.20062300000001</v>
      </c>
      <c r="AI270" s="63">
        <v>323.933899</v>
      </c>
      <c r="AJ270" s="63">
        <v>326.75662199999999</v>
      </c>
      <c r="AK270" s="62">
        <v>4.3010000000000001E-3</v>
      </c>
    </row>
    <row r="271" spans="1:37" ht="15" customHeight="1" x14ac:dyDescent="0.2">
      <c r="A271" s="57" t="s">
        <v>1153</v>
      </c>
      <c r="B271" s="60" t="s">
        <v>1134</v>
      </c>
      <c r="C271" s="63">
        <v>674.88354500000003</v>
      </c>
      <c r="D271" s="63">
        <v>625.86169400000006</v>
      </c>
      <c r="E271" s="63">
        <v>652.02740500000004</v>
      </c>
      <c r="F271" s="63">
        <v>349.82702599999999</v>
      </c>
      <c r="G271" s="63">
        <v>422.30859400000003</v>
      </c>
      <c r="H271" s="63">
        <v>564.66162099999997</v>
      </c>
      <c r="I271" s="63">
        <v>591.87237500000003</v>
      </c>
      <c r="J271" s="63">
        <v>605.63671899999997</v>
      </c>
      <c r="K271" s="63">
        <v>618.08343500000001</v>
      </c>
      <c r="L271" s="63">
        <v>607.13555899999994</v>
      </c>
      <c r="M271" s="63">
        <v>597.92907700000001</v>
      </c>
      <c r="N271" s="63">
        <v>592.59442100000001</v>
      </c>
      <c r="O271" s="63">
        <v>596.05401600000005</v>
      </c>
      <c r="P271" s="63">
        <v>575.94140600000003</v>
      </c>
      <c r="Q271" s="63">
        <v>572.93042000000003</v>
      </c>
      <c r="R271" s="63">
        <v>571.26422100000002</v>
      </c>
      <c r="S271" s="63">
        <v>570.04894999999999</v>
      </c>
      <c r="T271" s="63">
        <v>566.61694299999999</v>
      </c>
      <c r="U271" s="63">
        <v>530.089111</v>
      </c>
      <c r="V271" s="63">
        <v>527.55548099999999</v>
      </c>
      <c r="W271" s="63">
        <v>518.73828100000003</v>
      </c>
      <c r="X271" s="63">
        <v>516.01593000000003</v>
      </c>
      <c r="Y271" s="63">
        <v>513.54736300000002</v>
      </c>
      <c r="Z271" s="63">
        <v>511.546967</v>
      </c>
      <c r="AA271" s="63">
        <v>508.67346199999997</v>
      </c>
      <c r="AB271" s="63">
        <v>503.50537100000003</v>
      </c>
      <c r="AC271" s="63">
        <v>519.27526899999998</v>
      </c>
      <c r="AD271" s="63">
        <v>502.11007699999999</v>
      </c>
      <c r="AE271" s="63">
        <v>501.87503099999998</v>
      </c>
      <c r="AF271" s="63">
        <v>492.98715199999998</v>
      </c>
      <c r="AG271" s="63">
        <v>492.03060900000003</v>
      </c>
      <c r="AH271" s="63">
        <v>491.98278800000003</v>
      </c>
      <c r="AI271" s="63">
        <v>493.63382000000001</v>
      </c>
      <c r="AJ271" s="63">
        <v>492.72683699999999</v>
      </c>
      <c r="AK271" s="62">
        <v>-7.4460000000000004E-3</v>
      </c>
    </row>
    <row r="272" spans="1:37" ht="15" customHeight="1" x14ac:dyDescent="0.2">
      <c r="A272" s="57" t="s">
        <v>1154</v>
      </c>
      <c r="B272" s="60" t="s">
        <v>1136</v>
      </c>
      <c r="C272" s="63">
        <v>0</v>
      </c>
      <c r="D272" s="63">
        <v>0</v>
      </c>
      <c r="E272" s="63">
        <v>0</v>
      </c>
      <c r="F272" s="63">
        <v>0</v>
      </c>
      <c r="G272" s="63">
        <v>0</v>
      </c>
      <c r="H272" s="63">
        <v>0</v>
      </c>
      <c r="I272" s="63">
        <v>0</v>
      </c>
      <c r="J272" s="63">
        <v>0</v>
      </c>
      <c r="K272" s="63">
        <v>0</v>
      </c>
      <c r="L272" s="63">
        <v>0</v>
      </c>
      <c r="M272" s="63">
        <v>0</v>
      </c>
      <c r="N272" s="63">
        <v>0</v>
      </c>
      <c r="O272" s="63">
        <v>0</v>
      </c>
      <c r="P272" s="63">
        <v>0</v>
      </c>
      <c r="Q272" s="63">
        <v>0</v>
      </c>
      <c r="R272" s="63">
        <v>0</v>
      </c>
      <c r="S272" s="63">
        <v>0</v>
      </c>
      <c r="T272" s="63">
        <v>0</v>
      </c>
      <c r="U272" s="63">
        <v>0</v>
      </c>
      <c r="V272" s="63">
        <v>0</v>
      </c>
      <c r="W272" s="63">
        <v>0</v>
      </c>
      <c r="X272" s="63">
        <v>0</v>
      </c>
      <c r="Y272" s="63">
        <v>0</v>
      </c>
      <c r="Z272" s="63">
        <v>0</v>
      </c>
      <c r="AA272" s="63">
        <v>0</v>
      </c>
      <c r="AB272" s="63">
        <v>0</v>
      </c>
      <c r="AC272" s="63">
        <v>0</v>
      </c>
      <c r="AD272" s="63">
        <v>0</v>
      </c>
      <c r="AE272" s="63">
        <v>0</v>
      </c>
      <c r="AF272" s="63">
        <v>0</v>
      </c>
      <c r="AG272" s="63">
        <v>0</v>
      </c>
      <c r="AH272" s="63">
        <v>0</v>
      </c>
      <c r="AI272" s="63">
        <v>0</v>
      </c>
      <c r="AJ272" s="63">
        <v>0</v>
      </c>
      <c r="AK272" s="62" t="s">
        <v>467</v>
      </c>
    </row>
    <row r="273" spans="1:37" ht="15" customHeight="1" x14ac:dyDescent="0.2">
      <c r="A273" s="57" t="s">
        <v>1155</v>
      </c>
      <c r="B273" s="60" t="s">
        <v>1138</v>
      </c>
      <c r="C273" s="63">
        <v>0</v>
      </c>
      <c r="D273" s="63">
        <v>6.9605560000000004</v>
      </c>
      <c r="E273" s="63">
        <v>13.943656000000001</v>
      </c>
      <c r="F273" s="63">
        <v>17.461791999999999</v>
      </c>
      <c r="G273" s="63">
        <v>50.816451999999998</v>
      </c>
      <c r="H273" s="63">
        <v>41.817055000000003</v>
      </c>
      <c r="I273" s="63">
        <v>44.731971999999999</v>
      </c>
      <c r="J273" s="63">
        <v>47.894317999999998</v>
      </c>
      <c r="K273" s="63">
        <v>48.062716999999999</v>
      </c>
      <c r="L273" s="63">
        <v>51.473216999999998</v>
      </c>
      <c r="M273" s="63">
        <v>58.459518000000003</v>
      </c>
      <c r="N273" s="63">
        <v>61.083857999999999</v>
      </c>
      <c r="O273" s="63">
        <v>60.884529000000001</v>
      </c>
      <c r="P273" s="63">
        <v>65.842254999999994</v>
      </c>
      <c r="Q273" s="63">
        <v>69.225288000000006</v>
      </c>
      <c r="R273" s="63">
        <v>71.402107000000001</v>
      </c>
      <c r="S273" s="63">
        <v>72.474823000000001</v>
      </c>
      <c r="T273" s="63">
        <v>74.503608999999997</v>
      </c>
      <c r="U273" s="63">
        <v>82.931045999999995</v>
      </c>
      <c r="V273" s="63">
        <v>86.060730000000007</v>
      </c>
      <c r="W273" s="63">
        <v>88.200905000000006</v>
      </c>
      <c r="X273" s="63">
        <v>90.664412999999996</v>
      </c>
      <c r="Y273" s="63">
        <v>93.350127999999998</v>
      </c>
      <c r="Z273" s="63">
        <v>94.692588999999998</v>
      </c>
      <c r="AA273" s="63">
        <v>96.590179000000006</v>
      </c>
      <c r="AB273" s="63">
        <v>100.36863700000001</v>
      </c>
      <c r="AC273" s="63">
        <v>96.505661000000003</v>
      </c>
      <c r="AD273" s="63">
        <v>98.072402999999994</v>
      </c>
      <c r="AE273" s="63">
        <v>97.342567000000003</v>
      </c>
      <c r="AF273" s="63">
        <v>97.275435999999999</v>
      </c>
      <c r="AG273" s="63">
        <v>95.664139000000006</v>
      </c>
      <c r="AH273" s="63">
        <v>92.717597999999995</v>
      </c>
      <c r="AI273" s="63">
        <v>89.485657000000003</v>
      </c>
      <c r="AJ273" s="63">
        <v>87.726692</v>
      </c>
      <c r="AK273" s="62">
        <v>8.2405999999999993E-2</v>
      </c>
    </row>
    <row r="275" spans="1:37" ht="15" customHeight="1" x14ac:dyDescent="0.2">
      <c r="B275" s="116" t="s">
        <v>1156</v>
      </c>
      <c r="C275" s="117"/>
      <c r="D275" s="117"/>
      <c r="E275" s="117"/>
      <c r="F275" s="117"/>
      <c r="G275" s="117"/>
      <c r="H275" s="117"/>
      <c r="I275" s="117"/>
      <c r="J275" s="117"/>
      <c r="K275" s="117"/>
      <c r="L275" s="117"/>
      <c r="M275" s="117"/>
      <c r="N275" s="117"/>
      <c r="O275" s="117"/>
      <c r="P275" s="117"/>
      <c r="Q275" s="117"/>
      <c r="R275" s="117"/>
      <c r="S275" s="117"/>
      <c r="T275" s="117"/>
      <c r="U275" s="117"/>
      <c r="V275" s="117"/>
      <c r="W275" s="117"/>
      <c r="X275" s="117"/>
      <c r="Y275" s="117"/>
      <c r="Z275" s="117"/>
      <c r="AA275" s="117"/>
      <c r="AB275" s="117"/>
      <c r="AC275" s="117"/>
      <c r="AD275" s="117"/>
      <c r="AE275" s="117"/>
      <c r="AF275" s="117"/>
      <c r="AG275" s="117"/>
      <c r="AH275" s="117"/>
      <c r="AI275" s="117"/>
      <c r="AJ275" s="117"/>
      <c r="AK275" s="117"/>
    </row>
    <row r="276" spans="1:37" ht="15" customHeight="1" x14ac:dyDescent="0.2">
      <c r="B276" s="67" t="s">
        <v>425</v>
      </c>
    </row>
    <row r="277" spans="1:37" ht="15" customHeight="1" x14ac:dyDescent="0.2">
      <c r="B277" s="67" t="s">
        <v>587</v>
      </c>
    </row>
    <row r="278" spans="1:37" ht="15" customHeight="1" x14ac:dyDescent="0.2">
      <c r="B278" s="67" t="s">
        <v>588</v>
      </c>
    </row>
    <row r="279" spans="1:37" ht="15" customHeight="1" x14ac:dyDescent="0.2">
      <c r="B279" s="67" t="s">
        <v>1157</v>
      </c>
    </row>
    <row r="280" spans="1:37" ht="15" customHeight="1" x14ac:dyDescent="0.2">
      <c r="B280" s="67" t="s">
        <v>1158</v>
      </c>
    </row>
    <row r="281" spans="1:37" ht="15" customHeight="1" x14ac:dyDescent="0.2">
      <c r="B281" s="67" t="s">
        <v>1159</v>
      </c>
    </row>
    <row r="282" spans="1:37" ht="15" customHeight="1" x14ac:dyDescent="0.2">
      <c r="B282" s="67" t="s">
        <v>1160</v>
      </c>
    </row>
    <row r="283" spans="1:37" ht="15" customHeight="1" x14ac:dyDescent="0.2">
      <c r="B283" s="67" t="s">
        <v>1161</v>
      </c>
    </row>
    <row r="284" spans="1:37" ht="15" customHeight="1" x14ac:dyDescent="0.2">
      <c r="B284" s="67" t="s">
        <v>1162</v>
      </c>
    </row>
    <row r="285" spans="1:37" ht="15" customHeight="1" x14ac:dyDescent="0.2">
      <c r="B285" s="67" t="s">
        <v>1163</v>
      </c>
    </row>
    <row r="286" spans="1:37" ht="15" customHeight="1" x14ac:dyDescent="0.2">
      <c r="B286" s="67" t="s">
        <v>438</v>
      </c>
    </row>
    <row r="287" spans="1:37" ht="15.75" customHeight="1" x14ac:dyDescent="0.2"/>
    <row r="288" spans="1:37"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
    <mergeCell ref="B275:AK275"/>
  </mergeCells>
  <pageMargins left="0.75" right="0.75" top="1" bottom="1" header="0" footer="0"/>
  <pageSetup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AK1000"/>
  <sheetViews>
    <sheetView workbookViewId="0"/>
  </sheetViews>
  <sheetFormatPr baseColWidth="10" defaultColWidth="14.5" defaultRowHeight="15" customHeight="1" x14ac:dyDescent="0.2"/>
  <cols>
    <col min="1" max="1" width="35" customWidth="1"/>
    <col min="2" max="3" width="9.83203125" customWidth="1"/>
    <col min="4" max="34" width="10.83203125" customWidth="1"/>
    <col min="35" max="35" width="9.5" customWidth="1"/>
    <col min="36" max="37" width="9.1640625" customWidth="1"/>
  </cols>
  <sheetData>
    <row r="1" spans="1:37" ht="16.5" customHeight="1" x14ac:dyDescent="0.2">
      <c r="A1" s="132" t="s">
        <v>1164</v>
      </c>
      <c r="B1" s="133"/>
      <c r="C1" s="133"/>
      <c r="D1" s="133"/>
      <c r="E1" s="133"/>
      <c r="F1" s="133"/>
      <c r="G1" s="133"/>
      <c r="H1" s="133"/>
      <c r="I1" s="133"/>
      <c r="J1" s="133"/>
      <c r="K1" s="133"/>
      <c r="L1" s="133"/>
      <c r="M1" s="133"/>
      <c r="N1" s="133"/>
      <c r="O1" s="133"/>
      <c r="P1" s="133"/>
      <c r="Q1" s="133"/>
      <c r="R1" s="133"/>
      <c r="S1" s="133"/>
      <c r="T1" s="133"/>
      <c r="U1" s="133"/>
      <c r="V1" s="133"/>
      <c r="W1" s="133"/>
      <c r="X1" s="133"/>
      <c r="Y1" s="133"/>
      <c r="Z1" s="133"/>
      <c r="AA1" s="133"/>
      <c r="AB1" s="133"/>
      <c r="AC1" s="133"/>
      <c r="AD1" s="133"/>
      <c r="AE1" s="133"/>
      <c r="AF1" s="133"/>
      <c r="AG1" s="133"/>
      <c r="AH1" s="133"/>
      <c r="AI1" s="133"/>
      <c r="AJ1" s="71"/>
      <c r="AK1" s="71"/>
    </row>
    <row r="2" spans="1:37" ht="16.5" customHeight="1" x14ac:dyDescent="0.2">
      <c r="A2" s="72"/>
      <c r="B2" s="73">
        <v>1960</v>
      </c>
      <c r="C2" s="73">
        <v>1965</v>
      </c>
      <c r="D2" s="73">
        <v>1970</v>
      </c>
      <c r="E2" s="73">
        <v>1975</v>
      </c>
      <c r="F2" s="73">
        <v>1980</v>
      </c>
      <c r="G2" s="73">
        <v>1985</v>
      </c>
      <c r="H2" s="73">
        <v>1990</v>
      </c>
      <c r="I2" s="73">
        <v>1991</v>
      </c>
      <c r="J2" s="73">
        <v>1992</v>
      </c>
      <c r="K2" s="73">
        <v>1993</v>
      </c>
      <c r="L2" s="73">
        <v>1994</v>
      </c>
      <c r="M2" s="73">
        <v>1995</v>
      </c>
      <c r="N2" s="73">
        <v>1996</v>
      </c>
      <c r="O2" s="73">
        <v>1997</v>
      </c>
      <c r="P2" s="73">
        <v>1998</v>
      </c>
      <c r="Q2" s="73">
        <v>1999</v>
      </c>
      <c r="R2" s="73">
        <v>2000</v>
      </c>
      <c r="S2" s="73">
        <v>2001</v>
      </c>
      <c r="T2" s="73">
        <v>2002</v>
      </c>
      <c r="U2" s="73">
        <v>2003</v>
      </c>
      <c r="V2" s="73">
        <v>2004</v>
      </c>
      <c r="W2" s="73">
        <v>2005</v>
      </c>
      <c r="X2" s="73">
        <v>2006</v>
      </c>
      <c r="Y2" s="73">
        <v>2007</v>
      </c>
      <c r="Z2" s="73">
        <v>2008</v>
      </c>
      <c r="AA2" s="73">
        <v>2009</v>
      </c>
      <c r="AB2" s="73">
        <v>2010</v>
      </c>
      <c r="AC2" s="73">
        <v>2011</v>
      </c>
      <c r="AD2" s="73">
        <v>2012</v>
      </c>
      <c r="AE2" s="73">
        <v>2013</v>
      </c>
      <c r="AF2" s="74">
        <v>2014</v>
      </c>
      <c r="AG2" s="74">
        <v>2015</v>
      </c>
      <c r="AH2" s="74">
        <v>2016</v>
      </c>
      <c r="AI2" s="74">
        <v>2017</v>
      </c>
      <c r="AJ2" s="74">
        <v>2018</v>
      </c>
      <c r="AK2" s="75"/>
    </row>
    <row r="3" spans="1:37" ht="16.5" customHeight="1" x14ac:dyDescent="0.2">
      <c r="A3" s="76" t="s">
        <v>1165</v>
      </c>
      <c r="B3" s="77"/>
      <c r="C3" s="77"/>
      <c r="D3" s="77"/>
      <c r="E3" s="77"/>
      <c r="F3" s="77"/>
      <c r="G3" s="77"/>
      <c r="H3" s="77"/>
      <c r="I3" s="77"/>
      <c r="J3" s="77"/>
      <c r="K3" s="77"/>
      <c r="L3" s="77"/>
      <c r="M3" s="77"/>
      <c r="N3" s="77"/>
      <c r="O3" s="77"/>
      <c r="P3" s="77"/>
      <c r="Q3" s="77"/>
      <c r="R3" s="77"/>
      <c r="S3" s="77"/>
      <c r="T3" s="77"/>
      <c r="U3" s="77"/>
      <c r="V3" s="77"/>
      <c r="W3" s="77"/>
      <c r="X3" s="77"/>
      <c r="Y3" s="77"/>
      <c r="Z3" s="77"/>
      <c r="AA3" s="77"/>
      <c r="AB3" s="77"/>
      <c r="AC3" s="77"/>
      <c r="AD3" s="77"/>
      <c r="AE3" s="77"/>
      <c r="AF3" s="77"/>
      <c r="AG3" s="78"/>
      <c r="AH3" s="78"/>
      <c r="AI3" s="71"/>
      <c r="AJ3" s="78"/>
      <c r="AK3" s="78"/>
    </row>
    <row r="4" spans="1:37" ht="16.5" customHeight="1" x14ac:dyDescent="0.2">
      <c r="A4" s="79" t="s">
        <v>1166</v>
      </c>
      <c r="B4" s="77">
        <v>2135</v>
      </c>
      <c r="C4" s="77">
        <v>2125</v>
      </c>
      <c r="D4" s="77">
        <v>2679</v>
      </c>
      <c r="E4" s="77">
        <v>2495</v>
      </c>
      <c r="F4" s="77">
        <v>3808</v>
      </c>
      <c r="G4" s="77">
        <v>4678</v>
      </c>
      <c r="H4" s="77">
        <v>6083</v>
      </c>
      <c r="I4" s="77">
        <v>6054</v>
      </c>
      <c r="J4" s="77">
        <v>7320</v>
      </c>
      <c r="K4" s="77">
        <v>7297</v>
      </c>
      <c r="L4" s="77">
        <v>7370</v>
      </c>
      <c r="M4" s="77">
        <v>6865</v>
      </c>
      <c r="N4" s="77">
        <v>7077</v>
      </c>
      <c r="O4" s="77">
        <v>7043</v>
      </c>
      <c r="P4" s="77">
        <v>7451</v>
      </c>
      <c r="Q4" s="77">
        <v>7859</v>
      </c>
      <c r="R4" s="77">
        <v>7826</v>
      </c>
      <c r="S4" s="77">
        <v>7746</v>
      </c>
      <c r="T4" s="77">
        <v>7673</v>
      </c>
      <c r="U4" s="77">
        <v>7564</v>
      </c>
      <c r="V4" s="77">
        <v>7764</v>
      </c>
      <c r="W4" s="77">
        <v>7686</v>
      </c>
      <c r="X4" s="77">
        <v>7637</v>
      </c>
      <c r="Y4" s="77">
        <v>7732</v>
      </c>
      <c r="Z4" s="77">
        <v>7337</v>
      </c>
      <c r="AA4" s="77">
        <v>7169</v>
      </c>
      <c r="AB4" s="77">
        <v>7185</v>
      </c>
      <c r="AC4" s="77">
        <v>7168</v>
      </c>
      <c r="AD4" s="77">
        <v>6914</v>
      </c>
      <c r="AE4" s="77">
        <v>6740</v>
      </c>
      <c r="AF4" s="77">
        <v>6761</v>
      </c>
      <c r="AG4" s="80">
        <v>6876</v>
      </c>
      <c r="AH4" s="81">
        <v>7039</v>
      </c>
      <c r="AI4" s="80">
        <v>7141</v>
      </c>
      <c r="AJ4" s="82">
        <f t="array" ref="AJ4">TREND(AE4:AI4,AE2:AI2,AJ2)</f>
        <v>7235.3999999999942</v>
      </c>
      <c r="AK4" s="83"/>
    </row>
    <row r="5" spans="1:37" ht="16.5" customHeight="1" x14ac:dyDescent="0.2">
      <c r="A5" s="79" t="s">
        <v>1167</v>
      </c>
      <c r="B5" s="77">
        <v>76549</v>
      </c>
      <c r="C5" s="77">
        <v>95442</v>
      </c>
      <c r="D5" s="77">
        <v>131743</v>
      </c>
      <c r="E5" s="77">
        <v>168475</v>
      </c>
      <c r="F5" s="77">
        <v>211045</v>
      </c>
      <c r="G5" s="77">
        <v>210654</v>
      </c>
      <c r="H5" s="77">
        <v>198000</v>
      </c>
      <c r="I5" s="77">
        <v>196874</v>
      </c>
      <c r="J5" s="77">
        <v>185650</v>
      </c>
      <c r="K5" s="77">
        <v>177120</v>
      </c>
      <c r="L5" s="77">
        <v>172935</v>
      </c>
      <c r="M5" s="77">
        <v>188089</v>
      </c>
      <c r="N5" s="77">
        <v>191129</v>
      </c>
      <c r="O5" s="77">
        <v>192414</v>
      </c>
      <c r="P5" s="77">
        <v>204710</v>
      </c>
      <c r="Q5" s="77">
        <v>219464</v>
      </c>
      <c r="R5" s="77">
        <v>217533</v>
      </c>
      <c r="S5" s="77">
        <v>211446</v>
      </c>
      <c r="T5" s="77">
        <v>211244</v>
      </c>
      <c r="U5" s="77">
        <v>209708</v>
      </c>
      <c r="V5" s="77">
        <v>219426</v>
      </c>
      <c r="W5" s="77">
        <v>224352</v>
      </c>
      <c r="X5" s="77">
        <v>221943</v>
      </c>
      <c r="Y5" s="77">
        <v>231607</v>
      </c>
      <c r="Z5" s="77">
        <v>228663</v>
      </c>
      <c r="AA5" s="77">
        <v>223877</v>
      </c>
      <c r="AB5" s="77">
        <v>223370</v>
      </c>
      <c r="AC5" s="77">
        <v>222250</v>
      </c>
      <c r="AD5" s="77">
        <v>209034</v>
      </c>
      <c r="AE5" s="77">
        <v>199927</v>
      </c>
      <c r="AF5" s="77">
        <v>204408</v>
      </c>
      <c r="AG5" s="80">
        <v>210030</v>
      </c>
      <c r="AH5" s="80">
        <v>211793</v>
      </c>
      <c r="AI5" s="77" t="s">
        <v>1168</v>
      </c>
      <c r="AJ5" s="83"/>
      <c r="AK5" s="83"/>
    </row>
    <row r="6" spans="1:37" ht="16.5" customHeight="1" x14ac:dyDescent="0.2">
      <c r="A6" s="76" t="s">
        <v>1169</v>
      </c>
      <c r="B6" s="84">
        <v>74431800</v>
      </c>
      <c r="C6" s="84">
        <v>91739623</v>
      </c>
      <c r="D6" s="84">
        <v>111242295</v>
      </c>
      <c r="E6" s="84">
        <v>137912779</v>
      </c>
      <c r="F6" s="84">
        <v>161490159</v>
      </c>
      <c r="G6" s="84">
        <v>177133282</v>
      </c>
      <c r="H6" s="84">
        <v>193057376</v>
      </c>
      <c r="I6" s="84">
        <v>192313834</v>
      </c>
      <c r="J6" s="84">
        <v>194427346</v>
      </c>
      <c r="K6" s="84">
        <v>198041338</v>
      </c>
      <c r="L6" s="84">
        <v>201801921</v>
      </c>
      <c r="M6" s="84">
        <v>205427212</v>
      </c>
      <c r="N6" s="84">
        <v>210441249</v>
      </c>
      <c r="O6" s="84">
        <v>211580033</v>
      </c>
      <c r="P6" s="84">
        <v>215496003</v>
      </c>
      <c r="Q6" s="84">
        <v>220461056</v>
      </c>
      <c r="R6" s="84">
        <v>225821241</v>
      </c>
      <c r="S6" s="84">
        <v>235331382</v>
      </c>
      <c r="T6" s="84">
        <v>234624135</v>
      </c>
      <c r="U6" s="84">
        <v>236760033</v>
      </c>
      <c r="V6" s="84">
        <v>243010550.00000003</v>
      </c>
      <c r="W6" s="84">
        <v>247421120</v>
      </c>
      <c r="X6" s="84">
        <v>250844644</v>
      </c>
      <c r="Y6" s="84">
        <v>254403080.7854</v>
      </c>
      <c r="Z6" s="84">
        <v>255917663.69208422</v>
      </c>
      <c r="AA6" s="84">
        <v>254212610.00000012</v>
      </c>
      <c r="AB6" s="84">
        <v>250070048.2666094</v>
      </c>
      <c r="AC6" s="84">
        <v>253215680.9385995</v>
      </c>
      <c r="AD6" s="84">
        <v>253639386.00101829</v>
      </c>
      <c r="AE6" s="84">
        <v>255876822.00000003</v>
      </c>
      <c r="AF6" s="84">
        <v>260350938.29285276</v>
      </c>
      <c r="AG6" s="84">
        <v>263610219</v>
      </c>
      <c r="AH6" s="84">
        <v>268799083</v>
      </c>
      <c r="AI6" s="84" t="s">
        <v>1168</v>
      </c>
      <c r="AJ6" s="78"/>
      <c r="AK6" s="78"/>
    </row>
    <row r="7" spans="1:37" ht="16.5" customHeight="1" x14ac:dyDescent="0.2">
      <c r="A7" s="79" t="s">
        <v>1170</v>
      </c>
      <c r="B7" s="77" t="s">
        <v>1171</v>
      </c>
      <c r="C7" s="77" t="s">
        <v>1171</v>
      </c>
      <c r="D7" s="77" t="s">
        <v>1171</v>
      </c>
      <c r="E7" s="77" t="s">
        <v>1171</v>
      </c>
      <c r="F7" s="77" t="s">
        <v>1171</v>
      </c>
      <c r="G7" s="77" t="s">
        <v>1171</v>
      </c>
      <c r="H7" s="77" t="s">
        <v>1171</v>
      </c>
      <c r="I7" s="77" t="s">
        <v>1171</v>
      </c>
      <c r="J7" s="77" t="s">
        <v>1171</v>
      </c>
      <c r="K7" s="77" t="s">
        <v>1171</v>
      </c>
      <c r="L7" s="77" t="s">
        <v>1171</v>
      </c>
      <c r="M7" s="77" t="s">
        <v>1171</v>
      </c>
      <c r="N7" s="77" t="s">
        <v>1171</v>
      </c>
      <c r="O7" s="77" t="s">
        <v>1171</v>
      </c>
      <c r="P7" s="77" t="s">
        <v>1171</v>
      </c>
      <c r="Q7" s="77" t="s">
        <v>1171</v>
      </c>
      <c r="R7" s="77" t="s">
        <v>1171</v>
      </c>
      <c r="S7" s="77" t="s">
        <v>1171</v>
      </c>
      <c r="T7" s="77" t="s">
        <v>1171</v>
      </c>
      <c r="U7" s="77" t="s">
        <v>1171</v>
      </c>
      <c r="V7" s="77" t="s">
        <v>1171</v>
      </c>
      <c r="W7" s="77" t="s">
        <v>1171</v>
      </c>
      <c r="X7" s="77" t="s">
        <v>1171</v>
      </c>
      <c r="Y7" s="77">
        <v>196491175.83247364</v>
      </c>
      <c r="Z7" s="77">
        <v>196762926.67732558</v>
      </c>
      <c r="AA7" s="77">
        <v>193979653.56497699</v>
      </c>
      <c r="AB7" s="77">
        <v>190202782.40511477</v>
      </c>
      <c r="AC7" s="77">
        <v>183522635</v>
      </c>
      <c r="AD7" s="77">
        <v>183171881.637086</v>
      </c>
      <c r="AE7" s="77">
        <v>184497490.31559649</v>
      </c>
      <c r="AF7" s="77">
        <v>187554928.19032657</v>
      </c>
      <c r="AG7" s="85">
        <v>189618308</v>
      </c>
      <c r="AH7" s="85">
        <v>192774508</v>
      </c>
      <c r="AI7" s="85" t="s">
        <v>1168</v>
      </c>
      <c r="AJ7" s="83"/>
      <c r="AK7" s="83"/>
    </row>
    <row r="8" spans="1:37" ht="16.5" customHeight="1" x14ac:dyDescent="0.2">
      <c r="A8" s="79" t="s">
        <v>1172</v>
      </c>
      <c r="B8" s="77">
        <v>61671390</v>
      </c>
      <c r="C8" s="77">
        <v>75257588</v>
      </c>
      <c r="D8" s="77">
        <v>89243557</v>
      </c>
      <c r="E8" s="77">
        <v>106705934</v>
      </c>
      <c r="F8" s="77">
        <v>121600843</v>
      </c>
      <c r="G8" s="77">
        <v>127885193</v>
      </c>
      <c r="H8" s="77">
        <v>133700496</v>
      </c>
      <c r="I8" s="77">
        <v>128299601</v>
      </c>
      <c r="J8" s="77">
        <v>126581148</v>
      </c>
      <c r="K8" s="77">
        <v>127327189</v>
      </c>
      <c r="L8" s="77">
        <v>127883469</v>
      </c>
      <c r="M8" s="77">
        <v>128386775</v>
      </c>
      <c r="N8" s="77">
        <v>129728341</v>
      </c>
      <c r="O8" s="77">
        <v>129748704</v>
      </c>
      <c r="P8" s="77">
        <v>131838538</v>
      </c>
      <c r="Q8" s="77">
        <v>132432044</v>
      </c>
      <c r="R8" s="77">
        <v>133621420</v>
      </c>
      <c r="S8" s="77">
        <v>137633467</v>
      </c>
      <c r="T8" s="77">
        <v>135920677</v>
      </c>
      <c r="U8" s="77">
        <v>135669897</v>
      </c>
      <c r="V8" s="77">
        <v>136430651</v>
      </c>
      <c r="W8" s="77">
        <v>136568083</v>
      </c>
      <c r="X8" s="77">
        <v>135399945</v>
      </c>
      <c r="Y8" s="77" t="s">
        <v>1171</v>
      </c>
      <c r="Z8" s="77" t="s">
        <v>1171</v>
      </c>
      <c r="AA8" s="77" t="s">
        <v>1171</v>
      </c>
      <c r="AB8" s="77" t="s">
        <v>1171</v>
      </c>
      <c r="AC8" s="77" t="s">
        <v>1171</v>
      </c>
      <c r="AD8" s="77" t="s">
        <v>1171</v>
      </c>
      <c r="AE8" s="77" t="s">
        <v>1171</v>
      </c>
      <c r="AF8" s="77" t="s">
        <v>1171</v>
      </c>
      <c r="AG8" s="77" t="s">
        <v>1171</v>
      </c>
      <c r="AH8" s="77" t="s">
        <v>1171</v>
      </c>
      <c r="AI8" s="77" t="s">
        <v>1168</v>
      </c>
      <c r="AJ8" s="83"/>
      <c r="AK8" s="83"/>
    </row>
    <row r="9" spans="1:37" ht="16.5" customHeight="1" x14ac:dyDescent="0.2">
      <c r="A9" s="79" t="s">
        <v>1173</v>
      </c>
      <c r="B9" s="77">
        <v>574032</v>
      </c>
      <c r="C9" s="77">
        <v>1381956</v>
      </c>
      <c r="D9" s="77">
        <v>2824098</v>
      </c>
      <c r="E9" s="77">
        <v>4964070</v>
      </c>
      <c r="F9" s="77">
        <v>5693940</v>
      </c>
      <c r="G9" s="77">
        <v>5444404</v>
      </c>
      <c r="H9" s="77">
        <v>4259462</v>
      </c>
      <c r="I9" s="77">
        <v>4177365</v>
      </c>
      <c r="J9" s="77">
        <v>4065118</v>
      </c>
      <c r="K9" s="77">
        <v>3977856</v>
      </c>
      <c r="L9" s="77">
        <v>3756555</v>
      </c>
      <c r="M9" s="77">
        <v>3897191</v>
      </c>
      <c r="N9" s="77">
        <v>3871599</v>
      </c>
      <c r="O9" s="77">
        <v>3826373</v>
      </c>
      <c r="P9" s="77">
        <v>3879450</v>
      </c>
      <c r="Q9" s="77">
        <v>4152433</v>
      </c>
      <c r="R9" s="77">
        <v>4346068</v>
      </c>
      <c r="S9" s="77">
        <v>4903056</v>
      </c>
      <c r="T9" s="77">
        <v>5004156</v>
      </c>
      <c r="U9" s="77">
        <v>5370035</v>
      </c>
      <c r="V9" s="77">
        <v>5767934</v>
      </c>
      <c r="W9" s="77">
        <v>6227146</v>
      </c>
      <c r="X9" s="77">
        <v>6678958</v>
      </c>
      <c r="Y9" s="77">
        <v>7138475.7854000414</v>
      </c>
      <c r="Z9" s="77">
        <v>7752925.6920842398</v>
      </c>
      <c r="AA9" s="77">
        <v>7929724</v>
      </c>
      <c r="AB9" s="77">
        <v>8009503</v>
      </c>
      <c r="AC9" s="77">
        <v>8437502</v>
      </c>
      <c r="AD9" s="77">
        <v>8454939</v>
      </c>
      <c r="AE9" s="77">
        <v>8404687</v>
      </c>
      <c r="AF9" s="77">
        <v>8417717.5010893885</v>
      </c>
      <c r="AG9" s="85">
        <v>8600936</v>
      </c>
      <c r="AH9" s="85">
        <v>8679380</v>
      </c>
      <c r="AI9" s="85" t="s">
        <v>1168</v>
      </c>
      <c r="AJ9" s="83"/>
      <c r="AK9" s="83"/>
    </row>
    <row r="10" spans="1:37" ht="16.5" customHeight="1" x14ac:dyDescent="0.2">
      <c r="A10" s="79" t="s">
        <v>1174</v>
      </c>
      <c r="B10" s="77" t="s">
        <v>1171</v>
      </c>
      <c r="C10" s="77" t="s">
        <v>1171</v>
      </c>
      <c r="D10" s="77" t="s">
        <v>1171</v>
      </c>
      <c r="E10" s="77" t="s">
        <v>1171</v>
      </c>
      <c r="F10" s="77" t="s">
        <v>1171</v>
      </c>
      <c r="G10" s="77" t="s">
        <v>1171</v>
      </c>
      <c r="H10" s="77" t="s">
        <v>1171</v>
      </c>
      <c r="I10" s="77" t="s">
        <v>1171</v>
      </c>
      <c r="J10" s="77" t="s">
        <v>1171</v>
      </c>
      <c r="K10" s="77" t="s">
        <v>1171</v>
      </c>
      <c r="L10" s="77" t="s">
        <v>1171</v>
      </c>
      <c r="M10" s="77" t="s">
        <v>1171</v>
      </c>
      <c r="N10" s="77" t="s">
        <v>1171</v>
      </c>
      <c r="O10" s="77" t="s">
        <v>1171</v>
      </c>
      <c r="P10" s="77" t="s">
        <v>1171</v>
      </c>
      <c r="Q10" s="77" t="s">
        <v>1171</v>
      </c>
      <c r="R10" s="77" t="s">
        <v>1171</v>
      </c>
      <c r="S10" s="77" t="s">
        <v>1171</v>
      </c>
      <c r="T10" s="77" t="s">
        <v>1171</v>
      </c>
      <c r="U10" s="77" t="s">
        <v>1171</v>
      </c>
      <c r="V10" s="77" t="s">
        <v>1171</v>
      </c>
      <c r="W10" s="77" t="s">
        <v>1171</v>
      </c>
      <c r="X10" s="77" t="s">
        <v>1171</v>
      </c>
      <c r="Y10" s="77">
        <v>39186974.45205161</v>
      </c>
      <c r="Z10" s="77">
        <v>39685227.894543707</v>
      </c>
      <c r="AA10" s="77">
        <v>40488025.018209703</v>
      </c>
      <c r="AB10" s="77">
        <v>40241657.960588463</v>
      </c>
      <c r="AC10" s="77">
        <v>50318787</v>
      </c>
      <c r="AD10" s="77">
        <v>50588676</v>
      </c>
      <c r="AE10" s="77">
        <v>51512739.866532281</v>
      </c>
      <c r="AF10" s="77">
        <v>52600309.314912066</v>
      </c>
      <c r="AG10" s="85">
        <v>53298884</v>
      </c>
      <c r="AH10" s="85">
        <v>54870473</v>
      </c>
      <c r="AI10" s="85" t="s">
        <v>1168</v>
      </c>
      <c r="AJ10" s="83"/>
      <c r="AK10" s="83"/>
    </row>
    <row r="11" spans="1:37" ht="16.5" customHeight="1" x14ac:dyDescent="0.2">
      <c r="A11" s="79" t="s">
        <v>1175</v>
      </c>
      <c r="B11" s="77" t="s">
        <v>1168</v>
      </c>
      <c r="C11" s="77" t="s">
        <v>1168</v>
      </c>
      <c r="D11" s="77">
        <v>14210591</v>
      </c>
      <c r="E11" s="77">
        <v>20418250</v>
      </c>
      <c r="F11" s="77">
        <v>27875934</v>
      </c>
      <c r="G11" s="77">
        <v>37213863</v>
      </c>
      <c r="H11" s="77">
        <v>48274555</v>
      </c>
      <c r="I11" s="77">
        <v>53033443</v>
      </c>
      <c r="J11" s="77">
        <v>57091143</v>
      </c>
      <c r="K11" s="77">
        <v>59993706</v>
      </c>
      <c r="L11" s="77">
        <v>62903589</v>
      </c>
      <c r="M11" s="77">
        <v>65738322</v>
      </c>
      <c r="N11" s="77">
        <v>69133913</v>
      </c>
      <c r="O11" s="77">
        <v>70224082</v>
      </c>
      <c r="P11" s="77">
        <v>71330205</v>
      </c>
      <c r="Q11" s="77">
        <v>75356376</v>
      </c>
      <c r="R11" s="77">
        <v>79084979</v>
      </c>
      <c r="S11" s="77">
        <v>84187636</v>
      </c>
      <c r="T11" s="77">
        <v>85011305</v>
      </c>
      <c r="U11" s="77">
        <v>87186662.883300006</v>
      </c>
      <c r="V11" s="77">
        <v>91845327.345300004</v>
      </c>
      <c r="W11" s="77">
        <v>95336838.935399994</v>
      </c>
      <c r="X11" s="77">
        <v>99124775.010600001</v>
      </c>
      <c r="Y11" s="77" t="s">
        <v>1171</v>
      </c>
      <c r="Z11" s="77" t="s">
        <v>1171</v>
      </c>
      <c r="AA11" s="77" t="s">
        <v>1171</v>
      </c>
      <c r="AB11" s="77" t="s">
        <v>1171</v>
      </c>
      <c r="AC11" s="77" t="s">
        <v>1171</v>
      </c>
      <c r="AD11" s="77" t="s">
        <v>1171</v>
      </c>
      <c r="AE11" s="77" t="s">
        <v>1171</v>
      </c>
      <c r="AF11" s="77" t="s">
        <v>1171</v>
      </c>
      <c r="AG11" s="77" t="s">
        <v>1171</v>
      </c>
      <c r="AH11" s="77" t="s">
        <v>1171</v>
      </c>
      <c r="AI11" s="77" t="s">
        <v>1168</v>
      </c>
      <c r="AJ11" s="83"/>
      <c r="AK11" s="83"/>
    </row>
    <row r="12" spans="1:37" ht="16.5" customHeight="1" x14ac:dyDescent="0.2">
      <c r="A12" s="79" t="s">
        <v>1176</v>
      </c>
      <c r="B12" s="77" t="s">
        <v>1168</v>
      </c>
      <c r="C12" s="77">
        <v>13999285</v>
      </c>
      <c r="D12" s="77">
        <v>3681405</v>
      </c>
      <c r="E12" s="77">
        <v>4231622</v>
      </c>
      <c r="F12" s="77">
        <v>4373784</v>
      </c>
      <c r="G12" s="77">
        <v>4593071</v>
      </c>
      <c r="H12" s="77">
        <v>4486981</v>
      </c>
      <c r="I12" s="77">
        <v>4480815</v>
      </c>
      <c r="J12" s="77">
        <v>4369842</v>
      </c>
      <c r="K12" s="77">
        <v>4407850</v>
      </c>
      <c r="L12" s="77">
        <v>4906385</v>
      </c>
      <c r="M12" s="77">
        <v>5023670</v>
      </c>
      <c r="N12" s="77">
        <v>5266029</v>
      </c>
      <c r="O12" s="77">
        <v>5293358</v>
      </c>
      <c r="P12" s="77">
        <v>5734925</v>
      </c>
      <c r="Q12" s="77">
        <v>5762864</v>
      </c>
      <c r="R12" s="77">
        <v>5926030</v>
      </c>
      <c r="S12" s="77">
        <v>5703501</v>
      </c>
      <c r="T12" s="77">
        <v>5650619</v>
      </c>
      <c r="U12" s="77">
        <v>5848522.7416000003</v>
      </c>
      <c r="V12" s="77">
        <v>6161028.1655999999</v>
      </c>
      <c r="W12" s="77">
        <v>6395240.4208000004</v>
      </c>
      <c r="X12" s="77">
        <v>6649336.9712000005</v>
      </c>
      <c r="Y12" s="77">
        <v>8116671.5148247173</v>
      </c>
      <c r="Z12" s="77">
        <v>8288045.9578434834</v>
      </c>
      <c r="AA12" s="77">
        <v>8356096.7043238198</v>
      </c>
      <c r="AB12" s="77">
        <v>8217189.0707723014</v>
      </c>
      <c r="AC12" s="77">
        <v>7819054.7455276884</v>
      </c>
      <c r="AD12" s="77">
        <v>8190286.3639322901</v>
      </c>
      <c r="AE12" s="77">
        <v>8126007.221129314</v>
      </c>
      <c r="AF12" s="77">
        <v>8328758.5989865428</v>
      </c>
      <c r="AG12" s="85">
        <v>8456302</v>
      </c>
      <c r="AH12" s="85">
        <v>8746518</v>
      </c>
      <c r="AI12" s="85" t="s">
        <v>1168</v>
      </c>
      <c r="AJ12" s="83"/>
      <c r="AK12" s="83"/>
    </row>
    <row r="13" spans="1:37" ht="16.5" customHeight="1" x14ac:dyDescent="0.2">
      <c r="A13" s="79" t="s">
        <v>1177</v>
      </c>
      <c r="B13" s="77">
        <v>11914249</v>
      </c>
      <c r="C13" s="77">
        <v>786510</v>
      </c>
      <c r="D13" s="77">
        <v>905082</v>
      </c>
      <c r="E13" s="77">
        <v>1130747</v>
      </c>
      <c r="F13" s="77">
        <v>1416869</v>
      </c>
      <c r="G13" s="77">
        <v>1403266</v>
      </c>
      <c r="H13" s="77">
        <v>1708895</v>
      </c>
      <c r="I13" s="77">
        <v>1691331</v>
      </c>
      <c r="J13" s="77">
        <v>1675363</v>
      </c>
      <c r="K13" s="77">
        <v>1680305</v>
      </c>
      <c r="L13" s="77">
        <v>1681500</v>
      </c>
      <c r="M13" s="77">
        <v>1695751</v>
      </c>
      <c r="N13" s="77">
        <v>1746586</v>
      </c>
      <c r="O13" s="77">
        <v>1789968</v>
      </c>
      <c r="P13" s="77">
        <v>1997345</v>
      </c>
      <c r="Q13" s="77">
        <v>2028562</v>
      </c>
      <c r="R13" s="77">
        <v>2096619</v>
      </c>
      <c r="S13" s="77">
        <v>2154174</v>
      </c>
      <c r="T13" s="77">
        <v>2276661</v>
      </c>
      <c r="U13" s="77">
        <v>1908365.3751000001</v>
      </c>
      <c r="V13" s="77">
        <v>2010335.4890999999</v>
      </c>
      <c r="W13" s="77">
        <v>2086758.6438</v>
      </c>
      <c r="X13" s="77">
        <v>2169670.0181999998</v>
      </c>
      <c r="Y13" s="77">
        <v>2635347.2006500158</v>
      </c>
      <c r="Z13" s="77">
        <v>2585229.470287214</v>
      </c>
      <c r="AA13" s="77">
        <v>2617117.7124895998</v>
      </c>
      <c r="AB13" s="77">
        <v>2552865.0093565886</v>
      </c>
      <c r="AC13" s="77">
        <v>2451638.1930718268</v>
      </c>
      <c r="AD13" s="77">
        <v>2469094</v>
      </c>
      <c r="AE13" s="77">
        <v>2471348.7033206243</v>
      </c>
      <c r="AF13" s="77">
        <v>2577197.369296208</v>
      </c>
      <c r="AG13" s="85">
        <v>2746882</v>
      </c>
      <c r="AH13" s="85">
        <v>2752043</v>
      </c>
      <c r="AI13" s="85" t="s">
        <v>1168</v>
      </c>
      <c r="AJ13" s="83"/>
      <c r="AK13" s="83"/>
    </row>
    <row r="14" spans="1:37" ht="16.5" customHeight="1" x14ac:dyDescent="0.2">
      <c r="A14" s="79" t="s">
        <v>113</v>
      </c>
      <c r="B14" s="77">
        <v>272129</v>
      </c>
      <c r="C14" s="77">
        <v>314284</v>
      </c>
      <c r="D14" s="77">
        <v>377562</v>
      </c>
      <c r="E14" s="77">
        <v>462156</v>
      </c>
      <c r="F14" s="77">
        <v>528789</v>
      </c>
      <c r="G14" s="77">
        <v>593485</v>
      </c>
      <c r="H14" s="77">
        <v>626987</v>
      </c>
      <c r="I14" s="77">
        <v>631279</v>
      </c>
      <c r="J14" s="77">
        <v>644732</v>
      </c>
      <c r="K14" s="77">
        <v>654432</v>
      </c>
      <c r="L14" s="77">
        <v>670423</v>
      </c>
      <c r="M14" s="77">
        <v>685503</v>
      </c>
      <c r="N14" s="77">
        <v>694781</v>
      </c>
      <c r="O14" s="77">
        <v>697548</v>
      </c>
      <c r="P14" s="77">
        <v>715540</v>
      </c>
      <c r="Q14" s="77">
        <v>728777</v>
      </c>
      <c r="R14" s="77">
        <v>746125</v>
      </c>
      <c r="S14" s="77">
        <v>749548</v>
      </c>
      <c r="T14" s="77">
        <v>760717</v>
      </c>
      <c r="U14" s="77">
        <v>776550</v>
      </c>
      <c r="V14" s="77">
        <v>795274</v>
      </c>
      <c r="W14" s="77">
        <v>807053</v>
      </c>
      <c r="X14" s="77">
        <v>821959</v>
      </c>
      <c r="Y14" s="77">
        <v>834436</v>
      </c>
      <c r="Z14" s="77">
        <v>843308</v>
      </c>
      <c r="AA14" s="77">
        <v>841993</v>
      </c>
      <c r="AB14" s="77">
        <v>846050.82077729516</v>
      </c>
      <c r="AC14" s="77">
        <v>666064</v>
      </c>
      <c r="AD14" s="77">
        <v>764509</v>
      </c>
      <c r="AE14" s="77">
        <v>864548.89342128637</v>
      </c>
      <c r="AF14" s="77">
        <v>872027.31824194128</v>
      </c>
      <c r="AG14" s="85">
        <v>888907</v>
      </c>
      <c r="AH14" s="85">
        <v>976161</v>
      </c>
      <c r="AI14" s="86">
        <f t="shared" ref="AI14:AJ14" si="0">TREND(AD14:AH14,AD2:AH2,AI2)</f>
        <v>1007529.2743062526</v>
      </c>
      <c r="AJ14" s="86">
        <f t="shared" si="0"/>
        <v>1038863.0302522928</v>
      </c>
      <c r="AK14" s="80"/>
    </row>
    <row r="15" spans="1:37" ht="16.5" customHeight="1" x14ac:dyDescent="0.2">
      <c r="A15" s="87" t="s">
        <v>1178</v>
      </c>
      <c r="B15" s="77"/>
      <c r="C15" s="77"/>
      <c r="D15" s="77"/>
      <c r="E15" s="77"/>
      <c r="F15" s="77"/>
      <c r="G15" s="77"/>
      <c r="H15" s="77"/>
      <c r="I15" s="77"/>
      <c r="J15" s="77"/>
      <c r="K15" s="77"/>
      <c r="L15" s="77"/>
      <c r="M15" s="77"/>
      <c r="N15" s="77"/>
      <c r="O15" s="77"/>
      <c r="P15" s="77"/>
      <c r="Q15" s="77"/>
      <c r="R15" s="77"/>
      <c r="S15" s="77"/>
      <c r="T15" s="77"/>
      <c r="U15" s="77"/>
      <c r="V15" s="77"/>
      <c r="W15" s="77"/>
      <c r="X15" s="77"/>
      <c r="Y15" s="77"/>
      <c r="Z15" s="77"/>
      <c r="AA15" s="77"/>
      <c r="AB15" s="77"/>
      <c r="AC15" s="77"/>
      <c r="AD15" s="77"/>
      <c r="AE15" s="77"/>
      <c r="AF15" s="77"/>
      <c r="AG15" s="88"/>
      <c r="AH15" s="88"/>
      <c r="AI15" s="88"/>
      <c r="AJ15" s="78"/>
      <c r="AK15" s="78"/>
    </row>
    <row r="16" spans="1:37" ht="16.5" customHeight="1" x14ac:dyDescent="0.2">
      <c r="A16" s="79" t="s">
        <v>1179</v>
      </c>
      <c r="B16" s="77">
        <v>49600</v>
      </c>
      <c r="C16" s="77">
        <v>49600</v>
      </c>
      <c r="D16" s="77">
        <v>49700</v>
      </c>
      <c r="E16" s="77">
        <v>50822</v>
      </c>
      <c r="F16" s="77">
        <v>59411</v>
      </c>
      <c r="G16" s="77">
        <v>64258</v>
      </c>
      <c r="H16" s="77">
        <v>58714</v>
      </c>
      <c r="I16" s="77">
        <v>60377</v>
      </c>
      <c r="J16" s="77">
        <v>63080</v>
      </c>
      <c r="K16" s="77">
        <v>64850</v>
      </c>
      <c r="L16" s="77">
        <v>68123</v>
      </c>
      <c r="M16" s="77">
        <v>67107</v>
      </c>
      <c r="N16" s="77">
        <v>53339</v>
      </c>
      <c r="O16" s="77">
        <v>54946</v>
      </c>
      <c r="P16" s="77">
        <v>55661</v>
      </c>
      <c r="Q16" s="77">
        <v>57352</v>
      </c>
      <c r="R16" s="77">
        <v>58578</v>
      </c>
      <c r="S16" s="77">
        <v>60256</v>
      </c>
      <c r="T16" s="77">
        <v>60719</v>
      </c>
      <c r="U16" s="77">
        <v>61659</v>
      </c>
      <c r="V16" s="77">
        <v>61318</v>
      </c>
      <c r="W16" s="77">
        <v>62284</v>
      </c>
      <c r="X16" s="77">
        <v>64025</v>
      </c>
      <c r="Y16" s="77">
        <v>63359</v>
      </c>
      <c r="Z16" s="77">
        <v>63151</v>
      </c>
      <c r="AA16" s="77">
        <v>63343</v>
      </c>
      <c r="AB16" s="77">
        <v>63108</v>
      </c>
      <c r="AC16" s="77">
        <v>61127</v>
      </c>
      <c r="AD16" s="77">
        <v>61245</v>
      </c>
      <c r="AE16" s="77">
        <v>66823</v>
      </c>
      <c r="AF16" s="77">
        <v>62449</v>
      </c>
      <c r="AG16" s="77">
        <v>63573</v>
      </c>
      <c r="AH16" s="77">
        <v>63270</v>
      </c>
      <c r="AI16" s="77">
        <v>63759</v>
      </c>
      <c r="AJ16" s="83">
        <f t="shared" ref="AJ16:AJ22" si="1">TREND(AE16:AI16,$AE$2:$AI$2,$AJ$2)</f>
        <v>62382.699999999953</v>
      </c>
      <c r="AK16" s="83"/>
    </row>
    <row r="17" spans="1:37" ht="16.5" customHeight="1" x14ac:dyDescent="0.2">
      <c r="A17" s="79" t="s">
        <v>1180</v>
      </c>
      <c r="B17" s="77">
        <v>2856</v>
      </c>
      <c r="C17" s="77">
        <v>1549</v>
      </c>
      <c r="D17" s="77">
        <v>1262</v>
      </c>
      <c r="E17" s="77">
        <v>1061</v>
      </c>
      <c r="F17" s="77">
        <v>1013</v>
      </c>
      <c r="G17" s="77">
        <v>717</v>
      </c>
      <c r="H17" s="77">
        <v>910</v>
      </c>
      <c r="I17" s="77">
        <v>1092</v>
      </c>
      <c r="J17" s="77">
        <v>1055</v>
      </c>
      <c r="K17" s="77">
        <v>1001</v>
      </c>
      <c r="L17" s="77">
        <v>1051</v>
      </c>
      <c r="M17" s="77">
        <v>1048</v>
      </c>
      <c r="N17" s="77">
        <v>1097</v>
      </c>
      <c r="O17" s="77">
        <v>1062</v>
      </c>
      <c r="P17" s="77">
        <v>1061</v>
      </c>
      <c r="Q17" s="77">
        <v>1160</v>
      </c>
      <c r="R17" s="77">
        <v>1306</v>
      </c>
      <c r="S17" s="77">
        <v>1359</v>
      </c>
      <c r="T17" s="77">
        <v>1448</v>
      </c>
      <c r="U17" s="77">
        <v>1482</v>
      </c>
      <c r="V17" s="77">
        <v>1622</v>
      </c>
      <c r="W17" s="77">
        <v>1645</v>
      </c>
      <c r="X17" s="77">
        <v>1801</v>
      </c>
      <c r="Y17" s="77">
        <v>1802</v>
      </c>
      <c r="Z17" s="77">
        <v>1948</v>
      </c>
      <c r="AA17" s="77">
        <v>2059</v>
      </c>
      <c r="AB17" s="77">
        <v>2096</v>
      </c>
      <c r="AC17" s="77">
        <v>2284</v>
      </c>
      <c r="AD17" s="77">
        <v>2348</v>
      </c>
      <c r="AE17" s="77">
        <v>2842</v>
      </c>
      <c r="AF17" s="77">
        <v>2444</v>
      </c>
      <c r="AG17" s="77">
        <v>2478</v>
      </c>
      <c r="AH17" s="77">
        <v>2553</v>
      </c>
      <c r="AI17" s="77">
        <v>2557</v>
      </c>
      <c r="AJ17" s="83">
        <f t="shared" si="1"/>
        <v>2436.5</v>
      </c>
      <c r="AK17" s="83"/>
    </row>
    <row r="18" spans="1:37" ht="16.5" customHeight="1" x14ac:dyDescent="0.2">
      <c r="A18" s="89" t="s">
        <v>1181</v>
      </c>
      <c r="B18" s="77">
        <v>9010</v>
      </c>
      <c r="C18" s="77">
        <v>9115</v>
      </c>
      <c r="D18" s="77">
        <v>9338</v>
      </c>
      <c r="E18" s="77">
        <v>9608</v>
      </c>
      <c r="F18" s="77">
        <v>9641</v>
      </c>
      <c r="G18" s="77">
        <v>9326</v>
      </c>
      <c r="H18" s="77">
        <v>10567</v>
      </c>
      <c r="I18" s="77">
        <v>10478</v>
      </c>
      <c r="J18" s="77">
        <v>10391</v>
      </c>
      <c r="K18" s="77">
        <v>10282</v>
      </c>
      <c r="L18" s="77">
        <v>10282</v>
      </c>
      <c r="M18" s="77">
        <v>10166</v>
      </c>
      <c r="N18" s="77">
        <v>10243</v>
      </c>
      <c r="O18" s="77">
        <v>10228</v>
      </c>
      <c r="P18" s="77">
        <v>10296</v>
      </c>
      <c r="Q18" s="77">
        <v>10362</v>
      </c>
      <c r="R18" s="77">
        <v>10311</v>
      </c>
      <c r="S18" s="77">
        <v>10718</v>
      </c>
      <c r="T18" s="77">
        <v>10849</v>
      </c>
      <c r="U18" s="77">
        <v>10754</v>
      </c>
      <c r="V18" s="77">
        <v>10858</v>
      </c>
      <c r="W18" s="77">
        <v>11110</v>
      </c>
      <c r="X18" s="77">
        <v>11052</v>
      </c>
      <c r="Y18" s="77">
        <v>11222</v>
      </c>
      <c r="Z18" s="77">
        <v>11377</v>
      </c>
      <c r="AA18" s="77">
        <v>11461</v>
      </c>
      <c r="AB18" s="77">
        <v>11510</v>
      </c>
      <c r="AC18" s="77">
        <v>14942</v>
      </c>
      <c r="AD18" s="77">
        <v>10469</v>
      </c>
      <c r="AE18" s="77">
        <v>10380</v>
      </c>
      <c r="AF18" s="77">
        <v>10551</v>
      </c>
      <c r="AG18" s="77">
        <v>10737</v>
      </c>
      <c r="AH18" s="77">
        <v>10775</v>
      </c>
      <c r="AI18" s="77">
        <v>10705</v>
      </c>
      <c r="AJ18" s="83">
        <f t="shared" si="1"/>
        <v>10891.800000000017</v>
      </c>
      <c r="AK18" s="83"/>
    </row>
    <row r="19" spans="1:37" ht="16.5" customHeight="1" x14ac:dyDescent="0.2">
      <c r="A19" s="79" t="s">
        <v>1182</v>
      </c>
      <c r="B19" s="77">
        <v>3826</v>
      </c>
      <c r="C19" s="77">
        <v>1453</v>
      </c>
      <c r="D19" s="77">
        <v>1050</v>
      </c>
      <c r="E19" s="77">
        <v>703</v>
      </c>
      <c r="F19" s="77">
        <v>823</v>
      </c>
      <c r="G19" s="77">
        <v>676</v>
      </c>
      <c r="H19" s="77">
        <v>610</v>
      </c>
      <c r="I19" s="77">
        <v>551</v>
      </c>
      <c r="J19" s="77">
        <v>665</v>
      </c>
      <c r="K19" s="77">
        <v>635</v>
      </c>
      <c r="L19" s="77">
        <v>643</v>
      </c>
      <c r="M19" s="77">
        <v>695</v>
      </c>
      <c r="N19" s="77">
        <v>675</v>
      </c>
      <c r="O19" s="77">
        <v>655</v>
      </c>
      <c r="P19" s="77">
        <v>646</v>
      </c>
      <c r="Q19" s="77">
        <v>657</v>
      </c>
      <c r="R19" s="77">
        <v>652</v>
      </c>
      <c r="S19" s="77">
        <v>600</v>
      </c>
      <c r="T19" s="77">
        <v>616</v>
      </c>
      <c r="U19" s="77">
        <v>672</v>
      </c>
      <c r="V19" s="77">
        <v>597</v>
      </c>
      <c r="W19" s="77">
        <v>615</v>
      </c>
      <c r="X19" s="77">
        <v>609</v>
      </c>
      <c r="Y19" s="77">
        <v>559</v>
      </c>
      <c r="Z19" s="77">
        <v>590</v>
      </c>
      <c r="AA19" s="77">
        <v>531</v>
      </c>
      <c r="AB19" s="77">
        <v>571</v>
      </c>
      <c r="AC19" s="77">
        <v>479</v>
      </c>
      <c r="AD19" s="77">
        <v>570</v>
      </c>
      <c r="AE19" s="77">
        <v>560</v>
      </c>
      <c r="AF19" s="77">
        <v>537</v>
      </c>
      <c r="AG19" s="77">
        <v>611</v>
      </c>
      <c r="AH19" s="77">
        <v>601</v>
      </c>
      <c r="AI19" s="77">
        <v>539</v>
      </c>
      <c r="AJ19" s="83">
        <f t="shared" si="1"/>
        <v>576.20000000000027</v>
      </c>
      <c r="AK19" s="83"/>
    </row>
    <row r="20" spans="1:37" ht="16.5" customHeight="1" x14ac:dyDescent="0.2">
      <c r="A20" s="79" t="s">
        <v>1183</v>
      </c>
      <c r="B20" s="77" t="s">
        <v>1168</v>
      </c>
      <c r="C20" s="77" t="s">
        <v>1168</v>
      </c>
      <c r="D20" s="77" t="s">
        <v>1168</v>
      </c>
      <c r="E20" s="77" t="s">
        <v>1168</v>
      </c>
      <c r="F20" s="77">
        <v>4500</v>
      </c>
      <c r="G20" s="77">
        <v>4035</v>
      </c>
      <c r="H20" s="77">
        <v>4982</v>
      </c>
      <c r="I20" s="77">
        <v>5126</v>
      </c>
      <c r="J20" s="77">
        <v>5164</v>
      </c>
      <c r="K20" s="77">
        <v>4982</v>
      </c>
      <c r="L20" s="77">
        <v>5126</v>
      </c>
      <c r="M20" s="77">
        <v>5164</v>
      </c>
      <c r="N20" s="77">
        <v>5239</v>
      </c>
      <c r="O20" s="77">
        <v>5425</v>
      </c>
      <c r="P20" s="77">
        <v>5535</v>
      </c>
      <c r="Q20" s="77">
        <v>5549</v>
      </c>
      <c r="R20" s="77">
        <v>5497</v>
      </c>
      <c r="S20" s="77">
        <v>5528</v>
      </c>
      <c r="T20" s="77">
        <v>5631</v>
      </c>
      <c r="U20" s="77">
        <v>5866</v>
      </c>
      <c r="V20" s="77">
        <v>6130</v>
      </c>
      <c r="W20" s="77">
        <v>6290</v>
      </c>
      <c r="X20" s="77">
        <v>6300</v>
      </c>
      <c r="Y20" s="77">
        <v>6279</v>
      </c>
      <c r="Z20" s="77">
        <v>6494</v>
      </c>
      <c r="AA20" s="77">
        <v>6722</v>
      </c>
      <c r="AB20" s="77">
        <v>6768</v>
      </c>
      <c r="AC20" s="77">
        <v>6971</v>
      </c>
      <c r="AD20" s="77">
        <v>6938</v>
      </c>
      <c r="AE20" s="77">
        <v>7150</v>
      </c>
      <c r="AF20" s="77">
        <v>7177</v>
      </c>
      <c r="AG20" s="77">
        <v>7151</v>
      </c>
      <c r="AH20" s="77">
        <v>7190</v>
      </c>
      <c r="AI20" s="77">
        <v>7129</v>
      </c>
      <c r="AJ20" s="83">
        <f t="shared" si="1"/>
        <v>7150.7</v>
      </c>
      <c r="AK20" s="83"/>
    </row>
    <row r="21" spans="1:37" ht="16.5" customHeight="1" x14ac:dyDescent="0.2">
      <c r="A21" s="79" t="s">
        <v>1184</v>
      </c>
      <c r="B21" s="77" t="s">
        <v>1168</v>
      </c>
      <c r="C21" s="77" t="s">
        <v>1168</v>
      </c>
      <c r="D21" s="77" t="s">
        <v>1168</v>
      </c>
      <c r="E21" s="77" t="s">
        <v>1168</v>
      </c>
      <c r="F21" s="77" t="s">
        <v>1168</v>
      </c>
      <c r="G21" s="77">
        <v>14490</v>
      </c>
      <c r="H21" s="77">
        <v>16471</v>
      </c>
      <c r="I21" s="77">
        <v>17879</v>
      </c>
      <c r="J21" s="77">
        <v>20695</v>
      </c>
      <c r="K21" s="77">
        <v>23527</v>
      </c>
      <c r="L21" s="77">
        <v>28729</v>
      </c>
      <c r="M21" s="77">
        <v>29352</v>
      </c>
      <c r="N21" s="77">
        <v>17738</v>
      </c>
      <c r="O21" s="77">
        <v>19820</v>
      </c>
      <c r="P21" s="77">
        <v>20042</v>
      </c>
      <c r="Q21" s="77">
        <v>20761</v>
      </c>
      <c r="R21" s="77">
        <v>22087</v>
      </c>
      <c r="S21" s="77">
        <v>24668</v>
      </c>
      <c r="T21" s="77">
        <v>24808</v>
      </c>
      <c r="U21" s="77">
        <v>25873</v>
      </c>
      <c r="V21" s="77">
        <v>26333</v>
      </c>
      <c r="W21" s="77">
        <v>28346</v>
      </c>
      <c r="X21" s="77">
        <v>29406</v>
      </c>
      <c r="Y21" s="77">
        <v>29433</v>
      </c>
      <c r="Z21" s="77">
        <v>30773</v>
      </c>
      <c r="AA21" s="77">
        <v>34235</v>
      </c>
      <c r="AB21" s="77">
        <v>33555</v>
      </c>
      <c r="AC21" s="77">
        <v>31846</v>
      </c>
      <c r="AD21" s="77">
        <v>31929</v>
      </c>
      <c r="AE21" s="77">
        <v>31433</v>
      </c>
      <c r="AF21" s="77">
        <v>31359</v>
      </c>
      <c r="AG21" s="77">
        <v>32490</v>
      </c>
      <c r="AH21" s="77">
        <v>33225</v>
      </c>
      <c r="AI21" s="77">
        <v>33012</v>
      </c>
      <c r="AJ21" s="83">
        <f t="shared" si="1"/>
        <v>33811</v>
      </c>
      <c r="AK21" s="83"/>
    </row>
    <row r="22" spans="1:37" ht="16.5" customHeight="1" x14ac:dyDescent="0.2">
      <c r="A22" s="79" t="s">
        <v>1185</v>
      </c>
      <c r="B22" s="77" t="s">
        <v>1168</v>
      </c>
      <c r="C22" s="77" t="s">
        <v>1168</v>
      </c>
      <c r="D22" s="77" t="s">
        <v>1168</v>
      </c>
      <c r="E22" s="77" t="s">
        <v>1168</v>
      </c>
      <c r="F22" s="77" t="s">
        <v>1168</v>
      </c>
      <c r="G22" s="77">
        <v>867</v>
      </c>
      <c r="H22" s="77">
        <v>1176</v>
      </c>
      <c r="I22" s="77">
        <v>1568</v>
      </c>
      <c r="J22" s="77">
        <v>1821</v>
      </c>
      <c r="K22" s="77">
        <v>2268</v>
      </c>
      <c r="L22" s="77">
        <v>2462</v>
      </c>
      <c r="M22" s="77">
        <v>2809</v>
      </c>
      <c r="N22" s="77">
        <v>5344</v>
      </c>
      <c r="O22" s="77">
        <v>6245</v>
      </c>
      <c r="P22" s="77">
        <v>7105</v>
      </c>
      <c r="Q22" s="77">
        <v>7467</v>
      </c>
      <c r="R22" s="77">
        <v>7705</v>
      </c>
      <c r="S22" s="77">
        <v>8137</v>
      </c>
      <c r="T22" s="77">
        <v>8033</v>
      </c>
      <c r="U22" s="77">
        <v>8626</v>
      </c>
      <c r="V22" s="77">
        <v>10544</v>
      </c>
      <c r="W22" s="77">
        <v>11622</v>
      </c>
      <c r="X22" s="77">
        <v>12454</v>
      </c>
      <c r="Y22" s="77">
        <v>12953</v>
      </c>
      <c r="Z22" s="77">
        <v>14953</v>
      </c>
      <c r="AA22" s="77">
        <v>17766</v>
      </c>
      <c r="AB22" s="77">
        <v>18066</v>
      </c>
      <c r="AC22" s="77">
        <v>18965</v>
      </c>
      <c r="AD22" s="77">
        <v>16996</v>
      </c>
      <c r="AE22" s="77">
        <v>17793</v>
      </c>
      <c r="AF22" s="77">
        <v>17994</v>
      </c>
      <c r="AG22" s="77">
        <v>18601</v>
      </c>
      <c r="AH22" s="77">
        <v>17042</v>
      </c>
      <c r="AI22" s="77">
        <v>18104</v>
      </c>
      <c r="AJ22" s="83">
        <f t="shared" si="1"/>
        <v>17807.800000000003</v>
      </c>
      <c r="AK22" s="83"/>
    </row>
    <row r="23" spans="1:37" ht="16.5" customHeight="1" x14ac:dyDescent="0.2">
      <c r="A23" s="76" t="s">
        <v>1186</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7"/>
      <c r="AC23" s="77"/>
      <c r="AD23" s="77"/>
      <c r="AE23" s="77"/>
      <c r="AF23" s="77"/>
      <c r="AG23" s="88"/>
      <c r="AH23" s="88"/>
      <c r="AI23" s="88"/>
      <c r="AJ23" s="83"/>
      <c r="AK23" s="78"/>
    </row>
    <row r="24" spans="1:37" ht="16.5" customHeight="1" x14ac:dyDescent="0.2">
      <c r="A24" s="79" t="s">
        <v>1187</v>
      </c>
      <c r="B24" s="77">
        <v>1658292</v>
      </c>
      <c r="C24" s="77">
        <v>1478005</v>
      </c>
      <c r="D24" s="77">
        <v>1423921</v>
      </c>
      <c r="E24" s="77">
        <v>1359459</v>
      </c>
      <c r="F24" s="77">
        <v>1168114</v>
      </c>
      <c r="G24" s="77">
        <v>867070</v>
      </c>
      <c r="H24" s="77">
        <v>658902</v>
      </c>
      <c r="I24" s="77">
        <v>633489</v>
      </c>
      <c r="J24" s="77">
        <v>605189</v>
      </c>
      <c r="K24" s="77">
        <v>587033</v>
      </c>
      <c r="L24" s="77">
        <v>590930</v>
      </c>
      <c r="M24" s="77">
        <v>583486</v>
      </c>
      <c r="N24" s="77">
        <v>570865</v>
      </c>
      <c r="O24" s="77">
        <v>568493</v>
      </c>
      <c r="P24" s="77">
        <v>575604</v>
      </c>
      <c r="Q24" s="77">
        <v>579140</v>
      </c>
      <c r="R24" s="77">
        <v>560154</v>
      </c>
      <c r="S24" s="77">
        <v>499860</v>
      </c>
      <c r="T24" s="77">
        <v>477751</v>
      </c>
      <c r="U24" s="77">
        <v>467063</v>
      </c>
      <c r="V24" s="77">
        <v>473773</v>
      </c>
      <c r="W24" s="77">
        <v>474839</v>
      </c>
      <c r="X24" s="77">
        <v>475415</v>
      </c>
      <c r="Y24" s="77">
        <v>460172</v>
      </c>
      <c r="Z24" s="77">
        <v>450297</v>
      </c>
      <c r="AA24" s="77">
        <v>416180</v>
      </c>
      <c r="AB24" s="77">
        <v>397730</v>
      </c>
      <c r="AC24" s="77">
        <v>380699</v>
      </c>
      <c r="AD24" s="77">
        <v>380641</v>
      </c>
      <c r="AE24" s="77">
        <v>373838</v>
      </c>
      <c r="AF24" s="77">
        <v>371642</v>
      </c>
      <c r="AG24" s="80">
        <v>330996</v>
      </c>
      <c r="AH24" s="77">
        <v>315227</v>
      </c>
      <c r="AI24" s="77">
        <v>306268</v>
      </c>
      <c r="AJ24" s="83">
        <f t="shared" ref="AJ24:AJ25" si="2">TREND(AE24:AI24,$AE$2:$AI$2,$AJ$2)</f>
        <v>282127.70000000298</v>
      </c>
      <c r="AK24" s="83"/>
    </row>
    <row r="25" spans="1:37" ht="16.5" customHeight="1" x14ac:dyDescent="0.2">
      <c r="A25" s="79" t="s">
        <v>1188</v>
      </c>
      <c r="B25" s="77">
        <v>29031</v>
      </c>
      <c r="C25" s="77">
        <v>27780</v>
      </c>
      <c r="D25" s="77">
        <v>27077</v>
      </c>
      <c r="E25" s="77">
        <v>27846</v>
      </c>
      <c r="F25" s="77">
        <v>28094</v>
      </c>
      <c r="G25" s="77">
        <v>22548</v>
      </c>
      <c r="H25" s="77">
        <v>18835</v>
      </c>
      <c r="I25" s="77">
        <v>18344</v>
      </c>
      <c r="J25" s="77">
        <v>18004</v>
      </c>
      <c r="K25" s="77">
        <v>18161</v>
      </c>
      <c r="L25" s="77">
        <v>18505</v>
      </c>
      <c r="M25" s="77">
        <v>18812</v>
      </c>
      <c r="N25" s="77">
        <v>19269</v>
      </c>
      <c r="O25" s="77">
        <v>19684</v>
      </c>
      <c r="P25" s="77">
        <v>20261</v>
      </c>
      <c r="Q25" s="77">
        <v>20256</v>
      </c>
      <c r="R25" s="77">
        <v>20028</v>
      </c>
      <c r="S25" s="77">
        <v>19745</v>
      </c>
      <c r="T25" s="77">
        <v>20506</v>
      </c>
      <c r="U25" s="77">
        <v>20774</v>
      </c>
      <c r="V25" s="77">
        <v>22015</v>
      </c>
      <c r="W25" s="77">
        <v>22779</v>
      </c>
      <c r="X25" s="77">
        <v>23732</v>
      </c>
      <c r="Y25" s="77">
        <v>24143</v>
      </c>
      <c r="Z25" s="77">
        <v>24003</v>
      </c>
      <c r="AA25" s="77">
        <v>24045</v>
      </c>
      <c r="AB25" s="77">
        <v>23893</v>
      </c>
      <c r="AC25" s="77">
        <v>24250</v>
      </c>
      <c r="AD25" s="77">
        <v>24707</v>
      </c>
      <c r="AE25" s="77">
        <v>25033</v>
      </c>
      <c r="AF25" s="77">
        <v>25916</v>
      </c>
      <c r="AG25" s="80">
        <v>26574</v>
      </c>
      <c r="AH25" s="77">
        <v>26716</v>
      </c>
      <c r="AI25" s="77">
        <v>26547</v>
      </c>
      <c r="AJ25" s="83">
        <f t="shared" si="2"/>
        <v>27305.599999999977</v>
      </c>
      <c r="AK25" s="83"/>
    </row>
    <row r="26" spans="1:37" ht="16.5" customHeight="1" x14ac:dyDescent="0.2">
      <c r="A26" s="79" t="s">
        <v>1189</v>
      </c>
      <c r="B26" s="77">
        <v>32104</v>
      </c>
      <c r="C26" s="77">
        <v>37164</v>
      </c>
      <c r="D26" s="77">
        <v>29787</v>
      </c>
      <c r="E26" s="77">
        <v>29407</v>
      </c>
      <c r="F26" s="77">
        <v>102161</v>
      </c>
      <c r="G26" s="77">
        <v>111086</v>
      </c>
      <c r="H26" s="77">
        <v>103527</v>
      </c>
      <c r="I26" s="77">
        <v>97492</v>
      </c>
      <c r="J26" s="77">
        <v>90064</v>
      </c>
      <c r="K26" s="77">
        <v>88513</v>
      </c>
      <c r="L26" s="77">
        <v>86120</v>
      </c>
      <c r="M26" s="77">
        <v>84724</v>
      </c>
      <c r="N26" s="77">
        <v>87364</v>
      </c>
      <c r="O26" s="77">
        <v>116108</v>
      </c>
      <c r="P26" s="77">
        <v>121659</v>
      </c>
      <c r="Q26" s="77">
        <v>126762</v>
      </c>
      <c r="R26" s="77">
        <v>132448</v>
      </c>
      <c r="S26" s="77">
        <v>125470</v>
      </c>
      <c r="T26" s="77">
        <v>130590</v>
      </c>
      <c r="U26" s="77">
        <v>124580</v>
      </c>
      <c r="V26" s="77">
        <v>120169</v>
      </c>
      <c r="W26" s="77">
        <v>120195</v>
      </c>
      <c r="X26" s="77">
        <v>120688</v>
      </c>
      <c r="Y26" s="77">
        <v>120463</v>
      </c>
      <c r="Z26" s="77">
        <v>109487</v>
      </c>
      <c r="AA26" s="77">
        <v>108233</v>
      </c>
      <c r="AB26" s="77">
        <v>101755</v>
      </c>
      <c r="AC26" s="77">
        <v>95972</v>
      </c>
      <c r="AD26" s="77">
        <v>92742</v>
      </c>
      <c r="AE26" s="77">
        <v>88122</v>
      </c>
      <c r="AF26" s="77" t="s">
        <v>1171</v>
      </c>
      <c r="AG26" s="77" t="s">
        <v>1171</v>
      </c>
      <c r="AH26" s="77" t="s">
        <v>1171</v>
      </c>
      <c r="AI26" s="77" t="s">
        <v>1171</v>
      </c>
      <c r="AJ26" s="83"/>
      <c r="AK26" s="83"/>
    </row>
    <row r="27" spans="1:37" ht="16.5" customHeight="1" x14ac:dyDescent="0.2">
      <c r="A27" s="79" t="s">
        <v>1190</v>
      </c>
      <c r="B27" s="77">
        <v>275090</v>
      </c>
      <c r="C27" s="77">
        <v>285493</v>
      </c>
      <c r="D27" s="77">
        <v>330473</v>
      </c>
      <c r="E27" s="77">
        <v>334739</v>
      </c>
      <c r="F27" s="77">
        <v>440552</v>
      </c>
      <c r="G27" s="77">
        <v>443530</v>
      </c>
      <c r="H27" s="77">
        <v>449832</v>
      </c>
      <c r="I27" s="77">
        <v>458679</v>
      </c>
      <c r="J27" s="77">
        <v>477883</v>
      </c>
      <c r="K27" s="77">
        <v>497586</v>
      </c>
      <c r="L27" s="77">
        <v>515362</v>
      </c>
      <c r="M27" s="77">
        <v>550717</v>
      </c>
      <c r="N27" s="77">
        <v>582344</v>
      </c>
      <c r="O27" s="77">
        <v>585818</v>
      </c>
      <c r="P27" s="77">
        <v>618404</v>
      </c>
      <c r="Q27" s="77">
        <v>662934</v>
      </c>
      <c r="R27" s="77">
        <v>688194</v>
      </c>
      <c r="S27" s="77">
        <v>688806</v>
      </c>
      <c r="T27" s="77">
        <v>691329</v>
      </c>
      <c r="U27" s="77">
        <v>687337</v>
      </c>
      <c r="V27" s="77">
        <v>693978</v>
      </c>
      <c r="W27" s="77">
        <v>717211</v>
      </c>
      <c r="X27" s="77">
        <v>750404</v>
      </c>
      <c r="Y27" s="77">
        <v>805074</v>
      </c>
      <c r="Z27" s="77">
        <v>833188</v>
      </c>
      <c r="AA27" s="77">
        <v>839020</v>
      </c>
      <c r="AB27" s="77">
        <v>809544</v>
      </c>
      <c r="AC27" s="77">
        <v>806554</v>
      </c>
      <c r="AD27" s="77">
        <v>842802</v>
      </c>
      <c r="AE27" s="77">
        <v>873679</v>
      </c>
      <c r="AF27" s="77" t="s">
        <v>1171</v>
      </c>
      <c r="AG27" s="77" t="s">
        <v>1171</v>
      </c>
      <c r="AH27" s="77" t="s">
        <v>1171</v>
      </c>
      <c r="AI27" s="77" t="s">
        <v>1171</v>
      </c>
      <c r="AJ27" s="83"/>
      <c r="AK27" s="83"/>
    </row>
    <row r="28" spans="1:37" ht="16.5" customHeight="1" x14ac:dyDescent="0.2">
      <c r="A28" s="79" t="s">
        <v>1191</v>
      </c>
      <c r="B28" s="77" t="s">
        <v>1168</v>
      </c>
      <c r="C28" s="77" t="s">
        <v>1168</v>
      </c>
      <c r="D28" s="77" t="s">
        <v>1168</v>
      </c>
      <c r="E28" s="77">
        <v>1913</v>
      </c>
      <c r="F28" s="77">
        <v>2128</v>
      </c>
      <c r="G28" s="77">
        <v>1854</v>
      </c>
      <c r="H28" s="77">
        <v>1863</v>
      </c>
      <c r="I28" s="77">
        <v>1786</v>
      </c>
      <c r="J28" s="77">
        <v>1796</v>
      </c>
      <c r="K28" s="77">
        <v>1853</v>
      </c>
      <c r="L28" s="77">
        <v>1852</v>
      </c>
      <c r="M28" s="77">
        <v>1722</v>
      </c>
      <c r="N28" s="77">
        <v>1730</v>
      </c>
      <c r="O28" s="77">
        <v>1728</v>
      </c>
      <c r="P28" s="77">
        <v>1962</v>
      </c>
      <c r="Q28" s="77">
        <v>1992</v>
      </c>
      <c r="R28" s="77">
        <v>1894</v>
      </c>
      <c r="S28" s="77">
        <v>2084</v>
      </c>
      <c r="T28" s="77">
        <v>2896</v>
      </c>
      <c r="U28" s="77">
        <v>1623</v>
      </c>
      <c r="V28" s="77">
        <v>1211</v>
      </c>
      <c r="W28" s="77">
        <v>1186</v>
      </c>
      <c r="X28" s="77">
        <v>1191</v>
      </c>
      <c r="Y28" s="77">
        <v>1164</v>
      </c>
      <c r="Z28" s="77">
        <v>1177</v>
      </c>
      <c r="AA28" s="77">
        <v>1214</v>
      </c>
      <c r="AB28" s="77">
        <v>1274</v>
      </c>
      <c r="AC28" s="77">
        <v>1301</v>
      </c>
      <c r="AD28" s="77">
        <v>2090</v>
      </c>
      <c r="AE28" s="77">
        <v>1447</v>
      </c>
      <c r="AF28" s="77">
        <v>1419</v>
      </c>
      <c r="AG28" s="77">
        <v>1428</v>
      </c>
      <c r="AH28" s="77">
        <v>1402</v>
      </c>
      <c r="AI28" s="77">
        <v>1405</v>
      </c>
      <c r="AJ28" s="83">
        <f t="shared" ref="AJ28:AJ29" si="3">TREND(AE28:AI28,$AE$2:$AI$2,$AJ$2)</f>
        <v>1389.9000000000015</v>
      </c>
      <c r="AK28" s="83"/>
    </row>
    <row r="29" spans="1:37" ht="16.5" customHeight="1" x14ac:dyDescent="0.2">
      <c r="A29" s="79" t="s">
        <v>1192</v>
      </c>
      <c r="B29" s="77" t="s">
        <v>1168</v>
      </c>
      <c r="C29" s="77" t="s">
        <v>1168</v>
      </c>
      <c r="D29" s="77" t="s">
        <v>1168</v>
      </c>
      <c r="E29" s="77">
        <v>355</v>
      </c>
      <c r="F29" s="77">
        <v>419</v>
      </c>
      <c r="G29" s="77">
        <v>291</v>
      </c>
      <c r="H29" s="77">
        <v>318</v>
      </c>
      <c r="I29" s="77">
        <v>316</v>
      </c>
      <c r="J29" s="77">
        <v>336</v>
      </c>
      <c r="K29" s="77">
        <v>360</v>
      </c>
      <c r="L29" s="77">
        <v>338</v>
      </c>
      <c r="M29" s="77">
        <v>313</v>
      </c>
      <c r="N29" s="77">
        <v>299</v>
      </c>
      <c r="O29" s="77">
        <v>332</v>
      </c>
      <c r="P29" s="77">
        <v>345</v>
      </c>
      <c r="Q29" s="77">
        <v>329</v>
      </c>
      <c r="R29" s="77">
        <v>378</v>
      </c>
      <c r="S29" s="77">
        <v>401</v>
      </c>
      <c r="T29" s="77">
        <v>372</v>
      </c>
      <c r="U29" s="77">
        <v>442</v>
      </c>
      <c r="V29" s="77">
        <v>276</v>
      </c>
      <c r="W29" s="77">
        <v>258</v>
      </c>
      <c r="X29" s="77">
        <v>319</v>
      </c>
      <c r="Y29" s="77">
        <v>270</v>
      </c>
      <c r="Z29" s="77">
        <v>278</v>
      </c>
      <c r="AA29" s="77">
        <v>274</v>
      </c>
      <c r="AB29" s="77">
        <v>282</v>
      </c>
      <c r="AC29" s="77">
        <v>287</v>
      </c>
      <c r="AD29" s="77">
        <v>485</v>
      </c>
      <c r="AE29" s="77">
        <v>418</v>
      </c>
      <c r="AF29" s="77">
        <v>428</v>
      </c>
      <c r="AG29" s="77">
        <v>423</v>
      </c>
      <c r="AH29" s="77">
        <v>434</v>
      </c>
      <c r="AI29" s="77">
        <v>419</v>
      </c>
      <c r="AJ29" s="83">
        <f t="shared" si="3"/>
        <v>426.80000000000018</v>
      </c>
      <c r="AK29" s="83"/>
    </row>
    <row r="30" spans="1:37" ht="16.5" customHeight="1" x14ac:dyDescent="0.2">
      <c r="A30" s="76" t="s">
        <v>1193</v>
      </c>
      <c r="B30" s="77"/>
      <c r="C30" s="77"/>
      <c r="D30" s="77"/>
      <c r="E30" s="77"/>
      <c r="F30" s="77"/>
      <c r="G30" s="77"/>
      <c r="H30" s="77"/>
      <c r="I30" s="77"/>
      <c r="J30" s="77"/>
      <c r="K30" s="77"/>
      <c r="L30" s="77"/>
      <c r="M30" s="77"/>
      <c r="N30" s="77"/>
      <c r="O30" s="77"/>
      <c r="P30" s="77"/>
      <c r="Q30" s="77"/>
      <c r="R30" s="77"/>
      <c r="S30" s="77"/>
      <c r="T30" s="77"/>
      <c r="U30" s="77"/>
      <c r="V30" s="77"/>
      <c r="W30" s="77"/>
      <c r="X30" s="77"/>
      <c r="Y30" s="77"/>
      <c r="Z30" s="77"/>
      <c r="AA30" s="77"/>
      <c r="AB30" s="77"/>
      <c r="AC30" s="77"/>
      <c r="AD30" s="77"/>
      <c r="AE30" s="77"/>
      <c r="AF30" s="77"/>
      <c r="AG30" s="88"/>
      <c r="AH30" s="88"/>
      <c r="AI30" s="88"/>
      <c r="AJ30" s="83"/>
      <c r="AK30" s="78"/>
    </row>
    <row r="31" spans="1:37" ht="16.5" customHeight="1" x14ac:dyDescent="0.2">
      <c r="A31" s="79" t="s">
        <v>1194</v>
      </c>
      <c r="B31" s="77">
        <v>16777</v>
      </c>
      <c r="C31" s="77">
        <v>17033</v>
      </c>
      <c r="D31" s="77">
        <v>19377</v>
      </c>
      <c r="E31" s="77">
        <v>25515</v>
      </c>
      <c r="F31" s="77">
        <v>31662</v>
      </c>
      <c r="G31" s="77">
        <v>33597</v>
      </c>
      <c r="H31" s="77">
        <v>33597</v>
      </c>
      <c r="I31" s="77" t="s">
        <v>1168</v>
      </c>
      <c r="J31" s="77">
        <v>30899</v>
      </c>
      <c r="K31" s="77">
        <v>30785</v>
      </c>
      <c r="L31" s="77">
        <v>30730</v>
      </c>
      <c r="M31" s="77">
        <v>31209</v>
      </c>
      <c r="N31" s="77">
        <v>32811</v>
      </c>
      <c r="O31" s="77">
        <v>33011</v>
      </c>
      <c r="P31" s="77">
        <v>33509</v>
      </c>
      <c r="Q31" s="77">
        <v>33387</v>
      </c>
      <c r="R31" s="77">
        <v>31360</v>
      </c>
      <c r="S31" s="77">
        <v>33042</v>
      </c>
      <c r="T31" s="77">
        <v>32381</v>
      </c>
      <c r="U31" s="77">
        <v>31335</v>
      </c>
      <c r="V31" s="77">
        <v>31296</v>
      </c>
      <c r="W31" s="77">
        <v>33152</v>
      </c>
      <c r="X31" s="77">
        <v>32211</v>
      </c>
      <c r="Y31" s="77">
        <v>31654</v>
      </c>
      <c r="Z31" s="77">
        <v>31238</v>
      </c>
      <c r="AA31" s="77">
        <v>31008</v>
      </c>
      <c r="AB31" s="77">
        <v>31412</v>
      </c>
      <c r="AC31" s="77">
        <v>31498</v>
      </c>
      <c r="AD31" s="77">
        <v>31550</v>
      </c>
      <c r="AE31" s="77">
        <v>31081</v>
      </c>
      <c r="AF31" s="77">
        <v>31043</v>
      </c>
      <c r="AG31" s="77">
        <v>31748</v>
      </c>
      <c r="AH31" s="90">
        <v>33212</v>
      </c>
      <c r="AI31" s="77">
        <v>33128</v>
      </c>
      <c r="AJ31" s="83">
        <f t="shared" ref="AJ31:AJ34" si="4">TREND(AE31:AI31,$AE$2:$AI$2,$AJ$2)</f>
        <v>33921.299999999814</v>
      </c>
      <c r="AK31" s="83"/>
    </row>
    <row r="32" spans="1:37" ht="16.5" customHeight="1" x14ac:dyDescent="0.2">
      <c r="A32" s="79" t="s">
        <v>1195</v>
      </c>
      <c r="B32" s="77">
        <v>6543</v>
      </c>
      <c r="C32" s="77">
        <v>6083</v>
      </c>
      <c r="D32" s="77">
        <v>6455</v>
      </c>
      <c r="E32" s="77">
        <v>6144</v>
      </c>
      <c r="F32" s="77">
        <v>7126</v>
      </c>
      <c r="G32" s="77">
        <v>7522</v>
      </c>
      <c r="H32" s="77">
        <v>8236</v>
      </c>
      <c r="I32" s="77" t="s">
        <v>1168</v>
      </c>
      <c r="J32" s="77">
        <v>8311</v>
      </c>
      <c r="K32" s="77">
        <v>8323</v>
      </c>
      <c r="L32" s="77">
        <v>8334</v>
      </c>
      <c r="M32" s="77">
        <v>8281</v>
      </c>
      <c r="N32" s="77">
        <v>8293</v>
      </c>
      <c r="O32" s="77">
        <v>8408</v>
      </c>
      <c r="P32" s="77">
        <v>8523</v>
      </c>
      <c r="Q32" s="77">
        <v>8379</v>
      </c>
      <c r="R32" s="77">
        <v>8202</v>
      </c>
      <c r="S32" s="77">
        <v>8546</v>
      </c>
      <c r="T32" s="77">
        <v>8621</v>
      </c>
      <c r="U32" s="77">
        <v>8648</v>
      </c>
      <c r="V32" s="77">
        <v>8994</v>
      </c>
      <c r="W32" s="77">
        <v>8976</v>
      </c>
      <c r="X32" s="77">
        <v>8898</v>
      </c>
      <c r="Y32" s="77">
        <v>9041</v>
      </c>
      <c r="Z32" s="77">
        <v>9063</v>
      </c>
      <c r="AA32" s="77">
        <v>9101</v>
      </c>
      <c r="AB32" s="77">
        <v>9100</v>
      </c>
      <c r="AC32" s="77">
        <v>9023</v>
      </c>
      <c r="AD32" s="77">
        <v>8980</v>
      </c>
      <c r="AE32" s="77">
        <v>8918</v>
      </c>
      <c r="AF32" s="77">
        <v>9039</v>
      </c>
      <c r="AG32" s="77">
        <v>9043</v>
      </c>
      <c r="AH32" s="90">
        <v>9462</v>
      </c>
      <c r="AI32" s="77">
        <v>9411</v>
      </c>
      <c r="AJ32" s="83">
        <f t="shared" si="4"/>
        <v>9597.2999999999884</v>
      </c>
      <c r="AK32" s="83"/>
    </row>
    <row r="33" spans="1:37" ht="32.25" customHeight="1" x14ac:dyDescent="0.2">
      <c r="A33" s="91" t="s">
        <v>1196</v>
      </c>
      <c r="B33" s="77">
        <v>2926</v>
      </c>
      <c r="C33" s="77">
        <v>2376</v>
      </c>
      <c r="D33" s="77">
        <v>1579</v>
      </c>
      <c r="E33" s="77">
        <v>857</v>
      </c>
      <c r="F33" s="77">
        <v>864</v>
      </c>
      <c r="G33" s="77">
        <v>737</v>
      </c>
      <c r="H33" s="77">
        <v>636</v>
      </c>
      <c r="I33" s="77">
        <v>619</v>
      </c>
      <c r="J33" s="77">
        <v>603</v>
      </c>
      <c r="K33" s="77">
        <v>565</v>
      </c>
      <c r="L33" s="77">
        <v>543</v>
      </c>
      <c r="M33" s="77">
        <v>509</v>
      </c>
      <c r="N33" s="77">
        <v>495</v>
      </c>
      <c r="O33" s="77">
        <v>477</v>
      </c>
      <c r="P33" s="77">
        <v>470</v>
      </c>
      <c r="Q33" s="77">
        <v>463</v>
      </c>
      <c r="R33" s="77">
        <v>282</v>
      </c>
      <c r="S33" s="77">
        <v>274</v>
      </c>
      <c r="T33" s="77">
        <v>261</v>
      </c>
      <c r="U33" s="77">
        <v>246</v>
      </c>
      <c r="V33" s="77">
        <v>233</v>
      </c>
      <c r="W33" s="77">
        <v>231</v>
      </c>
      <c r="X33" s="77">
        <v>229</v>
      </c>
      <c r="Y33" s="77">
        <v>220</v>
      </c>
      <c r="Z33" s="77">
        <v>225</v>
      </c>
      <c r="AA33" s="77">
        <v>217</v>
      </c>
      <c r="AB33" s="77">
        <v>221</v>
      </c>
      <c r="AC33" s="77">
        <v>214</v>
      </c>
      <c r="AD33" s="77">
        <v>198</v>
      </c>
      <c r="AE33" s="77">
        <v>187</v>
      </c>
      <c r="AF33" s="77">
        <v>179</v>
      </c>
      <c r="AG33" s="80">
        <v>170</v>
      </c>
      <c r="AH33" s="80">
        <v>169</v>
      </c>
      <c r="AI33" s="80">
        <v>176</v>
      </c>
      <c r="AJ33" s="83">
        <f t="shared" si="4"/>
        <v>166.59999999999945</v>
      </c>
      <c r="AK33" s="83"/>
    </row>
    <row r="34" spans="1:37" ht="16.5" customHeight="1" x14ac:dyDescent="0.2">
      <c r="A34" s="92" t="s">
        <v>1197</v>
      </c>
      <c r="B34" s="93">
        <v>2450484</v>
      </c>
      <c r="C34" s="93">
        <v>4138140</v>
      </c>
      <c r="D34" s="93">
        <v>5128345</v>
      </c>
      <c r="E34" s="93">
        <v>7303286</v>
      </c>
      <c r="F34" s="93">
        <v>8577857</v>
      </c>
      <c r="G34" s="93">
        <v>9589483</v>
      </c>
      <c r="H34" s="93">
        <v>10996253</v>
      </c>
      <c r="I34" s="93">
        <v>11068440</v>
      </c>
      <c r="J34" s="93">
        <v>11132386</v>
      </c>
      <c r="K34" s="93">
        <v>11282736</v>
      </c>
      <c r="L34" s="93">
        <v>11429585</v>
      </c>
      <c r="M34" s="93">
        <v>11734710</v>
      </c>
      <c r="N34" s="93">
        <v>11877938</v>
      </c>
      <c r="O34" s="93">
        <v>12312982</v>
      </c>
      <c r="P34" s="93">
        <v>12565930</v>
      </c>
      <c r="Q34" s="93">
        <v>12738271</v>
      </c>
      <c r="R34" s="93">
        <v>12782143</v>
      </c>
      <c r="S34" s="93">
        <v>12876346</v>
      </c>
      <c r="T34" s="93">
        <v>12854054</v>
      </c>
      <c r="U34" s="93">
        <v>12794616</v>
      </c>
      <c r="V34" s="93">
        <v>12781476</v>
      </c>
      <c r="W34" s="93">
        <v>12942414</v>
      </c>
      <c r="X34" s="93">
        <v>12746126</v>
      </c>
      <c r="Y34" s="93">
        <v>12875568</v>
      </c>
      <c r="Z34" s="93">
        <v>12692892</v>
      </c>
      <c r="AA34" s="93">
        <v>12721541</v>
      </c>
      <c r="AB34" s="93">
        <v>12438926</v>
      </c>
      <c r="AC34" s="93">
        <v>12173935</v>
      </c>
      <c r="AD34" s="93">
        <v>12101936</v>
      </c>
      <c r="AE34" s="93">
        <v>12013496</v>
      </c>
      <c r="AF34" s="93">
        <v>11804002</v>
      </c>
      <c r="AG34" s="94">
        <v>11867049</v>
      </c>
      <c r="AH34" s="94">
        <v>11861811</v>
      </c>
      <c r="AI34" s="94">
        <v>11961568</v>
      </c>
      <c r="AJ34" s="83">
        <f t="shared" si="4"/>
        <v>11887771.099999998</v>
      </c>
      <c r="AK34" s="83"/>
    </row>
    <row r="35" spans="1:37" ht="12.75" customHeight="1" x14ac:dyDescent="0.2">
      <c r="A35" s="134" t="s">
        <v>1198</v>
      </c>
      <c r="B35" s="135"/>
      <c r="C35" s="135"/>
      <c r="D35" s="135"/>
      <c r="E35" s="135"/>
      <c r="F35" s="135"/>
      <c r="G35" s="135"/>
      <c r="H35" s="135"/>
      <c r="I35" s="135"/>
      <c r="J35" s="135"/>
      <c r="K35" s="135"/>
      <c r="L35" s="135"/>
      <c r="M35" s="135"/>
      <c r="N35" s="135"/>
      <c r="O35" s="135"/>
      <c r="P35" s="135"/>
      <c r="Q35" s="135"/>
      <c r="R35" s="135"/>
      <c r="S35" s="95"/>
      <c r="T35" s="95"/>
      <c r="U35" s="95"/>
      <c r="V35" s="95"/>
      <c r="W35" s="95"/>
      <c r="X35" s="95"/>
      <c r="Y35" s="95"/>
      <c r="Z35" s="95"/>
      <c r="AA35" s="95"/>
      <c r="AB35" s="95"/>
      <c r="AC35" s="95"/>
      <c r="AD35" s="96"/>
      <c r="AE35" s="97"/>
      <c r="AF35" s="96"/>
      <c r="AG35" s="96"/>
      <c r="AH35" s="96"/>
      <c r="AI35" s="96"/>
      <c r="AJ35" s="96"/>
      <c r="AK35" s="96"/>
    </row>
    <row r="36" spans="1:37" ht="12.75" customHeight="1" x14ac:dyDescent="0.2">
      <c r="A36" s="125"/>
      <c r="B36" s="114"/>
      <c r="C36" s="114"/>
      <c r="D36" s="114"/>
      <c r="E36" s="114"/>
      <c r="F36" s="114"/>
      <c r="G36" s="114"/>
      <c r="H36" s="114"/>
      <c r="I36" s="114"/>
      <c r="J36" s="114"/>
      <c r="K36" s="114"/>
      <c r="L36" s="114"/>
      <c r="M36" s="114"/>
      <c r="N36" s="114"/>
      <c r="O36" s="114"/>
      <c r="P36" s="114"/>
      <c r="Q36" s="114"/>
      <c r="R36" s="114"/>
      <c r="S36" s="96"/>
      <c r="T36" s="96"/>
      <c r="U36" s="96"/>
      <c r="V36" s="96"/>
      <c r="W36" s="96"/>
      <c r="X36" s="96"/>
      <c r="Y36" s="96"/>
      <c r="Z36" s="96"/>
      <c r="AA36" s="96"/>
      <c r="AB36" s="96"/>
      <c r="AC36" s="96"/>
      <c r="AD36" s="96"/>
      <c r="AE36" s="96"/>
      <c r="AF36" s="96"/>
      <c r="AG36" s="96"/>
      <c r="AH36" s="96"/>
      <c r="AI36" s="96"/>
      <c r="AJ36" s="96"/>
      <c r="AK36" s="96"/>
    </row>
    <row r="37" spans="1:37" ht="25.5" customHeight="1" x14ac:dyDescent="0.2">
      <c r="A37" s="129" t="s">
        <v>1199</v>
      </c>
      <c r="B37" s="114"/>
      <c r="C37" s="114"/>
      <c r="D37" s="114"/>
      <c r="E37" s="114"/>
      <c r="F37" s="114"/>
      <c r="G37" s="114"/>
      <c r="H37" s="114"/>
      <c r="I37" s="114"/>
      <c r="J37" s="114"/>
      <c r="K37" s="114"/>
      <c r="L37" s="114"/>
      <c r="M37" s="114"/>
      <c r="N37" s="114"/>
      <c r="O37" s="114"/>
      <c r="P37" s="114"/>
      <c r="Q37" s="114"/>
      <c r="R37" s="114"/>
      <c r="S37" s="98"/>
      <c r="T37" s="98"/>
      <c r="U37" s="98"/>
      <c r="V37" s="98"/>
      <c r="W37" s="98"/>
      <c r="X37" s="98"/>
      <c r="Y37" s="98"/>
      <c r="Z37" s="98"/>
      <c r="AA37" s="98"/>
      <c r="AB37" s="98"/>
      <c r="AC37" s="98"/>
      <c r="AD37" s="98"/>
      <c r="AE37" s="98"/>
      <c r="AF37" s="98"/>
      <c r="AG37" s="98"/>
      <c r="AH37" s="98"/>
      <c r="AI37" s="98"/>
      <c r="AJ37" s="98"/>
      <c r="AK37" s="98"/>
    </row>
    <row r="38" spans="1:37" ht="25.5" customHeight="1" x14ac:dyDescent="0.2">
      <c r="A38" s="129" t="s">
        <v>1200</v>
      </c>
      <c r="B38" s="114"/>
      <c r="C38" s="114"/>
      <c r="D38" s="114"/>
      <c r="E38" s="114"/>
      <c r="F38" s="114"/>
      <c r="G38" s="114"/>
      <c r="H38" s="114"/>
      <c r="I38" s="114"/>
      <c r="J38" s="114"/>
      <c r="K38" s="114"/>
      <c r="L38" s="114"/>
      <c r="M38" s="114"/>
      <c r="N38" s="114"/>
      <c r="O38" s="114"/>
      <c r="P38" s="114"/>
      <c r="Q38" s="114"/>
      <c r="R38" s="114"/>
      <c r="S38" s="98"/>
      <c r="T38" s="98"/>
      <c r="U38" s="98"/>
      <c r="V38" s="98"/>
      <c r="W38" s="98"/>
      <c r="X38" s="98"/>
      <c r="Y38" s="98"/>
      <c r="Z38" s="98"/>
      <c r="AA38" s="98"/>
      <c r="AB38" s="98"/>
      <c r="AC38" s="98"/>
      <c r="AD38" s="98"/>
      <c r="AE38" s="98"/>
      <c r="AF38" s="98"/>
      <c r="AG38" s="98"/>
      <c r="AH38" s="98"/>
      <c r="AI38" s="98"/>
      <c r="AJ38" s="98"/>
      <c r="AK38" s="98"/>
    </row>
    <row r="39" spans="1:37" ht="12.75" customHeight="1" x14ac:dyDescent="0.2">
      <c r="A39" s="131" t="s">
        <v>1201</v>
      </c>
      <c r="B39" s="114"/>
      <c r="C39" s="114"/>
      <c r="D39" s="114"/>
      <c r="E39" s="114"/>
      <c r="F39" s="114"/>
      <c r="G39" s="114"/>
      <c r="H39" s="114"/>
      <c r="I39" s="114"/>
      <c r="J39" s="114"/>
      <c r="K39" s="114"/>
      <c r="L39" s="114"/>
      <c r="M39" s="114"/>
      <c r="N39" s="114"/>
      <c r="O39" s="114"/>
      <c r="P39" s="114"/>
      <c r="Q39" s="114"/>
      <c r="R39" s="114"/>
      <c r="S39" s="98"/>
      <c r="T39" s="98"/>
      <c r="U39" s="98"/>
      <c r="V39" s="98"/>
      <c r="W39" s="98"/>
      <c r="X39" s="98"/>
      <c r="Y39" s="98"/>
      <c r="Z39" s="98"/>
      <c r="AA39" s="98"/>
      <c r="AB39" s="98"/>
      <c r="AC39" s="98"/>
      <c r="AD39" s="98"/>
      <c r="AE39" s="98"/>
      <c r="AF39" s="98"/>
      <c r="AG39" s="98"/>
      <c r="AH39" s="98"/>
      <c r="AI39" s="98"/>
      <c r="AJ39" s="98"/>
      <c r="AK39" s="98"/>
    </row>
    <row r="40" spans="1:37" ht="12.75" customHeight="1" x14ac:dyDescent="0.2">
      <c r="A40" s="129" t="s">
        <v>1202</v>
      </c>
      <c r="B40" s="114"/>
      <c r="C40" s="114"/>
      <c r="D40" s="114"/>
      <c r="E40" s="114"/>
      <c r="F40" s="114"/>
      <c r="G40" s="114"/>
      <c r="H40" s="114"/>
      <c r="I40" s="114"/>
      <c r="J40" s="114"/>
      <c r="K40" s="114"/>
      <c r="L40" s="114"/>
      <c r="M40" s="114"/>
      <c r="N40" s="114"/>
      <c r="O40" s="114"/>
      <c r="P40" s="114"/>
      <c r="Q40" s="114"/>
      <c r="R40" s="114"/>
      <c r="S40" s="98"/>
      <c r="T40" s="98"/>
      <c r="U40" s="98"/>
      <c r="V40" s="98"/>
      <c r="W40" s="98"/>
      <c r="X40" s="98"/>
      <c r="Y40" s="98"/>
      <c r="Z40" s="98"/>
      <c r="AA40" s="98"/>
      <c r="AB40" s="98"/>
      <c r="AC40" s="98"/>
      <c r="AD40" s="98"/>
      <c r="AE40" s="98"/>
      <c r="AF40" s="98"/>
      <c r="AG40" s="98"/>
      <c r="AH40" s="98"/>
      <c r="AI40" s="98"/>
      <c r="AJ40" s="98"/>
      <c r="AK40" s="98"/>
    </row>
    <row r="41" spans="1:37" ht="12.75" customHeight="1" x14ac:dyDescent="0.2">
      <c r="A41" s="129" t="s">
        <v>1203</v>
      </c>
      <c r="B41" s="114"/>
      <c r="C41" s="114"/>
      <c r="D41" s="114"/>
      <c r="E41" s="114"/>
      <c r="F41" s="114"/>
      <c r="G41" s="114"/>
      <c r="H41" s="114"/>
      <c r="I41" s="114"/>
      <c r="J41" s="114"/>
      <c r="K41" s="114"/>
      <c r="L41" s="114"/>
      <c r="M41" s="114"/>
      <c r="N41" s="114"/>
      <c r="O41" s="114"/>
      <c r="P41" s="114"/>
      <c r="Q41" s="114"/>
      <c r="R41" s="114"/>
      <c r="S41" s="98"/>
      <c r="T41" s="98"/>
      <c r="U41" s="98"/>
      <c r="V41" s="98"/>
      <c r="W41" s="98"/>
      <c r="X41" s="98"/>
      <c r="Y41" s="98"/>
      <c r="Z41" s="98"/>
      <c r="AA41" s="98"/>
      <c r="AB41" s="98"/>
      <c r="AC41" s="98"/>
      <c r="AD41" s="98"/>
      <c r="AE41" s="98"/>
      <c r="AF41" s="98"/>
      <c r="AG41" s="98"/>
      <c r="AH41" s="98"/>
      <c r="AI41" s="98"/>
      <c r="AJ41" s="98"/>
      <c r="AK41" s="98"/>
    </row>
    <row r="42" spans="1:37" ht="12.75" customHeight="1" x14ac:dyDescent="0.2">
      <c r="A42" s="129" t="s">
        <v>1204</v>
      </c>
      <c r="B42" s="114"/>
      <c r="C42" s="114"/>
      <c r="D42" s="114"/>
      <c r="E42" s="114"/>
      <c r="F42" s="114"/>
      <c r="G42" s="114"/>
      <c r="H42" s="114"/>
      <c r="I42" s="114"/>
      <c r="J42" s="114"/>
      <c r="K42" s="114"/>
      <c r="L42" s="114"/>
      <c r="M42" s="114"/>
      <c r="N42" s="114"/>
      <c r="O42" s="114"/>
      <c r="P42" s="114"/>
      <c r="Q42" s="114"/>
      <c r="R42" s="114"/>
      <c r="S42" s="98"/>
      <c r="T42" s="98"/>
      <c r="U42" s="98"/>
      <c r="V42" s="98"/>
      <c r="W42" s="98"/>
      <c r="X42" s="98"/>
      <c r="Y42" s="98"/>
      <c r="Z42" s="98"/>
      <c r="AA42" s="98"/>
      <c r="AB42" s="98"/>
      <c r="AC42" s="98"/>
      <c r="AD42" s="98"/>
      <c r="AE42" s="98"/>
      <c r="AF42" s="98"/>
      <c r="AG42" s="98"/>
      <c r="AH42" s="98"/>
      <c r="AI42" s="98"/>
      <c r="AJ42" s="98"/>
      <c r="AK42" s="98"/>
    </row>
    <row r="43" spans="1:37" ht="12.75" customHeight="1" x14ac:dyDescent="0.2">
      <c r="A43" s="131" t="s">
        <v>1205</v>
      </c>
      <c r="B43" s="114"/>
      <c r="C43" s="114"/>
      <c r="D43" s="114"/>
      <c r="E43" s="114"/>
      <c r="F43" s="114"/>
      <c r="G43" s="114"/>
      <c r="H43" s="114"/>
      <c r="I43" s="114"/>
      <c r="J43" s="114"/>
      <c r="K43" s="114"/>
      <c r="L43" s="114"/>
      <c r="M43" s="114"/>
      <c r="N43" s="114"/>
      <c r="O43" s="114"/>
      <c r="P43" s="114"/>
      <c r="Q43" s="114"/>
      <c r="R43" s="114"/>
      <c r="S43" s="98"/>
      <c r="T43" s="98"/>
      <c r="U43" s="98"/>
      <c r="V43" s="98"/>
      <c r="W43" s="98"/>
      <c r="X43" s="98"/>
      <c r="Y43" s="98"/>
      <c r="Z43" s="98"/>
      <c r="AA43" s="98"/>
      <c r="AB43" s="98"/>
      <c r="AC43" s="98"/>
      <c r="AD43" s="98"/>
      <c r="AE43" s="98"/>
      <c r="AF43" s="98"/>
      <c r="AG43" s="98"/>
      <c r="AH43" s="98"/>
      <c r="AI43" s="98"/>
      <c r="AJ43" s="98"/>
      <c r="AK43" s="98"/>
    </row>
    <row r="44" spans="1:37" ht="12.75" customHeight="1" x14ac:dyDescent="0.2">
      <c r="A44" s="131" t="s">
        <v>1206</v>
      </c>
      <c r="B44" s="114"/>
      <c r="C44" s="114"/>
      <c r="D44" s="114"/>
      <c r="E44" s="114"/>
      <c r="F44" s="114"/>
      <c r="G44" s="114"/>
      <c r="H44" s="114"/>
      <c r="I44" s="114"/>
      <c r="J44" s="114"/>
      <c r="K44" s="114"/>
      <c r="L44" s="114"/>
      <c r="M44" s="114"/>
      <c r="N44" s="114"/>
      <c r="O44" s="114"/>
      <c r="P44" s="114"/>
      <c r="Q44" s="114"/>
      <c r="R44" s="114"/>
      <c r="S44" s="98"/>
      <c r="T44" s="98"/>
      <c r="U44" s="98"/>
      <c r="V44" s="98"/>
      <c r="W44" s="98"/>
      <c r="X44" s="98"/>
      <c r="Y44" s="98"/>
      <c r="Z44" s="98"/>
      <c r="AA44" s="98"/>
      <c r="AB44" s="98"/>
      <c r="AC44" s="98"/>
      <c r="AD44" s="98"/>
      <c r="AE44" s="98"/>
      <c r="AF44" s="98"/>
      <c r="AG44" s="98"/>
      <c r="AH44" s="98"/>
      <c r="AI44" s="98"/>
      <c r="AJ44" s="98"/>
      <c r="AK44" s="98"/>
    </row>
    <row r="45" spans="1:37" ht="12.75" customHeight="1" x14ac:dyDescent="0.2">
      <c r="A45" s="120" t="s">
        <v>1207</v>
      </c>
      <c r="B45" s="114"/>
      <c r="C45" s="114"/>
      <c r="D45" s="114"/>
      <c r="E45" s="114"/>
      <c r="F45" s="114"/>
      <c r="G45" s="114"/>
      <c r="H45" s="114"/>
      <c r="I45" s="114"/>
      <c r="J45" s="114"/>
      <c r="K45" s="114"/>
      <c r="L45" s="114"/>
      <c r="M45" s="114"/>
      <c r="N45" s="114"/>
      <c r="O45" s="114"/>
      <c r="P45" s="114"/>
      <c r="Q45" s="114"/>
      <c r="R45" s="114"/>
      <c r="S45" s="98"/>
      <c r="T45" s="98"/>
      <c r="U45" s="98"/>
      <c r="V45" s="98"/>
      <c r="W45" s="98"/>
      <c r="X45" s="98"/>
      <c r="Y45" s="98"/>
      <c r="Z45" s="98"/>
      <c r="AA45" s="98"/>
      <c r="AB45" s="98"/>
      <c r="AC45" s="98"/>
      <c r="AD45" s="98"/>
      <c r="AE45" s="98"/>
      <c r="AF45" s="98"/>
      <c r="AG45" s="98"/>
      <c r="AH45" s="98"/>
      <c r="AI45" s="98"/>
      <c r="AJ45" s="98"/>
      <c r="AK45" s="98"/>
    </row>
    <row r="46" spans="1:37" ht="12.75" customHeight="1" x14ac:dyDescent="0.2">
      <c r="A46" s="129" t="s">
        <v>1208</v>
      </c>
      <c r="B46" s="114"/>
      <c r="C46" s="114"/>
      <c r="D46" s="114"/>
      <c r="E46" s="114"/>
      <c r="F46" s="114"/>
      <c r="G46" s="114"/>
      <c r="H46" s="114"/>
      <c r="I46" s="114"/>
      <c r="J46" s="114"/>
      <c r="K46" s="114"/>
      <c r="L46" s="114"/>
      <c r="M46" s="114"/>
      <c r="N46" s="114"/>
      <c r="O46" s="114"/>
      <c r="P46" s="114"/>
      <c r="Q46" s="114"/>
      <c r="R46" s="114"/>
      <c r="S46" s="98"/>
      <c r="T46" s="98"/>
      <c r="U46" s="98"/>
      <c r="V46" s="98"/>
      <c r="W46" s="98"/>
      <c r="X46" s="98"/>
      <c r="Y46" s="98"/>
      <c r="Z46" s="98"/>
      <c r="AA46" s="98"/>
      <c r="AB46" s="98"/>
      <c r="AC46" s="98"/>
      <c r="AD46" s="98"/>
      <c r="AE46" s="98"/>
      <c r="AF46" s="98"/>
      <c r="AG46" s="98"/>
      <c r="AH46" s="98"/>
      <c r="AI46" s="98"/>
      <c r="AJ46" s="98"/>
      <c r="AK46" s="98"/>
    </row>
    <row r="47" spans="1:37" ht="12.75" customHeight="1" x14ac:dyDescent="0.2">
      <c r="A47" s="129" t="s">
        <v>1209</v>
      </c>
      <c r="B47" s="114"/>
      <c r="C47" s="114"/>
      <c r="D47" s="114"/>
      <c r="E47" s="114"/>
      <c r="F47" s="114"/>
      <c r="G47" s="114"/>
      <c r="H47" s="114"/>
      <c r="I47" s="114"/>
      <c r="J47" s="114"/>
      <c r="K47" s="114"/>
      <c r="L47" s="114"/>
      <c r="M47" s="114"/>
      <c r="N47" s="114"/>
      <c r="O47" s="114"/>
      <c r="P47" s="114"/>
      <c r="Q47" s="114"/>
      <c r="R47" s="114"/>
      <c r="S47" s="98"/>
      <c r="T47" s="98"/>
      <c r="U47" s="98"/>
      <c r="V47" s="98"/>
      <c r="W47" s="98"/>
      <c r="X47" s="98"/>
      <c r="Y47" s="98"/>
      <c r="Z47" s="98"/>
      <c r="AA47" s="98"/>
      <c r="AB47" s="98"/>
      <c r="AC47" s="98"/>
      <c r="AD47" s="98"/>
      <c r="AE47" s="98"/>
      <c r="AF47" s="98"/>
      <c r="AG47" s="98"/>
      <c r="AH47" s="98"/>
      <c r="AI47" s="98"/>
      <c r="AJ47" s="98"/>
      <c r="AK47" s="98"/>
    </row>
    <row r="48" spans="1:37" ht="12.75" customHeight="1" x14ac:dyDescent="0.2">
      <c r="A48" s="129" t="s">
        <v>1210</v>
      </c>
      <c r="B48" s="114"/>
      <c r="C48" s="114"/>
      <c r="D48" s="114"/>
      <c r="E48" s="114"/>
      <c r="F48" s="114"/>
      <c r="G48" s="114"/>
      <c r="H48" s="114"/>
      <c r="I48" s="114"/>
      <c r="J48" s="114"/>
      <c r="K48" s="114"/>
      <c r="L48" s="114"/>
      <c r="M48" s="114"/>
      <c r="N48" s="114"/>
      <c r="O48" s="114"/>
      <c r="P48" s="114"/>
      <c r="Q48" s="114"/>
      <c r="R48" s="114"/>
      <c r="S48" s="98"/>
      <c r="T48" s="98"/>
      <c r="U48" s="98"/>
      <c r="V48" s="98"/>
      <c r="W48" s="98"/>
      <c r="X48" s="98"/>
      <c r="Y48" s="98"/>
      <c r="Z48" s="98"/>
      <c r="AA48" s="98"/>
      <c r="AB48" s="98"/>
      <c r="AC48" s="98"/>
      <c r="AD48" s="98"/>
      <c r="AE48" s="98"/>
      <c r="AF48" s="98"/>
      <c r="AG48" s="98"/>
      <c r="AH48" s="98"/>
      <c r="AI48" s="98"/>
      <c r="AJ48" s="98"/>
      <c r="AK48" s="98"/>
    </row>
    <row r="49" spans="1:37" ht="25.5" customHeight="1" x14ac:dyDescent="0.2">
      <c r="A49" s="129" t="s">
        <v>1211</v>
      </c>
      <c r="B49" s="114"/>
      <c r="C49" s="114"/>
      <c r="D49" s="114"/>
      <c r="E49" s="114"/>
      <c r="F49" s="114"/>
      <c r="G49" s="114"/>
      <c r="H49" s="114"/>
      <c r="I49" s="114"/>
      <c r="J49" s="114"/>
      <c r="K49" s="114"/>
      <c r="L49" s="114"/>
      <c r="M49" s="114"/>
      <c r="N49" s="114"/>
      <c r="O49" s="114"/>
      <c r="P49" s="114"/>
      <c r="Q49" s="114"/>
      <c r="R49" s="114"/>
      <c r="S49" s="98"/>
      <c r="T49" s="98"/>
      <c r="U49" s="98"/>
      <c r="V49" s="98"/>
      <c r="W49" s="98"/>
      <c r="X49" s="98"/>
      <c r="Y49" s="98"/>
      <c r="Z49" s="98"/>
      <c r="AA49" s="98"/>
      <c r="AB49" s="98"/>
      <c r="AC49" s="98"/>
      <c r="AD49" s="98"/>
      <c r="AE49" s="98"/>
      <c r="AF49" s="98"/>
      <c r="AG49" s="98"/>
      <c r="AH49" s="98"/>
      <c r="AI49" s="98"/>
      <c r="AJ49" s="98"/>
      <c r="AK49" s="98"/>
    </row>
    <row r="50" spans="1:37" ht="12.75" customHeight="1" x14ac:dyDescent="0.2">
      <c r="A50" s="129" t="s">
        <v>1212</v>
      </c>
      <c r="B50" s="114"/>
      <c r="C50" s="114"/>
      <c r="D50" s="114"/>
      <c r="E50" s="114"/>
      <c r="F50" s="114"/>
      <c r="G50" s="114"/>
      <c r="H50" s="114"/>
      <c r="I50" s="114"/>
      <c r="J50" s="114"/>
      <c r="K50" s="114"/>
      <c r="L50" s="114"/>
      <c r="M50" s="114"/>
      <c r="N50" s="114"/>
      <c r="O50" s="114"/>
      <c r="P50" s="114"/>
      <c r="Q50" s="98"/>
      <c r="R50" s="98"/>
      <c r="S50" s="98"/>
      <c r="T50" s="98"/>
      <c r="U50" s="98"/>
      <c r="V50" s="98"/>
      <c r="W50" s="98"/>
      <c r="X50" s="98"/>
      <c r="Y50" s="98"/>
      <c r="Z50" s="98"/>
      <c r="AA50" s="98"/>
      <c r="AB50" s="98"/>
      <c r="AC50" s="98"/>
      <c r="AD50" s="98"/>
      <c r="AE50" s="98"/>
      <c r="AF50" s="98"/>
      <c r="AG50" s="98"/>
      <c r="AH50" s="98"/>
      <c r="AI50" s="98"/>
      <c r="AJ50" s="98"/>
      <c r="AK50" s="98"/>
    </row>
    <row r="51" spans="1:37" ht="12.75" customHeight="1" x14ac:dyDescent="0.2">
      <c r="A51" s="130"/>
      <c r="B51" s="114"/>
      <c r="C51" s="114"/>
      <c r="D51" s="114"/>
      <c r="E51" s="114"/>
      <c r="F51" s="114"/>
      <c r="G51" s="114"/>
      <c r="H51" s="114"/>
      <c r="I51" s="114"/>
      <c r="J51" s="114"/>
      <c r="K51" s="114"/>
      <c r="L51" s="114"/>
      <c r="M51" s="114"/>
      <c r="N51" s="114"/>
      <c r="O51" s="114"/>
      <c r="P51" s="114"/>
      <c r="Q51" s="98"/>
      <c r="R51" s="98"/>
      <c r="S51" s="98"/>
      <c r="T51" s="98"/>
      <c r="U51" s="98"/>
      <c r="V51" s="98"/>
      <c r="W51" s="98"/>
      <c r="X51" s="98"/>
      <c r="Y51" s="98"/>
      <c r="Z51" s="98"/>
      <c r="AA51" s="98"/>
      <c r="AB51" s="98"/>
      <c r="AC51" s="98"/>
      <c r="AD51" s="98"/>
      <c r="AE51" s="98"/>
      <c r="AF51" s="98"/>
      <c r="AG51" s="98"/>
      <c r="AH51" s="98"/>
      <c r="AI51" s="98"/>
      <c r="AJ51" s="98"/>
      <c r="AK51" s="98"/>
    </row>
    <row r="52" spans="1:37" ht="12.75" customHeight="1" x14ac:dyDescent="0.2">
      <c r="A52" s="125" t="s">
        <v>1213</v>
      </c>
      <c r="B52" s="114"/>
      <c r="C52" s="114"/>
      <c r="D52" s="114"/>
      <c r="E52" s="114"/>
      <c r="F52" s="114"/>
      <c r="G52" s="114"/>
      <c r="H52" s="114"/>
      <c r="I52" s="114"/>
      <c r="J52" s="114"/>
      <c r="K52" s="114"/>
      <c r="L52" s="114"/>
      <c r="M52" s="114"/>
      <c r="N52" s="114"/>
      <c r="O52" s="114"/>
      <c r="P52" s="114"/>
      <c r="Q52" s="98"/>
      <c r="R52" s="98"/>
      <c r="S52" s="98"/>
      <c r="T52" s="98"/>
      <c r="U52" s="98"/>
      <c r="V52" s="98"/>
      <c r="W52" s="98"/>
      <c r="X52" s="98"/>
      <c r="Y52" s="98"/>
      <c r="Z52" s="98"/>
      <c r="AA52" s="98"/>
      <c r="AB52" s="98"/>
      <c r="AC52" s="98"/>
      <c r="AD52" s="98"/>
      <c r="AE52" s="98"/>
      <c r="AF52" s="98"/>
      <c r="AG52" s="98"/>
      <c r="AH52" s="98"/>
      <c r="AI52" s="98"/>
      <c r="AJ52" s="98"/>
      <c r="AK52" s="98"/>
    </row>
    <row r="53" spans="1:37" ht="38.25" customHeight="1" x14ac:dyDescent="0.2">
      <c r="A53" s="120" t="s">
        <v>1214</v>
      </c>
      <c r="B53" s="114"/>
      <c r="C53" s="114"/>
      <c r="D53" s="114"/>
      <c r="E53" s="114"/>
      <c r="F53" s="114"/>
      <c r="G53" s="114"/>
      <c r="H53" s="114"/>
      <c r="I53" s="114"/>
      <c r="J53" s="114"/>
      <c r="K53" s="114"/>
      <c r="L53" s="114"/>
      <c r="M53" s="114"/>
      <c r="N53" s="114"/>
      <c r="O53" s="114"/>
      <c r="P53" s="114"/>
      <c r="Q53" s="98"/>
      <c r="R53" s="98"/>
      <c r="S53" s="98"/>
      <c r="T53" s="98"/>
      <c r="U53" s="98"/>
      <c r="V53" s="98"/>
      <c r="W53" s="98"/>
      <c r="X53" s="98"/>
      <c r="Y53" s="98"/>
      <c r="Z53" s="98"/>
      <c r="AA53" s="98"/>
      <c r="AB53" s="98"/>
      <c r="AC53" s="98"/>
      <c r="AD53" s="98"/>
      <c r="AE53" s="98"/>
      <c r="AF53" s="98"/>
      <c r="AG53" s="98"/>
      <c r="AH53" s="98"/>
      <c r="AI53" s="98"/>
      <c r="AJ53" s="98"/>
      <c r="AK53" s="98"/>
    </row>
    <row r="54" spans="1:37" ht="12.75" customHeight="1" x14ac:dyDescent="0.2">
      <c r="A54" s="120" t="s">
        <v>1215</v>
      </c>
      <c r="B54" s="114"/>
      <c r="C54" s="114"/>
      <c r="D54" s="114"/>
      <c r="E54" s="114"/>
      <c r="F54" s="114"/>
      <c r="G54" s="114"/>
      <c r="H54" s="114"/>
      <c r="I54" s="114"/>
      <c r="J54" s="114"/>
      <c r="K54" s="114"/>
      <c r="L54" s="114"/>
      <c r="M54" s="114"/>
      <c r="N54" s="114"/>
      <c r="O54" s="114"/>
      <c r="P54" s="114"/>
      <c r="Q54" s="98"/>
      <c r="R54" s="98"/>
      <c r="S54" s="98"/>
      <c r="T54" s="98"/>
      <c r="U54" s="98"/>
      <c r="V54" s="98"/>
      <c r="W54" s="98"/>
      <c r="X54" s="98"/>
      <c r="Y54" s="98"/>
      <c r="Z54" s="98"/>
      <c r="AA54" s="98"/>
      <c r="AB54" s="98"/>
      <c r="AC54" s="98"/>
      <c r="AD54" s="98"/>
      <c r="AE54" s="98"/>
      <c r="AF54" s="98"/>
      <c r="AG54" s="98"/>
      <c r="AH54" s="98"/>
      <c r="AI54" s="98"/>
      <c r="AJ54" s="98"/>
      <c r="AK54" s="98"/>
    </row>
    <row r="55" spans="1:37" ht="38.25" customHeight="1" x14ac:dyDescent="0.2">
      <c r="A55" s="127" t="s">
        <v>1216</v>
      </c>
      <c r="B55" s="114"/>
      <c r="C55" s="114"/>
      <c r="D55" s="114"/>
      <c r="E55" s="114"/>
      <c r="F55" s="114"/>
      <c r="G55" s="114"/>
      <c r="H55" s="114"/>
      <c r="I55" s="114"/>
      <c r="J55" s="114"/>
      <c r="K55" s="114"/>
      <c r="L55" s="114"/>
      <c r="M55" s="114"/>
      <c r="N55" s="114"/>
      <c r="O55" s="114"/>
      <c r="P55" s="114"/>
      <c r="Q55" s="98"/>
      <c r="R55" s="98"/>
      <c r="S55" s="98"/>
      <c r="T55" s="98"/>
      <c r="U55" s="98"/>
      <c r="V55" s="98"/>
      <c r="W55" s="98"/>
      <c r="X55" s="98"/>
      <c r="Y55" s="98"/>
      <c r="Z55" s="98"/>
      <c r="AA55" s="98"/>
      <c r="AB55" s="98"/>
      <c r="AC55" s="98"/>
      <c r="AD55" s="98"/>
      <c r="AE55" s="98"/>
      <c r="AF55" s="98"/>
      <c r="AG55" s="98"/>
      <c r="AH55" s="98"/>
      <c r="AI55" s="98"/>
      <c r="AJ55" s="98"/>
      <c r="AK55" s="98"/>
    </row>
    <row r="56" spans="1:37" ht="12.75" customHeight="1" x14ac:dyDescent="0.2">
      <c r="A56" s="120" t="s">
        <v>1217</v>
      </c>
      <c r="B56" s="114"/>
      <c r="C56" s="114"/>
      <c r="D56" s="114"/>
      <c r="E56" s="114"/>
      <c r="F56" s="114"/>
      <c r="G56" s="114"/>
      <c r="H56" s="114"/>
      <c r="I56" s="114"/>
      <c r="J56" s="114"/>
      <c r="K56" s="114"/>
      <c r="L56" s="114"/>
      <c r="M56" s="114"/>
      <c r="N56" s="114"/>
      <c r="O56" s="114"/>
      <c r="P56" s="114"/>
      <c r="Q56" s="98"/>
      <c r="R56" s="98"/>
      <c r="S56" s="98"/>
      <c r="T56" s="98"/>
      <c r="U56" s="98"/>
      <c r="V56" s="98"/>
      <c r="W56" s="98"/>
      <c r="X56" s="98"/>
      <c r="Y56" s="98"/>
      <c r="Z56" s="98"/>
      <c r="AA56" s="98"/>
      <c r="AB56" s="98"/>
      <c r="AC56" s="98"/>
      <c r="AD56" s="98"/>
      <c r="AE56" s="98"/>
      <c r="AF56" s="98"/>
      <c r="AG56" s="98"/>
      <c r="AH56" s="98"/>
      <c r="AI56" s="98"/>
      <c r="AJ56" s="98"/>
      <c r="AK56" s="98"/>
    </row>
    <row r="57" spans="1:37" ht="12.75" customHeight="1" x14ac:dyDescent="0.2">
      <c r="A57" s="120" t="s">
        <v>1218</v>
      </c>
      <c r="B57" s="114"/>
      <c r="C57" s="114"/>
      <c r="D57" s="114"/>
      <c r="E57" s="114"/>
      <c r="F57" s="114"/>
      <c r="G57" s="114"/>
      <c r="H57" s="114"/>
      <c r="I57" s="114"/>
      <c r="J57" s="114"/>
      <c r="K57" s="114"/>
      <c r="L57" s="114"/>
      <c r="M57" s="114"/>
      <c r="N57" s="114"/>
      <c r="O57" s="114"/>
      <c r="P57" s="114"/>
      <c r="Q57" s="98"/>
      <c r="R57" s="98"/>
      <c r="S57" s="98"/>
      <c r="T57" s="98"/>
      <c r="U57" s="98"/>
      <c r="V57" s="98"/>
      <c r="W57" s="98"/>
      <c r="X57" s="98"/>
      <c r="Y57" s="98"/>
      <c r="Z57" s="98"/>
      <c r="AA57" s="98"/>
      <c r="AB57" s="98"/>
      <c r="AC57" s="98"/>
      <c r="AD57" s="98"/>
      <c r="AE57" s="98"/>
      <c r="AF57" s="98"/>
      <c r="AG57" s="98"/>
      <c r="AH57" s="98"/>
      <c r="AI57" s="98"/>
      <c r="AJ57" s="98"/>
      <c r="AK57" s="98"/>
    </row>
    <row r="58" spans="1:37" ht="12.75" customHeight="1" x14ac:dyDescent="0.2">
      <c r="A58" s="128" t="s">
        <v>1219</v>
      </c>
      <c r="B58" s="114"/>
      <c r="C58" s="114"/>
      <c r="D58" s="114"/>
      <c r="E58" s="114"/>
      <c r="F58" s="114"/>
      <c r="G58" s="114"/>
      <c r="H58" s="114"/>
      <c r="I58" s="114"/>
      <c r="J58" s="114"/>
      <c r="K58" s="114"/>
      <c r="L58" s="114"/>
      <c r="M58" s="114"/>
      <c r="N58" s="114"/>
      <c r="O58" s="114"/>
      <c r="P58" s="114"/>
      <c r="Q58" s="98"/>
      <c r="R58" s="98"/>
      <c r="S58" s="98"/>
      <c r="T58" s="98"/>
      <c r="U58" s="98"/>
      <c r="V58" s="98"/>
      <c r="W58" s="98"/>
      <c r="X58" s="98"/>
      <c r="Y58" s="98"/>
      <c r="Z58" s="98"/>
      <c r="AA58" s="98"/>
      <c r="AB58" s="98"/>
      <c r="AC58" s="98"/>
      <c r="AD58" s="98"/>
      <c r="AE58" s="98"/>
      <c r="AF58" s="98"/>
      <c r="AG58" s="98"/>
      <c r="AH58" s="98"/>
      <c r="AI58" s="98"/>
      <c r="AJ58" s="98"/>
      <c r="AK58" s="98"/>
    </row>
    <row r="59" spans="1:37" ht="12.75" customHeight="1" x14ac:dyDescent="0.2">
      <c r="A59" s="124"/>
      <c r="B59" s="114"/>
      <c r="C59" s="114"/>
      <c r="D59" s="114"/>
      <c r="E59" s="114"/>
      <c r="F59" s="114"/>
      <c r="G59" s="114"/>
      <c r="H59" s="114"/>
      <c r="I59" s="114"/>
      <c r="J59" s="114"/>
      <c r="K59" s="114"/>
      <c r="L59" s="114"/>
      <c r="M59" s="114"/>
      <c r="N59" s="114"/>
      <c r="O59" s="114"/>
      <c r="P59" s="114"/>
      <c r="Q59" s="98"/>
      <c r="R59" s="98"/>
      <c r="S59" s="98"/>
      <c r="T59" s="98"/>
      <c r="U59" s="98"/>
      <c r="V59" s="98"/>
      <c r="W59" s="98"/>
      <c r="X59" s="98"/>
      <c r="Y59" s="98"/>
      <c r="Z59" s="98"/>
      <c r="AA59" s="98"/>
      <c r="AB59" s="98"/>
      <c r="AC59" s="98"/>
      <c r="AD59" s="98"/>
      <c r="AE59" s="98"/>
      <c r="AF59" s="98"/>
      <c r="AG59" s="98"/>
      <c r="AH59" s="98"/>
      <c r="AI59" s="98"/>
      <c r="AJ59" s="98"/>
      <c r="AK59" s="98"/>
    </row>
    <row r="60" spans="1:37" ht="12.75" customHeight="1" x14ac:dyDescent="0.2">
      <c r="A60" s="125" t="s">
        <v>1220</v>
      </c>
      <c r="B60" s="114"/>
      <c r="C60" s="114"/>
      <c r="D60" s="114"/>
      <c r="E60" s="114"/>
      <c r="F60" s="114"/>
      <c r="G60" s="114"/>
      <c r="H60" s="114"/>
      <c r="I60" s="114"/>
      <c r="J60" s="114"/>
      <c r="K60" s="114"/>
      <c r="L60" s="114"/>
      <c r="M60" s="114"/>
      <c r="N60" s="114"/>
      <c r="O60" s="114"/>
      <c r="P60" s="114"/>
      <c r="Q60" s="98"/>
      <c r="R60" s="98"/>
      <c r="S60" s="98"/>
      <c r="T60" s="98"/>
      <c r="U60" s="98"/>
      <c r="V60" s="98"/>
      <c r="W60" s="98"/>
      <c r="X60" s="98"/>
      <c r="Y60" s="98"/>
      <c r="Z60" s="98"/>
      <c r="AA60" s="98"/>
      <c r="AB60" s="98"/>
      <c r="AC60" s="98"/>
      <c r="AD60" s="98"/>
      <c r="AE60" s="98"/>
      <c r="AF60" s="98"/>
      <c r="AG60" s="98"/>
      <c r="AH60" s="98"/>
      <c r="AI60" s="98"/>
      <c r="AJ60" s="98"/>
      <c r="AK60" s="98"/>
    </row>
    <row r="61" spans="1:37" ht="12.75" customHeight="1" x14ac:dyDescent="0.2">
      <c r="A61" s="125" t="s">
        <v>1221</v>
      </c>
      <c r="B61" s="114"/>
      <c r="C61" s="114"/>
      <c r="D61" s="114"/>
      <c r="E61" s="114"/>
      <c r="F61" s="114"/>
      <c r="G61" s="114"/>
      <c r="H61" s="114"/>
      <c r="I61" s="114"/>
      <c r="J61" s="114"/>
      <c r="K61" s="114"/>
      <c r="L61" s="114"/>
      <c r="M61" s="114"/>
      <c r="N61" s="114"/>
      <c r="O61" s="114"/>
      <c r="P61" s="114"/>
      <c r="Q61" s="98"/>
      <c r="R61" s="98"/>
      <c r="S61" s="98"/>
      <c r="T61" s="98"/>
      <c r="U61" s="98"/>
      <c r="V61" s="98"/>
      <c r="W61" s="98"/>
      <c r="X61" s="98"/>
      <c r="Y61" s="98"/>
      <c r="Z61" s="98"/>
      <c r="AA61" s="98"/>
      <c r="AB61" s="98"/>
      <c r="AC61" s="98"/>
      <c r="AD61" s="98"/>
      <c r="AE61" s="98"/>
      <c r="AF61" s="98"/>
      <c r="AG61" s="98"/>
      <c r="AH61" s="98"/>
      <c r="AI61" s="98"/>
      <c r="AJ61" s="98"/>
      <c r="AK61" s="98"/>
    </row>
    <row r="62" spans="1:37" ht="12.75" customHeight="1" x14ac:dyDescent="0.2">
      <c r="A62" s="119" t="s">
        <v>1222</v>
      </c>
      <c r="B62" s="114"/>
      <c r="C62" s="114"/>
      <c r="D62" s="114"/>
      <c r="E62" s="114"/>
      <c r="F62" s="114"/>
      <c r="G62" s="114"/>
      <c r="H62" s="114"/>
      <c r="I62" s="114"/>
      <c r="J62" s="114"/>
      <c r="K62" s="114"/>
      <c r="L62" s="114"/>
      <c r="M62" s="114"/>
      <c r="N62" s="114"/>
      <c r="O62" s="114"/>
      <c r="P62" s="114"/>
      <c r="Q62" s="98"/>
      <c r="R62" s="98"/>
      <c r="S62" s="98"/>
      <c r="T62" s="98"/>
      <c r="U62" s="98"/>
      <c r="V62" s="98"/>
      <c r="W62" s="98"/>
      <c r="X62" s="98"/>
      <c r="Y62" s="98"/>
      <c r="Z62" s="98"/>
      <c r="AA62" s="98"/>
      <c r="AB62" s="98"/>
      <c r="AC62" s="98"/>
      <c r="AD62" s="98"/>
      <c r="AE62" s="98"/>
      <c r="AF62" s="98"/>
      <c r="AG62" s="98"/>
      <c r="AH62" s="98"/>
      <c r="AI62" s="98"/>
      <c r="AJ62" s="98"/>
      <c r="AK62" s="98"/>
    </row>
    <row r="63" spans="1:37" ht="12.75" customHeight="1" x14ac:dyDescent="0.2">
      <c r="A63" s="126" t="s">
        <v>1223</v>
      </c>
      <c r="B63" s="114"/>
      <c r="C63" s="114"/>
      <c r="D63" s="114"/>
      <c r="E63" s="114"/>
      <c r="F63" s="114"/>
      <c r="G63" s="114"/>
      <c r="H63" s="114"/>
      <c r="I63" s="114"/>
      <c r="J63" s="114"/>
      <c r="K63" s="114"/>
      <c r="L63" s="114"/>
      <c r="M63" s="114"/>
      <c r="N63" s="114"/>
      <c r="O63" s="114"/>
      <c r="P63" s="114"/>
      <c r="Q63" s="98"/>
      <c r="R63" s="98"/>
      <c r="S63" s="98"/>
      <c r="T63" s="98"/>
      <c r="U63" s="98"/>
      <c r="V63" s="98"/>
      <c r="W63" s="98"/>
      <c r="X63" s="98"/>
      <c r="Y63" s="98"/>
      <c r="Z63" s="98"/>
      <c r="AA63" s="98"/>
      <c r="AB63" s="98"/>
      <c r="AC63" s="98"/>
      <c r="AD63" s="98"/>
      <c r="AE63" s="98"/>
      <c r="AF63" s="98"/>
      <c r="AG63" s="98"/>
      <c r="AH63" s="98"/>
      <c r="AI63" s="98"/>
      <c r="AJ63" s="98"/>
      <c r="AK63" s="98"/>
    </row>
    <row r="64" spans="1:37" ht="12.75" customHeight="1" x14ac:dyDescent="0.2">
      <c r="A64" s="123" t="s">
        <v>1224</v>
      </c>
      <c r="B64" s="114"/>
      <c r="C64" s="114"/>
      <c r="D64" s="114"/>
      <c r="E64" s="114"/>
      <c r="F64" s="114"/>
      <c r="G64" s="114"/>
      <c r="H64" s="114"/>
      <c r="I64" s="114"/>
      <c r="J64" s="114"/>
      <c r="K64" s="114"/>
      <c r="L64" s="114"/>
      <c r="M64" s="114"/>
      <c r="N64" s="114"/>
      <c r="O64" s="114"/>
      <c r="P64" s="114"/>
      <c r="Q64" s="98"/>
      <c r="R64" s="98"/>
      <c r="S64" s="98"/>
      <c r="T64" s="98"/>
      <c r="U64" s="98"/>
      <c r="V64" s="98"/>
      <c r="W64" s="98"/>
      <c r="X64" s="98"/>
      <c r="Y64" s="98"/>
      <c r="Z64" s="98"/>
      <c r="AA64" s="98"/>
      <c r="AB64" s="98"/>
      <c r="AC64" s="98"/>
      <c r="AD64" s="98"/>
      <c r="AE64" s="98"/>
      <c r="AF64" s="98"/>
      <c r="AG64" s="98"/>
      <c r="AH64" s="98"/>
      <c r="AI64" s="98"/>
      <c r="AJ64" s="98"/>
      <c r="AK64" s="98"/>
    </row>
    <row r="65" spans="1:37" ht="12.75" customHeight="1" x14ac:dyDescent="0.2">
      <c r="A65" s="123" t="s">
        <v>1225</v>
      </c>
      <c r="B65" s="114"/>
      <c r="C65" s="114"/>
      <c r="D65" s="114"/>
      <c r="E65" s="114"/>
      <c r="F65" s="114"/>
      <c r="G65" s="114"/>
      <c r="H65" s="114"/>
      <c r="I65" s="114"/>
      <c r="J65" s="114"/>
      <c r="K65" s="114"/>
      <c r="L65" s="114"/>
      <c r="M65" s="114"/>
      <c r="N65" s="114"/>
      <c r="O65" s="114"/>
      <c r="P65" s="114"/>
      <c r="Q65" s="98"/>
      <c r="R65" s="98"/>
      <c r="S65" s="98"/>
      <c r="T65" s="98"/>
      <c r="U65" s="98"/>
      <c r="V65" s="98"/>
      <c r="W65" s="98"/>
      <c r="X65" s="98"/>
      <c r="Y65" s="98"/>
      <c r="Z65" s="98"/>
      <c r="AA65" s="98"/>
      <c r="AB65" s="98"/>
      <c r="AC65" s="98"/>
      <c r="AD65" s="98"/>
      <c r="AE65" s="98"/>
      <c r="AF65" s="98"/>
      <c r="AG65" s="98"/>
      <c r="AH65" s="98"/>
      <c r="AI65" s="98"/>
      <c r="AJ65" s="98"/>
      <c r="AK65" s="98"/>
    </row>
    <row r="66" spans="1:37" ht="12.75" customHeight="1" x14ac:dyDescent="0.2">
      <c r="A66" s="123" t="s">
        <v>1226</v>
      </c>
      <c r="B66" s="114"/>
      <c r="C66" s="114"/>
      <c r="D66" s="114"/>
      <c r="E66" s="114"/>
      <c r="F66" s="114"/>
      <c r="G66" s="114"/>
      <c r="H66" s="114"/>
      <c r="I66" s="114"/>
      <c r="J66" s="114"/>
      <c r="K66" s="114"/>
      <c r="L66" s="114"/>
      <c r="M66" s="114"/>
      <c r="N66" s="114"/>
      <c r="O66" s="114"/>
      <c r="P66" s="114"/>
      <c r="Q66" s="98"/>
      <c r="R66" s="98"/>
      <c r="S66" s="98"/>
      <c r="T66" s="98"/>
      <c r="U66" s="98"/>
      <c r="V66" s="98"/>
      <c r="W66" s="98"/>
      <c r="X66" s="98"/>
      <c r="Y66" s="98"/>
      <c r="Z66" s="98"/>
      <c r="AA66" s="98"/>
      <c r="AB66" s="98"/>
      <c r="AC66" s="98"/>
      <c r="AD66" s="98"/>
      <c r="AE66" s="98"/>
      <c r="AF66" s="98"/>
      <c r="AG66" s="98"/>
      <c r="AH66" s="98"/>
      <c r="AI66" s="98"/>
      <c r="AJ66" s="98"/>
      <c r="AK66" s="98"/>
    </row>
    <row r="67" spans="1:37" ht="12.75" customHeight="1" x14ac:dyDescent="0.2">
      <c r="A67" s="123" t="s">
        <v>1227</v>
      </c>
      <c r="B67" s="114"/>
      <c r="C67" s="114"/>
      <c r="D67" s="114"/>
      <c r="E67" s="114"/>
      <c r="F67" s="114"/>
      <c r="G67" s="114"/>
      <c r="H67" s="114"/>
      <c r="I67" s="114"/>
      <c r="J67" s="114"/>
      <c r="K67" s="114"/>
      <c r="L67" s="114"/>
      <c r="M67" s="114"/>
      <c r="N67" s="114"/>
      <c r="O67" s="114"/>
      <c r="P67" s="114"/>
      <c r="Q67" s="98"/>
      <c r="R67" s="98"/>
      <c r="S67" s="98"/>
      <c r="T67" s="98"/>
      <c r="U67" s="98"/>
      <c r="V67" s="98"/>
      <c r="W67" s="98"/>
      <c r="X67" s="98"/>
      <c r="Y67" s="98"/>
      <c r="Z67" s="98"/>
      <c r="AA67" s="98"/>
      <c r="AB67" s="98"/>
      <c r="AC67" s="98"/>
      <c r="AD67" s="98"/>
      <c r="AE67" s="98"/>
      <c r="AF67" s="98"/>
      <c r="AG67" s="98"/>
      <c r="AH67" s="98"/>
      <c r="AI67" s="98"/>
      <c r="AJ67" s="98"/>
      <c r="AK67" s="98"/>
    </row>
    <row r="68" spans="1:37" ht="12.75" customHeight="1" x14ac:dyDescent="0.2">
      <c r="A68" s="119" t="s">
        <v>1228</v>
      </c>
      <c r="B68" s="114"/>
      <c r="C68" s="114"/>
      <c r="D68" s="114"/>
      <c r="E68" s="114"/>
      <c r="F68" s="114"/>
      <c r="G68" s="114"/>
      <c r="H68" s="114"/>
      <c r="I68" s="114"/>
      <c r="J68" s="114"/>
      <c r="K68" s="114"/>
      <c r="L68" s="114"/>
      <c r="M68" s="114"/>
      <c r="N68" s="114"/>
      <c r="O68" s="114"/>
      <c r="P68" s="114"/>
      <c r="Q68" s="98"/>
      <c r="R68" s="98"/>
      <c r="S68" s="98"/>
      <c r="T68" s="98"/>
      <c r="U68" s="98"/>
      <c r="V68" s="98"/>
      <c r="W68" s="98"/>
      <c r="X68" s="98"/>
      <c r="Y68" s="98"/>
      <c r="Z68" s="98"/>
      <c r="AA68" s="98"/>
      <c r="AB68" s="98"/>
      <c r="AC68" s="98"/>
      <c r="AD68" s="98"/>
      <c r="AE68" s="98"/>
      <c r="AF68" s="98"/>
      <c r="AG68" s="98"/>
      <c r="AH68" s="98"/>
      <c r="AI68" s="98"/>
      <c r="AJ68" s="98"/>
      <c r="AK68" s="98"/>
    </row>
    <row r="69" spans="1:37" ht="12.75" customHeight="1" x14ac:dyDescent="0.2">
      <c r="A69" s="123" t="s">
        <v>1229</v>
      </c>
      <c r="B69" s="114"/>
      <c r="C69" s="114"/>
      <c r="D69" s="114"/>
      <c r="E69" s="114"/>
      <c r="F69" s="114"/>
      <c r="G69" s="114"/>
      <c r="H69" s="114"/>
      <c r="I69" s="114"/>
      <c r="J69" s="114"/>
      <c r="K69" s="114"/>
      <c r="L69" s="114"/>
      <c r="M69" s="114"/>
      <c r="N69" s="114"/>
      <c r="O69" s="114"/>
      <c r="P69" s="114"/>
      <c r="Q69" s="98"/>
      <c r="R69" s="98"/>
      <c r="S69" s="98"/>
      <c r="T69" s="98"/>
      <c r="U69" s="98"/>
      <c r="V69" s="98"/>
      <c r="W69" s="98"/>
      <c r="X69" s="98"/>
      <c r="Y69" s="98"/>
      <c r="Z69" s="98"/>
      <c r="AA69" s="98"/>
      <c r="AB69" s="98"/>
      <c r="AC69" s="98"/>
      <c r="AD69" s="98"/>
      <c r="AE69" s="98"/>
      <c r="AF69" s="98"/>
      <c r="AG69" s="98"/>
      <c r="AH69" s="98"/>
      <c r="AI69" s="98"/>
      <c r="AJ69" s="98"/>
      <c r="AK69" s="98"/>
    </row>
    <row r="70" spans="1:37" ht="12.75" customHeight="1" x14ac:dyDescent="0.2">
      <c r="A70" s="123" t="s">
        <v>1230</v>
      </c>
      <c r="B70" s="114"/>
      <c r="C70" s="114"/>
      <c r="D70" s="114"/>
      <c r="E70" s="114"/>
      <c r="F70" s="114"/>
      <c r="G70" s="114"/>
      <c r="H70" s="114"/>
      <c r="I70" s="114"/>
      <c r="J70" s="114"/>
      <c r="K70" s="114"/>
      <c r="L70" s="114"/>
      <c r="M70" s="114"/>
      <c r="N70" s="114"/>
      <c r="O70" s="114"/>
      <c r="P70" s="114"/>
      <c r="Q70" s="98"/>
      <c r="R70" s="98"/>
      <c r="S70" s="98"/>
      <c r="T70" s="98"/>
      <c r="U70" s="98"/>
      <c r="V70" s="98"/>
      <c r="W70" s="98"/>
      <c r="X70" s="98"/>
      <c r="Y70" s="98"/>
      <c r="Z70" s="98"/>
      <c r="AA70" s="98"/>
      <c r="AB70" s="98"/>
      <c r="AC70" s="98"/>
      <c r="AD70" s="98"/>
      <c r="AE70" s="98"/>
      <c r="AF70" s="98"/>
      <c r="AG70" s="98"/>
      <c r="AH70" s="98"/>
      <c r="AI70" s="98"/>
      <c r="AJ70" s="98"/>
      <c r="AK70" s="98"/>
    </row>
    <row r="71" spans="1:37" ht="12.75" customHeight="1" x14ac:dyDescent="0.2">
      <c r="A71" s="123" t="s">
        <v>1231</v>
      </c>
      <c r="B71" s="114"/>
      <c r="C71" s="114"/>
      <c r="D71" s="114"/>
      <c r="E71" s="114"/>
      <c r="F71" s="114"/>
      <c r="G71" s="114"/>
      <c r="H71" s="114"/>
      <c r="I71" s="114"/>
      <c r="J71" s="114"/>
      <c r="K71" s="114"/>
      <c r="L71" s="114"/>
      <c r="M71" s="114"/>
      <c r="N71" s="114"/>
      <c r="O71" s="114"/>
      <c r="P71" s="114"/>
      <c r="Q71" s="98"/>
      <c r="R71" s="98"/>
      <c r="S71" s="98"/>
      <c r="T71" s="98"/>
      <c r="U71" s="98"/>
      <c r="V71" s="98"/>
      <c r="W71" s="98"/>
      <c r="X71" s="98"/>
      <c r="Y71" s="98"/>
      <c r="Z71" s="98"/>
      <c r="AA71" s="98"/>
      <c r="AB71" s="98"/>
      <c r="AC71" s="98"/>
      <c r="AD71" s="98"/>
      <c r="AE71" s="98"/>
      <c r="AF71" s="98"/>
      <c r="AG71" s="98"/>
      <c r="AH71" s="98"/>
      <c r="AI71" s="98"/>
      <c r="AJ71" s="98"/>
      <c r="AK71" s="98"/>
    </row>
    <row r="72" spans="1:37" ht="12.75" customHeight="1" x14ac:dyDescent="0.2">
      <c r="A72" s="123" t="s">
        <v>1232</v>
      </c>
      <c r="B72" s="114"/>
      <c r="C72" s="114"/>
      <c r="D72" s="114"/>
      <c r="E72" s="114"/>
      <c r="F72" s="114"/>
      <c r="G72" s="114"/>
      <c r="H72" s="114"/>
      <c r="I72" s="114"/>
      <c r="J72" s="114"/>
      <c r="K72" s="114"/>
      <c r="L72" s="114"/>
      <c r="M72" s="114"/>
      <c r="N72" s="114"/>
      <c r="O72" s="114"/>
      <c r="P72" s="114"/>
      <c r="Q72" s="98"/>
      <c r="R72" s="98"/>
      <c r="S72" s="98"/>
      <c r="T72" s="98"/>
      <c r="U72" s="98"/>
      <c r="V72" s="98"/>
      <c r="W72" s="98"/>
      <c r="X72" s="98"/>
      <c r="Y72" s="98"/>
      <c r="Z72" s="98"/>
      <c r="AA72" s="98"/>
      <c r="AB72" s="98"/>
      <c r="AC72" s="98"/>
      <c r="AD72" s="98"/>
      <c r="AE72" s="98"/>
      <c r="AF72" s="98"/>
      <c r="AG72" s="98"/>
      <c r="AH72" s="98"/>
      <c r="AI72" s="98"/>
      <c r="AJ72" s="98"/>
      <c r="AK72" s="98"/>
    </row>
    <row r="73" spans="1:37" ht="12.75" customHeight="1" x14ac:dyDescent="0.2">
      <c r="A73" s="123" t="s">
        <v>1233</v>
      </c>
      <c r="B73" s="114"/>
      <c r="C73" s="114"/>
      <c r="D73" s="114"/>
      <c r="E73" s="114"/>
      <c r="F73" s="114"/>
      <c r="G73" s="114"/>
      <c r="H73" s="114"/>
      <c r="I73" s="114"/>
      <c r="J73" s="114"/>
      <c r="K73" s="114"/>
      <c r="L73" s="114"/>
      <c r="M73" s="114"/>
      <c r="N73" s="114"/>
      <c r="O73" s="114"/>
      <c r="P73" s="114"/>
      <c r="Q73" s="98"/>
      <c r="R73" s="98"/>
      <c r="S73" s="98"/>
      <c r="T73" s="98"/>
      <c r="U73" s="98"/>
      <c r="V73" s="98"/>
      <c r="W73" s="98"/>
      <c r="X73" s="98"/>
      <c r="Y73" s="98"/>
      <c r="Z73" s="98"/>
      <c r="AA73" s="98"/>
      <c r="AB73" s="98"/>
      <c r="AC73" s="98"/>
      <c r="AD73" s="98"/>
      <c r="AE73" s="98"/>
      <c r="AF73" s="98"/>
      <c r="AG73" s="98"/>
      <c r="AH73" s="98"/>
      <c r="AI73" s="98"/>
      <c r="AJ73" s="98"/>
      <c r="AK73" s="98"/>
    </row>
    <row r="74" spans="1:37" ht="12.75" customHeight="1" x14ac:dyDescent="0.2">
      <c r="A74" s="121" t="s">
        <v>1234</v>
      </c>
      <c r="B74" s="114"/>
      <c r="C74" s="114"/>
      <c r="D74" s="114"/>
      <c r="E74" s="114"/>
      <c r="F74" s="114"/>
      <c r="G74" s="114"/>
      <c r="H74" s="114"/>
      <c r="I74" s="114"/>
      <c r="J74" s="114"/>
      <c r="K74" s="114"/>
      <c r="L74" s="114"/>
      <c r="M74" s="114"/>
      <c r="N74" s="114"/>
      <c r="O74" s="114"/>
      <c r="P74" s="114"/>
      <c r="Q74" s="98"/>
      <c r="R74" s="98"/>
      <c r="S74" s="98"/>
      <c r="T74" s="98"/>
      <c r="U74" s="98"/>
      <c r="V74" s="98"/>
      <c r="W74" s="98"/>
      <c r="X74" s="98"/>
      <c r="Y74" s="98"/>
      <c r="Z74" s="98"/>
      <c r="AA74" s="98"/>
      <c r="AB74" s="98"/>
      <c r="AC74" s="98"/>
      <c r="AD74" s="98"/>
      <c r="AE74" s="98"/>
      <c r="AF74" s="98"/>
      <c r="AG74" s="98"/>
      <c r="AH74" s="98"/>
      <c r="AI74" s="98"/>
      <c r="AJ74" s="98"/>
      <c r="AK74" s="98"/>
    </row>
    <row r="75" spans="1:37" ht="12.75" customHeight="1" x14ac:dyDescent="0.2">
      <c r="A75" s="119" t="s">
        <v>1235</v>
      </c>
      <c r="B75" s="114"/>
      <c r="C75" s="114"/>
      <c r="D75" s="114"/>
      <c r="E75" s="114"/>
      <c r="F75" s="114"/>
      <c r="G75" s="114"/>
      <c r="H75" s="114"/>
      <c r="I75" s="114"/>
      <c r="J75" s="114"/>
      <c r="K75" s="114"/>
      <c r="L75" s="114"/>
      <c r="M75" s="114"/>
      <c r="N75" s="114"/>
      <c r="O75" s="114"/>
      <c r="P75" s="114"/>
      <c r="Q75" s="98"/>
      <c r="R75" s="98"/>
      <c r="S75" s="98"/>
      <c r="T75" s="98"/>
      <c r="U75" s="98"/>
      <c r="V75" s="98"/>
      <c r="W75" s="98"/>
      <c r="X75" s="98"/>
      <c r="Y75" s="98"/>
      <c r="Z75" s="98"/>
      <c r="AA75" s="98"/>
      <c r="AB75" s="98"/>
      <c r="AC75" s="98"/>
      <c r="AD75" s="98"/>
      <c r="AE75" s="98"/>
      <c r="AF75" s="98"/>
      <c r="AG75" s="98"/>
      <c r="AH75" s="98"/>
      <c r="AI75" s="98"/>
      <c r="AJ75" s="98"/>
      <c r="AK75" s="98"/>
    </row>
    <row r="76" spans="1:37" ht="12.75" customHeight="1" x14ac:dyDescent="0.2">
      <c r="A76" s="120" t="s">
        <v>1236</v>
      </c>
      <c r="B76" s="114"/>
      <c r="C76" s="114"/>
      <c r="D76" s="114"/>
      <c r="E76" s="114"/>
      <c r="F76" s="114"/>
      <c r="G76" s="114"/>
      <c r="H76" s="114"/>
      <c r="I76" s="114"/>
      <c r="J76" s="114"/>
      <c r="K76" s="114"/>
      <c r="L76" s="114"/>
      <c r="M76" s="114"/>
      <c r="N76" s="114"/>
      <c r="O76" s="114"/>
      <c r="P76" s="114"/>
      <c r="Q76" s="98"/>
      <c r="R76" s="98"/>
      <c r="S76" s="98"/>
      <c r="T76" s="98"/>
      <c r="U76" s="98"/>
      <c r="V76" s="98"/>
      <c r="W76" s="98"/>
      <c r="X76" s="98"/>
      <c r="Y76" s="98"/>
      <c r="Z76" s="98"/>
      <c r="AA76" s="98"/>
      <c r="AB76" s="98"/>
      <c r="AC76" s="98"/>
      <c r="AD76" s="98"/>
      <c r="AE76" s="98"/>
      <c r="AF76" s="98"/>
      <c r="AG76" s="98"/>
      <c r="AH76" s="98"/>
      <c r="AI76" s="98"/>
      <c r="AJ76" s="98"/>
      <c r="AK76" s="98"/>
    </row>
    <row r="77" spans="1:37" ht="12.75" customHeight="1" x14ac:dyDescent="0.2">
      <c r="A77" s="118" t="s">
        <v>1237</v>
      </c>
      <c r="B77" s="114"/>
      <c r="C77" s="114"/>
      <c r="D77" s="114"/>
      <c r="E77" s="114"/>
      <c r="F77" s="114"/>
      <c r="G77" s="114"/>
      <c r="H77" s="114"/>
      <c r="I77" s="114"/>
      <c r="J77" s="114"/>
      <c r="K77" s="114"/>
      <c r="L77" s="114"/>
      <c r="M77" s="114"/>
      <c r="N77" s="114"/>
      <c r="O77" s="114"/>
      <c r="P77" s="114"/>
      <c r="Q77" s="98"/>
      <c r="R77" s="98"/>
      <c r="S77" s="98"/>
      <c r="T77" s="98"/>
      <c r="U77" s="98"/>
      <c r="V77" s="98"/>
      <c r="W77" s="98"/>
      <c r="X77" s="98"/>
      <c r="Y77" s="98"/>
      <c r="Z77" s="98"/>
      <c r="AA77" s="98"/>
      <c r="AB77" s="98"/>
      <c r="AC77" s="98"/>
      <c r="AD77" s="98"/>
      <c r="AE77" s="98"/>
      <c r="AF77" s="98"/>
      <c r="AG77" s="98"/>
      <c r="AH77" s="98"/>
      <c r="AI77" s="98"/>
      <c r="AJ77" s="98"/>
      <c r="AK77" s="98"/>
    </row>
    <row r="78" spans="1:37" ht="12.75" customHeight="1" x14ac:dyDescent="0.2">
      <c r="A78" s="122" t="s">
        <v>1238</v>
      </c>
      <c r="B78" s="114"/>
      <c r="C78" s="114"/>
      <c r="D78" s="114"/>
      <c r="E78" s="114"/>
      <c r="F78" s="114"/>
      <c r="G78" s="114"/>
      <c r="H78" s="114"/>
      <c r="I78" s="114"/>
      <c r="J78" s="114"/>
      <c r="K78" s="114"/>
      <c r="L78" s="114"/>
      <c r="M78" s="114"/>
      <c r="N78" s="114"/>
      <c r="O78" s="114"/>
      <c r="P78" s="114"/>
      <c r="Q78" s="98"/>
      <c r="R78" s="98"/>
      <c r="S78" s="98"/>
      <c r="T78" s="98"/>
      <c r="U78" s="98"/>
      <c r="V78" s="98"/>
      <c r="W78" s="98"/>
      <c r="X78" s="98"/>
      <c r="Y78" s="98"/>
      <c r="Z78" s="98"/>
      <c r="AA78" s="98"/>
      <c r="AB78" s="98"/>
      <c r="AC78" s="98"/>
      <c r="AD78" s="98"/>
      <c r="AE78" s="98"/>
      <c r="AF78" s="98"/>
      <c r="AG78" s="98"/>
      <c r="AH78" s="98"/>
      <c r="AI78" s="98"/>
      <c r="AJ78" s="98"/>
      <c r="AK78" s="98"/>
    </row>
    <row r="79" spans="1:37" ht="12.75" customHeight="1" x14ac:dyDescent="0.2">
      <c r="A79" s="118" t="s">
        <v>1239</v>
      </c>
      <c r="B79" s="114"/>
      <c r="C79" s="114"/>
      <c r="D79" s="114"/>
      <c r="E79" s="114"/>
      <c r="F79" s="114"/>
      <c r="G79" s="114"/>
      <c r="H79" s="114"/>
      <c r="I79" s="114"/>
      <c r="J79" s="114"/>
      <c r="K79" s="114"/>
      <c r="L79" s="114"/>
      <c r="M79" s="114"/>
      <c r="N79" s="114"/>
      <c r="O79" s="114"/>
      <c r="P79" s="114"/>
      <c r="Q79" s="98"/>
      <c r="R79" s="98"/>
      <c r="S79" s="98"/>
      <c r="T79" s="98"/>
      <c r="U79" s="98"/>
      <c r="V79" s="98"/>
      <c r="W79" s="98"/>
      <c r="X79" s="98"/>
      <c r="Y79" s="98"/>
      <c r="Z79" s="98"/>
      <c r="AA79" s="98"/>
      <c r="AB79" s="98"/>
      <c r="AC79" s="98"/>
      <c r="AD79" s="98"/>
      <c r="AE79" s="98"/>
      <c r="AF79" s="98"/>
      <c r="AG79" s="98"/>
      <c r="AH79" s="98"/>
      <c r="AI79" s="98"/>
      <c r="AJ79" s="98"/>
      <c r="AK79" s="98"/>
    </row>
    <row r="80" spans="1:37" ht="12.75" customHeight="1" x14ac:dyDescent="0.2">
      <c r="A80" s="119" t="s">
        <v>1240</v>
      </c>
      <c r="B80" s="114"/>
      <c r="C80" s="114"/>
      <c r="D80" s="114"/>
      <c r="E80" s="114"/>
      <c r="F80" s="114"/>
      <c r="G80" s="114"/>
      <c r="H80" s="114"/>
      <c r="I80" s="114"/>
      <c r="J80" s="114"/>
      <c r="K80" s="114"/>
      <c r="L80" s="114"/>
      <c r="M80" s="114"/>
      <c r="N80" s="114"/>
      <c r="O80" s="114"/>
      <c r="P80" s="114"/>
      <c r="Q80" s="98"/>
      <c r="R80" s="98"/>
      <c r="S80" s="98"/>
      <c r="T80" s="98"/>
      <c r="U80" s="98"/>
      <c r="V80" s="98"/>
      <c r="W80" s="98"/>
      <c r="X80" s="98"/>
      <c r="Y80" s="98"/>
      <c r="Z80" s="98"/>
      <c r="AA80" s="98"/>
      <c r="AB80" s="98"/>
      <c r="AC80" s="98"/>
      <c r="AD80" s="98"/>
      <c r="AE80" s="98"/>
      <c r="AF80" s="98"/>
      <c r="AG80" s="98"/>
      <c r="AH80" s="98"/>
      <c r="AI80" s="98"/>
      <c r="AJ80" s="98"/>
      <c r="AK80" s="98"/>
    </row>
    <row r="81" spans="1:37" ht="12.75" customHeight="1" x14ac:dyDescent="0.2">
      <c r="A81" s="120" t="s">
        <v>1241</v>
      </c>
      <c r="B81" s="114"/>
      <c r="C81" s="114"/>
      <c r="D81" s="114"/>
      <c r="E81" s="114"/>
      <c r="F81" s="114"/>
      <c r="G81" s="114"/>
      <c r="H81" s="114"/>
      <c r="I81" s="114"/>
      <c r="J81" s="114"/>
      <c r="K81" s="114"/>
      <c r="L81" s="114"/>
      <c r="M81" s="114"/>
      <c r="N81" s="114"/>
      <c r="O81" s="114"/>
      <c r="P81" s="114"/>
      <c r="Q81" s="98"/>
      <c r="R81" s="98"/>
      <c r="S81" s="98"/>
      <c r="T81" s="98"/>
      <c r="U81" s="98"/>
      <c r="V81" s="98"/>
      <c r="W81" s="98"/>
      <c r="X81" s="98"/>
      <c r="Y81" s="98"/>
      <c r="Z81" s="98"/>
      <c r="AA81" s="98"/>
      <c r="AB81" s="98"/>
      <c r="AC81" s="98"/>
      <c r="AD81" s="98"/>
      <c r="AE81" s="98"/>
      <c r="AF81" s="98"/>
      <c r="AG81" s="98"/>
      <c r="AH81" s="98"/>
      <c r="AI81" s="98"/>
      <c r="AJ81" s="98"/>
      <c r="AK81" s="98"/>
    </row>
    <row r="82" spans="1:37" ht="12.75" customHeight="1" x14ac:dyDescent="0.2">
      <c r="A82" s="118" t="s">
        <v>1242</v>
      </c>
      <c r="B82" s="114"/>
      <c r="C82" s="114"/>
      <c r="D82" s="114"/>
      <c r="E82" s="114"/>
      <c r="F82" s="114"/>
      <c r="G82" s="114"/>
      <c r="H82" s="114"/>
      <c r="I82" s="114"/>
      <c r="J82" s="114"/>
      <c r="K82" s="114"/>
      <c r="L82" s="114"/>
      <c r="M82" s="114"/>
      <c r="N82" s="114"/>
      <c r="O82" s="114"/>
      <c r="P82" s="114"/>
      <c r="Q82" s="98"/>
      <c r="R82" s="98"/>
      <c r="S82" s="98"/>
      <c r="T82" s="98"/>
      <c r="U82" s="98"/>
      <c r="V82" s="98"/>
      <c r="W82" s="98"/>
      <c r="X82" s="98"/>
      <c r="Y82" s="98"/>
      <c r="Z82" s="98"/>
      <c r="AA82" s="98"/>
      <c r="AB82" s="98"/>
      <c r="AC82" s="98"/>
      <c r="AD82" s="98"/>
      <c r="AE82" s="98"/>
      <c r="AF82" s="98"/>
      <c r="AG82" s="98"/>
      <c r="AH82" s="98"/>
      <c r="AI82" s="98"/>
      <c r="AJ82" s="98"/>
      <c r="AK82" s="98"/>
    </row>
    <row r="83" spans="1:37" ht="12.75" customHeight="1" x14ac:dyDescent="0.2">
      <c r="A83" s="119" t="s">
        <v>1243</v>
      </c>
      <c r="B83" s="114"/>
      <c r="C83" s="114"/>
      <c r="D83" s="114"/>
      <c r="E83" s="114"/>
      <c r="F83" s="114"/>
      <c r="G83" s="114"/>
      <c r="H83" s="114"/>
      <c r="I83" s="114"/>
      <c r="J83" s="114"/>
      <c r="K83" s="114"/>
      <c r="L83" s="114"/>
      <c r="M83" s="114"/>
      <c r="N83" s="114"/>
      <c r="O83" s="114"/>
      <c r="P83" s="114"/>
      <c r="Q83" s="98"/>
      <c r="R83" s="98"/>
      <c r="S83" s="98"/>
      <c r="T83" s="98"/>
      <c r="U83" s="98"/>
      <c r="V83" s="98"/>
      <c r="W83" s="98"/>
      <c r="X83" s="98"/>
      <c r="Y83" s="98"/>
      <c r="Z83" s="98"/>
      <c r="AA83" s="98"/>
      <c r="AB83" s="98"/>
      <c r="AC83" s="98"/>
      <c r="AD83" s="98"/>
      <c r="AE83" s="98"/>
      <c r="AF83" s="98"/>
      <c r="AG83" s="98"/>
      <c r="AH83" s="98"/>
      <c r="AI83" s="98"/>
      <c r="AJ83" s="98"/>
      <c r="AK83" s="98"/>
    </row>
    <row r="84" spans="1:37" ht="12.75" customHeight="1" x14ac:dyDescent="0.2">
      <c r="A84" s="120" t="s">
        <v>1244</v>
      </c>
      <c r="B84" s="114"/>
      <c r="C84" s="114"/>
      <c r="D84" s="114"/>
      <c r="E84" s="114"/>
      <c r="F84" s="114"/>
      <c r="G84" s="114"/>
      <c r="H84" s="114"/>
      <c r="I84" s="114"/>
      <c r="J84" s="114"/>
      <c r="K84" s="114"/>
      <c r="L84" s="114"/>
      <c r="M84" s="114"/>
      <c r="N84" s="114"/>
      <c r="O84" s="114"/>
      <c r="P84" s="114"/>
      <c r="Q84" s="98"/>
      <c r="R84" s="98"/>
      <c r="S84" s="98"/>
      <c r="T84" s="98"/>
      <c r="U84" s="98"/>
      <c r="V84" s="98"/>
      <c r="W84" s="98"/>
      <c r="X84" s="98"/>
      <c r="Y84" s="98"/>
      <c r="Z84" s="98"/>
      <c r="AA84" s="98"/>
      <c r="AB84" s="98"/>
      <c r="AC84" s="98"/>
      <c r="AD84" s="98"/>
      <c r="AE84" s="98"/>
      <c r="AF84" s="98"/>
      <c r="AG84" s="98"/>
      <c r="AH84" s="98"/>
      <c r="AI84" s="98"/>
      <c r="AJ84" s="98"/>
      <c r="AK84" s="98"/>
    </row>
    <row r="85" spans="1:37" ht="12.75" customHeight="1" x14ac:dyDescent="0.2">
      <c r="A85" s="118" t="s">
        <v>1245</v>
      </c>
      <c r="B85" s="114"/>
      <c r="C85" s="114"/>
      <c r="D85" s="114"/>
      <c r="E85" s="114"/>
      <c r="F85" s="114"/>
      <c r="G85" s="114"/>
      <c r="H85" s="114"/>
      <c r="I85" s="114"/>
      <c r="J85" s="114"/>
      <c r="K85" s="114"/>
      <c r="L85" s="114"/>
      <c r="M85" s="114"/>
      <c r="N85" s="114"/>
      <c r="O85" s="114"/>
      <c r="P85" s="114"/>
      <c r="Q85" s="98"/>
      <c r="R85" s="98"/>
      <c r="S85" s="98"/>
      <c r="T85" s="98"/>
      <c r="U85" s="98"/>
      <c r="V85" s="98"/>
      <c r="W85" s="98"/>
      <c r="X85" s="98"/>
      <c r="Y85" s="98"/>
      <c r="Z85" s="98"/>
      <c r="AA85" s="98"/>
      <c r="AB85" s="98"/>
      <c r="AC85" s="98"/>
      <c r="AD85" s="98"/>
      <c r="AE85" s="98"/>
      <c r="AF85" s="98"/>
      <c r="AG85" s="98"/>
      <c r="AH85" s="98"/>
      <c r="AI85" s="98"/>
      <c r="AJ85" s="98"/>
      <c r="AK85" s="98"/>
    </row>
    <row r="86" spans="1:37" ht="12.75" customHeight="1" x14ac:dyDescent="0.2">
      <c r="A86" s="122" t="s">
        <v>1246</v>
      </c>
      <c r="B86" s="114"/>
      <c r="C86" s="114"/>
      <c r="D86" s="114"/>
      <c r="E86" s="114"/>
      <c r="F86" s="114"/>
      <c r="G86" s="114"/>
      <c r="H86" s="114"/>
      <c r="I86" s="114"/>
      <c r="J86" s="114"/>
      <c r="K86" s="114"/>
      <c r="L86" s="114"/>
      <c r="M86" s="114"/>
      <c r="N86" s="114"/>
      <c r="O86" s="114"/>
      <c r="P86" s="114"/>
      <c r="Q86" s="98"/>
      <c r="R86" s="98"/>
      <c r="S86" s="98"/>
      <c r="T86" s="98"/>
      <c r="U86" s="98"/>
      <c r="V86" s="98"/>
      <c r="W86" s="98"/>
      <c r="X86" s="98"/>
      <c r="Y86" s="98"/>
      <c r="Z86" s="98"/>
      <c r="AA86" s="98"/>
      <c r="AB86" s="98"/>
      <c r="AC86" s="98"/>
      <c r="AD86" s="98"/>
      <c r="AE86" s="98"/>
      <c r="AF86" s="98"/>
      <c r="AG86" s="98"/>
      <c r="AH86" s="98"/>
      <c r="AI86" s="98"/>
      <c r="AJ86" s="98"/>
      <c r="AK86" s="98"/>
    </row>
    <row r="87" spans="1:37" ht="12.75" customHeight="1" x14ac:dyDescent="0.2">
      <c r="A87" s="118" t="s">
        <v>1247</v>
      </c>
      <c r="B87" s="114"/>
      <c r="C87" s="114"/>
      <c r="D87" s="114"/>
      <c r="E87" s="114"/>
      <c r="F87" s="114"/>
      <c r="G87" s="114"/>
      <c r="H87" s="114"/>
      <c r="I87" s="114"/>
      <c r="J87" s="114"/>
      <c r="K87" s="114"/>
      <c r="L87" s="114"/>
      <c r="M87" s="114"/>
      <c r="N87" s="114"/>
      <c r="O87" s="114"/>
      <c r="P87" s="114"/>
      <c r="Q87" s="98"/>
      <c r="R87" s="98"/>
      <c r="S87" s="98"/>
      <c r="T87" s="98"/>
      <c r="U87" s="98"/>
      <c r="V87" s="98"/>
      <c r="W87" s="98"/>
      <c r="X87" s="98"/>
      <c r="Y87" s="98"/>
      <c r="Z87" s="98"/>
      <c r="AA87" s="98"/>
      <c r="AB87" s="98"/>
      <c r="AC87" s="98"/>
      <c r="AD87" s="98"/>
      <c r="AE87" s="98"/>
      <c r="AF87" s="98"/>
      <c r="AG87" s="98"/>
      <c r="AH87" s="98"/>
      <c r="AI87" s="98"/>
      <c r="AJ87" s="98"/>
      <c r="AK87" s="98"/>
    </row>
    <row r="88" spans="1:37" ht="12.75" customHeight="1" x14ac:dyDescent="0.2">
      <c r="A88" s="119" t="s">
        <v>1248</v>
      </c>
      <c r="B88" s="114"/>
      <c r="C88" s="114"/>
      <c r="D88" s="114"/>
      <c r="E88" s="114"/>
      <c r="F88" s="114"/>
      <c r="G88" s="114"/>
      <c r="H88" s="114"/>
      <c r="I88" s="114"/>
      <c r="J88" s="114"/>
      <c r="K88" s="114"/>
      <c r="L88" s="114"/>
      <c r="M88" s="114"/>
      <c r="N88" s="114"/>
      <c r="O88" s="114"/>
      <c r="P88" s="114"/>
      <c r="Q88" s="98"/>
      <c r="R88" s="98"/>
      <c r="S88" s="98"/>
      <c r="T88" s="98"/>
      <c r="U88" s="98"/>
      <c r="V88" s="98"/>
      <c r="W88" s="98"/>
      <c r="X88" s="98"/>
      <c r="Y88" s="98"/>
      <c r="Z88" s="98"/>
      <c r="AA88" s="98"/>
      <c r="AB88" s="98"/>
      <c r="AC88" s="98"/>
      <c r="AD88" s="98"/>
      <c r="AE88" s="98"/>
      <c r="AF88" s="98"/>
      <c r="AG88" s="98"/>
      <c r="AH88" s="98"/>
      <c r="AI88" s="98"/>
      <c r="AJ88" s="98"/>
      <c r="AK88" s="98"/>
    </row>
    <row r="89" spans="1:37" ht="12.75" customHeight="1" x14ac:dyDescent="0.2">
      <c r="A89" s="120" t="s">
        <v>1249</v>
      </c>
      <c r="B89" s="114"/>
      <c r="C89" s="114"/>
      <c r="D89" s="114"/>
      <c r="E89" s="114"/>
      <c r="F89" s="114"/>
      <c r="G89" s="114"/>
      <c r="H89" s="114"/>
      <c r="I89" s="114"/>
      <c r="J89" s="114"/>
      <c r="K89" s="114"/>
      <c r="L89" s="114"/>
      <c r="M89" s="114"/>
      <c r="N89" s="114"/>
      <c r="O89" s="114"/>
      <c r="P89" s="114"/>
      <c r="Q89" s="98"/>
      <c r="R89" s="98"/>
      <c r="S89" s="98"/>
      <c r="T89" s="98"/>
      <c r="U89" s="98"/>
      <c r="V89" s="98"/>
      <c r="W89" s="98"/>
      <c r="X89" s="98"/>
      <c r="Y89" s="98"/>
      <c r="Z89" s="98"/>
      <c r="AA89" s="98"/>
      <c r="AB89" s="98"/>
      <c r="AC89" s="98"/>
      <c r="AD89" s="98"/>
      <c r="AE89" s="98"/>
      <c r="AF89" s="98"/>
      <c r="AG89" s="98"/>
      <c r="AH89" s="98"/>
      <c r="AI89" s="98"/>
      <c r="AJ89" s="98"/>
      <c r="AK89" s="98"/>
    </row>
    <row r="90" spans="1:37" ht="12.75" customHeight="1" x14ac:dyDescent="0.2">
      <c r="A90" s="118" t="s">
        <v>1250</v>
      </c>
      <c r="B90" s="114"/>
      <c r="C90" s="114"/>
      <c r="D90" s="114"/>
      <c r="E90" s="114"/>
      <c r="F90" s="114"/>
      <c r="G90" s="114"/>
      <c r="H90" s="114"/>
      <c r="I90" s="114"/>
      <c r="J90" s="114"/>
      <c r="K90" s="114"/>
      <c r="L90" s="114"/>
      <c r="M90" s="114"/>
      <c r="N90" s="114"/>
      <c r="O90" s="114"/>
      <c r="P90" s="114"/>
      <c r="Q90" s="98"/>
      <c r="R90" s="98"/>
      <c r="S90" s="98"/>
      <c r="T90" s="98"/>
      <c r="U90" s="98"/>
      <c r="V90" s="98"/>
      <c r="W90" s="98"/>
      <c r="X90" s="98"/>
      <c r="Y90" s="98"/>
      <c r="Z90" s="98"/>
      <c r="AA90" s="98"/>
      <c r="AB90" s="98"/>
      <c r="AC90" s="98"/>
      <c r="AD90" s="98"/>
      <c r="AE90" s="98"/>
      <c r="AF90" s="98"/>
      <c r="AG90" s="98"/>
      <c r="AH90" s="98"/>
      <c r="AI90" s="98"/>
      <c r="AJ90" s="98"/>
      <c r="AK90" s="98"/>
    </row>
    <row r="91" spans="1:37" ht="12.75" customHeight="1" x14ac:dyDescent="0.2">
      <c r="A91" s="121" t="s">
        <v>1251</v>
      </c>
      <c r="B91" s="114"/>
      <c r="C91" s="114"/>
      <c r="D91" s="114"/>
      <c r="E91" s="114"/>
      <c r="F91" s="114"/>
      <c r="G91" s="114"/>
      <c r="H91" s="114"/>
      <c r="I91" s="114"/>
      <c r="J91" s="114"/>
      <c r="K91" s="114"/>
      <c r="L91" s="114"/>
      <c r="M91" s="114"/>
      <c r="N91" s="114"/>
      <c r="O91" s="114"/>
      <c r="P91" s="114"/>
      <c r="Q91" s="98"/>
      <c r="R91" s="98"/>
      <c r="S91" s="98"/>
      <c r="T91" s="98"/>
      <c r="U91" s="98"/>
      <c r="V91" s="98"/>
      <c r="W91" s="98"/>
      <c r="X91" s="98"/>
      <c r="Y91" s="98"/>
      <c r="Z91" s="98"/>
      <c r="AA91" s="98"/>
      <c r="AB91" s="98"/>
      <c r="AC91" s="98"/>
      <c r="AD91" s="98"/>
      <c r="AE91" s="98"/>
      <c r="AF91" s="98"/>
      <c r="AG91" s="98"/>
      <c r="AH91" s="98"/>
      <c r="AI91" s="98"/>
      <c r="AJ91" s="98"/>
      <c r="AK91" s="98"/>
    </row>
    <row r="92" spans="1:37" ht="12.75" customHeight="1" x14ac:dyDescent="0.2">
      <c r="A92" s="123" t="s">
        <v>1252</v>
      </c>
      <c r="B92" s="114"/>
      <c r="C92" s="114"/>
      <c r="D92" s="114"/>
      <c r="E92" s="114"/>
      <c r="F92" s="114"/>
      <c r="G92" s="114"/>
      <c r="H92" s="114"/>
      <c r="I92" s="114"/>
      <c r="J92" s="114"/>
      <c r="K92" s="114"/>
      <c r="L92" s="114"/>
      <c r="M92" s="114"/>
      <c r="N92" s="114"/>
      <c r="O92" s="114"/>
      <c r="P92" s="114"/>
      <c r="Q92" s="98"/>
      <c r="R92" s="98"/>
      <c r="S92" s="98"/>
      <c r="T92" s="98"/>
      <c r="U92" s="98"/>
      <c r="V92" s="98"/>
      <c r="W92" s="98"/>
      <c r="X92" s="98"/>
      <c r="Y92" s="98"/>
      <c r="Z92" s="98"/>
      <c r="AA92" s="98"/>
      <c r="AB92" s="98"/>
      <c r="AC92" s="98"/>
      <c r="AD92" s="98"/>
      <c r="AE92" s="98"/>
      <c r="AF92" s="98"/>
      <c r="AG92" s="98"/>
      <c r="AH92" s="98"/>
      <c r="AI92" s="98"/>
      <c r="AJ92" s="98"/>
      <c r="AK92" s="98"/>
    </row>
    <row r="93" spans="1:37" ht="12.75" customHeight="1" x14ac:dyDescent="0.2">
      <c r="A93" s="123" t="s">
        <v>1253</v>
      </c>
      <c r="B93" s="114"/>
      <c r="C93" s="114"/>
      <c r="D93" s="114"/>
      <c r="E93" s="114"/>
      <c r="F93" s="114"/>
      <c r="G93" s="114"/>
      <c r="H93" s="114"/>
      <c r="I93" s="114"/>
      <c r="J93" s="114"/>
      <c r="K93" s="114"/>
      <c r="L93" s="114"/>
      <c r="M93" s="114"/>
      <c r="N93" s="114"/>
      <c r="O93" s="114"/>
      <c r="P93" s="114"/>
      <c r="Q93" s="98"/>
      <c r="R93" s="98"/>
      <c r="S93" s="98"/>
      <c r="T93" s="98"/>
      <c r="U93" s="98"/>
      <c r="V93" s="98"/>
      <c r="W93" s="98"/>
      <c r="X93" s="98"/>
      <c r="Y93" s="98"/>
      <c r="Z93" s="98"/>
      <c r="AA93" s="98"/>
      <c r="AB93" s="98"/>
      <c r="AC93" s="98"/>
      <c r="AD93" s="98"/>
      <c r="AE93" s="98"/>
      <c r="AF93" s="98"/>
      <c r="AG93" s="98"/>
      <c r="AH93" s="98"/>
      <c r="AI93" s="98"/>
      <c r="AJ93" s="98"/>
      <c r="AK93" s="98"/>
    </row>
    <row r="94" spans="1:37" ht="12.75" customHeight="1" x14ac:dyDescent="0.2">
      <c r="A94" s="123" t="s">
        <v>1254</v>
      </c>
      <c r="B94" s="114"/>
      <c r="C94" s="114"/>
      <c r="D94" s="114"/>
      <c r="E94" s="114"/>
      <c r="F94" s="114"/>
      <c r="G94" s="114"/>
      <c r="H94" s="114"/>
      <c r="I94" s="114"/>
      <c r="J94" s="114"/>
      <c r="K94" s="114"/>
      <c r="L94" s="114"/>
      <c r="M94" s="114"/>
      <c r="N94" s="114"/>
      <c r="O94" s="114"/>
      <c r="P94" s="114"/>
      <c r="Q94" s="98"/>
      <c r="R94" s="98"/>
      <c r="S94" s="98"/>
      <c r="T94" s="98"/>
      <c r="U94" s="98"/>
      <c r="V94" s="98"/>
      <c r="W94" s="98"/>
      <c r="X94" s="98"/>
      <c r="Y94" s="98"/>
      <c r="Z94" s="98"/>
      <c r="AA94" s="98"/>
      <c r="AB94" s="98"/>
      <c r="AC94" s="98"/>
      <c r="AD94" s="98"/>
      <c r="AE94" s="98"/>
      <c r="AF94" s="98"/>
      <c r="AG94" s="98"/>
      <c r="AH94" s="98"/>
      <c r="AI94" s="98"/>
      <c r="AJ94" s="98"/>
      <c r="AK94" s="98"/>
    </row>
    <row r="95" spans="1:37" ht="12.75" customHeight="1" x14ac:dyDescent="0.2">
      <c r="A95" s="121" t="s">
        <v>1255</v>
      </c>
      <c r="B95" s="114"/>
      <c r="C95" s="114"/>
      <c r="D95" s="114"/>
      <c r="E95" s="114"/>
      <c r="F95" s="114"/>
      <c r="G95" s="114"/>
      <c r="H95" s="114"/>
      <c r="I95" s="114"/>
      <c r="J95" s="114"/>
      <c r="K95" s="114"/>
      <c r="L95" s="114"/>
      <c r="M95" s="114"/>
      <c r="N95" s="114"/>
      <c r="O95" s="114"/>
      <c r="P95" s="114"/>
      <c r="Q95" s="98"/>
      <c r="R95" s="98"/>
      <c r="S95" s="98"/>
      <c r="T95" s="98"/>
      <c r="U95" s="98"/>
      <c r="V95" s="98"/>
      <c r="W95" s="98"/>
      <c r="X95" s="98"/>
      <c r="Y95" s="98"/>
      <c r="Z95" s="98"/>
      <c r="AA95" s="98"/>
      <c r="AB95" s="98"/>
      <c r="AC95" s="98"/>
      <c r="AD95" s="98"/>
      <c r="AE95" s="98"/>
      <c r="AF95" s="98"/>
      <c r="AG95" s="98"/>
      <c r="AH95" s="98"/>
      <c r="AI95" s="98"/>
      <c r="AJ95" s="98"/>
      <c r="AK95" s="98"/>
    </row>
    <row r="96" spans="1:37" ht="12.75" customHeight="1" x14ac:dyDescent="0.2">
      <c r="A96" s="123" t="s">
        <v>1256</v>
      </c>
      <c r="B96" s="114"/>
      <c r="C96" s="114"/>
      <c r="D96" s="114"/>
      <c r="E96" s="114"/>
      <c r="F96" s="114"/>
      <c r="G96" s="114"/>
      <c r="H96" s="114"/>
      <c r="I96" s="114"/>
      <c r="J96" s="114"/>
      <c r="K96" s="114"/>
      <c r="L96" s="114"/>
      <c r="M96" s="114"/>
      <c r="N96" s="114"/>
      <c r="O96" s="114"/>
      <c r="P96" s="114"/>
      <c r="Q96" s="98"/>
      <c r="R96" s="98"/>
      <c r="S96" s="98"/>
      <c r="T96" s="98"/>
      <c r="U96" s="98"/>
      <c r="V96" s="98"/>
      <c r="W96" s="98"/>
      <c r="X96" s="98"/>
      <c r="Y96" s="98"/>
      <c r="Z96" s="98"/>
      <c r="AA96" s="98"/>
      <c r="AB96" s="98"/>
      <c r="AC96" s="98"/>
      <c r="AD96" s="98"/>
      <c r="AE96" s="98"/>
      <c r="AF96" s="98"/>
      <c r="AG96" s="98"/>
      <c r="AH96" s="98"/>
      <c r="AI96" s="98"/>
      <c r="AJ96" s="98"/>
      <c r="AK96" s="98"/>
    </row>
    <row r="97" spans="1:37" ht="12.75" customHeight="1" x14ac:dyDescent="0.2">
      <c r="A97" s="123" t="s">
        <v>1257</v>
      </c>
      <c r="B97" s="114"/>
      <c r="C97" s="114"/>
      <c r="D97" s="114"/>
      <c r="E97" s="114"/>
      <c r="F97" s="114"/>
      <c r="G97" s="114"/>
      <c r="H97" s="114"/>
      <c r="I97" s="114"/>
      <c r="J97" s="114"/>
      <c r="K97" s="114"/>
      <c r="L97" s="114"/>
      <c r="M97" s="114"/>
      <c r="N97" s="114"/>
      <c r="O97" s="114"/>
      <c r="P97" s="114"/>
      <c r="Q97" s="99"/>
      <c r="R97" s="99"/>
      <c r="S97" s="99"/>
      <c r="T97" s="99"/>
      <c r="U97" s="99"/>
      <c r="V97" s="99"/>
      <c r="W97" s="99"/>
      <c r="X97" s="99"/>
      <c r="Y97" s="99"/>
      <c r="Z97" s="99"/>
      <c r="AA97" s="99"/>
      <c r="AB97" s="99"/>
      <c r="AC97" s="99"/>
      <c r="AD97" s="99"/>
      <c r="AE97" s="99"/>
      <c r="AF97" s="99"/>
      <c r="AG97" s="99"/>
      <c r="AH97" s="99"/>
      <c r="AI97" s="99"/>
      <c r="AJ97" s="99"/>
      <c r="AK97" s="99"/>
    </row>
    <row r="98" spans="1:37" ht="12.75" customHeight="1" x14ac:dyDescent="0.2">
      <c r="A98" s="121" t="s">
        <v>1258</v>
      </c>
      <c r="B98" s="114"/>
      <c r="C98" s="114"/>
      <c r="D98" s="114"/>
      <c r="E98" s="114"/>
      <c r="F98" s="114"/>
      <c r="G98" s="114"/>
      <c r="H98" s="114"/>
      <c r="I98" s="114"/>
      <c r="J98" s="114"/>
      <c r="K98" s="114"/>
      <c r="L98" s="114"/>
      <c r="M98" s="114"/>
      <c r="N98" s="114"/>
      <c r="O98" s="114"/>
      <c r="P98" s="114"/>
      <c r="Q98" s="98"/>
      <c r="R98" s="98"/>
      <c r="S98" s="98"/>
      <c r="T98" s="98"/>
      <c r="U98" s="98"/>
      <c r="V98" s="98"/>
      <c r="W98" s="98"/>
      <c r="X98" s="98"/>
      <c r="Y98" s="98"/>
      <c r="Z98" s="98"/>
      <c r="AA98" s="98"/>
      <c r="AB98" s="98"/>
      <c r="AC98" s="98"/>
      <c r="AD98" s="98"/>
      <c r="AE98" s="98"/>
      <c r="AF98" s="98"/>
      <c r="AG98" s="98"/>
      <c r="AH98" s="98"/>
      <c r="AI98" s="98"/>
      <c r="AJ98" s="98"/>
      <c r="AK98" s="98"/>
    </row>
    <row r="99" spans="1:37" ht="12.75" customHeight="1" x14ac:dyDescent="0.2">
      <c r="A99" s="119" t="s">
        <v>1259</v>
      </c>
      <c r="B99" s="114"/>
      <c r="C99" s="114"/>
      <c r="D99" s="114"/>
      <c r="E99" s="114"/>
      <c r="F99" s="114"/>
      <c r="G99" s="114"/>
      <c r="H99" s="114"/>
      <c r="I99" s="114"/>
      <c r="J99" s="114"/>
      <c r="K99" s="114"/>
      <c r="L99" s="114"/>
      <c r="M99" s="114"/>
      <c r="N99" s="114"/>
      <c r="O99" s="114"/>
      <c r="P99" s="114"/>
      <c r="Q99" s="98"/>
      <c r="R99" s="98"/>
      <c r="S99" s="98"/>
      <c r="T99" s="98"/>
      <c r="U99" s="98"/>
      <c r="V99" s="98"/>
      <c r="W99" s="98"/>
      <c r="X99" s="98"/>
      <c r="Y99" s="98"/>
      <c r="Z99" s="98"/>
      <c r="AA99" s="98"/>
      <c r="AB99" s="98"/>
      <c r="AC99" s="98"/>
      <c r="AD99" s="98"/>
      <c r="AE99" s="98"/>
      <c r="AF99" s="98"/>
      <c r="AG99" s="98"/>
      <c r="AH99" s="98"/>
      <c r="AI99" s="98"/>
      <c r="AJ99" s="98"/>
      <c r="AK99" s="98"/>
    </row>
    <row r="100" spans="1:37" ht="12.75" customHeight="1" x14ac:dyDescent="0.2">
      <c r="A100" s="123" t="s">
        <v>1260</v>
      </c>
      <c r="B100" s="114"/>
      <c r="C100" s="114"/>
      <c r="D100" s="114"/>
      <c r="E100" s="114"/>
      <c r="F100" s="114"/>
      <c r="G100" s="114"/>
      <c r="H100" s="114"/>
      <c r="I100" s="114"/>
      <c r="J100" s="114"/>
      <c r="K100" s="114"/>
      <c r="L100" s="114"/>
      <c r="M100" s="114"/>
      <c r="N100" s="114"/>
      <c r="O100" s="114"/>
      <c r="P100" s="114"/>
      <c r="Q100" s="98"/>
      <c r="R100" s="98"/>
      <c r="S100" s="98"/>
      <c r="T100" s="98"/>
      <c r="U100" s="98"/>
      <c r="V100" s="98"/>
      <c r="W100" s="98"/>
      <c r="X100" s="98"/>
      <c r="Y100" s="98"/>
      <c r="Z100" s="98"/>
      <c r="AA100" s="98"/>
      <c r="AB100" s="98"/>
      <c r="AC100" s="98"/>
      <c r="AD100" s="98"/>
      <c r="AE100" s="98"/>
      <c r="AF100" s="98"/>
      <c r="AG100" s="98"/>
      <c r="AH100" s="98"/>
      <c r="AI100" s="98"/>
      <c r="AJ100" s="98"/>
      <c r="AK100" s="98"/>
    </row>
    <row r="101" spans="1:37" ht="12.75" customHeight="1" x14ac:dyDescent="0.2">
      <c r="A101" s="123" t="s">
        <v>1261</v>
      </c>
      <c r="B101" s="114"/>
      <c r="C101" s="114"/>
      <c r="D101" s="114"/>
      <c r="E101" s="114"/>
      <c r="F101" s="114"/>
      <c r="G101" s="114"/>
      <c r="H101" s="114"/>
      <c r="I101" s="114"/>
      <c r="J101" s="114"/>
      <c r="K101" s="114"/>
      <c r="L101" s="114"/>
      <c r="M101" s="114"/>
      <c r="N101" s="114"/>
      <c r="O101" s="114"/>
      <c r="P101" s="114"/>
      <c r="Q101" s="98"/>
      <c r="R101" s="98"/>
      <c r="S101" s="98"/>
      <c r="T101" s="98"/>
      <c r="U101" s="98"/>
      <c r="V101" s="98"/>
      <c r="W101" s="98"/>
      <c r="X101" s="98"/>
      <c r="Y101" s="98"/>
      <c r="Z101" s="98"/>
      <c r="AA101" s="98"/>
      <c r="AB101" s="98"/>
      <c r="AC101" s="98"/>
      <c r="AD101" s="98"/>
      <c r="AE101" s="98"/>
      <c r="AF101" s="98"/>
      <c r="AG101" s="98"/>
      <c r="AH101" s="98"/>
      <c r="AI101" s="98"/>
      <c r="AJ101" s="98"/>
      <c r="AK101" s="98"/>
    </row>
    <row r="102" spans="1:37" ht="12.75" customHeight="1" x14ac:dyDescent="0.2">
      <c r="A102" s="123" t="s">
        <v>1262</v>
      </c>
      <c r="B102" s="114"/>
      <c r="C102" s="114"/>
      <c r="D102" s="114"/>
      <c r="E102" s="114"/>
      <c r="F102" s="114"/>
      <c r="G102" s="114"/>
      <c r="H102" s="114"/>
      <c r="I102" s="114"/>
      <c r="J102" s="114"/>
      <c r="K102" s="114"/>
      <c r="L102" s="114"/>
      <c r="M102" s="114"/>
      <c r="N102" s="114"/>
      <c r="O102" s="114"/>
      <c r="P102" s="114"/>
      <c r="Q102" s="98"/>
      <c r="R102" s="98"/>
      <c r="S102" s="98"/>
      <c r="T102" s="98"/>
      <c r="U102" s="98"/>
      <c r="V102" s="98"/>
      <c r="W102" s="98"/>
      <c r="X102" s="98"/>
      <c r="Y102" s="98"/>
      <c r="Z102" s="98"/>
      <c r="AA102" s="98"/>
      <c r="AB102" s="98"/>
      <c r="AC102" s="98"/>
      <c r="AD102" s="98"/>
      <c r="AE102" s="98"/>
      <c r="AF102" s="98"/>
      <c r="AG102" s="98"/>
      <c r="AH102" s="98"/>
      <c r="AI102" s="98"/>
      <c r="AJ102" s="98"/>
      <c r="AK102" s="98"/>
    </row>
    <row r="103" spans="1:37" ht="12.75" customHeight="1" x14ac:dyDescent="0.2">
      <c r="A103" s="121" t="s">
        <v>1263</v>
      </c>
      <c r="B103" s="114"/>
      <c r="C103" s="114"/>
      <c r="D103" s="114"/>
      <c r="E103" s="114"/>
      <c r="F103" s="114"/>
      <c r="G103" s="114"/>
      <c r="H103" s="114"/>
      <c r="I103" s="114"/>
      <c r="J103" s="114"/>
      <c r="K103" s="114"/>
      <c r="L103" s="114"/>
      <c r="M103" s="114"/>
      <c r="N103" s="114"/>
      <c r="O103" s="114"/>
      <c r="P103" s="114"/>
      <c r="Q103" s="98"/>
      <c r="R103" s="98"/>
      <c r="S103" s="98"/>
      <c r="T103" s="98"/>
      <c r="U103" s="98"/>
      <c r="V103" s="98"/>
      <c r="W103" s="98"/>
      <c r="X103" s="98"/>
      <c r="Y103" s="98"/>
      <c r="Z103" s="98"/>
      <c r="AA103" s="98"/>
      <c r="AB103" s="98"/>
      <c r="AC103" s="98"/>
      <c r="AD103" s="98"/>
      <c r="AE103" s="98"/>
      <c r="AF103" s="98"/>
      <c r="AG103" s="98"/>
      <c r="AH103" s="98"/>
      <c r="AI103" s="98"/>
      <c r="AJ103" s="98"/>
      <c r="AK103" s="98"/>
    </row>
    <row r="104" spans="1:37" ht="12.75" customHeight="1" x14ac:dyDescent="0.2">
      <c r="A104" s="119" t="s">
        <v>1264</v>
      </c>
      <c r="B104" s="114"/>
      <c r="C104" s="114"/>
      <c r="D104" s="114"/>
      <c r="E104" s="114"/>
      <c r="F104" s="114"/>
      <c r="G104" s="114"/>
      <c r="H104" s="114"/>
      <c r="I104" s="114"/>
      <c r="J104" s="114"/>
      <c r="K104" s="114"/>
      <c r="L104" s="114"/>
      <c r="M104" s="114"/>
      <c r="N104" s="114"/>
      <c r="O104" s="114"/>
      <c r="P104" s="114"/>
      <c r="Q104" s="98"/>
      <c r="R104" s="98"/>
      <c r="S104" s="98"/>
      <c r="T104" s="98"/>
      <c r="U104" s="98"/>
      <c r="V104" s="98"/>
      <c r="W104" s="98"/>
      <c r="X104" s="98"/>
      <c r="Y104" s="98"/>
      <c r="Z104" s="98"/>
      <c r="AA104" s="98"/>
      <c r="AB104" s="98"/>
      <c r="AC104" s="98"/>
      <c r="AD104" s="98"/>
      <c r="AE104" s="98"/>
      <c r="AF104" s="98"/>
      <c r="AG104" s="98"/>
      <c r="AH104" s="98"/>
      <c r="AI104" s="98"/>
      <c r="AJ104" s="98"/>
      <c r="AK104" s="98"/>
    </row>
    <row r="105" spans="1:37" ht="23.25" customHeight="1" x14ac:dyDescent="0.2">
      <c r="A105" s="120" t="s">
        <v>1265</v>
      </c>
      <c r="B105" s="114"/>
      <c r="C105" s="114"/>
      <c r="D105" s="114"/>
      <c r="E105" s="114"/>
      <c r="F105" s="114"/>
      <c r="G105" s="114"/>
      <c r="H105" s="114"/>
      <c r="I105" s="114"/>
      <c r="J105" s="114"/>
      <c r="K105" s="114"/>
      <c r="L105" s="114"/>
      <c r="M105" s="114"/>
      <c r="N105" s="114"/>
      <c r="O105" s="114"/>
      <c r="P105" s="114"/>
      <c r="Q105" s="98"/>
      <c r="R105" s="98"/>
      <c r="S105" s="98"/>
      <c r="T105" s="98"/>
      <c r="U105" s="98"/>
      <c r="V105" s="98"/>
      <c r="W105" s="98"/>
      <c r="X105" s="98"/>
      <c r="Y105" s="98"/>
      <c r="Z105" s="98"/>
      <c r="AA105" s="98"/>
      <c r="AB105" s="98"/>
      <c r="AC105" s="98"/>
      <c r="AD105" s="98"/>
      <c r="AE105" s="98"/>
      <c r="AF105" s="98"/>
      <c r="AG105" s="98"/>
      <c r="AH105" s="98"/>
      <c r="AI105" s="98"/>
      <c r="AJ105" s="98"/>
      <c r="AK105" s="98"/>
    </row>
    <row r="106" spans="1:37" ht="12.75" customHeight="1" x14ac:dyDescent="0.2">
      <c r="A106" s="120" t="s">
        <v>1266</v>
      </c>
      <c r="B106" s="114"/>
      <c r="C106" s="114"/>
      <c r="D106" s="114"/>
      <c r="E106" s="114"/>
      <c r="F106" s="114"/>
      <c r="G106" s="114"/>
      <c r="H106" s="114"/>
      <c r="I106" s="114"/>
      <c r="J106" s="114"/>
      <c r="K106" s="114"/>
      <c r="L106" s="114"/>
      <c r="M106" s="114"/>
      <c r="N106" s="114"/>
      <c r="O106" s="114"/>
      <c r="P106" s="114"/>
      <c r="Q106" s="98"/>
      <c r="R106" s="98"/>
      <c r="S106" s="98"/>
      <c r="T106" s="98"/>
      <c r="U106" s="98"/>
      <c r="V106" s="98"/>
      <c r="W106" s="98"/>
      <c r="X106" s="98"/>
      <c r="Y106" s="98"/>
      <c r="Z106" s="98"/>
      <c r="AA106" s="98"/>
      <c r="AB106" s="98"/>
      <c r="AC106" s="98"/>
      <c r="AD106" s="98"/>
      <c r="AE106" s="98"/>
      <c r="AF106" s="98"/>
      <c r="AG106" s="98"/>
      <c r="AH106" s="98"/>
      <c r="AI106" s="98"/>
      <c r="AJ106" s="98"/>
      <c r="AK106" s="98"/>
    </row>
    <row r="107" spans="1:37" ht="12.75" customHeight="1" x14ac:dyDescent="0.2">
      <c r="A107" s="119" t="s">
        <v>1267</v>
      </c>
      <c r="B107" s="114"/>
      <c r="C107" s="114"/>
      <c r="D107" s="114"/>
      <c r="E107" s="114"/>
      <c r="F107" s="114"/>
      <c r="G107" s="114"/>
      <c r="H107" s="114"/>
      <c r="I107" s="114"/>
      <c r="J107" s="114"/>
      <c r="K107" s="114"/>
      <c r="L107" s="114"/>
      <c r="M107" s="114"/>
      <c r="N107" s="114"/>
      <c r="O107" s="114"/>
      <c r="P107" s="114"/>
      <c r="Q107" s="98"/>
      <c r="R107" s="98"/>
      <c r="S107" s="98"/>
      <c r="T107" s="98"/>
      <c r="U107" s="98"/>
      <c r="V107" s="98"/>
      <c r="W107" s="98"/>
      <c r="X107" s="98"/>
      <c r="Y107" s="98"/>
      <c r="Z107" s="98"/>
      <c r="AA107" s="98"/>
      <c r="AB107" s="98"/>
      <c r="AC107" s="98"/>
      <c r="AD107" s="98"/>
      <c r="AE107" s="98"/>
      <c r="AF107" s="98"/>
      <c r="AG107" s="98"/>
      <c r="AH107" s="98"/>
      <c r="AI107" s="98"/>
      <c r="AJ107" s="98"/>
      <c r="AK107" s="98"/>
    </row>
    <row r="108" spans="1:37" ht="12.75" customHeight="1" x14ac:dyDescent="0.2">
      <c r="A108" s="136" t="s">
        <v>1268</v>
      </c>
      <c r="B108" s="114"/>
      <c r="C108" s="114"/>
      <c r="D108" s="114"/>
      <c r="E108" s="114"/>
      <c r="F108" s="114"/>
      <c r="G108" s="114"/>
      <c r="H108" s="114"/>
      <c r="I108" s="114"/>
      <c r="J108" s="114"/>
      <c r="K108" s="114"/>
      <c r="L108" s="114"/>
      <c r="M108" s="114"/>
      <c r="N108" s="114"/>
      <c r="O108" s="114"/>
      <c r="P108" s="114"/>
      <c r="Q108" s="98"/>
      <c r="R108" s="98"/>
      <c r="S108" s="98"/>
      <c r="T108" s="98"/>
      <c r="U108" s="98"/>
      <c r="V108" s="98"/>
      <c r="W108" s="98"/>
      <c r="X108" s="98"/>
      <c r="Y108" s="98"/>
      <c r="Z108" s="98"/>
      <c r="AA108" s="98"/>
      <c r="AB108" s="98"/>
      <c r="AC108" s="98"/>
      <c r="AD108" s="98"/>
      <c r="AE108" s="98"/>
      <c r="AF108" s="98"/>
      <c r="AG108" s="98"/>
      <c r="AH108" s="98"/>
      <c r="AI108" s="98"/>
      <c r="AJ108" s="98"/>
      <c r="AK108" s="98"/>
    </row>
    <row r="109" spans="1:37" ht="12.75" customHeight="1" x14ac:dyDescent="0.2">
      <c r="A109" s="137" t="s">
        <v>1269</v>
      </c>
      <c r="B109" s="114"/>
      <c r="C109" s="114"/>
      <c r="D109" s="114"/>
      <c r="E109" s="114"/>
      <c r="F109" s="114"/>
      <c r="G109" s="114"/>
      <c r="H109" s="114"/>
      <c r="I109" s="114"/>
      <c r="J109" s="114"/>
      <c r="K109" s="114"/>
      <c r="L109" s="114"/>
      <c r="M109" s="114"/>
      <c r="N109" s="114"/>
      <c r="O109" s="114"/>
      <c r="P109" s="114"/>
      <c r="Q109" s="98"/>
      <c r="R109" s="98"/>
      <c r="S109" s="98"/>
      <c r="T109" s="98"/>
      <c r="U109" s="98"/>
      <c r="V109" s="98"/>
      <c r="W109" s="98"/>
      <c r="X109" s="98"/>
      <c r="Y109" s="98"/>
      <c r="Z109" s="98"/>
      <c r="AA109" s="98"/>
      <c r="AB109" s="98"/>
      <c r="AC109" s="98"/>
      <c r="AD109" s="98"/>
      <c r="AE109" s="98"/>
      <c r="AF109" s="98"/>
      <c r="AG109" s="98"/>
      <c r="AH109" s="98"/>
      <c r="AI109" s="98"/>
      <c r="AJ109" s="98"/>
      <c r="AK109" s="98"/>
    </row>
    <row r="110" spans="1:37" ht="12.75" customHeight="1" x14ac:dyDescent="0.2">
      <c r="A110" s="119" t="s">
        <v>1270</v>
      </c>
      <c r="B110" s="114"/>
      <c r="C110" s="114"/>
      <c r="D110" s="114"/>
      <c r="E110" s="114"/>
      <c r="F110" s="114"/>
      <c r="G110" s="114"/>
      <c r="H110" s="114"/>
      <c r="I110" s="114"/>
      <c r="J110" s="114"/>
      <c r="K110" s="114"/>
      <c r="L110" s="114"/>
      <c r="M110" s="114"/>
      <c r="N110" s="114"/>
      <c r="O110" s="114"/>
      <c r="P110" s="114"/>
      <c r="Q110" s="98"/>
      <c r="R110" s="98"/>
      <c r="S110" s="98"/>
      <c r="T110" s="98"/>
      <c r="U110" s="98"/>
      <c r="V110" s="98"/>
      <c r="W110" s="98"/>
      <c r="X110" s="98"/>
      <c r="Y110" s="98"/>
      <c r="Z110" s="98"/>
      <c r="AA110" s="98"/>
      <c r="AB110" s="98"/>
      <c r="AC110" s="98"/>
      <c r="AD110" s="98"/>
      <c r="AE110" s="98"/>
      <c r="AF110" s="98"/>
      <c r="AG110" s="98"/>
      <c r="AH110" s="98"/>
      <c r="AI110" s="98"/>
      <c r="AJ110" s="98"/>
      <c r="AK110" s="98"/>
    </row>
    <row r="111" spans="1:37" ht="12.75" customHeight="1" x14ac:dyDescent="0.2">
      <c r="A111" s="123" t="s">
        <v>1271</v>
      </c>
      <c r="B111" s="114"/>
      <c r="C111" s="114"/>
      <c r="D111" s="114"/>
      <c r="E111" s="114"/>
      <c r="F111" s="114"/>
      <c r="G111" s="114"/>
      <c r="H111" s="114"/>
      <c r="I111" s="114"/>
      <c r="J111" s="114"/>
      <c r="K111" s="114"/>
      <c r="L111" s="114"/>
      <c r="M111" s="114"/>
      <c r="N111" s="114"/>
      <c r="O111" s="114"/>
      <c r="P111" s="114"/>
      <c r="Q111" s="98"/>
      <c r="R111" s="98"/>
      <c r="S111" s="98"/>
      <c r="T111" s="98"/>
      <c r="U111" s="98"/>
      <c r="V111" s="98"/>
      <c r="W111" s="98"/>
      <c r="X111" s="98"/>
      <c r="Y111" s="98"/>
      <c r="Z111" s="98"/>
      <c r="AA111" s="98"/>
      <c r="AB111" s="98"/>
      <c r="AC111" s="98"/>
      <c r="AD111" s="98"/>
      <c r="AE111" s="98"/>
      <c r="AF111" s="98"/>
      <c r="AG111" s="98"/>
      <c r="AH111" s="98"/>
      <c r="AI111" s="98"/>
      <c r="AJ111" s="98"/>
      <c r="AK111" s="98"/>
    </row>
    <row r="112" spans="1:37" ht="12.75" customHeight="1" x14ac:dyDescent="0.2">
      <c r="A112" s="97"/>
      <c r="B112" s="100"/>
      <c r="C112" s="100"/>
      <c r="D112" s="100"/>
      <c r="E112" s="101"/>
      <c r="F112" s="101"/>
      <c r="G112" s="101"/>
      <c r="H112" s="101"/>
      <c r="I112" s="101"/>
      <c r="J112" s="101"/>
      <c r="K112" s="101"/>
      <c r="L112" s="101"/>
      <c r="M112" s="101"/>
      <c r="N112" s="101"/>
      <c r="O112" s="101"/>
      <c r="P112" s="102"/>
      <c r="Q112" s="102"/>
      <c r="R112" s="102"/>
      <c r="S112" s="102"/>
      <c r="T112" s="103"/>
      <c r="U112" s="102"/>
      <c r="V112" s="102"/>
      <c r="W112" s="102"/>
      <c r="X112" s="102"/>
      <c r="Y112" s="102"/>
      <c r="Z112" s="102"/>
      <c r="AA112" s="102"/>
      <c r="AB112" s="102"/>
      <c r="AC112" s="102"/>
      <c r="AD112" s="102"/>
      <c r="AE112" s="102"/>
      <c r="AF112" s="102"/>
      <c r="AG112" s="102"/>
      <c r="AH112" s="102"/>
      <c r="AI112" s="102"/>
      <c r="AJ112" s="102"/>
      <c r="AK112" s="102"/>
    </row>
    <row r="113" spans="1:37" ht="12.75" customHeight="1" x14ac:dyDescent="0.2">
      <c r="A113" s="57"/>
      <c r="B113" s="57"/>
      <c r="C113" s="57"/>
      <c r="D113" s="57"/>
      <c r="E113" s="57"/>
      <c r="F113" s="57"/>
      <c r="G113" s="57"/>
      <c r="H113" s="57"/>
      <c r="I113" s="57"/>
      <c r="J113" s="57"/>
      <c r="K113" s="57"/>
      <c r="L113" s="57"/>
      <c r="M113" s="57"/>
      <c r="N113" s="57"/>
      <c r="O113" s="57"/>
      <c r="P113" s="57"/>
      <c r="Q113" s="57"/>
      <c r="R113" s="57"/>
      <c r="S113" s="57"/>
      <c r="T113" s="104"/>
      <c r="U113" s="57"/>
      <c r="V113" s="57"/>
      <c r="W113" s="57"/>
      <c r="X113" s="57"/>
      <c r="Y113" s="57"/>
      <c r="Z113" s="57"/>
      <c r="AA113" s="57"/>
      <c r="AB113" s="57"/>
      <c r="AC113" s="57"/>
      <c r="AD113" s="57"/>
      <c r="AE113" s="57"/>
      <c r="AF113" s="57"/>
      <c r="AG113" s="57"/>
      <c r="AH113" s="57"/>
      <c r="AI113" s="57"/>
      <c r="AJ113" s="57"/>
      <c r="AK113" s="57"/>
    </row>
    <row r="114" spans="1:37" ht="12.75" customHeight="1" x14ac:dyDescent="0.2">
      <c r="A114" s="71"/>
      <c r="B114" s="57"/>
      <c r="C114" s="57"/>
      <c r="D114" s="57"/>
      <c r="E114" s="57"/>
      <c r="F114" s="57"/>
      <c r="G114" s="57"/>
      <c r="H114" s="57"/>
      <c r="I114" s="57"/>
      <c r="J114" s="57"/>
      <c r="K114" s="57"/>
      <c r="L114" s="57"/>
      <c r="M114" s="57"/>
      <c r="N114" s="57"/>
      <c r="O114" s="57"/>
      <c r="P114" s="57"/>
      <c r="Q114" s="57"/>
      <c r="R114" s="57"/>
      <c r="S114" s="57"/>
      <c r="T114" s="104"/>
      <c r="U114" s="57"/>
      <c r="V114" s="57"/>
      <c r="W114" s="57"/>
      <c r="X114" s="57"/>
      <c r="Y114" s="57"/>
      <c r="Z114" s="57"/>
      <c r="AA114" s="57"/>
      <c r="AB114" s="57"/>
      <c r="AC114" s="57"/>
      <c r="AD114" s="57"/>
      <c r="AE114" s="57"/>
      <c r="AF114" s="57"/>
      <c r="AG114" s="57"/>
      <c r="AH114" s="57"/>
      <c r="AI114" s="57"/>
      <c r="AJ114" s="57"/>
      <c r="AK114" s="57"/>
    </row>
    <row r="115" spans="1:37" ht="12.75" customHeight="1" x14ac:dyDescent="0.2">
      <c r="A115" s="71"/>
      <c r="B115" s="57"/>
      <c r="C115" s="57"/>
      <c r="D115" s="57"/>
      <c r="E115" s="57"/>
      <c r="F115" s="57"/>
      <c r="G115" s="57"/>
      <c r="H115" s="57"/>
      <c r="I115" s="57"/>
      <c r="J115" s="57"/>
      <c r="K115" s="57"/>
      <c r="L115" s="57"/>
      <c r="M115" s="57"/>
      <c r="N115" s="57"/>
      <c r="O115" s="57"/>
      <c r="P115" s="57"/>
      <c r="Q115" s="57"/>
      <c r="R115" s="57"/>
      <c r="S115" s="57"/>
      <c r="T115" s="104"/>
      <c r="U115" s="57"/>
      <c r="V115" s="57"/>
      <c r="W115" s="57"/>
      <c r="X115" s="57"/>
      <c r="Y115" s="57"/>
      <c r="Z115" s="57"/>
      <c r="AA115" s="57"/>
      <c r="AB115" s="57"/>
      <c r="AC115" s="57"/>
      <c r="AD115" s="57"/>
      <c r="AE115" s="57"/>
      <c r="AF115" s="57"/>
      <c r="AG115" s="57"/>
      <c r="AH115" s="57"/>
      <c r="AI115" s="57"/>
      <c r="AJ115" s="57"/>
      <c r="AK115" s="57"/>
    </row>
    <row r="116" spans="1:37" ht="12.75" customHeight="1" x14ac:dyDescent="0.2">
      <c r="A116" s="71"/>
      <c r="B116" s="57"/>
      <c r="C116" s="57"/>
      <c r="D116" s="57"/>
      <c r="E116" s="57"/>
      <c r="F116" s="57"/>
      <c r="G116" s="57"/>
      <c r="H116" s="57"/>
      <c r="I116" s="57"/>
      <c r="J116" s="57"/>
      <c r="K116" s="57"/>
      <c r="L116" s="57"/>
      <c r="M116" s="57"/>
      <c r="N116" s="57"/>
      <c r="O116" s="57"/>
      <c r="P116" s="57"/>
      <c r="Q116" s="57"/>
      <c r="R116" s="57"/>
      <c r="S116" s="57"/>
      <c r="T116" s="104"/>
      <c r="U116" s="57"/>
      <c r="V116" s="57"/>
      <c r="W116" s="57"/>
      <c r="X116" s="57"/>
      <c r="Y116" s="57"/>
      <c r="Z116" s="57"/>
      <c r="AA116" s="57"/>
      <c r="AB116" s="57"/>
      <c r="AC116" s="57"/>
      <c r="AD116" s="57"/>
      <c r="AE116" s="57"/>
      <c r="AF116" s="57"/>
      <c r="AG116" s="57"/>
      <c r="AH116" s="57"/>
      <c r="AI116" s="57"/>
      <c r="AJ116" s="57"/>
      <c r="AK116" s="57"/>
    </row>
    <row r="117" spans="1:37" ht="12.75" customHeight="1" x14ac:dyDescent="0.2">
      <c r="A117" s="71"/>
      <c r="B117" s="57"/>
      <c r="C117" s="57"/>
      <c r="D117" s="57"/>
      <c r="E117" s="57"/>
      <c r="F117" s="57"/>
      <c r="G117" s="57"/>
      <c r="H117" s="57"/>
      <c r="I117" s="57"/>
      <c r="J117" s="57"/>
      <c r="K117" s="57"/>
      <c r="L117" s="57"/>
      <c r="M117" s="57"/>
      <c r="N117" s="57"/>
      <c r="O117" s="57"/>
      <c r="P117" s="57"/>
      <c r="Q117" s="57"/>
      <c r="R117" s="57"/>
      <c r="S117" s="57"/>
      <c r="T117" s="104"/>
      <c r="U117" s="57"/>
      <c r="V117" s="57"/>
      <c r="W117" s="57"/>
      <c r="X117" s="57"/>
      <c r="Y117" s="57"/>
      <c r="Z117" s="57"/>
      <c r="AA117" s="57"/>
      <c r="AB117" s="57"/>
      <c r="AC117" s="57"/>
      <c r="AD117" s="57"/>
      <c r="AE117" s="57"/>
      <c r="AF117" s="57"/>
      <c r="AG117" s="57"/>
      <c r="AH117" s="57"/>
      <c r="AI117" s="57"/>
      <c r="AJ117" s="57"/>
      <c r="AK117" s="57"/>
    </row>
    <row r="118" spans="1:37" ht="12.75" customHeight="1" x14ac:dyDescent="0.2">
      <c r="A118" s="71"/>
      <c r="B118" s="57"/>
      <c r="C118" s="57"/>
      <c r="D118" s="57"/>
      <c r="E118" s="57"/>
      <c r="F118" s="57"/>
      <c r="G118" s="57"/>
      <c r="H118" s="57"/>
      <c r="I118" s="57"/>
      <c r="J118" s="57"/>
      <c r="K118" s="57"/>
      <c r="L118" s="57"/>
      <c r="M118" s="57"/>
      <c r="N118" s="57"/>
      <c r="O118" s="57"/>
      <c r="P118" s="57"/>
      <c r="Q118" s="57"/>
      <c r="R118" s="57"/>
      <c r="S118" s="57"/>
      <c r="T118" s="104"/>
      <c r="U118" s="57"/>
      <c r="V118" s="57"/>
      <c r="W118" s="57"/>
      <c r="X118" s="57"/>
      <c r="Y118" s="57"/>
      <c r="Z118" s="57"/>
      <c r="AA118" s="57"/>
      <c r="AB118" s="57"/>
      <c r="AC118" s="57"/>
      <c r="AD118" s="57"/>
      <c r="AE118" s="57"/>
      <c r="AF118" s="57"/>
      <c r="AG118" s="57"/>
      <c r="AH118" s="57"/>
      <c r="AI118" s="57"/>
      <c r="AJ118" s="57"/>
      <c r="AK118" s="57"/>
    </row>
    <row r="119" spans="1:37" ht="12.75" customHeight="1" x14ac:dyDescent="0.2">
      <c r="A119" s="71"/>
      <c r="B119" s="57"/>
      <c r="C119" s="57"/>
      <c r="D119" s="57"/>
      <c r="E119" s="57"/>
      <c r="F119" s="57"/>
      <c r="G119" s="57"/>
      <c r="H119" s="57"/>
      <c r="I119" s="57"/>
      <c r="J119" s="57"/>
      <c r="K119" s="57"/>
      <c r="L119" s="57"/>
      <c r="M119" s="57"/>
      <c r="N119" s="57"/>
      <c r="O119" s="57"/>
      <c r="P119" s="57"/>
      <c r="Q119" s="57"/>
      <c r="R119" s="57"/>
      <c r="S119" s="57"/>
      <c r="T119" s="104"/>
      <c r="U119" s="57"/>
      <c r="V119" s="57"/>
      <c r="W119" s="57"/>
      <c r="X119" s="57"/>
      <c r="Y119" s="57"/>
      <c r="Z119" s="57"/>
      <c r="AA119" s="57"/>
      <c r="AB119" s="57"/>
      <c r="AC119" s="57"/>
      <c r="AD119" s="57"/>
      <c r="AE119" s="57"/>
      <c r="AF119" s="57"/>
      <c r="AG119" s="57"/>
      <c r="AH119" s="57"/>
      <c r="AI119" s="57"/>
      <c r="AJ119" s="57"/>
      <c r="AK119" s="57"/>
    </row>
    <row r="120" spans="1:37" ht="12.75" customHeight="1" x14ac:dyDescent="0.2">
      <c r="A120" s="71"/>
      <c r="B120" s="57"/>
      <c r="C120" s="57"/>
      <c r="D120" s="57"/>
      <c r="E120" s="57"/>
      <c r="F120" s="57"/>
      <c r="G120" s="57"/>
      <c r="H120" s="57"/>
      <c r="I120" s="57"/>
      <c r="J120" s="57"/>
      <c r="K120" s="57"/>
      <c r="L120" s="57"/>
      <c r="M120" s="57"/>
      <c r="N120" s="57"/>
      <c r="O120" s="57"/>
      <c r="P120" s="57"/>
      <c r="Q120" s="57"/>
      <c r="R120" s="57"/>
      <c r="S120" s="57"/>
      <c r="T120" s="104"/>
      <c r="U120" s="57"/>
      <c r="V120" s="57"/>
      <c r="W120" s="57"/>
      <c r="X120" s="57"/>
      <c r="Y120" s="57"/>
      <c r="Z120" s="57"/>
      <c r="AA120" s="57"/>
      <c r="AB120" s="57"/>
      <c r="AC120" s="57"/>
      <c r="AD120" s="57"/>
      <c r="AE120" s="57"/>
      <c r="AF120" s="57"/>
      <c r="AG120" s="57"/>
      <c r="AH120" s="57"/>
      <c r="AI120" s="57"/>
      <c r="AJ120" s="57"/>
      <c r="AK120" s="57"/>
    </row>
    <row r="121" spans="1:37" ht="12.75" customHeight="1" x14ac:dyDescent="0.2">
      <c r="A121" s="71"/>
      <c r="B121" s="71"/>
      <c r="C121" s="71"/>
      <c r="D121" s="71"/>
      <c r="E121" s="57"/>
      <c r="F121" s="57"/>
      <c r="G121" s="57"/>
      <c r="H121" s="57"/>
      <c r="I121" s="57"/>
      <c r="J121" s="57"/>
      <c r="K121" s="57"/>
      <c r="L121" s="57"/>
      <c r="M121" s="57"/>
      <c r="N121" s="57"/>
      <c r="O121" s="57"/>
      <c r="P121" s="57"/>
      <c r="Q121" s="57"/>
      <c r="R121" s="57"/>
      <c r="S121" s="57"/>
      <c r="T121" s="104"/>
      <c r="U121" s="57"/>
      <c r="V121" s="57"/>
      <c r="W121" s="57"/>
      <c r="X121" s="57"/>
      <c r="Y121" s="57"/>
      <c r="Z121" s="57"/>
      <c r="AA121" s="57"/>
      <c r="AB121" s="57"/>
      <c r="AC121" s="57"/>
      <c r="AD121" s="57"/>
      <c r="AE121" s="57"/>
      <c r="AF121" s="57"/>
      <c r="AG121" s="57"/>
      <c r="AH121" s="57"/>
      <c r="AI121" s="57"/>
      <c r="AJ121" s="57"/>
      <c r="AK121" s="57"/>
    </row>
    <row r="122" spans="1:37" ht="12.75" customHeight="1" x14ac:dyDescent="0.2">
      <c r="A122" s="71"/>
      <c r="B122" s="71"/>
      <c r="C122" s="71"/>
      <c r="D122" s="71"/>
      <c r="E122" s="71"/>
      <c r="F122" s="71"/>
      <c r="G122" s="71"/>
      <c r="H122" s="71"/>
      <c r="I122" s="71"/>
      <c r="J122" s="71"/>
      <c r="K122" s="71"/>
      <c r="L122" s="71"/>
      <c r="M122" s="71"/>
      <c r="N122" s="71"/>
      <c r="O122" s="71"/>
      <c r="P122" s="71"/>
      <c r="Q122" s="71"/>
      <c r="R122" s="71"/>
      <c r="S122" s="71"/>
      <c r="T122" s="105"/>
      <c r="U122" s="71"/>
      <c r="V122" s="71"/>
      <c r="W122" s="71"/>
      <c r="X122" s="71"/>
      <c r="Y122" s="71"/>
      <c r="Z122" s="71"/>
      <c r="AA122" s="71"/>
      <c r="AB122" s="71"/>
      <c r="AC122" s="71"/>
      <c r="AD122" s="71"/>
      <c r="AE122" s="71"/>
      <c r="AF122" s="71"/>
      <c r="AG122" s="71"/>
      <c r="AH122" s="71"/>
      <c r="AI122" s="71"/>
      <c r="AJ122" s="71"/>
      <c r="AK122" s="71"/>
    </row>
    <row r="123" spans="1:37" ht="12.75" customHeight="1" x14ac:dyDescent="0.2">
      <c r="A123" s="71"/>
      <c r="B123" s="71"/>
      <c r="C123" s="71"/>
      <c r="D123" s="71"/>
      <c r="E123" s="71"/>
      <c r="F123" s="71"/>
      <c r="G123" s="71"/>
      <c r="H123" s="71"/>
      <c r="I123" s="71"/>
      <c r="J123" s="71"/>
      <c r="K123" s="71"/>
      <c r="L123" s="71"/>
      <c r="M123" s="71"/>
      <c r="N123" s="71"/>
      <c r="O123" s="71"/>
      <c r="P123" s="71"/>
      <c r="Q123" s="71"/>
      <c r="R123" s="71"/>
      <c r="S123" s="71"/>
      <c r="T123" s="105"/>
      <c r="U123" s="71"/>
      <c r="V123" s="71"/>
      <c r="W123" s="71"/>
      <c r="X123" s="71"/>
      <c r="Y123" s="71"/>
      <c r="Z123" s="71"/>
      <c r="AA123" s="71"/>
      <c r="AB123" s="71"/>
      <c r="AC123" s="71"/>
      <c r="AD123" s="71"/>
      <c r="AE123" s="71"/>
      <c r="AF123" s="71"/>
      <c r="AG123" s="71"/>
      <c r="AH123" s="71"/>
      <c r="AI123" s="71"/>
      <c r="AJ123" s="71"/>
      <c r="AK123" s="71"/>
    </row>
    <row r="124" spans="1:37" ht="12.75" customHeight="1" x14ac:dyDescent="0.2">
      <c r="A124" s="71"/>
      <c r="B124" s="71"/>
      <c r="C124" s="71"/>
      <c r="D124" s="71"/>
      <c r="E124" s="71"/>
      <c r="F124" s="71"/>
      <c r="G124" s="71"/>
      <c r="H124" s="71"/>
      <c r="I124" s="71"/>
      <c r="J124" s="71"/>
      <c r="K124" s="71"/>
      <c r="L124" s="71"/>
      <c r="M124" s="71"/>
      <c r="N124" s="71"/>
      <c r="O124" s="71"/>
      <c r="P124" s="71"/>
      <c r="Q124" s="71"/>
      <c r="R124" s="71"/>
      <c r="S124" s="71"/>
      <c r="T124" s="105"/>
      <c r="U124" s="71"/>
      <c r="V124" s="71"/>
      <c r="W124" s="71"/>
      <c r="X124" s="71"/>
      <c r="Y124" s="71"/>
      <c r="Z124" s="71"/>
      <c r="AA124" s="71"/>
      <c r="AB124" s="71"/>
      <c r="AC124" s="71"/>
      <c r="AD124" s="71"/>
      <c r="AE124" s="71"/>
      <c r="AF124" s="71"/>
      <c r="AG124" s="71"/>
      <c r="AH124" s="71"/>
      <c r="AI124" s="71"/>
      <c r="AJ124" s="71"/>
      <c r="AK124" s="71"/>
    </row>
    <row r="125" spans="1:37" ht="12.75" customHeight="1" x14ac:dyDescent="0.2">
      <c r="A125" s="71"/>
      <c r="B125" s="71"/>
      <c r="C125" s="71"/>
      <c r="D125" s="71"/>
      <c r="E125" s="71"/>
      <c r="F125" s="71"/>
      <c r="G125" s="71"/>
      <c r="H125" s="71"/>
      <c r="I125" s="71"/>
      <c r="J125" s="71"/>
      <c r="K125" s="71"/>
      <c r="L125" s="71"/>
      <c r="M125" s="71"/>
      <c r="N125" s="71"/>
      <c r="O125" s="71"/>
      <c r="P125" s="71"/>
      <c r="Q125" s="71"/>
      <c r="R125" s="71"/>
      <c r="S125" s="71"/>
      <c r="T125" s="105"/>
      <c r="U125" s="71"/>
      <c r="V125" s="71"/>
      <c r="W125" s="71"/>
      <c r="X125" s="71"/>
      <c r="Y125" s="71"/>
      <c r="Z125" s="71"/>
      <c r="AA125" s="71"/>
      <c r="AB125" s="71"/>
      <c r="AC125" s="71"/>
      <c r="AD125" s="71"/>
      <c r="AE125" s="71"/>
      <c r="AF125" s="71"/>
      <c r="AG125" s="71"/>
      <c r="AH125" s="71"/>
      <c r="AI125" s="71"/>
      <c r="AJ125" s="71"/>
      <c r="AK125" s="71"/>
    </row>
    <row r="126" spans="1:37" ht="12.75" customHeight="1" x14ac:dyDescent="0.2">
      <c r="A126" s="71"/>
      <c r="B126" s="71"/>
      <c r="C126" s="71"/>
      <c r="D126" s="71"/>
      <c r="E126" s="71"/>
      <c r="F126" s="71"/>
      <c r="G126" s="71"/>
      <c r="H126" s="71"/>
      <c r="I126" s="71"/>
      <c r="J126" s="71"/>
      <c r="K126" s="71"/>
      <c r="L126" s="71"/>
      <c r="M126" s="71"/>
      <c r="N126" s="71"/>
      <c r="O126" s="71"/>
      <c r="P126" s="71"/>
      <c r="Q126" s="71"/>
      <c r="R126" s="71"/>
      <c r="S126" s="71"/>
      <c r="T126" s="105"/>
      <c r="U126" s="71"/>
      <c r="V126" s="71"/>
      <c r="W126" s="71"/>
      <c r="X126" s="71"/>
      <c r="Y126" s="71"/>
      <c r="Z126" s="71"/>
      <c r="AA126" s="71"/>
      <c r="AB126" s="71"/>
      <c r="AC126" s="71"/>
      <c r="AD126" s="71"/>
      <c r="AE126" s="71"/>
      <c r="AF126" s="71"/>
      <c r="AG126" s="71"/>
      <c r="AH126" s="71"/>
      <c r="AI126" s="71"/>
      <c r="AJ126" s="71"/>
      <c r="AK126" s="71"/>
    </row>
    <row r="127" spans="1:37" ht="12.75" customHeight="1" x14ac:dyDescent="0.2">
      <c r="A127" s="71"/>
      <c r="B127" s="71"/>
      <c r="C127" s="71"/>
      <c r="D127" s="71"/>
      <c r="E127" s="71"/>
      <c r="F127" s="71"/>
      <c r="G127" s="71"/>
      <c r="H127" s="71"/>
      <c r="I127" s="71"/>
      <c r="J127" s="71"/>
      <c r="K127" s="71"/>
      <c r="L127" s="71"/>
      <c r="M127" s="71"/>
      <c r="N127" s="71"/>
      <c r="O127" s="71"/>
      <c r="P127" s="71"/>
      <c r="Q127" s="71"/>
      <c r="R127" s="71"/>
      <c r="S127" s="71"/>
      <c r="T127" s="105"/>
      <c r="U127" s="71"/>
      <c r="V127" s="71"/>
      <c r="W127" s="71"/>
      <c r="X127" s="71"/>
      <c r="Y127" s="71"/>
      <c r="Z127" s="71"/>
      <c r="AA127" s="71"/>
      <c r="AB127" s="71"/>
      <c r="AC127" s="71"/>
      <c r="AD127" s="71"/>
      <c r="AE127" s="71"/>
      <c r="AF127" s="71"/>
      <c r="AG127" s="71"/>
      <c r="AH127" s="71"/>
      <c r="AI127" s="71"/>
      <c r="AJ127" s="71"/>
      <c r="AK127" s="71"/>
    </row>
    <row r="128" spans="1:37" ht="12.75" customHeight="1" x14ac:dyDescent="0.2">
      <c r="A128" s="71"/>
      <c r="B128" s="71"/>
      <c r="C128" s="71"/>
      <c r="D128" s="71"/>
      <c r="E128" s="71"/>
      <c r="F128" s="71"/>
      <c r="G128" s="71"/>
      <c r="H128" s="71"/>
      <c r="I128" s="71"/>
      <c r="J128" s="71"/>
      <c r="K128" s="71"/>
      <c r="L128" s="71"/>
      <c r="M128" s="71"/>
      <c r="N128" s="71"/>
      <c r="O128" s="71"/>
      <c r="P128" s="71"/>
      <c r="Q128" s="71"/>
      <c r="R128" s="71"/>
      <c r="S128" s="71"/>
      <c r="T128" s="105"/>
      <c r="U128" s="71"/>
      <c r="V128" s="71"/>
      <c r="W128" s="71"/>
      <c r="X128" s="71"/>
      <c r="Y128" s="71"/>
      <c r="Z128" s="71"/>
      <c r="AA128" s="71"/>
      <c r="AB128" s="71"/>
      <c r="AC128" s="71"/>
      <c r="AD128" s="71"/>
      <c r="AE128" s="71"/>
      <c r="AF128" s="71"/>
      <c r="AG128" s="71"/>
      <c r="AH128" s="71"/>
      <c r="AI128" s="71"/>
      <c r="AJ128" s="71"/>
      <c r="AK128" s="71"/>
    </row>
    <row r="129" spans="1:37" ht="12.75" customHeight="1" x14ac:dyDescent="0.2">
      <c r="A129" s="71"/>
      <c r="B129" s="71"/>
      <c r="C129" s="71"/>
      <c r="D129" s="71"/>
      <c r="E129" s="71"/>
      <c r="F129" s="71"/>
      <c r="G129" s="71"/>
      <c r="H129" s="71"/>
      <c r="I129" s="71"/>
      <c r="J129" s="71"/>
      <c r="K129" s="71"/>
      <c r="L129" s="71"/>
      <c r="M129" s="71"/>
      <c r="N129" s="71"/>
      <c r="O129" s="71"/>
      <c r="P129" s="71"/>
      <c r="Q129" s="71"/>
      <c r="R129" s="71"/>
      <c r="S129" s="71"/>
      <c r="T129" s="105"/>
      <c r="U129" s="71"/>
      <c r="V129" s="71"/>
      <c r="W129" s="71"/>
      <c r="X129" s="71"/>
      <c r="Y129" s="71"/>
      <c r="Z129" s="71"/>
      <c r="AA129" s="71"/>
      <c r="AB129" s="71"/>
      <c r="AC129" s="71"/>
      <c r="AD129" s="71"/>
      <c r="AE129" s="71"/>
      <c r="AF129" s="71"/>
      <c r="AG129" s="71"/>
      <c r="AH129" s="71"/>
      <c r="AI129" s="71"/>
      <c r="AJ129" s="71"/>
      <c r="AK129" s="71"/>
    </row>
    <row r="130" spans="1:37" ht="12.75" customHeight="1" x14ac:dyDescent="0.2">
      <c r="A130" s="71"/>
      <c r="B130" s="71"/>
      <c r="C130" s="71"/>
      <c r="D130" s="71"/>
      <c r="E130" s="71"/>
      <c r="F130" s="71"/>
      <c r="G130" s="71"/>
      <c r="H130" s="71"/>
      <c r="I130" s="71"/>
      <c r="J130" s="71"/>
      <c r="K130" s="71"/>
      <c r="L130" s="71"/>
      <c r="M130" s="71"/>
      <c r="N130" s="71"/>
      <c r="O130" s="71"/>
      <c r="P130" s="71"/>
      <c r="Q130" s="71"/>
      <c r="R130" s="71"/>
      <c r="S130" s="71"/>
      <c r="T130" s="105"/>
      <c r="U130" s="71"/>
      <c r="V130" s="71"/>
      <c r="W130" s="71"/>
      <c r="X130" s="71"/>
      <c r="Y130" s="71"/>
      <c r="Z130" s="71"/>
      <c r="AA130" s="71"/>
      <c r="AB130" s="71"/>
      <c r="AC130" s="71"/>
      <c r="AD130" s="71"/>
      <c r="AE130" s="71"/>
      <c r="AF130" s="71"/>
      <c r="AG130" s="71"/>
      <c r="AH130" s="71"/>
      <c r="AI130" s="71"/>
      <c r="AJ130" s="71"/>
      <c r="AK130" s="71"/>
    </row>
    <row r="131" spans="1:37" ht="12.75" customHeight="1" x14ac:dyDescent="0.2">
      <c r="A131" s="71"/>
      <c r="B131" s="71"/>
      <c r="C131" s="71"/>
      <c r="D131" s="71"/>
      <c r="E131" s="71"/>
      <c r="F131" s="71"/>
      <c r="G131" s="71"/>
      <c r="H131" s="71"/>
      <c r="I131" s="71"/>
      <c r="J131" s="71"/>
      <c r="K131" s="71"/>
      <c r="L131" s="71"/>
      <c r="M131" s="71"/>
      <c r="N131" s="71"/>
      <c r="O131" s="71"/>
      <c r="P131" s="71"/>
      <c r="Q131" s="71"/>
      <c r="R131" s="71"/>
      <c r="S131" s="71"/>
      <c r="T131" s="105"/>
      <c r="U131" s="71"/>
      <c r="V131" s="71"/>
      <c r="W131" s="71"/>
      <c r="X131" s="71"/>
      <c r="Y131" s="71"/>
      <c r="Z131" s="71"/>
      <c r="AA131" s="71"/>
      <c r="AB131" s="71"/>
      <c r="AC131" s="71"/>
      <c r="AD131" s="71"/>
      <c r="AE131" s="71"/>
      <c r="AF131" s="71"/>
      <c r="AG131" s="71"/>
      <c r="AH131" s="71"/>
      <c r="AI131" s="71"/>
      <c r="AJ131" s="71"/>
      <c r="AK131" s="71"/>
    </row>
    <row r="132" spans="1:37" ht="12.75" customHeight="1" x14ac:dyDescent="0.2">
      <c r="A132" s="71"/>
      <c r="B132" s="71"/>
      <c r="C132" s="71"/>
      <c r="D132" s="71"/>
      <c r="E132" s="71"/>
      <c r="F132" s="71"/>
      <c r="G132" s="71"/>
      <c r="H132" s="71"/>
      <c r="I132" s="71"/>
      <c r="J132" s="71"/>
      <c r="K132" s="71"/>
      <c r="L132" s="71"/>
      <c r="M132" s="71"/>
      <c r="N132" s="71"/>
      <c r="O132" s="71"/>
      <c r="P132" s="71"/>
      <c r="Q132" s="71"/>
      <c r="R132" s="71"/>
      <c r="S132" s="71"/>
      <c r="T132" s="105"/>
      <c r="U132" s="71"/>
      <c r="V132" s="71"/>
      <c r="W132" s="71"/>
      <c r="X132" s="71"/>
      <c r="Y132" s="71"/>
      <c r="Z132" s="71"/>
      <c r="AA132" s="71"/>
      <c r="AB132" s="71"/>
      <c r="AC132" s="71"/>
      <c r="AD132" s="71"/>
      <c r="AE132" s="71"/>
      <c r="AF132" s="71"/>
      <c r="AG132" s="71"/>
      <c r="AH132" s="71"/>
      <c r="AI132" s="71"/>
      <c r="AJ132" s="71"/>
      <c r="AK132" s="71"/>
    </row>
    <row r="133" spans="1:37" ht="12.75" customHeight="1" x14ac:dyDescent="0.2">
      <c r="A133" s="71"/>
      <c r="B133" s="71"/>
      <c r="C133" s="71"/>
      <c r="D133" s="71"/>
      <c r="E133" s="71"/>
      <c r="F133" s="71"/>
      <c r="G133" s="71"/>
      <c r="H133" s="71"/>
      <c r="I133" s="71"/>
      <c r="J133" s="71"/>
      <c r="K133" s="71"/>
      <c r="L133" s="71"/>
      <c r="M133" s="71"/>
      <c r="N133" s="71"/>
      <c r="O133" s="71"/>
      <c r="P133" s="71"/>
      <c r="Q133" s="71"/>
      <c r="R133" s="71"/>
      <c r="S133" s="71"/>
      <c r="T133" s="105"/>
      <c r="U133" s="71"/>
      <c r="V133" s="71"/>
      <c r="W133" s="71"/>
      <c r="X133" s="71"/>
      <c r="Y133" s="71"/>
      <c r="Z133" s="71"/>
      <c r="AA133" s="71"/>
      <c r="AB133" s="71"/>
      <c r="AC133" s="71"/>
      <c r="AD133" s="71"/>
      <c r="AE133" s="71"/>
      <c r="AF133" s="71"/>
      <c r="AG133" s="71"/>
      <c r="AH133" s="71"/>
      <c r="AI133" s="71"/>
      <c r="AJ133" s="71"/>
      <c r="AK133" s="71"/>
    </row>
    <row r="134" spans="1:37" ht="12.75" customHeight="1" x14ac:dyDescent="0.2">
      <c r="A134" s="71"/>
      <c r="B134" s="71"/>
      <c r="C134" s="71"/>
      <c r="D134" s="71"/>
      <c r="E134" s="71"/>
      <c r="F134" s="71"/>
      <c r="G134" s="71"/>
      <c r="H134" s="71"/>
      <c r="I134" s="71"/>
      <c r="J134" s="71"/>
      <c r="K134" s="71"/>
      <c r="L134" s="71"/>
      <c r="M134" s="71"/>
      <c r="N134" s="71"/>
      <c r="O134" s="71"/>
      <c r="P134" s="71"/>
      <c r="Q134" s="71"/>
      <c r="R134" s="71"/>
      <c r="S134" s="71"/>
      <c r="T134" s="105"/>
      <c r="U134" s="71"/>
      <c r="V134" s="71"/>
      <c r="W134" s="71"/>
      <c r="X134" s="71"/>
      <c r="Y134" s="71"/>
      <c r="Z134" s="71"/>
      <c r="AA134" s="71"/>
      <c r="AB134" s="71"/>
      <c r="AC134" s="71"/>
      <c r="AD134" s="71"/>
      <c r="AE134" s="71"/>
      <c r="AF134" s="71"/>
      <c r="AG134" s="71"/>
      <c r="AH134" s="71"/>
      <c r="AI134" s="71"/>
      <c r="AJ134" s="71"/>
      <c r="AK134" s="71"/>
    </row>
    <row r="135" spans="1:37" ht="12.75" customHeight="1" x14ac:dyDescent="0.2">
      <c r="A135" s="71"/>
      <c r="B135" s="71"/>
      <c r="C135" s="71"/>
      <c r="D135" s="71"/>
      <c r="E135" s="71"/>
      <c r="F135" s="71"/>
      <c r="G135" s="71"/>
      <c r="H135" s="71"/>
      <c r="I135" s="71"/>
      <c r="J135" s="71"/>
      <c r="K135" s="71"/>
      <c r="L135" s="71"/>
      <c r="M135" s="71"/>
      <c r="N135" s="71"/>
      <c r="O135" s="71"/>
      <c r="P135" s="71"/>
      <c r="Q135" s="71"/>
      <c r="R135" s="71"/>
      <c r="S135" s="71"/>
      <c r="T135" s="105"/>
      <c r="U135" s="71"/>
      <c r="V135" s="71"/>
      <c r="W135" s="71"/>
      <c r="X135" s="71"/>
      <c r="Y135" s="71"/>
      <c r="Z135" s="71"/>
      <c r="AA135" s="71"/>
      <c r="AB135" s="71"/>
      <c r="AC135" s="71"/>
      <c r="AD135" s="71"/>
      <c r="AE135" s="71"/>
      <c r="AF135" s="71"/>
      <c r="AG135" s="71"/>
      <c r="AH135" s="71"/>
      <c r="AI135" s="71"/>
      <c r="AJ135" s="71"/>
      <c r="AK135" s="71"/>
    </row>
    <row r="136" spans="1:37" ht="12.75" customHeight="1" x14ac:dyDescent="0.2">
      <c r="A136" s="71"/>
      <c r="B136" s="71"/>
      <c r="C136" s="71"/>
      <c r="D136" s="71"/>
      <c r="E136" s="71"/>
      <c r="F136" s="71"/>
      <c r="G136" s="71"/>
      <c r="H136" s="71"/>
      <c r="I136" s="71"/>
      <c r="J136" s="71"/>
      <c r="K136" s="71"/>
      <c r="L136" s="71"/>
      <c r="M136" s="71"/>
      <c r="N136" s="71"/>
      <c r="O136" s="71"/>
      <c r="P136" s="71"/>
      <c r="Q136" s="71"/>
      <c r="R136" s="71"/>
      <c r="S136" s="71"/>
      <c r="T136" s="105"/>
      <c r="U136" s="71"/>
      <c r="V136" s="71"/>
      <c r="W136" s="71"/>
      <c r="X136" s="71"/>
      <c r="Y136" s="71"/>
      <c r="Z136" s="71"/>
      <c r="AA136" s="71"/>
      <c r="AB136" s="71"/>
      <c r="AC136" s="71"/>
      <c r="AD136" s="71"/>
      <c r="AE136" s="71"/>
      <c r="AF136" s="71"/>
      <c r="AG136" s="71"/>
      <c r="AH136" s="71"/>
      <c r="AI136" s="71"/>
      <c r="AJ136" s="71"/>
      <c r="AK136" s="71"/>
    </row>
    <row r="137" spans="1:37" ht="12.75" customHeight="1" x14ac:dyDescent="0.2">
      <c r="A137" s="71"/>
      <c r="B137" s="71"/>
      <c r="C137" s="71"/>
      <c r="D137" s="71"/>
      <c r="E137" s="71"/>
      <c r="F137" s="71"/>
      <c r="G137" s="71"/>
      <c r="H137" s="71"/>
      <c r="I137" s="71"/>
      <c r="J137" s="71"/>
      <c r="K137" s="71"/>
      <c r="L137" s="71"/>
      <c r="M137" s="71"/>
      <c r="N137" s="71"/>
      <c r="O137" s="71"/>
      <c r="P137" s="71"/>
      <c r="Q137" s="71"/>
      <c r="R137" s="71"/>
      <c r="S137" s="71"/>
      <c r="T137" s="105"/>
      <c r="U137" s="71"/>
      <c r="V137" s="71"/>
      <c r="W137" s="71"/>
      <c r="X137" s="71"/>
      <c r="Y137" s="71"/>
      <c r="Z137" s="71"/>
      <c r="AA137" s="71"/>
      <c r="AB137" s="71"/>
      <c r="AC137" s="71"/>
      <c r="AD137" s="71"/>
      <c r="AE137" s="71"/>
      <c r="AF137" s="71"/>
      <c r="AG137" s="71"/>
      <c r="AH137" s="71"/>
      <c r="AI137" s="71"/>
      <c r="AJ137" s="71"/>
      <c r="AK137" s="71"/>
    </row>
    <row r="138" spans="1:37" ht="12.75" customHeight="1" x14ac:dyDescent="0.2">
      <c r="A138" s="71"/>
      <c r="B138" s="71"/>
      <c r="C138" s="71"/>
      <c r="D138" s="71"/>
      <c r="E138" s="71"/>
      <c r="F138" s="71"/>
      <c r="G138" s="71"/>
      <c r="H138" s="71"/>
      <c r="I138" s="71"/>
      <c r="J138" s="71"/>
      <c r="K138" s="71"/>
      <c r="L138" s="71"/>
      <c r="M138" s="71"/>
      <c r="N138" s="71"/>
      <c r="O138" s="71"/>
      <c r="P138" s="71"/>
      <c r="Q138" s="71"/>
      <c r="R138" s="71"/>
      <c r="S138" s="71"/>
      <c r="T138" s="105"/>
      <c r="U138" s="71"/>
      <c r="V138" s="71"/>
      <c r="W138" s="71"/>
      <c r="X138" s="71"/>
      <c r="Y138" s="71"/>
      <c r="Z138" s="71"/>
      <c r="AA138" s="71"/>
      <c r="AB138" s="71"/>
      <c r="AC138" s="71"/>
      <c r="AD138" s="71"/>
      <c r="AE138" s="71"/>
      <c r="AF138" s="71"/>
      <c r="AG138" s="71"/>
      <c r="AH138" s="71"/>
      <c r="AI138" s="71"/>
      <c r="AJ138" s="71"/>
      <c r="AK138" s="71"/>
    </row>
    <row r="139" spans="1:37" ht="12.75" customHeight="1" x14ac:dyDescent="0.2">
      <c r="A139" s="71"/>
      <c r="B139" s="71"/>
      <c r="C139" s="71"/>
      <c r="D139" s="71"/>
      <c r="E139" s="71"/>
      <c r="F139" s="71"/>
      <c r="G139" s="71"/>
      <c r="H139" s="71"/>
      <c r="I139" s="71"/>
      <c r="J139" s="71"/>
      <c r="K139" s="71"/>
      <c r="L139" s="71"/>
      <c r="M139" s="71"/>
      <c r="N139" s="71"/>
      <c r="O139" s="71"/>
      <c r="P139" s="71"/>
      <c r="Q139" s="71"/>
      <c r="R139" s="71"/>
      <c r="S139" s="71"/>
      <c r="T139" s="105"/>
      <c r="U139" s="71"/>
      <c r="V139" s="71"/>
      <c r="W139" s="71"/>
      <c r="X139" s="71"/>
      <c r="Y139" s="71"/>
      <c r="Z139" s="71"/>
      <c r="AA139" s="71"/>
      <c r="AB139" s="71"/>
      <c r="AC139" s="71"/>
      <c r="AD139" s="71"/>
      <c r="AE139" s="71"/>
      <c r="AF139" s="71"/>
      <c r="AG139" s="71"/>
      <c r="AH139" s="71"/>
      <c r="AI139" s="71"/>
      <c r="AJ139" s="71"/>
      <c r="AK139" s="71"/>
    </row>
    <row r="140" spans="1:37" ht="12.75" customHeight="1" x14ac:dyDescent="0.2">
      <c r="A140" s="71"/>
      <c r="B140" s="71"/>
      <c r="C140" s="71"/>
      <c r="D140" s="71"/>
      <c r="E140" s="71"/>
      <c r="F140" s="71"/>
      <c r="G140" s="71"/>
      <c r="H140" s="71"/>
      <c r="I140" s="71"/>
      <c r="J140" s="71"/>
      <c r="K140" s="71"/>
      <c r="L140" s="71"/>
      <c r="M140" s="71"/>
      <c r="N140" s="71"/>
      <c r="O140" s="71"/>
      <c r="P140" s="71"/>
      <c r="Q140" s="71"/>
      <c r="R140" s="71"/>
      <c r="S140" s="71"/>
      <c r="T140" s="105"/>
      <c r="U140" s="71"/>
      <c r="V140" s="71"/>
      <c r="W140" s="71"/>
      <c r="X140" s="71"/>
      <c r="Y140" s="71"/>
      <c r="Z140" s="71"/>
      <c r="AA140" s="71"/>
      <c r="AB140" s="71"/>
      <c r="AC140" s="71"/>
      <c r="AD140" s="71"/>
      <c r="AE140" s="71"/>
      <c r="AF140" s="71"/>
      <c r="AG140" s="71"/>
      <c r="AH140" s="71"/>
      <c r="AI140" s="71"/>
      <c r="AJ140" s="71"/>
      <c r="AK140" s="71"/>
    </row>
    <row r="141" spans="1:37" ht="12.75" customHeight="1" x14ac:dyDescent="0.2">
      <c r="A141" s="71"/>
      <c r="B141" s="71"/>
      <c r="C141" s="71"/>
      <c r="D141" s="71"/>
      <c r="E141" s="71"/>
      <c r="F141" s="71"/>
      <c r="G141" s="71"/>
      <c r="H141" s="71"/>
      <c r="I141" s="71"/>
      <c r="J141" s="71"/>
      <c r="K141" s="71"/>
      <c r="L141" s="71"/>
      <c r="M141" s="71"/>
      <c r="N141" s="71"/>
      <c r="O141" s="71"/>
      <c r="P141" s="71"/>
      <c r="Q141" s="71"/>
      <c r="R141" s="71"/>
      <c r="S141" s="71"/>
      <c r="T141" s="105"/>
      <c r="U141" s="71"/>
      <c r="V141" s="71"/>
      <c r="W141" s="71"/>
      <c r="X141" s="71"/>
      <c r="Y141" s="71"/>
      <c r="Z141" s="71"/>
      <c r="AA141" s="71"/>
      <c r="AB141" s="71"/>
      <c r="AC141" s="71"/>
      <c r="AD141" s="71"/>
      <c r="AE141" s="71"/>
      <c r="AF141" s="71"/>
      <c r="AG141" s="71"/>
      <c r="AH141" s="71"/>
      <c r="AI141" s="71"/>
      <c r="AJ141" s="71"/>
      <c r="AK141" s="71"/>
    </row>
    <row r="142" spans="1:37" ht="12.75" customHeight="1" x14ac:dyDescent="0.2">
      <c r="A142" s="71"/>
      <c r="B142" s="71"/>
      <c r="C142" s="71"/>
      <c r="D142" s="71"/>
      <c r="E142" s="71"/>
      <c r="F142" s="71"/>
      <c r="G142" s="71"/>
      <c r="H142" s="71"/>
      <c r="I142" s="71"/>
      <c r="J142" s="71"/>
      <c r="K142" s="71"/>
      <c r="L142" s="71"/>
      <c r="M142" s="71"/>
      <c r="N142" s="71"/>
      <c r="O142" s="71"/>
      <c r="P142" s="71"/>
      <c r="Q142" s="71"/>
      <c r="R142" s="71"/>
      <c r="S142" s="71"/>
      <c r="T142" s="105"/>
      <c r="U142" s="71"/>
      <c r="V142" s="71"/>
      <c r="W142" s="71"/>
      <c r="X142" s="71"/>
      <c r="Y142" s="71"/>
      <c r="Z142" s="71"/>
      <c r="AA142" s="71"/>
      <c r="AB142" s="71"/>
      <c r="AC142" s="71"/>
      <c r="AD142" s="71"/>
      <c r="AE142" s="71"/>
      <c r="AF142" s="71"/>
      <c r="AG142" s="71"/>
      <c r="AH142" s="71"/>
      <c r="AI142" s="71"/>
      <c r="AJ142" s="71"/>
      <c r="AK142" s="71"/>
    </row>
    <row r="143" spans="1:37" ht="12.75" customHeight="1" x14ac:dyDescent="0.2">
      <c r="A143" s="71"/>
      <c r="B143" s="71"/>
      <c r="C143" s="71"/>
      <c r="D143" s="71"/>
      <c r="E143" s="71"/>
      <c r="F143" s="71"/>
      <c r="G143" s="71"/>
      <c r="H143" s="71"/>
      <c r="I143" s="71"/>
      <c r="J143" s="71"/>
      <c r="K143" s="71"/>
      <c r="L143" s="71"/>
      <c r="M143" s="71"/>
      <c r="N143" s="71"/>
      <c r="O143" s="71"/>
      <c r="P143" s="71"/>
      <c r="Q143" s="71"/>
      <c r="R143" s="71"/>
      <c r="S143" s="71"/>
      <c r="T143" s="105"/>
      <c r="U143" s="71"/>
      <c r="V143" s="71"/>
      <c r="W143" s="71"/>
      <c r="X143" s="71"/>
      <c r="Y143" s="71"/>
      <c r="Z143" s="71"/>
      <c r="AA143" s="71"/>
      <c r="AB143" s="71"/>
      <c r="AC143" s="71"/>
      <c r="AD143" s="71"/>
      <c r="AE143" s="71"/>
      <c r="AF143" s="71"/>
      <c r="AG143" s="71"/>
      <c r="AH143" s="71"/>
      <c r="AI143" s="71"/>
      <c r="AJ143" s="71"/>
      <c r="AK143" s="71"/>
    </row>
    <row r="144" spans="1:37" ht="12.75" customHeight="1" x14ac:dyDescent="0.2">
      <c r="A144" s="71"/>
      <c r="B144" s="71"/>
      <c r="C144" s="71"/>
      <c r="D144" s="71"/>
      <c r="E144" s="71"/>
      <c r="F144" s="71"/>
      <c r="G144" s="71"/>
      <c r="H144" s="71"/>
      <c r="I144" s="71"/>
      <c r="J144" s="71"/>
      <c r="K144" s="71"/>
      <c r="L144" s="71"/>
      <c r="M144" s="71"/>
      <c r="N144" s="71"/>
      <c r="O144" s="71"/>
      <c r="P144" s="71"/>
      <c r="Q144" s="71"/>
      <c r="R144" s="71"/>
      <c r="S144" s="71"/>
      <c r="T144" s="105"/>
      <c r="U144" s="71"/>
      <c r="V144" s="71"/>
      <c r="W144" s="71"/>
      <c r="X144" s="71"/>
      <c r="Y144" s="71"/>
      <c r="Z144" s="71"/>
      <c r="AA144" s="71"/>
      <c r="AB144" s="71"/>
      <c r="AC144" s="71"/>
      <c r="AD144" s="71"/>
      <c r="AE144" s="71"/>
      <c r="AF144" s="71"/>
      <c r="AG144" s="71"/>
      <c r="AH144" s="71"/>
      <c r="AI144" s="71"/>
      <c r="AJ144" s="71"/>
      <c r="AK144" s="71"/>
    </row>
    <row r="145" spans="1:37" ht="12.75" customHeight="1" x14ac:dyDescent="0.2">
      <c r="A145" s="71"/>
      <c r="B145" s="71"/>
      <c r="C145" s="71"/>
      <c r="D145" s="71"/>
      <c r="E145" s="71"/>
      <c r="F145" s="71"/>
      <c r="G145" s="71"/>
      <c r="H145" s="71"/>
      <c r="I145" s="71"/>
      <c r="J145" s="71"/>
      <c r="K145" s="71"/>
      <c r="L145" s="71"/>
      <c r="M145" s="71"/>
      <c r="N145" s="71"/>
      <c r="O145" s="71"/>
      <c r="P145" s="71"/>
      <c r="Q145" s="71"/>
      <c r="R145" s="71"/>
      <c r="S145" s="71"/>
      <c r="T145" s="105"/>
      <c r="U145" s="71"/>
      <c r="V145" s="71"/>
      <c r="W145" s="71"/>
      <c r="X145" s="71"/>
      <c r="Y145" s="71"/>
      <c r="Z145" s="71"/>
      <c r="AA145" s="71"/>
      <c r="AB145" s="71"/>
      <c r="AC145" s="71"/>
      <c r="AD145" s="71"/>
      <c r="AE145" s="71"/>
      <c r="AF145" s="71"/>
      <c r="AG145" s="71"/>
      <c r="AH145" s="71"/>
      <c r="AI145" s="71"/>
      <c r="AJ145" s="71"/>
      <c r="AK145" s="71"/>
    </row>
    <row r="146" spans="1:37" ht="12.75" customHeight="1" x14ac:dyDescent="0.2">
      <c r="A146" s="71"/>
      <c r="B146" s="71"/>
      <c r="C146" s="71"/>
      <c r="D146" s="71"/>
      <c r="E146" s="71"/>
      <c r="F146" s="71"/>
      <c r="G146" s="71"/>
      <c r="H146" s="71"/>
      <c r="I146" s="71"/>
      <c r="J146" s="71"/>
      <c r="K146" s="71"/>
      <c r="L146" s="71"/>
      <c r="M146" s="71"/>
      <c r="N146" s="71"/>
      <c r="O146" s="71"/>
      <c r="P146" s="71"/>
      <c r="Q146" s="71"/>
      <c r="R146" s="71"/>
      <c r="S146" s="71"/>
      <c r="T146" s="105"/>
      <c r="U146" s="71"/>
      <c r="V146" s="71"/>
      <c r="W146" s="71"/>
      <c r="X146" s="71"/>
      <c r="Y146" s="71"/>
      <c r="Z146" s="71"/>
      <c r="AA146" s="71"/>
      <c r="AB146" s="71"/>
      <c r="AC146" s="71"/>
      <c r="AD146" s="71"/>
      <c r="AE146" s="71"/>
      <c r="AF146" s="71"/>
      <c r="AG146" s="71"/>
      <c r="AH146" s="71"/>
      <c r="AI146" s="71"/>
      <c r="AJ146" s="71"/>
      <c r="AK146" s="71"/>
    </row>
    <row r="147" spans="1:37" ht="12.75" customHeight="1" x14ac:dyDescent="0.2">
      <c r="A147" s="71"/>
      <c r="B147" s="71"/>
      <c r="C147" s="71"/>
      <c r="D147" s="71"/>
      <c r="E147" s="71"/>
      <c r="F147" s="71"/>
      <c r="G147" s="71"/>
      <c r="H147" s="71"/>
      <c r="I147" s="71"/>
      <c r="J147" s="71"/>
      <c r="K147" s="71"/>
      <c r="L147" s="71"/>
      <c r="M147" s="71"/>
      <c r="N147" s="71"/>
      <c r="O147" s="71"/>
      <c r="P147" s="71"/>
      <c r="Q147" s="71"/>
      <c r="R147" s="71"/>
      <c r="S147" s="71"/>
      <c r="T147" s="105"/>
      <c r="U147" s="71"/>
      <c r="V147" s="71"/>
      <c r="W147" s="71"/>
      <c r="X147" s="71"/>
      <c r="Y147" s="71"/>
      <c r="Z147" s="71"/>
      <c r="AA147" s="71"/>
      <c r="AB147" s="71"/>
      <c r="AC147" s="71"/>
      <c r="AD147" s="71"/>
      <c r="AE147" s="71"/>
      <c r="AF147" s="71"/>
      <c r="AG147" s="71"/>
      <c r="AH147" s="71"/>
      <c r="AI147" s="71"/>
      <c r="AJ147" s="71"/>
      <c r="AK147" s="71"/>
    </row>
    <row r="148" spans="1:37" ht="12.75" customHeight="1" x14ac:dyDescent="0.2">
      <c r="A148" s="71"/>
      <c r="B148" s="71"/>
      <c r="C148" s="71"/>
      <c r="D148" s="71"/>
      <c r="E148" s="71"/>
      <c r="F148" s="71"/>
      <c r="G148" s="71"/>
      <c r="H148" s="71"/>
      <c r="I148" s="71"/>
      <c r="J148" s="71"/>
      <c r="K148" s="71"/>
      <c r="L148" s="71"/>
      <c r="M148" s="71"/>
      <c r="N148" s="71"/>
      <c r="O148" s="71"/>
      <c r="P148" s="71"/>
      <c r="Q148" s="71"/>
      <c r="R148" s="71"/>
      <c r="S148" s="71"/>
      <c r="T148" s="105"/>
      <c r="U148" s="71"/>
      <c r="V148" s="71"/>
      <c r="W148" s="71"/>
      <c r="X148" s="71"/>
      <c r="Y148" s="71"/>
      <c r="Z148" s="71"/>
      <c r="AA148" s="71"/>
      <c r="AB148" s="71"/>
      <c r="AC148" s="71"/>
      <c r="AD148" s="71"/>
      <c r="AE148" s="71"/>
      <c r="AF148" s="71"/>
      <c r="AG148" s="71"/>
      <c r="AH148" s="71"/>
      <c r="AI148" s="71"/>
      <c r="AJ148" s="71"/>
      <c r="AK148" s="71"/>
    </row>
    <row r="149" spans="1:37" ht="12.75" customHeight="1" x14ac:dyDescent="0.2">
      <c r="A149" s="71"/>
      <c r="B149" s="71"/>
      <c r="C149" s="71"/>
      <c r="D149" s="71"/>
      <c r="E149" s="71"/>
      <c r="F149" s="71"/>
      <c r="G149" s="71"/>
      <c r="H149" s="71"/>
      <c r="I149" s="71"/>
      <c r="J149" s="71"/>
      <c r="K149" s="71"/>
      <c r="L149" s="71"/>
      <c r="M149" s="71"/>
      <c r="N149" s="71"/>
      <c r="O149" s="71"/>
      <c r="P149" s="71"/>
      <c r="Q149" s="71"/>
      <c r="R149" s="71"/>
      <c r="S149" s="71"/>
      <c r="T149" s="105"/>
      <c r="U149" s="71"/>
      <c r="V149" s="71"/>
      <c r="W149" s="71"/>
      <c r="X149" s="71"/>
      <c r="Y149" s="71"/>
      <c r="Z149" s="71"/>
      <c r="AA149" s="71"/>
      <c r="AB149" s="71"/>
      <c r="AC149" s="71"/>
      <c r="AD149" s="71"/>
      <c r="AE149" s="71"/>
      <c r="AF149" s="71"/>
      <c r="AG149" s="71"/>
      <c r="AH149" s="71"/>
      <c r="AI149" s="71"/>
      <c r="AJ149" s="71"/>
      <c r="AK149" s="71"/>
    </row>
    <row r="150" spans="1:37" ht="12.75" customHeight="1" x14ac:dyDescent="0.2">
      <c r="A150" s="71"/>
      <c r="B150" s="71"/>
      <c r="C150" s="71"/>
      <c r="D150" s="71"/>
      <c r="E150" s="71"/>
      <c r="F150" s="71"/>
      <c r="G150" s="71"/>
      <c r="H150" s="71"/>
      <c r="I150" s="71"/>
      <c r="J150" s="71"/>
      <c r="K150" s="71"/>
      <c r="L150" s="71"/>
      <c r="M150" s="71"/>
      <c r="N150" s="71"/>
      <c r="O150" s="71"/>
      <c r="P150" s="71"/>
      <c r="Q150" s="71"/>
      <c r="R150" s="71"/>
      <c r="S150" s="71"/>
      <c r="T150" s="105"/>
      <c r="U150" s="71"/>
      <c r="V150" s="71"/>
      <c r="W150" s="71"/>
      <c r="X150" s="71"/>
      <c r="Y150" s="71"/>
      <c r="Z150" s="71"/>
      <c r="AA150" s="71"/>
      <c r="AB150" s="71"/>
      <c r="AC150" s="71"/>
      <c r="AD150" s="71"/>
      <c r="AE150" s="71"/>
      <c r="AF150" s="71"/>
      <c r="AG150" s="71"/>
      <c r="AH150" s="71"/>
      <c r="AI150" s="71"/>
      <c r="AJ150" s="71"/>
      <c r="AK150" s="71"/>
    </row>
    <row r="151" spans="1:37" ht="12.75" customHeight="1" x14ac:dyDescent="0.2">
      <c r="A151" s="71"/>
      <c r="B151" s="71"/>
      <c r="C151" s="71"/>
      <c r="D151" s="71"/>
      <c r="E151" s="71"/>
      <c r="F151" s="71"/>
      <c r="G151" s="71"/>
      <c r="H151" s="71"/>
      <c r="I151" s="71"/>
      <c r="J151" s="71"/>
      <c r="K151" s="71"/>
      <c r="L151" s="71"/>
      <c r="M151" s="71"/>
      <c r="N151" s="71"/>
      <c r="O151" s="71"/>
      <c r="P151" s="71"/>
      <c r="Q151" s="71"/>
      <c r="R151" s="71"/>
      <c r="S151" s="71"/>
      <c r="T151" s="105"/>
      <c r="U151" s="71"/>
      <c r="V151" s="71"/>
      <c r="W151" s="71"/>
      <c r="X151" s="71"/>
      <c r="Y151" s="71"/>
      <c r="Z151" s="71"/>
      <c r="AA151" s="71"/>
      <c r="AB151" s="71"/>
      <c r="AC151" s="71"/>
      <c r="AD151" s="71"/>
      <c r="AE151" s="71"/>
      <c r="AF151" s="71"/>
      <c r="AG151" s="71"/>
      <c r="AH151" s="71"/>
      <c r="AI151" s="71"/>
      <c r="AJ151" s="71"/>
      <c r="AK151" s="71"/>
    </row>
    <row r="152" spans="1:37" ht="12.75" customHeight="1" x14ac:dyDescent="0.2">
      <c r="A152" s="71"/>
      <c r="B152" s="71"/>
      <c r="C152" s="71"/>
      <c r="D152" s="71"/>
      <c r="E152" s="71"/>
      <c r="F152" s="71"/>
      <c r="G152" s="71"/>
      <c r="H152" s="71"/>
      <c r="I152" s="71"/>
      <c r="J152" s="71"/>
      <c r="K152" s="71"/>
      <c r="L152" s="71"/>
      <c r="M152" s="71"/>
      <c r="N152" s="71"/>
      <c r="O152" s="71"/>
      <c r="P152" s="71"/>
      <c r="Q152" s="71"/>
      <c r="R152" s="71"/>
      <c r="S152" s="71"/>
      <c r="T152" s="105"/>
      <c r="U152" s="71"/>
      <c r="V152" s="71"/>
      <c r="W152" s="71"/>
      <c r="X152" s="71"/>
      <c r="Y152" s="71"/>
      <c r="Z152" s="71"/>
      <c r="AA152" s="71"/>
      <c r="AB152" s="71"/>
      <c r="AC152" s="71"/>
      <c r="AD152" s="71"/>
      <c r="AE152" s="71"/>
      <c r="AF152" s="71"/>
      <c r="AG152" s="71"/>
      <c r="AH152" s="71"/>
      <c r="AI152" s="71"/>
      <c r="AJ152" s="71"/>
      <c r="AK152" s="71"/>
    </row>
    <row r="153" spans="1:37" ht="12.75" customHeight="1" x14ac:dyDescent="0.2">
      <c r="A153" s="71"/>
      <c r="B153" s="71"/>
      <c r="C153" s="71"/>
      <c r="D153" s="71"/>
      <c r="E153" s="71"/>
      <c r="F153" s="71"/>
      <c r="G153" s="71"/>
      <c r="H153" s="71"/>
      <c r="I153" s="71"/>
      <c r="J153" s="71"/>
      <c r="K153" s="71"/>
      <c r="L153" s="71"/>
      <c r="M153" s="71"/>
      <c r="N153" s="71"/>
      <c r="O153" s="71"/>
      <c r="P153" s="71"/>
      <c r="Q153" s="71"/>
      <c r="R153" s="71"/>
      <c r="S153" s="71"/>
      <c r="T153" s="105"/>
      <c r="U153" s="71"/>
      <c r="V153" s="71"/>
      <c r="W153" s="71"/>
      <c r="X153" s="71"/>
      <c r="Y153" s="71"/>
      <c r="Z153" s="71"/>
      <c r="AA153" s="71"/>
      <c r="AB153" s="71"/>
      <c r="AC153" s="71"/>
      <c r="AD153" s="71"/>
      <c r="AE153" s="71"/>
      <c r="AF153" s="71"/>
      <c r="AG153" s="71"/>
      <c r="AH153" s="71"/>
      <c r="AI153" s="71"/>
      <c r="AJ153" s="71"/>
      <c r="AK153" s="71"/>
    </row>
    <row r="154" spans="1:37" ht="12.75" customHeight="1" x14ac:dyDescent="0.2">
      <c r="A154" s="71"/>
      <c r="B154" s="71"/>
      <c r="C154" s="71"/>
      <c r="D154" s="71"/>
      <c r="E154" s="71"/>
      <c r="F154" s="71"/>
      <c r="G154" s="71"/>
      <c r="H154" s="71"/>
      <c r="I154" s="71"/>
      <c r="J154" s="71"/>
      <c r="K154" s="71"/>
      <c r="L154" s="71"/>
      <c r="M154" s="71"/>
      <c r="N154" s="71"/>
      <c r="O154" s="71"/>
      <c r="P154" s="71"/>
      <c r="Q154" s="71"/>
      <c r="R154" s="71"/>
      <c r="S154" s="71"/>
      <c r="T154" s="105"/>
      <c r="U154" s="71"/>
      <c r="V154" s="71"/>
      <c r="W154" s="71"/>
      <c r="X154" s="71"/>
      <c r="Y154" s="71"/>
      <c r="Z154" s="71"/>
      <c r="AA154" s="71"/>
      <c r="AB154" s="71"/>
      <c r="AC154" s="71"/>
      <c r="AD154" s="71"/>
      <c r="AE154" s="71"/>
      <c r="AF154" s="71"/>
      <c r="AG154" s="71"/>
      <c r="AH154" s="71"/>
      <c r="AI154" s="71"/>
      <c r="AJ154" s="71"/>
      <c r="AK154" s="71"/>
    </row>
    <row r="155" spans="1:37" ht="12.75" customHeight="1" x14ac:dyDescent="0.2">
      <c r="A155" s="71"/>
      <c r="B155" s="71"/>
      <c r="C155" s="71"/>
      <c r="D155" s="71"/>
      <c r="E155" s="71"/>
      <c r="F155" s="71"/>
      <c r="G155" s="71"/>
      <c r="H155" s="71"/>
      <c r="I155" s="71"/>
      <c r="J155" s="71"/>
      <c r="K155" s="71"/>
      <c r="L155" s="71"/>
      <c r="M155" s="71"/>
      <c r="N155" s="71"/>
      <c r="O155" s="71"/>
      <c r="P155" s="71"/>
      <c r="Q155" s="71"/>
      <c r="R155" s="71"/>
      <c r="S155" s="71"/>
      <c r="T155" s="105"/>
      <c r="U155" s="71"/>
      <c r="V155" s="71"/>
      <c r="W155" s="71"/>
      <c r="X155" s="71"/>
      <c r="Y155" s="71"/>
      <c r="Z155" s="71"/>
      <c r="AA155" s="71"/>
      <c r="AB155" s="71"/>
      <c r="AC155" s="71"/>
      <c r="AD155" s="71"/>
      <c r="AE155" s="71"/>
      <c r="AF155" s="71"/>
      <c r="AG155" s="71"/>
      <c r="AH155" s="71"/>
      <c r="AI155" s="71"/>
      <c r="AJ155" s="71"/>
      <c r="AK155" s="71"/>
    </row>
    <row r="156" spans="1:37" ht="12.75" customHeight="1" x14ac:dyDescent="0.2">
      <c r="A156" s="71"/>
      <c r="B156" s="71"/>
      <c r="C156" s="71"/>
      <c r="D156" s="71"/>
      <c r="E156" s="71"/>
      <c r="F156" s="71"/>
      <c r="G156" s="71"/>
      <c r="H156" s="71"/>
      <c r="I156" s="71"/>
      <c r="J156" s="71"/>
      <c r="K156" s="71"/>
      <c r="L156" s="71"/>
      <c r="M156" s="71"/>
      <c r="N156" s="71"/>
      <c r="O156" s="71"/>
      <c r="P156" s="71"/>
      <c r="Q156" s="71"/>
      <c r="R156" s="71"/>
      <c r="S156" s="71"/>
      <c r="T156" s="105"/>
      <c r="U156" s="71"/>
      <c r="V156" s="71"/>
      <c r="W156" s="71"/>
      <c r="X156" s="71"/>
      <c r="Y156" s="71"/>
      <c r="Z156" s="71"/>
      <c r="AA156" s="71"/>
      <c r="AB156" s="71"/>
      <c r="AC156" s="71"/>
      <c r="AD156" s="71"/>
      <c r="AE156" s="71"/>
      <c r="AF156" s="71"/>
      <c r="AG156" s="71"/>
      <c r="AH156" s="71"/>
      <c r="AI156" s="71"/>
      <c r="AJ156" s="71"/>
      <c r="AK156" s="71"/>
    </row>
    <row r="157" spans="1:37" ht="12.75" customHeight="1" x14ac:dyDescent="0.2">
      <c r="A157" s="71"/>
      <c r="B157" s="71"/>
      <c r="C157" s="71"/>
      <c r="D157" s="71"/>
      <c r="E157" s="71"/>
      <c r="F157" s="71"/>
      <c r="G157" s="71"/>
      <c r="H157" s="71"/>
      <c r="I157" s="71"/>
      <c r="J157" s="71"/>
      <c r="K157" s="71"/>
      <c r="L157" s="71"/>
      <c r="M157" s="71"/>
      <c r="N157" s="71"/>
      <c r="O157" s="71"/>
      <c r="P157" s="71"/>
      <c r="Q157" s="71"/>
      <c r="R157" s="71"/>
      <c r="S157" s="71"/>
      <c r="T157" s="105"/>
      <c r="U157" s="71"/>
      <c r="V157" s="71"/>
      <c r="W157" s="71"/>
      <c r="X157" s="71"/>
      <c r="Y157" s="71"/>
      <c r="Z157" s="71"/>
      <c r="AA157" s="71"/>
      <c r="AB157" s="71"/>
      <c r="AC157" s="71"/>
      <c r="AD157" s="71"/>
      <c r="AE157" s="71"/>
      <c r="AF157" s="71"/>
      <c r="AG157" s="71"/>
      <c r="AH157" s="71"/>
      <c r="AI157" s="71"/>
      <c r="AJ157" s="71"/>
      <c r="AK157" s="71"/>
    </row>
    <row r="158" spans="1:37" ht="12.75" customHeight="1" x14ac:dyDescent="0.2">
      <c r="A158" s="71"/>
      <c r="B158" s="71"/>
      <c r="C158" s="71"/>
      <c r="D158" s="71"/>
      <c r="E158" s="71"/>
      <c r="F158" s="71"/>
      <c r="G158" s="71"/>
      <c r="H158" s="71"/>
      <c r="I158" s="71"/>
      <c r="J158" s="71"/>
      <c r="K158" s="71"/>
      <c r="L158" s="71"/>
      <c r="M158" s="71"/>
      <c r="N158" s="71"/>
      <c r="O158" s="71"/>
      <c r="P158" s="71"/>
      <c r="Q158" s="71"/>
      <c r="R158" s="71"/>
      <c r="S158" s="71"/>
      <c r="T158" s="105"/>
      <c r="U158" s="71"/>
      <c r="V158" s="71"/>
      <c r="W158" s="71"/>
      <c r="X158" s="71"/>
      <c r="Y158" s="71"/>
      <c r="Z158" s="71"/>
      <c r="AA158" s="71"/>
      <c r="AB158" s="71"/>
      <c r="AC158" s="71"/>
      <c r="AD158" s="71"/>
      <c r="AE158" s="71"/>
      <c r="AF158" s="71"/>
      <c r="AG158" s="71"/>
      <c r="AH158" s="71"/>
      <c r="AI158" s="71"/>
      <c r="AJ158" s="71"/>
      <c r="AK158" s="71"/>
    </row>
    <row r="159" spans="1:37" ht="12.75" customHeight="1" x14ac:dyDescent="0.2">
      <c r="A159" s="71"/>
      <c r="B159" s="71"/>
      <c r="C159" s="71"/>
      <c r="D159" s="71"/>
      <c r="E159" s="71"/>
      <c r="F159" s="71"/>
      <c r="G159" s="71"/>
      <c r="H159" s="71"/>
      <c r="I159" s="71"/>
      <c r="J159" s="71"/>
      <c r="K159" s="71"/>
      <c r="L159" s="71"/>
      <c r="M159" s="71"/>
      <c r="N159" s="71"/>
      <c r="O159" s="71"/>
      <c r="P159" s="71"/>
      <c r="Q159" s="71"/>
      <c r="R159" s="71"/>
      <c r="S159" s="71"/>
      <c r="T159" s="105"/>
      <c r="U159" s="71"/>
      <c r="V159" s="71"/>
      <c r="W159" s="71"/>
      <c r="X159" s="71"/>
      <c r="Y159" s="71"/>
      <c r="Z159" s="71"/>
      <c r="AA159" s="71"/>
      <c r="AB159" s="71"/>
      <c r="AC159" s="71"/>
      <c r="AD159" s="71"/>
      <c r="AE159" s="71"/>
      <c r="AF159" s="71"/>
      <c r="AG159" s="71"/>
      <c r="AH159" s="71"/>
      <c r="AI159" s="71"/>
      <c r="AJ159" s="71"/>
      <c r="AK159" s="71"/>
    </row>
    <row r="160" spans="1:37" ht="12.75" customHeight="1" x14ac:dyDescent="0.2">
      <c r="A160" s="71"/>
      <c r="B160" s="71"/>
      <c r="C160" s="71"/>
      <c r="D160" s="71"/>
      <c r="E160" s="71"/>
      <c r="F160" s="71"/>
      <c r="G160" s="71"/>
      <c r="H160" s="71"/>
      <c r="I160" s="71"/>
      <c r="J160" s="71"/>
      <c r="K160" s="71"/>
      <c r="L160" s="71"/>
      <c r="M160" s="71"/>
      <c r="N160" s="71"/>
      <c r="O160" s="71"/>
      <c r="P160" s="71"/>
      <c r="Q160" s="71"/>
      <c r="R160" s="71"/>
      <c r="S160" s="71"/>
      <c r="T160" s="105"/>
      <c r="U160" s="71"/>
      <c r="V160" s="71"/>
      <c r="W160" s="71"/>
      <c r="X160" s="71"/>
      <c r="Y160" s="71"/>
      <c r="Z160" s="71"/>
      <c r="AA160" s="71"/>
      <c r="AB160" s="71"/>
      <c r="AC160" s="71"/>
      <c r="AD160" s="71"/>
      <c r="AE160" s="71"/>
      <c r="AF160" s="71"/>
      <c r="AG160" s="71"/>
      <c r="AH160" s="71"/>
      <c r="AI160" s="71"/>
      <c r="AJ160" s="71"/>
      <c r="AK160" s="71"/>
    </row>
    <row r="161" spans="1:37" ht="12.75" customHeight="1" x14ac:dyDescent="0.2">
      <c r="A161" s="71"/>
      <c r="B161" s="71"/>
      <c r="C161" s="71"/>
      <c r="D161" s="71"/>
      <c r="E161" s="71"/>
      <c r="F161" s="71"/>
      <c r="G161" s="71"/>
      <c r="H161" s="71"/>
      <c r="I161" s="71"/>
      <c r="J161" s="71"/>
      <c r="K161" s="71"/>
      <c r="L161" s="71"/>
      <c r="M161" s="71"/>
      <c r="N161" s="71"/>
      <c r="O161" s="71"/>
      <c r="P161" s="71"/>
      <c r="Q161" s="71"/>
      <c r="R161" s="71"/>
      <c r="S161" s="71"/>
      <c r="T161" s="105"/>
      <c r="U161" s="71"/>
      <c r="V161" s="71"/>
      <c r="W161" s="71"/>
      <c r="X161" s="71"/>
      <c r="Y161" s="71"/>
      <c r="Z161" s="71"/>
      <c r="AA161" s="71"/>
      <c r="AB161" s="71"/>
      <c r="AC161" s="71"/>
      <c r="AD161" s="71"/>
      <c r="AE161" s="71"/>
      <c r="AF161" s="71"/>
      <c r="AG161" s="71"/>
      <c r="AH161" s="71"/>
      <c r="AI161" s="71"/>
      <c r="AJ161" s="71"/>
      <c r="AK161" s="71"/>
    </row>
    <row r="162" spans="1:37" ht="12.75" customHeight="1" x14ac:dyDescent="0.2">
      <c r="A162" s="71"/>
      <c r="B162" s="71"/>
      <c r="C162" s="71"/>
      <c r="D162" s="71"/>
      <c r="E162" s="71"/>
      <c r="F162" s="71"/>
      <c r="G162" s="71"/>
      <c r="H162" s="71"/>
      <c r="I162" s="71"/>
      <c r="J162" s="71"/>
      <c r="K162" s="71"/>
      <c r="L162" s="71"/>
      <c r="M162" s="71"/>
      <c r="N162" s="71"/>
      <c r="O162" s="71"/>
      <c r="P162" s="71"/>
      <c r="Q162" s="71"/>
      <c r="R162" s="71"/>
      <c r="S162" s="71"/>
      <c r="T162" s="105"/>
      <c r="U162" s="71"/>
      <c r="V162" s="71"/>
      <c r="W162" s="71"/>
      <c r="X162" s="71"/>
      <c r="Y162" s="71"/>
      <c r="Z162" s="71"/>
      <c r="AA162" s="71"/>
      <c r="AB162" s="71"/>
      <c r="AC162" s="71"/>
      <c r="AD162" s="71"/>
      <c r="AE162" s="71"/>
      <c r="AF162" s="71"/>
      <c r="AG162" s="71"/>
      <c r="AH162" s="71"/>
      <c r="AI162" s="71"/>
      <c r="AJ162" s="71"/>
      <c r="AK162" s="71"/>
    </row>
    <row r="163" spans="1:37" ht="12.75" customHeight="1" x14ac:dyDescent="0.2">
      <c r="A163" s="71"/>
      <c r="B163" s="71"/>
      <c r="C163" s="71"/>
      <c r="D163" s="71"/>
      <c r="E163" s="71"/>
      <c r="F163" s="71"/>
      <c r="G163" s="71"/>
      <c r="H163" s="71"/>
      <c r="I163" s="71"/>
      <c r="J163" s="71"/>
      <c r="K163" s="71"/>
      <c r="L163" s="71"/>
      <c r="M163" s="71"/>
      <c r="N163" s="71"/>
      <c r="O163" s="71"/>
      <c r="P163" s="71"/>
      <c r="Q163" s="71"/>
      <c r="R163" s="71"/>
      <c r="S163" s="71"/>
      <c r="T163" s="105"/>
      <c r="U163" s="71"/>
      <c r="V163" s="71"/>
      <c r="W163" s="71"/>
      <c r="X163" s="71"/>
      <c r="Y163" s="71"/>
      <c r="Z163" s="71"/>
      <c r="AA163" s="71"/>
      <c r="AB163" s="71"/>
      <c r="AC163" s="71"/>
      <c r="AD163" s="71"/>
      <c r="AE163" s="71"/>
      <c r="AF163" s="71"/>
      <c r="AG163" s="71"/>
      <c r="AH163" s="71"/>
      <c r="AI163" s="71"/>
      <c r="AJ163" s="71"/>
      <c r="AK163" s="71"/>
    </row>
    <row r="164" spans="1:37" ht="12.75" customHeight="1" x14ac:dyDescent="0.2">
      <c r="A164" s="71"/>
      <c r="B164" s="71"/>
      <c r="C164" s="71"/>
      <c r="D164" s="71"/>
      <c r="E164" s="71"/>
      <c r="F164" s="71"/>
      <c r="G164" s="71"/>
      <c r="H164" s="71"/>
      <c r="I164" s="71"/>
      <c r="J164" s="71"/>
      <c r="K164" s="71"/>
      <c r="L164" s="71"/>
      <c r="M164" s="71"/>
      <c r="N164" s="71"/>
      <c r="O164" s="71"/>
      <c r="P164" s="71"/>
      <c r="Q164" s="71"/>
      <c r="R164" s="71"/>
      <c r="S164" s="71"/>
      <c r="T164" s="105"/>
      <c r="U164" s="71"/>
      <c r="V164" s="71"/>
      <c r="W164" s="71"/>
      <c r="X164" s="71"/>
      <c r="Y164" s="71"/>
      <c r="Z164" s="71"/>
      <c r="AA164" s="71"/>
      <c r="AB164" s="71"/>
      <c r="AC164" s="71"/>
      <c r="AD164" s="71"/>
      <c r="AE164" s="71"/>
      <c r="AF164" s="71"/>
      <c r="AG164" s="71"/>
      <c r="AH164" s="71"/>
      <c r="AI164" s="71"/>
      <c r="AJ164" s="71"/>
      <c r="AK164" s="71"/>
    </row>
    <row r="165" spans="1:37" ht="12.75" customHeight="1" x14ac:dyDescent="0.2">
      <c r="A165" s="71"/>
      <c r="B165" s="71"/>
      <c r="C165" s="71"/>
      <c r="D165" s="71"/>
      <c r="E165" s="71"/>
      <c r="F165" s="71"/>
      <c r="G165" s="71"/>
      <c r="H165" s="71"/>
      <c r="I165" s="71"/>
      <c r="J165" s="71"/>
      <c r="K165" s="71"/>
      <c r="L165" s="71"/>
      <c r="M165" s="71"/>
      <c r="N165" s="71"/>
      <c r="O165" s="71"/>
      <c r="P165" s="71"/>
      <c r="Q165" s="71"/>
      <c r="R165" s="71"/>
      <c r="S165" s="71"/>
      <c r="T165" s="105"/>
      <c r="U165" s="71"/>
      <c r="V165" s="71"/>
      <c r="W165" s="71"/>
      <c r="X165" s="71"/>
      <c r="Y165" s="71"/>
      <c r="Z165" s="71"/>
      <c r="AA165" s="71"/>
      <c r="AB165" s="71"/>
      <c r="AC165" s="71"/>
      <c r="AD165" s="71"/>
      <c r="AE165" s="71"/>
      <c r="AF165" s="71"/>
      <c r="AG165" s="71"/>
      <c r="AH165" s="71"/>
      <c r="AI165" s="71"/>
      <c r="AJ165" s="71"/>
      <c r="AK165" s="71"/>
    </row>
    <row r="166" spans="1:37" ht="12.75" customHeight="1" x14ac:dyDescent="0.2">
      <c r="A166" s="71"/>
      <c r="B166" s="71"/>
      <c r="C166" s="71"/>
      <c r="D166" s="71"/>
      <c r="E166" s="71"/>
      <c r="F166" s="71"/>
      <c r="G166" s="71"/>
      <c r="H166" s="71"/>
      <c r="I166" s="71"/>
      <c r="J166" s="71"/>
      <c r="K166" s="71"/>
      <c r="L166" s="71"/>
      <c r="M166" s="71"/>
      <c r="N166" s="71"/>
      <c r="O166" s="71"/>
      <c r="P166" s="71"/>
      <c r="Q166" s="71"/>
      <c r="R166" s="71"/>
      <c r="S166" s="71"/>
      <c r="T166" s="105"/>
      <c r="U166" s="71"/>
      <c r="V166" s="71"/>
      <c r="W166" s="71"/>
      <c r="X166" s="71"/>
      <c r="Y166" s="71"/>
      <c r="Z166" s="71"/>
      <c r="AA166" s="71"/>
      <c r="AB166" s="71"/>
      <c r="AC166" s="71"/>
      <c r="AD166" s="71"/>
      <c r="AE166" s="71"/>
      <c r="AF166" s="71"/>
      <c r="AG166" s="71"/>
      <c r="AH166" s="71"/>
      <c r="AI166" s="71"/>
      <c r="AJ166" s="71"/>
      <c r="AK166" s="71"/>
    </row>
    <row r="167" spans="1:37" ht="12.75" customHeight="1" x14ac:dyDescent="0.2">
      <c r="A167" s="71"/>
      <c r="B167" s="71"/>
      <c r="C167" s="71"/>
      <c r="D167" s="71"/>
      <c r="E167" s="71"/>
      <c r="F167" s="71"/>
      <c r="G167" s="71"/>
      <c r="H167" s="71"/>
      <c r="I167" s="71"/>
      <c r="J167" s="71"/>
      <c r="K167" s="71"/>
      <c r="L167" s="71"/>
      <c r="M167" s="71"/>
      <c r="N167" s="71"/>
      <c r="O167" s="71"/>
      <c r="P167" s="71"/>
      <c r="Q167" s="71"/>
      <c r="R167" s="71"/>
      <c r="S167" s="71"/>
      <c r="T167" s="105"/>
      <c r="U167" s="71"/>
      <c r="V167" s="71"/>
      <c r="W167" s="71"/>
      <c r="X167" s="71"/>
      <c r="Y167" s="71"/>
      <c r="Z167" s="71"/>
      <c r="AA167" s="71"/>
      <c r="AB167" s="71"/>
      <c r="AC167" s="71"/>
      <c r="AD167" s="71"/>
      <c r="AE167" s="71"/>
      <c r="AF167" s="71"/>
      <c r="AG167" s="71"/>
      <c r="AH167" s="71"/>
      <c r="AI167" s="71"/>
      <c r="AJ167" s="71"/>
      <c r="AK167" s="71"/>
    </row>
    <row r="168" spans="1:37" ht="12.75" customHeight="1" x14ac:dyDescent="0.2">
      <c r="A168" s="71"/>
      <c r="B168" s="71"/>
      <c r="C168" s="71"/>
      <c r="D168" s="71"/>
      <c r="E168" s="71"/>
      <c r="F168" s="71"/>
      <c r="G168" s="71"/>
      <c r="H168" s="71"/>
      <c r="I168" s="71"/>
      <c r="J168" s="71"/>
      <c r="K168" s="71"/>
      <c r="L168" s="71"/>
      <c r="M168" s="71"/>
      <c r="N168" s="71"/>
      <c r="O168" s="71"/>
      <c r="P168" s="71"/>
      <c r="Q168" s="71"/>
      <c r="R168" s="71"/>
      <c r="S168" s="71"/>
      <c r="T168" s="105"/>
      <c r="U168" s="71"/>
      <c r="V168" s="71"/>
      <c r="W168" s="71"/>
      <c r="X168" s="71"/>
      <c r="Y168" s="71"/>
      <c r="Z168" s="71"/>
      <c r="AA168" s="71"/>
      <c r="AB168" s="71"/>
      <c r="AC168" s="71"/>
      <c r="AD168" s="71"/>
      <c r="AE168" s="71"/>
      <c r="AF168" s="71"/>
      <c r="AG168" s="71"/>
      <c r="AH168" s="71"/>
      <c r="AI168" s="71"/>
      <c r="AJ168" s="71"/>
      <c r="AK168" s="71"/>
    </row>
    <row r="169" spans="1:37" ht="12.75" customHeight="1" x14ac:dyDescent="0.2">
      <c r="A169" s="71"/>
      <c r="B169" s="71"/>
      <c r="C169" s="71"/>
      <c r="D169" s="71"/>
      <c r="E169" s="71"/>
      <c r="F169" s="71"/>
      <c r="G169" s="71"/>
      <c r="H169" s="71"/>
      <c r="I169" s="71"/>
      <c r="J169" s="71"/>
      <c r="K169" s="71"/>
      <c r="L169" s="71"/>
      <c r="M169" s="71"/>
      <c r="N169" s="71"/>
      <c r="O169" s="71"/>
      <c r="P169" s="71"/>
      <c r="Q169" s="71"/>
      <c r="R169" s="71"/>
      <c r="S169" s="71"/>
      <c r="T169" s="105"/>
      <c r="U169" s="71"/>
      <c r="V169" s="71"/>
      <c r="W169" s="71"/>
      <c r="X169" s="71"/>
      <c r="Y169" s="71"/>
      <c r="Z169" s="71"/>
      <c r="AA169" s="71"/>
      <c r="AB169" s="71"/>
      <c r="AC169" s="71"/>
      <c r="AD169" s="71"/>
      <c r="AE169" s="71"/>
      <c r="AF169" s="71"/>
      <c r="AG169" s="71"/>
      <c r="AH169" s="71"/>
      <c r="AI169" s="71"/>
      <c r="AJ169" s="71"/>
      <c r="AK169" s="71"/>
    </row>
    <row r="170" spans="1:37" ht="12.75" customHeight="1" x14ac:dyDescent="0.2">
      <c r="A170" s="71"/>
      <c r="B170" s="71"/>
      <c r="C170" s="71"/>
      <c r="D170" s="71"/>
      <c r="E170" s="71"/>
      <c r="F170" s="71"/>
      <c r="G170" s="71"/>
      <c r="H170" s="71"/>
      <c r="I170" s="71"/>
      <c r="J170" s="71"/>
      <c r="K170" s="71"/>
      <c r="L170" s="71"/>
      <c r="M170" s="71"/>
      <c r="N170" s="71"/>
      <c r="O170" s="71"/>
      <c r="P170" s="71"/>
      <c r="Q170" s="71"/>
      <c r="R170" s="71"/>
      <c r="S170" s="71"/>
      <c r="T170" s="105"/>
      <c r="U170" s="71"/>
      <c r="V170" s="71"/>
      <c r="W170" s="71"/>
      <c r="X170" s="71"/>
      <c r="Y170" s="71"/>
      <c r="Z170" s="71"/>
      <c r="AA170" s="71"/>
      <c r="AB170" s="71"/>
      <c r="AC170" s="71"/>
      <c r="AD170" s="71"/>
      <c r="AE170" s="71"/>
      <c r="AF170" s="71"/>
      <c r="AG170" s="71"/>
      <c r="AH170" s="71"/>
      <c r="AI170" s="71"/>
      <c r="AJ170" s="71"/>
      <c r="AK170" s="71"/>
    </row>
    <row r="171" spans="1:37" ht="12.75" customHeight="1" x14ac:dyDescent="0.2">
      <c r="A171" s="71"/>
      <c r="B171" s="71"/>
      <c r="C171" s="71"/>
      <c r="D171" s="71"/>
      <c r="E171" s="71"/>
      <c r="F171" s="71"/>
      <c r="G171" s="71"/>
      <c r="H171" s="71"/>
      <c r="I171" s="71"/>
      <c r="J171" s="71"/>
      <c r="K171" s="71"/>
      <c r="L171" s="71"/>
      <c r="M171" s="71"/>
      <c r="N171" s="71"/>
      <c r="O171" s="71"/>
      <c r="P171" s="71"/>
      <c r="Q171" s="71"/>
      <c r="R171" s="71"/>
      <c r="S171" s="71"/>
      <c r="T171" s="105"/>
      <c r="U171" s="71"/>
      <c r="V171" s="71"/>
      <c r="W171" s="71"/>
      <c r="X171" s="71"/>
      <c r="Y171" s="71"/>
      <c r="Z171" s="71"/>
      <c r="AA171" s="71"/>
      <c r="AB171" s="71"/>
      <c r="AC171" s="71"/>
      <c r="AD171" s="71"/>
      <c r="AE171" s="71"/>
      <c r="AF171" s="71"/>
      <c r="AG171" s="71"/>
      <c r="AH171" s="71"/>
      <c r="AI171" s="71"/>
      <c r="AJ171" s="71"/>
      <c r="AK171" s="71"/>
    </row>
    <row r="172" spans="1:37" ht="12.75" customHeight="1" x14ac:dyDescent="0.2">
      <c r="A172" s="71"/>
      <c r="B172" s="71"/>
      <c r="C172" s="71"/>
      <c r="D172" s="71"/>
      <c r="E172" s="71"/>
      <c r="F172" s="71"/>
      <c r="G172" s="71"/>
      <c r="H172" s="71"/>
      <c r="I172" s="71"/>
      <c r="J172" s="71"/>
      <c r="K172" s="71"/>
      <c r="L172" s="71"/>
      <c r="M172" s="71"/>
      <c r="N172" s="71"/>
      <c r="O172" s="71"/>
      <c r="P172" s="71"/>
      <c r="Q172" s="71"/>
      <c r="R172" s="71"/>
      <c r="S172" s="71"/>
      <c r="T172" s="105"/>
      <c r="U172" s="71"/>
      <c r="V172" s="71"/>
      <c r="W172" s="71"/>
      <c r="X172" s="71"/>
      <c r="Y172" s="71"/>
      <c r="Z172" s="71"/>
      <c r="AA172" s="71"/>
      <c r="AB172" s="71"/>
      <c r="AC172" s="71"/>
      <c r="AD172" s="71"/>
      <c r="AE172" s="71"/>
      <c r="AF172" s="71"/>
      <c r="AG172" s="71"/>
      <c r="AH172" s="71"/>
      <c r="AI172" s="71"/>
      <c r="AJ172" s="71"/>
      <c r="AK172" s="71"/>
    </row>
    <row r="173" spans="1:37" ht="12.75" customHeight="1" x14ac:dyDescent="0.2">
      <c r="A173" s="71"/>
      <c r="B173" s="71"/>
      <c r="C173" s="71"/>
      <c r="D173" s="71"/>
      <c r="E173" s="71"/>
      <c r="F173" s="71"/>
      <c r="G173" s="71"/>
      <c r="H173" s="71"/>
      <c r="I173" s="71"/>
      <c r="J173" s="71"/>
      <c r="K173" s="71"/>
      <c r="L173" s="71"/>
      <c r="M173" s="71"/>
      <c r="N173" s="71"/>
      <c r="O173" s="71"/>
      <c r="P173" s="71"/>
      <c r="Q173" s="71"/>
      <c r="R173" s="71"/>
      <c r="S173" s="71"/>
      <c r="T173" s="105"/>
      <c r="U173" s="71"/>
      <c r="V173" s="71"/>
      <c r="W173" s="71"/>
      <c r="X173" s="71"/>
      <c r="Y173" s="71"/>
      <c r="Z173" s="71"/>
      <c r="AA173" s="71"/>
      <c r="AB173" s="71"/>
      <c r="AC173" s="71"/>
      <c r="AD173" s="71"/>
      <c r="AE173" s="71"/>
      <c r="AF173" s="71"/>
      <c r="AG173" s="71"/>
      <c r="AH173" s="71"/>
      <c r="AI173" s="71"/>
      <c r="AJ173" s="71"/>
      <c r="AK173" s="71"/>
    </row>
    <row r="174" spans="1:37" ht="12.75" customHeight="1" x14ac:dyDescent="0.2">
      <c r="A174" s="71"/>
      <c r="B174" s="71"/>
      <c r="C174" s="71"/>
      <c r="D174" s="71"/>
      <c r="E174" s="71"/>
      <c r="F174" s="71"/>
      <c r="G174" s="71"/>
      <c r="H174" s="71"/>
      <c r="I174" s="71"/>
      <c r="J174" s="71"/>
      <c r="K174" s="71"/>
      <c r="L174" s="71"/>
      <c r="M174" s="71"/>
      <c r="N174" s="71"/>
      <c r="O174" s="71"/>
      <c r="P174" s="71"/>
      <c r="Q174" s="71"/>
      <c r="R174" s="71"/>
      <c r="S174" s="71"/>
      <c r="T174" s="105"/>
      <c r="U174" s="71"/>
      <c r="V174" s="71"/>
      <c r="W174" s="71"/>
      <c r="X174" s="71"/>
      <c r="Y174" s="71"/>
      <c r="Z174" s="71"/>
      <c r="AA174" s="71"/>
      <c r="AB174" s="71"/>
      <c r="AC174" s="71"/>
      <c r="AD174" s="71"/>
      <c r="AE174" s="71"/>
      <c r="AF174" s="71"/>
      <c r="AG174" s="71"/>
      <c r="AH174" s="71"/>
      <c r="AI174" s="71"/>
      <c r="AJ174" s="71"/>
      <c r="AK174" s="71"/>
    </row>
    <row r="175" spans="1:37" ht="12.75" customHeight="1" x14ac:dyDescent="0.2">
      <c r="A175" s="71"/>
      <c r="B175" s="71"/>
      <c r="C175" s="71"/>
      <c r="D175" s="71"/>
      <c r="E175" s="71"/>
      <c r="F175" s="71"/>
      <c r="G175" s="71"/>
      <c r="H175" s="71"/>
      <c r="I175" s="71"/>
      <c r="J175" s="71"/>
      <c r="K175" s="71"/>
      <c r="L175" s="71"/>
      <c r="M175" s="71"/>
      <c r="N175" s="71"/>
      <c r="O175" s="71"/>
      <c r="P175" s="71"/>
      <c r="Q175" s="71"/>
      <c r="R175" s="71"/>
      <c r="S175" s="71"/>
      <c r="T175" s="105"/>
      <c r="U175" s="71"/>
      <c r="V175" s="71"/>
      <c r="W175" s="71"/>
      <c r="X175" s="71"/>
      <c r="Y175" s="71"/>
      <c r="Z175" s="71"/>
      <c r="AA175" s="71"/>
      <c r="AB175" s="71"/>
      <c r="AC175" s="71"/>
      <c r="AD175" s="71"/>
      <c r="AE175" s="71"/>
      <c r="AF175" s="71"/>
      <c r="AG175" s="71"/>
      <c r="AH175" s="71"/>
      <c r="AI175" s="71"/>
      <c r="AJ175" s="71"/>
      <c r="AK175" s="71"/>
    </row>
    <row r="176" spans="1:37" ht="12.75" customHeight="1" x14ac:dyDescent="0.2">
      <c r="A176" s="71"/>
      <c r="B176" s="71"/>
      <c r="C176" s="71"/>
      <c r="D176" s="71"/>
      <c r="E176" s="71"/>
      <c r="F176" s="71"/>
      <c r="G176" s="71"/>
      <c r="H176" s="71"/>
      <c r="I176" s="71"/>
      <c r="J176" s="71"/>
      <c r="K176" s="71"/>
      <c r="L176" s="71"/>
      <c r="M176" s="71"/>
      <c r="N176" s="71"/>
      <c r="O176" s="71"/>
      <c r="P176" s="71"/>
      <c r="Q176" s="71"/>
      <c r="R176" s="71"/>
      <c r="S176" s="71"/>
      <c r="T176" s="105"/>
      <c r="U176" s="71"/>
      <c r="V176" s="71"/>
      <c r="W176" s="71"/>
      <c r="X176" s="71"/>
      <c r="Y176" s="71"/>
      <c r="Z176" s="71"/>
      <c r="AA176" s="71"/>
      <c r="AB176" s="71"/>
      <c r="AC176" s="71"/>
      <c r="AD176" s="71"/>
      <c r="AE176" s="71"/>
      <c r="AF176" s="71"/>
      <c r="AG176" s="71"/>
      <c r="AH176" s="71"/>
      <c r="AI176" s="71"/>
      <c r="AJ176" s="71"/>
      <c r="AK176" s="71"/>
    </row>
    <row r="177" spans="1:37" ht="12.75" customHeight="1" x14ac:dyDescent="0.2">
      <c r="A177" s="71"/>
      <c r="B177" s="71"/>
      <c r="C177" s="71"/>
      <c r="D177" s="71"/>
      <c r="E177" s="71"/>
      <c r="F177" s="71"/>
      <c r="G177" s="71"/>
      <c r="H177" s="71"/>
      <c r="I177" s="71"/>
      <c r="J177" s="71"/>
      <c r="K177" s="71"/>
      <c r="L177" s="71"/>
      <c r="M177" s="71"/>
      <c r="N177" s="71"/>
      <c r="O177" s="71"/>
      <c r="P177" s="71"/>
      <c r="Q177" s="71"/>
      <c r="R177" s="71"/>
      <c r="S177" s="71"/>
      <c r="T177" s="105"/>
      <c r="U177" s="71"/>
      <c r="V177" s="71"/>
      <c r="W177" s="71"/>
      <c r="X177" s="71"/>
      <c r="Y177" s="71"/>
      <c r="Z177" s="71"/>
      <c r="AA177" s="71"/>
      <c r="AB177" s="71"/>
      <c r="AC177" s="71"/>
      <c r="AD177" s="71"/>
      <c r="AE177" s="71"/>
      <c r="AF177" s="71"/>
      <c r="AG177" s="71"/>
      <c r="AH177" s="71"/>
      <c r="AI177" s="71"/>
      <c r="AJ177" s="71"/>
      <c r="AK177" s="71"/>
    </row>
    <row r="178" spans="1:37" ht="12.75" customHeight="1" x14ac:dyDescent="0.2">
      <c r="A178" s="71"/>
      <c r="B178" s="71"/>
      <c r="C178" s="71"/>
      <c r="D178" s="71"/>
      <c r="E178" s="71"/>
      <c r="F178" s="71"/>
      <c r="G178" s="71"/>
      <c r="H178" s="71"/>
      <c r="I178" s="71"/>
      <c r="J178" s="71"/>
      <c r="K178" s="71"/>
      <c r="L178" s="71"/>
      <c r="M178" s="71"/>
      <c r="N178" s="71"/>
      <c r="O178" s="71"/>
      <c r="P178" s="71"/>
      <c r="Q178" s="71"/>
      <c r="R178" s="71"/>
      <c r="S178" s="71"/>
      <c r="T178" s="105"/>
      <c r="U178" s="71"/>
      <c r="V178" s="71"/>
      <c r="W178" s="71"/>
      <c r="X178" s="71"/>
      <c r="Y178" s="71"/>
      <c r="Z178" s="71"/>
      <c r="AA178" s="71"/>
      <c r="AB178" s="71"/>
      <c r="AC178" s="71"/>
      <c r="AD178" s="71"/>
      <c r="AE178" s="71"/>
      <c r="AF178" s="71"/>
      <c r="AG178" s="71"/>
      <c r="AH178" s="71"/>
      <c r="AI178" s="71"/>
      <c r="AJ178" s="71"/>
      <c r="AK178" s="71"/>
    </row>
    <row r="179" spans="1:37" ht="12.75" customHeight="1" x14ac:dyDescent="0.2">
      <c r="A179" s="71"/>
      <c r="B179" s="71"/>
      <c r="C179" s="71"/>
      <c r="D179" s="71"/>
      <c r="E179" s="71"/>
      <c r="F179" s="71"/>
      <c r="G179" s="71"/>
      <c r="H179" s="71"/>
      <c r="I179" s="71"/>
      <c r="J179" s="71"/>
      <c r="K179" s="71"/>
      <c r="L179" s="71"/>
      <c r="M179" s="71"/>
      <c r="N179" s="71"/>
      <c r="O179" s="71"/>
      <c r="P179" s="71"/>
      <c r="Q179" s="71"/>
      <c r="R179" s="71"/>
      <c r="S179" s="71"/>
      <c r="T179" s="105"/>
      <c r="U179" s="71"/>
      <c r="V179" s="71"/>
      <c r="W179" s="71"/>
      <c r="X179" s="71"/>
      <c r="Y179" s="71"/>
      <c r="Z179" s="71"/>
      <c r="AA179" s="71"/>
      <c r="AB179" s="71"/>
      <c r="AC179" s="71"/>
      <c r="AD179" s="71"/>
      <c r="AE179" s="71"/>
      <c r="AF179" s="71"/>
      <c r="AG179" s="71"/>
      <c r="AH179" s="71"/>
      <c r="AI179" s="71"/>
      <c r="AJ179" s="71"/>
      <c r="AK179" s="71"/>
    </row>
    <row r="180" spans="1:37" ht="12.75" customHeight="1" x14ac:dyDescent="0.2">
      <c r="A180" s="71"/>
      <c r="B180" s="71"/>
      <c r="C180" s="71"/>
      <c r="D180" s="71"/>
      <c r="E180" s="71"/>
      <c r="F180" s="71"/>
      <c r="G180" s="71"/>
      <c r="H180" s="71"/>
      <c r="I180" s="71"/>
      <c r="J180" s="71"/>
      <c r="K180" s="71"/>
      <c r="L180" s="71"/>
      <c r="M180" s="71"/>
      <c r="N180" s="71"/>
      <c r="O180" s="71"/>
      <c r="P180" s="71"/>
      <c r="Q180" s="71"/>
      <c r="R180" s="71"/>
      <c r="S180" s="71"/>
      <c r="T180" s="105"/>
      <c r="U180" s="71"/>
      <c r="V180" s="71"/>
      <c r="W180" s="71"/>
      <c r="X180" s="71"/>
      <c r="Y180" s="71"/>
      <c r="Z180" s="71"/>
      <c r="AA180" s="71"/>
      <c r="AB180" s="71"/>
      <c r="AC180" s="71"/>
      <c r="AD180" s="71"/>
      <c r="AE180" s="71"/>
      <c r="AF180" s="71"/>
      <c r="AG180" s="71"/>
      <c r="AH180" s="71"/>
      <c r="AI180" s="71"/>
      <c r="AJ180" s="71"/>
      <c r="AK180" s="71"/>
    </row>
    <row r="181" spans="1:37" ht="12.75" customHeight="1" x14ac:dyDescent="0.2">
      <c r="A181" s="71"/>
      <c r="B181" s="71"/>
      <c r="C181" s="71"/>
      <c r="D181" s="71"/>
      <c r="E181" s="71"/>
      <c r="F181" s="71"/>
      <c r="G181" s="71"/>
      <c r="H181" s="71"/>
      <c r="I181" s="71"/>
      <c r="J181" s="71"/>
      <c r="K181" s="71"/>
      <c r="L181" s="71"/>
      <c r="M181" s="71"/>
      <c r="N181" s="71"/>
      <c r="O181" s="71"/>
      <c r="P181" s="71"/>
      <c r="Q181" s="71"/>
      <c r="R181" s="71"/>
      <c r="S181" s="71"/>
      <c r="T181" s="105"/>
      <c r="U181" s="71"/>
      <c r="V181" s="71"/>
      <c r="W181" s="71"/>
      <c r="X181" s="71"/>
      <c r="Y181" s="71"/>
      <c r="Z181" s="71"/>
      <c r="AA181" s="71"/>
      <c r="AB181" s="71"/>
      <c r="AC181" s="71"/>
      <c r="AD181" s="71"/>
      <c r="AE181" s="71"/>
      <c r="AF181" s="71"/>
      <c r="AG181" s="71"/>
      <c r="AH181" s="71"/>
      <c r="AI181" s="71"/>
      <c r="AJ181" s="71"/>
      <c r="AK181" s="71"/>
    </row>
    <row r="182" spans="1:37" ht="12.75" customHeight="1" x14ac:dyDescent="0.2">
      <c r="A182" s="71"/>
      <c r="B182" s="71"/>
      <c r="C182" s="71"/>
      <c r="D182" s="71"/>
      <c r="E182" s="71"/>
      <c r="F182" s="71"/>
      <c r="G182" s="71"/>
      <c r="H182" s="71"/>
      <c r="I182" s="71"/>
      <c r="J182" s="71"/>
      <c r="K182" s="71"/>
      <c r="L182" s="71"/>
      <c r="M182" s="71"/>
      <c r="N182" s="71"/>
      <c r="O182" s="71"/>
      <c r="P182" s="71"/>
      <c r="Q182" s="71"/>
      <c r="R182" s="71"/>
      <c r="S182" s="71"/>
      <c r="T182" s="105"/>
      <c r="U182" s="71"/>
      <c r="V182" s="71"/>
      <c r="W182" s="71"/>
      <c r="X182" s="71"/>
      <c r="Y182" s="71"/>
      <c r="Z182" s="71"/>
      <c r="AA182" s="71"/>
      <c r="AB182" s="71"/>
      <c r="AC182" s="71"/>
      <c r="AD182" s="71"/>
      <c r="AE182" s="71"/>
      <c r="AF182" s="71"/>
      <c r="AG182" s="71"/>
      <c r="AH182" s="71"/>
      <c r="AI182" s="71"/>
      <c r="AJ182" s="71"/>
      <c r="AK182" s="71"/>
    </row>
    <row r="183" spans="1:37" ht="12.75" customHeight="1" x14ac:dyDescent="0.2">
      <c r="A183" s="71"/>
      <c r="B183" s="71"/>
      <c r="C183" s="71"/>
      <c r="D183" s="71"/>
      <c r="E183" s="71"/>
      <c r="F183" s="71"/>
      <c r="G183" s="71"/>
      <c r="H183" s="71"/>
      <c r="I183" s="71"/>
      <c r="J183" s="71"/>
      <c r="K183" s="71"/>
      <c r="L183" s="71"/>
      <c r="M183" s="71"/>
      <c r="N183" s="71"/>
      <c r="O183" s="71"/>
      <c r="P183" s="71"/>
      <c r="Q183" s="71"/>
      <c r="R183" s="71"/>
      <c r="S183" s="71"/>
      <c r="T183" s="105"/>
      <c r="U183" s="71"/>
      <c r="V183" s="71"/>
      <c r="W183" s="71"/>
      <c r="X183" s="71"/>
      <c r="Y183" s="71"/>
      <c r="Z183" s="71"/>
      <c r="AA183" s="71"/>
      <c r="AB183" s="71"/>
      <c r="AC183" s="71"/>
      <c r="AD183" s="71"/>
      <c r="AE183" s="71"/>
      <c r="AF183" s="71"/>
      <c r="AG183" s="71"/>
      <c r="AH183" s="71"/>
      <c r="AI183" s="71"/>
      <c r="AJ183" s="71"/>
      <c r="AK183" s="71"/>
    </row>
    <row r="184" spans="1:37" ht="12.75" customHeight="1" x14ac:dyDescent="0.2">
      <c r="A184" s="71"/>
      <c r="B184" s="71"/>
      <c r="C184" s="71"/>
      <c r="D184" s="71"/>
      <c r="E184" s="71"/>
      <c r="F184" s="71"/>
      <c r="G184" s="71"/>
      <c r="H184" s="71"/>
      <c r="I184" s="71"/>
      <c r="J184" s="71"/>
      <c r="K184" s="71"/>
      <c r="L184" s="71"/>
      <c r="M184" s="71"/>
      <c r="N184" s="71"/>
      <c r="O184" s="71"/>
      <c r="P184" s="71"/>
      <c r="Q184" s="71"/>
      <c r="R184" s="71"/>
      <c r="S184" s="71"/>
      <c r="T184" s="105"/>
      <c r="U184" s="71"/>
      <c r="V184" s="71"/>
      <c r="W184" s="71"/>
      <c r="X184" s="71"/>
      <c r="Y184" s="71"/>
      <c r="Z184" s="71"/>
      <c r="AA184" s="71"/>
      <c r="AB184" s="71"/>
      <c r="AC184" s="71"/>
      <c r="AD184" s="71"/>
      <c r="AE184" s="71"/>
      <c r="AF184" s="71"/>
      <c r="AG184" s="71"/>
      <c r="AH184" s="71"/>
      <c r="AI184" s="71"/>
      <c r="AJ184" s="71"/>
      <c r="AK184" s="71"/>
    </row>
    <row r="185" spans="1:37" ht="12.75" customHeight="1" x14ac:dyDescent="0.2">
      <c r="A185" s="71"/>
      <c r="B185" s="71"/>
      <c r="C185" s="71"/>
      <c r="D185" s="71"/>
      <c r="E185" s="71"/>
      <c r="F185" s="71"/>
      <c r="G185" s="71"/>
      <c r="H185" s="71"/>
      <c r="I185" s="71"/>
      <c r="J185" s="71"/>
      <c r="K185" s="71"/>
      <c r="L185" s="71"/>
      <c r="M185" s="71"/>
      <c r="N185" s="71"/>
      <c r="O185" s="71"/>
      <c r="P185" s="71"/>
      <c r="Q185" s="71"/>
      <c r="R185" s="71"/>
      <c r="S185" s="71"/>
      <c r="T185" s="105"/>
      <c r="U185" s="71"/>
      <c r="V185" s="71"/>
      <c r="W185" s="71"/>
      <c r="X185" s="71"/>
      <c r="Y185" s="71"/>
      <c r="Z185" s="71"/>
      <c r="AA185" s="71"/>
      <c r="AB185" s="71"/>
      <c r="AC185" s="71"/>
      <c r="AD185" s="71"/>
      <c r="AE185" s="71"/>
      <c r="AF185" s="71"/>
      <c r="AG185" s="71"/>
      <c r="AH185" s="71"/>
      <c r="AI185" s="71"/>
      <c r="AJ185" s="71"/>
      <c r="AK185" s="71"/>
    </row>
    <row r="186" spans="1:37" ht="12.75" customHeight="1" x14ac:dyDescent="0.2">
      <c r="A186" s="71"/>
      <c r="B186" s="71"/>
      <c r="C186" s="71"/>
      <c r="D186" s="71"/>
      <c r="E186" s="71"/>
      <c r="F186" s="71"/>
      <c r="G186" s="71"/>
      <c r="H186" s="71"/>
      <c r="I186" s="71"/>
      <c r="J186" s="71"/>
      <c r="K186" s="71"/>
      <c r="L186" s="71"/>
      <c r="M186" s="71"/>
      <c r="N186" s="71"/>
      <c r="O186" s="71"/>
      <c r="P186" s="71"/>
      <c r="Q186" s="71"/>
      <c r="R186" s="71"/>
      <c r="S186" s="71"/>
      <c r="T186" s="105"/>
      <c r="U186" s="71"/>
      <c r="V186" s="71"/>
      <c r="W186" s="71"/>
      <c r="X186" s="71"/>
      <c r="Y186" s="71"/>
      <c r="Z186" s="71"/>
      <c r="AA186" s="71"/>
      <c r="AB186" s="71"/>
      <c r="AC186" s="71"/>
      <c r="AD186" s="71"/>
      <c r="AE186" s="71"/>
      <c r="AF186" s="71"/>
      <c r="AG186" s="71"/>
      <c r="AH186" s="71"/>
      <c r="AI186" s="71"/>
      <c r="AJ186" s="71"/>
      <c r="AK186" s="71"/>
    </row>
    <row r="187" spans="1:37" ht="12.75" customHeight="1" x14ac:dyDescent="0.2">
      <c r="A187" s="71"/>
      <c r="B187" s="71"/>
      <c r="C187" s="71"/>
      <c r="D187" s="71"/>
      <c r="E187" s="71"/>
      <c r="F187" s="71"/>
      <c r="G187" s="71"/>
      <c r="H187" s="71"/>
      <c r="I187" s="71"/>
      <c r="J187" s="71"/>
      <c r="K187" s="71"/>
      <c r="L187" s="71"/>
      <c r="M187" s="71"/>
      <c r="N187" s="71"/>
      <c r="O187" s="71"/>
      <c r="P187" s="71"/>
      <c r="Q187" s="71"/>
      <c r="R187" s="71"/>
      <c r="S187" s="71"/>
      <c r="T187" s="105"/>
      <c r="U187" s="71"/>
      <c r="V187" s="71"/>
      <c r="W187" s="71"/>
      <c r="X187" s="71"/>
      <c r="Y187" s="71"/>
      <c r="Z187" s="71"/>
      <c r="AA187" s="71"/>
      <c r="AB187" s="71"/>
      <c r="AC187" s="71"/>
      <c r="AD187" s="71"/>
      <c r="AE187" s="71"/>
      <c r="AF187" s="71"/>
      <c r="AG187" s="71"/>
      <c r="AH187" s="71"/>
      <c r="AI187" s="71"/>
      <c r="AJ187" s="71"/>
      <c r="AK187" s="71"/>
    </row>
    <row r="188" spans="1:37" ht="12.75" customHeight="1" x14ac:dyDescent="0.2">
      <c r="A188" s="71"/>
      <c r="B188" s="71"/>
      <c r="C188" s="71"/>
      <c r="D188" s="71"/>
      <c r="E188" s="71"/>
      <c r="F188" s="71"/>
      <c r="G188" s="71"/>
      <c r="H188" s="71"/>
      <c r="I188" s="71"/>
      <c r="J188" s="71"/>
      <c r="K188" s="71"/>
      <c r="L188" s="71"/>
      <c r="M188" s="71"/>
      <c r="N188" s="71"/>
      <c r="O188" s="71"/>
      <c r="P188" s="71"/>
      <c r="Q188" s="71"/>
      <c r="R188" s="71"/>
      <c r="S188" s="71"/>
      <c r="T188" s="105"/>
      <c r="U188" s="71"/>
      <c r="V188" s="71"/>
      <c r="W188" s="71"/>
      <c r="X188" s="71"/>
      <c r="Y188" s="71"/>
      <c r="Z188" s="71"/>
      <c r="AA188" s="71"/>
      <c r="AB188" s="71"/>
      <c r="AC188" s="71"/>
      <c r="AD188" s="71"/>
      <c r="AE188" s="71"/>
      <c r="AF188" s="71"/>
      <c r="AG188" s="71"/>
      <c r="AH188" s="71"/>
      <c r="AI188" s="71"/>
      <c r="AJ188" s="71"/>
      <c r="AK188" s="71"/>
    </row>
    <row r="189" spans="1:37" ht="12.75" customHeight="1" x14ac:dyDescent="0.2">
      <c r="A189" s="71"/>
      <c r="B189" s="71"/>
      <c r="C189" s="71"/>
      <c r="D189" s="71"/>
      <c r="E189" s="71"/>
      <c r="F189" s="71"/>
      <c r="G189" s="71"/>
      <c r="H189" s="71"/>
      <c r="I189" s="71"/>
      <c r="J189" s="71"/>
      <c r="K189" s="71"/>
      <c r="L189" s="71"/>
      <c r="M189" s="71"/>
      <c r="N189" s="71"/>
      <c r="O189" s="71"/>
      <c r="P189" s="71"/>
      <c r="Q189" s="71"/>
      <c r="R189" s="71"/>
      <c r="S189" s="71"/>
      <c r="T189" s="105"/>
      <c r="U189" s="71"/>
      <c r="V189" s="71"/>
      <c r="W189" s="71"/>
      <c r="X189" s="71"/>
      <c r="Y189" s="71"/>
      <c r="Z189" s="71"/>
      <c r="AA189" s="71"/>
      <c r="AB189" s="71"/>
      <c r="AC189" s="71"/>
      <c r="AD189" s="71"/>
      <c r="AE189" s="71"/>
      <c r="AF189" s="71"/>
      <c r="AG189" s="71"/>
      <c r="AH189" s="71"/>
      <c r="AI189" s="71"/>
      <c r="AJ189" s="71"/>
      <c r="AK189" s="71"/>
    </row>
    <row r="190" spans="1:37" ht="12.75" customHeight="1" x14ac:dyDescent="0.2">
      <c r="A190" s="71"/>
      <c r="B190" s="71"/>
      <c r="C190" s="71"/>
      <c r="D190" s="71"/>
      <c r="E190" s="71"/>
      <c r="F190" s="71"/>
      <c r="G190" s="71"/>
      <c r="H190" s="71"/>
      <c r="I190" s="71"/>
      <c r="J190" s="71"/>
      <c r="K190" s="71"/>
      <c r="L190" s="71"/>
      <c r="M190" s="71"/>
      <c r="N190" s="71"/>
      <c r="O190" s="71"/>
      <c r="P190" s="71"/>
      <c r="Q190" s="71"/>
      <c r="R190" s="71"/>
      <c r="S190" s="71"/>
      <c r="T190" s="105"/>
      <c r="U190" s="71"/>
      <c r="V190" s="71"/>
      <c r="W190" s="71"/>
      <c r="X190" s="71"/>
      <c r="Y190" s="71"/>
      <c r="Z190" s="71"/>
      <c r="AA190" s="71"/>
      <c r="AB190" s="71"/>
      <c r="AC190" s="71"/>
      <c r="AD190" s="71"/>
      <c r="AE190" s="71"/>
      <c r="AF190" s="71"/>
      <c r="AG190" s="71"/>
      <c r="AH190" s="71"/>
      <c r="AI190" s="71"/>
      <c r="AJ190" s="71"/>
      <c r="AK190" s="71"/>
    </row>
    <row r="191" spans="1:37" ht="12.75" customHeight="1" x14ac:dyDescent="0.2">
      <c r="A191" s="71"/>
      <c r="B191" s="71"/>
      <c r="C191" s="71"/>
      <c r="D191" s="71"/>
      <c r="E191" s="71"/>
      <c r="F191" s="71"/>
      <c r="G191" s="71"/>
      <c r="H191" s="71"/>
      <c r="I191" s="71"/>
      <c r="J191" s="71"/>
      <c r="K191" s="71"/>
      <c r="L191" s="71"/>
      <c r="M191" s="71"/>
      <c r="N191" s="71"/>
      <c r="O191" s="71"/>
      <c r="P191" s="71"/>
      <c r="Q191" s="71"/>
      <c r="R191" s="71"/>
      <c r="S191" s="71"/>
      <c r="T191" s="105"/>
      <c r="U191" s="71"/>
      <c r="V191" s="71"/>
      <c r="W191" s="71"/>
      <c r="X191" s="71"/>
      <c r="Y191" s="71"/>
      <c r="Z191" s="71"/>
      <c r="AA191" s="71"/>
      <c r="AB191" s="71"/>
      <c r="AC191" s="71"/>
      <c r="AD191" s="71"/>
      <c r="AE191" s="71"/>
      <c r="AF191" s="71"/>
      <c r="AG191" s="71"/>
      <c r="AH191" s="71"/>
      <c r="AI191" s="71"/>
      <c r="AJ191" s="71"/>
      <c r="AK191" s="71"/>
    </row>
    <row r="192" spans="1:37" ht="12.75" customHeight="1" x14ac:dyDescent="0.2">
      <c r="A192" s="71"/>
      <c r="B192" s="71"/>
      <c r="C192" s="71"/>
      <c r="D192" s="71"/>
      <c r="E192" s="71"/>
      <c r="F192" s="71"/>
      <c r="G192" s="71"/>
      <c r="H192" s="71"/>
      <c r="I192" s="71"/>
      <c r="J192" s="71"/>
      <c r="K192" s="71"/>
      <c r="L192" s="71"/>
      <c r="M192" s="71"/>
      <c r="N192" s="71"/>
      <c r="O192" s="71"/>
      <c r="P192" s="71"/>
      <c r="Q192" s="71"/>
      <c r="R192" s="71"/>
      <c r="S192" s="71"/>
      <c r="T192" s="105"/>
      <c r="U192" s="71"/>
      <c r="V192" s="71"/>
      <c r="W192" s="71"/>
      <c r="X192" s="71"/>
      <c r="Y192" s="71"/>
      <c r="Z192" s="71"/>
      <c r="AA192" s="71"/>
      <c r="AB192" s="71"/>
      <c r="AC192" s="71"/>
      <c r="AD192" s="71"/>
      <c r="AE192" s="71"/>
      <c r="AF192" s="71"/>
      <c r="AG192" s="71"/>
      <c r="AH192" s="71"/>
      <c r="AI192" s="71"/>
      <c r="AJ192" s="71"/>
      <c r="AK192" s="71"/>
    </row>
    <row r="193" spans="1:37" ht="12.75" customHeight="1" x14ac:dyDescent="0.2">
      <c r="A193" s="71"/>
      <c r="B193" s="71"/>
      <c r="C193" s="71"/>
      <c r="D193" s="71"/>
      <c r="E193" s="71"/>
      <c r="F193" s="71"/>
      <c r="G193" s="71"/>
      <c r="H193" s="71"/>
      <c r="I193" s="71"/>
      <c r="J193" s="71"/>
      <c r="K193" s="71"/>
      <c r="L193" s="71"/>
      <c r="M193" s="71"/>
      <c r="N193" s="71"/>
      <c r="O193" s="71"/>
      <c r="P193" s="71"/>
      <c r="Q193" s="71"/>
      <c r="R193" s="71"/>
      <c r="S193" s="71"/>
      <c r="T193" s="105"/>
      <c r="U193" s="71"/>
      <c r="V193" s="71"/>
      <c r="W193" s="71"/>
      <c r="X193" s="71"/>
      <c r="Y193" s="71"/>
      <c r="Z193" s="71"/>
      <c r="AA193" s="71"/>
      <c r="AB193" s="71"/>
      <c r="AC193" s="71"/>
      <c r="AD193" s="71"/>
      <c r="AE193" s="71"/>
      <c r="AF193" s="71"/>
      <c r="AG193" s="71"/>
      <c r="AH193" s="71"/>
      <c r="AI193" s="71"/>
      <c r="AJ193" s="71"/>
      <c r="AK193" s="71"/>
    </row>
    <row r="194" spans="1:37" ht="12.75" customHeight="1" x14ac:dyDescent="0.2">
      <c r="A194" s="71"/>
      <c r="B194" s="71"/>
      <c r="C194" s="71"/>
      <c r="D194" s="71"/>
      <c r="E194" s="71"/>
      <c r="F194" s="71"/>
      <c r="G194" s="71"/>
      <c r="H194" s="71"/>
      <c r="I194" s="71"/>
      <c r="J194" s="71"/>
      <c r="K194" s="71"/>
      <c r="L194" s="71"/>
      <c r="M194" s="71"/>
      <c r="N194" s="71"/>
      <c r="O194" s="71"/>
      <c r="P194" s="71"/>
      <c r="Q194" s="71"/>
      <c r="R194" s="71"/>
      <c r="S194" s="71"/>
      <c r="T194" s="105"/>
      <c r="U194" s="71"/>
      <c r="V194" s="71"/>
      <c r="W194" s="71"/>
      <c r="X194" s="71"/>
      <c r="Y194" s="71"/>
      <c r="Z194" s="71"/>
      <c r="AA194" s="71"/>
      <c r="AB194" s="71"/>
      <c r="AC194" s="71"/>
      <c r="AD194" s="71"/>
      <c r="AE194" s="71"/>
      <c r="AF194" s="71"/>
      <c r="AG194" s="71"/>
      <c r="AH194" s="71"/>
      <c r="AI194" s="71"/>
      <c r="AJ194" s="71"/>
      <c r="AK194" s="71"/>
    </row>
    <row r="195" spans="1:37" ht="12.75" customHeight="1" x14ac:dyDescent="0.2">
      <c r="A195" s="71"/>
      <c r="B195" s="71"/>
      <c r="C195" s="71"/>
      <c r="D195" s="71"/>
      <c r="E195" s="71"/>
      <c r="F195" s="71"/>
      <c r="G195" s="71"/>
      <c r="H195" s="71"/>
      <c r="I195" s="71"/>
      <c r="J195" s="71"/>
      <c r="K195" s="71"/>
      <c r="L195" s="71"/>
      <c r="M195" s="71"/>
      <c r="N195" s="71"/>
      <c r="O195" s="71"/>
      <c r="P195" s="71"/>
      <c r="Q195" s="71"/>
      <c r="R195" s="71"/>
      <c r="S195" s="71"/>
      <c r="T195" s="105"/>
      <c r="U195" s="71"/>
      <c r="V195" s="71"/>
      <c r="W195" s="71"/>
      <c r="X195" s="71"/>
      <c r="Y195" s="71"/>
      <c r="Z195" s="71"/>
      <c r="AA195" s="71"/>
      <c r="AB195" s="71"/>
      <c r="AC195" s="71"/>
      <c r="AD195" s="71"/>
      <c r="AE195" s="71"/>
      <c r="AF195" s="71"/>
      <c r="AG195" s="71"/>
      <c r="AH195" s="71"/>
      <c r="AI195" s="71"/>
      <c r="AJ195" s="71"/>
      <c r="AK195" s="71"/>
    </row>
    <row r="196" spans="1:37" ht="12.75" customHeight="1" x14ac:dyDescent="0.2">
      <c r="A196" s="71"/>
      <c r="B196" s="71"/>
      <c r="C196" s="71"/>
      <c r="D196" s="71"/>
      <c r="E196" s="71"/>
      <c r="F196" s="71"/>
      <c r="G196" s="71"/>
      <c r="H196" s="71"/>
      <c r="I196" s="71"/>
      <c r="J196" s="71"/>
      <c r="K196" s="71"/>
      <c r="L196" s="71"/>
      <c r="M196" s="71"/>
      <c r="N196" s="71"/>
      <c r="O196" s="71"/>
      <c r="P196" s="71"/>
      <c r="Q196" s="71"/>
      <c r="R196" s="71"/>
      <c r="S196" s="71"/>
      <c r="T196" s="105"/>
      <c r="U196" s="71"/>
      <c r="V196" s="71"/>
      <c r="W196" s="71"/>
      <c r="X196" s="71"/>
      <c r="Y196" s="71"/>
      <c r="Z196" s="71"/>
      <c r="AA196" s="71"/>
      <c r="AB196" s="71"/>
      <c r="AC196" s="71"/>
      <c r="AD196" s="71"/>
      <c r="AE196" s="71"/>
      <c r="AF196" s="71"/>
      <c r="AG196" s="71"/>
      <c r="AH196" s="71"/>
      <c r="AI196" s="71"/>
      <c r="AJ196" s="71"/>
      <c r="AK196" s="71"/>
    </row>
    <row r="197" spans="1:37" ht="12.75" customHeight="1" x14ac:dyDescent="0.2">
      <c r="A197" s="71"/>
      <c r="B197" s="71"/>
      <c r="C197" s="71"/>
      <c r="D197" s="71"/>
      <c r="E197" s="71"/>
      <c r="F197" s="71"/>
      <c r="G197" s="71"/>
      <c r="H197" s="71"/>
      <c r="I197" s="71"/>
      <c r="J197" s="71"/>
      <c r="K197" s="71"/>
      <c r="L197" s="71"/>
      <c r="M197" s="71"/>
      <c r="N197" s="71"/>
      <c r="O197" s="71"/>
      <c r="P197" s="71"/>
      <c r="Q197" s="71"/>
      <c r="R197" s="71"/>
      <c r="S197" s="71"/>
      <c r="T197" s="105"/>
      <c r="U197" s="71"/>
      <c r="V197" s="71"/>
      <c r="W197" s="71"/>
      <c r="X197" s="71"/>
      <c r="Y197" s="71"/>
      <c r="Z197" s="71"/>
      <c r="AA197" s="71"/>
      <c r="AB197" s="71"/>
      <c r="AC197" s="71"/>
      <c r="AD197" s="71"/>
      <c r="AE197" s="71"/>
      <c r="AF197" s="71"/>
      <c r="AG197" s="71"/>
      <c r="AH197" s="71"/>
      <c r="AI197" s="71"/>
      <c r="AJ197" s="71"/>
      <c r="AK197" s="71"/>
    </row>
    <row r="198" spans="1:37" ht="12.75" customHeight="1" x14ac:dyDescent="0.2">
      <c r="A198" s="71"/>
      <c r="B198" s="71"/>
      <c r="C198" s="71"/>
      <c r="D198" s="71"/>
      <c r="E198" s="71"/>
      <c r="F198" s="71"/>
      <c r="G198" s="71"/>
      <c r="H198" s="71"/>
      <c r="I198" s="71"/>
      <c r="J198" s="71"/>
      <c r="K198" s="71"/>
      <c r="L198" s="71"/>
      <c r="M198" s="71"/>
      <c r="N198" s="71"/>
      <c r="O198" s="71"/>
      <c r="P198" s="71"/>
      <c r="Q198" s="71"/>
      <c r="R198" s="71"/>
      <c r="S198" s="71"/>
      <c r="T198" s="105"/>
      <c r="U198" s="71"/>
      <c r="V198" s="71"/>
      <c r="W198" s="71"/>
      <c r="X198" s="71"/>
      <c r="Y198" s="71"/>
      <c r="Z198" s="71"/>
      <c r="AA198" s="71"/>
      <c r="AB198" s="71"/>
      <c r="AC198" s="71"/>
      <c r="AD198" s="71"/>
      <c r="AE198" s="71"/>
      <c r="AF198" s="71"/>
      <c r="AG198" s="71"/>
      <c r="AH198" s="71"/>
      <c r="AI198" s="71"/>
      <c r="AJ198" s="71"/>
      <c r="AK198" s="71"/>
    </row>
    <row r="199" spans="1:37" ht="12.75" customHeight="1" x14ac:dyDescent="0.2">
      <c r="A199" s="71"/>
      <c r="B199" s="71"/>
      <c r="C199" s="71"/>
      <c r="D199" s="71"/>
      <c r="E199" s="71"/>
      <c r="F199" s="71"/>
      <c r="G199" s="71"/>
      <c r="H199" s="71"/>
      <c r="I199" s="71"/>
      <c r="J199" s="71"/>
      <c r="K199" s="71"/>
      <c r="L199" s="71"/>
      <c r="M199" s="71"/>
      <c r="N199" s="71"/>
      <c r="O199" s="71"/>
      <c r="P199" s="71"/>
      <c r="Q199" s="71"/>
      <c r="R199" s="71"/>
      <c r="S199" s="71"/>
      <c r="T199" s="105"/>
      <c r="U199" s="71"/>
      <c r="V199" s="71"/>
      <c r="W199" s="71"/>
      <c r="X199" s="71"/>
      <c r="Y199" s="71"/>
      <c r="Z199" s="71"/>
      <c r="AA199" s="71"/>
      <c r="AB199" s="71"/>
      <c r="AC199" s="71"/>
      <c r="AD199" s="71"/>
      <c r="AE199" s="71"/>
      <c r="AF199" s="71"/>
      <c r="AG199" s="71"/>
      <c r="AH199" s="71"/>
      <c r="AI199" s="71"/>
      <c r="AJ199" s="71"/>
      <c r="AK199" s="71"/>
    </row>
    <row r="200" spans="1:37" ht="12.75" customHeight="1" x14ac:dyDescent="0.2">
      <c r="A200" s="71"/>
      <c r="B200" s="71"/>
      <c r="C200" s="71"/>
      <c r="D200" s="71"/>
      <c r="E200" s="71"/>
      <c r="F200" s="71"/>
      <c r="G200" s="71"/>
      <c r="H200" s="71"/>
      <c r="I200" s="71"/>
      <c r="J200" s="71"/>
      <c r="K200" s="71"/>
      <c r="L200" s="71"/>
      <c r="M200" s="71"/>
      <c r="N200" s="71"/>
      <c r="O200" s="71"/>
      <c r="P200" s="71"/>
      <c r="Q200" s="71"/>
      <c r="R200" s="71"/>
      <c r="S200" s="71"/>
      <c r="T200" s="105"/>
      <c r="U200" s="71"/>
      <c r="V200" s="71"/>
      <c r="W200" s="71"/>
      <c r="X200" s="71"/>
      <c r="Y200" s="71"/>
      <c r="Z200" s="71"/>
      <c r="AA200" s="71"/>
      <c r="AB200" s="71"/>
      <c r="AC200" s="71"/>
      <c r="AD200" s="71"/>
      <c r="AE200" s="71"/>
      <c r="AF200" s="71"/>
      <c r="AG200" s="71"/>
      <c r="AH200" s="71"/>
      <c r="AI200" s="71"/>
      <c r="AJ200" s="71"/>
      <c r="AK200" s="71"/>
    </row>
    <row r="201" spans="1:37" ht="12.75" customHeight="1" x14ac:dyDescent="0.2">
      <c r="A201" s="71"/>
      <c r="B201" s="71"/>
      <c r="C201" s="71"/>
      <c r="D201" s="71"/>
      <c r="E201" s="71"/>
      <c r="F201" s="71"/>
      <c r="G201" s="71"/>
      <c r="H201" s="71"/>
      <c r="I201" s="71"/>
      <c r="J201" s="71"/>
      <c r="K201" s="71"/>
      <c r="L201" s="71"/>
      <c r="M201" s="71"/>
      <c r="N201" s="71"/>
      <c r="O201" s="71"/>
      <c r="P201" s="71"/>
      <c r="Q201" s="71"/>
      <c r="R201" s="71"/>
      <c r="S201" s="71"/>
      <c r="T201" s="105"/>
      <c r="U201" s="71"/>
      <c r="V201" s="71"/>
      <c r="W201" s="71"/>
      <c r="X201" s="71"/>
      <c r="Y201" s="71"/>
      <c r="Z201" s="71"/>
      <c r="AA201" s="71"/>
      <c r="AB201" s="71"/>
      <c r="AC201" s="71"/>
      <c r="AD201" s="71"/>
      <c r="AE201" s="71"/>
      <c r="AF201" s="71"/>
      <c r="AG201" s="71"/>
      <c r="AH201" s="71"/>
      <c r="AI201" s="71"/>
      <c r="AJ201" s="71"/>
      <c r="AK201" s="71"/>
    </row>
    <row r="202" spans="1:37" ht="12.75" customHeight="1" x14ac:dyDescent="0.2">
      <c r="A202" s="71"/>
      <c r="B202" s="71"/>
      <c r="C202" s="71"/>
      <c r="D202" s="71"/>
      <c r="E202" s="71"/>
      <c r="F202" s="71"/>
      <c r="G202" s="71"/>
      <c r="H202" s="71"/>
      <c r="I202" s="71"/>
      <c r="J202" s="71"/>
      <c r="K202" s="71"/>
      <c r="L202" s="71"/>
      <c r="M202" s="71"/>
      <c r="N202" s="71"/>
      <c r="O202" s="71"/>
      <c r="P202" s="71"/>
      <c r="Q202" s="71"/>
      <c r="R202" s="71"/>
      <c r="S202" s="71"/>
      <c r="T202" s="105"/>
      <c r="U202" s="71"/>
      <c r="V202" s="71"/>
      <c r="W202" s="71"/>
      <c r="X202" s="71"/>
      <c r="Y202" s="71"/>
      <c r="Z202" s="71"/>
      <c r="AA202" s="71"/>
      <c r="AB202" s="71"/>
      <c r="AC202" s="71"/>
      <c r="AD202" s="71"/>
      <c r="AE202" s="71"/>
      <c r="AF202" s="71"/>
      <c r="AG202" s="71"/>
      <c r="AH202" s="71"/>
      <c r="AI202" s="71"/>
      <c r="AJ202" s="71"/>
      <c r="AK202" s="71"/>
    </row>
    <row r="203" spans="1:37" ht="12.75" customHeight="1" x14ac:dyDescent="0.2">
      <c r="A203" s="71"/>
      <c r="B203" s="71"/>
      <c r="C203" s="71"/>
      <c r="D203" s="71"/>
      <c r="E203" s="71"/>
      <c r="F203" s="71"/>
      <c r="G203" s="71"/>
      <c r="H203" s="71"/>
      <c r="I203" s="71"/>
      <c r="J203" s="71"/>
      <c r="K203" s="71"/>
      <c r="L203" s="71"/>
      <c r="M203" s="71"/>
      <c r="N203" s="71"/>
      <c r="O203" s="71"/>
      <c r="P203" s="71"/>
      <c r="Q203" s="71"/>
      <c r="R203" s="71"/>
      <c r="S203" s="71"/>
      <c r="T203" s="105"/>
      <c r="U203" s="71"/>
      <c r="V203" s="71"/>
      <c r="W203" s="71"/>
      <c r="X203" s="71"/>
      <c r="Y203" s="71"/>
      <c r="Z203" s="71"/>
      <c r="AA203" s="71"/>
      <c r="AB203" s="71"/>
      <c r="AC203" s="71"/>
      <c r="AD203" s="71"/>
      <c r="AE203" s="71"/>
      <c r="AF203" s="71"/>
      <c r="AG203" s="71"/>
      <c r="AH203" s="71"/>
      <c r="AI203" s="71"/>
      <c r="AJ203" s="71"/>
      <c r="AK203" s="71"/>
    </row>
    <row r="204" spans="1:37" ht="12.75" customHeight="1" x14ac:dyDescent="0.2">
      <c r="A204" s="71"/>
      <c r="B204" s="71"/>
      <c r="C204" s="71"/>
      <c r="D204" s="71"/>
      <c r="E204" s="71"/>
      <c r="F204" s="71"/>
      <c r="G204" s="71"/>
      <c r="H204" s="71"/>
      <c r="I204" s="71"/>
      <c r="J204" s="71"/>
      <c r="K204" s="71"/>
      <c r="L204" s="71"/>
      <c r="M204" s="71"/>
      <c r="N204" s="71"/>
      <c r="O204" s="71"/>
      <c r="P204" s="71"/>
      <c r="Q204" s="71"/>
      <c r="R204" s="71"/>
      <c r="S204" s="71"/>
      <c r="T204" s="105"/>
      <c r="U204" s="71"/>
      <c r="V204" s="71"/>
      <c r="W204" s="71"/>
      <c r="X204" s="71"/>
      <c r="Y204" s="71"/>
      <c r="Z204" s="71"/>
      <c r="AA204" s="71"/>
      <c r="AB204" s="71"/>
      <c r="AC204" s="71"/>
      <c r="AD204" s="71"/>
      <c r="AE204" s="71"/>
      <c r="AF204" s="71"/>
      <c r="AG204" s="71"/>
      <c r="AH204" s="71"/>
      <c r="AI204" s="71"/>
      <c r="AJ204" s="71"/>
      <c r="AK204" s="71"/>
    </row>
    <row r="205" spans="1:37" ht="12.75" customHeight="1" x14ac:dyDescent="0.2">
      <c r="A205" s="71"/>
      <c r="B205" s="71"/>
      <c r="C205" s="71"/>
      <c r="D205" s="71"/>
      <c r="E205" s="71"/>
      <c r="F205" s="71"/>
      <c r="G205" s="71"/>
      <c r="H205" s="71"/>
      <c r="I205" s="71"/>
      <c r="J205" s="71"/>
      <c r="K205" s="71"/>
      <c r="L205" s="71"/>
      <c r="M205" s="71"/>
      <c r="N205" s="71"/>
      <c r="O205" s="71"/>
      <c r="P205" s="71"/>
      <c r="Q205" s="71"/>
      <c r="R205" s="71"/>
      <c r="S205" s="71"/>
      <c r="T205" s="105"/>
      <c r="U205" s="71"/>
      <c r="V205" s="71"/>
      <c r="W205" s="71"/>
      <c r="X205" s="71"/>
      <c r="Y205" s="71"/>
      <c r="Z205" s="71"/>
      <c r="AA205" s="71"/>
      <c r="AB205" s="71"/>
      <c r="AC205" s="71"/>
      <c r="AD205" s="71"/>
      <c r="AE205" s="71"/>
      <c r="AF205" s="71"/>
      <c r="AG205" s="71"/>
      <c r="AH205" s="71"/>
      <c r="AI205" s="71"/>
      <c r="AJ205" s="71"/>
      <c r="AK205" s="71"/>
    </row>
    <row r="206" spans="1:37" ht="12.75" customHeight="1" x14ac:dyDescent="0.2">
      <c r="A206" s="71"/>
      <c r="B206" s="71"/>
      <c r="C206" s="71"/>
      <c r="D206" s="71"/>
      <c r="E206" s="71"/>
      <c r="F206" s="71"/>
      <c r="G206" s="71"/>
      <c r="H206" s="71"/>
      <c r="I206" s="71"/>
      <c r="J206" s="71"/>
      <c r="K206" s="71"/>
      <c r="L206" s="71"/>
      <c r="M206" s="71"/>
      <c r="N206" s="71"/>
      <c r="O206" s="71"/>
      <c r="P206" s="71"/>
      <c r="Q206" s="71"/>
      <c r="R206" s="71"/>
      <c r="S206" s="71"/>
      <c r="T206" s="105"/>
      <c r="U206" s="71"/>
      <c r="V206" s="71"/>
      <c r="W206" s="71"/>
      <c r="X206" s="71"/>
      <c r="Y206" s="71"/>
      <c r="Z206" s="71"/>
      <c r="AA206" s="71"/>
      <c r="AB206" s="71"/>
      <c r="AC206" s="71"/>
      <c r="AD206" s="71"/>
      <c r="AE206" s="71"/>
      <c r="AF206" s="71"/>
      <c r="AG206" s="71"/>
      <c r="AH206" s="71"/>
      <c r="AI206" s="71"/>
      <c r="AJ206" s="71"/>
      <c r="AK206" s="71"/>
    </row>
    <row r="207" spans="1:37" ht="12.75" customHeight="1" x14ac:dyDescent="0.2">
      <c r="A207" s="71"/>
      <c r="B207" s="71"/>
      <c r="C207" s="71"/>
      <c r="D207" s="71"/>
      <c r="E207" s="71"/>
      <c r="F207" s="71"/>
      <c r="G207" s="71"/>
      <c r="H207" s="71"/>
      <c r="I207" s="71"/>
      <c r="J207" s="71"/>
      <c r="K207" s="71"/>
      <c r="L207" s="71"/>
      <c r="M207" s="71"/>
      <c r="N207" s="71"/>
      <c r="O207" s="71"/>
      <c r="P207" s="71"/>
      <c r="Q207" s="71"/>
      <c r="R207" s="71"/>
      <c r="S207" s="71"/>
      <c r="T207" s="105"/>
      <c r="U207" s="71"/>
      <c r="V207" s="71"/>
      <c r="W207" s="71"/>
      <c r="X207" s="71"/>
      <c r="Y207" s="71"/>
      <c r="Z207" s="71"/>
      <c r="AA207" s="71"/>
      <c r="AB207" s="71"/>
      <c r="AC207" s="71"/>
      <c r="AD207" s="71"/>
      <c r="AE207" s="71"/>
      <c r="AF207" s="71"/>
      <c r="AG207" s="71"/>
      <c r="AH207" s="71"/>
      <c r="AI207" s="71"/>
      <c r="AJ207" s="71"/>
      <c r="AK207" s="71"/>
    </row>
    <row r="208" spans="1:37" ht="12.75" customHeight="1" x14ac:dyDescent="0.2">
      <c r="A208" s="71"/>
      <c r="B208" s="71"/>
      <c r="C208" s="71"/>
      <c r="D208" s="71"/>
      <c r="E208" s="71"/>
      <c r="F208" s="71"/>
      <c r="G208" s="71"/>
      <c r="H208" s="71"/>
      <c r="I208" s="71"/>
      <c r="J208" s="71"/>
      <c r="K208" s="71"/>
      <c r="L208" s="71"/>
      <c r="M208" s="71"/>
      <c r="N208" s="71"/>
      <c r="O208" s="71"/>
      <c r="P208" s="71"/>
      <c r="Q208" s="71"/>
      <c r="R208" s="71"/>
      <c r="S208" s="71"/>
      <c r="T208" s="105"/>
      <c r="U208" s="71"/>
      <c r="V208" s="71"/>
      <c r="W208" s="71"/>
      <c r="X208" s="71"/>
      <c r="Y208" s="71"/>
      <c r="Z208" s="71"/>
      <c r="AA208" s="71"/>
      <c r="AB208" s="71"/>
      <c r="AC208" s="71"/>
      <c r="AD208" s="71"/>
      <c r="AE208" s="71"/>
      <c r="AF208" s="71"/>
      <c r="AG208" s="71"/>
      <c r="AH208" s="71"/>
      <c r="AI208" s="71"/>
      <c r="AJ208" s="71"/>
      <c r="AK208" s="71"/>
    </row>
    <row r="209" spans="1:37" ht="12.75" customHeight="1" x14ac:dyDescent="0.2">
      <c r="A209" s="71"/>
      <c r="B209" s="71"/>
      <c r="C209" s="71"/>
      <c r="D209" s="71"/>
      <c r="E209" s="71"/>
      <c r="F209" s="71"/>
      <c r="G209" s="71"/>
      <c r="H209" s="71"/>
      <c r="I209" s="71"/>
      <c r="J209" s="71"/>
      <c r="K209" s="71"/>
      <c r="L209" s="71"/>
      <c r="M209" s="71"/>
      <c r="N209" s="71"/>
      <c r="O209" s="71"/>
      <c r="P209" s="71"/>
      <c r="Q209" s="71"/>
      <c r="R209" s="71"/>
      <c r="S209" s="71"/>
      <c r="T209" s="105"/>
      <c r="U209" s="71"/>
      <c r="V209" s="71"/>
      <c r="W209" s="71"/>
      <c r="X209" s="71"/>
      <c r="Y209" s="71"/>
      <c r="Z209" s="71"/>
      <c r="AA209" s="71"/>
      <c r="AB209" s="71"/>
      <c r="AC209" s="71"/>
      <c r="AD209" s="71"/>
      <c r="AE209" s="71"/>
      <c r="AF209" s="71"/>
      <c r="AG209" s="71"/>
      <c r="AH209" s="71"/>
      <c r="AI209" s="71"/>
      <c r="AJ209" s="71"/>
      <c r="AK209" s="71"/>
    </row>
    <row r="210" spans="1:37" ht="12.75" customHeight="1" x14ac:dyDescent="0.2">
      <c r="A210" s="71"/>
      <c r="B210" s="71"/>
      <c r="C210" s="71"/>
      <c r="D210" s="71"/>
      <c r="E210" s="71"/>
      <c r="F210" s="71"/>
      <c r="G210" s="71"/>
      <c r="H210" s="71"/>
      <c r="I210" s="71"/>
      <c r="J210" s="71"/>
      <c r="K210" s="71"/>
      <c r="L210" s="71"/>
      <c r="M210" s="71"/>
      <c r="N210" s="71"/>
      <c r="O210" s="71"/>
      <c r="P210" s="71"/>
      <c r="Q210" s="71"/>
      <c r="R210" s="71"/>
      <c r="S210" s="71"/>
      <c r="T210" s="105"/>
      <c r="U210" s="71"/>
      <c r="V210" s="71"/>
      <c r="W210" s="71"/>
      <c r="X210" s="71"/>
      <c r="Y210" s="71"/>
      <c r="Z210" s="71"/>
      <c r="AA210" s="71"/>
      <c r="AB210" s="71"/>
      <c r="AC210" s="71"/>
      <c r="AD210" s="71"/>
      <c r="AE210" s="71"/>
      <c r="AF210" s="71"/>
      <c r="AG210" s="71"/>
      <c r="AH210" s="71"/>
      <c r="AI210" s="71"/>
      <c r="AJ210" s="71"/>
      <c r="AK210" s="71"/>
    </row>
    <row r="211" spans="1:37" ht="12.75" customHeight="1" x14ac:dyDescent="0.2">
      <c r="A211" s="71"/>
      <c r="B211" s="71"/>
      <c r="C211" s="71"/>
      <c r="D211" s="71"/>
      <c r="E211" s="71"/>
      <c r="F211" s="71"/>
      <c r="G211" s="71"/>
      <c r="H211" s="71"/>
      <c r="I211" s="71"/>
      <c r="J211" s="71"/>
      <c r="K211" s="71"/>
      <c r="L211" s="71"/>
      <c r="M211" s="71"/>
      <c r="N211" s="71"/>
      <c r="O211" s="71"/>
      <c r="P211" s="71"/>
      <c r="Q211" s="71"/>
      <c r="R211" s="71"/>
      <c r="S211" s="71"/>
      <c r="T211" s="105"/>
      <c r="U211" s="71"/>
      <c r="V211" s="71"/>
      <c r="W211" s="71"/>
      <c r="X211" s="71"/>
      <c r="Y211" s="71"/>
      <c r="Z211" s="71"/>
      <c r="AA211" s="71"/>
      <c r="AB211" s="71"/>
      <c r="AC211" s="71"/>
      <c r="AD211" s="71"/>
      <c r="AE211" s="71"/>
      <c r="AF211" s="71"/>
      <c r="AG211" s="71"/>
      <c r="AH211" s="71"/>
      <c r="AI211" s="71"/>
      <c r="AJ211" s="71"/>
      <c r="AK211" s="71"/>
    </row>
    <row r="212" spans="1:37" ht="12.75" customHeight="1" x14ac:dyDescent="0.2">
      <c r="A212" s="71"/>
      <c r="B212" s="71"/>
      <c r="C212" s="71"/>
      <c r="D212" s="71"/>
      <c r="E212" s="71"/>
      <c r="F212" s="71"/>
      <c r="G212" s="71"/>
      <c r="H212" s="71"/>
      <c r="I212" s="71"/>
      <c r="J212" s="71"/>
      <c r="K212" s="71"/>
      <c r="L212" s="71"/>
      <c r="M212" s="71"/>
      <c r="N212" s="71"/>
      <c r="O212" s="71"/>
      <c r="P212" s="71"/>
      <c r="Q212" s="71"/>
      <c r="R212" s="71"/>
      <c r="S212" s="71"/>
      <c r="T212" s="105"/>
      <c r="U212" s="71"/>
      <c r="V212" s="71"/>
      <c r="W212" s="71"/>
      <c r="X212" s="71"/>
      <c r="Y212" s="71"/>
      <c r="Z212" s="71"/>
      <c r="AA212" s="71"/>
      <c r="AB212" s="71"/>
      <c r="AC212" s="71"/>
      <c r="AD212" s="71"/>
      <c r="AE212" s="71"/>
      <c r="AF212" s="71"/>
      <c r="AG212" s="71"/>
      <c r="AH212" s="71"/>
      <c r="AI212" s="71"/>
      <c r="AJ212" s="71"/>
      <c r="AK212" s="71"/>
    </row>
    <row r="213" spans="1:37" ht="12.75" customHeight="1" x14ac:dyDescent="0.2">
      <c r="A213" s="71"/>
      <c r="B213" s="71"/>
      <c r="C213" s="71"/>
      <c r="D213" s="71"/>
      <c r="E213" s="71"/>
      <c r="F213" s="71"/>
      <c r="G213" s="71"/>
      <c r="H213" s="71"/>
      <c r="I213" s="71"/>
      <c r="J213" s="71"/>
      <c r="K213" s="71"/>
      <c r="L213" s="71"/>
      <c r="M213" s="71"/>
      <c r="N213" s="71"/>
      <c r="O213" s="71"/>
      <c r="P213" s="71"/>
      <c r="Q213" s="71"/>
      <c r="R213" s="71"/>
      <c r="S213" s="71"/>
      <c r="T213" s="105"/>
      <c r="U213" s="71"/>
      <c r="V213" s="71"/>
      <c r="W213" s="71"/>
      <c r="X213" s="71"/>
      <c r="Y213" s="71"/>
      <c r="Z213" s="71"/>
      <c r="AA213" s="71"/>
      <c r="AB213" s="71"/>
      <c r="AC213" s="71"/>
      <c r="AD213" s="71"/>
      <c r="AE213" s="71"/>
      <c r="AF213" s="71"/>
      <c r="AG213" s="71"/>
      <c r="AH213" s="71"/>
      <c r="AI213" s="71"/>
      <c r="AJ213" s="71"/>
      <c r="AK213" s="71"/>
    </row>
    <row r="214" spans="1:37" ht="12.75" customHeight="1" x14ac:dyDescent="0.2">
      <c r="A214" s="71"/>
      <c r="B214" s="71"/>
      <c r="C214" s="71"/>
      <c r="D214" s="71"/>
      <c r="E214" s="71"/>
      <c r="F214" s="71"/>
      <c r="G214" s="71"/>
      <c r="H214" s="71"/>
      <c r="I214" s="71"/>
      <c r="J214" s="71"/>
      <c r="K214" s="71"/>
      <c r="L214" s="71"/>
      <c r="M214" s="71"/>
      <c r="N214" s="71"/>
      <c r="O214" s="71"/>
      <c r="P214" s="71"/>
      <c r="Q214" s="71"/>
      <c r="R214" s="71"/>
      <c r="S214" s="71"/>
      <c r="T214" s="105"/>
      <c r="U214" s="71"/>
      <c r="V214" s="71"/>
      <c r="W214" s="71"/>
      <c r="X214" s="71"/>
      <c r="Y214" s="71"/>
      <c r="Z214" s="71"/>
      <c r="AA214" s="71"/>
      <c r="AB214" s="71"/>
      <c r="AC214" s="71"/>
      <c r="AD214" s="71"/>
      <c r="AE214" s="71"/>
      <c r="AF214" s="71"/>
      <c r="AG214" s="71"/>
      <c r="AH214" s="71"/>
      <c r="AI214" s="71"/>
      <c r="AJ214" s="71"/>
      <c r="AK214" s="71"/>
    </row>
    <row r="215" spans="1:37" ht="12.75" customHeight="1" x14ac:dyDescent="0.2">
      <c r="A215" s="71"/>
      <c r="B215" s="71"/>
      <c r="C215" s="71"/>
      <c r="D215" s="71"/>
      <c r="E215" s="71"/>
      <c r="F215" s="71"/>
      <c r="G215" s="71"/>
      <c r="H215" s="71"/>
      <c r="I215" s="71"/>
      <c r="J215" s="71"/>
      <c r="K215" s="71"/>
      <c r="L215" s="71"/>
      <c r="M215" s="71"/>
      <c r="N215" s="71"/>
      <c r="O215" s="71"/>
      <c r="P215" s="71"/>
      <c r="Q215" s="71"/>
      <c r="R215" s="71"/>
      <c r="S215" s="71"/>
      <c r="T215" s="105"/>
      <c r="U215" s="71"/>
      <c r="V215" s="71"/>
      <c r="W215" s="71"/>
      <c r="X215" s="71"/>
      <c r="Y215" s="71"/>
      <c r="Z215" s="71"/>
      <c r="AA215" s="71"/>
      <c r="AB215" s="71"/>
      <c r="AC215" s="71"/>
      <c r="AD215" s="71"/>
      <c r="AE215" s="71"/>
      <c r="AF215" s="71"/>
      <c r="AG215" s="71"/>
      <c r="AH215" s="71"/>
      <c r="AI215" s="71"/>
      <c r="AJ215" s="71"/>
      <c r="AK215" s="71"/>
    </row>
    <row r="216" spans="1:37" ht="12.75" customHeight="1" x14ac:dyDescent="0.2">
      <c r="A216" s="71"/>
      <c r="B216" s="71"/>
      <c r="C216" s="71"/>
      <c r="D216" s="71"/>
      <c r="E216" s="71"/>
      <c r="F216" s="71"/>
      <c r="G216" s="71"/>
      <c r="H216" s="71"/>
      <c r="I216" s="71"/>
      <c r="J216" s="71"/>
      <c r="K216" s="71"/>
      <c r="L216" s="71"/>
      <c r="M216" s="71"/>
      <c r="N216" s="71"/>
      <c r="O216" s="71"/>
      <c r="P216" s="71"/>
      <c r="Q216" s="71"/>
      <c r="R216" s="71"/>
      <c r="S216" s="71"/>
      <c r="T216" s="105"/>
      <c r="U216" s="71"/>
      <c r="V216" s="71"/>
      <c r="W216" s="71"/>
      <c r="X216" s="71"/>
      <c r="Y216" s="71"/>
      <c r="Z216" s="71"/>
      <c r="AA216" s="71"/>
      <c r="AB216" s="71"/>
      <c r="AC216" s="71"/>
      <c r="AD216" s="71"/>
      <c r="AE216" s="71"/>
      <c r="AF216" s="71"/>
      <c r="AG216" s="71"/>
      <c r="AH216" s="71"/>
      <c r="AI216" s="71"/>
      <c r="AJ216" s="71"/>
      <c r="AK216" s="71"/>
    </row>
    <row r="217" spans="1:37" ht="12.75" customHeight="1" x14ac:dyDescent="0.2">
      <c r="A217" s="71"/>
      <c r="B217" s="71"/>
      <c r="C217" s="71"/>
      <c r="D217" s="71"/>
      <c r="E217" s="71"/>
      <c r="F217" s="71"/>
      <c r="G217" s="71"/>
      <c r="H217" s="71"/>
      <c r="I217" s="71"/>
      <c r="J217" s="71"/>
      <c r="K217" s="71"/>
      <c r="L217" s="71"/>
      <c r="M217" s="71"/>
      <c r="N217" s="71"/>
      <c r="O217" s="71"/>
      <c r="P217" s="71"/>
      <c r="Q217" s="71"/>
      <c r="R217" s="71"/>
      <c r="S217" s="71"/>
      <c r="T217" s="105"/>
      <c r="U217" s="71"/>
      <c r="V217" s="71"/>
      <c r="W217" s="71"/>
      <c r="X217" s="71"/>
      <c r="Y217" s="71"/>
      <c r="Z217" s="71"/>
      <c r="AA217" s="71"/>
      <c r="AB217" s="71"/>
      <c r="AC217" s="71"/>
      <c r="AD217" s="71"/>
      <c r="AE217" s="71"/>
      <c r="AF217" s="71"/>
      <c r="AG217" s="71"/>
      <c r="AH217" s="71"/>
      <c r="AI217" s="71"/>
      <c r="AJ217" s="71"/>
      <c r="AK217" s="71"/>
    </row>
    <row r="218" spans="1:37" ht="12.75" customHeight="1" x14ac:dyDescent="0.2">
      <c r="A218" s="71"/>
      <c r="B218" s="71"/>
      <c r="C218" s="71"/>
      <c r="D218" s="71"/>
      <c r="E218" s="71"/>
      <c r="F218" s="71"/>
      <c r="G218" s="71"/>
      <c r="H218" s="71"/>
      <c r="I218" s="71"/>
      <c r="J218" s="71"/>
      <c r="K218" s="71"/>
      <c r="L218" s="71"/>
      <c r="M218" s="71"/>
      <c r="N218" s="71"/>
      <c r="O218" s="71"/>
      <c r="P218" s="71"/>
      <c r="Q218" s="71"/>
      <c r="R218" s="71"/>
      <c r="S218" s="71"/>
      <c r="T218" s="105"/>
      <c r="U218" s="71"/>
      <c r="V218" s="71"/>
      <c r="W218" s="71"/>
      <c r="X218" s="71"/>
      <c r="Y218" s="71"/>
      <c r="Z218" s="71"/>
      <c r="AA218" s="71"/>
      <c r="AB218" s="71"/>
      <c r="AC218" s="71"/>
      <c r="AD218" s="71"/>
      <c r="AE218" s="71"/>
      <c r="AF218" s="71"/>
      <c r="AG218" s="71"/>
      <c r="AH218" s="71"/>
      <c r="AI218" s="71"/>
      <c r="AJ218" s="71"/>
      <c r="AK218" s="71"/>
    </row>
    <row r="219" spans="1:37" ht="12.75" customHeight="1" x14ac:dyDescent="0.2">
      <c r="A219" s="71"/>
      <c r="B219" s="71"/>
      <c r="C219" s="71"/>
      <c r="D219" s="71"/>
      <c r="E219" s="71"/>
      <c r="F219" s="71"/>
      <c r="G219" s="71"/>
      <c r="H219" s="71"/>
      <c r="I219" s="71"/>
      <c r="J219" s="71"/>
      <c r="K219" s="71"/>
      <c r="L219" s="71"/>
      <c r="M219" s="71"/>
      <c r="N219" s="71"/>
      <c r="O219" s="71"/>
      <c r="P219" s="71"/>
      <c r="Q219" s="71"/>
      <c r="R219" s="71"/>
      <c r="S219" s="71"/>
      <c r="T219" s="105"/>
      <c r="U219" s="71"/>
      <c r="V219" s="71"/>
      <c r="W219" s="71"/>
      <c r="X219" s="71"/>
      <c r="Y219" s="71"/>
      <c r="Z219" s="71"/>
      <c r="AA219" s="71"/>
      <c r="AB219" s="71"/>
      <c r="AC219" s="71"/>
      <c r="AD219" s="71"/>
      <c r="AE219" s="71"/>
      <c r="AF219" s="71"/>
      <c r="AG219" s="71"/>
      <c r="AH219" s="71"/>
      <c r="AI219" s="71"/>
      <c r="AJ219" s="71"/>
      <c r="AK219" s="71"/>
    </row>
    <row r="220" spans="1:37" ht="12.75" customHeight="1" x14ac:dyDescent="0.2">
      <c r="A220" s="71"/>
      <c r="B220" s="71"/>
      <c r="C220" s="71"/>
      <c r="D220" s="71"/>
      <c r="E220" s="71"/>
      <c r="F220" s="71"/>
      <c r="G220" s="71"/>
      <c r="H220" s="71"/>
      <c r="I220" s="71"/>
      <c r="J220" s="71"/>
      <c r="K220" s="71"/>
      <c r="L220" s="71"/>
      <c r="M220" s="71"/>
      <c r="N220" s="71"/>
      <c r="O220" s="71"/>
      <c r="P220" s="71"/>
      <c r="Q220" s="71"/>
      <c r="R220" s="71"/>
      <c r="S220" s="71"/>
      <c r="T220" s="105"/>
      <c r="U220" s="71"/>
      <c r="V220" s="71"/>
      <c r="W220" s="71"/>
      <c r="X220" s="71"/>
      <c r="Y220" s="71"/>
      <c r="Z220" s="71"/>
      <c r="AA220" s="71"/>
      <c r="AB220" s="71"/>
      <c r="AC220" s="71"/>
      <c r="AD220" s="71"/>
      <c r="AE220" s="71"/>
      <c r="AF220" s="71"/>
      <c r="AG220" s="71"/>
      <c r="AH220" s="71"/>
      <c r="AI220" s="71"/>
      <c r="AJ220" s="71"/>
      <c r="AK220" s="71"/>
    </row>
    <row r="221" spans="1:37" ht="12.75" customHeight="1" x14ac:dyDescent="0.2">
      <c r="A221" s="71"/>
      <c r="B221" s="71"/>
      <c r="C221" s="71"/>
      <c r="D221" s="71"/>
      <c r="E221" s="71"/>
      <c r="F221" s="71"/>
      <c r="G221" s="71"/>
      <c r="H221" s="71"/>
      <c r="I221" s="71"/>
      <c r="J221" s="71"/>
      <c r="K221" s="71"/>
      <c r="L221" s="71"/>
      <c r="M221" s="71"/>
      <c r="N221" s="71"/>
      <c r="O221" s="71"/>
      <c r="P221" s="71"/>
      <c r="Q221" s="71"/>
      <c r="R221" s="71"/>
      <c r="S221" s="71"/>
      <c r="T221" s="105"/>
      <c r="U221" s="71"/>
      <c r="V221" s="71"/>
      <c r="W221" s="71"/>
      <c r="X221" s="71"/>
      <c r="Y221" s="71"/>
      <c r="Z221" s="71"/>
      <c r="AA221" s="71"/>
      <c r="AB221" s="71"/>
      <c r="AC221" s="71"/>
      <c r="AD221" s="71"/>
      <c r="AE221" s="71"/>
      <c r="AF221" s="71"/>
      <c r="AG221" s="71"/>
      <c r="AH221" s="71"/>
      <c r="AI221" s="71"/>
      <c r="AJ221" s="71"/>
      <c r="AK221" s="71"/>
    </row>
    <row r="222" spans="1:37" ht="12.75" customHeight="1" x14ac:dyDescent="0.2">
      <c r="A222" s="71"/>
      <c r="B222" s="71"/>
      <c r="C222" s="71"/>
      <c r="D222" s="71"/>
      <c r="E222" s="71"/>
      <c r="F222" s="71"/>
      <c r="G222" s="71"/>
      <c r="H222" s="71"/>
      <c r="I222" s="71"/>
      <c r="J222" s="71"/>
      <c r="K222" s="71"/>
      <c r="L222" s="71"/>
      <c r="M222" s="71"/>
      <c r="N222" s="71"/>
      <c r="O222" s="71"/>
      <c r="P222" s="71"/>
      <c r="Q222" s="71"/>
      <c r="R222" s="71"/>
      <c r="S222" s="71"/>
      <c r="T222" s="105"/>
      <c r="U222" s="71"/>
      <c r="V222" s="71"/>
      <c r="W222" s="71"/>
      <c r="X222" s="71"/>
      <c r="Y222" s="71"/>
      <c r="Z222" s="71"/>
      <c r="AA222" s="71"/>
      <c r="AB222" s="71"/>
      <c r="AC222" s="71"/>
      <c r="AD222" s="71"/>
      <c r="AE222" s="71"/>
      <c r="AF222" s="71"/>
      <c r="AG222" s="71"/>
      <c r="AH222" s="71"/>
      <c r="AI222" s="71"/>
      <c r="AJ222" s="71"/>
      <c r="AK222" s="71"/>
    </row>
    <row r="223" spans="1:37" ht="12.75" customHeight="1" x14ac:dyDescent="0.2">
      <c r="A223" s="71"/>
      <c r="B223" s="71"/>
      <c r="C223" s="71"/>
      <c r="D223" s="71"/>
      <c r="E223" s="71"/>
      <c r="F223" s="71"/>
      <c r="G223" s="71"/>
      <c r="H223" s="71"/>
      <c r="I223" s="71"/>
      <c r="J223" s="71"/>
      <c r="K223" s="71"/>
      <c r="L223" s="71"/>
      <c r="M223" s="71"/>
      <c r="N223" s="71"/>
      <c r="O223" s="71"/>
      <c r="P223" s="71"/>
      <c r="Q223" s="71"/>
      <c r="R223" s="71"/>
      <c r="S223" s="71"/>
      <c r="T223" s="105"/>
      <c r="U223" s="71"/>
      <c r="V223" s="71"/>
      <c r="W223" s="71"/>
      <c r="X223" s="71"/>
      <c r="Y223" s="71"/>
      <c r="Z223" s="71"/>
      <c r="AA223" s="71"/>
      <c r="AB223" s="71"/>
      <c r="AC223" s="71"/>
      <c r="AD223" s="71"/>
      <c r="AE223" s="71"/>
      <c r="AF223" s="71"/>
      <c r="AG223" s="71"/>
      <c r="AH223" s="71"/>
      <c r="AI223" s="71"/>
      <c r="AJ223" s="71"/>
      <c r="AK223" s="71"/>
    </row>
    <row r="224" spans="1:37" ht="12.75" customHeight="1" x14ac:dyDescent="0.2">
      <c r="A224" s="71"/>
      <c r="B224" s="71"/>
      <c r="C224" s="71"/>
      <c r="D224" s="71"/>
      <c r="E224" s="71"/>
      <c r="F224" s="71"/>
      <c r="G224" s="71"/>
      <c r="H224" s="71"/>
      <c r="I224" s="71"/>
      <c r="J224" s="71"/>
      <c r="K224" s="71"/>
      <c r="L224" s="71"/>
      <c r="M224" s="71"/>
      <c r="N224" s="71"/>
      <c r="O224" s="71"/>
      <c r="P224" s="71"/>
      <c r="Q224" s="71"/>
      <c r="R224" s="71"/>
      <c r="S224" s="71"/>
      <c r="T224" s="105"/>
      <c r="U224" s="71"/>
      <c r="V224" s="71"/>
      <c r="W224" s="71"/>
      <c r="X224" s="71"/>
      <c r="Y224" s="71"/>
      <c r="Z224" s="71"/>
      <c r="AA224" s="71"/>
      <c r="AB224" s="71"/>
      <c r="AC224" s="71"/>
      <c r="AD224" s="71"/>
      <c r="AE224" s="71"/>
      <c r="AF224" s="71"/>
      <c r="AG224" s="71"/>
      <c r="AH224" s="71"/>
      <c r="AI224" s="71"/>
      <c r="AJ224" s="71"/>
      <c r="AK224" s="71"/>
    </row>
    <row r="225" spans="1:37" ht="12.75" customHeight="1" x14ac:dyDescent="0.2">
      <c r="A225" s="71"/>
      <c r="B225" s="71"/>
      <c r="C225" s="71"/>
      <c r="D225" s="71"/>
      <c r="E225" s="71"/>
      <c r="F225" s="71"/>
      <c r="G225" s="71"/>
      <c r="H225" s="71"/>
      <c r="I225" s="71"/>
      <c r="J225" s="71"/>
      <c r="K225" s="71"/>
      <c r="L225" s="71"/>
      <c r="M225" s="71"/>
      <c r="N225" s="71"/>
      <c r="O225" s="71"/>
      <c r="P225" s="71"/>
      <c r="Q225" s="71"/>
      <c r="R225" s="71"/>
      <c r="S225" s="71"/>
      <c r="T225" s="105"/>
      <c r="U225" s="71"/>
      <c r="V225" s="71"/>
      <c r="W225" s="71"/>
      <c r="X225" s="71"/>
      <c r="Y225" s="71"/>
      <c r="Z225" s="71"/>
      <c r="AA225" s="71"/>
      <c r="AB225" s="71"/>
      <c r="AC225" s="71"/>
      <c r="AD225" s="71"/>
      <c r="AE225" s="71"/>
      <c r="AF225" s="71"/>
      <c r="AG225" s="71"/>
      <c r="AH225" s="71"/>
      <c r="AI225" s="71"/>
      <c r="AJ225" s="71"/>
      <c r="AK225" s="71"/>
    </row>
    <row r="226" spans="1:37" ht="12.75" customHeight="1" x14ac:dyDescent="0.2">
      <c r="A226" s="71"/>
      <c r="B226" s="71"/>
      <c r="C226" s="71"/>
      <c r="D226" s="71"/>
      <c r="E226" s="71"/>
      <c r="F226" s="71"/>
      <c r="G226" s="71"/>
      <c r="H226" s="71"/>
      <c r="I226" s="71"/>
      <c r="J226" s="71"/>
      <c r="K226" s="71"/>
      <c r="L226" s="71"/>
      <c r="M226" s="71"/>
      <c r="N226" s="71"/>
      <c r="O226" s="71"/>
      <c r="P226" s="71"/>
      <c r="Q226" s="71"/>
      <c r="R226" s="71"/>
      <c r="S226" s="71"/>
      <c r="T226" s="105"/>
      <c r="U226" s="71"/>
      <c r="V226" s="71"/>
      <c r="W226" s="71"/>
      <c r="X226" s="71"/>
      <c r="Y226" s="71"/>
      <c r="Z226" s="71"/>
      <c r="AA226" s="71"/>
      <c r="AB226" s="71"/>
      <c r="AC226" s="71"/>
      <c r="AD226" s="71"/>
      <c r="AE226" s="71"/>
      <c r="AF226" s="71"/>
      <c r="AG226" s="71"/>
      <c r="AH226" s="71"/>
      <c r="AI226" s="71"/>
      <c r="AJ226" s="71"/>
      <c r="AK226" s="71"/>
    </row>
    <row r="227" spans="1:37" ht="12.75" customHeight="1" x14ac:dyDescent="0.2">
      <c r="A227" s="71"/>
      <c r="B227" s="71"/>
      <c r="C227" s="71"/>
      <c r="D227" s="71"/>
      <c r="E227" s="71"/>
      <c r="F227" s="71"/>
      <c r="G227" s="71"/>
      <c r="H227" s="71"/>
      <c r="I227" s="71"/>
      <c r="J227" s="71"/>
      <c r="K227" s="71"/>
      <c r="L227" s="71"/>
      <c r="M227" s="71"/>
      <c r="N227" s="71"/>
      <c r="O227" s="71"/>
      <c r="P227" s="71"/>
      <c r="Q227" s="71"/>
      <c r="R227" s="71"/>
      <c r="S227" s="71"/>
      <c r="T227" s="105"/>
      <c r="U227" s="71"/>
      <c r="V227" s="71"/>
      <c r="W227" s="71"/>
      <c r="X227" s="71"/>
      <c r="Y227" s="71"/>
      <c r="Z227" s="71"/>
      <c r="AA227" s="71"/>
      <c r="AB227" s="71"/>
      <c r="AC227" s="71"/>
      <c r="AD227" s="71"/>
      <c r="AE227" s="71"/>
      <c r="AF227" s="71"/>
      <c r="AG227" s="71"/>
      <c r="AH227" s="71"/>
      <c r="AI227" s="71"/>
      <c r="AJ227" s="71"/>
      <c r="AK227" s="71"/>
    </row>
    <row r="228" spans="1:37" ht="12.75" customHeight="1" x14ac:dyDescent="0.2">
      <c r="A228" s="71"/>
      <c r="B228" s="71"/>
      <c r="C228" s="71"/>
      <c r="D228" s="71"/>
      <c r="E228" s="71"/>
      <c r="F228" s="71"/>
      <c r="G228" s="71"/>
      <c r="H228" s="71"/>
      <c r="I228" s="71"/>
      <c r="J228" s="71"/>
      <c r="K228" s="71"/>
      <c r="L228" s="71"/>
      <c r="M228" s="71"/>
      <c r="N228" s="71"/>
      <c r="O228" s="71"/>
      <c r="P228" s="71"/>
      <c r="Q228" s="71"/>
      <c r="R228" s="71"/>
      <c r="S228" s="71"/>
      <c r="T228" s="105"/>
      <c r="U228" s="71"/>
      <c r="V228" s="71"/>
      <c r="W228" s="71"/>
      <c r="X228" s="71"/>
      <c r="Y228" s="71"/>
      <c r="Z228" s="71"/>
      <c r="AA228" s="71"/>
      <c r="AB228" s="71"/>
      <c r="AC228" s="71"/>
      <c r="AD228" s="71"/>
      <c r="AE228" s="71"/>
      <c r="AF228" s="71"/>
      <c r="AG228" s="71"/>
      <c r="AH228" s="71"/>
      <c r="AI228" s="71"/>
      <c r="AJ228" s="71"/>
      <c r="AK228" s="71"/>
    </row>
    <row r="229" spans="1:37" ht="12.75" customHeight="1" x14ac:dyDescent="0.2">
      <c r="A229" s="71"/>
      <c r="B229" s="71"/>
      <c r="C229" s="71"/>
      <c r="D229" s="71"/>
      <c r="E229" s="71"/>
      <c r="F229" s="71"/>
      <c r="G229" s="71"/>
      <c r="H229" s="71"/>
      <c r="I229" s="71"/>
      <c r="J229" s="71"/>
      <c r="K229" s="71"/>
      <c r="L229" s="71"/>
      <c r="M229" s="71"/>
      <c r="N229" s="71"/>
      <c r="O229" s="71"/>
      <c r="P229" s="71"/>
      <c r="Q229" s="71"/>
      <c r="R229" s="71"/>
      <c r="S229" s="71"/>
      <c r="T229" s="105"/>
      <c r="U229" s="71"/>
      <c r="V229" s="71"/>
      <c r="W229" s="71"/>
      <c r="X229" s="71"/>
      <c r="Y229" s="71"/>
      <c r="Z229" s="71"/>
      <c r="AA229" s="71"/>
      <c r="AB229" s="71"/>
      <c r="AC229" s="71"/>
      <c r="AD229" s="71"/>
      <c r="AE229" s="71"/>
      <c r="AF229" s="71"/>
      <c r="AG229" s="71"/>
      <c r="AH229" s="71"/>
      <c r="AI229" s="71"/>
      <c r="AJ229" s="71"/>
      <c r="AK229" s="71"/>
    </row>
    <row r="230" spans="1:37" ht="12.75" customHeight="1" x14ac:dyDescent="0.2">
      <c r="A230" s="71"/>
      <c r="B230" s="71"/>
      <c r="C230" s="71"/>
      <c r="D230" s="71"/>
      <c r="E230" s="71"/>
      <c r="F230" s="71"/>
      <c r="G230" s="71"/>
      <c r="H230" s="71"/>
      <c r="I230" s="71"/>
      <c r="J230" s="71"/>
      <c r="K230" s="71"/>
      <c r="L230" s="71"/>
      <c r="M230" s="71"/>
      <c r="N230" s="71"/>
      <c r="O230" s="71"/>
      <c r="P230" s="71"/>
      <c r="Q230" s="71"/>
      <c r="R230" s="71"/>
      <c r="S230" s="71"/>
      <c r="T230" s="105"/>
      <c r="U230" s="71"/>
      <c r="V230" s="71"/>
      <c r="W230" s="71"/>
      <c r="X230" s="71"/>
      <c r="Y230" s="71"/>
      <c r="Z230" s="71"/>
      <c r="AA230" s="71"/>
      <c r="AB230" s="71"/>
      <c r="AC230" s="71"/>
      <c r="AD230" s="71"/>
      <c r="AE230" s="71"/>
      <c r="AF230" s="71"/>
      <c r="AG230" s="71"/>
      <c r="AH230" s="71"/>
      <c r="AI230" s="71"/>
      <c r="AJ230" s="71"/>
      <c r="AK230" s="71"/>
    </row>
    <row r="231" spans="1:37" ht="12.75" customHeight="1" x14ac:dyDescent="0.2">
      <c r="A231" s="71"/>
      <c r="B231" s="71"/>
      <c r="C231" s="71"/>
      <c r="D231" s="71"/>
      <c r="E231" s="71"/>
      <c r="F231" s="71"/>
      <c r="G231" s="71"/>
      <c r="H231" s="71"/>
      <c r="I231" s="71"/>
      <c r="J231" s="71"/>
      <c r="K231" s="71"/>
      <c r="L231" s="71"/>
      <c r="M231" s="71"/>
      <c r="N231" s="71"/>
      <c r="O231" s="71"/>
      <c r="P231" s="71"/>
      <c r="Q231" s="71"/>
      <c r="R231" s="71"/>
      <c r="S231" s="71"/>
      <c r="T231" s="105"/>
      <c r="U231" s="71"/>
      <c r="V231" s="71"/>
      <c r="W231" s="71"/>
      <c r="X231" s="71"/>
      <c r="Y231" s="71"/>
      <c r="Z231" s="71"/>
      <c r="AA231" s="71"/>
      <c r="AB231" s="71"/>
      <c r="AC231" s="71"/>
      <c r="AD231" s="71"/>
      <c r="AE231" s="71"/>
      <c r="AF231" s="71"/>
      <c r="AG231" s="71"/>
      <c r="AH231" s="71"/>
      <c r="AI231" s="71"/>
      <c r="AJ231" s="71"/>
      <c r="AK231" s="71"/>
    </row>
    <row r="232" spans="1:37" ht="12.75" customHeight="1" x14ac:dyDescent="0.2">
      <c r="A232" s="71"/>
      <c r="B232" s="71"/>
      <c r="C232" s="71"/>
      <c r="D232" s="71"/>
      <c r="E232" s="71"/>
      <c r="F232" s="71"/>
      <c r="G232" s="71"/>
      <c r="H232" s="71"/>
      <c r="I232" s="71"/>
      <c r="J232" s="71"/>
      <c r="K232" s="71"/>
      <c r="L232" s="71"/>
      <c r="M232" s="71"/>
      <c r="N232" s="71"/>
      <c r="O232" s="71"/>
      <c r="P232" s="71"/>
      <c r="Q232" s="71"/>
      <c r="R232" s="71"/>
      <c r="S232" s="71"/>
      <c r="T232" s="105"/>
      <c r="U232" s="71"/>
      <c r="V232" s="71"/>
      <c r="W232" s="71"/>
      <c r="X232" s="71"/>
      <c r="Y232" s="71"/>
      <c r="Z232" s="71"/>
      <c r="AA232" s="71"/>
      <c r="AB232" s="71"/>
      <c r="AC232" s="71"/>
      <c r="AD232" s="71"/>
      <c r="AE232" s="71"/>
      <c r="AF232" s="71"/>
      <c r="AG232" s="71"/>
      <c r="AH232" s="71"/>
      <c r="AI232" s="71"/>
      <c r="AJ232" s="71"/>
      <c r="AK232" s="71"/>
    </row>
    <row r="233" spans="1:37" ht="12.75" customHeight="1" x14ac:dyDescent="0.2">
      <c r="A233" s="71"/>
      <c r="B233" s="71"/>
      <c r="C233" s="71"/>
      <c r="D233" s="71"/>
      <c r="E233" s="71"/>
      <c r="F233" s="71"/>
      <c r="G233" s="71"/>
      <c r="H233" s="71"/>
      <c r="I233" s="71"/>
      <c r="J233" s="71"/>
      <c r="K233" s="71"/>
      <c r="L233" s="71"/>
      <c r="M233" s="71"/>
      <c r="N233" s="71"/>
      <c r="O233" s="71"/>
      <c r="P233" s="71"/>
      <c r="Q233" s="71"/>
      <c r="R233" s="71"/>
      <c r="S233" s="71"/>
      <c r="T233" s="105"/>
      <c r="U233" s="71"/>
      <c r="V233" s="71"/>
      <c r="W233" s="71"/>
      <c r="X233" s="71"/>
      <c r="Y233" s="71"/>
      <c r="Z233" s="71"/>
      <c r="AA233" s="71"/>
      <c r="AB233" s="71"/>
      <c r="AC233" s="71"/>
      <c r="AD233" s="71"/>
      <c r="AE233" s="71"/>
      <c r="AF233" s="71"/>
      <c r="AG233" s="71"/>
      <c r="AH233" s="71"/>
      <c r="AI233" s="71"/>
      <c r="AJ233" s="71"/>
      <c r="AK233" s="71"/>
    </row>
    <row r="234" spans="1:37" ht="12.75" customHeight="1" x14ac:dyDescent="0.2">
      <c r="A234" s="71"/>
      <c r="B234" s="71"/>
      <c r="C234" s="71"/>
      <c r="D234" s="71"/>
      <c r="E234" s="71"/>
      <c r="F234" s="71"/>
      <c r="G234" s="71"/>
      <c r="H234" s="71"/>
      <c r="I234" s="71"/>
      <c r="J234" s="71"/>
      <c r="K234" s="71"/>
      <c r="L234" s="71"/>
      <c r="M234" s="71"/>
      <c r="N234" s="71"/>
      <c r="O234" s="71"/>
      <c r="P234" s="71"/>
      <c r="Q234" s="71"/>
      <c r="R234" s="71"/>
      <c r="S234" s="71"/>
      <c r="T234" s="105"/>
      <c r="U234" s="71"/>
      <c r="V234" s="71"/>
      <c r="W234" s="71"/>
      <c r="X234" s="71"/>
      <c r="Y234" s="71"/>
      <c r="Z234" s="71"/>
      <c r="AA234" s="71"/>
      <c r="AB234" s="71"/>
      <c r="AC234" s="71"/>
      <c r="AD234" s="71"/>
      <c r="AE234" s="71"/>
      <c r="AF234" s="71"/>
      <c r="AG234" s="71"/>
      <c r="AH234" s="71"/>
      <c r="AI234" s="71"/>
      <c r="AJ234" s="71"/>
      <c r="AK234" s="71"/>
    </row>
    <row r="235" spans="1:37" ht="12.75" customHeight="1" x14ac:dyDescent="0.2">
      <c r="A235" s="71"/>
      <c r="B235" s="71"/>
      <c r="C235" s="71"/>
      <c r="D235" s="71"/>
      <c r="E235" s="71"/>
      <c r="F235" s="71"/>
      <c r="G235" s="71"/>
      <c r="H235" s="71"/>
      <c r="I235" s="71"/>
      <c r="J235" s="71"/>
      <c r="K235" s="71"/>
      <c r="L235" s="71"/>
      <c r="M235" s="71"/>
      <c r="N235" s="71"/>
      <c r="O235" s="71"/>
      <c r="P235" s="71"/>
      <c r="Q235" s="71"/>
      <c r="R235" s="71"/>
      <c r="S235" s="71"/>
      <c r="T235" s="105"/>
      <c r="U235" s="71"/>
      <c r="V235" s="71"/>
      <c r="W235" s="71"/>
      <c r="X235" s="71"/>
      <c r="Y235" s="71"/>
      <c r="Z235" s="71"/>
      <c r="AA235" s="71"/>
      <c r="AB235" s="71"/>
      <c r="AC235" s="71"/>
      <c r="AD235" s="71"/>
      <c r="AE235" s="71"/>
      <c r="AF235" s="71"/>
      <c r="AG235" s="71"/>
      <c r="AH235" s="71"/>
      <c r="AI235" s="71"/>
      <c r="AJ235" s="71"/>
      <c r="AK235" s="71"/>
    </row>
    <row r="236" spans="1:37" ht="12.75" customHeight="1" x14ac:dyDescent="0.2">
      <c r="A236" s="71"/>
      <c r="B236" s="71"/>
      <c r="C236" s="71"/>
      <c r="D236" s="71"/>
      <c r="E236" s="71"/>
      <c r="F236" s="71"/>
      <c r="G236" s="71"/>
      <c r="H236" s="71"/>
      <c r="I236" s="71"/>
      <c r="J236" s="71"/>
      <c r="K236" s="71"/>
      <c r="L236" s="71"/>
      <c r="M236" s="71"/>
      <c r="N236" s="71"/>
      <c r="O236" s="71"/>
      <c r="P236" s="71"/>
      <c r="Q236" s="71"/>
      <c r="R236" s="71"/>
      <c r="S236" s="71"/>
      <c r="T236" s="105"/>
      <c r="U236" s="71"/>
      <c r="V236" s="71"/>
      <c r="W236" s="71"/>
      <c r="X236" s="71"/>
      <c r="Y236" s="71"/>
      <c r="Z236" s="71"/>
      <c r="AA236" s="71"/>
      <c r="AB236" s="71"/>
      <c r="AC236" s="71"/>
      <c r="AD236" s="71"/>
      <c r="AE236" s="71"/>
      <c r="AF236" s="71"/>
      <c r="AG236" s="71"/>
      <c r="AH236" s="71"/>
      <c r="AI236" s="71"/>
      <c r="AJ236" s="71"/>
      <c r="AK236" s="71"/>
    </row>
    <row r="237" spans="1:37" ht="12.75" customHeight="1" x14ac:dyDescent="0.2">
      <c r="A237" s="71"/>
      <c r="B237" s="71"/>
      <c r="C237" s="71"/>
      <c r="D237" s="71"/>
      <c r="E237" s="71"/>
      <c r="F237" s="71"/>
      <c r="G237" s="71"/>
      <c r="H237" s="71"/>
      <c r="I237" s="71"/>
      <c r="J237" s="71"/>
      <c r="K237" s="71"/>
      <c r="L237" s="71"/>
      <c r="M237" s="71"/>
      <c r="N237" s="71"/>
      <c r="O237" s="71"/>
      <c r="P237" s="71"/>
      <c r="Q237" s="71"/>
      <c r="R237" s="71"/>
      <c r="S237" s="71"/>
      <c r="T237" s="105"/>
      <c r="U237" s="71"/>
      <c r="V237" s="71"/>
      <c r="W237" s="71"/>
      <c r="X237" s="71"/>
      <c r="Y237" s="71"/>
      <c r="Z237" s="71"/>
      <c r="AA237" s="71"/>
      <c r="AB237" s="71"/>
      <c r="AC237" s="71"/>
      <c r="AD237" s="71"/>
      <c r="AE237" s="71"/>
      <c r="AF237" s="71"/>
      <c r="AG237" s="71"/>
      <c r="AH237" s="71"/>
      <c r="AI237" s="71"/>
      <c r="AJ237" s="71"/>
      <c r="AK237" s="71"/>
    </row>
    <row r="238" spans="1:37" ht="12.75" customHeight="1" x14ac:dyDescent="0.2">
      <c r="A238" s="71"/>
      <c r="B238" s="71"/>
      <c r="C238" s="71"/>
      <c r="D238" s="71"/>
      <c r="E238" s="71"/>
      <c r="F238" s="71"/>
      <c r="G238" s="71"/>
      <c r="H238" s="71"/>
      <c r="I238" s="71"/>
      <c r="J238" s="71"/>
      <c r="K238" s="71"/>
      <c r="L238" s="71"/>
      <c r="M238" s="71"/>
      <c r="N238" s="71"/>
      <c r="O238" s="71"/>
      <c r="P238" s="71"/>
      <c r="Q238" s="71"/>
      <c r="R238" s="71"/>
      <c r="S238" s="71"/>
      <c r="T238" s="105"/>
      <c r="U238" s="71"/>
      <c r="V238" s="71"/>
      <c r="W238" s="71"/>
      <c r="X238" s="71"/>
      <c r="Y238" s="71"/>
      <c r="Z238" s="71"/>
      <c r="AA238" s="71"/>
      <c r="AB238" s="71"/>
      <c r="AC238" s="71"/>
      <c r="AD238" s="71"/>
      <c r="AE238" s="71"/>
      <c r="AF238" s="71"/>
      <c r="AG238" s="71"/>
      <c r="AH238" s="71"/>
      <c r="AI238" s="71"/>
      <c r="AJ238" s="71"/>
      <c r="AK238" s="71"/>
    </row>
    <row r="239" spans="1:37" ht="12.75" customHeight="1" x14ac:dyDescent="0.2">
      <c r="A239" s="71"/>
      <c r="B239" s="71"/>
      <c r="C239" s="71"/>
      <c r="D239" s="71"/>
      <c r="E239" s="71"/>
      <c r="F239" s="71"/>
      <c r="G239" s="71"/>
      <c r="H239" s="71"/>
      <c r="I239" s="71"/>
      <c r="J239" s="71"/>
      <c r="K239" s="71"/>
      <c r="L239" s="71"/>
      <c r="M239" s="71"/>
      <c r="N239" s="71"/>
      <c r="O239" s="71"/>
      <c r="P239" s="71"/>
      <c r="Q239" s="71"/>
      <c r="R239" s="71"/>
      <c r="S239" s="71"/>
      <c r="T239" s="105"/>
      <c r="U239" s="71"/>
      <c r="V239" s="71"/>
      <c r="W239" s="71"/>
      <c r="X239" s="71"/>
      <c r="Y239" s="71"/>
      <c r="Z239" s="71"/>
      <c r="AA239" s="71"/>
      <c r="AB239" s="71"/>
      <c r="AC239" s="71"/>
      <c r="AD239" s="71"/>
      <c r="AE239" s="71"/>
      <c r="AF239" s="71"/>
      <c r="AG239" s="71"/>
      <c r="AH239" s="71"/>
      <c r="AI239" s="71"/>
      <c r="AJ239" s="71"/>
      <c r="AK239" s="71"/>
    </row>
    <row r="240" spans="1:37" ht="12.75" customHeight="1" x14ac:dyDescent="0.2">
      <c r="A240" s="71"/>
      <c r="B240" s="71"/>
      <c r="C240" s="71"/>
      <c r="D240" s="71"/>
      <c r="E240" s="71"/>
      <c r="F240" s="71"/>
      <c r="G240" s="71"/>
      <c r="H240" s="71"/>
      <c r="I240" s="71"/>
      <c r="J240" s="71"/>
      <c r="K240" s="71"/>
      <c r="L240" s="71"/>
      <c r="M240" s="71"/>
      <c r="N240" s="71"/>
      <c r="O240" s="71"/>
      <c r="P240" s="71"/>
      <c r="Q240" s="71"/>
      <c r="R240" s="71"/>
      <c r="S240" s="71"/>
      <c r="T240" s="105"/>
      <c r="U240" s="71"/>
      <c r="V240" s="71"/>
      <c r="W240" s="71"/>
      <c r="X240" s="71"/>
      <c r="Y240" s="71"/>
      <c r="Z240" s="71"/>
      <c r="AA240" s="71"/>
      <c r="AB240" s="71"/>
      <c r="AC240" s="71"/>
      <c r="AD240" s="71"/>
      <c r="AE240" s="71"/>
      <c r="AF240" s="71"/>
      <c r="AG240" s="71"/>
      <c r="AH240" s="71"/>
      <c r="AI240" s="71"/>
      <c r="AJ240" s="71"/>
      <c r="AK240" s="71"/>
    </row>
    <row r="241" spans="1:37" ht="12.75" customHeight="1" x14ac:dyDescent="0.2">
      <c r="A241" s="71"/>
      <c r="B241" s="71"/>
      <c r="C241" s="71"/>
      <c r="D241" s="71"/>
      <c r="E241" s="71"/>
      <c r="F241" s="71"/>
      <c r="G241" s="71"/>
      <c r="H241" s="71"/>
      <c r="I241" s="71"/>
      <c r="J241" s="71"/>
      <c r="K241" s="71"/>
      <c r="L241" s="71"/>
      <c r="M241" s="71"/>
      <c r="N241" s="71"/>
      <c r="O241" s="71"/>
      <c r="P241" s="71"/>
      <c r="Q241" s="71"/>
      <c r="R241" s="71"/>
      <c r="S241" s="71"/>
      <c r="T241" s="105"/>
      <c r="U241" s="71"/>
      <c r="V241" s="71"/>
      <c r="W241" s="71"/>
      <c r="X241" s="71"/>
      <c r="Y241" s="71"/>
      <c r="Z241" s="71"/>
      <c r="AA241" s="71"/>
      <c r="AB241" s="71"/>
      <c r="AC241" s="71"/>
      <c r="AD241" s="71"/>
      <c r="AE241" s="71"/>
      <c r="AF241" s="71"/>
      <c r="AG241" s="71"/>
      <c r="AH241" s="71"/>
      <c r="AI241" s="71"/>
      <c r="AJ241" s="71"/>
      <c r="AK241" s="71"/>
    </row>
    <row r="242" spans="1:37" ht="12.75" customHeight="1" x14ac:dyDescent="0.2">
      <c r="A242" s="71"/>
      <c r="B242" s="71"/>
      <c r="C242" s="71"/>
      <c r="D242" s="71"/>
      <c r="E242" s="71"/>
      <c r="F242" s="71"/>
      <c r="G242" s="71"/>
      <c r="H242" s="71"/>
      <c r="I242" s="71"/>
      <c r="J242" s="71"/>
      <c r="K242" s="71"/>
      <c r="L242" s="71"/>
      <c r="M242" s="71"/>
      <c r="N242" s="71"/>
      <c r="O242" s="71"/>
      <c r="P242" s="71"/>
      <c r="Q242" s="71"/>
      <c r="R242" s="71"/>
      <c r="S242" s="71"/>
      <c r="T242" s="105"/>
      <c r="U242" s="71"/>
      <c r="V242" s="71"/>
      <c r="W242" s="71"/>
      <c r="X242" s="71"/>
      <c r="Y242" s="71"/>
      <c r="Z242" s="71"/>
      <c r="AA242" s="71"/>
      <c r="AB242" s="71"/>
      <c r="AC242" s="71"/>
      <c r="AD242" s="71"/>
      <c r="AE242" s="71"/>
      <c r="AF242" s="71"/>
      <c r="AG242" s="71"/>
      <c r="AH242" s="71"/>
      <c r="AI242" s="71"/>
      <c r="AJ242" s="71"/>
      <c r="AK242" s="71"/>
    </row>
    <row r="243" spans="1:37" ht="12.75" customHeight="1" x14ac:dyDescent="0.2">
      <c r="A243" s="71"/>
      <c r="B243" s="71"/>
      <c r="C243" s="71"/>
      <c r="D243" s="71"/>
      <c r="E243" s="71"/>
      <c r="F243" s="71"/>
      <c r="G243" s="71"/>
      <c r="H243" s="71"/>
      <c r="I243" s="71"/>
      <c r="J243" s="71"/>
      <c r="K243" s="71"/>
      <c r="L243" s="71"/>
      <c r="M243" s="71"/>
      <c r="N243" s="71"/>
      <c r="O243" s="71"/>
      <c r="P243" s="71"/>
      <c r="Q243" s="71"/>
      <c r="R243" s="71"/>
      <c r="S243" s="71"/>
      <c r="T243" s="105"/>
      <c r="U243" s="71"/>
      <c r="V243" s="71"/>
      <c r="W243" s="71"/>
      <c r="X243" s="71"/>
      <c r="Y243" s="71"/>
      <c r="Z243" s="71"/>
      <c r="AA243" s="71"/>
      <c r="AB243" s="71"/>
      <c r="AC243" s="71"/>
      <c r="AD243" s="71"/>
      <c r="AE243" s="71"/>
      <c r="AF243" s="71"/>
      <c r="AG243" s="71"/>
      <c r="AH243" s="71"/>
      <c r="AI243" s="71"/>
      <c r="AJ243" s="71"/>
      <c r="AK243" s="71"/>
    </row>
    <row r="244" spans="1:37" ht="12.75" customHeight="1" x14ac:dyDescent="0.2">
      <c r="A244" s="71"/>
      <c r="B244" s="71"/>
      <c r="C244" s="71"/>
      <c r="D244" s="71"/>
      <c r="E244" s="71"/>
      <c r="F244" s="71"/>
      <c r="G244" s="71"/>
      <c r="H244" s="71"/>
      <c r="I244" s="71"/>
      <c r="J244" s="71"/>
      <c r="K244" s="71"/>
      <c r="L244" s="71"/>
      <c r="M244" s="71"/>
      <c r="N244" s="71"/>
      <c r="O244" s="71"/>
      <c r="P244" s="71"/>
      <c r="Q244" s="71"/>
      <c r="R244" s="71"/>
      <c r="S244" s="71"/>
      <c r="T244" s="105"/>
      <c r="U244" s="71"/>
      <c r="V244" s="71"/>
      <c r="W244" s="71"/>
      <c r="X244" s="71"/>
      <c r="Y244" s="71"/>
      <c r="Z244" s="71"/>
      <c r="AA244" s="71"/>
      <c r="AB244" s="71"/>
      <c r="AC244" s="71"/>
      <c r="AD244" s="71"/>
      <c r="AE244" s="71"/>
      <c r="AF244" s="71"/>
      <c r="AG244" s="71"/>
      <c r="AH244" s="71"/>
      <c r="AI244" s="71"/>
      <c r="AJ244" s="71"/>
      <c r="AK244" s="71"/>
    </row>
    <row r="245" spans="1:37" ht="12.75" customHeight="1" x14ac:dyDescent="0.2">
      <c r="A245" s="71"/>
      <c r="B245" s="71"/>
      <c r="C245" s="71"/>
      <c r="D245" s="71"/>
      <c r="E245" s="71"/>
      <c r="F245" s="71"/>
      <c r="G245" s="71"/>
      <c r="H245" s="71"/>
      <c r="I245" s="71"/>
      <c r="J245" s="71"/>
      <c r="K245" s="71"/>
      <c r="L245" s="71"/>
      <c r="M245" s="71"/>
      <c r="N245" s="71"/>
      <c r="O245" s="71"/>
      <c r="P245" s="71"/>
      <c r="Q245" s="71"/>
      <c r="R245" s="71"/>
      <c r="S245" s="71"/>
      <c r="T245" s="105"/>
      <c r="U245" s="71"/>
      <c r="V245" s="71"/>
      <c r="W245" s="71"/>
      <c r="X245" s="71"/>
      <c r="Y245" s="71"/>
      <c r="Z245" s="71"/>
      <c r="AA245" s="71"/>
      <c r="AB245" s="71"/>
      <c r="AC245" s="71"/>
      <c r="AD245" s="71"/>
      <c r="AE245" s="71"/>
      <c r="AF245" s="71"/>
      <c r="AG245" s="71"/>
      <c r="AH245" s="71"/>
      <c r="AI245" s="71"/>
      <c r="AJ245" s="71"/>
      <c r="AK245" s="71"/>
    </row>
    <row r="246" spans="1:37" ht="12.75" customHeight="1" x14ac:dyDescent="0.2">
      <c r="A246" s="71"/>
      <c r="B246" s="71"/>
      <c r="C246" s="71"/>
      <c r="D246" s="71"/>
      <c r="E246" s="71"/>
      <c r="F246" s="71"/>
      <c r="G246" s="71"/>
      <c r="H246" s="71"/>
      <c r="I246" s="71"/>
      <c r="J246" s="71"/>
      <c r="K246" s="71"/>
      <c r="L246" s="71"/>
      <c r="M246" s="71"/>
      <c r="N246" s="71"/>
      <c r="O246" s="71"/>
      <c r="P246" s="71"/>
      <c r="Q246" s="71"/>
      <c r="R246" s="71"/>
      <c r="S246" s="71"/>
      <c r="T246" s="105"/>
      <c r="U246" s="71"/>
      <c r="V246" s="71"/>
      <c r="W246" s="71"/>
      <c r="X246" s="71"/>
      <c r="Y246" s="71"/>
      <c r="Z246" s="71"/>
      <c r="AA246" s="71"/>
      <c r="AB246" s="71"/>
      <c r="AC246" s="71"/>
      <c r="AD246" s="71"/>
      <c r="AE246" s="71"/>
      <c r="AF246" s="71"/>
      <c r="AG246" s="71"/>
      <c r="AH246" s="71"/>
      <c r="AI246" s="71"/>
      <c r="AJ246" s="71"/>
      <c r="AK246" s="71"/>
    </row>
    <row r="247" spans="1:37" ht="12.75" customHeight="1" x14ac:dyDescent="0.2">
      <c r="A247" s="71"/>
      <c r="B247" s="71"/>
      <c r="C247" s="71"/>
      <c r="D247" s="71"/>
      <c r="E247" s="71"/>
      <c r="F247" s="71"/>
      <c r="G247" s="71"/>
      <c r="H247" s="71"/>
      <c r="I247" s="71"/>
      <c r="J247" s="71"/>
      <c r="K247" s="71"/>
      <c r="L247" s="71"/>
      <c r="M247" s="71"/>
      <c r="N247" s="71"/>
      <c r="O247" s="71"/>
      <c r="P247" s="71"/>
      <c r="Q247" s="71"/>
      <c r="R247" s="71"/>
      <c r="S247" s="71"/>
      <c r="T247" s="105"/>
      <c r="U247" s="71"/>
      <c r="V247" s="71"/>
      <c r="W247" s="71"/>
      <c r="X247" s="71"/>
      <c r="Y247" s="71"/>
      <c r="Z247" s="71"/>
      <c r="AA247" s="71"/>
      <c r="AB247" s="71"/>
      <c r="AC247" s="71"/>
      <c r="AD247" s="71"/>
      <c r="AE247" s="71"/>
      <c r="AF247" s="71"/>
      <c r="AG247" s="71"/>
      <c r="AH247" s="71"/>
      <c r="AI247" s="71"/>
      <c r="AJ247" s="71"/>
      <c r="AK247" s="71"/>
    </row>
    <row r="248" spans="1:37" ht="12.75" customHeight="1" x14ac:dyDescent="0.2">
      <c r="A248" s="71"/>
      <c r="B248" s="71"/>
      <c r="C248" s="71"/>
      <c r="D248" s="71"/>
      <c r="E248" s="71"/>
      <c r="F248" s="71"/>
      <c r="G248" s="71"/>
      <c r="H248" s="71"/>
      <c r="I248" s="71"/>
      <c r="J248" s="71"/>
      <c r="K248" s="71"/>
      <c r="L248" s="71"/>
      <c r="M248" s="71"/>
      <c r="N248" s="71"/>
      <c r="O248" s="71"/>
      <c r="P248" s="71"/>
      <c r="Q248" s="71"/>
      <c r="R248" s="71"/>
      <c r="S248" s="71"/>
      <c r="T248" s="105"/>
      <c r="U248" s="71"/>
      <c r="V248" s="71"/>
      <c r="W248" s="71"/>
      <c r="X248" s="71"/>
      <c r="Y248" s="71"/>
      <c r="Z248" s="71"/>
      <c r="AA248" s="71"/>
      <c r="AB248" s="71"/>
      <c r="AC248" s="71"/>
      <c r="AD248" s="71"/>
      <c r="AE248" s="71"/>
      <c r="AF248" s="71"/>
      <c r="AG248" s="71"/>
      <c r="AH248" s="71"/>
      <c r="AI248" s="71"/>
      <c r="AJ248" s="71"/>
      <c r="AK248" s="71"/>
    </row>
    <row r="249" spans="1:37" ht="12.75" customHeight="1" x14ac:dyDescent="0.2">
      <c r="A249" s="71"/>
      <c r="B249" s="71"/>
      <c r="C249" s="71"/>
      <c r="D249" s="71"/>
      <c r="E249" s="71"/>
      <c r="F249" s="71"/>
      <c r="G249" s="71"/>
      <c r="H249" s="71"/>
      <c r="I249" s="71"/>
      <c r="J249" s="71"/>
      <c r="K249" s="71"/>
      <c r="L249" s="71"/>
      <c r="M249" s="71"/>
      <c r="N249" s="71"/>
      <c r="O249" s="71"/>
      <c r="P249" s="71"/>
      <c r="Q249" s="71"/>
      <c r="R249" s="71"/>
      <c r="S249" s="71"/>
      <c r="T249" s="105"/>
      <c r="U249" s="71"/>
      <c r="V249" s="71"/>
      <c r="W249" s="71"/>
      <c r="X249" s="71"/>
      <c r="Y249" s="71"/>
      <c r="Z249" s="71"/>
      <c r="AA249" s="71"/>
      <c r="AB249" s="71"/>
      <c r="AC249" s="71"/>
      <c r="AD249" s="71"/>
      <c r="AE249" s="71"/>
      <c r="AF249" s="71"/>
      <c r="AG249" s="71"/>
      <c r="AH249" s="71"/>
      <c r="AI249" s="71"/>
      <c r="AJ249" s="71"/>
      <c r="AK249" s="71"/>
    </row>
    <row r="250" spans="1:37" ht="12.75" customHeight="1" x14ac:dyDescent="0.2">
      <c r="A250" s="71"/>
      <c r="B250" s="71"/>
      <c r="C250" s="71"/>
      <c r="D250" s="71"/>
      <c r="E250" s="71"/>
      <c r="F250" s="71"/>
      <c r="G250" s="71"/>
      <c r="H250" s="71"/>
      <c r="I250" s="71"/>
      <c r="J250" s="71"/>
      <c r="K250" s="71"/>
      <c r="L250" s="71"/>
      <c r="M250" s="71"/>
      <c r="N250" s="71"/>
      <c r="O250" s="71"/>
      <c r="P250" s="71"/>
      <c r="Q250" s="71"/>
      <c r="R250" s="71"/>
      <c r="S250" s="71"/>
      <c r="T250" s="105"/>
      <c r="U250" s="71"/>
      <c r="V250" s="71"/>
      <c r="W250" s="71"/>
      <c r="X250" s="71"/>
      <c r="Y250" s="71"/>
      <c r="Z250" s="71"/>
      <c r="AA250" s="71"/>
      <c r="AB250" s="71"/>
      <c r="AC250" s="71"/>
      <c r="AD250" s="71"/>
      <c r="AE250" s="71"/>
      <c r="AF250" s="71"/>
      <c r="AG250" s="71"/>
      <c r="AH250" s="71"/>
      <c r="AI250" s="71"/>
      <c r="AJ250" s="71"/>
      <c r="AK250" s="71"/>
    </row>
    <row r="251" spans="1:37" ht="12.75" customHeight="1" x14ac:dyDescent="0.2">
      <c r="A251" s="71"/>
      <c r="B251" s="71"/>
      <c r="C251" s="71"/>
      <c r="D251" s="71"/>
      <c r="E251" s="71"/>
      <c r="F251" s="71"/>
      <c r="G251" s="71"/>
      <c r="H251" s="71"/>
      <c r="I251" s="71"/>
      <c r="J251" s="71"/>
      <c r="K251" s="71"/>
      <c r="L251" s="71"/>
      <c r="M251" s="71"/>
      <c r="N251" s="71"/>
      <c r="O251" s="71"/>
      <c r="P251" s="71"/>
      <c r="Q251" s="71"/>
      <c r="R251" s="71"/>
      <c r="S251" s="71"/>
      <c r="T251" s="105"/>
      <c r="U251" s="71"/>
      <c r="V251" s="71"/>
      <c r="W251" s="71"/>
      <c r="X251" s="71"/>
      <c r="Y251" s="71"/>
      <c r="Z251" s="71"/>
      <c r="AA251" s="71"/>
      <c r="AB251" s="71"/>
      <c r="AC251" s="71"/>
      <c r="AD251" s="71"/>
      <c r="AE251" s="71"/>
      <c r="AF251" s="71"/>
      <c r="AG251" s="71"/>
      <c r="AH251" s="71"/>
      <c r="AI251" s="71"/>
      <c r="AJ251" s="71"/>
      <c r="AK251" s="71"/>
    </row>
    <row r="252" spans="1:37" ht="12.75" customHeight="1" x14ac:dyDescent="0.2">
      <c r="A252" s="71"/>
      <c r="B252" s="71"/>
      <c r="C252" s="71"/>
      <c r="D252" s="71"/>
      <c r="E252" s="71"/>
      <c r="F252" s="71"/>
      <c r="G252" s="71"/>
      <c r="H252" s="71"/>
      <c r="I252" s="71"/>
      <c r="J252" s="71"/>
      <c r="K252" s="71"/>
      <c r="L252" s="71"/>
      <c r="M252" s="71"/>
      <c r="N252" s="71"/>
      <c r="O252" s="71"/>
      <c r="P252" s="71"/>
      <c r="Q252" s="71"/>
      <c r="R252" s="71"/>
      <c r="S252" s="71"/>
      <c r="T252" s="105"/>
      <c r="U252" s="71"/>
      <c r="V252" s="71"/>
      <c r="W252" s="71"/>
      <c r="X252" s="71"/>
      <c r="Y252" s="71"/>
      <c r="Z252" s="71"/>
      <c r="AA252" s="71"/>
      <c r="AB252" s="71"/>
      <c r="AC252" s="71"/>
      <c r="AD252" s="71"/>
      <c r="AE252" s="71"/>
      <c r="AF252" s="71"/>
      <c r="AG252" s="71"/>
      <c r="AH252" s="71"/>
      <c r="AI252" s="71"/>
      <c r="AJ252" s="71"/>
      <c r="AK252" s="71"/>
    </row>
    <row r="253" spans="1:37" ht="12.75" customHeight="1" x14ac:dyDescent="0.2">
      <c r="A253" s="71"/>
      <c r="B253" s="71"/>
      <c r="C253" s="71"/>
      <c r="D253" s="71"/>
      <c r="E253" s="71"/>
      <c r="F253" s="71"/>
      <c r="G253" s="71"/>
      <c r="H253" s="71"/>
      <c r="I253" s="71"/>
      <c r="J253" s="71"/>
      <c r="K253" s="71"/>
      <c r="L253" s="71"/>
      <c r="M253" s="71"/>
      <c r="N253" s="71"/>
      <c r="O253" s="71"/>
      <c r="P253" s="71"/>
      <c r="Q253" s="71"/>
      <c r="R253" s="71"/>
      <c r="S253" s="71"/>
      <c r="T253" s="105"/>
      <c r="U253" s="71"/>
      <c r="V253" s="71"/>
      <c r="W253" s="71"/>
      <c r="X253" s="71"/>
      <c r="Y253" s="71"/>
      <c r="Z253" s="71"/>
      <c r="AA253" s="71"/>
      <c r="AB253" s="71"/>
      <c r="AC253" s="71"/>
      <c r="AD253" s="71"/>
      <c r="AE253" s="71"/>
      <c r="AF253" s="71"/>
      <c r="AG253" s="71"/>
      <c r="AH253" s="71"/>
      <c r="AI253" s="71"/>
      <c r="AJ253" s="71"/>
      <c r="AK253" s="71"/>
    </row>
    <row r="254" spans="1:37" ht="12.75" customHeight="1" x14ac:dyDescent="0.2">
      <c r="A254" s="71"/>
      <c r="B254" s="71"/>
      <c r="C254" s="71"/>
      <c r="D254" s="71"/>
      <c r="E254" s="71"/>
      <c r="F254" s="71"/>
      <c r="G254" s="71"/>
      <c r="H254" s="71"/>
      <c r="I254" s="71"/>
      <c r="J254" s="71"/>
      <c r="K254" s="71"/>
      <c r="L254" s="71"/>
      <c r="M254" s="71"/>
      <c r="N254" s="71"/>
      <c r="O254" s="71"/>
      <c r="P254" s="71"/>
      <c r="Q254" s="71"/>
      <c r="R254" s="71"/>
      <c r="S254" s="71"/>
      <c r="T254" s="105"/>
      <c r="U254" s="71"/>
      <c r="V254" s="71"/>
      <c r="W254" s="71"/>
      <c r="X254" s="71"/>
      <c r="Y254" s="71"/>
      <c r="Z254" s="71"/>
      <c r="AA254" s="71"/>
      <c r="AB254" s="71"/>
      <c r="AC254" s="71"/>
      <c r="AD254" s="71"/>
      <c r="AE254" s="71"/>
      <c r="AF254" s="71"/>
      <c r="AG254" s="71"/>
      <c r="AH254" s="71"/>
      <c r="AI254" s="71"/>
      <c r="AJ254" s="71"/>
      <c r="AK254" s="71"/>
    </row>
    <row r="255" spans="1:37" ht="12.75" customHeight="1" x14ac:dyDescent="0.2">
      <c r="A255" s="71"/>
      <c r="B255" s="71"/>
      <c r="C255" s="71"/>
      <c r="D255" s="71"/>
      <c r="E255" s="71"/>
      <c r="F255" s="71"/>
      <c r="G255" s="71"/>
      <c r="H255" s="71"/>
      <c r="I255" s="71"/>
      <c r="J255" s="71"/>
      <c r="K255" s="71"/>
      <c r="L255" s="71"/>
      <c r="M255" s="71"/>
      <c r="N255" s="71"/>
      <c r="O255" s="71"/>
      <c r="P255" s="71"/>
      <c r="Q255" s="71"/>
      <c r="R255" s="71"/>
      <c r="S255" s="71"/>
      <c r="T255" s="105"/>
      <c r="U255" s="71"/>
      <c r="V255" s="71"/>
      <c r="W255" s="71"/>
      <c r="X255" s="71"/>
      <c r="Y255" s="71"/>
      <c r="Z255" s="71"/>
      <c r="AA255" s="71"/>
      <c r="AB255" s="71"/>
      <c r="AC255" s="71"/>
      <c r="AD255" s="71"/>
      <c r="AE255" s="71"/>
      <c r="AF255" s="71"/>
      <c r="AG255" s="71"/>
      <c r="AH255" s="71"/>
      <c r="AI255" s="71"/>
      <c r="AJ255" s="71"/>
      <c r="AK255" s="71"/>
    </row>
    <row r="256" spans="1:37" ht="12.75" customHeight="1" x14ac:dyDescent="0.2">
      <c r="A256" s="71"/>
      <c r="B256" s="71"/>
      <c r="C256" s="71"/>
      <c r="D256" s="71"/>
      <c r="E256" s="71"/>
      <c r="F256" s="71"/>
      <c r="G256" s="71"/>
      <c r="H256" s="71"/>
      <c r="I256" s="71"/>
      <c r="J256" s="71"/>
      <c r="K256" s="71"/>
      <c r="L256" s="71"/>
      <c r="M256" s="71"/>
      <c r="N256" s="71"/>
      <c r="O256" s="71"/>
      <c r="P256" s="71"/>
      <c r="Q256" s="71"/>
      <c r="R256" s="71"/>
      <c r="S256" s="71"/>
      <c r="T256" s="105"/>
      <c r="U256" s="71"/>
      <c r="V256" s="71"/>
      <c r="W256" s="71"/>
      <c r="X256" s="71"/>
      <c r="Y256" s="71"/>
      <c r="Z256" s="71"/>
      <c r="AA256" s="71"/>
      <c r="AB256" s="71"/>
      <c r="AC256" s="71"/>
      <c r="AD256" s="71"/>
      <c r="AE256" s="71"/>
      <c r="AF256" s="71"/>
      <c r="AG256" s="71"/>
      <c r="AH256" s="71"/>
      <c r="AI256" s="71"/>
      <c r="AJ256" s="71"/>
      <c r="AK256" s="71"/>
    </row>
    <row r="257" spans="1:37" ht="12.75" customHeight="1" x14ac:dyDescent="0.2">
      <c r="A257" s="71"/>
      <c r="B257" s="71"/>
      <c r="C257" s="71"/>
      <c r="D257" s="71"/>
      <c r="E257" s="71"/>
      <c r="F257" s="71"/>
      <c r="G257" s="71"/>
      <c r="H257" s="71"/>
      <c r="I257" s="71"/>
      <c r="J257" s="71"/>
      <c r="K257" s="71"/>
      <c r="L257" s="71"/>
      <c r="M257" s="71"/>
      <c r="N257" s="71"/>
      <c r="O257" s="71"/>
      <c r="P257" s="71"/>
      <c r="Q257" s="71"/>
      <c r="R257" s="71"/>
      <c r="S257" s="71"/>
      <c r="T257" s="105"/>
      <c r="U257" s="71"/>
      <c r="V257" s="71"/>
      <c r="W257" s="71"/>
      <c r="X257" s="71"/>
      <c r="Y257" s="71"/>
      <c r="Z257" s="71"/>
      <c r="AA257" s="71"/>
      <c r="AB257" s="71"/>
      <c r="AC257" s="71"/>
      <c r="AD257" s="71"/>
      <c r="AE257" s="71"/>
      <c r="AF257" s="71"/>
      <c r="AG257" s="71"/>
      <c r="AH257" s="71"/>
      <c r="AI257" s="71"/>
      <c r="AJ257" s="71"/>
      <c r="AK257" s="71"/>
    </row>
    <row r="258" spans="1:37" ht="12.75" customHeight="1" x14ac:dyDescent="0.2">
      <c r="A258" s="71"/>
      <c r="B258" s="71"/>
      <c r="C258" s="71"/>
      <c r="D258" s="71"/>
      <c r="E258" s="71"/>
      <c r="F258" s="71"/>
      <c r="G258" s="71"/>
      <c r="H258" s="71"/>
      <c r="I258" s="71"/>
      <c r="J258" s="71"/>
      <c r="K258" s="71"/>
      <c r="L258" s="71"/>
      <c r="M258" s="71"/>
      <c r="N258" s="71"/>
      <c r="O258" s="71"/>
      <c r="P258" s="71"/>
      <c r="Q258" s="71"/>
      <c r="R258" s="71"/>
      <c r="S258" s="71"/>
      <c r="T258" s="105"/>
      <c r="U258" s="71"/>
      <c r="V258" s="71"/>
      <c r="W258" s="71"/>
      <c r="X258" s="71"/>
      <c r="Y258" s="71"/>
      <c r="Z258" s="71"/>
      <c r="AA258" s="71"/>
      <c r="AB258" s="71"/>
      <c r="AC258" s="71"/>
      <c r="AD258" s="71"/>
      <c r="AE258" s="71"/>
      <c r="AF258" s="71"/>
      <c r="AG258" s="71"/>
      <c r="AH258" s="71"/>
      <c r="AI258" s="71"/>
      <c r="AJ258" s="71"/>
      <c r="AK258" s="71"/>
    </row>
    <row r="259" spans="1:37" ht="12.75" customHeight="1" x14ac:dyDescent="0.2">
      <c r="A259" s="71"/>
      <c r="B259" s="71"/>
      <c r="C259" s="71"/>
      <c r="D259" s="71"/>
      <c r="E259" s="71"/>
      <c r="F259" s="71"/>
      <c r="G259" s="71"/>
      <c r="H259" s="71"/>
      <c r="I259" s="71"/>
      <c r="J259" s="71"/>
      <c r="K259" s="71"/>
      <c r="L259" s="71"/>
      <c r="M259" s="71"/>
      <c r="N259" s="71"/>
      <c r="O259" s="71"/>
      <c r="P259" s="71"/>
      <c r="Q259" s="71"/>
      <c r="R259" s="71"/>
      <c r="S259" s="71"/>
      <c r="T259" s="105"/>
      <c r="U259" s="71"/>
      <c r="V259" s="71"/>
      <c r="W259" s="71"/>
      <c r="X259" s="71"/>
      <c r="Y259" s="71"/>
      <c r="Z259" s="71"/>
      <c r="AA259" s="71"/>
      <c r="AB259" s="71"/>
      <c r="AC259" s="71"/>
      <c r="AD259" s="71"/>
      <c r="AE259" s="71"/>
      <c r="AF259" s="71"/>
      <c r="AG259" s="71"/>
      <c r="AH259" s="71"/>
      <c r="AI259" s="71"/>
      <c r="AJ259" s="71"/>
      <c r="AK259" s="71"/>
    </row>
    <row r="260" spans="1:37" ht="12.75" customHeight="1" x14ac:dyDescent="0.2">
      <c r="A260" s="71"/>
      <c r="B260" s="71"/>
      <c r="C260" s="71"/>
      <c r="D260" s="71"/>
      <c r="E260" s="71"/>
      <c r="F260" s="71"/>
      <c r="G260" s="71"/>
      <c r="H260" s="71"/>
      <c r="I260" s="71"/>
      <c r="J260" s="71"/>
      <c r="K260" s="71"/>
      <c r="L260" s="71"/>
      <c r="M260" s="71"/>
      <c r="N260" s="71"/>
      <c r="O260" s="71"/>
      <c r="P260" s="71"/>
      <c r="Q260" s="71"/>
      <c r="R260" s="71"/>
      <c r="S260" s="71"/>
      <c r="T260" s="105"/>
      <c r="U260" s="71"/>
      <c r="V260" s="71"/>
      <c r="W260" s="71"/>
      <c r="X260" s="71"/>
      <c r="Y260" s="71"/>
      <c r="Z260" s="71"/>
      <c r="AA260" s="71"/>
      <c r="AB260" s="71"/>
      <c r="AC260" s="71"/>
      <c r="AD260" s="71"/>
      <c r="AE260" s="71"/>
      <c r="AF260" s="71"/>
      <c r="AG260" s="71"/>
      <c r="AH260" s="71"/>
      <c r="AI260" s="71"/>
      <c r="AJ260" s="71"/>
      <c r="AK260" s="71"/>
    </row>
    <row r="261" spans="1:37" ht="12.75" customHeight="1" x14ac:dyDescent="0.2">
      <c r="A261" s="71"/>
      <c r="B261" s="71"/>
      <c r="C261" s="71"/>
      <c r="D261" s="71"/>
      <c r="E261" s="71"/>
      <c r="F261" s="71"/>
      <c r="G261" s="71"/>
      <c r="H261" s="71"/>
      <c r="I261" s="71"/>
      <c r="J261" s="71"/>
      <c r="K261" s="71"/>
      <c r="L261" s="71"/>
      <c r="M261" s="71"/>
      <c r="N261" s="71"/>
      <c r="O261" s="71"/>
      <c r="P261" s="71"/>
      <c r="Q261" s="71"/>
      <c r="R261" s="71"/>
      <c r="S261" s="71"/>
      <c r="T261" s="105"/>
      <c r="U261" s="71"/>
      <c r="V261" s="71"/>
      <c r="W261" s="71"/>
      <c r="X261" s="71"/>
      <c r="Y261" s="71"/>
      <c r="Z261" s="71"/>
      <c r="AA261" s="71"/>
      <c r="AB261" s="71"/>
      <c r="AC261" s="71"/>
      <c r="AD261" s="71"/>
      <c r="AE261" s="71"/>
      <c r="AF261" s="71"/>
      <c r="AG261" s="71"/>
      <c r="AH261" s="71"/>
      <c r="AI261" s="71"/>
      <c r="AJ261" s="71"/>
      <c r="AK261" s="71"/>
    </row>
    <row r="262" spans="1:37" ht="12.75" customHeight="1" x14ac:dyDescent="0.2">
      <c r="A262" s="71"/>
      <c r="B262" s="71"/>
      <c r="C262" s="71"/>
      <c r="D262" s="71"/>
      <c r="E262" s="71"/>
      <c r="F262" s="71"/>
      <c r="G262" s="71"/>
      <c r="H262" s="71"/>
      <c r="I262" s="71"/>
      <c r="J262" s="71"/>
      <c r="K262" s="71"/>
      <c r="L262" s="71"/>
      <c r="M262" s="71"/>
      <c r="N262" s="71"/>
      <c r="O262" s="71"/>
      <c r="P262" s="71"/>
      <c r="Q262" s="71"/>
      <c r="R262" s="71"/>
      <c r="S262" s="71"/>
      <c r="T262" s="105"/>
      <c r="U262" s="71"/>
      <c r="V262" s="71"/>
      <c r="W262" s="71"/>
      <c r="X262" s="71"/>
      <c r="Y262" s="71"/>
      <c r="Z262" s="71"/>
      <c r="AA262" s="71"/>
      <c r="AB262" s="71"/>
      <c r="AC262" s="71"/>
      <c r="AD262" s="71"/>
      <c r="AE262" s="71"/>
      <c r="AF262" s="71"/>
      <c r="AG262" s="71"/>
      <c r="AH262" s="71"/>
      <c r="AI262" s="71"/>
      <c r="AJ262" s="71"/>
      <c r="AK262" s="71"/>
    </row>
    <row r="263" spans="1:37" ht="12.75" customHeight="1" x14ac:dyDescent="0.2">
      <c r="A263" s="71"/>
      <c r="B263" s="71"/>
      <c r="C263" s="71"/>
      <c r="D263" s="71"/>
      <c r="E263" s="71"/>
      <c r="F263" s="71"/>
      <c r="G263" s="71"/>
      <c r="H263" s="71"/>
      <c r="I263" s="71"/>
      <c r="J263" s="71"/>
      <c r="K263" s="71"/>
      <c r="L263" s="71"/>
      <c r="M263" s="71"/>
      <c r="N263" s="71"/>
      <c r="O263" s="71"/>
      <c r="P263" s="71"/>
      <c r="Q263" s="71"/>
      <c r="R263" s="71"/>
      <c r="S263" s="71"/>
      <c r="T263" s="105"/>
      <c r="U263" s="71"/>
      <c r="V263" s="71"/>
      <c r="W263" s="71"/>
      <c r="X263" s="71"/>
      <c r="Y263" s="71"/>
      <c r="Z263" s="71"/>
      <c r="AA263" s="71"/>
      <c r="AB263" s="71"/>
      <c r="AC263" s="71"/>
      <c r="AD263" s="71"/>
      <c r="AE263" s="71"/>
      <c r="AF263" s="71"/>
      <c r="AG263" s="71"/>
      <c r="AH263" s="71"/>
      <c r="AI263" s="71"/>
      <c r="AJ263" s="71"/>
      <c r="AK263" s="71"/>
    </row>
    <row r="264" spans="1:37" ht="12.75" customHeight="1" x14ac:dyDescent="0.2">
      <c r="A264" s="71"/>
      <c r="B264" s="71"/>
      <c r="C264" s="71"/>
      <c r="D264" s="71"/>
      <c r="E264" s="71"/>
      <c r="F264" s="71"/>
      <c r="G264" s="71"/>
      <c r="H264" s="71"/>
      <c r="I264" s="71"/>
      <c r="J264" s="71"/>
      <c r="K264" s="71"/>
      <c r="L264" s="71"/>
      <c r="M264" s="71"/>
      <c r="N264" s="71"/>
      <c r="O264" s="71"/>
      <c r="P264" s="71"/>
      <c r="Q264" s="71"/>
      <c r="R264" s="71"/>
      <c r="S264" s="71"/>
      <c r="T264" s="105"/>
      <c r="U264" s="71"/>
      <c r="V264" s="71"/>
      <c r="W264" s="71"/>
      <c r="X264" s="71"/>
      <c r="Y264" s="71"/>
      <c r="Z264" s="71"/>
      <c r="AA264" s="71"/>
      <c r="AB264" s="71"/>
      <c r="AC264" s="71"/>
      <c r="AD264" s="71"/>
      <c r="AE264" s="71"/>
      <c r="AF264" s="71"/>
      <c r="AG264" s="71"/>
      <c r="AH264" s="71"/>
      <c r="AI264" s="71"/>
      <c r="AJ264" s="71"/>
      <c r="AK264" s="71"/>
    </row>
    <row r="265" spans="1:37" ht="12.75" customHeight="1" x14ac:dyDescent="0.2">
      <c r="A265" s="71"/>
      <c r="B265" s="71"/>
      <c r="C265" s="71"/>
      <c r="D265" s="71"/>
      <c r="E265" s="71"/>
      <c r="F265" s="71"/>
      <c r="G265" s="71"/>
      <c r="H265" s="71"/>
      <c r="I265" s="71"/>
      <c r="J265" s="71"/>
      <c r="K265" s="71"/>
      <c r="L265" s="71"/>
      <c r="M265" s="71"/>
      <c r="N265" s="71"/>
      <c r="O265" s="71"/>
      <c r="P265" s="71"/>
      <c r="Q265" s="71"/>
      <c r="R265" s="71"/>
      <c r="S265" s="71"/>
      <c r="T265" s="105"/>
      <c r="U265" s="71"/>
      <c r="V265" s="71"/>
      <c r="W265" s="71"/>
      <c r="X265" s="71"/>
      <c r="Y265" s="71"/>
      <c r="Z265" s="71"/>
      <c r="AA265" s="71"/>
      <c r="AB265" s="71"/>
      <c r="AC265" s="71"/>
      <c r="AD265" s="71"/>
      <c r="AE265" s="71"/>
      <c r="AF265" s="71"/>
      <c r="AG265" s="71"/>
      <c r="AH265" s="71"/>
      <c r="AI265" s="71"/>
      <c r="AJ265" s="71"/>
      <c r="AK265" s="71"/>
    </row>
    <row r="266" spans="1:37" ht="12.75" customHeight="1" x14ac:dyDescent="0.2">
      <c r="A266" s="71"/>
      <c r="B266" s="71"/>
      <c r="C266" s="71"/>
      <c r="D266" s="71"/>
      <c r="E266" s="71"/>
      <c r="F266" s="71"/>
      <c r="G266" s="71"/>
      <c r="H266" s="71"/>
      <c r="I266" s="71"/>
      <c r="J266" s="71"/>
      <c r="K266" s="71"/>
      <c r="L266" s="71"/>
      <c r="M266" s="71"/>
      <c r="N266" s="71"/>
      <c r="O266" s="71"/>
      <c r="P266" s="71"/>
      <c r="Q266" s="71"/>
      <c r="R266" s="71"/>
      <c r="S266" s="71"/>
      <c r="T266" s="105"/>
      <c r="U266" s="71"/>
      <c r="V266" s="71"/>
      <c r="W266" s="71"/>
      <c r="X266" s="71"/>
      <c r="Y266" s="71"/>
      <c r="Z266" s="71"/>
      <c r="AA266" s="71"/>
      <c r="AB266" s="71"/>
      <c r="AC266" s="71"/>
      <c r="AD266" s="71"/>
      <c r="AE266" s="71"/>
      <c r="AF266" s="71"/>
      <c r="AG266" s="71"/>
      <c r="AH266" s="71"/>
      <c r="AI266" s="71"/>
      <c r="AJ266" s="71"/>
      <c r="AK266" s="71"/>
    </row>
    <row r="267" spans="1:37" ht="12.75" customHeight="1" x14ac:dyDescent="0.2">
      <c r="A267" s="71"/>
      <c r="B267" s="71"/>
      <c r="C267" s="71"/>
      <c r="D267" s="71"/>
      <c r="E267" s="71"/>
      <c r="F267" s="71"/>
      <c r="G267" s="71"/>
      <c r="H267" s="71"/>
      <c r="I267" s="71"/>
      <c r="J267" s="71"/>
      <c r="K267" s="71"/>
      <c r="L267" s="71"/>
      <c r="M267" s="71"/>
      <c r="N267" s="71"/>
      <c r="O267" s="71"/>
      <c r="P267" s="71"/>
      <c r="Q267" s="71"/>
      <c r="R267" s="71"/>
      <c r="S267" s="71"/>
      <c r="T267" s="105"/>
      <c r="U267" s="71"/>
      <c r="V267" s="71"/>
      <c r="W267" s="71"/>
      <c r="X267" s="71"/>
      <c r="Y267" s="71"/>
      <c r="Z267" s="71"/>
      <c r="AA267" s="71"/>
      <c r="AB267" s="71"/>
      <c r="AC267" s="71"/>
      <c r="AD267" s="71"/>
      <c r="AE267" s="71"/>
      <c r="AF267" s="71"/>
      <c r="AG267" s="71"/>
      <c r="AH267" s="71"/>
      <c r="AI267" s="71"/>
      <c r="AJ267" s="71"/>
      <c r="AK267" s="71"/>
    </row>
    <row r="268" spans="1:37" ht="12.75" customHeight="1" x14ac:dyDescent="0.2">
      <c r="A268" s="71"/>
      <c r="B268" s="71"/>
      <c r="C268" s="71"/>
      <c r="D268" s="71"/>
      <c r="E268" s="71"/>
      <c r="F268" s="71"/>
      <c r="G268" s="71"/>
      <c r="H268" s="71"/>
      <c r="I268" s="71"/>
      <c r="J268" s="71"/>
      <c r="K268" s="71"/>
      <c r="L268" s="71"/>
      <c r="M268" s="71"/>
      <c r="N268" s="71"/>
      <c r="O268" s="71"/>
      <c r="P268" s="71"/>
      <c r="Q268" s="71"/>
      <c r="R268" s="71"/>
      <c r="S268" s="71"/>
      <c r="T268" s="105"/>
      <c r="U268" s="71"/>
      <c r="V268" s="71"/>
      <c r="W268" s="71"/>
      <c r="X268" s="71"/>
      <c r="Y268" s="71"/>
      <c r="Z268" s="71"/>
      <c r="AA268" s="71"/>
      <c r="AB268" s="71"/>
      <c r="AC268" s="71"/>
      <c r="AD268" s="71"/>
      <c r="AE268" s="71"/>
      <c r="AF268" s="71"/>
      <c r="AG268" s="71"/>
      <c r="AH268" s="71"/>
      <c r="AI268" s="71"/>
      <c r="AJ268" s="71"/>
      <c r="AK268" s="71"/>
    </row>
    <row r="269" spans="1:37" ht="12.75" customHeight="1" x14ac:dyDescent="0.2">
      <c r="A269" s="71"/>
      <c r="B269" s="71"/>
      <c r="C269" s="71"/>
      <c r="D269" s="71"/>
      <c r="E269" s="71"/>
      <c r="F269" s="71"/>
      <c r="G269" s="71"/>
      <c r="H269" s="71"/>
      <c r="I269" s="71"/>
      <c r="J269" s="71"/>
      <c r="K269" s="71"/>
      <c r="L269" s="71"/>
      <c r="M269" s="71"/>
      <c r="N269" s="71"/>
      <c r="O269" s="71"/>
      <c r="P269" s="71"/>
      <c r="Q269" s="71"/>
      <c r="R269" s="71"/>
      <c r="S269" s="71"/>
      <c r="T269" s="105"/>
      <c r="U269" s="71"/>
      <c r="V269" s="71"/>
      <c r="W269" s="71"/>
      <c r="X269" s="71"/>
      <c r="Y269" s="71"/>
      <c r="Z269" s="71"/>
      <c r="AA269" s="71"/>
      <c r="AB269" s="71"/>
      <c r="AC269" s="71"/>
      <c r="AD269" s="71"/>
      <c r="AE269" s="71"/>
      <c r="AF269" s="71"/>
      <c r="AG269" s="71"/>
      <c r="AH269" s="71"/>
      <c r="AI269" s="71"/>
      <c r="AJ269" s="71"/>
      <c r="AK269" s="71"/>
    </row>
    <row r="270" spans="1:37" ht="12.75" customHeight="1" x14ac:dyDescent="0.2">
      <c r="A270" s="71"/>
      <c r="B270" s="71"/>
      <c r="C270" s="71"/>
      <c r="D270" s="71"/>
      <c r="E270" s="71"/>
      <c r="F270" s="71"/>
      <c r="G270" s="71"/>
      <c r="H270" s="71"/>
      <c r="I270" s="71"/>
      <c r="J270" s="71"/>
      <c r="K270" s="71"/>
      <c r="L270" s="71"/>
      <c r="M270" s="71"/>
      <c r="N270" s="71"/>
      <c r="O270" s="71"/>
      <c r="P270" s="71"/>
      <c r="Q270" s="71"/>
      <c r="R270" s="71"/>
      <c r="S270" s="71"/>
      <c r="T270" s="105"/>
      <c r="U270" s="71"/>
      <c r="V270" s="71"/>
      <c r="W270" s="71"/>
      <c r="X270" s="71"/>
      <c r="Y270" s="71"/>
      <c r="Z270" s="71"/>
      <c r="AA270" s="71"/>
      <c r="AB270" s="71"/>
      <c r="AC270" s="71"/>
      <c r="AD270" s="71"/>
      <c r="AE270" s="71"/>
      <c r="AF270" s="71"/>
      <c r="AG270" s="71"/>
      <c r="AH270" s="71"/>
      <c r="AI270" s="71"/>
      <c r="AJ270" s="71"/>
      <c r="AK270" s="71"/>
    </row>
    <row r="271" spans="1:37" ht="12.75" customHeight="1" x14ac:dyDescent="0.2">
      <c r="A271" s="71"/>
      <c r="B271" s="71"/>
      <c r="C271" s="71"/>
      <c r="D271" s="71"/>
      <c r="E271" s="71"/>
      <c r="F271" s="71"/>
      <c r="G271" s="71"/>
      <c r="H271" s="71"/>
      <c r="I271" s="71"/>
      <c r="J271" s="71"/>
      <c r="K271" s="71"/>
      <c r="L271" s="71"/>
      <c r="M271" s="71"/>
      <c r="N271" s="71"/>
      <c r="O271" s="71"/>
      <c r="P271" s="71"/>
      <c r="Q271" s="71"/>
      <c r="R271" s="71"/>
      <c r="S271" s="71"/>
      <c r="T271" s="105"/>
      <c r="U271" s="71"/>
      <c r="V271" s="71"/>
      <c r="W271" s="71"/>
      <c r="X271" s="71"/>
      <c r="Y271" s="71"/>
      <c r="Z271" s="71"/>
      <c r="AA271" s="71"/>
      <c r="AB271" s="71"/>
      <c r="AC271" s="71"/>
      <c r="AD271" s="71"/>
      <c r="AE271" s="71"/>
      <c r="AF271" s="71"/>
      <c r="AG271" s="71"/>
      <c r="AH271" s="71"/>
      <c r="AI271" s="71"/>
      <c r="AJ271" s="71"/>
      <c r="AK271" s="71"/>
    </row>
    <row r="272" spans="1:37" ht="12.75" customHeight="1" x14ac:dyDescent="0.2">
      <c r="A272" s="71"/>
      <c r="B272" s="71"/>
      <c r="C272" s="71"/>
      <c r="D272" s="71"/>
      <c r="E272" s="71"/>
      <c r="F272" s="71"/>
      <c r="G272" s="71"/>
      <c r="H272" s="71"/>
      <c r="I272" s="71"/>
      <c r="J272" s="71"/>
      <c r="K272" s="71"/>
      <c r="L272" s="71"/>
      <c r="M272" s="71"/>
      <c r="N272" s="71"/>
      <c r="O272" s="71"/>
      <c r="P272" s="71"/>
      <c r="Q272" s="71"/>
      <c r="R272" s="71"/>
      <c r="S272" s="71"/>
      <c r="T272" s="105"/>
      <c r="U272" s="71"/>
      <c r="V272" s="71"/>
      <c r="W272" s="71"/>
      <c r="X272" s="71"/>
      <c r="Y272" s="71"/>
      <c r="Z272" s="71"/>
      <c r="AA272" s="71"/>
      <c r="AB272" s="71"/>
      <c r="AC272" s="71"/>
      <c r="AD272" s="71"/>
      <c r="AE272" s="71"/>
      <c r="AF272" s="71"/>
      <c r="AG272" s="71"/>
      <c r="AH272" s="71"/>
      <c r="AI272" s="71"/>
      <c r="AJ272" s="71"/>
      <c r="AK272" s="71"/>
    </row>
    <row r="273" spans="1:37" ht="12.75" customHeight="1" x14ac:dyDescent="0.2">
      <c r="A273" s="71"/>
      <c r="B273" s="71"/>
      <c r="C273" s="71"/>
      <c r="D273" s="71"/>
      <c r="E273" s="71"/>
      <c r="F273" s="71"/>
      <c r="G273" s="71"/>
      <c r="H273" s="71"/>
      <c r="I273" s="71"/>
      <c r="J273" s="71"/>
      <c r="K273" s="71"/>
      <c r="L273" s="71"/>
      <c r="M273" s="71"/>
      <c r="N273" s="71"/>
      <c r="O273" s="71"/>
      <c r="P273" s="71"/>
      <c r="Q273" s="71"/>
      <c r="R273" s="71"/>
      <c r="S273" s="71"/>
      <c r="T273" s="105"/>
      <c r="U273" s="71"/>
      <c r="V273" s="71"/>
      <c r="W273" s="71"/>
      <c r="X273" s="71"/>
      <c r="Y273" s="71"/>
      <c r="Z273" s="71"/>
      <c r="AA273" s="71"/>
      <c r="AB273" s="71"/>
      <c r="AC273" s="71"/>
      <c r="AD273" s="71"/>
      <c r="AE273" s="71"/>
      <c r="AF273" s="71"/>
      <c r="AG273" s="71"/>
      <c r="AH273" s="71"/>
      <c r="AI273" s="71"/>
      <c r="AJ273" s="71"/>
      <c r="AK273" s="71"/>
    </row>
    <row r="274" spans="1:37" ht="12.75" customHeight="1" x14ac:dyDescent="0.2">
      <c r="A274" s="71"/>
      <c r="B274" s="71"/>
      <c r="C274" s="71"/>
      <c r="D274" s="71"/>
      <c r="E274" s="71"/>
      <c r="F274" s="71"/>
      <c r="G274" s="71"/>
      <c r="H274" s="71"/>
      <c r="I274" s="71"/>
      <c r="J274" s="71"/>
      <c r="K274" s="71"/>
      <c r="L274" s="71"/>
      <c r="M274" s="71"/>
      <c r="N274" s="71"/>
      <c r="O274" s="71"/>
      <c r="P274" s="71"/>
      <c r="Q274" s="71"/>
      <c r="R274" s="71"/>
      <c r="S274" s="71"/>
      <c r="T274" s="105"/>
      <c r="U274" s="71"/>
      <c r="V274" s="71"/>
      <c r="W274" s="71"/>
      <c r="X274" s="71"/>
      <c r="Y274" s="71"/>
      <c r="Z274" s="71"/>
      <c r="AA274" s="71"/>
      <c r="AB274" s="71"/>
      <c r="AC274" s="71"/>
      <c r="AD274" s="71"/>
      <c r="AE274" s="71"/>
      <c r="AF274" s="71"/>
      <c r="AG274" s="71"/>
      <c r="AH274" s="71"/>
      <c r="AI274" s="71"/>
      <c r="AJ274" s="71"/>
      <c r="AK274" s="71"/>
    </row>
    <row r="275" spans="1:37" ht="12.75" customHeight="1" x14ac:dyDescent="0.2">
      <c r="A275" s="71"/>
      <c r="B275" s="71"/>
      <c r="C275" s="71"/>
      <c r="D275" s="71"/>
      <c r="E275" s="71"/>
      <c r="F275" s="71"/>
      <c r="G275" s="71"/>
      <c r="H275" s="71"/>
      <c r="I275" s="71"/>
      <c r="J275" s="71"/>
      <c r="K275" s="71"/>
      <c r="L275" s="71"/>
      <c r="M275" s="71"/>
      <c r="N275" s="71"/>
      <c r="O275" s="71"/>
      <c r="P275" s="71"/>
      <c r="Q275" s="71"/>
      <c r="R275" s="71"/>
      <c r="S275" s="71"/>
      <c r="T275" s="105"/>
      <c r="U275" s="71"/>
      <c r="V275" s="71"/>
      <c r="W275" s="71"/>
      <c r="X275" s="71"/>
      <c r="Y275" s="71"/>
      <c r="Z275" s="71"/>
      <c r="AA275" s="71"/>
      <c r="AB275" s="71"/>
      <c r="AC275" s="71"/>
      <c r="AD275" s="71"/>
      <c r="AE275" s="71"/>
      <c r="AF275" s="71"/>
      <c r="AG275" s="71"/>
      <c r="AH275" s="71"/>
      <c r="AI275" s="71"/>
      <c r="AJ275" s="71"/>
      <c r="AK275" s="71"/>
    </row>
    <row r="276" spans="1:37" ht="12.75" customHeight="1" x14ac:dyDescent="0.2">
      <c r="A276" s="71"/>
      <c r="B276" s="71"/>
      <c r="C276" s="71"/>
      <c r="D276" s="71"/>
      <c r="E276" s="71"/>
      <c r="F276" s="71"/>
      <c r="G276" s="71"/>
      <c r="H276" s="71"/>
      <c r="I276" s="71"/>
      <c r="J276" s="71"/>
      <c r="K276" s="71"/>
      <c r="L276" s="71"/>
      <c r="M276" s="71"/>
      <c r="N276" s="71"/>
      <c r="O276" s="71"/>
      <c r="P276" s="71"/>
      <c r="Q276" s="71"/>
      <c r="R276" s="71"/>
      <c r="S276" s="71"/>
      <c r="T276" s="105"/>
      <c r="U276" s="71"/>
      <c r="V276" s="71"/>
      <c r="W276" s="71"/>
      <c r="X276" s="71"/>
      <c r="Y276" s="71"/>
      <c r="Z276" s="71"/>
      <c r="AA276" s="71"/>
      <c r="AB276" s="71"/>
      <c r="AC276" s="71"/>
      <c r="AD276" s="71"/>
      <c r="AE276" s="71"/>
      <c r="AF276" s="71"/>
      <c r="AG276" s="71"/>
      <c r="AH276" s="71"/>
      <c r="AI276" s="71"/>
      <c r="AJ276" s="71"/>
      <c r="AK276" s="71"/>
    </row>
    <row r="277" spans="1:37" ht="12.75" customHeight="1" x14ac:dyDescent="0.2">
      <c r="A277" s="71"/>
      <c r="B277" s="71"/>
      <c r="C277" s="71"/>
      <c r="D277" s="71"/>
      <c r="E277" s="71"/>
      <c r="F277" s="71"/>
      <c r="G277" s="71"/>
      <c r="H277" s="71"/>
      <c r="I277" s="71"/>
      <c r="J277" s="71"/>
      <c r="K277" s="71"/>
      <c r="L277" s="71"/>
      <c r="M277" s="71"/>
      <c r="N277" s="71"/>
      <c r="O277" s="71"/>
      <c r="P277" s="71"/>
      <c r="Q277" s="71"/>
      <c r="R277" s="71"/>
      <c r="S277" s="71"/>
      <c r="T277" s="105"/>
      <c r="U277" s="71"/>
      <c r="V277" s="71"/>
      <c r="W277" s="71"/>
      <c r="X277" s="71"/>
      <c r="Y277" s="71"/>
      <c r="Z277" s="71"/>
      <c r="AA277" s="71"/>
      <c r="AB277" s="71"/>
      <c r="AC277" s="71"/>
      <c r="AD277" s="71"/>
      <c r="AE277" s="71"/>
      <c r="AF277" s="71"/>
      <c r="AG277" s="71"/>
      <c r="AH277" s="71"/>
      <c r="AI277" s="71"/>
      <c r="AJ277" s="71"/>
      <c r="AK277" s="71"/>
    </row>
    <row r="278" spans="1:37" ht="12.75" customHeight="1" x14ac:dyDescent="0.2">
      <c r="A278" s="71"/>
      <c r="B278" s="71"/>
      <c r="C278" s="71"/>
      <c r="D278" s="71"/>
      <c r="E278" s="71"/>
      <c r="F278" s="71"/>
      <c r="G278" s="71"/>
      <c r="H278" s="71"/>
      <c r="I278" s="71"/>
      <c r="J278" s="71"/>
      <c r="K278" s="71"/>
      <c r="L278" s="71"/>
      <c r="M278" s="71"/>
      <c r="N278" s="71"/>
      <c r="O278" s="71"/>
      <c r="P278" s="71"/>
      <c r="Q278" s="71"/>
      <c r="R278" s="71"/>
      <c r="S278" s="71"/>
      <c r="T278" s="105"/>
      <c r="U278" s="71"/>
      <c r="V278" s="71"/>
      <c r="W278" s="71"/>
      <c r="X278" s="71"/>
      <c r="Y278" s="71"/>
      <c r="Z278" s="71"/>
      <c r="AA278" s="71"/>
      <c r="AB278" s="71"/>
      <c r="AC278" s="71"/>
      <c r="AD278" s="71"/>
      <c r="AE278" s="71"/>
      <c r="AF278" s="71"/>
      <c r="AG278" s="71"/>
      <c r="AH278" s="71"/>
      <c r="AI278" s="71"/>
      <c r="AJ278" s="71"/>
      <c r="AK278" s="71"/>
    </row>
    <row r="279" spans="1:37" ht="12.75" customHeight="1" x14ac:dyDescent="0.2">
      <c r="A279" s="71"/>
      <c r="B279" s="71"/>
      <c r="C279" s="71"/>
      <c r="D279" s="71"/>
      <c r="E279" s="71"/>
      <c r="F279" s="71"/>
      <c r="G279" s="71"/>
      <c r="H279" s="71"/>
      <c r="I279" s="71"/>
      <c r="J279" s="71"/>
      <c r="K279" s="71"/>
      <c r="L279" s="71"/>
      <c r="M279" s="71"/>
      <c r="N279" s="71"/>
      <c r="O279" s="71"/>
      <c r="P279" s="71"/>
      <c r="Q279" s="71"/>
      <c r="R279" s="71"/>
      <c r="S279" s="71"/>
      <c r="T279" s="105"/>
      <c r="U279" s="71"/>
      <c r="V279" s="71"/>
      <c r="W279" s="71"/>
      <c r="X279" s="71"/>
      <c r="Y279" s="71"/>
      <c r="Z279" s="71"/>
      <c r="AA279" s="71"/>
      <c r="AB279" s="71"/>
      <c r="AC279" s="71"/>
      <c r="AD279" s="71"/>
      <c r="AE279" s="71"/>
      <c r="AF279" s="71"/>
      <c r="AG279" s="71"/>
      <c r="AH279" s="71"/>
      <c r="AI279" s="71"/>
      <c r="AJ279" s="71"/>
      <c r="AK279" s="71"/>
    </row>
    <row r="280" spans="1:37" ht="12.75" customHeight="1" x14ac:dyDescent="0.2">
      <c r="A280" s="71"/>
      <c r="B280" s="71"/>
      <c r="C280" s="71"/>
      <c r="D280" s="71"/>
      <c r="E280" s="71"/>
      <c r="F280" s="71"/>
      <c r="G280" s="71"/>
      <c r="H280" s="71"/>
      <c r="I280" s="71"/>
      <c r="J280" s="71"/>
      <c r="K280" s="71"/>
      <c r="L280" s="71"/>
      <c r="M280" s="71"/>
      <c r="N280" s="71"/>
      <c r="O280" s="71"/>
      <c r="P280" s="71"/>
      <c r="Q280" s="71"/>
      <c r="R280" s="71"/>
      <c r="S280" s="71"/>
      <c r="T280" s="105"/>
      <c r="U280" s="71"/>
      <c r="V280" s="71"/>
      <c r="W280" s="71"/>
      <c r="X280" s="71"/>
      <c r="Y280" s="71"/>
      <c r="Z280" s="71"/>
      <c r="AA280" s="71"/>
      <c r="AB280" s="71"/>
      <c r="AC280" s="71"/>
      <c r="AD280" s="71"/>
      <c r="AE280" s="71"/>
      <c r="AF280" s="71"/>
      <c r="AG280" s="71"/>
      <c r="AH280" s="71"/>
      <c r="AI280" s="71"/>
      <c r="AJ280" s="71"/>
      <c r="AK280" s="71"/>
    </row>
    <row r="281" spans="1:37" ht="12.75" customHeight="1" x14ac:dyDescent="0.2">
      <c r="A281" s="71"/>
      <c r="B281" s="71"/>
      <c r="C281" s="71"/>
      <c r="D281" s="71"/>
      <c r="E281" s="71"/>
      <c r="F281" s="71"/>
      <c r="G281" s="71"/>
      <c r="H281" s="71"/>
      <c r="I281" s="71"/>
      <c r="J281" s="71"/>
      <c r="K281" s="71"/>
      <c r="L281" s="71"/>
      <c r="M281" s="71"/>
      <c r="N281" s="71"/>
      <c r="O281" s="71"/>
      <c r="P281" s="71"/>
      <c r="Q281" s="71"/>
      <c r="R281" s="71"/>
      <c r="S281" s="71"/>
      <c r="T281" s="105"/>
      <c r="U281" s="71"/>
      <c r="V281" s="71"/>
      <c r="W281" s="71"/>
      <c r="X281" s="71"/>
      <c r="Y281" s="71"/>
      <c r="Z281" s="71"/>
      <c r="AA281" s="71"/>
      <c r="AB281" s="71"/>
      <c r="AC281" s="71"/>
      <c r="AD281" s="71"/>
      <c r="AE281" s="71"/>
      <c r="AF281" s="71"/>
      <c r="AG281" s="71"/>
      <c r="AH281" s="71"/>
      <c r="AI281" s="71"/>
      <c r="AJ281" s="71"/>
      <c r="AK281" s="71"/>
    </row>
    <row r="282" spans="1:37" ht="12.75" customHeight="1" x14ac:dyDescent="0.2">
      <c r="A282" s="71"/>
      <c r="B282" s="71"/>
      <c r="C282" s="71"/>
      <c r="D282" s="71"/>
      <c r="E282" s="71"/>
      <c r="F282" s="71"/>
      <c r="G282" s="71"/>
      <c r="H282" s="71"/>
      <c r="I282" s="71"/>
      <c r="J282" s="71"/>
      <c r="K282" s="71"/>
      <c r="L282" s="71"/>
      <c r="M282" s="71"/>
      <c r="N282" s="71"/>
      <c r="O282" s="71"/>
      <c r="P282" s="71"/>
      <c r="Q282" s="71"/>
      <c r="R282" s="71"/>
      <c r="S282" s="71"/>
      <c r="T282" s="105"/>
      <c r="U282" s="71"/>
      <c r="V282" s="71"/>
      <c r="W282" s="71"/>
      <c r="X282" s="71"/>
      <c r="Y282" s="71"/>
      <c r="Z282" s="71"/>
      <c r="AA282" s="71"/>
      <c r="AB282" s="71"/>
      <c r="AC282" s="71"/>
      <c r="AD282" s="71"/>
      <c r="AE282" s="71"/>
      <c r="AF282" s="71"/>
      <c r="AG282" s="71"/>
      <c r="AH282" s="71"/>
      <c r="AI282" s="71"/>
      <c r="AJ282" s="71"/>
      <c r="AK282" s="71"/>
    </row>
    <row r="283" spans="1:37" ht="12.75" customHeight="1" x14ac:dyDescent="0.2">
      <c r="A283" s="71"/>
      <c r="B283" s="71"/>
      <c r="C283" s="71"/>
      <c r="D283" s="71"/>
      <c r="E283" s="71"/>
      <c r="F283" s="71"/>
      <c r="G283" s="71"/>
      <c r="H283" s="71"/>
      <c r="I283" s="71"/>
      <c r="J283" s="71"/>
      <c r="K283" s="71"/>
      <c r="L283" s="71"/>
      <c r="M283" s="71"/>
      <c r="N283" s="71"/>
      <c r="O283" s="71"/>
      <c r="P283" s="71"/>
      <c r="Q283" s="71"/>
      <c r="R283" s="71"/>
      <c r="S283" s="71"/>
      <c r="T283" s="105"/>
      <c r="U283" s="71"/>
      <c r="V283" s="71"/>
      <c r="W283" s="71"/>
      <c r="X283" s="71"/>
      <c r="Y283" s="71"/>
      <c r="Z283" s="71"/>
      <c r="AA283" s="71"/>
      <c r="AB283" s="71"/>
      <c r="AC283" s="71"/>
      <c r="AD283" s="71"/>
      <c r="AE283" s="71"/>
      <c r="AF283" s="71"/>
      <c r="AG283" s="71"/>
      <c r="AH283" s="71"/>
      <c r="AI283" s="71"/>
      <c r="AJ283" s="71"/>
      <c r="AK283" s="71"/>
    </row>
    <row r="284" spans="1:37" ht="12.75" customHeight="1" x14ac:dyDescent="0.2">
      <c r="A284" s="71"/>
      <c r="B284" s="71"/>
      <c r="C284" s="71"/>
      <c r="D284" s="71"/>
      <c r="E284" s="71"/>
      <c r="F284" s="71"/>
      <c r="G284" s="71"/>
      <c r="H284" s="71"/>
      <c r="I284" s="71"/>
      <c r="J284" s="71"/>
      <c r="K284" s="71"/>
      <c r="L284" s="71"/>
      <c r="M284" s="71"/>
      <c r="N284" s="71"/>
      <c r="O284" s="71"/>
      <c r="P284" s="71"/>
      <c r="Q284" s="71"/>
      <c r="R284" s="71"/>
      <c r="S284" s="71"/>
      <c r="T284" s="105"/>
      <c r="U284" s="71"/>
      <c r="V284" s="71"/>
      <c r="W284" s="71"/>
      <c r="X284" s="71"/>
      <c r="Y284" s="71"/>
      <c r="Z284" s="71"/>
      <c r="AA284" s="71"/>
      <c r="AB284" s="71"/>
      <c r="AC284" s="71"/>
      <c r="AD284" s="71"/>
      <c r="AE284" s="71"/>
      <c r="AF284" s="71"/>
      <c r="AG284" s="71"/>
      <c r="AH284" s="71"/>
      <c r="AI284" s="71"/>
      <c r="AJ284" s="71"/>
      <c r="AK284" s="71"/>
    </row>
    <row r="285" spans="1:37" ht="12.75" customHeight="1" x14ac:dyDescent="0.2">
      <c r="A285" s="71"/>
      <c r="B285" s="71"/>
      <c r="C285" s="71"/>
      <c r="D285" s="71"/>
      <c r="E285" s="71"/>
      <c r="F285" s="71"/>
      <c r="G285" s="71"/>
      <c r="H285" s="71"/>
      <c r="I285" s="71"/>
      <c r="J285" s="71"/>
      <c r="K285" s="71"/>
      <c r="L285" s="71"/>
      <c r="M285" s="71"/>
      <c r="N285" s="71"/>
      <c r="O285" s="71"/>
      <c r="P285" s="71"/>
      <c r="Q285" s="71"/>
      <c r="R285" s="71"/>
      <c r="S285" s="71"/>
      <c r="T285" s="105"/>
      <c r="U285" s="71"/>
      <c r="V285" s="71"/>
      <c r="W285" s="71"/>
      <c r="X285" s="71"/>
      <c r="Y285" s="71"/>
      <c r="Z285" s="71"/>
      <c r="AA285" s="71"/>
      <c r="AB285" s="71"/>
      <c r="AC285" s="71"/>
      <c r="AD285" s="71"/>
      <c r="AE285" s="71"/>
      <c r="AF285" s="71"/>
      <c r="AG285" s="71"/>
      <c r="AH285" s="71"/>
      <c r="AI285" s="71"/>
      <c r="AJ285" s="71"/>
      <c r="AK285" s="71"/>
    </row>
    <row r="286" spans="1:37" ht="12.75" customHeight="1" x14ac:dyDescent="0.2">
      <c r="A286" s="71"/>
      <c r="B286" s="71"/>
      <c r="C286" s="71"/>
      <c r="D286" s="71"/>
      <c r="E286" s="71"/>
      <c r="F286" s="71"/>
      <c r="G286" s="71"/>
      <c r="H286" s="71"/>
      <c r="I286" s="71"/>
      <c r="J286" s="71"/>
      <c r="K286" s="71"/>
      <c r="L286" s="71"/>
      <c r="M286" s="71"/>
      <c r="N286" s="71"/>
      <c r="O286" s="71"/>
      <c r="P286" s="71"/>
      <c r="Q286" s="71"/>
      <c r="R286" s="71"/>
      <c r="S286" s="71"/>
      <c r="T286" s="105"/>
      <c r="U286" s="71"/>
      <c r="V286" s="71"/>
      <c r="W286" s="71"/>
      <c r="X286" s="71"/>
      <c r="Y286" s="71"/>
      <c r="Z286" s="71"/>
      <c r="AA286" s="71"/>
      <c r="AB286" s="71"/>
      <c r="AC286" s="71"/>
      <c r="AD286" s="71"/>
      <c r="AE286" s="71"/>
      <c r="AF286" s="71"/>
      <c r="AG286" s="71"/>
      <c r="AH286" s="71"/>
      <c r="AI286" s="71"/>
      <c r="AJ286" s="71"/>
      <c r="AK286" s="71"/>
    </row>
    <row r="287" spans="1:37" ht="12.75" customHeight="1" x14ac:dyDescent="0.2">
      <c r="A287" s="71"/>
      <c r="B287" s="71"/>
      <c r="C287" s="71"/>
      <c r="D287" s="71"/>
      <c r="E287" s="71"/>
      <c r="F287" s="71"/>
      <c r="G287" s="71"/>
      <c r="H287" s="71"/>
      <c r="I287" s="71"/>
      <c r="J287" s="71"/>
      <c r="K287" s="71"/>
      <c r="L287" s="71"/>
      <c r="M287" s="71"/>
      <c r="N287" s="71"/>
      <c r="O287" s="71"/>
      <c r="P287" s="71"/>
      <c r="Q287" s="71"/>
      <c r="R287" s="71"/>
      <c r="S287" s="71"/>
      <c r="T287" s="105"/>
      <c r="U287" s="71"/>
      <c r="V287" s="71"/>
      <c r="W287" s="71"/>
      <c r="X287" s="71"/>
      <c r="Y287" s="71"/>
      <c r="Z287" s="71"/>
      <c r="AA287" s="71"/>
      <c r="AB287" s="71"/>
      <c r="AC287" s="71"/>
      <c r="AD287" s="71"/>
      <c r="AE287" s="71"/>
      <c r="AF287" s="71"/>
      <c r="AG287" s="71"/>
      <c r="AH287" s="71"/>
      <c r="AI287" s="71"/>
      <c r="AJ287" s="71"/>
      <c r="AK287" s="71"/>
    </row>
    <row r="288" spans="1:37" ht="12.75" customHeight="1" x14ac:dyDescent="0.2">
      <c r="A288" s="71"/>
      <c r="B288" s="71"/>
      <c r="C288" s="71"/>
      <c r="D288" s="71"/>
      <c r="E288" s="71"/>
      <c r="F288" s="71"/>
      <c r="G288" s="71"/>
      <c r="H288" s="71"/>
      <c r="I288" s="71"/>
      <c r="J288" s="71"/>
      <c r="K288" s="71"/>
      <c r="L288" s="71"/>
      <c r="M288" s="71"/>
      <c r="N288" s="71"/>
      <c r="O288" s="71"/>
      <c r="P288" s="71"/>
      <c r="Q288" s="71"/>
      <c r="R288" s="71"/>
      <c r="S288" s="71"/>
      <c r="T288" s="105"/>
      <c r="U288" s="71"/>
      <c r="V288" s="71"/>
      <c r="W288" s="71"/>
      <c r="X288" s="71"/>
      <c r="Y288" s="71"/>
      <c r="Z288" s="71"/>
      <c r="AA288" s="71"/>
      <c r="AB288" s="71"/>
      <c r="AC288" s="71"/>
      <c r="AD288" s="71"/>
      <c r="AE288" s="71"/>
      <c r="AF288" s="71"/>
      <c r="AG288" s="71"/>
      <c r="AH288" s="71"/>
      <c r="AI288" s="71"/>
      <c r="AJ288" s="71"/>
      <c r="AK288" s="71"/>
    </row>
    <row r="289" spans="1:37" ht="12.75" customHeight="1" x14ac:dyDescent="0.2">
      <c r="A289" s="71"/>
      <c r="B289" s="71"/>
      <c r="C289" s="71"/>
      <c r="D289" s="71"/>
      <c r="E289" s="71"/>
      <c r="F289" s="71"/>
      <c r="G289" s="71"/>
      <c r="H289" s="71"/>
      <c r="I289" s="71"/>
      <c r="J289" s="71"/>
      <c r="K289" s="71"/>
      <c r="L289" s="71"/>
      <c r="M289" s="71"/>
      <c r="N289" s="71"/>
      <c r="O289" s="71"/>
      <c r="P289" s="71"/>
      <c r="Q289" s="71"/>
      <c r="R289" s="71"/>
      <c r="S289" s="71"/>
      <c r="T289" s="105"/>
      <c r="U289" s="71"/>
      <c r="V289" s="71"/>
      <c r="W289" s="71"/>
      <c r="X289" s="71"/>
      <c r="Y289" s="71"/>
      <c r="Z289" s="71"/>
      <c r="AA289" s="71"/>
      <c r="AB289" s="71"/>
      <c r="AC289" s="71"/>
      <c r="AD289" s="71"/>
      <c r="AE289" s="71"/>
      <c r="AF289" s="71"/>
      <c r="AG289" s="71"/>
      <c r="AH289" s="71"/>
      <c r="AI289" s="71"/>
      <c r="AJ289" s="71"/>
      <c r="AK289" s="71"/>
    </row>
    <row r="290" spans="1:37" ht="12.75" customHeight="1" x14ac:dyDescent="0.2">
      <c r="A290" s="71"/>
      <c r="B290" s="71"/>
      <c r="C290" s="71"/>
      <c r="D290" s="71"/>
      <c r="E290" s="71"/>
      <c r="F290" s="71"/>
      <c r="G290" s="71"/>
      <c r="H290" s="71"/>
      <c r="I290" s="71"/>
      <c r="J290" s="71"/>
      <c r="K290" s="71"/>
      <c r="L290" s="71"/>
      <c r="M290" s="71"/>
      <c r="N290" s="71"/>
      <c r="O290" s="71"/>
      <c r="P290" s="71"/>
      <c r="Q290" s="71"/>
      <c r="R290" s="71"/>
      <c r="S290" s="71"/>
      <c r="T290" s="105"/>
      <c r="U290" s="71"/>
      <c r="V290" s="71"/>
      <c r="W290" s="71"/>
      <c r="X290" s="71"/>
      <c r="Y290" s="71"/>
      <c r="Z290" s="71"/>
      <c r="AA290" s="71"/>
      <c r="AB290" s="71"/>
      <c r="AC290" s="71"/>
      <c r="AD290" s="71"/>
      <c r="AE290" s="71"/>
      <c r="AF290" s="71"/>
      <c r="AG290" s="71"/>
      <c r="AH290" s="71"/>
      <c r="AI290" s="71"/>
      <c r="AJ290" s="71"/>
      <c r="AK290" s="71"/>
    </row>
    <row r="291" spans="1:37" ht="12.75" customHeight="1" x14ac:dyDescent="0.2">
      <c r="A291" s="71"/>
      <c r="B291" s="71"/>
      <c r="C291" s="71"/>
      <c r="D291" s="71"/>
      <c r="E291" s="71"/>
      <c r="F291" s="71"/>
      <c r="G291" s="71"/>
      <c r="H291" s="71"/>
      <c r="I291" s="71"/>
      <c r="J291" s="71"/>
      <c r="K291" s="71"/>
      <c r="L291" s="71"/>
      <c r="M291" s="71"/>
      <c r="N291" s="71"/>
      <c r="O291" s="71"/>
      <c r="P291" s="71"/>
      <c r="Q291" s="71"/>
      <c r="R291" s="71"/>
      <c r="S291" s="71"/>
      <c r="T291" s="105"/>
      <c r="U291" s="71"/>
      <c r="V291" s="71"/>
      <c r="W291" s="71"/>
      <c r="X291" s="71"/>
      <c r="Y291" s="71"/>
      <c r="Z291" s="71"/>
      <c r="AA291" s="71"/>
      <c r="AB291" s="71"/>
      <c r="AC291" s="71"/>
      <c r="AD291" s="71"/>
      <c r="AE291" s="71"/>
      <c r="AF291" s="71"/>
      <c r="AG291" s="71"/>
      <c r="AH291" s="71"/>
      <c r="AI291" s="71"/>
      <c r="AJ291" s="71"/>
      <c r="AK291" s="71"/>
    </row>
    <row r="292" spans="1:37" ht="12.75" customHeight="1" x14ac:dyDescent="0.2">
      <c r="A292" s="71"/>
      <c r="B292" s="71"/>
      <c r="C292" s="71"/>
      <c r="D292" s="71"/>
      <c r="E292" s="71"/>
      <c r="F292" s="71"/>
      <c r="G292" s="71"/>
      <c r="H292" s="71"/>
      <c r="I292" s="71"/>
      <c r="J292" s="71"/>
      <c r="K292" s="71"/>
      <c r="L292" s="71"/>
      <c r="M292" s="71"/>
      <c r="N292" s="71"/>
      <c r="O292" s="71"/>
      <c r="P292" s="71"/>
      <c r="Q292" s="71"/>
      <c r="R292" s="71"/>
      <c r="S292" s="71"/>
      <c r="T292" s="105"/>
      <c r="U292" s="71"/>
      <c r="V292" s="71"/>
      <c r="W292" s="71"/>
      <c r="X292" s="71"/>
      <c r="Y292" s="71"/>
      <c r="Z292" s="71"/>
      <c r="AA292" s="71"/>
      <c r="AB292" s="71"/>
      <c r="AC292" s="71"/>
      <c r="AD292" s="71"/>
      <c r="AE292" s="71"/>
      <c r="AF292" s="71"/>
      <c r="AG292" s="71"/>
      <c r="AH292" s="71"/>
      <c r="AI292" s="71"/>
      <c r="AJ292" s="71"/>
      <c r="AK292" s="71"/>
    </row>
    <row r="293" spans="1:37" ht="12.75" customHeight="1" x14ac:dyDescent="0.2">
      <c r="A293" s="71"/>
      <c r="B293" s="71"/>
      <c r="C293" s="71"/>
      <c r="D293" s="71"/>
      <c r="E293" s="71"/>
      <c r="F293" s="71"/>
      <c r="G293" s="71"/>
      <c r="H293" s="71"/>
      <c r="I293" s="71"/>
      <c r="J293" s="71"/>
      <c r="K293" s="71"/>
      <c r="L293" s="71"/>
      <c r="M293" s="71"/>
      <c r="N293" s="71"/>
      <c r="O293" s="71"/>
      <c r="P293" s="71"/>
      <c r="Q293" s="71"/>
      <c r="R293" s="71"/>
      <c r="S293" s="71"/>
      <c r="T293" s="105"/>
      <c r="U293" s="71"/>
      <c r="V293" s="71"/>
      <c r="W293" s="71"/>
      <c r="X293" s="71"/>
      <c r="Y293" s="71"/>
      <c r="Z293" s="71"/>
      <c r="AA293" s="71"/>
      <c r="AB293" s="71"/>
      <c r="AC293" s="71"/>
      <c r="AD293" s="71"/>
      <c r="AE293" s="71"/>
      <c r="AF293" s="71"/>
      <c r="AG293" s="71"/>
      <c r="AH293" s="71"/>
      <c r="AI293" s="71"/>
      <c r="AJ293" s="71"/>
      <c r="AK293" s="71"/>
    </row>
    <row r="294" spans="1:37" ht="12.75" customHeight="1" x14ac:dyDescent="0.2">
      <c r="A294" s="71"/>
      <c r="B294" s="71"/>
      <c r="C294" s="71"/>
      <c r="D294" s="71"/>
      <c r="E294" s="71"/>
      <c r="F294" s="71"/>
      <c r="G294" s="71"/>
      <c r="H294" s="71"/>
      <c r="I294" s="71"/>
      <c r="J294" s="71"/>
      <c r="K294" s="71"/>
      <c r="L294" s="71"/>
      <c r="M294" s="71"/>
      <c r="N294" s="71"/>
      <c r="O294" s="71"/>
      <c r="P294" s="71"/>
      <c r="Q294" s="71"/>
      <c r="R294" s="71"/>
      <c r="S294" s="71"/>
      <c r="T294" s="105"/>
      <c r="U294" s="71"/>
      <c r="V294" s="71"/>
      <c r="W294" s="71"/>
      <c r="X294" s="71"/>
      <c r="Y294" s="71"/>
      <c r="Z294" s="71"/>
      <c r="AA294" s="71"/>
      <c r="AB294" s="71"/>
      <c r="AC294" s="71"/>
      <c r="AD294" s="71"/>
      <c r="AE294" s="71"/>
      <c r="AF294" s="71"/>
      <c r="AG294" s="71"/>
      <c r="AH294" s="71"/>
      <c r="AI294" s="71"/>
      <c r="AJ294" s="71"/>
      <c r="AK294" s="71"/>
    </row>
    <row r="295" spans="1:37" ht="12.75" customHeight="1" x14ac:dyDescent="0.2">
      <c r="A295" s="71"/>
      <c r="B295" s="71"/>
      <c r="C295" s="71"/>
      <c r="D295" s="71"/>
      <c r="E295" s="71"/>
      <c r="F295" s="71"/>
      <c r="G295" s="71"/>
      <c r="H295" s="71"/>
      <c r="I295" s="71"/>
      <c r="J295" s="71"/>
      <c r="K295" s="71"/>
      <c r="L295" s="71"/>
      <c r="M295" s="71"/>
      <c r="N295" s="71"/>
      <c r="O295" s="71"/>
      <c r="P295" s="71"/>
      <c r="Q295" s="71"/>
      <c r="R295" s="71"/>
      <c r="S295" s="71"/>
      <c r="T295" s="105"/>
      <c r="U295" s="71"/>
      <c r="V295" s="71"/>
      <c r="W295" s="71"/>
      <c r="X295" s="71"/>
      <c r="Y295" s="71"/>
      <c r="Z295" s="71"/>
      <c r="AA295" s="71"/>
      <c r="AB295" s="71"/>
      <c r="AC295" s="71"/>
      <c r="AD295" s="71"/>
      <c r="AE295" s="71"/>
      <c r="AF295" s="71"/>
      <c r="AG295" s="71"/>
      <c r="AH295" s="71"/>
      <c r="AI295" s="71"/>
      <c r="AJ295" s="71"/>
      <c r="AK295" s="71"/>
    </row>
    <row r="296" spans="1:37" ht="12.75" customHeight="1" x14ac:dyDescent="0.2">
      <c r="A296" s="71"/>
      <c r="B296" s="71"/>
      <c r="C296" s="71"/>
      <c r="D296" s="71"/>
      <c r="E296" s="71"/>
      <c r="F296" s="71"/>
      <c r="G296" s="71"/>
      <c r="H296" s="71"/>
      <c r="I296" s="71"/>
      <c r="J296" s="71"/>
      <c r="K296" s="71"/>
      <c r="L296" s="71"/>
      <c r="M296" s="71"/>
      <c r="N296" s="71"/>
      <c r="O296" s="71"/>
      <c r="P296" s="71"/>
      <c r="Q296" s="71"/>
      <c r="R296" s="71"/>
      <c r="S296" s="71"/>
      <c r="T296" s="105"/>
      <c r="U296" s="71"/>
      <c r="V296" s="71"/>
      <c r="W296" s="71"/>
      <c r="X296" s="71"/>
      <c r="Y296" s="71"/>
      <c r="Z296" s="71"/>
      <c r="AA296" s="71"/>
      <c r="AB296" s="71"/>
      <c r="AC296" s="71"/>
      <c r="AD296" s="71"/>
      <c r="AE296" s="71"/>
      <c r="AF296" s="71"/>
      <c r="AG296" s="71"/>
      <c r="AH296" s="71"/>
      <c r="AI296" s="71"/>
      <c r="AJ296" s="71"/>
      <c r="AK296" s="71"/>
    </row>
    <row r="297" spans="1:37" ht="12.75" customHeight="1" x14ac:dyDescent="0.2">
      <c r="A297" s="71"/>
      <c r="B297" s="71"/>
      <c r="C297" s="71"/>
      <c r="D297" s="71"/>
      <c r="E297" s="71"/>
      <c r="F297" s="71"/>
      <c r="G297" s="71"/>
      <c r="H297" s="71"/>
      <c r="I297" s="71"/>
      <c r="J297" s="71"/>
      <c r="K297" s="71"/>
      <c r="L297" s="71"/>
      <c r="M297" s="71"/>
      <c r="N297" s="71"/>
      <c r="O297" s="71"/>
      <c r="P297" s="71"/>
      <c r="Q297" s="71"/>
      <c r="R297" s="71"/>
      <c r="S297" s="71"/>
      <c r="T297" s="105"/>
      <c r="U297" s="71"/>
      <c r="V297" s="71"/>
      <c r="W297" s="71"/>
      <c r="X297" s="71"/>
      <c r="Y297" s="71"/>
      <c r="Z297" s="71"/>
      <c r="AA297" s="71"/>
      <c r="AB297" s="71"/>
      <c r="AC297" s="71"/>
      <c r="AD297" s="71"/>
      <c r="AE297" s="71"/>
      <c r="AF297" s="71"/>
      <c r="AG297" s="71"/>
      <c r="AH297" s="71"/>
      <c r="AI297" s="71"/>
      <c r="AJ297" s="71"/>
      <c r="AK297" s="71"/>
    </row>
    <row r="298" spans="1:37" ht="12.75" customHeight="1" x14ac:dyDescent="0.2">
      <c r="A298" s="71"/>
      <c r="B298" s="71"/>
      <c r="C298" s="71"/>
      <c r="D298" s="71"/>
      <c r="E298" s="71"/>
      <c r="F298" s="71"/>
      <c r="G298" s="71"/>
      <c r="H298" s="71"/>
      <c r="I298" s="71"/>
      <c r="J298" s="71"/>
      <c r="K298" s="71"/>
      <c r="L298" s="71"/>
      <c r="M298" s="71"/>
      <c r="N298" s="71"/>
      <c r="O298" s="71"/>
      <c r="P298" s="71"/>
      <c r="Q298" s="71"/>
      <c r="R298" s="71"/>
      <c r="S298" s="71"/>
      <c r="T298" s="105"/>
      <c r="U298" s="71"/>
      <c r="V298" s="71"/>
      <c r="W298" s="71"/>
      <c r="X298" s="71"/>
      <c r="Y298" s="71"/>
      <c r="Z298" s="71"/>
      <c r="AA298" s="71"/>
      <c r="AB298" s="71"/>
      <c r="AC298" s="71"/>
      <c r="AD298" s="71"/>
      <c r="AE298" s="71"/>
      <c r="AF298" s="71"/>
      <c r="AG298" s="71"/>
      <c r="AH298" s="71"/>
      <c r="AI298" s="71"/>
      <c r="AJ298" s="71"/>
      <c r="AK298" s="71"/>
    </row>
    <row r="299" spans="1:37" ht="12.75" customHeight="1" x14ac:dyDescent="0.2">
      <c r="A299" s="71"/>
      <c r="B299" s="71"/>
      <c r="C299" s="71"/>
      <c r="D299" s="71"/>
      <c r="E299" s="71"/>
      <c r="F299" s="71"/>
      <c r="G299" s="71"/>
      <c r="H299" s="71"/>
      <c r="I299" s="71"/>
      <c r="J299" s="71"/>
      <c r="K299" s="71"/>
      <c r="L299" s="71"/>
      <c r="M299" s="71"/>
      <c r="N299" s="71"/>
      <c r="O299" s="71"/>
      <c r="P299" s="71"/>
      <c r="Q299" s="71"/>
      <c r="R299" s="71"/>
      <c r="S299" s="71"/>
      <c r="T299" s="105"/>
      <c r="U299" s="71"/>
      <c r="V299" s="71"/>
      <c r="W299" s="71"/>
      <c r="X299" s="71"/>
      <c r="Y299" s="71"/>
      <c r="Z299" s="71"/>
      <c r="AA299" s="71"/>
      <c r="AB299" s="71"/>
      <c r="AC299" s="71"/>
      <c r="AD299" s="71"/>
      <c r="AE299" s="71"/>
      <c r="AF299" s="71"/>
      <c r="AG299" s="71"/>
      <c r="AH299" s="71"/>
      <c r="AI299" s="71"/>
      <c r="AJ299" s="71"/>
      <c r="AK299" s="71"/>
    </row>
    <row r="300" spans="1:37" ht="12.75" customHeight="1" x14ac:dyDescent="0.2">
      <c r="A300" s="71"/>
      <c r="B300" s="71"/>
      <c r="C300" s="71"/>
      <c r="D300" s="71"/>
      <c r="E300" s="71"/>
      <c r="F300" s="71"/>
      <c r="G300" s="71"/>
      <c r="H300" s="71"/>
      <c r="I300" s="71"/>
      <c r="J300" s="71"/>
      <c r="K300" s="71"/>
      <c r="L300" s="71"/>
      <c r="M300" s="71"/>
      <c r="N300" s="71"/>
      <c r="O300" s="71"/>
      <c r="P300" s="71"/>
      <c r="Q300" s="71"/>
      <c r="R300" s="71"/>
      <c r="S300" s="71"/>
      <c r="T300" s="105"/>
      <c r="U300" s="71"/>
      <c r="V300" s="71"/>
      <c r="W300" s="71"/>
      <c r="X300" s="71"/>
      <c r="Y300" s="71"/>
      <c r="Z300" s="71"/>
      <c r="AA300" s="71"/>
      <c r="AB300" s="71"/>
      <c r="AC300" s="71"/>
      <c r="AD300" s="71"/>
      <c r="AE300" s="71"/>
      <c r="AF300" s="71"/>
      <c r="AG300" s="71"/>
      <c r="AH300" s="71"/>
      <c r="AI300" s="71"/>
      <c r="AJ300" s="71"/>
      <c r="AK300" s="71"/>
    </row>
    <row r="301" spans="1:37" ht="12.75" customHeight="1" x14ac:dyDescent="0.2">
      <c r="A301" s="71"/>
      <c r="B301" s="71"/>
      <c r="C301" s="71"/>
      <c r="D301" s="71"/>
      <c r="E301" s="71"/>
      <c r="F301" s="71"/>
      <c r="G301" s="71"/>
      <c r="H301" s="71"/>
      <c r="I301" s="71"/>
      <c r="J301" s="71"/>
      <c r="K301" s="71"/>
      <c r="L301" s="71"/>
      <c r="M301" s="71"/>
      <c r="N301" s="71"/>
      <c r="O301" s="71"/>
      <c r="P301" s="71"/>
      <c r="Q301" s="71"/>
      <c r="R301" s="71"/>
      <c r="S301" s="71"/>
      <c r="T301" s="105"/>
      <c r="U301" s="71"/>
      <c r="V301" s="71"/>
      <c r="W301" s="71"/>
      <c r="X301" s="71"/>
      <c r="Y301" s="71"/>
      <c r="Z301" s="71"/>
      <c r="AA301" s="71"/>
      <c r="AB301" s="71"/>
      <c r="AC301" s="71"/>
      <c r="AD301" s="71"/>
      <c r="AE301" s="71"/>
      <c r="AF301" s="71"/>
      <c r="AG301" s="71"/>
      <c r="AH301" s="71"/>
      <c r="AI301" s="71"/>
      <c r="AJ301" s="71"/>
      <c r="AK301" s="71"/>
    </row>
    <row r="302" spans="1:37" ht="12.75" customHeight="1" x14ac:dyDescent="0.2">
      <c r="A302" s="71"/>
      <c r="B302" s="71"/>
      <c r="C302" s="71"/>
      <c r="D302" s="71"/>
      <c r="E302" s="71"/>
      <c r="F302" s="71"/>
      <c r="G302" s="71"/>
      <c r="H302" s="71"/>
      <c r="I302" s="71"/>
      <c r="J302" s="71"/>
      <c r="K302" s="71"/>
      <c r="L302" s="71"/>
      <c r="M302" s="71"/>
      <c r="N302" s="71"/>
      <c r="O302" s="71"/>
      <c r="P302" s="71"/>
      <c r="Q302" s="71"/>
      <c r="R302" s="71"/>
      <c r="S302" s="71"/>
      <c r="T302" s="105"/>
      <c r="U302" s="71"/>
      <c r="V302" s="71"/>
      <c r="W302" s="71"/>
      <c r="X302" s="71"/>
      <c r="Y302" s="71"/>
      <c r="Z302" s="71"/>
      <c r="AA302" s="71"/>
      <c r="AB302" s="71"/>
      <c r="AC302" s="71"/>
      <c r="AD302" s="71"/>
      <c r="AE302" s="71"/>
      <c r="AF302" s="71"/>
      <c r="AG302" s="71"/>
      <c r="AH302" s="71"/>
      <c r="AI302" s="71"/>
      <c r="AJ302" s="71"/>
      <c r="AK302" s="71"/>
    </row>
    <row r="303" spans="1:37" ht="12.75" customHeight="1" x14ac:dyDescent="0.2">
      <c r="A303" s="71"/>
      <c r="B303" s="71"/>
      <c r="C303" s="71"/>
      <c r="D303" s="71"/>
      <c r="E303" s="71"/>
      <c r="F303" s="71"/>
      <c r="G303" s="71"/>
      <c r="H303" s="71"/>
      <c r="I303" s="71"/>
      <c r="J303" s="71"/>
      <c r="K303" s="71"/>
      <c r="L303" s="71"/>
      <c r="M303" s="71"/>
      <c r="N303" s="71"/>
      <c r="O303" s="71"/>
      <c r="P303" s="71"/>
      <c r="Q303" s="71"/>
      <c r="R303" s="71"/>
      <c r="S303" s="71"/>
      <c r="T303" s="105"/>
      <c r="U303" s="71"/>
      <c r="V303" s="71"/>
      <c r="W303" s="71"/>
      <c r="X303" s="71"/>
      <c r="Y303" s="71"/>
      <c r="Z303" s="71"/>
      <c r="AA303" s="71"/>
      <c r="AB303" s="71"/>
      <c r="AC303" s="71"/>
      <c r="AD303" s="71"/>
      <c r="AE303" s="71"/>
      <c r="AF303" s="71"/>
      <c r="AG303" s="71"/>
      <c r="AH303" s="71"/>
      <c r="AI303" s="71"/>
      <c r="AJ303" s="71"/>
      <c r="AK303" s="71"/>
    </row>
    <row r="304" spans="1:37" ht="12.75" customHeight="1" x14ac:dyDescent="0.2">
      <c r="A304" s="71"/>
      <c r="B304" s="71"/>
      <c r="C304" s="71"/>
      <c r="D304" s="71"/>
      <c r="E304" s="71"/>
      <c r="F304" s="71"/>
      <c r="G304" s="71"/>
      <c r="H304" s="71"/>
      <c r="I304" s="71"/>
      <c r="J304" s="71"/>
      <c r="K304" s="71"/>
      <c r="L304" s="71"/>
      <c r="M304" s="71"/>
      <c r="N304" s="71"/>
      <c r="O304" s="71"/>
      <c r="P304" s="71"/>
      <c r="Q304" s="71"/>
      <c r="R304" s="71"/>
      <c r="S304" s="71"/>
      <c r="T304" s="105"/>
      <c r="U304" s="71"/>
      <c r="V304" s="71"/>
      <c r="W304" s="71"/>
      <c r="X304" s="71"/>
      <c r="Y304" s="71"/>
      <c r="Z304" s="71"/>
      <c r="AA304" s="71"/>
      <c r="AB304" s="71"/>
      <c r="AC304" s="71"/>
      <c r="AD304" s="71"/>
      <c r="AE304" s="71"/>
      <c r="AF304" s="71"/>
      <c r="AG304" s="71"/>
      <c r="AH304" s="71"/>
      <c r="AI304" s="71"/>
      <c r="AJ304" s="71"/>
      <c r="AK304" s="71"/>
    </row>
    <row r="305" spans="1:37" ht="12.75" customHeight="1" x14ac:dyDescent="0.2">
      <c r="A305" s="71"/>
      <c r="B305" s="71"/>
      <c r="C305" s="71"/>
      <c r="D305" s="71"/>
      <c r="E305" s="71"/>
      <c r="F305" s="71"/>
      <c r="G305" s="71"/>
      <c r="H305" s="71"/>
      <c r="I305" s="71"/>
      <c r="J305" s="71"/>
      <c r="K305" s="71"/>
      <c r="L305" s="71"/>
      <c r="M305" s="71"/>
      <c r="N305" s="71"/>
      <c r="O305" s="71"/>
      <c r="P305" s="71"/>
      <c r="Q305" s="71"/>
      <c r="R305" s="71"/>
      <c r="S305" s="71"/>
      <c r="T305" s="105"/>
      <c r="U305" s="71"/>
      <c r="V305" s="71"/>
      <c r="W305" s="71"/>
      <c r="X305" s="71"/>
      <c r="Y305" s="71"/>
      <c r="Z305" s="71"/>
      <c r="AA305" s="71"/>
      <c r="AB305" s="71"/>
      <c r="AC305" s="71"/>
      <c r="AD305" s="71"/>
      <c r="AE305" s="71"/>
      <c r="AF305" s="71"/>
      <c r="AG305" s="71"/>
      <c r="AH305" s="71"/>
      <c r="AI305" s="71"/>
      <c r="AJ305" s="71"/>
      <c r="AK305" s="71"/>
    </row>
    <row r="306" spans="1:37" ht="12.75" customHeight="1" x14ac:dyDescent="0.2">
      <c r="A306" s="71"/>
      <c r="B306" s="71"/>
      <c r="C306" s="71"/>
      <c r="D306" s="71"/>
      <c r="E306" s="71"/>
      <c r="F306" s="71"/>
      <c r="G306" s="71"/>
      <c r="H306" s="71"/>
      <c r="I306" s="71"/>
      <c r="J306" s="71"/>
      <c r="K306" s="71"/>
      <c r="L306" s="71"/>
      <c r="M306" s="71"/>
      <c r="N306" s="71"/>
      <c r="O306" s="71"/>
      <c r="P306" s="71"/>
      <c r="Q306" s="71"/>
      <c r="R306" s="71"/>
      <c r="S306" s="71"/>
      <c r="T306" s="105"/>
      <c r="U306" s="71"/>
      <c r="V306" s="71"/>
      <c r="W306" s="71"/>
      <c r="X306" s="71"/>
      <c r="Y306" s="71"/>
      <c r="Z306" s="71"/>
      <c r="AA306" s="71"/>
      <c r="AB306" s="71"/>
      <c r="AC306" s="71"/>
      <c r="AD306" s="71"/>
      <c r="AE306" s="71"/>
      <c r="AF306" s="71"/>
      <c r="AG306" s="71"/>
      <c r="AH306" s="71"/>
      <c r="AI306" s="71"/>
      <c r="AJ306" s="71"/>
      <c r="AK306" s="71"/>
    </row>
    <row r="307" spans="1:37" ht="12.75" customHeight="1" x14ac:dyDescent="0.2">
      <c r="A307" s="71"/>
      <c r="B307" s="71"/>
      <c r="C307" s="71"/>
      <c r="D307" s="71"/>
      <c r="E307" s="71"/>
      <c r="F307" s="71"/>
      <c r="G307" s="71"/>
      <c r="H307" s="71"/>
      <c r="I307" s="71"/>
      <c r="J307" s="71"/>
      <c r="K307" s="71"/>
      <c r="L307" s="71"/>
      <c r="M307" s="71"/>
      <c r="N307" s="71"/>
      <c r="O307" s="71"/>
      <c r="P307" s="71"/>
      <c r="Q307" s="71"/>
      <c r="R307" s="71"/>
      <c r="S307" s="71"/>
      <c r="T307" s="105"/>
      <c r="U307" s="71"/>
      <c r="V307" s="71"/>
      <c r="W307" s="71"/>
      <c r="X307" s="71"/>
      <c r="Y307" s="71"/>
      <c r="Z307" s="71"/>
      <c r="AA307" s="71"/>
      <c r="AB307" s="71"/>
      <c r="AC307" s="71"/>
      <c r="AD307" s="71"/>
      <c r="AE307" s="71"/>
      <c r="AF307" s="71"/>
      <c r="AG307" s="71"/>
      <c r="AH307" s="71"/>
      <c r="AI307" s="71"/>
      <c r="AJ307" s="71"/>
      <c r="AK307" s="71"/>
    </row>
    <row r="308" spans="1:37" ht="12.75" customHeight="1" x14ac:dyDescent="0.2">
      <c r="A308" s="71"/>
      <c r="B308" s="71"/>
      <c r="C308" s="71"/>
      <c r="D308" s="71"/>
      <c r="E308" s="71"/>
      <c r="F308" s="71"/>
      <c r="G308" s="71"/>
      <c r="H308" s="71"/>
      <c r="I308" s="71"/>
      <c r="J308" s="71"/>
      <c r="K308" s="71"/>
      <c r="L308" s="71"/>
      <c r="M308" s="71"/>
      <c r="N308" s="71"/>
      <c r="O308" s="71"/>
      <c r="P308" s="71"/>
      <c r="Q308" s="71"/>
      <c r="R308" s="71"/>
      <c r="S308" s="71"/>
      <c r="T308" s="105"/>
      <c r="U308" s="71"/>
      <c r="V308" s="71"/>
      <c r="W308" s="71"/>
      <c r="X308" s="71"/>
      <c r="Y308" s="71"/>
      <c r="Z308" s="71"/>
      <c r="AA308" s="71"/>
      <c r="AB308" s="71"/>
      <c r="AC308" s="71"/>
      <c r="AD308" s="71"/>
      <c r="AE308" s="71"/>
      <c r="AF308" s="71"/>
      <c r="AG308" s="71"/>
      <c r="AH308" s="71"/>
      <c r="AI308" s="71"/>
      <c r="AJ308" s="71"/>
      <c r="AK308" s="71"/>
    </row>
    <row r="309" spans="1:37" ht="12.75" customHeight="1" x14ac:dyDescent="0.2">
      <c r="A309" s="71"/>
      <c r="B309" s="71"/>
      <c r="C309" s="71"/>
      <c r="D309" s="71"/>
      <c r="E309" s="71"/>
      <c r="F309" s="71"/>
      <c r="G309" s="71"/>
      <c r="H309" s="71"/>
      <c r="I309" s="71"/>
      <c r="J309" s="71"/>
      <c r="K309" s="71"/>
      <c r="L309" s="71"/>
      <c r="M309" s="71"/>
      <c r="N309" s="71"/>
      <c r="O309" s="71"/>
      <c r="P309" s="71"/>
      <c r="Q309" s="71"/>
      <c r="R309" s="71"/>
      <c r="S309" s="71"/>
      <c r="T309" s="105"/>
      <c r="U309" s="71"/>
      <c r="V309" s="71"/>
      <c r="W309" s="71"/>
      <c r="X309" s="71"/>
      <c r="Y309" s="71"/>
      <c r="Z309" s="71"/>
      <c r="AA309" s="71"/>
      <c r="AB309" s="71"/>
      <c r="AC309" s="71"/>
      <c r="AD309" s="71"/>
      <c r="AE309" s="71"/>
      <c r="AF309" s="71"/>
      <c r="AG309" s="71"/>
      <c r="AH309" s="71"/>
      <c r="AI309" s="71"/>
      <c r="AJ309" s="71"/>
      <c r="AK309" s="71"/>
    </row>
    <row r="310" spans="1:37" ht="12.75" customHeight="1" x14ac:dyDescent="0.2">
      <c r="A310" s="71"/>
      <c r="B310" s="71"/>
      <c r="C310" s="71"/>
      <c r="D310" s="71"/>
      <c r="E310" s="71"/>
      <c r="F310" s="71"/>
      <c r="G310" s="71"/>
      <c r="H310" s="71"/>
      <c r="I310" s="71"/>
      <c r="J310" s="71"/>
      <c r="K310" s="71"/>
      <c r="L310" s="71"/>
      <c r="M310" s="71"/>
      <c r="N310" s="71"/>
      <c r="O310" s="71"/>
      <c r="P310" s="71"/>
      <c r="Q310" s="71"/>
      <c r="R310" s="71"/>
      <c r="S310" s="71"/>
      <c r="T310" s="105"/>
      <c r="U310" s="71"/>
      <c r="V310" s="71"/>
      <c r="W310" s="71"/>
      <c r="X310" s="71"/>
      <c r="Y310" s="71"/>
      <c r="Z310" s="71"/>
      <c r="AA310" s="71"/>
      <c r="AB310" s="71"/>
      <c r="AC310" s="71"/>
      <c r="AD310" s="71"/>
      <c r="AE310" s="71"/>
      <c r="AF310" s="71"/>
      <c r="AG310" s="71"/>
      <c r="AH310" s="71"/>
      <c r="AI310" s="71"/>
      <c r="AJ310" s="71"/>
      <c r="AK310" s="71"/>
    </row>
    <row r="311" spans="1:37" ht="12.75" customHeight="1" x14ac:dyDescent="0.2">
      <c r="A311" s="71"/>
      <c r="B311" s="71"/>
      <c r="C311" s="71"/>
      <c r="D311" s="71"/>
      <c r="E311" s="71"/>
      <c r="F311" s="71"/>
      <c r="G311" s="71"/>
      <c r="H311" s="71"/>
      <c r="I311" s="71"/>
      <c r="J311" s="71"/>
      <c r="K311" s="71"/>
      <c r="L311" s="71"/>
      <c r="M311" s="71"/>
      <c r="N311" s="71"/>
      <c r="O311" s="71"/>
      <c r="P311" s="71"/>
      <c r="Q311" s="71"/>
      <c r="R311" s="71"/>
      <c r="S311" s="71"/>
      <c r="T311" s="105"/>
      <c r="U311" s="71"/>
      <c r="V311" s="71"/>
      <c r="W311" s="71"/>
      <c r="X311" s="71"/>
      <c r="Y311" s="71"/>
      <c r="Z311" s="71"/>
      <c r="AA311" s="71"/>
      <c r="AB311" s="71"/>
      <c r="AC311" s="71"/>
      <c r="AD311" s="71"/>
      <c r="AE311" s="71"/>
      <c r="AF311" s="71"/>
      <c r="AG311" s="71"/>
      <c r="AH311" s="71"/>
      <c r="AI311" s="71"/>
      <c r="AJ311" s="71"/>
      <c r="AK311" s="71"/>
    </row>
    <row r="312" spans="1:37" ht="12.75" customHeight="1" x14ac:dyDescent="0.2">
      <c r="A312" s="71"/>
      <c r="B312" s="71"/>
      <c r="C312" s="71"/>
      <c r="D312" s="71"/>
      <c r="E312" s="71"/>
      <c r="F312" s="71"/>
      <c r="G312" s="71"/>
      <c r="H312" s="71"/>
      <c r="I312" s="71"/>
      <c r="J312" s="71"/>
      <c r="K312" s="71"/>
      <c r="L312" s="71"/>
      <c r="M312" s="71"/>
      <c r="N312" s="71"/>
      <c r="O312" s="71"/>
      <c r="P312" s="71"/>
      <c r="Q312" s="71"/>
      <c r="R312" s="71"/>
      <c r="S312" s="71"/>
      <c r="T312" s="105"/>
      <c r="U312" s="71"/>
      <c r="V312" s="71"/>
      <c r="W312" s="71"/>
      <c r="X312" s="71"/>
      <c r="Y312" s="71"/>
      <c r="Z312" s="71"/>
      <c r="AA312" s="71"/>
      <c r="AB312" s="71"/>
      <c r="AC312" s="71"/>
      <c r="AD312" s="71"/>
      <c r="AE312" s="71"/>
      <c r="AF312" s="71"/>
      <c r="AG312" s="71"/>
      <c r="AH312" s="71"/>
      <c r="AI312" s="71"/>
      <c r="AJ312" s="71"/>
      <c r="AK312" s="71"/>
    </row>
    <row r="313" spans="1:37" ht="12.75" customHeight="1" x14ac:dyDescent="0.2">
      <c r="A313" s="71"/>
      <c r="B313" s="71"/>
      <c r="C313" s="71"/>
      <c r="D313" s="71"/>
      <c r="E313" s="71"/>
      <c r="F313" s="71"/>
      <c r="G313" s="71"/>
      <c r="H313" s="71"/>
      <c r="I313" s="71"/>
      <c r="J313" s="71"/>
      <c r="K313" s="71"/>
      <c r="L313" s="71"/>
      <c r="M313" s="71"/>
      <c r="N313" s="71"/>
      <c r="O313" s="71"/>
      <c r="P313" s="71"/>
      <c r="Q313" s="71"/>
      <c r="R313" s="71"/>
      <c r="S313" s="71"/>
      <c r="T313" s="105"/>
      <c r="U313" s="71"/>
      <c r="V313" s="71"/>
      <c r="W313" s="71"/>
      <c r="X313" s="71"/>
      <c r="Y313" s="71"/>
      <c r="Z313" s="71"/>
      <c r="AA313" s="71"/>
      <c r="AB313" s="71"/>
      <c r="AC313" s="71"/>
      <c r="AD313" s="71"/>
      <c r="AE313" s="71"/>
      <c r="AF313" s="71"/>
      <c r="AG313" s="71"/>
      <c r="AH313" s="71"/>
      <c r="AI313" s="71"/>
      <c r="AJ313" s="71"/>
      <c r="AK313" s="71"/>
    </row>
    <row r="314" spans="1:37" ht="12.75" customHeight="1" x14ac:dyDescent="0.2">
      <c r="A314" s="71"/>
      <c r="B314" s="71"/>
      <c r="C314" s="71"/>
      <c r="D314" s="71"/>
      <c r="E314" s="71"/>
      <c r="F314" s="71"/>
      <c r="G314" s="71"/>
      <c r="H314" s="71"/>
      <c r="I314" s="71"/>
      <c r="J314" s="71"/>
      <c r="K314" s="71"/>
      <c r="L314" s="71"/>
      <c r="M314" s="71"/>
      <c r="N314" s="71"/>
      <c r="O314" s="71"/>
      <c r="P314" s="71"/>
      <c r="Q314" s="71"/>
      <c r="R314" s="71"/>
      <c r="S314" s="71"/>
      <c r="T314" s="105"/>
      <c r="U314" s="71"/>
      <c r="V314" s="71"/>
      <c r="W314" s="71"/>
      <c r="X314" s="71"/>
      <c r="Y314" s="71"/>
      <c r="Z314" s="71"/>
      <c r="AA314" s="71"/>
      <c r="AB314" s="71"/>
      <c r="AC314" s="71"/>
      <c r="AD314" s="71"/>
      <c r="AE314" s="71"/>
      <c r="AF314" s="71"/>
      <c r="AG314" s="71"/>
      <c r="AH314" s="71"/>
      <c r="AI314" s="71"/>
      <c r="AJ314" s="71"/>
      <c r="AK314" s="71"/>
    </row>
    <row r="315" spans="1:37" ht="12.75" customHeight="1" x14ac:dyDescent="0.2">
      <c r="A315" s="71"/>
      <c r="B315" s="71"/>
      <c r="C315" s="71"/>
      <c r="D315" s="71"/>
      <c r="E315" s="71"/>
      <c r="F315" s="71"/>
      <c r="G315" s="71"/>
      <c r="H315" s="71"/>
      <c r="I315" s="71"/>
      <c r="J315" s="71"/>
      <c r="K315" s="71"/>
      <c r="L315" s="71"/>
      <c r="M315" s="71"/>
      <c r="N315" s="71"/>
      <c r="O315" s="71"/>
      <c r="P315" s="71"/>
      <c r="Q315" s="71"/>
      <c r="R315" s="71"/>
      <c r="S315" s="71"/>
      <c r="T315" s="105"/>
      <c r="U315" s="71"/>
      <c r="V315" s="71"/>
      <c r="W315" s="71"/>
      <c r="X315" s="71"/>
      <c r="Y315" s="71"/>
      <c r="Z315" s="71"/>
      <c r="AA315" s="71"/>
      <c r="AB315" s="71"/>
      <c r="AC315" s="71"/>
      <c r="AD315" s="71"/>
      <c r="AE315" s="71"/>
      <c r="AF315" s="71"/>
      <c r="AG315" s="71"/>
      <c r="AH315" s="71"/>
      <c r="AI315" s="71"/>
      <c r="AJ315" s="71"/>
      <c r="AK315" s="71"/>
    </row>
    <row r="316" spans="1:37" ht="12.75" customHeight="1" x14ac:dyDescent="0.2">
      <c r="A316" s="71"/>
      <c r="B316" s="71"/>
      <c r="C316" s="71"/>
      <c r="D316" s="71"/>
      <c r="E316" s="71"/>
      <c r="F316" s="71"/>
      <c r="G316" s="71"/>
      <c r="H316" s="71"/>
      <c r="I316" s="71"/>
      <c r="J316" s="71"/>
      <c r="K316" s="71"/>
      <c r="L316" s="71"/>
      <c r="M316" s="71"/>
      <c r="N316" s="71"/>
      <c r="O316" s="71"/>
      <c r="P316" s="71"/>
      <c r="Q316" s="71"/>
      <c r="R316" s="71"/>
      <c r="S316" s="71"/>
      <c r="T316" s="105"/>
      <c r="U316" s="71"/>
      <c r="V316" s="71"/>
      <c r="W316" s="71"/>
      <c r="X316" s="71"/>
      <c r="Y316" s="71"/>
      <c r="Z316" s="71"/>
      <c r="AA316" s="71"/>
      <c r="AB316" s="71"/>
      <c r="AC316" s="71"/>
      <c r="AD316" s="71"/>
      <c r="AE316" s="71"/>
      <c r="AF316" s="71"/>
      <c r="AG316" s="71"/>
      <c r="AH316" s="71"/>
      <c r="AI316" s="71"/>
      <c r="AJ316" s="71"/>
      <c r="AK316" s="71"/>
    </row>
    <row r="317" spans="1:37" ht="12.75" customHeight="1" x14ac:dyDescent="0.2">
      <c r="A317" s="71"/>
      <c r="B317" s="71"/>
      <c r="C317" s="71"/>
      <c r="D317" s="71"/>
      <c r="E317" s="71"/>
      <c r="F317" s="71"/>
      <c r="G317" s="71"/>
      <c r="H317" s="71"/>
      <c r="I317" s="71"/>
      <c r="J317" s="71"/>
      <c r="K317" s="71"/>
      <c r="L317" s="71"/>
      <c r="M317" s="71"/>
      <c r="N317" s="71"/>
      <c r="O317" s="71"/>
      <c r="P317" s="71"/>
      <c r="Q317" s="71"/>
      <c r="R317" s="71"/>
      <c r="S317" s="71"/>
      <c r="T317" s="105"/>
      <c r="U317" s="71"/>
      <c r="V317" s="71"/>
      <c r="W317" s="71"/>
      <c r="X317" s="71"/>
      <c r="Y317" s="71"/>
      <c r="Z317" s="71"/>
      <c r="AA317" s="71"/>
      <c r="AB317" s="71"/>
      <c r="AC317" s="71"/>
      <c r="AD317" s="71"/>
      <c r="AE317" s="71"/>
      <c r="AF317" s="71"/>
      <c r="AG317" s="71"/>
      <c r="AH317" s="71"/>
      <c r="AI317" s="71"/>
      <c r="AJ317" s="71"/>
      <c r="AK317" s="71"/>
    </row>
    <row r="318" spans="1:37" ht="12.75" customHeight="1" x14ac:dyDescent="0.2">
      <c r="A318" s="71"/>
      <c r="B318" s="71"/>
      <c r="C318" s="71"/>
      <c r="D318" s="71"/>
      <c r="E318" s="71"/>
      <c r="F318" s="71"/>
      <c r="G318" s="71"/>
      <c r="H318" s="71"/>
      <c r="I318" s="71"/>
      <c r="J318" s="71"/>
      <c r="K318" s="71"/>
      <c r="L318" s="71"/>
      <c r="M318" s="71"/>
      <c r="N318" s="71"/>
      <c r="O318" s="71"/>
      <c r="P318" s="71"/>
      <c r="Q318" s="71"/>
      <c r="R318" s="71"/>
      <c r="S318" s="71"/>
      <c r="T318" s="105"/>
      <c r="U318" s="71"/>
      <c r="V318" s="71"/>
      <c r="W318" s="71"/>
      <c r="X318" s="71"/>
      <c r="Y318" s="71"/>
      <c r="Z318" s="71"/>
      <c r="AA318" s="71"/>
      <c r="AB318" s="71"/>
      <c r="AC318" s="71"/>
      <c r="AD318" s="71"/>
      <c r="AE318" s="71"/>
      <c r="AF318" s="71"/>
      <c r="AG318" s="71"/>
      <c r="AH318" s="71"/>
      <c r="AI318" s="71"/>
      <c r="AJ318" s="71"/>
      <c r="AK318" s="71"/>
    </row>
    <row r="319" spans="1:37" ht="12.75" customHeight="1" x14ac:dyDescent="0.2">
      <c r="A319" s="71"/>
      <c r="B319" s="71"/>
      <c r="C319" s="71"/>
      <c r="D319" s="71"/>
      <c r="E319" s="71"/>
      <c r="F319" s="71"/>
      <c r="G319" s="71"/>
      <c r="H319" s="71"/>
      <c r="I319" s="71"/>
      <c r="J319" s="71"/>
      <c r="K319" s="71"/>
      <c r="L319" s="71"/>
      <c r="M319" s="71"/>
      <c r="N319" s="71"/>
      <c r="O319" s="71"/>
      <c r="P319" s="71"/>
      <c r="Q319" s="71"/>
      <c r="R319" s="71"/>
      <c r="S319" s="71"/>
      <c r="T319" s="105"/>
      <c r="U319" s="71"/>
      <c r="V319" s="71"/>
      <c r="W319" s="71"/>
      <c r="X319" s="71"/>
      <c r="Y319" s="71"/>
      <c r="Z319" s="71"/>
      <c r="AA319" s="71"/>
      <c r="AB319" s="71"/>
      <c r="AC319" s="71"/>
      <c r="AD319" s="71"/>
      <c r="AE319" s="71"/>
      <c r="AF319" s="71"/>
      <c r="AG319" s="71"/>
      <c r="AH319" s="71"/>
      <c r="AI319" s="71"/>
      <c r="AJ319" s="71"/>
      <c r="AK319" s="71"/>
    </row>
    <row r="320" spans="1:37" ht="12.75" customHeight="1" x14ac:dyDescent="0.2">
      <c r="A320" s="71"/>
      <c r="B320" s="71"/>
      <c r="C320" s="71"/>
      <c r="D320" s="71"/>
      <c r="E320" s="71"/>
      <c r="F320" s="71"/>
      <c r="G320" s="71"/>
      <c r="H320" s="71"/>
      <c r="I320" s="71"/>
      <c r="J320" s="71"/>
      <c r="K320" s="71"/>
      <c r="L320" s="71"/>
      <c r="M320" s="71"/>
      <c r="N320" s="71"/>
      <c r="O320" s="71"/>
      <c r="P320" s="71"/>
      <c r="Q320" s="71"/>
      <c r="R320" s="71"/>
      <c r="S320" s="71"/>
      <c r="T320" s="105"/>
      <c r="U320" s="71"/>
      <c r="V320" s="71"/>
      <c r="W320" s="71"/>
      <c r="X320" s="71"/>
      <c r="Y320" s="71"/>
      <c r="Z320" s="71"/>
      <c r="AA320" s="71"/>
      <c r="AB320" s="71"/>
      <c r="AC320" s="71"/>
      <c r="AD320" s="71"/>
      <c r="AE320" s="71"/>
      <c r="AF320" s="71"/>
      <c r="AG320" s="71"/>
      <c r="AH320" s="71"/>
      <c r="AI320" s="71"/>
      <c r="AJ320" s="71"/>
      <c r="AK320" s="71"/>
    </row>
    <row r="321" spans="1:37" ht="12.75" customHeight="1" x14ac:dyDescent="0.2">
      <c r="A321" s="71"/>
      <c r="B321" s="71"/>
      <c r="C321" s="71"/>
      <c r="D321" s="71"/>
      <c r="E321" s="71"/>
      <c r="F321" s="71"/>
      <c r="G321" s="71"/>
      <c r="H321" s="71"/>
      <c r="I321" s="71"/>
      <c r="J321" s="71"/>
      <c r="K321" s="71"/>
      <c r="L321" s="71"/>
      <c r="M321" s="71"/>
      <c r="N321" s="71"/>
      <c r="O321" s="71"/>
      <c r="P321" s="71"/>
      <c r="Q321" s="71"/>
      <c r="R321" s="71"/>
      <c r="S321" s="71"/>
      <c r="T321" s="105"/>
      <c r="U321" s="71"/>
      <c r="V321" s="71"/>
      <c r="W321" s="71"/>
      <c r="X321" s="71"/>
      <c r="Y321" s="71"/>
      <c r="Z321" s="71"/>
      <c r="AA321" s="71"/>
      <c r="AB321" s="71"/>
      <c r="AC321" s="71"/>
      <c r="AD321" s="71"/>
      <c r="AE321" s="71"/>
      <c r="AF321" s="71"/>
      <c r="AG321" s="71"/>
      <c r="AH321" s="71"/>
      <c r="AI321" s="71"/>
      <c r="AJ321" s="71"/>
      <c r="AK321" s="71"/>
    </row>
    <row r="322" spans="1:37" ht="12.75" customHeight="1" x14ac:dyDescent="0.2">
      <c r="A322" s="71"/>
      <c r="B322" s="71"/>
      <c r="C322" s="71"/>
      <c r="D322" s="71"/>
      <c r="E322" s="71"/>
      <c r="F322" s="71"/>
      <c r="G322" s="71"/>
      <c r="H322" s="71"/>
      <c r="I322" s="71"/>
      <c r="J322" s="71"/>
      <c r="K322" s="71"/>
      <c r="L322" s="71"/>
      <c r="M322" s="71"/>
      <c r="N322" s="71"/>
      <c r="O322" s="71"/>
      <c r="P322" s="71"/>
      <c r="Q322" s="71"/>
      <c r="R322" s="71"/>
      <c r="S322" s="71"/>
      <c r="T322" s="105"/>
      <c r="U322" s="71"/>
      <c r="V322" s="71"/>
      <c r="W322" s="71"/>
      <c r="X322" s="71"/>
      <c r="Y322" s="71"/>
      <c r="Z322" s="71"/>
      <c r="AA322" s="71"/>
      <c r="AB322" s="71"/>
      <c r="AC322" s="71"/>
      <c r="AD322" s="71"/>
      <c r="AE322" s="71"/>
      <c r="AF322" s="71"/>
      <c r="AG322" s="71"/>
      <c r="AH322" s="71"/>
      <c r="AI322" s="71"/>
      <c r="AJ322" s="71"/>
      <c r="AK322" s="71"/>
    </row>
    <row r="323" spans="1:37" ht="12.75" customHeight="1" x14ac:dyDescent="0.2">
      <c r="A323" s="71"/>
      <c r="B323" s="71"/>
      <c r="C323" s="71"/>
      <c r="D323" s="71"/>
      <c r="E323" s="71"/>
      <c r="F323" s="71"/>
      <c r="G323" s="71"/>
      <c r="H323" s="71"/>
      <c r="I323" s="71"/>
      <c r="J323" s="71"/>
      <c r="K323" s="71"/>
      <c r="L323" s="71"/>
      <c r="M323" s="71"/>
      <c r="N323" s="71"/>
      <c r="O323" s="71"/>
      <c r="P323" s="71"/>
      <c r="Q323" s="71"/>
      <c r="R323" s="71"/>
      <c r="S323" s="71"/>
      <c r="T323" s="105"/>
      <c r="U323" s="71"/>
      <c r="V323" s="71"/>
      <c r="W323" s="71"/>
      <c r="X323" s="71"/>
      <c r="Y323" s="71"/>
      <c r="Z323" s="71"/>
      <c r="AA323" s="71"/>
      <c r="AB323" s="71"/>
      <c r="AC323" s="71"/>
      <c r="AD323" s="71"/>
      <c r="AE323" s="71"/>
      <c r="AF323" s="71"/>
      <c r="AG323" s="71"/>
      <c r="AH323" s="71"/>
      <c r="AI323" s="71"/>
      <c r="AJ323" s="71"/>
      <c r="AK323" s="71"/>
    </row>
    <row r="324" spans="1:37" ht="12.75" customHeight="1" x14ac:dyDescent="0.2">
      <c r="A324" s="71"/>
      <c r="B324" s="71"/>
      <c r="C324" s="71"/>
      <c r="D324" s="71"/>
      <c r="E324" s="71"/>
      <c r="F324" s="71"/>
      <c r="G324" s="71"/>
      <c r="H324" s="71"/>
      <c r="I324" s="71"/>
      <c r="J324" s="71"/>
      <c r="K324" s="71"/>
      <c r="L324" s="71"/>
      <c r="M324" s="71"/>
      <c r="N324" s="71"/>
      <c r="O324" s="71"/>
      <c r="P324" s="71"/>
      <c r="Q324" s="71"/>
      <c r="R324" s="71"/>
      <c r="S324" s="71"/>
      <c r="T324" s="105"/>
      <c r="U324" s="71"/>
      <c r="V324" s="71"/>
      <c r="W324" s="71"/>
      <c r="X324" s="71"/>
      <c r="Y324" s="71"/>
      <c r="Z324" s="71"/>
      <c r="AA324" s="71"/>
      <c r="AB324" s="71"/>
      <c r="AC324" s="71"/>
      <c r="AD324" s="71"/>
      <c r="AE324" s="71"/>
      <c r="AF324" s="71"/>
      <c r="AG324" s="71"/>
      <c r="AH324" s="71"/>
      <c r="AI324" s="71"/>
      <c r="AJ324" s="71"/>
      <c r="AK324" s="71"/>
    </row>
    <row r="325" spans="1:37" ht="12.75" customHeight="1" x14ac:dyDescent="0.2">
      <c r="A325" s="71"/>
      <c r="B325" s="71"/>
      <c r="C325" s="71"/>
      <c r="D325" s="71"/>
      <c r="E325" s="71"/>
      <c r="F325" s="71"/>
      <c r="G325" s="71"/>
      <c r="H325" s="71"/>
      <c r="I325" s="71"/>
      <c r="J325" s="71"/>
      <c r="K325" s="71"/>
      <c r="L325" s="71"/>
      <c r="M325" s="71"/>
      <c r="N325" s="71"/>
      <c r="O325" s="71"/>
      <c r="P325" s="71"/>
      <c r="Q325" s="71"/>
      <c r="R325" s="71"/>
      <c r="S325" s="71"/>
      <c r="T325" s="105"/>
      <c r="U325" s="71"/>
      <c r="V325" s="71"/>
      <c r="W325" s="71"/>
      <c r="X325" s="71"/>
      <c r="Y325" s="71"/>
      <c r="Z325" s="71"/>
      <c r="AA325" s="71"/>
      <c r="AB325" s="71"/>
      <c r="AC325" s="71"/>
      <c r="AD325" s="71"/>
      <c r="AE325" s="71"/>
      <c r="AF325" s="71"/>
      <c r="AG325" s="71"/>
      <c r="AH325" s="71"/>
      <c r="AI325" s="71"/>
      <c r="AJ325" s="71"/>
      <c r="AK325" s="71"/>
    </row>
    <row r="326" spans="1:37" ht="12.75" customHeight="1" x14ac:dyDescent="0.2">
      <c r="A326" s="71"/>
      <c r="B326" s="71"/>
      <c r="C326" s="71"/>
      <c r="D326" s="71"/>
      <c r="E326" s="71"/>
      <c r="F326" s="71"/>
      <c r="G326" s="71"/>
      <c r="H326" s="71"/>
      <c r="I326" s="71"/>
      <c r="J326" s="71"/>
      <c r="K326" s="71"/>
      <c r="L326" s="71"/>
      <c r="M326" s="71"/>
      <c r="N326" s="71"/>
      <c r="O326" s="71"/>
      <c r="P326" s="71"/>
      <c r="Q326" s="71"/>
      <c r="R326" s="71"/>
      <c r="S326" s="71"/>
      <c r="T326" s="105"/>
      <c r="U326" s="71"/>
      <c r="V326" s="71"/>
      <c r="W326" s="71"/>
      <c r="X326" s="71"/>
      <c r="Y326" s="71"/>
      <c r="Z326" s="71"/>
      <c r="AA326" s="71"/>
      <c r="AB326" s="71"/>
      <c r="AC326" s="71"/>
      <c r="AD326" s="71"/>
      <c r="AE326" s="71"/>
      <c r="AF326" s="71"/>
      <c r="AG326" s="71"/>
      <c r="AH326" s="71"/>
      <c r="AI326" s="71"/>
      <c r="AJ326" s="71"/>
      <c r="AK326" s="71"/>
    </row>
    <row r="327" spans="1:37" ht="12.75" customHeight="1" x14ac:dyDescent="0.2">
      <c r="A327" s="71"/>
      <c r="B327" s="71"/>
      <c r="C327" s="71"/>
      <c r="D327" s="71"/>
      <c r="E327" s="71"/>
      <c r="F327" s="71"/>
      <c r="G327" s="71"/>
      <c r="H327" s="71"/>
      <c r="I327" s="71"/>
      <c r="J327" s="71"/>
      <c r="K327" s="71"/>
      <c r="L327" s="71"/>
      <c r="M327" s="71"/>
      <c r="N327" s="71"/>
      <c r="O327" s="71"/>
      <c r="P327" s="71"/>
      <c r="Q327" s="71"/>
      <c r="R327" s="71"/>
      <c r="S327" s="71"/>
      <c r="T327" s="105"/>
      <c r="U327" s="71"/>
      <c r="V327" s="71"/>
      <c r="W327" s="71"/>
      <c r="X327" s="71"/>
      <c r="Y327" s="71"/>
      <c r="Z327" s="71"/>
      <c r="AA327" s="71"/>
      <c r="AB327" s="71"/>
      <c r="AC327" s="71"/>
      <c r="AD327" s="71"/>
      <c r="AE327" s="71"/>
      <c r="AF327" s="71"/>
      <c r="AG327" s="71"/>
      <c r="AH327" s="71"/>
      <c r="AI327" s="71"/>
      <c r="AJ327" s="71"/>
      <c r="AK327" s="71"/>
    </row>
    <row r="328" spans="1:37" ht="12.75" customHeight="1" x14ac:dyDescent="0.2">
      <c r="A328" s="71"/>
      <c r="B328" s="71"/>
      <c r="C328" s="71"/>
      <c r="D328" s="71"/>
      <c r="E328" s="71"/>
      <c r="F328" s="71"/>
      <c r="G328" s="71"/>
      <c r="H328" s="71"/>
      <c r="I328" s="71"/>
      <c r="J328" s="71"/>
      <c r="K328" s="71"/>
      <c r="L328" s="71"/>
      <c r="M328" s="71"/>
      <c r="N328" s="71"/>
      <c r="O328" s="71"/>
      <c r="P328" s="71"/>
      <c r="Q328" s="71"/>
      <c r="R328" s="71"/>
      <c r="S328" s="71"/>
      <c r="T328" s="105"/>
      <c r="U328" s="71"/>
      <c r="V328" s="71"/>
      <c r="W328" s="71"/>
      <c r="X328" s="71"/>
      <c r="Y328" s="71"/>
      <c r="Z328" s="71"/>
      <c r="AA328" s="71"/>
      <c r="AB328" s="71"/>
      <c r="AC328" s="71"/>
      <c r="AD328" s="71"/>
      <c r="AE328" s="71"/>
      <c r="AF328" s="71"/>
      <c r="AG328" s="71"/>
      <c r="AH328" s="71"/>
      <c r="AI328" s="71"/>
      <c r="AJ328" s="71"/>
      <c r="AK328" s="71"/>
    </row>
    <row r="329" spans="1:37" ht="12.75" customHeight="1" x14ac:dyDescent="0.2">
      <c r="A329" s="71"/>
      <c r="B329" s="71"/>
      <c r="C329" s="71"/>
      <c r="D329" s="71"/>
      <c r="E329" s="71"/>
      <c r="F329" s="71"/>
      <c r="G329" s="71"/>
      <c r="H329" s="71"/>
      <c r="I329" s="71"/>
      <c r="J329" s="71"/>
      <c r="K329" s="71"/>
      <c r="L329" s="71"/>
      <c r="M329" s="71"/>
      <c r="N329" s="71"/>
      <c r="O329" s="71"/>
      <c r="P329" s="71"/>
      <c r="Q329" s="71"/>
      <c r="R329" s="71"/>
      <c r="S329" s="71"/>
      <c r="T329" s="105"/>
      <c r="U329" s="71"/>
      <c r="V329" s="71"/>
      <c r="W329" s="71"/>
      <c r="X329" s="71"/>
      <c r="Y329" s="71"/>
      <c r="Z329" s="71"/>
      <c r="AA329" s="71"/>
      <c r="AB329" s="71"/>
      <c r="AC329" s="71"/>
      <c r="AD329" s="71"/>
      <c r="AE329" s="71"/>
      <c r="AF329" s="71"/>
      <c r="AG329" s="71"/>
      <c r="AH329" s="71"/>
      <c r="AI329" s="71"/>
      <c r="AJ329" s="71"/>
      <c r="AK329" s="71"/>
    </row>
    <row r="330" spans="1:37" ht="12.75" customHeight="1" x14ac:dyDescent="0.2">
      <c r="A330" s="71"/>
      <c r="B330" s="71"/>
      <c r="C330" s="71"/>
      <c r="D330" s="71"/>
      <c r="E330" s="71"/>
      <c r="F330" s="71"/>
      <c r="G330" s="71"/>
      <c r="H330" s="71"/>
      <c r="I330" s="71"/>
      <c r="J330" s="71"/>
      <c r="K330" s="71"/>
      <c r="L330" s="71"/>
      <c r="M330" s="71"/>
      <c r="N330" s="71"/>
      <c r="O330" s="71"/>
      <c r="P330" s="71"/>
      <c r="Q330" s="71"/>
      <c r="R330" s="71"/>
      <c r="S330" s="71"/>
      <c r="T330" s="105"/>
      <c r="U330" s="71"/>
      <c r="V330" s="71"/>
      <c r="W330" s="71"/>
      <c r="X330" s="71"/>
      <c r="Y330" s="71"/>
      <c r="Z330" s="71"/>
      <c r="AA330" s="71"/>
      <c r="AB330" s="71"/>
      <c r="AC330" s="71"/>
      <c r="AD330" s="71"/>
      <c r="AE330" s="71"/>
      <c r="AF330" s="71"/>
      <c r="AG330" s="71"/>
      <c r="AH330" s="71"/>
      <c r="AI330" s="71"/>
      <c r="AJ330" s="71"/>
      <c r="AK330" s="71"/>
    </row>
    <row r="331" spans="1:37" ht="12.75" customHeight="1" x14ac:dyDescent="0.2">
      <c r="A331" s="71"/>
      <c r="B331" s="71"/>
      <c r="C331" s="71"/>
      <c r="D331" s="71"/>
      <c r="E331" s="71"/>
      <c r="F331" s="71"/>
      <c r="G331" s="71"/>
      <c r="H331" s="71"/>
      <c r="I331" s="71"/>
      <c r="J331" s="71"/>
      <c r="K331" s="71"/>
      <c r="L331" s="71"/>
      <c r="M331" s="71"/>
      <c r="N331" s="71"/>
      <c r="O331" s="71"/>
      <c r="P331" s="71"/>
      <c r="Q331" s="71"/>
      <c r="R331" s="71"/>
      <c r="S331" s="71"/>
      <c r="T331" s="105"/>
      <c r="U331" s="71"/>
      <c r="V331" s="71"/>
      <c r="W331" s="71"/>
      <c r="X331" s="71"/>
      <c r="Y331" s="71"/>
      <c r="Z331" s="71"/>
      <c r="AA331" s="71"/>
      <c r="AB331" s="71"/>
      <c r="AC331" s="71"/>
      <c r="AD331" s="71"/>
      <c r="AE331" s="71"/>
      <c r="AF331" s="71"/>
      <c r="AG331" s="71"/>
      <c r="AH331" s="71"/>
      <c r="AI331" s="71"/>
      <c r="AJ331" s="71"/>
      <c r="AK331" s="71"/>
    </row>
    <row r="332" spans="1:37" ht="12.75" customHeight="1" x14ac:dyDescent="0.2">
      <c r="A332" s="71"/>
      <c r="B332" s="71"/>
      <c r="C332" s="71"/>
      <c r="D332" s="71"/>
      <c r="E332" s="71"/>
      <c r="F332" s="71"/>
      <c r="G332" s="71"/>
      <c r="H332" s="71"/>
      <c r="I332" s="71"/>
      <c r="J332" s="71"/>
      <c r="K332" s="71"/>
      <c r="L332" s="71"/>
      <c r="M332" s="71"/>
      <c r="N332" s="71"/>
      <c r="O332" s="71"/>
      <c r="P332" s="71"/>
      <c r="Q332" s="71"/>
      <c r="R332" s="71"/>
      <c r="S332" s="71"/>
      <c r="T332" s="105"/>
      <c r="U332" s="71"/>
      <c r="V332" s="71"/>
      <c r="W332" s="71"/>
      <c r="X332" s="71"/>
      <c r="Y332" s="71"/>
      <c r="Z332" s="71"/>
      <c r="AA332" s="71"/>
      <c r="AB332" s="71"/>
      <c r="AC332" s="71"/>
      <c r="AD332" s="71"/>
      <c r="AE332" s="71"/>
      <c r="AF332" s="71"/>
      <c r="AG332" s="71"/>
      <c r="AH332" s="71"/>
      <c r="AI332" s="71"/>
      <c r="AJ332" s="71"/>
      <c r="AK332" s="71"/>
    </row>
    <row r="333" spans="1:37" ht="12.75" customHeight="1" x14ac:dyDescent="0.2">
      <c r="A333" s="71"/>
      <c r="B333" s="71"/>
      <c r="C333" s="71"/>
      <c r="D333" s="71"/>
      <c r="E333" s="71"/>
      <c r="F333" s="71"/>
      <c r="G333" s="71"/>
      <c r="H333" s="71"/>
      <c r="I333" s="71"/>
      <c r="J333" s="71"/>
      <c r="K333" s="71"/>
      <c r="L333" s="71"/>
      <c r="M333" s="71"/>
      <c r="N333" s="71"/>
      <c r="O333" s="71"/>
      <c r="P333" s="71"/>
      <c r="Q333" s="71"/>
      <c r="R333" s="71"/>
      <c r="S333" s="71"/>
      <c r="T333" s="105"/>
      <c r="U333" s="71"/>
      <c r="V333" s="71"/>
      <c r="W333" s="71"/>
      <c r="X333" s="71"/>
      <c r="Y333" s="71"/>
      <c r="Z333" s="71"/>
      <c r="AA333" s="71"/>
      <c r="AB333" s="71"/>
      <c r="AC333" s="71"/>
      <c r="AD333" s="71"/>
      <c r="AE333" s="71"/>
      <c r="AF333" s="71"/>
      <c r="AG333" s="71"/>
      <c r="AH333" s="71"/>
      <c r="AI333" s="71"/>
      <c r="AJ333" s="71"/>
      <c r="AK333" s="71"/>
    </row>
    <row r="334" spans="1:37" ht="12.75" customHeight="1" x14ac:dyDescent="0.2">
      <c r="A334" s="71"/>
      <c r="B334" s="71"/>
      <c r="C334" s="71"/>
      <c r="D334" s="71"/>
      <c r="E334" s="71"/>
      <c r="F334" s="71"/>
      <c r="G334" s="71"/>
      <c r="H334" s="71"/>
      <c r="I334" s="71"/>
      <c r="J334" s="71"/>
      <c r="K334" s="71"/>
      <c r="L334" s="71"/>
      <c r="M334" s="71"/>
      <c r="N334" s="71"/>
      <c r="O334" s="71"/>
      <c r="P334" s="71"/>
      <c r="Q334" s="71"/>
      <c r="R334" s="71"/>
      <c r="S334" s="71"/>
      <c r="T334" s="105"/>
      <c r="U334" s="71"/>
      <c r="V334" s="71"/>
      <c r="W334" s="71"/>
      <c r="X334" s="71"/>
      <c r="Y334" s="71"/>
      <c r="Z334" s="71"/>
      <c r="AA334" s="71"/>
      <c r="AB334" s="71"/>
      <c r="AC334" s="71"/>
      <c r="AD334" s="71"/>
      <c r="AE334" s="71"/>
      <c r="AF334" s="71"/>
      <c r="AG334" s="71"/>
      <c r="AH334" s="71"/>
      <c r="AI334" s="71"/>
      <c r="AJ334" s="71"/>
      <c r="AK334" s="71"/>
    </row>
    <row r="335" spans="1:37" ht="12.75" customHeight="1" x14ac:dyDescent="0.2">
      <c r="A335" s="71"/>
      <c r="B335" s="71"/>
      <c r="C335" s="71"/>
      <c r="D335" s="71"/>
      <c r="E335" s="71"/>
      <c r="F335" s="71"/>
      <c r="G335" s="71"/>
      <c r="H335" s="71"/>
      <c r="I335" s="71"/>
      <c r="J335" s="71"/>
      <c r="K335" s="71"/>
      <c r="L335" s="71"/>
      <c r="M335" s="71"/>
      <c r="N335" s="71"/>
      <c r="O335" s="71"/>
      <c r="P335" s="71"/>
      <c r="Q335" s="71"/>
      <c r="R335" s="71"/>
      <c r="S335" s="71"/>
      <c r="T335" s="105"/>
      <c r="U335" s="71"/>
      <c r="V335" s="71"/>
      <c r="W335" s="71"/>
      <c r="X335" s="71"/>
      <c r="Y335" s="71"/>
      <c r="Z335" s="71"/>
      <c r="AA335" s="71"/>
      <c r="AB335" s="71"/>
      <c r="AC335" s="71"/>
      <c r="AD335" s="71"/>
      <c r="AE335" s="71"/>
      <c r="AF335" s="71"/>
      <c r="AG335" s="71"/>
      <c r="AH335" s="71"/>
      <c r="AI335" s="71"/>
      <c r="AJ335" s="71"/>
      <c r="AK335" s="71"/>
    </row>
    <row r="336" spans="1:37" ht="12.75" customHeight="1" x14ac:dyDescent="0.2">
      <c r="A336" s="71"/>
      <c r="B336" s="71"/>
      <c r="C336" s="71"/>
      <c r="D336" s="71"/>
      <c r="E336" s="71"/>
      <c r="F336" s="71"/>
      <c r="G336" s="71"/>
      <c r="H336" s="71"/>
      <c r="I336" s="71"/>
      <c r="J336" s="71"/>
      <c r="K336" s="71"/>
      <c r="L336" s="71"/>
      <c r="M336" s="71"/>
      <c r="N336" s="71"/>
      <c r="O336" s="71"/>
      <c r="P336" s="71"/>
      <c r="Q336" s="71"/>
      <c r="R336" s="71"/>
      <c r="S336" s="71"/>
      <c r="T336" s="105"/>
      <c r="U336" s="71"/>
      <c r="V336" s="71"/>
      <c r="W336" s="71"/>
      <c r="X336" s="71"/>
      <c r="Y336" s="71"/>
      <c r="Z336" s="71"/>
      <c r="AA336" s="71"/>
      <c r="AB336" s="71"/>
      <c r="AC336" s="71"/>
      <c r="AD336" s="71"/>
      <c r="AE336" s="71"/>
      <c r="AF336" s="71"/>
      <c r="AG336" s="71"/>
      <c r="AH336" s="71"/>
      <c r="AI336" s="71"/>
      <c r="AJ336" s="71"/>
      <c r="AK336" s="71"/>
    </row>
    <row r="337" spans="1:37" ht="12.75" customHeight="1" x14ac:dyDescent="0.2">
      <c r="A337" s="71"/>
      <c r="B337" s="71"/>
      <c r="C337" s="71"/>
      <c r="D337" s="71"/>
      <c r="E337" s="71"/>
      <c r="F337" s="71"/>
      <c r="G337" s="71"/>
      <c r="H337" s="71"/>
      <c r="I337" s="71"/>
      <c r="J337" s="71"/>
      <c r="K337" s="71"/>
      <c r="L337" s="71"/>
      <c r="M337" s="71"/>
      <c r="N337" s="71"/>
      <c r="O337" s="71"/>
      <c r="P337" s="71"/>
      <c r="Q337" s="71"/>
      <c r="R337" s="71"/>
      <c r="S337" s="71"/>
      <c r="T337" s="105"/>
      <c r="U337" s="71"/>
      <c r="V337" s="71"/>
      <c r="W337" s="71"/>
      <c r="X337" s="71"/>
      <c r="Y337" s="71"/>
      <c r="Z337" s="71"/>
      <c r="AA337" s="71"/>
      <c r="AB337" s="71"/>
      <c r="AC337" s="71"/>
      <c r="AD337" s="71"/>
      <c r="AE337" s="71"/>
      <c r="AF337" s="71"/>
      <c r="AG337" s="71"/>
      <c r="AH337" s="71"/>
      <c r="AI337" s="71"/>
      <c r="AJ337" s="71"/>
      <c r="AK337" s="71"/>
    </row>
    <row r="338" spans="1:37" ht="12.75" customHeight="1" x14ac:dyDescent="0.2">
      <c r="A338" s="71"/>
      <c r="B338" s="71"/>
      <c r="C338" s="71"/>
      <c r="D338" s="71"/>
      <c r="E338" s="71"/>
      <c r="F338" s="71"/>
      <c r="G338" s="71"/>
      <c r="H338" s="71"/>
      <c r="I338" s="71"/>
      <c r="J338" s="71"/>
      <c r="K338" s="71"/>
      <c r="L338" s="71"/>
      <c r="M338" s="71"/>
      <c r="N338" s="71"/>
      <c r="O338" s="71"/>
      <c r="P338" s="71"/>
      <c r="Q338" s="71"/>
      <c r="R338" s="71"/>
      <c r="S338" s="71"/>
      <c r="T338" s="105"/>
      <c r="U338" s="71"/>
      <c r="V338" s="71"/>
      <c r="W338" s="71"/>
      <c r="X338" s="71"/>
      <c r="Y338" s="71"/>
      <c r="Z338" s="71"/>
      <c r="AA338" s="71"/>
      <c r="AB338" s="71"/>
      <c r="AC338" s="71"/>
      <c r="AD338" s="71"/>
      <c r="AE338" s="71"/>
      <c r="AF338" s="71"/>
      <c r="AG338" s="71"/>
      <c r="AH338" s="71"/>
      <c r="AI338" s="71"/>
      <c r="AJ338" s="71"/>
      <c r="AK338" s="71"/>
    </row>
    <row r="339" spans="1:37" ht="12.75" customHeight="1" x14ac:dyDescent="0.2">
      <c r="A339" s="71"/>
      <c r="B339" s="71"/>
      <c r="C339" s="71"/>
      <c r="D339" s="71"/>
      <c r="E339" s="71"/>
      <c r="F339" s="71"/>
      <c r="G339" s="71"/>
      <c r="H339" s="71"/>
      <c r="I339" s="71"/>
      <c r="J339" s="71"/>
      <c r="K339" s="71"/>
      <c r="L339" s="71"/>
      <c r="M339" s="71"/>
      <c r="N339" s="71"/>
      <c r="O339" s="71"/>
      <c r="P339" s="71"/>
      <c r="Q339" s="71"/>
      <c r="R339" s="71"/>
      <c r="S339" s="71"/>
      <c r="T339" s="105"/>
      <c r="U339" s="71"/>
      <c r="V339" s="71"/>
      <c r="W339" s="71"/>
      <c r="X339" s="71"/>
      <c r="Y339" s="71"/>
      <c r="Z339" s="71"/>
      <c r="AA339" s="71"/>
      <c r="AB339" s="71"/>
      <c r="AC339" s="71"/>
      <c r="AD339" s="71"/>
      <c r="AE339" s="71"/>
      <c r="AF339" s="71"/>
      <c r="AG339" s="71"/>
      <c r="AH339" s="71"/>
      <c r="AI339" s="71"/>
      <c r="AJ339" s="71"/>
      <c r="AK339" s="71"/>
    </row>
    <row r="340" spans="1:37" ht="12.75" customHeight="1" x14ac:dyDescent="0.2">
      <c r="A340" s="71"/>
      <c r="B340" s="71"/>
      <c r="C340" s="71"/>
      <c r="D340" s="71"/>
      <c r="E340" s="71"/>
      <c r="F340" s="71"/>
      <c r="G340" s="71"/>
      <c r="H340" s="71"/>
      <c r="I340" s="71"/>
      <c r="J340" s="71"/>
      <c r="K340" s="71"/>
      <c r="L340" s="71"/>
      <c r="M340" s="71"/>
      <c r="N340" s="71"/>
      <c r="O340" s="71"/>
      <c r="P340" s="71"/>
      <c r="Q340" s="71"/>
      <c r="R340" s="71"/>
      <c r="S340" s="71"/>
      <c r="T340" s="105"/>
      <c r="U340" s="71"/>
      <c r="V340" s="71"/>
      <c r="W340" s="71"/>
      <c r="X340" s="71"/>
      <c r="Y340" s="71"/>
      <c r="Z340" s="71"/>
      <c r="AA340" s="71"/>
      <c r="AB340" s="71"/>
      <c r="AC340" s="71"/>
      <c r="AD340" s="71"/>
      <c r="AE340" s="71"/>
      <c r="AF340" s="71"/>
      <c r="AG340" s="71"/>
      <c r="AH340" s="71"/>
      <c r="AI340" s="71"/>
      <c r="AJ340" s="71"/>
      <c r="AK340" s="71"/>
    </row>
    <row r="341" spans="1:37" ht="12.75" customHeight="1" x14ac:dyDescent="0.2">
      <c r="A341" s="71"/>
      <c r="B341" s="71"/>
      <c r="C341" s="71"/>
      <c r="D341" s="71"/>
      <c r="E341" s="71"/>
      <c r="F341" s="71"/>
      <c r="G341" s="71"/>
      <c r="H341" s="71"/>
      <c r="I341" s="71"/>
      <c r="J341" s="71"/>
      <c r="K341" s="71"/>
      <c r="L341" s="71"/>
      <c r="M341" s="71"/>
      <c r="N341" s="71"/>
      <c r="O341" s="71"/>
      <c r="P341" s="71"/>
      <c r="Q341" s="71"/>
      <c r="R341" s="71"/>
      <c r="S341" s="71"/>
      <c r="T341" s="105"/>
      <c r="U341" s="71"/>
      <c r="V341" s="71"/>
      <c r="W341" s="71"/>
      <c r="X341" s="71"/>
      <c r="Y341" s="71"/>
      <c r="Z341" s="71"/>
      <c r="AA341" s="71"/>
      <c r="AB341" s="71"/>
      <c r="AC341" s="71"/>
      <c r="AD341" s="71"/>
      <c r="AE341" s="71"/>
      <c r="AF341" s="71"/>
      <c r="AG341" s="71"/>
      <c r="AH341" s="71"/>
      <c r="AI341" s="71"/>
      <c r="AJ341" s="71"/>
      <c r="AK341" s="71"/>
    </row>
    <row r="342" spans="1:37" ht="12.75" customHeight="1" x14ac:dyDescent="0.2">
      <c r="A342" s="71"/>
      <c r="B342" s="71"/>
      <c r="C342" s="71"/>
      <c r="D342" s="71"/>
      <c r="E342" s="71"/>
      <c r="F342" s="71"/>
      <c r="G342" s="71"/>
      <c r="H342" s="71"/>
      <c r="I342" s="71"/>
      <c r="J342" s="71"/>
      <c r="K342" s="71"/>
      <c r="L342" s="71"/>
      <c r="M342" s="71"/>
      <c r="N342" s="71"/>
      <c r="O342" s="71"/>
      <c r="P342" s="71"/>
      <c r="Q342" s="71"/>
      <c r="R342" s="71"/>
      <c r="S342" s="71"/>
      <c r="T342" s="105"/>
      <c r="U342" s="71"/>
      <c r="V342" s="71"/>
      <c r="W342" s="71"/>
      <c r="X342" s="71"/>
      <c r="Y342" s="71"/>
      <c r="Z342" s="71"/>
      <c r="AA342" s="71"/>
      <c r="AB342" s="71"/>
      <c r="AC342" s="71"/>
      <c r="AD342" s="71"/>
      <c r="AE342" s="71"/>
      <c r="AF342" s="71"/>
      <c r="AG342" s="71"/>
      <c r="AH342" s="71"/>
      <c r="AI342" s="71"/>
      <c r="AJ342" s="71"/>
      <c r="AK342" s="71"/>
    </row>
    <row r="343" spans="1:37" ht="12.75" customHeight="1" x14ac:dyDescent="0.2">
      <c r="A343" s="71"/>
      <c r="B343" s="71"/>
      <c r="C343" s="71"/>
      <c r="D343" s="71"/>
      <c r="E343" s="71"/>
      <c r="F343" s="71"/>
      <c r="G343" s="71"/>
      <c r="H343" s="71"/>
      <c r="I343" s="71"/>
      <c r="J343" s="71"/>
      <c r="K343" s="71"/>
      <c r="L343" s="71"/>
      <c r="M343" s="71"/>
      <c r="N343" s="71"/>
      <c r="O343" s="71"/>
      <c r="P343" s="71"/>
      <c r="Q343" s="71"/>
      <c r="R343" s="71"/>
      <c r="S343" s="71"/>
      <c r="T343" s="105"/>
      <c r="U343" s="71"/>
      <c r="V343" s="71"/>
      <c r="W343" s="71"/>
      <c r="X343" s="71"/>
      <c r="Y343" s="71"/>
      <c r="Z343" s="71"/>
      <c r="AA343" s="71"/>
      <c r="AB343" s="71"/>
      <c r="AC343" s="71"/>
      <c r="AD343" s="71"/>
      <c r="AE343" s="71"/>
      <c r="AF343" s="71"/>
      <c r="AG343" s="71"/>
      <c r="AH343" s="71"/>
      <c r="AI343" s="71"/>
      <c r="AJ343" s="71"/>
      <c r="AK343" s="71"/>
    </row>
    <row r="344" spans="1:37" ht="12.75" customHeight="1" x14ac:dyDescent="0.2">
      <c r="A344" s="71"/>
      <c r="B344" s="71"/>
      <c r="C344" s="71"/>
      <c r="D344" s="71"/>
      <c r="E344" s="71"/>
      <c r="F344" s="71"/>
      <c r="G344" s="71"/>
      <c r="H344" s="71"/>
      <c r="I344" s="71"/>
      <c r="J344" s="71"/>
      <c r="K344" s="71"/>
      <c r="L344" s="71"/>
      <c r="M344" s="71"/>
      <c r="N344" s="71"/>
      <c r="O344" s="71"/>
      <c r="P344" s="71"/>
      <c r="Q344" s="71"/>
      <c r="R344" s="71"/>
      <c r="S344" s="71"/>
      <c r="T344" s="105"/>
      <c r="U344" s="71"/>
      <c r="V344" s="71"/>
      <c r="W344" s="71"/>
      <c r="X344" s="71"/>
      <c r="Y344" s="71"/>
      <c r="Z344" s="71"/>
      <c r="AA344" s="71"/>
      <c r="AB344" s="71"/>
      <c r="AC344" s="71"/>
      <c r="AD344" s="71"/>
      <c r="AE344" s="71"/>
      <c r="AF344" s="71"/>
      <c r="AG344" s="71"/>
      <c r="AH344" s="71"/>
      <c r="AI344" s="71"/>
      <c r="AJ344" s="71"/>
      <c r="AK344" s="71"/>
    </row>
    <row r="345" spans="1:37" ht="12.75" customHeight="1" x14ac:dyDescent="0.2">
      <c r="A345" s="71"/>
      <c r="B345" s="71"/>
      <c r="C345" s="71"/>
      <c r="D345" s="71"/>
      <c r="E345" s="71"/>
      <c r="F345" s="71"/>
      <c r="G345" s="71"/>
      <c r="H345" s="71"/>
      <c r="I345" s="71"/>
      <c r="J345" s="71"/>
      <c r="K345" s="71"/>
      <c r="L345" s="71"/>
      <c r="M345" s="71"/>
      <c r="N345" s="71"/>
      <c r="O345" s="71"/>
      <c r="P345" s="71"/>
      <c r="Q345" s="71"/>
      <c r="R345" s="71"/>
      <c r="S345" s="71"/>
      <c r="T345" s="105"/>
      <c r="U345" s="71"/>
      <c r="V345" s="71"/>
      <c r="W345" s="71"/>
      <c r="X345" s="71"/>
      <c r="Y345" s="71"/>
      <c r="Z345" s="71"/>
      <c r="AA345" s="71"/>
      <c r="AB345" s="71"/>
      <c r="AC345" s="71"/>
      <c r="AD345" s="71"/>
      <c r="AE345" s="71"/>
      <c r="AF345" s="71"/>
      <c r="AG345" s="71"/>
      <c r="AH345" s="71"/>
      <c r="AI345" s="71"/>
      <c r="AJ345" s="71"/>
      <c r="AK345" s="71"/>
    </row>
    <row r="346" spans="1:37" ht="12.75" customHeight="1" x14ac:dyDescent="0.2">
      <c r="A346" s="71"/>
      <c r="B346" s="71"/>
      <c r="C346" s="71"/>
      <c r="D346" s="71"/>
      <c r="E346" s="71"/>
      <c r="F346" s="71"/>
      <c r="G346" s="71"/>
      <c r="H346" s="71"/>
      <c r="I346" s="71"/>
      <c r="J346" s="71"/>
      <c r="K346" s="71"/>
      <c r="L346" s="71"/>
      <c r="M346" s="71"/>
      <c r="N346" s="71"/>
      <c r="O346" s="71"/>
      <c r="P346" s="71"/>
      <c r="Q346" s="71"/>
      <c r="R346" s="71"/>
      <c r="S346" s="71"/>
      <c r="T346" s="105"/>
      <c r="U346" s="71"/>
      <c r="V346" s="71"/>
      <c r="W346" s="71"/>
      <c r="X346" s="71"/>
      <c r="Y346" s="71"/>
      <c r="Z346" s="71"/>
      <c r="AA346" s="71"/>
      <c r="AB346" s="71"/>
      <c r="AC346" s="71"/>
      <c r="AD346" s="71"/>
      <c r="AE346" s="71"/>
      <c r="AF346" s="71"/>
      <c r="AG346" s="71"/>
      <c r="AH346" s="71"/>
      <c r="AI346" s="71"/>
      <c r="AJ346" s="71"/>
      <c r="AK346" s="71"/>
    </row>
    <row r="347" spans="1:37" ht="12.75" customHeight="1" x14ac:dyDescent="0.2">
      <c r="A347" s="71"/>
      <c r="B347" s="71"/>
      <c r="C347" s="71"/>
      <c r="D347" s="71"/>
      <c r="E347" s="71"/>
      <c r="F347" s="71"/>
      <c r="G347" s="71"/>
      <c r="H347" s="71"/>
      <c r="I347" s="71"/>
      <c r="J347" s="71"/>
      <c r="K347" s="71"/>
      <c r="L347" s="71"/>
      <c r="M347" s="71"/>
      <c r="N347" s="71"/>
      <c r="O347" s="71"/>
      <c r="P347" s="71"/>
      <c r="Q347" s="71"/>
      <c r="R347" s="71"/>
      <c r="S347" s="71"/>
      <c r="T347" s="105"/>
      <c r="U347" s="71"/>
      <c r="V347" s="71"/>
      <c r="W347" s="71"/>
      <c r="X347" s="71"/>
      <c r="Y347" s="71"/>
      <c r="Z347" s="71"/>
      <c r="AA347" s="71"/>
      <c r="AB347" s="71"/>
      <c r="AC347" s="71"/>
      <c r="AD347" s="71"/>
      <c r="AE347" s="71"/>
      <c r="AF347" s="71"/>
      <c r="AG347" s="71"/>
      <c r="AH347" s="71"/>
      <c r="AI347" s="71"/>
      <c r="AJ347" s="71"/>
      <c r="AK347" s="71"/>
    </row>
    <row r="348" spans="1:37" ht="12.75" customHeight="1" x14ac:dyDescent="0.2">
      <c r="A348" s="71"/>
      <c r="B348" s="71"/>
      <c r="C348" s="71"/>
      <c r="D348" s="71"/>
      <c r="E348" s="71"/>
      <c r="F348" s="71"/>
      <c r="G348" s="71"/>
      <c r="H348" s="71"/>
      <c r="I348" s="71"/>
      <c r="J348" s="71"/>
      <c r="K348" s="71"/>
      <c r="L348" s="71"/>
      <c r="M348" s="71"/>
      <c r="N348" s="71"/>
      <c r="O348" s="71"/>
      <c r="P348" s="71"/>
      <c r="Q348" s="71"/>
      <c r="R348" s="71"/>
      <c r="S348" s="71"/>
      <c r="T348" s="105"/>
      <c r="U348" s="71"/>
      <c r="V348" s="71"/>
      <c r="W348" s="71"/>
      <c r="X348" s="71"/>
      <c r="Y348" s="71"/>
      <c r="Z348" s="71"/>
      <c r="AA348" s="71"/>
      <c r="AB348" s="71"/>
      <c r="AC348" s="71"/>
      <c r="AD348" s="71"/>
      <c r="AE348" s="71"/>
      <c r="AF348" s="71"/>
      <c r="AG348" s="71"/>
      <c r="AH348" s="71"/>
      <c r="AI348" s="71"/>
      <c r="AJ348" s="71"/>
      <c r="AK348" s="71"/>
    </row>
    <row r="349" spans="1:37" ht="12.75" customHeight="1" x14ac:dyDescent="0.2">
      <c r="A349" s="71"/>
      <c r="B349" s="71"/>
      <c r="C349" s="71"/>
      <c r="D349" s="71"/>
      <c r="E349" s="71"/>
      <c r="F349" s="71"/>
      <c r="G349" s="71"/>
      <c r="H349" s="71"/>
      <c r="I349" s="71"/>
      <c r="J349" s="71"/>
      <c r="K349" s="71"/>
      <c r="L349" s="71"/>
      <c r="M349" s="71"/>
      <c r="N349" s="71"/>
      <c r="O349" s="71"/>
      <c r="P349" s="71"/>
      <c r="Q349" s="71"/>
      <c r="R349" s="71"/>
      <c r="S349" s="71"/>
      <c r="T349" s="105"/>
      <c r="U349" s="71"/>
      <c r="V349" s="71"/>
      <c r="W349" s="71"/>
      <c r="X349" s="71"/>
      <c r="Y349" s="71"/>
      <c r="Z349" s="71"/>
      <c r="AA349" s="71"/>
      <c r="AB349" s="71"/>
      <c r="AC349" s="71"/>
      <c r="AD349" s="71"/>
      <c r="AE349" s="71"/>
      <c r="AF349" s="71"/>
      <c r="AG349" s="71"/>
      <c r="AH349" s="71"/>
      <c r="AI349" s="71"/>
      <c r="AJ349" s="71"/>
      <c r="AK349" s="71"/>
    </row>
    <row r="350" spans="1:37" ht="12.75" customHeight="1" x14ac:dyDescent="0.2">
      <c r="A350" s="71"/>
      <c r="B350" s="71"/>
      <c r="C350" s="71"/>
      <c r="D350" s="71"/>
      <c r="E350" s="71"/>
      <c r="F350" s="71"/>
      <c r="G350" s="71"/>
      <c r="H350" s="71"/>
      <c r="I350" s="71"/>
      <c r="J350" s="71"/>
      <c r="K350" s="71"/>
      <c r="L350" s="71"/>
      <c r="M350" s="71"/>
      <c r="N350" s="71"/>
      <c r="O350" s="71"/>
      <c r="P350" s="71"/>
      <c r="Q350" s="71"/>
      <c r="R350" s="71"/>
      <c r="S350" s="71"/>
      <c r="T350" s="105"/>
      <c r="U350" s="71"/>
      <c r="V350" s="71"/>
      <c r="W350" s="71"/>
      <c r="X350" s="71"/>
      <c r="Y350" s="71"/>
      <c r="Z350" s="71"/>
      <c r="AA350" s="71"/>
      <c r="AB350" s="71"/>
      <c r="AC350" s="71"/>
      <c r="AD350" s="71"/>
      <c r="AE350" s="71"/>
      <c r="AF350" s="71"/>
      <c r="AG350" s="71"/>
      <c r="AH350" s="71"/>
      <c r="AI350" s="71"/>
      <c r="AJ350" s="71"/>
      <c r="AK350" s="71"/>
    </row>
    <row r="351" spans="1:37" ht="12.75" customHeight="1" x14ac:dyDescent="0.2">
      <c r="A351" s="71"/>
      <c r="B351" s="71"/>
      <c r="C351" s="71"/>
      <c r="D351" s="71"/>
      <c r="E351" s="71"/>
      <c r="F351" s="71"/>
      <c r="G351" s="71"/>
      <c r="H351" s="71"/>
      <c r="I351" s="71"/>
      <c r="J351" s="71"/>
      <c r="K351" s="71"/>
      <c r="L351" s="71"/>
      <c r="M351" s="71"/>
      <c r="N351" s="71"/>
      <c r="O351" s="71"/>
      <c r="P351" s="71"/>
      <c r="Q351" s="71"/>
      <c r="R351" s="71"/>
      <c r="S351" s="71"/>
      <c r="T351" s="105"/>
      <c r="U351" s="71"/>
      <c r="V351" s="71"/>
      <c r="W351" s="71"/>
      <c r="X351" s="71"/>
      <c r="Y351" s="71"/>
      <c r="Z351" s="71"/>
      <c r="AA351" s="71"/>
      <c r="AB351" s="71"/>
      <c r="AC351" s="71"/>
      <c r="AD351" s="71"/>
      <c r="AE351" s="71"/>
      <c r="AF351" s="71"/>
      <c r="AG351" s="71"/>
      <c r="AH351" s="71"/>
      <c r="AI351" s="71"/>
      <c r="AJ351" s="71"/>
      <c r="AK351" s="71"/>
    </row>
    <row r="352" spans="1:37" ht="12.75" customHeight="1" x14ac:dyDescent="0.2">
      <c r="A352" s="71"/>
      <c r="B352" s="71"/>
      <c r="C352" s="71"/>
      <c r="D352" s="71"/>
      <c r="E352" s="71"/>
      <c r="F352" s="71"/>
      <c r="G352" s="71"/>
      <c r="H352" s="71"/>
      <c r="I352" s="71"/>
      <c r="J352" s="71"/>
      <c r="K352" s="71"/>
      <c r="L352" s="71"/>
      <c r="M352" s="71"/>
      <c r="N352" s="71"/>
      <c r="O352" s="71"/>
      <c r="P352" s="71"/>
      <c r="Q352" s="71"/>
      <c r="R352" s="71"/>
      <c r="S352" s="71"/>
      <c r="T352" s="105"/>
      <c r="U352" s="71"/>
      <c r="V352" s="71"/>
      <c r="W352" s="71"/>
      <c r="X352" s="71"/>
      <c r="Y352" s="71"/>
      <c r="Z352" s="71"/>
      <c r="AA352" s="71"/>
      <c r="AB352" s="71"/>
      <c r="AC352" s="71"/>
      <c r="AD352" s="71"/>
      <c r="AE352" s="71"/>
      <c r="AF352" s="71"/>
      <c r="AG352" s="71"/>
      <c r="AH352" s="71"/>
      <c r="AI352" s="71"/>
      <c r="AJ352" s="71"/>
      <c r="AK352" s="71"/>
    </row>
    <row r="353" spans="1:37" ht="12.75" customHeight="1" x14ac:dyDescent="0.2">
      <c r="A353" s="71"/>
      <c r="B353" s="71"/>
      <c r="C353" s="71"/>
      <c r="D353" s="71"/>
      <c r="E353" s="71"/>
      <c r="F353" s="71"/>
      <c r="G353" s="71"/>
      <c r="H353" s="71"/>
      <c r="I353" s="71"/>
      <c r="J353" s="71"/>
      <c r="K353" s="71"/>
      <c r="L353" s="71"/>
      <c r="M353" s="71"/>
      <c r="N353" s="71"/>
      <c r="O353" s="71"/>
      <c r="P353" s="71"/>
      <c r="Q353" s="71"/>
      <c r="R353" s="71"/>
      <c r="S353" s="71"/>
      <c r="T353" s="105"/>
      <c r="U353" s="71"/>
      <c r="V353" s="71"/>
      <c r="W353" s="71"/>
      <c r="X353" s="71"/>
      <c r="Y353" s="71"/>
      <c r="Z353" s="71"/>
      <c r="AA353" s="71"/>
      <c r="AB353" s="71"/>
      <c r="AC353" s="71"/>
      <c r="AD353" s="71"/>
      <c r="AE353" s="71"/>
      <c r="AF353" s="71"/>
      <c r="AG353" s="71"/>
      <c r="AH353" s="71"/>
      <c r="AI353" s="71"/>
      <c r="AJ353" s="71"/>
      <c r="AK353" s="71"/>
    </row>
    <row r="354" spans="1:37" ht="12.75" customHeight="1" x14ac:dyDescent="0.2">
      <c r="A354" s="71"/>
      <c r="B354" s="71"/>
      <c r="C354" s="71"/>
      <c r="D354" s="71"/>
      <c r="E354" s="71"/>
      <c r="F354" s="71"/>
      <c r="G354" s="71"/>
      <c r="H354" s="71"/>
      <c r="I354" s="71"/>
      <c r="J354" s="71"/>
      <c r="K354" s="71"/>
      <c r="L354" s="71"/>
      <c r="M354" s="71"/>
      <c r="N354" s="71"/>
      <c r="O354" s="71"/>
      <c r="P354" s="71"/>
      <c r="Q354" s="71"/>
      <c r="R354" s="71"/>
      <c r="S354" s="71"/>
      <c r="T354" s="105"/>
      <c r="U354" s="71"/>
      <c r="V354" s="71"/>
      <c r="W354" s="71"/>
      <c r="X354" s="71"/>
      <c r="Y354" s="71"/>
      <c r="Z354" s="71"/>
      <c r="AA354" s="71"/>
      <c r="AB354" s="71"/>
      <c r="AC354" s="71"/>
      <c r="AD354" s="71"/>
      <c r="AE354" s="71"/>
      <c r="AF354" s="71"/>
      <c r="AG354" s="71"/>
      <c r="AH354" s="71"/>
      <c r="AI354" s="71"/>
      <c r="AJ354" s="71"/>
      <c r="AK354" s="71"/>
    </row>
    <row r="355" spans="1:37" ht="12.75" customHeight="1" x14ac:dyDescent="0.2">
      <c r="A355" s="71"/>
      <c r="B355" s="71"/>
      <c r="C355" s="71"/>
      <c r="D355" s="71"/>
      <c r="E355" s="71"/>
      <c r="F355" s="71"/>
      <c r="G355" s="71"/>
      <c r="H355" s="71"/>
      <c r="I355" s="71"/>
      <c r="J355" s="71"/>
      <c r="K355" s="71"/>
      <c r="L355" s="71"/>
      <c r="M355" s="71"/>
      <c r="N355" s="71"/>
      <c r="O355" s="71"/>
      <c r="P355" s="71"/>
      <c r="Q355" s="71"/>
      <c r="R355" s="71"/>
      <c r="S355" s="71"/>
      <c r="T355" s="105"/>
      <c r="U355" s="71"/>
      <c r="V355" s="71"/>
      <c r="W355" s="71"/>
      <c r="X355" s="71"/>
      <c r="Y355" s="71"/>
      <c r="Z355" s="71"/>
      <c r="AA355" s="71"/>
      <c r="AB355" s="71"/>
      <c r="AC355" s="71"/>
      <c r="AD355" s="71"/>
      <c r="AE355" s="71"/>
      <c r="AF355" s="71"/>
      <c r="AG355" s="71"/>
      <c r="AH355" s="71"/>
      <c r="AI355" s="71"/>
      <c r="AJ355" s="71"/>
      <c r="AK355" s="71"/>
    </row>
    <row r="356" spans="1:37" ht="12.75" customHeight="1" x14ac:dyDescent="0.2">
      <c r="A356" s="71"/>
      <c r="B356" s="71"/>
      <c r="C356" s="71"/>
      <c r="D356" s="71"/>
      <c r="E356" s="71"/>
      <c r="F356" s="71"/>
      <c r="G356" s="71"/>
      <c r="H356" s="71"/>
      <c r="I356" s="71"/>
      <c r="J356" s="71"/>
      <c r="K356" s="71"/>
      <c r="L356" s="71"/>
      <c r="M356" s="71"/>
      <c r="N356" s="71"/>
      <c r="O356" s="71"/>
      <c r="P356" s="71"/>
      <c r="Q356" s="71"/>
      <c r="R356" s="71"/>
      <c r="S356" s="71"/>
      <c r="T356" s="105"/>
      <c r="U356" s="71"/>
      <c r="V356" s="71"/>
      <c r="W356" s="71"/>
      <c r="X356" s="71"/>
      <c r="Y356" s="71"/>
      <c r="Z356" s="71"/>
      <c r="AA356" s="71"/>
      <c r="AB356" s="71"/>
      <c r="AC356" s="71"/>
      <c r="AD356" s="71"/>
      <c r="AE356" s="71"/>
      <c r="AF356" s="71"/>
      <c r="AG356" s="71"/>
      <c r="AH356" s="71"/>
      <c r="AI356" s="71"/>
      <c r="AJ356" s="71"/>
      <c r="AK356" s="71"/>
    </row>
    <row r="357" spans="1:37" ht="12.75" customHeight="1" x14ac:dyDescent="0.2">
      <c r="A357" s="71"/>
      <c r="B357" s="71"/>
      <c r="C357" s="71"/>
      <c r="D357" s="71"/>
      <c r="E357" s="71"/>
      <c r="F357" s="71"/>
      <c r="G357" s="71"/>
      <c r="H357" s="71"/>
      <c r="I357" s="71"/>
      <c r="J357" s="71"/>
      <c r="K357" s="71"/>
      <c r="L357" s="71"/>
      <c r="M357" s="71"/>
      <c r="N357" s="71"/>
      <c r="O357" s="71"/>
      <c r="P357" s="71"/>
      <c r="Q357" s="71"/>
      <c r="R357" s="71"/>
      <c r="S357" s="71"/>
      <c r="T357" s="105"/>
      <c r="U357" s="71"/>
      <c r="V357" s="71"/>
      <c r="W357" s="71"/>
      <c r="X357" s="71"/>
      <c r="Y357" s="71"/>
      <c r="Z357" s="71"/>
      <c r="AA357" s="71"/>
      <c r="AB357" s="71"/>
      <c r="AC357" s="71"/>
      <c r="AD357" s="71"/>
      <c r="AE357" s="71"/>
      <c r="AF357" s="71"/>
      <c r="AG357" s="71"/>
      <c r="AH357" s="71"/>
      <c r="AI357" s="71"/>
      <c r="AJ357" s="71"/>
      <c r="AK357" s="71"/>
    </row>
    <row r="358" spans="1:37" ht="12.75" customHeight="1" x14ac:dyDescent="0.2">
      <c r="A358" s="71"/>
      <c r="B358" s="71"/>
      <c r="C358" s="71"/>
      <c r="D358" s="71"/>
      <c r="E358" s="71"/>
      <c r="F358" s="71"/>
      <c r="G358" s="71"/>
      <c r="H358" s="71"/>
      <c r="I358" s="71"/>
      <c r="J358" s="71"/>
      <c r="K358" s="71"/>
      <c r="L358" s="71"/>
      <c r="M358" s="71"/>
      <c r="N358" s="71"/>
      <c r="O358" s="71"/>
      <c r="P358" s="71"/>
      <c r="Q358" s="71"/>
      <c r="R358" s="71"/>
      <c r="S358" s="71"/>
      <c r="T358" s="105"/>
      <c r="U358" s="71"/>
      <c r="V358" s="71"/>
      <c r="W358" s="71"/>
      <c r="X358" s="71"/>
      <c r="Y358" s="71"/>
      <c r="Z358" s="71"/>
      <c r="AA358" s="71"/>
      <c r="AB358" s="71"/>
      <c r="AC358" s="71"/>
      <c r="AD358" s="71"/>
      <c r="AE358" s="71"/>
      <c r="AF358" s="71"/>
      <c r="AG358" s="71"/>
      <c r="AH358" s="71"/>
      <c r="AI358" s="71"/>
      <c r="AJ358" s="71"/>
      <c r="AK358" s="71"/>
    </row>
    <row r="359" spans="1:37" ht="12.75" customHeight="1" x14ac:dyDescent="0.2">
      <c r="A359" s="71"/>
      <c r="B359" s="71"/>
      <c r="C359" s="71"/>
      <c r="D359" s="71"/>
      <c r="E359" s="71"/>
      <c r="F359" s="71"/>
      <c r="G359" s="71"/>
      <c r="H359" s="71"/>
      <c r="I359" s="71"/>
      <c r="J359" s="71"/>
      <c r="K359" s="71"/>
      <c r="L359" s="71"/>
      <c r="M359" s="71"/>
      <c r="N359" s="71"/>
      <c r="O359" s="71"/>
      <c r="P359" s="71"/>
      <c r="Q359" s="71"/>
      <c r="R359" s="71"/>
      <c r="S359" s="71"/>
      <c r="T359" s="105"/>
      <c r="U359" s="71"/>
      <c r="V359" s="71"/>
      <c r="W359" s="71"/>
      <c r="X359" s="71"/>
      <c r="Y359" s="71"/>
      <c r="Z359" s="71"/>
      <c r="AA359" s="71"/>
      <c r="AB359" s="71"/>
      <c r="AC359" s="71"/>
      <c r="AD359" s="71"/>
      <c r="AE359" s="71"/>
      <c r="AF359" s="71"/>
      <c r="AG359" s="71"/>
      <c r="AH359" s="71"/>
      <c r="AI359" s="71"/>
      <c r="AJ359" s="71"/>
      <c r="AK359" s="71"/>
    </row>
    <row r="360" spans="1:37" ht="12.75" customHeight="1" x14ac:dyDescent="0.2">
      <c r="A360" s="71"/>
      <c r="B360" s="71"/>
      <c r="C360" s="71"/>
      <c r="D360" s="71"/>
      <c r="E360" s="71"/>
      <c r="F360" s="71"/>
      <c r="G360" s="71"/>
      <c r="H360" s="71"/>
      <c r="I360" s="71"/>
      <c r="J360" s="71"/>
      <c r="K360" s="71"/>
      <c r="L360" s="71"/>
      <c r="M360" s="71"/>
      <c r="N360" s="71"/>
      <c r="O360" s="71"/>
      <c r="P360" s="71"/>
      <c r="Q360" s="71"/>
      <c r="R360" s="71"/>
      <c r="S360" s="71"/>
      <c r="T360" s="105"/>
      <c r="U360" s="71"/>
      <c r="V360" s="71"/>
      <c r="W360" s="71"/>
      <c r="X360" s="71"/>
      <c r="Y360" s="71"/>
      <c r="Z360" s="71"/>
      <c r="AA360" s="71"/>
      <c r="AB360" s="71"/>
      <c r="AC360" s="71"/>
      <c r="AD360" s="71"/>
      <c r="AE360" s="71"/>
      <c r="AF360" s="71"/>
      <c r="AG360" s="71"/>
      <c r="AH360" s="71"/>
      <c r="AI360" s="71"/>
      <c r="AJ360" s="71"/>
      <c r="AK360" s="71"/>
    </row>
    <row r="361" spans="1:37" ht="12.75" customHeight="1" x14ac:dyDescent="0.2">
      <c r="A361" s="71"/>
      <c r="B361" s="71"/>
      <c r="C361" s="71"/>
      <c r="D361" s="71"/>
      <c r="E361" s="71"/>
      <c r="F361" s="71"/>
      <c r="G361" s="71"/>
      <c r="H361" s="71"/>
      <c r="I361" s="71"/>
      <c r="J361" s="71"/>
      <c r="K361" s="71"/>
      <c r="L361" s="71"/>
      <c r="M361" s="71"/>
      <c r="N361" s="71"/>
      <c r="O361" s="71"/>
      <c r="P361" s="71"/>
      <c r="Q361" s="71"/>
      <c r="R361" s="71"/>
      <c r="S361" s="71"/>
      <c r="T361" s="105"/>
      <c r="U361" s="71"/>
      <c r="V361" s="71"/>
      <c r="W361" s="71"/>
      <c r="X361" s="71"/>
      <c r="Y361" s="71"/>
      <c r="Z361" s="71"/>
      <c r="AA361" s="71"/>
      <c r="AB361" s="71"/>
      <c r="AC361" s="71"/>
      <c r="AD361" s="71"/>
      <c r="AE361" s="71"/>
      <c r="AF361" s="71"/>
      <c r="AG361" s="71"/>
      <c r="AH361" s="71"/>
      <c r="AI361" s="71"/>
      <c r="AJ361" s="71"/>
      <c r="AK361" s="71"/>
    </row>
    <row r="362" spans="1:37" ht="12.75" customHeight="1" x14ac:dyDescent="0.2">
      <c r="A362" s="71"/>
      <c r="B362" s="71"/>
      <c r="C362" s="71"/>
      <c r="D362" s="71"/>
      <c r="E362" s="71"/>
      <c r="F362" s="71"/>
      <c r="G362" s="71"/>
      <c r="H362" s="71"/>
      <c r="I362" s="71"/>
      <c r="J362" s="71"/>
      <c r="K362" s="71"/>
      <c r="L362" s="71"/>
      <c r="M362" s="71"/>
      <c r="N362" s="71"/>
      <c r="O362" s="71"/>
      <c r="P362" s="71"/>
      <c r="Q362" s="71"/>
      <c r="R362" s="71"/>
      <c r="S362" s="71"/>
      <c r="T362" s="105"/>
      <c r="U362" s="71"/>
      <c r="V362" s="71"/>
      <c r="W362" s="71"/>
      <c r="X362" s="71"/>
      <c r="Y362" s="71"/>
      <c r="Z362" s="71"/>
      <c r="AA362" s="71"/>
      <c r="AB362" s="71"/>
      <c r="AC362" s="71"/>
      <c r="AD362" s="71"/>
      <c r="AE362" s="71"/>
      <c r="AF362" s="71"/>
      <c r="AG362" s="71"/>
      <c r="AH362" s="71"/>
      <c r="AI362" s="71"/>
      <c r="AJ362" s="71"/>
      <c r="AK362" s="71"/>
    </row>
    <row r="363" spans="1:37" ht="12.75" customHeight="1" x14ac:dyDescent="0.2">
      <c r="A363" s="71"/>
      <c r="B363" s="71"/>
      <c r="C363" s="71"/>
      <c r="D363" s="71"/>
      <c r="E363" s="71"/>
      <c r="F363" s="71"/>
      <c r="G363" s="71"/>
      <c r="H363" s="71"/>
      <c r="I363" s="71"/>
      <c r="J363" s="71"/>
      <c r="K363" s="71"/>
      <c r="L363" s="71"/>
      <c r="M363" s="71"/>
      <c r="N363" s="71"/>
      <c r="O363" s="71"/>
      <c r="P363" s="71"/>
      <c r="Q363" s="71"/>
      <c r="R363" s="71"/>
      <c r="S363" s="71"/>
      <c r="T363" s="105"/>
      <c r="U363" s="71"/>
      <c r="V363" s="71"/>
      <c r="W363" s="71"/>
      <c r="X363" s="71"/>
      <c r="Y363" s="71"/>
      <c r="Z363" s="71"/>
      <c r="AA363" s="71"/>
      <c r="AB363" s="71"/>
      <c r="AC363" s="71"/>
      <c r="AD363" s="71"/>
      <c r="AE363" s="71"/>
      <c r="AF363" s="71"/>
      <c r="AG363" s="71"/>
      <c r="AH363" s="71"/>
      <c r="AI363" s="71"/>
      <c r="AJ363" s="71"/>
      <c r="AK363" s="71"/>
    </row>
    <row r="364" spans="1:37" ht="12.75" customHeight="1" x14ac:dyDescent="0.2">
      <c r="A364" s="71"/>
      <c r="B364" s="71"/>
      <c r="C364" s="71"/>
      <c r="D364" s="71"/>
      <c r="E364" s="71"/>
      <c r="F364" s="71"/>
      <c r="G364" s="71"/>
      <c r="H364" s="71"/>
      <c r="I364" s="71"/>
      <c r="J364" s="71"/>
      <c r="K364" s="71"/>
      <c r="L364" s="71"/>
      <c r="M364" s="71"/>
      <c r="N364" s="71"/>
      <c r="O364" s="71"/>
      <c r="P364" s="71"/>
      <c r="Q364" s="71"/>
      <c r="R364" s="71"/>
      <c r="S364" s="71"/>
      <c r="T364" s="105"/>
      <c r="U364" s="71"/>
      <c r="V364" s="71"/>
      <c r="W364" s="71"/>
      <c r="X364" s="71"/>
      <c r="Y364" s="71"/>
      <c r="Z364" s="71"/>
      <c r="AA364" s="71"/>
      <c r="AB364" s="71"/>
      <c r="AC364" s="71"/>
      <c r="AD364" s="71"/>
      <c r="AE364" s="71"/>
      <c r="AF364" s="71"/>
      <c r="AG364" s="71"/>
      <c r="AH364" s="71"/>
      <c r="AI364" s="71"/>
      <c r="AJ364" s="71"/>
      <c r="AK364" s="71"/>
    </row>
    <row r="365" spans="1:37" ht="12.75" customHeight="1" x14ac:dyDescent="0.2">
      <c r="A365" s="71"/>
      <c r="B365" s="71"/>
      <c r="C365" s="71"/>
      <c r="D365" s="71"/>
      <c r="E365" s="71"/>
      <c r="F365" s="71"/>
      <c r="G365" s="71"/>
      <c r="H365" s="71"/>
      <c r="I365" s="71"/>
      <c r="J365" s="71"/>
      <c r="K365" s="71"/>
      <c r="L365" s="71"/>
      <c r="M365" s="71"/>
      <c r="N365" s="71"/>
      <c r="O365" s="71"/>
      <c r="P365" s="71"/>
      <c r="Q365" s="71"/>
      <c r="R365" s="71"/>
      <c r="S365" s="71"/>
      <c r="T365" s="105"/>
      <c r="U365" s="71"/>
      <c r="V365" s="71"/>
      <c r="W365" s="71"/>
      <c r="X365" s="71"/>
      <c r="Y365" s="71"/>
      <c r="Z365" s="71"/>
      <c r="AA365" s="71"/>
      <c r="AB365" s="71"/>
      <c r="AC365" s="71"/>
      <c r="AD365" s="71"/>
      <c r="AE365" s="71"/>
      <c r="AF365" s="71"/>
      <c r="AG365" s="71"/>
      <c r="AH365" s="71"/>
      <c r="AI365" s="71"/>
      <c r="AJ365" s="71"/>
      <c r="AK365" s="71"/>
    </row>
    <row r="366" spans="1:37" ht="12.75" customHeight="1" x14ac:dyDescent="0.2">
      <c r="A366" s="71"/>
      <c r="B366" s="71"/>
      <c r="C366" s="71"/>
      <c r="D366" s="71"/>
      <c r="E366" s="71"/>
      <c r="F366" s="71"/>
      <c r="G366" s="71"/>
      <c r="H366" s="71"/>
      <c r="I366" s="71"/>
      <c r="J366" s="71"/>
      <c r="K366" s="71"/>
      <c r="L366" s="71"/>
      <c r="M366" s="71"/>
      <c r="N366" s="71"/>
      <c r="O366" s="71"/>
      <c r="P366" s="71"/>
      <c r="Q366" s="71"/>
      <c r="R366" s="71"/>
      <c r="S366" s="71"/>
      <c r="T366" s="105"/>
      <c r="U366" s="71"/>
      <c r="V366" s="71"/>
      <c r="W366" s="71"/>
      <c r="X366" s="71"/>
      <c r="Y366" s="71"/>
      <c r="Z366" s="71"/>
      <c r="AA366" s="71"/>
      <c r="AB366" s="71"/>
      <c r="AC366" s="71"/>
      <c r="AD366" s="71"/>
      <c r="AE366" s="71"/>
      <c r="AF366" s="71"/>
      <c r="AG366" s="71"/>
      <c r="AH366" s="71"/>
      <c r="AI366" s="71"/>
      <c r="AJ366" s="71"/>
      <c r="AK366" s="71"/>
    </row>
    <row r="367" spans="1:37" ht="12.75" customHeight="1" x14ac:dyDescent="0.2">
      <c r="A367" s="71"/>
      <c r="B367" s="71"/>
      <c r="C367" s="71"/>
      <c r="D367" s="71"/>
      <c r="E367" s="71"/>
      <c r="F367" s="71"/>
      <c r="G367" s="71"/>
      <c r="H367" s="71"/>
      <c r="I367" s="71"/>
      <c r="J367" s="71"/>
      <c r="K367" s="71"/>
      <c r="L367" s="71"/>
      <c r="M367" s="71"/>
      <c r="N367" s="71"/>
      <c r="O367" s="71"/>
      <c r="P367" s="71"/>
      <c r="Q367" s="71"/>
      <c r="R367" s="71"/>
      <c r="S367" s="71"/>
      <c r="T367" s="105"/>
      <c r="U367" s="71"/>
      <c r="V367" s="71"/>
      <c r="W367" s="71"/>
      <c r="X367" s="71"/>
      <c r="Y367" s="71"/>
      <c r="Z367" s="71"/>
      <c r="AA367" s="71"/>
      <c r="AB367" s="71"/>
      <c r="AC367" s="71"/>
      <c r="AD367" s="71"/>
      <c r="AE367" s="71"/>
      <c r="AF367" s="71"/>
      <c r="AG367" s="71"/>
      <c r="AH367" s="71"/>
      <c r="AI367" s="71"/>
      <c r="AJ367" s="71"/>
      <c r="AK367" s="71"/>
    </row>
    <row r="368" spans="1:37" ht="12.75" customHeight="1" x14ac:dyDescent="0.2">
      <c r="A368" s="71"/>
      <c r="B368" s="71"/>
      <c r="C368" s="71"/>
      <c r="D368" s="71"/>
      <c r="E368" s="71"/>
      <c r="F368" s="71"/>
      <c r="G368" s="71"/>
      <c r="H368" s="71"/>
      <c r="I368" s="71"/>
      <c r="J368" s="71"/>
      <c r="K368" s="71"/>
      <c r="L368" s="71"/>
      <c r="M368" s="71"/>
      <c r="N368" s="71"/>
      <c r="O368" s="71"/>
      <c r="P368" s="71"/>
      <c r="Q368" s="71"/>
      <c r="R368" s="71"/>
      <c r="S368" s="71"/>
      <c r="T368" s="105"/>
      <c r="U368" s="71"/>
      <c r="V368" s="71"/>
      <c r="W368" s="71"/>
      <c r="X368" s="71"/>
      <c r="Y368" s="71"/>
      <c r="Z368" s="71"/>
      <c r="AA368" s="71"/>
      <c r="AB368" s="71"/>
      <c r="AC368" s="71"/>
      <c r="AD368" s="71"/>
      <c r="AE368" s="71"/>
      <c r="AF368" s="71"/>
      <c r="AG368" s="71"/>
      <c r="AH368" s="71"/>
      <c r="AI368" s="71"/>
      <c r="AJ368" s="71"/>
      <c r="AK368" s="71"/>
    </row>
    <row r="369" spans="1:37" ht="12.75" customHeight="1" x14ac:dyDescent="0.2">
      <c r="A369" s="71"/>
      <c r="B369" s="71"/>
      <c r="C369" s="71"/>
      <c r="D369" s="71"/>
      <c r="E369" s="71"/>
      <c r="F369" s="71"/>
      <c r="G369" s="71"/>
      <c r="H369" s="71"/>
      <c r="I369" s="71"/>
      <c r="J369" s="71"/>
      <c r="K369" s="71"/>
      <c r="L369" s="71"/>
      <c r="M369" s="71"/>
      <c r="N369" s="71"/>
      <c r="O369" s="71"/>
      <c r="P369" s="71"/>
      <c r="Q369" s="71"/>
      <c r="R369" s="71"/>
      <c r="S369" s="71"/>
      <c r="T369" s="105"/>
      <c r="U369" s="71"/>
      <c r="V369" s="71"/>
      <c r="W369" s="71"/>
      <c r="X369" s="71"/>
      <c r="Y369" s="71"/>
      <c r="Z369" s="71"/>
      <c r="AA369" s="71"/>
      <c r="AB369" s="71"/>
      <c r="AC369" s="71"/>
      <c r="AD369" s="71"/>
      <c r="AE369" s="71"/>
      <c r="AF369" s="71"/>
      <c r="AG369" s="71"/>
      <c r="AH369" s="71"/>
      <c r="AI369" s="71"/>
      <c r="AJ369" s="71"/>
      <c r="AK369" s="71"/>
    </row>
    <row r="370" spans="1:37" ht="12.75" customHeight="1" x14ac:dyDescent="0.2">
      <c r="A370" s="71"/>
      <c r="B370" s="71"/>
      <c r="C370" s="71"/>
      <c r="D370" s="71"/>
      <c r="E370" s="71"/>
      <c r="F370" s="71"/>
      <c r="G370" s="71"/>
      <c r="H370" s="71"/>
      <c r="I370" s="71"/>
      <c r="J370" s="71"/>
      <c r="K370" s="71"/>
      <c r="L370" s="71"/>
      <c r="M370" s="71"/>
      <c r="N370" s="71"/>
      <c r="O370" s="71"/>
      <c r="P370" s="71"/>
      <c r="Q370" s="71"/>
      <c r="R370" s="71"/>
      <c r="S370" s="71"/>
      <c r="T370" s="105"/>
      <c r="U370" s="71"/>
      <c r="V370" s="71"/>
      <c r="W370" s="71"/>
      <c r="X370" s="71"/>
      <c r="Y370" s="71"/>
      <c r="Z370" s="71"/>
      <c r="AA370" s="71"/>
      <c r="AB370" s="71"/>
      <c r="AC370" s="71"/>
      <c r="AD370" s="71"/>
      <c r="AE370" s="71"/>
      <c r="AF370" s="71"/>
      <c r="AG370" s="71"/>
      <c r="AH370" s="71"/>
      <c r="AI370" s="71"/>
      <c r="AJ370" s="71"/>
      <c r="AK370" s="71"/>
    </row>
    <row r="371" spans="1:37" ht="12.75" customHeight="1" x14ac:dyDescent="0.2">
      <c r="A371" s="71"/>
      <c r="B371" s="71"/>
      <c r="C371" s="71"/>
      <c r="D371" s="71"/>
      <c r="E371" s="71"/>
      <c r="F371" s="71"/>
      <c r="G371" s="71"/>
      <c r="H371" s="71"/>
      <c r="I371" s="71"/>
      <c r="J371" s="71"/>
      <c r="K371" s="71"/>
      <c r="L371" s="71"/>
      <c r="M371" s="71"/>
      <c r="N371" s="71"/>
      <c r="O371" s="71"/>
      <c r="P371" s="71"/>
      <c r="Q371" s="71"/>
      <c r="R371" s="71"/>
      <c r="S371" s="71"/>
      <c r="T371" s="105"/>
      <c r="U371" s="71"/>
      <c r="V371" s="71"/>
      <c r="W371" s="71"/>
      <c r="X371" s="71"/>
      <c r="Y371" s="71"/>
      <c r="Z371" s="71"/>
      <c r="AA371" s="71"/>
      <c r="AB371" s="71"/>
      <c r="AC371" s="71"/>
      <c r="AD371" s="71"/>
      <c r="AE371" s="71"/>
      <c r="AF371" s="71"/>
      <c r="AG371" s="71"/>
      <c r="AH371" s="71"/>
      <c r="AI371" s="71"/>
      <c r="AJ371" s="71"/>
      <c r="AK371" s="71"/>
    </row>
    <row r="372" spans="1:37" ht="12.75" customHeight="1" x14ac:dyDescent="0.2">
      <c r="A372" s="71"/>
      <c r="B372" s="71"/>
      <c r="C372" s="71"/>
      <c r="D372" s="71"/>
      <c r="E372" s="71"/>
      <c r="F372" s="71"/>
      <c r="G372" s="71"/>
      <c r="H372" s="71"/>
      <c r="I372" s="71"/>
      <c r="J372" s="71"/>
      <c r="K372" s="71"/>
      <c r="L372" s="71"/>
      <c r="M372" s="71"/>
      <c r="N372" s="71"/>
      <c r="O372" s="71"/>
      <c r="P372" s="71"/>
      <c r="Q372" s="71"/>
      <c r="R372" s="71"/>
      <c r="S372" s="71"/>
      <c r="T372" s="105"/>
      <c r="U372" s="71"/>
      <c r="V372" s="71"/>
      <c r="W372" s="71"/>
      <c r="X372" s="71"/>
      <c r="Y372" s="71"/>
      <c r="Z372" s="71"/>
      <c r="AA372" s="71"/>
      <c r="AB372" s="71"/>
      <c r="AC372" s="71"/>
      <c r="AD372" s="71"/>
      <c r="AE372" s="71"/>
      <c r="AF372" s="71"/>
      <c r="AG372" s="71"/>
      <c r="AH372" s="71"/>
      <c r="AI372" s="71"/>
      <c r="AJ372" s="71"/>
      <c r="AK372" s="71"/>
    </row>
    <row r="373" spans="1:37" ht="12.75" customHeight="1" x14ac:dyDescent="0.2">
      <c r="A373" s="71"/>
      <c r="B373" s="71"/>
      <c r="C373" s="71"/>
      <c r="D373" s="71"/>
      <c r="E373" s="71"/>
      <c r="F373" s="71"/>
      <c r="G373" s="71"/>
      <c r="H373" s="71"/>
      <c r="I373" s="71"/>
      <c r="J373" s="71"/>
      <c r="K373" s="71"/>
      <c r="L373" s="71"/>
      <c r="M373" s="71"/>
      <c r="N373" s="71"/>
      <c r="O373" s="71"/>
      <c r="P373" s="71"/>
      <c r="Q373" s="71"/>
      <c r="R373" s="71"/>
      <c r="S373" s="71"/>
      <c r="T373" s="105"/>
      <c r="U373" s="71"/>
      <c r="V373" s="71"/>
      <c r="W373" s="71"/>
      <c r="X373" s="71"/>
      <c r="Y373" s="71"/>
      <c r="Z373" s="71"/>
      <c r="AA373" s="71"/>
      <c r="AB373" s="71"/>
      <c r="AC373" s="71"/>
      <c r="AD373" s="71"/>
      <c r="AE373" s="71"/>
      <c r="AF373" s="71"/>
      <c r="AG373" s="71"/>
      <c r="AH373" s="71"/>
      <c r="AI373" s="71"/>
      <c r="AJ373" s="71"/>
      <c r="AK373" s="71"/>
    </row>
    <row r="374" spans="1:37" ht="12.75" customHeight="1" x14ac:dyDescent="0.2">
      <c r="A374" s="71"/>
      <c r="B374" s="71"/>
      <c r="C374" s="71"/>
      <c r="D374" s="71"/>
      <c r="E374" s="71"/>
      <c r="F374" s="71"/>
      <c r="G374" s="71"/>
      <c r="H374" s="71"/>
      <c r="I374" s="71"/>
      <c r="J374" s="71"/>
      <c r="K374" s="71"/>
      <c r="L374" s="71"/>
      <c r="M374" s="71"/>
      <c r="N374" s="71"/>
      <c r="O374" s="71"/>
      <c r="P374" s="71"/>
      <c r="Q374" s="71"/>
      <c r="R374" s="71"/>
      <c r="S374" s="71"/>
      <c r="T374" s="105"/>
      <c r="U374" s="71"/>
      <c r="V374" s="71"/>
      <c r="W374" s="71"/>
      <c r="X374" s="71"/>
      <c r="Y374" s="71"/>
      <c r="Z374" s="71"/>
      <c r="AA374" s="71"/>
      <c r="AB374" s="71"/>
      <c r="AC374" s="71"/>
      <c r="AD374" s="71"/>
      <c r="AE374" s="71"/>
      <c r="AF374" s="71"/>
      <c r="AG374" s="71"/>
      <c r="AH374" s="71"/>
      <c r="AI374" s="71"/>
      <c r="AJ374" s="71"/>
      <c r="AK374" s="71"/>
    </row>
    <row r="375" spans="1:37" ht="12.75" customHeight="1" x14ac:dyDescent="0.2">
      <c r="A375" s="71"/>
      <c r="B375" s="71"/>
      <c r="C375" s="71"/>
      <c r="D375" s="71"/>
      <c r="E375" s="71"/>
      <c r="F375" s="71"/>
      <c r="G375" s="71"/>
      <c r="H375" s="71"/>
      <c r="I375" s="71"/>
      <c r="J375" s="71"/>
      <c r="K375" s="71"/>
      <c r="L375" s="71"/>
      <c r="M375" s="71"/>
      <c r="N375" s="71"/>
      <c r="O375" s="71"/>
      <c r="P375" s="71"/>
      <c r="Q375" s="71"/>
      <c r="R375" s="71"/>
      <c r="S375" s="71"/>
      <c r="T375" s="105"/>
      <c r="U375" s="71"/>
      <c r="V375" s="71"/>
      <c r="W375" s="71"/>
      <c r="X375" s="71"/>
      <c r="Y375" s="71"/>
      <c r="Z375" s="71"/>
      <c r="AA375" s="71"/>
      <c r="AB375" s="71"/>
      <c r="AC375" s="71"/>
      <c r="AD375" s="71"/>
      <c r="AE375" s="71"/>
      <c r="AF375" s="71"/>
      <c r="AG375" s="71"/>
      <c r="AH375" s="71"/>
      <c r="AI375" s="71"/>
      <c r="AJ375" s="71"/>
      <c r="AK375" s="71"/>
    </row>
    <row r="376" spans="1:37" ht="12.75" customHeight="1" x14ac:dyDescent="0.2">
      <c r="A376" s="71"/>
      <c r="B376" s="71"/>
      <c r="C376" s="71"/>
      <c r="D376" s="71"/>
      <c r="E376" s="71"/>
      <c r="F376" s="71"/>
      <c r="G376" s="71"/>
      <c r="H376" s="71"/>
      <c r="I376" s="71"/>
      <c r="J376" s="71"/>
      <c r="K376" s="71"/>
      <c r="L376" s="71"/>
      <c r="M376" s="71"/>
      <c r="N376" s="71"/>
      <c r="O376" s="71"/>
      <c r="P376" s="71"/>
      <c r="Q376" s="71"/>
      <c r="R376" s="71"/>
      <c r="S376" s="71"/>
      <c r="T376" s="105"/>
      <c r="U376" s="71"/>
      <c r="V376" s="71"/>
      <c r="W376" s="71"/>
      <c r="X376" s="71"/>
      <c r="Y376" s="71"/>
      <c r="Z376" s="71"/>
      <c r="AA376" s="71"/>
      <c r="AB376" s="71"/>
      <c r="AC376" s="71"/>
      <c r="AD376" s="71"/>
      <c r="AE376" s="71"/>
      <c r="AF376" s="71"/>
      <c r="AG376" s="71"/>
      <c r="AH376" s="71"/>
      <c r="AI376" s="71"/>
      <c r="AJ376" s="71"/>
      <c r="AK376" s="71"/>
    </row>
    <row r="377" spans="1:37" ht="12.75" customHeight="1" x14ac:dyDescent="0.2">
      <c r="A377" s="71"/>
      <c r="B377" s="71"/>
      <c r="C377" s="71"/>
      <c r="D377" s="71"/>
      <c r="E377" s="71"/>
      <c r="F377" s="71"/>
      <c r="G377" s="71"/>
      <c r="H377" s="71"/>
      <c r="I377" s="71"/>
      <c r="J377" s="71"/>
      <c r="K377" s="71"/>
      <c r="L377" s="71"/>
      <c r="M377" s="71"/>
      <c r="N377" s="71"/>
      <c r="O377" s="71"/>
      <c r="P377" s="71"/>
      <c r="Q377" s="71"/>
      <c r="R377" s="71"/>
      <c r="S377" s="71"/>
      <c r="T377" s="105"/>
      <c r="U377" s="71"/>
      <c r="V377" s="71"/>
      <c r="W377" s="71"/>
      <c r="X377" s="71"/>
      <c r="Y377" s="71"/>
      <c r="Z377" s="71"/>
      <c r="AA377" s="71"/>
      <c r="AB377" s="71"/>
      <c r="AC377" s="71"/>
      <c r="AD377" s="71"/>
      <c r="AE377" s="71"/>
      <c r="AF377" s="71"/>
      <c r="AG377" s="71"/>
      <c r="AH377" s="71"/>
      <c r="AI377" s="71"/>
      <c r="AJ377" s="71"/>
      <c r="AK377" s="71"/>
    </row>
    <row r="378" spans="1:37" ht="12.75" customHeight="1" x14ac:dyDescent="0.2">
      <c r="A378" s="71"/>
      <c r="B378" s="71"/>
      <c r="C378" s="71"/>
      <c r="D378" s="71"/>
      <c r="E378" s="71"/>
      <c r="F378" s="71"/>
      <c r="G378" s="71"/>
      <c r="H378" s="71"/>
      <c r="I378" s="71"/>
      <c r="J378" s="71"/>
      <c r="K378" s="71"/>
      <c r="L378" s="71"/>
      <c r="M378" s="71"/>
      <c r="N378" s="71"/>
      <c r="O378" s="71"/>
      <c r="P378" s="71"/>
      <c r="Q378" s="71"/>
      <c r="R378" s="71"/>
      <c r="S378" s="71"/>
      <c r="T378" s="105"/>
      <c r="U378" s="71"/>
      <c r="V378" s="71"/>
      <c r="W378" s="71"/>
      <c r="X378" s="71"/>
      <c r="Y378" s="71"/>
      <c r="Z378" s="71"/>
      <c r="AA378" s="71"/>
      <c r="AB378" s="71"/>
      <c r="AC378" s="71"/>
      <c r="AD378" s="71"/>
      <c r="AE378" s="71"/>
      <c r="AF378" s="71"/>
      <c r="AG378" s="71"/>
      <c r="AH378" s="71"/>
      <c r="AI378" s="71"/>
      <c r="AJ378" s="71"/>
      <c r="AK378" s="71"/>
    </row>
    <row r="379" spans="1:37" ht="12.75" customHeight="1" x14ac:dyDescent="0.2">
      <c r="A379" s="71"/>
      <c r="B379" s="71"/>
      <c r="C379" s="71"/>
      <c r="D379" s="71"/>
      <c r="E379" s="71"/>
      <c r="F379" s="71"/>
      <c r="G379" s="71"/>
      <c r="H379" s="71"/>
      <c r="I379" s="71"/>
      <c r="J379" s="71"/>
      <c r="K379" s="71"/>
      <c r="L379" s="71"/>
      <c r="M379" s="71"/>
      <c r="N379" s="71"/>
      <c r="O379" s="71"/>
      <c r="P379" s="71"/>
      <c r="Q379" s="71"/>
      <c r="R379" s="71"/>
      <c r="S379" s="71"/>
      <c r="T379" s="105"/>
      <c r="U379" s="71"/>
      <c r="V379" s="71"/>
      <c r="W379" s="71"/>
      <c r="X379" s="71"/>
      <c r="Y379" s="71"/>
      <c r="Z379" s="71"/>
      <c r="AA379" s="71"/>
      <c r="AB379" s="71"/>
      <c r="AC379" s="71"/>
      <c r="AD379" s="71"/>
      <c r="AE379" s="71"/>
      <c r="AF379" s="71"/>
      <c r="AG379" s="71"/>
      <c r="AH379" s="71"/>
      <c r="AI379" s="71"/>
      <c r="AJ379" s="71"/>
      <c r="AK379" s="71"/>
    </row>
    <row r="380" spans="1:37" ht="12.75" customHeight="1" x14ac:dyDescent="0.2">
      <c r="A380" s="71"/>
      <c r="B380" s="71"/>
      <c r="C380" s="71"/>
      <c r="D380" s="71"/>
      <c r="E380" s="71"/>
      <c r="F380" s="71"/>
      <c r="G380" s="71"/>
      <c r="H380" s="71"/>
      <c r="I380" s="71"/>
      <c r="J380" s="71"/>
      <c r="K380" s="71"/>
      <c r="L380" s="71"/>
      <c r="M380" s="71"/>
      <c r="N380" s="71"/>
      <c r="O380" s="71"/>
      <c r="P380" s="71"/>
      <c r="Q380" s="71"/>
      <c r="R380" s="71"/>
      <c r="S380" s="71"/>
      <c r="T380" s="105"/>
      <c r="U380" s="71"/>
      <c r="V380" s="71"/>
      <c r="W380" s="71"/>
      <c r="X380" s="71"/>
      <c r="Y380" s="71"/>
      <c r="Z380" s="71"/>
      <c r="AA380" s="71"/>
      <c r="AB380" s="71"/>
      <c r="AC380" s="71"/>
      <c r="AD380" s="71"/>
      <c r="AE380" s="71"/>
      <c r="AF380" s="71"/>
      <c r="AG380" s="71"/>
      <c r="AH380" s="71"/>
      <c r="AI380" s="71"/>
      <c r="AJ380" s="71"/>
      <c r="AK380" s="71"/>
    </row>
    <row r="381" spans="1:37" ht="12.75" customHeight="1" x14ac:dyDescent="0.2">
      <c r="A381" s="71"/>
      <c r="B381" s="71"/>
      <c r="C381" s="71"/>
      <c r="D381" s="71"/>
      <c r="E381" s="71"/>
      <c r="F381" s="71"/>
      <c r="G381" s="71"/>
      <c r="H381" s="71"/>
      <c r="I381" s="71"/>
      <c r="J381" s="71"/>
      <c r="K381" s="71"/>
      <c r="L381" s="71"/>
      <c r="M381" s="71"/>
      <c r="N381" s="71"/>
      <c r="O381" s="71"/>
      <c r="P381" s="71"/>
      <c r="Q381" s="71"/>
      <c r="R381" s="71"/>
      <c r="S381" s="71"/>
      <c r="T381" s="105"/>
      <c r="U381" s="71"/>
      <c r="V381" s="71"/>
      <c r="W381" s="71"/>
      <c r="X381" s="71"/>
      <c r="Y381" s="71"/>
      <c r="Z381" s="71"/>
      <c r="AA381" s="71"/>
      <c r="AB381" s="71"/>
      <c r="AC381" s="71"/>
      <c r="AD381" s="71"/>
      <c r="AE381" s="71"/>
      <c r="AF381" s="71"/>
      <c r="AG381" s="71"/>
      <c r="AH381" s="71"/>
      <c r="AI381" s="71"/>
      <c r="AJ381" s="71"/>
      <c r="AK381" s="71"/>
    </row>
    <row r="382" spans="1:37" ht="12.75" customHeight="1" x14ac:dyDescent="0.2">
      <c r="A382" s="71"/>
      <c r="B382" s="71"/>
      <c r="C382" s="71"/>
      <c r="D382" s="71"/>
      <c r="E382" s="71"/>
      <c r="F382" s="71"/>
      <c r="G382" s="71"/>
      <c r="H382" s="71"/>
      <c r="I382" s="71"/>
      <c r="J382" s="71"/>
      <c r="K382" s="71"/>
      <c r="L382" s="71"/>
      <c r="M382" s="71"/>
      <c r="N382" s="71"/>
      <c r="O382" s="71"/>
      <c r="P382" s="71"/>
      <c r="Q382" s="71"/>
      <c r="R382" s="71"/>
      <c r="S382" s="71"/>
      <c r="T382" s="105"/>
      <c r="U382" s="71"/>
      <c r="V382" s="71"/>
      <c r="W382" s="71"/>
      <c r="X382" s="71"/>
      <c r="Y382" s="71"/>
      <c r="Z382" s="71"/>
      <c r="AA382" s="71"/>
      <c r="AB382" s="71"/>
      <c r="AC382" s="71"/>
      <c r="AD382" s="71"/>
      <c r="AE382" s="71"/>
      <c r="AF382" s="71"/>
      <c r="AG382" s="71"/>
      <c r="AH382" s="71"/>
      <c r="AI382" s="71"/>
      <c r="AJ382" s="71"/>
      <c r="AK382" s="71"/>
    </row>
    <row r="383" spans="1:37" ht="12.75" customHeight="1" x14ac:dyDescent="0.2">
      <c r="A383" s="71"/>
      <c r="B383" s="71"/>
      <c r="C383" s="71"/>
      <c r="D383" s="71"/>
      <c r="E383" s="71"/>
      <c r="F383" s="71"/>
      <c r="G383" s="71"/>
      <c r="H383" s="71"/>
      <c r="I383" s="71"/>
      <c r="J383" s="71"/>
      <c r="K383" s="71"/>
      <c r="L383" s="71"/>
      <c r="M383" s="71"/>
      <c r="N383" s="71"/>
      <c r="O383" s="71"/>
      <c r="P383" s="71"/>
      <c r="Q383" s="71"/>
      <c r="R383" s="71"/>
      <c r="S383" s="71"/>
      <c r="T383" s="105"/>
      <c r="U383" s="71"/>
      <c r="V383" s="71"/>
      <c r="W383" s="71"/>
      <c r="X383" s="71"/>
      <c r="Y383" s="71"/>
      <c r="Z383" s="71"/>
      <c r="AA383" s="71"/>
      <c r="AB383" s="71"/>
      <c r="AC383" s="71"/>
      <c r="AD383" s="71"/>
      <c r="AE383" s="71"/>
      <c r="AF383" s="71"/>
      <c r="AG383" s="71"/>
      <c r="AH383" s="71"/>
      <c r="AI383" s="71"/>
      <c r="AJ383" s="71"/>
      <c r="AK383" s="71"/>
    </row>
    <row r="384" spans="1:37" ht="12.75" customHeight="1" x14ac:dyDescent="0.2">
      <c r="A384" s="71"/>
      <c r="B384" s="71"/>
      <c r="C384" s="71"/>
      <c r="D384" s="71"/>
      <c r="E384" s="71"/>
      <c r="F384" s="71"/>
      <c r="G384" s="71"/>
      <c r="H384" s="71"/>
      <c r="I384" s="71"/>
      <c r="J384" s="71"/>
      <c r="K384" s="71"/>
      <c r="L384" s="71"/>
      <c r="M384" s="71"/>
      <c r="N384" s="71"/>
      <c r="O384" s="71"/>
      <c r="P384" s="71"/>
      <c r="Q384" s="71"/>
      <c r="R384" s="71"/>
      <c r="S384" s="71"/>
      <c r="T384" s="105"/>
      <c r="U384" s="71"/>
      <c r="V384" s="71"/>
      <c r="W384" s="71"/>
      <c r="X384" s="71"/>
      <c r="Y384" s="71"/>
      <c r="Z384" s="71"/>
      <c r="AA384" s="71"/>
      <c r="AB384" s="71"/>
      <c r="AC384" s="71"/>
      <c r="AD384" s="71"/>
      <c r="AE384" s="71"/>
      <c r="AF384" s="71"/>
      <c r="AG384" s="71"/>
      <c r="AH384" s="71"/>
      <c r="AI384" s="71"/>
      <c r="AJ384" s="71"/>
      <c r="AK384" s="71"/>
    </row>
    <row r="385" spans="1:37" ht="12.75" customHeight="1" x14ac:dyDescent="0.2">
      <c r="A385" s="71"/>
      <c r="B385" s="71"/>
      <c r="C385" s="71"/>
      <c r="D385" s="71"/>
      <c r="E385" s="71"/>
      <c r="F385" s="71"/>
      <c r="G385" s="71"/>
      <c r="H385" s="71"/>
      <c r="I385" s="71"/>
      <c r="J385" s="71"/>
      <c r="K385" s="71"/>
      <c r="L385" s="71"/>
      <c r="M385" s="71"/>
      <c r="N385" s="71"/>
      <c r="O385" s="71"/>
      <c r="P385" s="71"/>
      <c r="Q385" s="71"/>
      <c r="R385" s="71"/>
      <c r="S385" s="71"/>
      <c r="T385" s="105"/>
      <c r="U385" s="71"/>
      <c r="V385" s="71"/>
      <c r="W385" s="71"/>
      <c r="X385" s="71"/>
      <c r="Y385" s="71"/>
      <c r="Z385" s="71"/>
      <c r="AA385" s="71"/>
      <c r="AB385" s="71"/>
      <c r="AC385" s="71"/>
      <c r="AD385" s="71"/>
      <c r="AE385" s="71"/>
      <c r="AF385" s="71"/>
      <c r="AG385" s="71"/>
      <c r="AH385" s="71"/>
      <c r="AI385" s="71"/>
      <c r="AJ385" s="71"/>
      <c r="AK385" s="71"/>
    </row>
    <row r="386" spans="1:37" ht="12.75" customHeight="1" x14ac:dyDescent="0.2">
      <c r="A386" s="71"/>
      <c r="B386" s="71"/>
      <c r="C386" s="71"/>
      <c r="D386" s="71"/>
      <c r="E386" s="71"/>
      <c r="F386" s="71"/>
      <c r="G386" s="71"/>
      <c r="H386" s="71"/>
      <c r="I386" s="71"/>
      <c r="J386" s="71"/>
      <c r="K386" s="71"/>
      <c r="L386" s="71"/>
      <c r="M386" s="71"/>
      <c r="N386" s="71"/>
      <c r="O386" s="71"/>
      <c r="P386" s="71"/>
      <c r="Q386" s="71"/>
      <c r="R386" s="71"/>
      <c r="S386" s="71"/>
      <c r="T386" s="105"/>
      <c r="U386" s="71"/>
      <c r="V386" s="71"/>
      <c r="W386" s="71"/>
      <c r="X386" s="71"/>
      <c r="Y386" s="71"/>
      <c r="Z386" s="71"/>
      <c r="AA386" s="71"/>
      <c r="AB386" s="71"/>
      <c r="AC386" s="71"/>
      <c r="AD386" s="71"/>
      <c r="AE386" s="71"/>
      <c r="AF386" s="71"/>
      <c r="AG386" s="71"/>
      <c r="AH386" s="71"/>
      <c r="AI386" s="71"/>
      <c r="AJ386" s="71"/>
      <c r="AK386" s="71"/>
    </row>
    <row r="387" spans="1:37" ht="12.75" customHeight="1" x14ac:dyDescent="0.2">
      <c r="A387" s="71"/>
      <c r="B387" s="71"/>
      <c r="C387" s="71"/>
      <c r="D387" s="71"/>
      <c r="E387" s="71"/>
      <c r="F387" s="71"/>
      <c r="G387" s="71"/>
      <c r="H387" s="71"/>
      <c r="I387" s="71"/>
      <c r="J387" s="71"/>
      <c r="K387" s="71"/>
      <c r="L387" s="71"/>
      <c r="M387" s="71"/>
      <c r="N387" s="71"/>
      <c r="O387" s="71"/>
      <c r="P387" s="71"/>
      <c r="Q387" s="71"/>
      <c r="R387" s="71"/>
      <c r="S387" s="71"/>
      <c r="T387" s="105"/>
      <c r="U387" s="71"/>
      <c r="V387" s="71"/>
      <c r="W387" s="71"/>
      <c r="X387" s="71"/>
      <c r="Y387" s="71"/>
      <c r="Z387" s="71"/>
      <c r="AA387" s="71"/>
      <c r="AB387" s="71"/>
      <c r="AC387" s="71"/>
      <c r="AD387" s="71"/>
      <c r="AE387" s="71"/>
      <c r="AF387" s="71"/>
      <c r="AG387" s="71"/>
      <c r="AH387" s="71"/>
      <c r="AI387" s="71"/>
      <c r="AJ387" s="71"/>
      <c r="AK387" s="71"/>
    </row>
    <row r="388" spans="1:37" ht="12.75" customHeight="1" x14ac:dyDescent="0.2">
      <c r="A388" s="71"/>
      <c r="B388" s="71"/>
      <c r="C388" s="71"/>
      <c r="D388" s="71"/>
      <c r="E388" s="71"/>
      <c r="F388" s="71"/>
      <c r="G388" s="71"/>
      <c r="H388" s="71"/>
      <c r="I388" s="71"/>
      <c r="J388" s="71"/>
      <c r="K388" s="71"/>
      <c r="L388" s="71"/>
      <c r="M388" s="71"/>
      <c r="N388" s="71"/>
      <c r="O388" s="71"/>
      <c r="P388" s="71"/>
      <c r="Q388" s="71"/>
      <c r="R388" s="71"/>
      <c r="S388" s="71"/>
      <c r="T388" s="105"/>
      <c r="U388" s="71"/>
      <c r="V388" s="71"/>
      <c r="W388" s="71"/>
      <c r="X388" s="71"/>
      <c r="Y388" s="71"/>
      <c r="Z388" s="71"/>
      <c r="AA388" s="71"/>
      <c r="AB388" s="71"/>
      <c r="AC388" s="71"/>
      <c r="AD388" s="71"/>
      <c r="AE388" s="71"/>
      <c r="AF388" s="71"/>
      <c r="AG388" s="71"/>
      <c r="AH388" s="71"/>
      <c r="AI388" s="71"/>
      <c r="AJ388" s="71"/>
      <c r="AK388" s="71"/>
    </row>
    <row r="389" spans="1:37" ht="12.75" customHeight="1" x14ac:dyDescent="0.2">
      <c r="A389" s="71"/>
      <c r="B389" s="71"/>
      <c r="C389" s="71"/>
      <c r="D389" s="71"/>
      <c r="E389" s="71"/>
      <c r="F389" s="71"/>
      <c r="G389" s="71"/>
      <c r="H389" s="71"/>
      <c r="I389" s="71"/>
      <c r="J389" s="71"/>
      <c r="K389" s="71"/>
      <c r="L389" s="71"/>
      <c r="M389" s="71"/>
      <c r="N389" s="71"/>
      <c r="O389" s="71"/>
      <c r="P389" s="71"/>
      <c r="Q389" s="71"/>
      <c r="R389" s="71"/>
      <c r="S389" s="71"/>
      <c r="T389" s="105"/>
      <c r="U389" s="71"/>
      <c r="V389" s="71"/>
      <c r="W389" s="71"/>
      <c r="X389" s="71"/>
      <c r="Y389" s="71"/>
      <c r="Z389" s="71"/>
      <c r="AA389" s="71"/>
      <c r="AB389" s="71"/>
      <c r="AC389" s="71"/>
      <c r="AD389" s="71"/>
      <c r="AE389" s="71"/>
      <c r="AF389" s="71"/>
      <c r="AG389" s="71"/>
      <c r="AH389" s="71"/>
      <c r="AI389" s="71"/>
      <c r="AJ389" s="71"/>
      <c r="AK389" s="71"/>
    </row>
    <row r="390" spans="1:37" ht="12.75" customHeight="1" x14ac:dyDescent="0.2">
      <c r="A390" s="71"/>
      <c r="B390" s="71"/>
      <c r="C390" s="71"/>
      <c r="D390" s="71"/>
      <c r="E390" s="71"/>
      <c r="F390" s="71"/>
      <c r="G390" s="71"/>
      <c r="H390" s="71"/>
      <c r="I390" s="71"/>
      <c r="J390" s="71"/>
      <c r="K390" s="71"/>
      <c r="L390" s="71"/>
      <c r="M390" s="71"/>
      <c r="N390" s="71"/>
      <c r="O390" s="71"/>
      <c r="P390" s="71"/>
      <c r="Q390" s="71"/>
      <c r="R390" s="71"/>
      <c r="S390" s="71"/>
      <c r="T390" s="105"/>
      <c r="U390" s="71"/>
      <c r="V390" s="71"/>
      <c r="W390" s="71"/>
      <c r="X390" s="71"/>
      <c r="Y390" s="71"/>
      <c r="Z390" s="71"/>
      <c r="AA390" s="71"/>
      <c r="AB390" s="71"/>
      <c r="AC390" s="71"/>
      <c r="AD390" s="71"/>
      <c r="AE390" s="71"/>
      <c r="AF390" s="71"/>
      <c r="AG390" s="71"/>
      <c r="AH390" s="71"/>
      <c r="AI390" s="71"/>
      <c r="AJ390" s="71"/>
      <c r="AK390" s="71"/>
    </row>
    <row r="391" spans="1:37" ht="12.75" customHeight="1" x14ac:dyDescent="0.2">
      <c r="A391" s="71"/>
      <c r="B391" s="71"/>
      <c r="C391" s="71"/>
      <c r="D391" s="71"/>
      <c r="E391" s="71"/>
      <c r="F391" s="71"/>
      <c r="G391" s="71"/>
      <c r="H391" s="71"/>
      <c r="I391" s="71"/>
      <c r="J391" s="71"/>
      <c r="K391" s="71"/>
      <c r="L391" s="71"/>
      <c r="M391" s="71"/>
      <c r="N391" s="71"/>
      <c r="O391" s="71"/>
      <c r="P391" s="71"/>
      <c r="Q391" s="71"/>
      <c r="R391" s="71"/>
      <c r="S391" s="71"/>
      <c r="T391" s="105"/>
      <c r="U391" s="71"/>
      <c r="V391" s="71"/>
      <c r="W391" s="71"/>
      <c r="X391" s="71"/>
      <c r="Y391" s="71"/>
      <c r="Z391" s="71"/>
      <c r="AA391" s="71"/>
      <c r="AB391" s="71"/>
      <c r="AC391" s="71"/>
      <c r="AD391" s="71"/>
      <c r="AE391" s="71"/>
      <c r="AF391" s="71"/>
      <c r="AG391" s="71"/>
      <c r="AH391" s="71"/>
      <c r="AI391" s="71"/>
      <c r="AJ391" s="71"/>
      <c r="AK391" s="71"/>
    </row>
    <row r="392" spans="1:37" ht="12.75" customHeight="1" x14ac:dyDescent="0.2">
      <c r="A392" s="71"/>
      <c r="B392" s="71"/>
      <c r="C392" s="71"/>
      <c r="D392" s="71"/>
      <c r="E392" s="71"/>
      <c r="F392" s="71"/>
      <c r="G392" s="71"/>
      <c r="H392" s="71"/>
      <c r="I392" s="71"/>
      <c r="J392" s="71"/>
      <c r="K392" s="71"/>
      <c r="L392" s="71"/>
      <c r="M392" s="71"/>
      <c r="N392" s="71"/>
      <c r="O392" s="71"/>
      <c r="P392" s="71"/>
      <c r="Q392" s="71"/>
      <c r="R392" s="71"/>
      <c r="S392" s="71"/>
      <c r="T392" s="105"/>
      <c r="U392" s="71"/>
      <c r="V392" s="71"/>
      <c r="W392" s="71"/>
      <c r="X392" s="71"/>
      <c r="Y392" s="71"/>
      <c r="Z392" s="71"/>
      <c r="AA392" s="71"/>
      <c r="AB392" s="71"/>
      <c r="AC392" s="71"/>
      <c r="AD392" s="71"/>
      <c r="AE392" s="71"/>
      <c r="AF392" s="71"/>
      <c r="AG392" s="71"/>
      <c r="AH392" s="71"/>
      <c r="AI392" s="71"/>
      <c r="AJ392" s="71"/>
      <c r="AK392" s="71"/>
    </row>
    <row r="393" spans="1:37" ht="12.75" customHeight="1" x14ac:dyDescent="0.2">
      <c r="A393" s="71"/>
      <c r="B393" s="71"/>
      <c r="C393" s="71"/>
      <c r="D393" s="71"/>
      <c r="E393" s="71"/>
      <c r="F393" s="71"/>
      <c r="G393" s="71"/>
      <c r="H393" s="71"/>
      <c r="I393" s="71"/>
      <c r="J393" s="71"/>
      <c r="K393" s="71"/>
      <c r="L393" s="71"/>
      <c r="M393" s="71"/>
      <c r="N393" s="71"/>
      <c r="O393" s="71"/>
      <c r="P393" s="71"/>
      <c r="Q393" s="71"/>
      <c r="R393" s="71"/>
      <c r="S393" s="71"/>
      <c r="T393" s="105"/>
      <c r="U393" s="71"/>
      <c r="V393" s="71"/>
      <c r="W393" s="71"/>
      <c r="X393" s="71"/>
      <c r="Y393" s="71"/>
      <c r="Z393" s="71"/>
      <c r="AA393" s="71"/>
      <c r="AB393" s="71"/>
      <c r="AC393" s="71"/>
      <c r="AD393" s="71"/>
      <c r="AE393" s="71"/>
      <c r="AF393" s="71"/>
      <c r="AG393" s="71"/>
      <c r="AH393" s="71"/>
      <c r="AI393" s="71"/>
      <c r="AJ393" s="71"/>
      <c r="AK393" s="71"/>
    </row>
    <row r="394" spans="1:37" ht="12.75" customHeight="1" x14ac:dyDescent="0.2">
      <c r="A394" s="71"/>
      <c r="B394" s="71"/>
      <c r="C394" s="71"/>
      <c r="D394" s="71"/>
      <c r="E394" s="71"/>
      <c r="F394" s="71"/>
      <c r="G394" s="71"/>
      <c r="H394" s="71"/>
      <c r="I394" s="71"/>
      <c r="J394" s="71"/>
      <c r="K394" s="71"/>
      <c r="L394" s="71"/>
      <c r="M394" s="71"/>
      <c r="N394" s="71"/>
      <c r="O394" s="71"/>
      <c r="P394" s="71"/>
      <c r="Q394" s="71"/>
      <c r="R394" s="71"/>
      <c r="S394" s="71"/>
      <c r="T394" s="105"/>
      <c r="U394" s="71"/>
      <c r="V394" s="71"/>
      <c r="W394" s="71"/>
      <c r="X394" s="71"/>
      <c r="Y394" s="71"/>
      <c r="Z394" s="71"/>
      <c r="AA394" s="71"/>
      <c r="AB394" s="71"/>
      <c r="AC394" s="71"/>
      <c r="AD394" s="71"/>
      <c r="AE394" s="71"/>
      <c r="AF394" s="71"/>
      <c r="AG394" s="71"/>
      <c r="AH394" s="71"/>
      <c r="AI394" s="71"/>
      <c r="AJ394" s="71"/>
      <c r="AK394" s="71"/>
    </row>
    <row r="395" spans="1:37" ht="12.75" customHeight="1" x14ac:dyDescent="0.2">
      <c r="A395" s="71"/>
      <c r="B395" s="71"/>
      <c r="C395" s="71"/>
      <c r="D395" s="71"/>
      <c r="E395" s="71"/>
      <c r="F395" s="71"/>
      <c r="G395" s="71"/>
      <c r="H395" s="71"/>
      <c r="I395" s="71"/>
      <c r="J395" s="71"/>
      <c r="K395" s="71"/>
      <c r="L395" s="71"/>
      <c r="M395" s="71"/>
      <c r="N395" s="71"/>
      <c r="O395" s="71"/>
      <c r="P395" s="71"/>
      <c r="Q395" s="71"/>
      <c r="R395" s="71"/>
      <c r="S395" s="71"/>
      <c r="T395" s="105"/>
      <c r="U395" s="71"/>
      <c r="V395" s="71"/>
      <c r="W395" s="71"/>
      <c r="X395" s="71"/>
      <c r="Y395" s="71"/>
      <c r="Z395" s="71"/>
      <c r="AA395" s="71"/>
      <c r="AB395" s="71"/>
      <c r="AC395" s="71"/>
      <c r="AD395" s="71"/>
      <c r="AE395" s="71"/>
      <c r="AF395" s="71"/>
      <c r="AG395" s="71"/>
      <c r="AH395" s="71"/>
      <c r="AI395" s="71"/>
      <c r="AJ395" s="71"/>
      <c r="AK395" s="71"/>
    </row>
    <row r="396" spans="1:37" ht="12.75" customHeight="1" x14ac:dyDescent="0.2">
      <c r="A396" s="71"/>
      <c r="B396" s="71"/>
      <c r="C396" s="71"/>
      <c r="D396" s="71"/>
      <c r="E396" s="71"/>
      <c r="F396" s="71"/>
      <c r="G396" s="71"/>
      <c r="H396" s="71"/>
      <c r="I396" s="71"/>
      <c r="J396" s="71"/>
      <c r="K396" s="71"/>
      <c r="L396" s="71"/>
      <c r="M396" s="71"/>
      <c r="N396" s="71"/>
      <c r="O396" s="71"/>
      <c r="P396" s="71"/>
      <c r="Q396" s="71"/>
      <c r="R396" s="71"/>
      <c r="S396" s="71"/>
      <c r="T396" s="105"/>
      <c r="U396" s="71"/>
      <c r="V396" s="71"/>
      <c r="W396" s="71"/>
      <c r="X396" s="71"/>
      <c r="Y396" s="71"/>
      <c r="Z396" s="71"/>
      <c r="AA396" s="71"/>
      <c r="AB396" s="71"/>
      <c r="AC396" s="71"/>
      <c r="AD396" s="71"/>
      <c r="AE396" s="71"/>
      <c r="AF396" s="71"/>
      <c r="AG396" s="71"/>
      <c r="AH396" s="71"/>
      <c r="AI396" s="71"/>
      <c r="AJ396" s="71"/>
      <c r="AK396" s="71"/>
    </row>
    <row r="397" spans="1:37" ht="12.75" customHeight="1" x14ac:dyDescent="0.2">
      <c r="A397" s="71"/>
      <c r="B397" s="71"/>
      <c r="C397" s="71"/>
      <c r="D397" s="71"/>
      <c r="E397" s="71"/>
      <c r="F397" s="71"/>
      <c r="G397" s="71"/>
      <c r="H397" s="71"/>
      <c r="I397" s="71"/>
      <c r="J397" s="71"/>
      <c r="K397" s="71"/>
      <c r="L397" s="71"/>
      <c r="M397" s="71"/>
      <c r="N397" s="71"/>
      <c r="O397" s="71"/>
      <c r="P397" s="71"/>
      <c r="Q397" s="71"/>
      <c r="R397" s="71"/>
      <c r="S397" s="71"/>
      <c r="T397" s="105"/>
      <c r="U397" s="71"/>
      <c r="V397" s="71"/>
      <c r="W397" s="71"/>
      <c r="X397" s="71"/>
      <c r="Y397" s="71"/>
      <c r="Z397" s="71"/>
      <c r="AA397" s="71"/>
      <c r="AB397" s="71"/>
      <c r="AC397" s="71"/>
      <c r="AD397" s="71"/>
      <c r="AE397" s="71"/>
      <c r="AF397" s="71"/>
      <c r="AG397" s="71"/>
      <c r="AH397" s="71"/>
      <c r="AI397" s="71"/>
      <c r="AJ397" s="71"/>
      <c r="AK397" s="71"/>
    </row>
    <row r="398" spans="1:37" ht="12.75" customHeight="1" x14ac:dyDescent="0.2">
      <c r="A398" s="71"/>
      <c r="B398" s="71"/>
      <c r="C398" s="71"/>
      <c r="D398" s="71"/>
      <c r="E398" s="71"/>
      <c r="F398" s="71"/>
      <c r="G398" s="71"/>
      <c r="H398" s="71"/>
      <c r="I398" s="71"/>
      <c r="J398" s="71"/>
      <c r="K398" s="71"/>
      <c r="L398" s="71"/>
      <c r="M398" s="71"/>
      <c r="N398" s="71"/>
      <c r="O398" s="71"/>
      <c r="P398" s="71"/>
      <c r="Q398" s="71"/>
      <c r="R398" s="71"/>
      <c r="S398" s="71"/>
      <c r="T398" s="105"/>
      <c r="U398" s="71"/>
      <c r="V398" s="71"/>
      <c r="W398" s="71"/>
      <c r="X398" s="71"/>
      <c r="Y398" s="71"/>
      <c r="Z398" s="71"/>
      <c r="AA398" s="71"/>
      <c r="AB398" s="71"/>
      <c r="AC398" s="71"/>
      <c r="AD398" s="71"/>
      <c r="AE398" s="71"/>
      <c r="AF398" s="71"/>
      <c r="AG398" s="71"/>
      <c r="AH398" s="71"/>
      <c r="AI398" s="71"/>
      <c r="AJ398" s="71"/>
      <c r="AK398" s="71"/>
    </row>
    <row r="399" spans="1:37" ht="12.75" customHeight="1" x14ac:dyDescent="0.2">
      <c r="A399" s="71"/>
      <c r="B399" s="71"/>
      <c r="C399" s="71"/>
      <c r="D399" s="71"/>
      <c r="E399" s="71"/>
      <c r="F399" s="71"/>
      <c r="G399" s="71"/>
      <c r="H399" s="71"/>
      <c r="I399" s="71"/>
      <c r="J399" s="71"/>
      <c r="K399" s="71"/>
      <c r="L399" s="71"/>
      <c r="M399" s="71"/>
      <c r="N399" s="71"/>
      <c r="O399" s="71"/>
      <c r="P399" s="71"/>
      <c r="Q399" s="71"/>
      <c r="R399" s="71"/>
      <c r="S399" s="71"/>
      <c r="T399" s="105"/>
      <c r="U399" s="71"/>
      <c r="V399" s="71"/>
      <c r="W399" s="71"/>
      <c r="X399" s="71"/>
      <c r="Y399" s="71"/>
      <c r="Z399" s="71"/>
      <c r="AA399" s="71"/>
      <c r="AB399" s="71"/>
      <c r="AC399" s="71"/>
      <c r="AD399" s="71"/>
      <c r="AE399" s="71"/>
      <c r="AF399" s="71"/>
      <c r="AG399" s="71"/>
      <c r="AH399" s="71"/>
      <c r="AI399" s="71"/>
      <c r="AJ399" s="71"/>
      <c r="AK399" s="71"/>
    </row>
    <row r="400" spans="1:37" ht="12.75" customHeight="1" x14ac:dyDescent="0.2">
      <c r="A400" s="71"/>
      <c r="B400" s="71"/>
      <c r="C400" s="71"/>
      <c r="D400" s="71"/>
      <c r="E400" s="71"/>
      <c r="F400" s="71"/>
      <c r="G400" s="71"/>
      <c r="H400" s="71"/>
      <c r="I400" s="71"/>
      <c r="J400" s="71"/>
      <c r="K400" s="71"/>
      <c r="L400" s="71"/>
      <c r="M400" s="71"/>
      <c r="N400" s="71"/>
      <c r="O400" s="71"/>
      <c r="P400" s="71"/>
      <c r="Q400" s="71"/>
      <c r="R400" s="71"/>
      <c r="S400" s="71"/>
      <c r="T400" s="105"/>
      <c r="U400" s="71"/>
      <c r="V400" s="71"/>
      <c r="W400" s="71"/>
      <c r="X400" s="71"/>
      <c r="Y400" s="71"/>
      <c r="Z400" s="71"/>
      <c r="AA400" s="71"/>
      <c r="AB400" s="71"/>
      <c r="AC400" s="71"/>
      <c r="AD400" s="71"/>
      <c r="AE400" s="71"/>
      <c r="AF400" s="71"/>
      <c r="AG400" s="71"/>
      <c r="AH400" s="71"/>
      <c r="AI400" s="71"/>
      <c r="AJ400" s="71"/>
      <c r="AK400" s="71"/>
    </row>
    <row r="401" spans="1:37" ht="12.75" customHeight="1" x14ac:dyDescent="0.2">
      <c r="A401" s="71"/>
      <c r="B401" s="71"/>
      <c r="C401" s="71"/>
      <c r="D401" s="71"/>
      <c r="E401" s="71"/>
      <c r="F401" s="71"/>
      <c r="G401" s="71"/>
      <c r="H401" s="71"/>
      <c r="I401" s="71"/>
      <c r="J401" s="71"/>
      <c r="K401" s="71"/>
      <c r="L401" s="71"/>
      <c r="M401" s="71"/>
      <c r="N401" s="71"/>
      <c r="O401" s="71"/>
      <c r="P401" s="71"/>
      <c r="Q401" s="71"/>
      <c r="R401" s="71"/>
      <c r="S401" s="71"/>
      <c r="T401" s="105"/>
      <c r="U401" s="71"/>
      <c r="V401" s="71"/>
      <c r="W401" s="71"/>
      <c r="X401" s="71"/>
      <c r="Y401" s="71"/>
      <c r="Z401" s="71"/>
      <c r="AA401" s="71"/>
      <c r="AB401" s="71"/>
      <c r="AC401" s="71"/>
      <c r="AD401" s="71"/>
      <c r="AE401" s="71"/>
      <c r="AF401" s="71"/>
      <c r="AG401" s="71"/>
      <c r="AH401" s="71"/>
      <c r="AI401" s="71"/>
      <c r="AJ401" s="71"/>
      <c r="AK401" s="71"/>
    </row>
    <row r="402" spans="1:37" ht="12.75" customHeight="1" x14ac:dyDescent="0.2">
      <c r="A402" s="71"/>
      <c r="B402" s="71"/>
      <c r="C402" s="71"/>
      <c r="D402" s="71"/>
      <c r="E402" s="71"/>
      <c r="F402" s="71"/>
      <c r="G402" s="71"/>
      <c r="H402" s="71"/>
      <c r="I402" s="71"/>
      <c r="J402" s="71"/>
      <c r="K402" s="71"/>
      <c r="L402" s="71"/>
      <c r="M402" s="71"/>
      <c r="N402" s="71"/>
      <c r="O402" s="71"/>
      <c r="P402" s="71"/>
      <c r="Q402" s="71"/>
      <c r="R402" s="71"/>
      <c r="S402" s="71"/>
      <c r="T402" s="105"/>
      <c r="U402" s="71"/>
      <c r="V402" s="71"/>
      <c r="W402" s="71"/>
      <c r="X402" s="71"/>
      <c r="Y402" s="71"/>
      <c r="Z402" s="71"/>
      <c r="AA402" s="71"/>
      <c r="AB402" s="71"/>
      <c r="AC402" s="71"/>
      <c r="AD402" s="71"/>
      <c r="AE402" s="71"/>
      <c r="AF402" s="71"/>
      <c r="AG402" s="71"/>
      <c r="AH402" s="71"/>
      <c r="AI402" s="71"/>
      <c r="AJ402" s="71"/>
      <c r="AK402" s="71"/>
    </row>
    <row r="403" spans="1:37" ht="12.75" customHeight="1" x14ac:dyDescent="0.2">
      <c r="A403" s="71"/>
      <c r="B403" s="71"/>
      <c r="C403" s="71"/>
      <c r="D403" s="71"/>
      <c r="E403" s="71"/>
      <c r="F403" s="71"/>
      <c r="G403" s="71"/>
      <c r="H403" s="71"/>
      <c r="I403" s="71"/>
      <c r="J403" s="71"/>
      <c r="K403" s="71"/>
      <c r="L403" s="71"/>
      <c r="M403" s="71"/>
      <c r="N403" s="71"/>
      <c r="O403" s="71"/>
      <c r="P403" s="71"/>
      <c r="Q403" s="71"/>
      <c r="R403" s="71"/>
      <c r="S403" s="71"/>
      <c r="T403" s="105"/>
      <c r="U403" s="71"/>
      <c r="V403" s="71"/>
      <c r="W403" s="71"/>
      <c r="X403" s="71"/>
      <c r="Y403" s="71"/>
      <c r="Z403" s="71"/>
      <c r="AA403" s="71"/>
      <c r="AB403" s="71"/>
      <c r="AC403" s="71"/>
      <c r="AD403" s="71"/>
      <c r="AE403" s="71"/>
      <c r="AF403" s="71"/>
      <c r="AG403" s="71"/>
      <c r="AH403" s="71"/>
      <c r="AI403" s="71"/>
      <c r="AJ403" s="71"/>
      <c r="AK403" s="71"/>
    </row>
    <row r="404" spans="1:37" ht="12.75" customHeight="1" x14ac:dyDescent="0.2">
      <c r="A404" s="71"/>
      <c r="B404" s="71"/>
      <c r="C404" s="71"/>
      <c r="D404" s="71"/>
      <c r="E404" s="71"/>
      <c r="F404" s="71"/>
      <c r="G404" s="71"/>
      <c r="H404" s="71"/>
      <c r="I404" s="71"/>
      <c r="J404" s="71"/>
      <c r="K404" s="71"/>
      <c r="L404" s="71"/>
      <c r="M404" s="71"/>
      <c r="N404" s="71"/>
      <c r="O404" s="71"/>
      <c r="P404" s="71"/>
      <c r="Q404" s="71"/>
      <c r="R404" s="71"/>
      <c r="S404" s="71"/>
      <c r="T404" s="105"/>
      <c r="U404" s="71"/>
      <c r="V404" s="71"/>
      <c r="W404" s="71"/>
      <c r="X404" s="71"/>
      <c r="Y404" s="71"/>
      <c r="Z404" s="71"/>
      <c r="AA404" s="71"/>
      <c r="AB404" s="71"/>
      <c r="AC404" s="71"/>
      <c r="AD404" s="71"/>
      <c r="AE404" s="71"/>
      <c r="AF404" s="71"/>
      <c r="AG404" s="71"/>
      <c r="AH404" s="71"/>
      <c r="AI404" s="71"/>
      <c r="AJ404" s="71"/>
      <c r="AK404" s="71"/>
    </row>
    <row r="405" spans="1:37" ht="12.75" customHeight="1" x14ac:dyDescent="0.2">
      <c r="A405" s="71"/>
      <c r="B405" s="71"/>
      <c r="C405" s="71"/>
      <c r="D405" s="71"/>
      <c r="E405" s="71"/>
      <c r="F405" s="71"/>
      <c r="G405" s="71"/>
      <c r="H405" s="71"/>
      <c r="I405" s="71"/>
      <c r="J405" s="71"/>
      <c r="K405" s="71"/>
      <c r="L405" s="71"/>
      <c r="M405" s="71"/>
      <c r="N405" s="71"/>
      <c r="O405" s="71"/>
      <c r="P405" s="71"/>
      <c r="Q405" s="71"/>
      <c r="R405" s="71"/>
      <c r="S405" s="71"/>
      <c r="T405" s="105"/>
      <c r="U405" s="71"/>
      <c r="V405" s="71"/>
      <c r="W405" s="71"/>
      <c r="X405" s="71"/>
      <c r="Y405" s="71"/>
      <c r="Z405" s="71"/>
      <c r="AA405" s="71"/>
      <c r="AB405" s="71"/>
      <c r="AC405" s="71"/>
      <c r="AD405" s="71"/>
      <c r="AE405" s="71"/>
      <c r="AF405" s="71"/>
      <c r="AG405" s="71"/>
      <c r="AH405" s="71"/>
      <c r="AI405" s="71"/>
      <c r="AJ405" s="71"/>
      <c r="AK405" s="71"/>
    </row>
    <row r="406" spans="1:37" ht="12.75" customHeight="1" x14ac:dyDescent="0.2">
      <c r="A406" s="71"/>
      <c r="B406" s="71"/>
      <c r="C406" s="71"/>
      <c r="D406" s="71"/>
      <c r="E406" s="71"/>
      <c r="F406" s="71"/>
      <c r="G406" s="71"/>
      <c r="H406" s="71"/>
      <c r="I406" s="71"/>
      <c r="J406" s="71"/>
      <c r="K406" s="71"/>
      <c r="L406" s="71"/>
      <c r="M406" s="71"/>
      <c r="N406" s="71"/>
      <c r="O406" s="71"/>
      <c r="P406" s="71"/>
      <c r="Q406" s="71"/>
      <c r="R406" s="71"/>
      <c r="S406" s="71"/>
      <c r="T406" s="105"/>
      <c r="U406" s="71"/>
      <c r="V406" s="71"/>
      <c r="W406" s="71"/>
      <c r="X406" s="71"/>
      <c r="Y406" s="71"/>
      <c r="Z406" s="71"/>
      <c r="AA406" s="71"/>
      <c r="AB406" s="71"/>
      <c r="AC406" s="71"/>
      <c r="AD406" s="71"/>
      <c r="AE406" s="71"/>
      <c r="AF406" s="71"/>
      <c r="AG406" s="71"/>
      <c r="AH406" s="71"/>
      <c r="AI406" s="71"/>
      <c r="AJ406" s="71"/>
      <c r="AK406" s="71"/>
    </row>
    <row r="407" spans="1:37" ht="12.75" customHeight="1" x14ac:dyDescent="0.2">
      <c r="A407" s="71"/>
      <c r="B407" s="71"/>
      <c r="C407" s="71"/>
      <c r="D407" s="71"/>
      <c r="E407" s="71"/>
      <c r="F407" s="71"/>
      <c r="G407" s="71"/>
      <c r="H407" s="71"/>
      <c r="I407" s="71"/>
      <c r="J407" s="71"/>
      <c r="K407" s="71"/>
      <c r="L407" s="71"/>
      <c r="M407" s="71"/>
      <c r="N407" s="71"/>
      <c r="O407" s="71"/>
      <c r="P407" s="71"/>
      <c r="Q407" s="71"/>
      <c r="R407" s="71"/>
      <c r="S407" s="71"/>
      <c r="T407" s="105"/>
      <c r="U407" s="71"/>
      <c r="V407" s="71"/>
      <c r="W407" s="71"/>
      <c r="X407" s="71"/>
      <c r="Y407" s="71"/>
      <c r="Z407" s="71"/>
      <c r="AA407" s="71"/>
      <c r="AB407" s="71"/>
      <c r="AC407" s="71"/>
      <c r="AD407" s="71"/>
      <c r="AE407" s="71"/>
      <c r="AF407" s="71"/>
      <c r="AG407" s="71"/>
      <c r="AH407" s="71"/>
      <c r="AI407" s="71"/>
      <c r="AJ407" s="71"/>
      <c r="AK407" s="71"/>
    </row>
    <row r="408" spans="1:37" ht="12.75" customHeight="1" x14ac:dyDescent="0.2">
      <c r="A408" s="71"/>
      <c r="B408" s="71"/>
      <c r="C408" s="71"/>
      <c r="D408" s="71"/>
      <c r="E408" s="71"/>
      <c r="F408" s="71"/>
      <c r="G408" s="71"/>
      <c r="H408" s="71"/>
      <c r="I408" s="71"/>
      <c r="J408" s="71"/>
      <c r="K408" s="71"/>
      <c r="L408" s="71"/>
      <c r="M408" s="71"/>
      <c r="N408" s="71"/>
      <c r="O408" s="71"/>
      <c r="P408" s="71"/>
      <c r="Q408" s="71"/>
      <c r="R408" s="71"/>
      <c r="S408" s="71"/>
      <c r="T408" s="105"/>
      <c r="U408" s="71"/>
      <c r="V408" s="71"/>
      <c r="W408" s="71"/>
      <c r="X408" s="71"/>
      <c r="Y408" s="71"/>
      <c r="Z408" s="71"/>
      <c r="AA408" s="71"/>
      <c r="AB408" s="71"/>
      <c r="AC408" s="71"/>
      <c r="AD408" s="71"/>
      <c r="AE408" s="71"/>
      <c r="AF408" s="71"/>
      <c r="AG408" s="71"/>
      <c r="AH408" s="71"/>
      <c r="AI408" s="71"/>
      <c r="AJ408" s="71"/>
      <c r="AK408" s="71"/>
    </row>
    <row r="409" spans="1:37" ht="12.75" customHeight="1" x14ac:dyDescent="0.2">
      <c r="A409" s="71"/>
      <c r="B409" s="71"/>
      <c r="C409" s="71"/>
      <c r="D409" s="71"/>
      <c r="E409" s="71"/>
      <c r="F409" s="71"/>
      <c r="G409" s="71"/>
      <c r="H409" s="71"/>
      <c r="I409" s="71"/>
      <c r="J409" s="71"/>
      <c r="K409" s="71"/>
      <c r="L409" s="71"/>
      <c r="M409" s="71"/>
      <c r="N409" s="71"/>
      <c r="O409" s="71"/>
      <c r="P409" s="71"/>
      <c r="Q409" s="71"/>
      <c r="R409" s="71"/>
      <c r="S409" s="71"/>
      <c r="T409" s="105"/>
      <c r="U409" s="71"/>
      <c r="V409" s="71"/>
      <c r="W409" s="71"/>
      <c r="X409" s="71"/>
      <c r="Y409" s="71"/>
      <c r="Z409" s="71"/>
      <c r="AA409" s="71"/>
      <c r="AB409" s="71"/>
      <c r="AC409" s="71"/>
      <c r="AD409" s="71"/>
      <c r="AE409" s="71"/>
      <c r="AF409" s="71"/>
      <c r="AG409" s="71"/>
      <c r="AH409" s="71"/>
      <c r="AI409" s="71"/>
      <c r="AJ409" s="71"/>
      <c r="AK409" s="71"/>
    </row>
    <row r="410" spans="1:37" ht="12.75" customHeight="1" x14ac:dyDescent="0.2">
      <c r="A410" s="71"/>
      <c r="B410" s="71"/>
      <c r="C410" s="71"/>
      <c r="D410" s="71"/>
      <c r="E410" s="71"/>
      <c r="F410" s="71"/>
      <c r="G410" s="71"/>
      <c r="H410" s="71"/>
      <c r="I410" s="71"/>
      <c r="J410" s="71"/>
      <c r="K410" s="71"/>
      <c r="L410" s="71"/>
      <c r="M410" s="71"/>
      <c r="N410" s="71"/>
      <c r="O410" s="71"/>
      <c r="P410" s="71"/>
      <c r="Q410" s="71"/>
      <c r="R410" s="71"/>
      <c r="S410" s="71"/>
      <c r="T410" s="105"/>
      <c r="U410" s="71"/>
      <c r="V410" s="71"/>
      <c r="W410" s="71"/>
      <c r="X410" s="71"/>
      <c r="Y410" s="71"/>
      <c r="Z410" s="71"/>
      <c r="AA410" s="71"/>
      <c r="AB410" s="71"/>
      <c r="AC410" s="71"/>
      <c r="AD410" s="71"/>
      <c r="AE410" s="71"/>
      <c r="AF410" s="71"/>
      <c r="AG410" s="71"/>
      <c r="AH410" s="71"/>
      <c r="AI410" s="71"/>
      <c r="AJ410" s="71"/>
      <c r="AK410" s="71"/>
    </row>
    <row r="411" spans="1:37" ht="12.75" customHeight="1" x14ac:dyDescent="0.2">
      <c r="A411" s="71"/>
      <c r="B411" s="71"/>
      <c r="C411" s="71"/>
      <c r="D411" s="71"/>
      <c r="E411" s="71"/>
      <c r="F411" s="71"/>
      <c r="G411" s="71"/>
      <c r="H411" s="71"/>
      <c r="I411" s="71"/>
      <c r="J411" s="71"/>
      <c r="K411" s="71"/>
      <c r="L411" s="71"/>
      <c r="M411" s="71"/>
      <c r="N411" s="71"/>
      <c r="O411" s="71"/>
      <c r="P411" s="71"/>
      <c r="Q411" s="71"/>
      <c r="R411" s="71"/>
      <c r="S411" s="71"/>
      <c r="T411" s="105"/>
      <c r="U411" s="71"/>
      <c r="V411" s="71"/>
      <c r="W411" s="71"/>
      <c r="X411" s="71"/>
      <c r="Y411" s="71"/>
      <c r="Z411" s="71"/>
      <c r="AA411" s="71"/>
      <c r="AB411" s="71"/>
      <c r="AC411" s="71"/>
      <c r="AD411" s="71"/>
      <c r="AE411" s="71"/>
      <c r="AF411" s="71"/>
      <c r="AG411" s="71"/>
      <c r="AH411" s="71"/>
      <c r="AI411" s="71"/>
      <c r="AJ411" s="71"/>
      <c r="AK411" s="71"/>
    </row>
    <row r="412" spans="1:37" ht="12.75" customHeight="1" x14ac:dyDescent="0.2">
      <c r="A412" s="71"/>
      <c r="B412" s="71"/>
      <c r="C412" s="71"/>
      <c r="D412" s="71"/>
      <c r="E412" s="71"/>
      <c r="F412" s="71"/>
      <c r="G412" s="71"/>
      <c r="H412" s="71"/>
      <c r="I412" s="71"/>
      <c r="J412" s="71"/>
      <c r="K412" s="71"/>
      <c r="L412" s="71"/>
      <c r="M412" s="71"/>
      <c r="N412" s="71"/>
      <c r="O412" s="71"/>
      <c r="P412" s="71"/>
      <c r="Q412" s="71"/>
      <c r="R412" s="71"/>
      <c r="S412" s="71"/>
      <c r="T412" s="105"/>
      <c r="U412" s="71"/>
      <c r="V412" s="71"/>
      <c r="W412" s="71"/>
      <c r="X412" s="71"/>
      <c r="Y412" s="71"/>
      <c r="Z412" s="71"/>
      <c r="AA412" s="71"/>
      <c r="AB412" s="71"/>
      <c r="AC412" s="71"/>
      <c r="AD412" s="71"/>
      <c r="AE412" s="71"/>
      <c r="AF412" s="71"/>
      <c r="AG412" s="71"/>
      <c r="AH412" s="71"/>
      <c r="AI412" s="71"/>
      <c r="AJ412" s="71"/>
      <c r="AK412" s="71"/>
    </row>
    <row r="413" spans="1:37" ht="12.75" customHeight="1" x14ac:dyDescent="0.2">
      <c r="A413" s="71"/>
      <c r="B413" s="71"/>
      <c r="C413" s="71"/>
      <c r="D413" s="71"/>
      <c r="E413" s="71"/>
      <c r="F413" s="71"/>
      <c r="G413" s="71"/>
      <c r="H413" s="71"/>
      <c r="I413" s="71"/>
      <c r="J413" s="71"/>
      <c r="K413" s="71"/>
      <c r="L413" s="71"/>
      <c r="M413" s="71"/>
      <c r="N413" s="71"/>
      <c r="O413" s="71"/>
      <c r="P413" s="71"/>
      <c r="Q413" s="71"/>
      <c r="R413" s="71"/>
      <c r="S413" s="71"/>
      <c r="T413" s="105"/>
      <c r="U413" s="71"/>
      <c r="V413" s="71"/>
      <c r="W413" s="71"/>
      <c r="X413" s="71"/>
      <c r="Y413" s="71"/>
      <c r="Z413" s="71"/>
      <c r="AA413" s="71"/>
      <c r="AB413" s="71"/>
      <c r="AC413" s="71"/>
      <c r="AD413" s="71"/>
      <c r="AE413" s="71"/>
      <c r="AF413" s="71"/>
      <c r="AG413" s="71"/>
      <c r="AH413" s="71"/>
      <c r="AI413" s="71"/>
      <c r="AJ413" s="71"/>
      <c r="AK413" s="71"/>
    </row>
    <row r="414" spans="1:37" ht="12.75" customHeight="1" x14ac:dyDescent="0.2">
      <c r="A414" s="71"/>
      <c r="B414" s="71"/>
      <c r="C414" s="71"/>
      <c r="D414" s="71"/>
      <c r="E414" s="71"/>
      <c r="F414" s="71"/>
      <c r="G414" s="71"/>
      <c r="H414" s="71"/>
      <c r="I414" s="71"/>
      <c r="J414" s="71"/>
      <c r="K414" s="71"/>
      <c r="L414" s="71"/>
      <c r="M414" s="71"/>
      <c r="N414" s="71"/>
      <c r="O414" s="71"/>
      <c r="P414" s="71"/>
      <c r="Q414" s="71"/>
      <c r="R414" s="71"/>
      <c r="S414" s="71"/>
      <c r="T414" s="105"/>
      <c r="U414" s="71"/>
      <c r="V414" s="71"/>
      <c r="W414" s="71"/>
      <c r="X414" s="71"/>
      <c r="Y414" s="71"/>
      <c r="Z414" s="71"/>
      <c r="AA414" s="71"/>
      <c r="AB414" s="71"/>
      <c r="AC414" s="71"/>
      <c r="AD414" s="71"/>
      <c r="AE414" s="71"/>
      <c r="AF414" s="71"/>
      <c r="AG414" s="71"/>
      <c r="AH414" s="71"/>
      <c r="AI414" s="71"/>
      <c r="AJ414" s="71"/>
      <c r="AK414" s="71"/>
    </row>
    <row r="415" spans="1:37" ht="12.75" customHeight="1" x14ac:dyDescent="0.2">
      <c r="A415" s="71"/>
      <c r="B415" s="71"/>
      <c r="C415" s="71"/>
      <c r="D415" s="71"/>
      <c r="E415" s="71"/>
      <c r="F415" s="71"/>
      <c r="G415" s="71"/>
      <c r="H415" s="71"/>
      <c r="I415" s="71"/>
      <c r="J415" s="71"/>
      <c r="K415" s="71"/>
      <c r="L415" s="71"/>
      <c r="M415" s="71"/>
      <c r="N415" s="71"/>
      <c r="O415" s="71"/>
      <c r="P415" s="71"/>
      <c r="Q415" s="71"/>
      <c r="R415" s="71"/>
      <c r="S415" s="71"/>
      <c r="T415" s="105"/>
      <c r="U415" s="71"/>
      <c r="V415" s="71"/>
      <c r="W415" s="71"/>
      <c r="X415" s="71"/>
      <c r="Y415" s="71"/>
      <c r="Z415" s="71"/>
      <c r="AA415" s="71"/>
      <c r="AB415" s="71"/>
      <c r="AC415" s="71"/>
      <c r="AD415" s="71"/>
      <c r="AE415" s="71"/>
      <c r="AF415" s="71"/>
      <c r="AG415" s="71"/>
      <c r="AH415" s="71"/>
      <c r="AI415" s="71"/>
      <c r="AJ415" s="71"/>
      <c r="AK415" s="71"/>
    </row>
    <row r="416" spans="1:37" ht="12.75" customHeight="1" x14ac:dyDescent="0.2">
      <c r="A416" s="71"/>
      <c r="B416" s="71"/>
      <c r="C416" s="71"/>
      <c r="D416" s="71"/>
      <c r="E416" s="71"/>
      <c r="F416" s="71"/>
      <c r="G416" s="71"/>
      <c r="H416" s="71"/>
      <c r="I416" s="71"/>
      <c r="J416" s="71"/>
      <c r="K416" s="71"/>
      <c r="L416" s="71"/>
      <c r="M416" s="71"/>
      <c r="N416" s="71"/>
      <c r="O416" s="71"/>
      <c r="P416" s="71"/>
      <c r="Q416" s="71"/>
      <c r="R416" s="71"/>
      <c r="S416" s="71"/>
      <c r="T416" s="105"/>
      <c r="U416" s="71"/>
      <c r="V416" s="71"/>
      <c r="W416" s="71"/>
      <c r="X416" s="71"/>
      <c r="Y416" s="71"/>
      <c r="Z416" s="71"/>
      <c r="AA416" s="71"/>
      <c r="AB416" s="71"/>
      <c r="AC416" s="71"/>
      <c r="AD416" s="71"/>
      <c r="AE416" s="71"/>
      <c r="AF416" s="71"/>
      <c r="AG416" s="71"/>
      <c r="AH416" s="71"/>
      <c r="AI416" s="71"/>
      <c r="AJ416" s="71"/>
      <c r="AK416" s="71"/>
    </row>
    <row r="417" spans="1:37" ht="12.75" customHeight="1" x14ac:dyDescent="0.2">
      <c r="A417" s="71"/>
      <c r="B417" s="71"/>
      <c r="C417" s="71"/>
      <c r="D417" s="71"/>
      <c r="E417" s="71"/>
      <c r="F417" s="71"/>
      <c r="G417" s="71"/>
      <c r="H417" s="71"/>
      <c r="I417" s="71"/>
      <c r="J417" s="71"/>
      <c r="K417" s="71"/>
      <c r="L417" s="71"/>
      <c r="M417" s="71"/>
      <c r="N417" s="71"/>
      <c r="O417" s="71"/>
      <c r="P417" s="71"/>
      <c r="Q417" s="71"/>
      <c r="R417" s="71"/>
      <c r="S417" s="71"/>
      <c r="T417" s="105"/>
      <c r="U417" s="71"/>
      <c r="V417" s="71"/>
      <c r="W417" s="71"/>
      <c r="X417" s="71"/>
      <c r="Y417" s="71"/>
      <c r="Z417" s="71"/>
      <c r="AA417" s="71"/>
      <c r="AB417" s="71"/>
      <c r="AC417" s="71"/>
      <c r="AD417" s="71"/>
      <c r="AE417" s="71"/>
      <c r="AF417" s="71"/>
      <c r="AG417" s="71"/>
      <c r="AH417" s="71"/>
      <c r="AI417" s="71"/>
      <c r="AJ417" s="71"/>
      <c r="AK417" s="71"/>
    </row>
    <row r="418" spans="1:37" ht="12.75" customHeight="1" x14ac:dyDescent="0.2">
      <c r="A418" s="71"/>
      <c r="B418" s="71"/>
      <c r="C418" s="71"/>
      <c r="D418" s="71"/>
      <c r="E418" s="71"/>
      <c r="F418" s="71"/>
      <c r="G418" s="71"/>
      <c r="H418" s="71"/>
      <c r="I418" s="71"/>
      <c r="J418" s="71"/>
      <c r="K418" s="71"/>
      <c r="L418" s="71"/>
      <c r="M418" s="71"/>
      <c r="N418" s="71"/>
      <c r="O418" s="71"/>
      <c r="P418" s="71"/>
      <c r="Q418" s="71"/>
      <c r="R418" s="71"/>
      <c r="S418" s="71"/>
      <c r="T418" s="105"/>
      <c r="U418" s="71"/>
      <c r="V418" s="71"/>
      <c r="W418" s="71"/>
      <c r="X418" s="71"/>
      <c r="Y418" s="71"/>
      <c r="Z418" s="71"/>
      <c r="AA418" s="71"/>
      <c r="AB418" s="71"/>
      <c r="AC418" s="71"/>
      <c r="AD418" s="71"/>
      <c r="AE418" s="71"/>
      <c r="AF418" s="71"/>
      <c r="AG418" s="71"/>
      <c r="AH418" s="71"/>
      <c r="AI418" s="71"/>
      <c r="AJ418" s="71"/>
      <c r="AK418" s="71"/>
    </row>
    <row r="419" spans="1:37" ht="12.75" customHeight="1" x14ac:dyDescent="0.2">
      <c r="A419" s="71"/>
      <c r="B419" s="71"/>
      <c r="C419" s="71"/>
      <c r="D419" s="71"/>
      <c r="E419" s="71"/>
      <c r="F419" s="71"/>
      <c r="G419" s="71"/>
      <c r="H419" s="71"/>
      <c r="I419" s="71"/>
      <c r="J419" s="71"/>
      <c r="K419" s="71"/>
      <c r="L419" s="71"/>
      <c r="M419" s="71"/>
      <c r="N419" s="71"/>
      <c r="O419" s="71"/>
      <c r="P419" s="71"/>
      <c r="Q419" s="71"/>
      <c r="R419" s="71"/>
      <c r="S419" s="71"/>
      <c r="T419" s="105"/>
      <c r="U419" s="71"/>
      <c r="V419" s="71"/>
      <c r="W419" s="71"/>
      <c r="X419" s="71"/>
      <c r="Y419" s="71"/>
      <c r="Z419" s="71"/>
      <c r="AA419" s="71"/>
      <c r="AB419" s="71"/>
      <c r="AC419" s="71"/>
      <c r="AD419" s="71"/>
      <c r="AE419" s="71"/>
      <c r="AF419" s="71"/>
      <c r="AG419" s="71"/>
      <c r="AH419" s="71"/>
      <c r="AI419" s="71"/>
      <c r="AJ419" s="71"/>
      <c r="AK419" s="71"/>
    </row>
    <row r="420" spans="1:37" ht="12.75" customHeight="1" x14ac:dyDescent="0.2">
      <c r="A420" s="71"/>
      <c r="B420" s="71"/>
      <c r="C420" s="71"/>
      <c r="D420" s="71"/>
      <c r="E420" s="71"/>
      <c r="F420" s="71"/>
      <c r="G420" s="71"/>
      <c r="H420" s="71"/>
      <c r="I420" s="71"/>
      <c r="J420" s="71"/>
      <c r="K420" s="71"/>
      <c r="L420" s="71"/>
      <c r="M420" s="71"/>
      <c r="N420" s="71"/>
      <c r="O420" s="71"/>
      <c r="P420" s="71"/>
      <c r="Q420" s="71"/>
      <c r="R420" s="71"/>
      <c r="S420" s="71"/>
      <c r="T420" s="105"/>
      <c r="U420" s="71"/>
      <c r="V420" s="71"/>
      <c r="W420" s="71"/>
      <c r="X420" s="71"/>
      <c r="Y420" s="71"/>
      <c r="Z420" s="71"/>
      <c r="AA420" s="71"/>
      <c r="AB420" s="71"/>
      <c r="AC420" s="71"/>
      <c r="AD420" s="71"/>
      <c r="AE420" s="71"/>
      <c r="AF420" s="71"/>
      <c r="AG420" s="71"/>
      <c r="AH420" s="71"/>
      <c r="AI420" s="71"/>
      <c r="AJ420" s="71"/>
      <c r="AK420" s="71"/>
    </row>
    <row r="421" spans="1:37" ht="12.75" customHeight="1" x14ac:dyDescent="0.2">
      <c r="A421" s="71"/>
      <c r="B421" s="71"/>
      <c r="C421" s="71"/>
      <c r="D421" s="71"/>
      <c r="E421" s="71"/>
      <c r="F421" s="71"/>
      <c r="G421" s="71"/>
      <c r="H421" s="71"/>
      <c r="I421" s="71"/>
      <c r="J421" s="71"/>
      <c r="K421" s="71"/>
      <c r="L421" s="71"/>
      <c r="M421" s="71"/>
      <c r="N421" s="71"/>
      <c r="O421" s="71"/>
      <c r="P421" s="71"/>
      <c r="Q421" s="71"/>
      <c r="R421" s="71"/>
      <c r="S421" s="71"/>
      <c r="T421" s="105"/>
      <c r="U421" s="71"/>
      <c r="V421" s="71"/>
      <c r="W421" s="71"/>
      <c r="X421" s="71"/>
      <c r="Y421" s="71"/>
      <c r="Z421" s="71"/>
      <c r="AA421" s="71"/>
      <c r="AB421" s="71"/>
      <c r="AC421" s="71"/>
      <c r="AD421" s="71"/>
      <c r="AE421" s="71"/>
      <c r="AF421" s="71"/>
      <c r="AG421" s="71"/>
      <c r="AH421" s="71"/>
      <c r="AI421" s="71"/>
      <c r="AJ421" s="71"/>
      <c r="AK421" s="71"/>
    </row>
    <row r="422" spans="1:37" ht="12.75" customHeight="1" x14ac:dyDescent="0.2">
      <c r="A422" s="71"/>
      <c r="B422" s="71"/>
      <c r="C422" s="71"/>
      <c r="D422" s="71"/>
      <c r="E422" s="71"/>
      <c r="F422" s="71"/>
      <c r="G422" s="71"/>
      <c r="H422" s="71"/>
      <c r="I422" s="71"/>
      <c r="J422" s="71"/>
      <c r="K422" s="71"/>
      <c r="L422" s="71"/>
      <c r="M422" s="71"/>
      <c r="N422" s="71"/>
      <c r="O422" s="71"/>
      <c r="P422" s="71"/>
      <c r="Q422" s="71"/>
      <c r="R422" s="71"/>
      <c r="S422" s="71"/>
      <c r="T422" s="105"/>
      <c r="U422" s="71"/>
      <c r="V422" s="71"/>
      <c r="W422" s="71"/>
      <c r="X422" s="71"/>
      <c r="Y422" s="71"/>
      <c r="Z422" s="71"/>
      <c r="AA422" s="71"/>
      <c r="AB422" s="71"/>
      <c r="AC422" s="71"/>
      <c r="AD422" s="71"/>
      <c r="AE422" s="71"/>
      <c r="AF422" s="71"/>
      <c r="AG422" s="71"/>
      <c r="AH422" s="71"/>
      <c r="AI422" s="71"/>
      <c r="AJ422" s="71"/>
      <c r="AK422" s="71"/>
    </row>
    <row r="423" spans="1:37" ht="12.75" customHeight="1" x14ac:dyDescent="0.2">
      <c r="A423" s="71"/>
      <c r="B423" s="71"/>
      <c r="C423" s="71"/>
      <c r="D423" s="71"/>
      <c r="E423" s="71"/>
      <c r="F423" s="71"/>
      <c r="G423" s="71"/>
      <c r="H423" s="71"/>
      <c r="I423" s="71"/>
      <c r="J423" s="71"/>
      <c r="K423" s="71"/>
      <c r="L423" s="71"/>
      <c r="M423" s="71"/>
      <c r="N423" s="71"/>
      <c r="O423" s="71"/>
      <c r="P423" s="71"/>
      <c r="Q423" s="71"/>
      <c r="R423" s="71"/>
      <c r="S423" s="71"/>
      <c r="T423" s="105"/>
      <c r="U423" s="71"/>
      <c r="V423" s="71"/>
      <c r="W423" s="71"/>
      <c r="X423" s="71"/>
      <c r="Y423" s="71"/>
      <c r="Z423" s="71"/>
      <c r="AA423" s="71"/>
      <c r="AB423" s="71"/>
      <c r="AC423" s="71"/>
      <c r="AD423" s="71"/>
      <c r="AE423" s="71"/>
      <c r="AF423" s="71"/>
      <c r="AG423" s="71"/>
      <c r="AH423" s="71"/>
      <c r="AI423" s="71"/>
      <c r="AJ423" s="71"/>
      <c r="AK423" s="71"/>
    </row>
    <row r="424" spans="1:37" ht="12.75" customHeight="1" x14ac:dyDescent="0.2">
      <c r="A424" s="71"/>
      <c r="B424" s="71"/>
      <c r="C424" s="71"/>
      <c r="D424" s="71"/>
      <c r="E424" s="71"/>
      <c r="F424" s="71"/>
      <c r="G424" s="71"/>
      <c r="H424" s="71"/>
      <c r="I424" s="71"/>
      <c r="J424" s="71"/>
      <c r="K424" s="71"/>
      <c r="L424" s="71"/>
      <c r="M424" s="71"/>
      <c r="N424" s="71"/>
      <c r="O424" s="71"/>
      <c r="P424" s="71"/>
      <c r="Q424" s="71"/>
      <c r="R424" s="71"/>
      <c r="S424" s="71"/>
      <c r="T424" s="105"/>
      <c r="U424" s="71"/>
      <c r="V424" s="71"/>
      <c r="W424" s="71"/>
      <c r="X424" s="71"/>
      <c r="Y424" s="71"/>
      <c r="Z424" s="71"/>
      <c r="AA424" s="71"/>
      <c r="AB424" s="71"/>
      <c r="AC424" s="71"/>
      <c r="AD424" s="71"/>
      <c r="AE424" s="71"/>
      <c r="AF424" s="71"/>
      <c r="AG424" s="71"/>
      <c r="AH424" s="71"/>
      <c r="AI424" s="71"/>
      <c r="AJ424" s="71"/>
      <c r="AK424" s="71"/>
    </row>
    <row r="425" spans="1:37" ht="12.75" customHeight="1" x14ac:dyDescent="0.2">
      <c r="A425" s="71"/>
      <c r="B425" s="71"/>
      <c r="C425" s="71"/>
      <c r="D425" s="71"/>
      <c r="E425" s="71"/>
      <c r="F425" s="71"/>
      <c r="G425" s="71"/>
      <c r="H425" s="71"/>
      <c r="I425" s="71"/>
      <c r="J425" s="71"/>
      <c r="K425" s="71"/>
      <c r="L425" s="71"/>
      <c r="M425" s="71"/>
      <c r="N425" s="71"/>
      <c r="O425" s="71"/>
      <c r="P425" s="71"/>
      <c r="Q425" s="71"/>
      <c r="R425" s="71"/>
      <c r="S425" s="71"/>
      <c r="T425" s="105"/>
      <c r="U425" s="71"/>
      <c r="V425" s="71"/>
      <c r="W425" s="71"/>
      <c r="X425" s="71"/>
      <c r="Y425" s="71"/>
      <c r="Z425" s="71"/>
      <c r="AA425" s="71"/>
      <c r="AB425" s="71"/>
      <c r="AC425" s="71"/>
      <c r="AD425" s="71"/>
      <c r="AE425" s="71"/>
      <c r="AF425" s="71"/>
      <c r="AG425" s="71"/>
      <c r="AH425" s="71"/>
      <c r="AI425" s="71"/>
      <c r="AJ425" s="71"/>
      <c r="AK425" s="71"/>
    </row>
    <row r="426" spans="1:37" ht="12.75" customHeight="1" x14ac:dyDescent="0.2">
      <c r="A426" s="71"/>
      <c r="B426" s="71"/>
      <c r="C426" s="71"/>
      <c r="D426" s="71"/>
      <c r="E426" s="71"/>
      <c r="F426" s="71"/>
      <c r="G426" s="71"/>
      <c r="H426" s="71"/>
      <c r="I426" s="71"/>
      <c r="J426" s="71"/>
      <c r="K426" s="71"/>
      <c r="L426" s="71"/>
      <c r="M426" s="71"/>
      <c r="N426" s="71"/>
      <c r="O426" s="71"/>
      <c r="P426" s="71"/>
      <c r="Q426" s="71"/>
      <c r="R426" s="71"/>
      <c r="S426" s="71"/>
      <c r="T426" s="105"/>
      <c r="U426" s="71"/>
      <c r="V426" s="71"/>
      <c r="W426" s="71"/>
      <c r="X426" s="71"/>
      <c r="Y426" s="71"/>
      <c r="Z426" s="71"/>
      <c r="AA426" s="71"/>
      <c r="AB426" s="71"/>
      <c r="AC426" s="71"/>
      <c r="AD426" s="71"/>
      <c r="AE426" s="71"/>
      <c r="AF426" s="71"/>
      <c r="AG426" s="71"/>
      <c r="AH426" s="71"/>
      <c r="AI426" s="71"/>
      <c r="AJ426" s="71"/>
      <c r="AK426" s="71"/>
    </row>
    <row r="427" spans="1:37" ht="12.75" customHeight="1" x14ac:dyDescent="0.2">
      <c r="A427" s="71"/>
      <c r="B427" s="71"/>
      <c r="C427" s="71"/>
      <c r="D427" s="71"/>
      <c r="E427" s="71"/>
      <c r="F427" s="71"/>
      <c r="G427" s="71"/>
      <c r="H427" s="71"/>
      <c r="I427" s="71"/>
      <c r="J427" s="71"/>
      <c r="K427" s="71"/>
      <c r="L427" s="71"/>
      <c r="M427" s="71"/>
      <c r="N427" s="71"/>
      <c r="O427" s="71"/>
      <c r="P427" s="71"/>
      <c r="Q427" s="71"/>
      <c r="R427" s="71"/>
      <c r="S427" s="71"/>
      <c r="T427" s="105"/>
      <c r="U427" s="71"/>
      <c r="V427" s="71"/>
      <c r="W427" s="71"/>
      <c r="X427" s="71"/>
      <c r="Y427" s="71"/>
      <c r="Z427" s="71"/>
      <c r="AA427" s="71"/>
      <c r="AB427" s="71"/>
      <c r="AC427" s="71"/>
      <c r="AD427" s="71"/>
      <c r="AE427" s="71"/>
      <c r="AF427" s="71"/>
      <c r="AG427" s="71"/>
      <c r="AH427" s="71"/>
      <c r="AI427" s="71"/>
      <c r="AJ427" s="71"/>
      <c r="AK427" s="71"/>
    </row>
    <row r="428" spans="1:37" ht="12.75" customHeight="1" x14ac:dyDescent="0.2">
      <c r="A428" s="71"/>
      <c r="B428" s="71"/>
      <c r="C428" s="71"/>
      <c r="D428" s="71"/>
      <c r="E428" s="71"/>
      <c r="F428" s="71"/>
      <c r="G428" s="71"/>
      <c r="H428" s="71"/>
      <c r="I428" s="71"/>
      <c r="J428" s="71"/>
      <c r="K428" s="71"/>
      <c r="L428" s="71"/>
      <c r="M428" s="71"/>
      <c r="N428" s="71"/>
      <c r="O428" s="71"/>
      <c r="P428" s="71"/>
      <c r="Q428" s="71"/>
      <c r="R428" s="71"/>
      <c r="S428" s="71"/>
      <c r="T428" s="105"/>
      <c r="U428" s="71"/>
      <c r="V428" s="71"/>
      <c r="W428" s="71"/>
      <c r="X428" s="71"/>
      <c r="Y428" s="71"/>
      <c r="Z428" s="71"/>
      <c r="AA428" s="71"/>
      <c r="AB428" s="71"/>
      <c r="AC428" s="71"/>
      <c r="AD428" s="71"/>
      <c r="AE428" s="71"/>
      <c r="AF428" s="71"/>
      <c r="AG428" s="71"/>
      <c r="AH428" s="71"/>
      <c r="AI428" s="71"/>
      <c r="AJ428" s="71"/>
      <c r="AK428" s="71"/>
    </row>
    <row r="429" spans="1:37" ht="12.75" customHeight="1" x14ac:dyDescent="0.2">
      <c r="A429" s="71"/>
      <c r="B429" s="71"/>
      <c r="C429" s="71"/>
      <c r="D429" s="71"/>
      <c r="E429" s="71"/>
      <c r="F429" s="71"/>
      <c r="G429" s="71"/>
      <c r="H429" s="71"/>
      <c r="I429" s="71"/>
      <c r="J429" s="71"/>
      <c r="K429" s="71"/>
      <c r="L429" s="71"/>
      <c r="M429" s="71"/>
      <c r="N429" s="71"/>
      <c r="O429" s="71"/>
      <c r="P429" s="71"/>
      <c r="Q429" s="71"/>
      <c r="R429" s="71"/>
      <c r="S429" s="71"/>
      <c r="T429" s="105"/>
      <c r="U429" s="71"/>
      <c r="V429" s="71"/>
      <c r="W429" s="71"/>
      <c r="X429" s="71"/>
      <c r="Y429" s="71"/>
      <c r="Z429" s="71"/>
      <c r="AA429" s="71"/>
      <c r="AB429" s="71"/>
      <c r="AC429" s="71"/>
      <c r="AD429" s="71"/>
      <c r="AE429" s="71"/>
      <c r="AF429" s="71"/>
      <c r="AG429" s="71"/>
      <c r="AH429" s="71"/>
      <c r="AI429" s="71"/>
      <c r="AJ429" s="71"/>
      <c r="AK429" s="71"/>
    </row>
    <row r="430" spans="1:37" ht="12.75" customHeight="1" x14ac:dyDescent="0.2">
      <c r="A430" s="71"/>
      <c r="B430" s="71"/>
      <c r="C430" s="71"/>
      <c r="D430" s="71"/>
      <c r="E430" s="71"/>
      <c r="F430" s="71"/>
      <c r="G430" s="71"/>
      <c r="H430" s="71"/>
      <c r="I430" s="71"/>
      <c r="J430" s="71"/>
      <c r="K430" s="71"/>
      <c r="L430" s="71"/>
      <c r="M430" s="71"/>
      <c r="N430" s="71"/>
      <c r="O430" s="71"/>
      <c r="P430" s="71"/>
      <c r="Q430" s="71"/>
      <c r="R430" s="71"/>
      <c r="S430" s="71"/>
      <c r="T430" s="105"/>
      <c r="U430" s="71"/>
      <c r="V430" s="71"/>
      <c r="W430" s="71"/>
      <c r="X430" s="71"/>
      <c r="Y430" s="71"/>
      <c r="Z430" s="71"/>
      <c r="AA430" s="71"/>
      <c r="AB430" s="71"/>
      <c r="AC430" s="71"/>
      <c r="AD430" s="71"/>
      <c r="AE430" s="71"/>
      <c r="AF430" s="71"/>
      <c r="AG430" s="71"/>
      <c r="AH430" s="71"/>
      <c r="AI430" s="71"/>
      <c r="AJ430" s="71"/>
      <c r="AK430" s="71"/>
    </row>
    <row r="431" spans="1:37" ht="12.75" customHeight="1" x14ac:dyDescent="0.2">
      <c r="A431" s="71"/>
      <c r="B431" s="71"/>
      <c r="C431" s="71"/>
      <c r="D431" s="71"/>
      <c r="E431" s="71"/>
      <c r="F431" s="71"/>
      <c r="G431" s="71"/>
      <c r="H431" s="71"/>
      <c r="I431" s="71"/>
      <c r="J431" s="71"/>
      <c r="K431" s="71"/>
      <c r="L431" s="71"/>
      <c r="M431" s="71"/>
      <c r="N431" s="71"/>
      <c r="O431" s="71"/>
      <c r="P431" s="71"/>
      <c r="Q431" s="71"/>
      <c r="R431" s="71"/>
      <c r="S431" s="71"/>
      <c r="T431" s="105"/>
      <c r="U431" s="71"/>
      <c r="V431" s="71"/>
      <c r="W431" s="71"/>
      <c r="X431" s="71"/>
      <c r="Y431" s="71"/>
      <c r="Z431" s="71"/>
      <c r="AA431" s="71"/>
      <c r="AB431" s="71"/>
      <c r="AC431" s="71"/>
      <c r="AD431" s="71"/>
      <c r="AE431" s="71"/>
      <c r="AF431" s="71"/>
      <c r="AG431" s="71"/>
      <c r="AH431" s="71"/>
      <c r="AI431" s="71"/>
      <c r="AJ431" s="71"/>
      <c r="AK431" s="71"/>
    </row>
    <row r="432" spans="1:37" ht="12.75" customHeight="1" x14ac:dyDescent="0.2">
      <c r="A432" s="71"/>
      <c r="B432" s="71"/>
      <c r="C432" s="71"/>
      <c r="D432" s="71"/>
      <c r="E432" s="71"/>
      <c r="F432" s="71"/>
      <c r="G432" s="71"/>
      <c r="H432" s="71"/>
      <c r="I432" s="71"/>
      <c r="J432" s="71"/>
      <c r="K432" s="71"/>
      <c r="L432" s="71"/>
      <c r="M432" s="71"/>
      <c r="N432" s="71"/>
      <c r="O432" s="71"/>
      <c r="P432" s="71"/>
      <c r="Q432" s="71"/>
      <c r="R432" s="71"/>
      <c r="S432" s="71"/>
      <c r="T432" s="105"/>
      <c r="U432" s="71"/>
      <c r="V432" s="71"/>
      <c r="W432" s="71"/>
      <c r="X432" s="71"/>
      <c r="Y432" s="71"/>
      <c r="Z432" s="71"/>
      <c r="AA432" s="71"/>
      <c r="AB432" s="71"/>
      <c r="AC432" s="71"/>
      <c r="AD432" s="71"/>
      <c r="AE432" s="71"/>
      <c r="AF432" s="71"/>
      <c r="AG432" s="71"/>
      <c r="AH432" s="71"/>
      <c r="AI432" s="71"/>
      <c r="AJ432" s="71"/>
      <c r="AK432" s="71"/>
    </row>
    <row r="433" spans="1:37" ht="12.75" customHeight="1" x14ac:dyDescent="0.2">
      <c r="A433" s="71"/>
      <c r="B433" s="71"/>
      <c r="C433" s="71"/>
      <c r="D433" s="71"/>
      <c r="E433" s="71"/>
      <c r="F433" s="71"/>
      <c r="G433" s="71"/>
      <c r="H433" s="71"/>
      <c r="I433" s="71"/>
      <c r="J433" s="71"/>
      <c r="K433" s="71"/>
      <c r="L433" s="71"/>
      <c r="M433" s="71"/>
      <c r="N433" s="71"/>
      <c r="O433" s="71"/>
      <c r="P433" s="71"/>
      <c r="Q433" s="71"/>
      <c r="R433" s="71"/>
      <c r="S433" s="71"/>
      <c r="T433" s="105"/>
      <c r="U433" s="71"/>
      <c r="V433" s="71"/>
      <c r="W433" s="71"/>
      <c r="X433" s="71"/>
      <c r="Y433" s="71"/>
      <c r="Z433" s="71"/>
      <c r="AA433" s="71"/>
      <c r="AB433" s="71"/>
      <c r="AC433" s="71"/>
      <c r="AD433" s="71"/>
      <c r="AE433" s="71"/>
      <c r="AF433" s="71"/>
      <c r="AG433" s="71"/>
      <c r="AH433" s="71"/>
      <c r="AI433" s="71"/>
      <c r="AJ433" s="71"/>
      <c r="AK433" s="71"/>
    </row>
    <row r="434" spans="1:37" ht="12.75" customHeight="1" x14ac:dyDescent="0.2">
      <c r="A434" s="71"/>
      <c r="B434" s="71"/>
      <c r="C434" s="71"/>
      <c r="D434" s="71"/>
      <c r="E434" s="71"/>
      <c r="F434" s="71"/>
      <c r="G434" s="71"/>
      <c r="H434" s="71"/>
      <c r="I434" s="71"/>
      <c r="J434" s="71"/>
      <c r="K434" s="71"/>
      <c r="L434" s="71"/>
      <c r="M434" s="71"/>
      <c r="N434" s="71"/>
      <c r="O434" s="71"/>
      <c r="P434" s="71"/>
      <c r="Q434" s="71"/>
      <c r="R434" s="71"/>
      <c r="S434" s="71"/>
      <c r="T434" s="105"/>
      <c r="U434" s="71"/>
      <c r="V434" s="71"/>
      <c r="W434" s="71"/>
      <c r="X434" s="71"/>
      <c r="Y434" s="71"/>
      <c r="Z434" s="71"/>
      <c r="AA434" s="71"/>
      <c r="AB434" s="71"/>
      <c r="AC434" s="71"/>
      <c r="AD434" s="71"/>
      <c r="AE434" s="71"/>
      <c r="AF434" s="71"/>
      <c r="AG434" s="71"/>
      <c r="AH434" s="71"/>
      <c r="AI434" s="71"/>
      <c r="AJ434" s="71"/>
      <c r="AK434" s="71"/>
    </row>
    <row r="435" spans="1:37" ht="12.75" customHeight="1" x14ac:dyDescent="0.2">
      <c r="A435" s="71"/>
      <c r="B435" s="71"/>
      <c r="C435" s="71"/>
      <c r="D435" s="71"/>
      <c r="E435" s="71"/>
      <c r="F435" s="71"/>
      <c r="G435" s="71"/>
      <c r="H435" s="71"/>
      <c r="I435" s="71"/>
      <c r="J435" s="71"/>
      <c r="K435" s="71"/>
      <c r="L435" s="71"/>
      <c r="M435" s="71"/>
      <c r="N435" s="71"/>
      <c r="O435" s="71"/>
      <c r="P435" s="71"/>
      <c r="Q435" s="71"/>
      <c r="R435" s="71"/>
      <c r="S435" s="71"/>
      <c r="T435" s="105"/>
      <c r="U435" s="71"/>
      <c r="V435" s="71"/>
      <c r="W435" s="71"/>
      <c r="X435" s="71"/>
      <c r="Y435" s="71"/>
      <c r="Z435" s="71"/>
      <c r="AA435" s="71"/>
      <c r="AB435" s="71"/>
      <c r="AC435" s="71"/>
      <c r="AD435" s="71"/>
      <c r="AE435" s="71"/>
      <c r="AF435" s="71"/>
      <c r="AG435" s="71"/>
      <c r="AH435" s="71"/>
      <c r="AI435" s="71"/>
      <c r="AJ435" s="71"/>
      <c r="AK435" s="71"/>
    </row>
    <row r="436" spans="1:37" ht="12.75" customHeight="1" x14ac:dyDescent="0.2">
      <c r="A436" s="71"/>
      <c r="B436" s="71"/>
      <c r="C436" s="71"/>
      <c r="D436" s="71"/>
      <c r="E436" s="71"/>
      <c r="F436" s="71"/>
      <c r="G436" s="71"/>
      <c r="H436" s="71"/>
      <c r="I436" s="71"/>
      <c r="J436" s="71"/>
      <c r="K436" s="71"/>
      <c r="L436" s="71"/>
      <c r="M436" s="71"/>
      <c r="N436" s="71"/>
      <c r="O436" s="71"/>
      <c r="P436" s="71"/>
      <c r="Q436" s="71"/>
      <c r="R436" s="71"/>
      <c r="S436" s="71"/>
      <c r="T436" s="105"/>
      <c r="U436" s="71"/>
      <c r="V436" s="71"/>
      <c r="W436" s="71"/>
      <c r="X436" s="71"/>
      <c r="Y436" s="71"/>
      <c r="Z436" s="71"/>
      <c r="AA436" s="71"/>
      <c r="AB436" s="71"/>
      <c r="AC436" s="71"/>
      <c r="AD436" s="71"/>
      <c r="AE436" s="71"/>
      <c r="AF436" s="71"/>
      <c r="AG436" s="71"/>
      <c r="AH436" s="71"/>
      <c r="AI436" s="71"/>
      <c r="AJ436" s="71"/>
      <c r="AK436" s="71"/>
    </row>
    <row r="437" spans="1:37" ht="12.75" customHeight="1" x14ac:dyDescent="0.2">
      <c r="A437" s="71"/>
      <c r="B437" s="71"/>
      <c r="C437" s="71"/>
      <c r="D437" s="71"/>
      <c r="E437" s="71"/>
      <c r="F437" s="71"/>
      <c r="G437" s="71"/>
      <c r="H437" s="71"/>
      <c r="I437" s="71"/>
      <c r="J437" s="71"/>
      <c r="K437" s="71"/>
      <c r="L437" s="71"/>
      <c r="M437" s="71"/>
      <c r="N437" s="71"/>
      <c r="O437" s="71"/>
      <c r="P437" s="71"/>
      <c r="Q437" s="71"/>
      <c r="R437" s="71"/>
      <c r="S437" s="71"/>
      <c r="T437" s="105"/>
      <c r="U437" s="71"/>
      <c r="V437" s="71"/>
      <c r="W437" s="71"/>
      <c r="X437" s="71"/>
      <c r="Y437" s="71"/>
      <c r="Z437" s="71"/>
      <c r="AA437" s="71"/>
      <c r="AB437" s="71"/>
      <c r="AC437" s="71"/>
      <c r="AD437" s="71"/>
      <c r="AE437" s="71"/>
      <c r="AF437" s="71"/>
      <c r="AG437" s="71"/>
      <c r="AH437" s="71"/>
      <c r="AI437" s="71"/>
      <c r="AJ437" s="71"/>
      <c r="AK437" s="71"/>
    </row>
    <row r="438" spans="1:37" ht="12.75" customHeight="1" x14ac:dyDescent="0.2">
      <c r="A438" s="71"/>
      <c r="B438" s="71"/>
      <c r="C438" s="71"/>
      <c r="D438" s="71"/>
      <c r="E438" s="71"/>
      <c r="F438" s="71"/>
      <c r="G438" s="71"/>
      <c r="H438" s="71"/>
      <c r="I438" s="71"/>
      <c r="J438" s="71"/>
      <c r="K438" s="71"/>
      <c r="L438" s="71"/>
      <c r="M438" s="71"/>
      <c r="N438" s="71"/>
      <c r="O438" s="71"/>
      <c r="P438" s="71"/>
      <c r="Q438" s="71"/>
      <c r="R438" s="71"/>
      <c r="S438" s="71"/>
      <c r="T438" s="105"/>
      <c r="U438" s="71"/>
      <c r="V438" s="71"/>
      <c r="W438" s="71"/>
      <c r="X438" s="71"/>
      <c r="Y438" s="71"/>
      <c r="Z438" s="71"/>
      <c r="AA438" s="71"/>
      <c r="AB438" s="71"/>
      <c r="AC438" s="71"/>
      <c r="AD438" s="71"/>
      <c r="AE438" s="71"/>
      <c r="AF438" s="71"/>
      <c r="AG438" s="71"/>
      <c r="AH438" s="71"/>
      <c r="AI438" s="71"/>
      <c r="AJ438" s="71"/>
      <c r="AK438" s="71"/>
    </row>
    <row r="439" spans="1:37" ht="12.75" customHeight="1" x14ac:dyDescent="0.2">
      <c r="A439" s="71"/>
      <c r="B439" s="71"/>
      <c r="C439" s="71"/>
      <c r="D439" s="71"/>
      <c r="E439" s="71"/>
      <c r="F439" s="71"/>
      <c r="G439" s="71"/>
      <c r="H439" s="71"/>
      <c r="I439" s="71"/>
      <c r="J439" s="71"/>
      <c r="K439" s="71"/>
      <c r="L439" s="71"/>
      <c r="M439" s="71"/>
      <c r="N439" s="71"/>
      <c r="O439" s="71"/>
      <c r="P439" s="71"/>
      <c r="Q439" s="71"/>
      <c r="R439" s="71"/>
      <c r="S439" s="71"/>
      <c r="T439" s="105"/>
      <c r="U439" s="71"/>
      <c r="V439" s="71"/>
      <c r="W439" s="71"/>
      <c r="X439" s="71"/>
      <c r="Y439" s="71"/>
      <c r="Z439" s="71"/>
      <c r="AA439" s="71"/>
      <c r="AB439" s="71"/>
      <c r="AC439" s="71"/>
      <c r="AD439" s="71"/>
      <c r="AE439" s="71"/>
      <c r="AF439" s="71"/>
      <c r="AG439" s="71"/>
      <c r="AH439" s="71"/>
      <c r="AI439" s="71"/>
      <c r="AJ439" s="71"/>
      <c r="AK439" s="71"/>
    </row>
    <row r="440" spans="1:37" ht="12.75" customHeight="1" x14ac:dyDescent="0.2">
      <c r="A440" s="71"/>
      <c r="B440" s="71"/>
      <c r="C440" s="71"/>
      <c r="D440" s="71"/>
      <c r="E440" s="71"/>
      <c r="F440" s="71"/>
      <c r="G440" s="71"/>
      <c r="H440" s="71"/>
      <c r="I440" s="71"/>
      <c r="J440" s="71"/>
      <c r="K440" s="71"/>
      <c r="L440" s="71"/>
      <c r="M440" s="71"/>
      <c r="N440" s="71"/>
      <c r="O440" s="71"/>
      <c r="P440" s="71"/>
      <c r="Q440" s="71"/>
      <c r="R440" s="71"/>
      <c r="S440" s="71"/>
      <c r="T440" s="105"/>
      <c r="U440" s="71"/>
      <c r="V440" s="71"/>
      <c r="W440" s="71"/>
      <c r="X440" s="71"/>
      <c r="Y440" s="71"/>
      <c r="Z440" s="71"/>
      <c r="AA440" s="71"/>
      <c r="AB440" s="71"/>
      <c r="AC440" s="71"/>
      <c r="AD440" s="71"/>
      <c r="AE440" s="71"/>
      <c r="AF440" s="71"/>
      <c r="AG440" s="71"/>
      <c r="AH440" s="71"/>
      <c r="AI440" s="71"/>
      <c r="AJ440" s="71"/>
      <c r="AK440" s="71"/>
    </row>
    <row r="441" spans="1:37" ht="12.75" customHeight="1" x14ac:dyDescent="0.2">
      <c r="A441" s="71"/>
      <c r="B441" s="71"/>
      <c r="C441" s="71"/>
      <c r="D441" s="71"/>
      <c r="E441" s="71"/>
      <c r="F441" s="71"/>
      <c r="G441" s="71"/>
      <c r="H441" s="71"/>
      <c r="I441" s="71"/>
      <c r="J441" s="71"/>
      <c r="K441" s="71"/>
      <c r="L441" s="71"/>
      <c r="M441" s="71"/>
      <c r="N441" s="71"/>
      <c r="O441" s="71"/>
      <c r="P441" s="71"/>
      <c r="Q441" s="71"/>
      <c r="R441" s="71"/>
      <c r="S441" s="71"/>
      <c r="T441" s="105"/>
      <c r="U441" s="71"/>
      <c r="V441" s="71"/>
      <c r="W441" s="71"/>
      <c r="X441" s="71"/>
      <c r="Y441" s="71"/>
      <c r="Z441" s="71"/>
      <c r="AA441" s="71"/>
      <c r="AB441" s="71"/>
      <c r="AC441" s="71"/>
      <c r="AD441" s="71"/>
      <c r="AE441" s="71"/>
      <c r="AF441" s="71"/>
      <c r="AG441" s="71"/>
      <c r="AH441" s="71"/>
      <c r="AI441" s="71"/>
      <c r="AJ441" s="71"/>
      <c r="AK441" s="71"/>
    </row>
    <row r="442" spans="1:37" ht="12.75" customHeight="1" x14ac:dyDescent="0.2">
      <c r="A442" s="71"/>
      <c r="B442" s="71"/>
      <c r="C442" s="71"/>
      <c r="D442" s="71"/>
      <c r="E442" s="71"/>
      <c r="F442" s="71"/>
      <c r="G442" s="71"/>
      <c r="H442" s="71"/>
      <c r="I442" s="71"/>
      <c r="J442" s="71"/>
      <c r="K442" s="71"/>
      <c r="L442" s="71"/>
      <c r="M442" s="71"/>
      <c r="N442" s="71"/>
      <c r="O442" s="71"/>
      <c r="P442" s="71"/>
      <c r="Q442" s="71"/>
      <c r="R442" s="71"/>
      <c r="S442" s="71"/>
      <c r="T442" s="105"/>
      <c r="U442" s="71"/>
      <c r="V442" s="71"/>
      <c r="W442" s="71"/>
      <c r="X442" s="71"/>
      <c r="Y442" s="71"/>
      <c r="Z442" s="71"/>
      <c r="AA442" s="71"/>
      <c r="AB442" s="71"/>
      <c r="AC442" s="71"/>
      <c r="AD442" s="71"/>
      <c r="AE442" s="71"/>
      <c r="AF442" s="71"/>
      <c r="AG442" s="71"/>
      <c r="AH442" s="71"/>
      <c r="AI442" s="71"/>
      <c r="AJ442" s="71"/>
      <c r="AK442" s="71"/>
    </row>
    <row r="443" spans="1:37" ht="12.75" customHeight="1" x14ac:dyDescent="0.2">
      <c r="A443" s="71"/>
      <c r="B443" s="71"/>
      <c r="C443" s="71"/>
      <c r="D443" s="71"/>
      <c r="E443" s="71"/>
      <c r="F443" s="71"/>
      <c r="G443" s="71"/>
      <c r="H443" s="71"/>
      <c r="I443" s="71"/>
      <c r="J443" s="71"/>
      <c r="K443" s="71"/>
      <c r="L443" s="71"/>
      <c r="M443" s="71"/>
      <c r="N443" s="71"/>
      <c r="O443" s="71"/>
      <c r="P443" s="71"/>
      <c r="Q443" s="71"/>
      <c r="R443" s="71"/>
      <c r="S443" s="71"/>
      <c r="T443" s="105"/>
      <c r="U443" s="71"/>
      <c r="V443" s="71"/>
      <c r="W443" s="71"/>
      <c r="X443" s="71"/>
      <c r="Y443" s="71"/>
      <c r="Z443" s="71"/>
      <c r="AA443" s="71"/>
      <c r="AB443" s="71"/>
      <c r="AC443" s="71"/>
      <c r="AD443" s="71"/>
      <c r="AE443" s="71"/>
      <c r="AF443" s="71"/>
      <c r="AG443" s="71"/>
      <c r="AH443" s="71"/>
      <c r="AI443" s="71"/>
      <c r="AJ443" s="71"/>
      <c r="AK443" s="71"/>
    </row>
    <row r="444" spans="1:37" ht="12.75" customHeight="1" x14ac:dyDescent="0.2">
      <c r="A444" s="71"/>
      <c r="B444" s="71"/>
      <c r="C444" s="71"/>
      <c r="D444" s="71"/>
      <c r="E444" s="71"/>
      <c r="F444" s="71"/>
      <c r="G444" s="71"/>
      <c r="H444" s="71"/>
      <c r="I444" s="71"/>
      <c r="J444" s="71"/>
      <c r="K444" s="71"/>
      <c r="L444" s="71"/>
      <c r="M444" s="71"/>
      <c r="N444" s="71"/>
      <c r="O444" s="71"/>
      <c r="P444" s="71"/>
      <c r="Q444" s="71"/>
      <c r="R444" s="71"/>
      <c r="S444" s="71"/>
      <c r="T444" s="105"/>
      <c r="U444" s="71"/>
      <c r="V444" s="71"/>
      <c r="W444" s="71"/>
      <c r="X444" s="71"/>
      <c r="Y444" s="71"/>
      <c r="Z444" s="71"/>
      <c r="AA444" s="71"/>
      <c r="AB444" s="71"/>
      <c r="AC444" s="71"/>
      <c r="AD444" s="71"/>
      <c r="AE444" s="71"/>
      <c r="AF444" s="71"/>
      <c r="AG444" s="71"/>
      <c r="AH444" s="71"/>
      <c r="AI444" s="71"/>
      <c r="AJ444" s="71"/>
      <c r="AK444" s="71"/>
    </row>
    <row r="445" spans="1:37" ht="12.75" customHeight="1" x14ac:dyDescent="0.2">
      <c r="A445" s="71"/>
      <c r="B445" s="71"/>
      <c r="C445" s="71"/>
      <c r="D445" s="71"/>
      <c r="E445" s="71"/>
      <c r="F445" s="71"/>
      <c r="G445" s="71"/>
      <c r="H445" s="71"/>
      <c r="I445" s="71"/>
      <c r="J445" s="71"/>
      <c r="K445" s="71"/>
      <c r="L445" s="71"/>
      <c r="M445" s="71"/>
      <c r="N445" s="71"/>
      <c r="O445" s="71"/>
      <c r="P445" s="71"/>
      <c r="Q445" s="71"/>
      <c r="R445" s="71"/>
      <c r="S445" s="71"/>
      <c r="T445" s="105"/>
      <c r="U445" s="71"/>
      <c r="V445" s="71"/>
      <c r="W445" s="71"/>
      <c r="X445" s="71"/>
      <c r="Y445" s="71"/>
      <c r="Z445" s="71"/>
      <c r="AA445" s="71"/>
      <c r="AB445" s="71"/>
      <c r="AC445" s="71"/>
      <c r="AD445" s="71"/>
      <c r="AE445" s="71"/>
      <c r="AF445" s="71"/>
      <c r="AG445" s="71"/>
      <c r="AH445" s="71"/>
      <c r="AI445" s="71"/>
      <c r="AJ445" s="71"/>
      <c r="AK445" s="71"/>
    </row>
    <row r="446" spans="1:37" ht="12.75" customHeight="1" x14ac:dyDescent="0.2">
      <c r="A446" s="71"/>
      <c r="B446" s="71"/>
      <c r="C446" s="71"/>
      <c r="D446" s="71"/>
      <c r="E446" s="71"/>
      <c r="F446" s="71"/>
      <c r="G446" s="71"/>
      <c r="H446" s="71"/>
      <c r="I446" s="71"/>
      <c r="J446" s="71"/>
      <c r="K446" s="71"/>
      <c r="L446" s="71"/>
      <c r="M446" s="71"/>
      <c r="N446" s="71"/>
      <c r="O446" s="71"/>
      <c r="P446" s="71"/>
      <c r="Q446" s="71"/>
      <c r="R446" s="71"/>
      <c r="S446" s="71"/>
      <c r="T446" s="105"/>
      <c r="U446" s="71"/>
      <c r="V446" s="71"/>
      <c r="W446" s="71"/>
      <c r="X446" s="71"/>
      <c r="Y446" s="71"/>
      <c r="Z446" s="71"/>
      <c r="AA446" s="71"/>
      <c r="AB446" s="71"/>
      <c r="AC446" s="71"/>
      <c r="AD446" s="71"/>
      <c r="AE446" s="71"/>
      <c r="AF446" s="71"/>
      <c r="AG446" s="71"/>
      <c r="AH446" s="71"/>
      <c r="AI446" s="71"/>
      <c r="AJ446" s="71"/>
      <c r="AK446" s="71"/>
    </row>
    <row r="447" spans="1:37" ht="12.75" customHeight="1" x14ac:dyDescent="0.2">
      <c r="A447" s="71"/>
      <c r="B447" s="71"/>
      <c r="C447" s="71"/>
      <c r="D447" s="71"/>
      <c r="E447" s="71"/>
      <c r="F447" s="71"/>
      <c r="G447" s="71"/>
      <c r="H447" s="71"/>
      <c r="I447" s="71"/>
      <c r="J447" s="71"/>
      <c r="K447" s="71"/>
      <c r="L447" s="71"/>
      <c r="M447" s="71"/>
      <c r="N447" s="71"/>
      <c r="O447" s="71"/>
      <c r="P447" s="71"/>
      <c r="Q447" s="71"/>
      <c r="R447" s="71"/>
      <c r="S447" s="71"/>
      <c r="T447" s="105"/>
      <c r="U447" s="71"/>
      <c r="V447" s="71"/>
      <c r="W447" s="71"/>
      <c r="X447" s="71"/>
      <c r="Y447" s="71"/>
      <c r="Z447" s="71"/>
      <c r="AA447" s="71"/>
      <c r="AB447" s="71"/>
      <c r="AC447" s="71"/>
      <c r="AD447" s="71"/>
      <c r="AE447" s="71"/>
      <c r="AF447" s="71"/>
      <c r="AG447" s="71"/>
      <c r="AH447" s="71"/>
      <c r="AI447" s="71"/>
      <c r="AJ447" s="71"/>
      <c r="AK447" s="71"/>
    </row>
    <row r="448" spans="1:37" ht="12.75" customHeight="1" x14ac:dyDescent="0.2">
      <c r="A448" s="71"/>
      <c r="B448" s="71"/>
      <c r="C448" s="71"/>
      <c r="D448" s="71"/>
      <c r="E448" s="71"/>
      <c r="F448" s="71"/>
      <c r="G448" s="71"/>
      <c r="H448" s="71"/>
      <c r="I448" s="71"/>
      <c r="J448" s="71"/>
      <c r="K448" s="71"/>
      <c r="L448" s="71"/>
      <c r="M448" s="71"/>
      <c r="N448" s="71"/>
      <c r="O448" s="71"/>
      <c r="P448" s="71"/>
      <c r="Q448" s="71"/>
      <c r="R448" s="71"/>
      <c r="S448" s="71"/>
      <c r="T448" s="105"/>
      <c r="U448" s="71"/>
      <c r="V448" s="71"/>
      <c r="W448" s="71"/>
      <c r="X448" s="71"/>
      <c r="Y448" s="71"/>
      <c r="Z448" s="71"/>
      <c r="AA448" s="71"/>
      <c r="AB448" s="71"/>
      <c r="AC448" s="71"/>
      <c r="AD448" s="71"/>
      <c r="AE448" s="71"/>
      <c r="AF448" s="71"/>
      <c r="AG448" s="71"/>
      <c r="AH448" s="71"/>
      <c r="AI448" s="71"/>
      <c r="AJ448" s="71"/>
      <c r="AK448" s="71"/>
    </row>
    <row r="449" spans="1:37" ht="12.75" customHeight="1" x14ac:dyDescent="0.2">
      <c r="A449" s="71"/>
      <c r="B449" s="71"/>
      <c r="C449" s="71"/>
      <c r="D449" s="71"/>
      <c r="E449" s="71"/>
      <c r="F449" s="71"/>
      <c r="G449" s="71"/>
      <c r="H449" s="71"/>
      <c r="I449" s="71"/>
      <c r="J449" s="71"/>
      <c r="K449" s="71"/>
      <c r="L449" s="71"/>
      <c r="M449" s="71"/>
      <c r="N449" s="71"/>
      <c r="O449" s="71"/>
      <c r="P449" s="71"/>
      <c r="Q449" s="71"/>
      <c r="R449" s="71"/>
      <c r="S449" s="71"/>
      <c r="T449" s="105"/>
      <c r="U449" s="71"/>
      <c r="V449" s="71"/>
      <c r="W449" s="71"/>
      <c r="X449" s="71"/>
      <c r="Y449" s="71"/>
      <c r="Z449" s="71"/>
      <c r="AA449" s="71"/>
      <c r="AB449" s="71"/>
      <c r="AC449" s="71"/>
      <c r="AD449" s="71"/>
      <c r="AE449" s="71"/>
      <c r="AF449" s="71"/>
      <c r="AG449" s="71"/>
      <c r="AH449" s="71"/>
      <c r="AI449" s="71"/>
      <c r="AJ449" s="71"/>
      <c r="AK449" s="71"/>
    </row>
    <row r="450" spans="1:37" ht="12.75" customHeight="1" x14ac:dyDescent="0.2">
      <c r="A450" s="71"/>
      <c r="B450" s="71"/>
      <c r="C450" s="71"/>
      <c r="D450" s="71"/>
      <c r="E450" s="71"/>
      <c r="F450" s="71"/>
      <c r="G450" s="71"/>
      <c r="H450" s="71"/>
      <c r="I450" s="71"/>
      <c r="J450" s="71"/>
      <c r="K450" s="71"/>
      <c r="L450" s="71"/>
      <c r="M450" s="71"/>
      <c r="N450" s="71"/>
      <c r="O450" s="71"/>
      <c r="P450" s="71"/>
      <c r="Q450" s="71"/>
      <c r="R450" s="71"/>
      <c r="S450" s="71"/>
      <c r="T450" s="105"/>
      <c r="U450" s="71"/>
      <c r="V450" s="71"/>
      <c r="W450" s="71"/>
      <c r="X450" s="71"/>
      <c r="Y450" s="71"/>
      <c r="Z450" s="71"/>
      <c r="AA450" s="71"/>
      <c r="AB450" s="71"/>
      <c r="AC450" s="71"/>
      <c r="AD450" s="71"/>
      <c r="AE450" s="71"/>
      <c r="AF450" s="71"/>
      <c r="AG450" s="71"/>
      <c r="AH450" s="71"/>
      <c r="AI450" s="71"/>
      <c r="AJ450" s="71"/>
      <c r="AK450" s="71"/>
    </row>
    <row r="451" spans="1:37" ht="12.75" customHeight="1" x14ac:dyDescent="0.2">
      <c r="A451" s="71"/>
      <c r="B451" s="71"/>
      <c r="C451" s="71"/>
      <c r="D451" s="71"/>
      <c r="E451" s="71"/>
      <c r="F451" s="71"/>
      <c r="G451" s="71"/>
      <c r="H451" s="71"/>
      <c r="I451" s="71"/>
      <c r="J451" s="71"/>
      <c r="K451" s="71"/>
      <c r="L451" s="71"/>
      <c r="M451" s="71"/>
      <c r="N451" s="71"/>
      <c r="O451" s="71"/>
      <c r="P451" s="71"/>
      <c r="Q451" s="71"/>
      <c r="R451" s="71"/>
      <c r="S451" s="71"/>
      <c r="T451" s="105"/>
      <c r="U451" s="71"/>
      <c r="V451" s="71"/>
      <c r="W451" s="71"/>
      <c r="X451" s="71"/>
      <c r="Y451" s="71"/>
      <c r="Z451" s="71"/>
      <c r="AA451" s="71"/>
      <c r="AB451" s="71"/>
      <c r="AC451" s="71"/>
      <c r="AD451" s="71"/>
      <c r="AE451" s="71"/>
      <c r="AF451" s="71"/>
      <c r="AG451" s="71"/>
      <c r="AH451" s="71"/>
      <c r="AI451" s="71"/>
      <c r="AJ451" s="71"/>
      <c r="AK451" s="71"/>
    </row>
    <row r="452" spans="1:37" ht="12.75" customHeight="1" x14ac:dyDescent="0.2">
      <c r="A452" s="71"/>
      <c r="B452" s="71"/>
      <c r="C452" s="71"/>
      <c r="D452" s="71"/>
      <c r="E452" s="71"/>
      <c r="F452" s="71"/>
      <c r="G452" s="71"/>
      <c r="H452" s="71"/>
      <c r="I452" s="71"/>
      <c r="J452" s="71"/>
      <c r="K452" s="71"/>
      <c r="L452" s="71"/>
      <c r="M452" s="71"/>
      <c r="N452" s="71"/>
      <c r="O452" s="71"/>
      <c r="P452" s="71"/>
      <c r="Q452" s="71"/>
      <c r="R452" s="71"/>
      <c r="S452" s="71"/>
      <c r="T452" s="105"/>
      <c r="U452" s="71"/>
      <c r="V452" s="71"/>
      <c r="W452" s="71"/>
      <c r="X452" s="71"/>
      <c r="Y452" s="71"/>
      <c r="Z452" s="71"/>
      <c r="AA452" s="71"/>
      <c r="AB452" s="71"/>
      <c r="AC452" s="71"/>
      <c r="AD452" s="71"/>
      <c r="AE452" s="71"/>
      <c r="AF452" s="71"/>
      <c r="AG452" s="71"/>
      <c r="AH452" s="71"/>
      <c r="AI452" s="71"/>
      <c r="AJ452" s="71"/>
      <c r="AK452" s="71"/>
    </row>
    <row r="453" spans="1:37" ht="12.75" customHeight="1" x14ac:dyDescent="0.2">
      <c r="A453" s="71"/>
      <c r="B453" s="71"/>
      <c r="C453" s="71"/>
      <c r="D453" s="71"/>
      <c r="E453" s="71"/>
      <c r="F453" s="71"/>
      <c r="G453" s="71"/>
      <c r="H453" s="71"/>
      <c r="I453" s="71"/>
      <c r="J453" s="71"/>
      <c r="K453" s="71"/>
      <c r="L453" s="71"/>
      <c r="M453" s="71"/>
      <c r="N453" s="71"/>
      <c r="O453" s="71"/>
      <c r="P453" s="71"/>
      <c r="Q453" s="71"/>
      <c r="R453" s="71"/>
      <c r="S453" s="71"/>
      <c r="T453" s="105"/>
      <c r="U453" s="71"/>
      <c r="V453" s="71"/>
      <c r="W453" s="71"/>
      <c r="X453" s="71"/>
      <c r="Y453" s="71"/>
      <c r="Z453" s="71"/>
      <c r="AA453" s="71"/>
      <c r="AB453" s="71"/>
      <c r="AC453" s="71"/>
      <c r="AD453" s="71"/>
      <c r="AE453" s="71"/>
      <c r="AF453" s="71"/>
      <c r="AG453" s="71"/>
      <c r="AH453" s="71"/>
      <c r="AI453" s="71"/>
      <c r="AJ453" s="71"/>
      <c r="AK453" s="71"/>
    </row>
    <row r="454" spans="1:37" ht="12.75" customHeight="1" x14ac:dyDescent="0.2">
      <c r="A454" s="71"/>
      <c r="B454" s="71"/>
      <c r="C454" s="71"/>
      <c r="D454" s="71"/>
      <c r="E454" s="71"/>
      <c r="F454" s="71"/>
      <c r="G454" s="71"/>
      <c r="H454" s="71"/>
      <c r="I454" s="71"/>
      <c r="J454" s="71"/>
      <c r="K454" s="71"/>
      <c r="L454" s="71"/>
      <c r="M454" s="71"/>
      <c r="N454" s="71"/>
      <c r="O454" s="71"/>
      <c r="P454" s="71"/>
      <c r="Q454" s="71"/>
      <c r="R454" s="71"/>
      <c r="S454" s="71"/>
      <c r="T454" s="105"/>
      <c r="U454" s="71"/>
      <c r="V454" s="71"/>
      <c r="W454" s="71"/>
      <c r="X454" s="71"/>
      <c r="Y454" s="71"/>
      <c r="Z454" s="71"/>
      <c r="AA454" s="71"/>
      <c r="AB454" s="71"/>
      <c r="AC454" s="71"/>
      <c r="AD454" s="71"/>
      <c r="AE454" s="71"/>
      <c r="AF454" s="71"/>
      <c r="AG454" s="71"/>
      <c r="AH454" s="71"/>
      <c r="AI454" s="71"/>
      <c r="AJ454" s="71"/>
      <c r="AK454" s="71"/>
    </row>
    <row r="455" spans="1:37" ht="12.75" customHeight="1" x14ac:dyDescent="0.2">
      <c r="A455" s="71"/>
      <c r="B455" s="71"/>
      <c r="C455" s="71"/>
      <c r="D455" s="71"/>
      <c r="E455" s="71"/>
      <c r="F455" s="71"/>
      <c r="G455" s="71"/>
      <c r="H455" s="71"/>
      <c r="I455" s="71"/>
      <c r="J455" s="71"/>
      <c r="K455" s="71"/>
      <c r="L455" s="71"/>
      <c r="M455" s="71"/>
      <c r="N455" s="71"/>
      <c r="O455" s="71"/>
      <c r="P455" s="71"/>
      <c r="Q455" s="71"/>
      <c r="R455" s="71"/>
      <c r="S455" s="71"/>
      <c r="T455" s="105"/>
      <c r="U455" s="71"/>
      <c r="V455" s="71"/>
      <c r="W455" s="71"/>
      <c r="X455" s="71"/>
      <c r="Y455" s="71"/>
      <c r="Z455" s="71"/>
      <c r="AA455" s="71"/>
      <c r="AB455" s="71"/>
      <c r="AC455" s="71"/>
      <c r="AD455" s="71"/>
      <c r="AE455" s="71"/>
      <c r="AF455" s="71"/>
      <c r="AG455" s="71"/>
      <c r="AH455" s="71"/>
      <c r="AI455" s="71"/>
      <c r="AJ455" s="71"/>
      <c r="AK455" s="71"/>
    </row>
    <row r="456" spans="1:37" ht="12.75" customHeight="1" x14ac:dyDescent="0.2">
      <c r="A456" s="71"/>
      <c r="B456" s="71"/>
      <c r="C456" s="71"/>
      <c r="D456" s="71"/>
      <c r="E456" s="71"/>
      <c r="F456" s="71"/>
      <c r="G456" s="71"/>
      <c r="H456" s="71"/>
      <c r="I456" s="71"/>
      <c r="J456" s="71"/>
      <c r="K456" s="71"/>
      <c r="L456" s="71"/>
      <c r="M456" s="71"/>
      <c r="N456" s="71"/>
      <c r="O456" s="71"/>
      <c r="P456" s="71"/>
      <c r="Q456" s="71"/>
      <c r="R456" s="71"/>
      <c r="S456" s="71"/>
      <c r="T456" s="105"/>
      <c r="U456" s="71"/>
      <c r="V456" s="71"/>
      <c r="W456" s="71"/>
      <c r="X456" s="71"/>
      <c r="Y456" s="71"/>
      <c r="Z456" s="71"/>
      <c r="AA456" s="71"/>
      <c r="AB456" s="71"/>
      <c r="AC456" s="71"/>
      <c r="AD456" s="71"/>
      <c r="AE456" s="71"/>
      <c r="AF456" s="71"/>
      <c r="AG456" s="71"/>
      <c r="AH456" s="71"/>
      <c r="AI456" s="71"/>
      <c r="AJ456" s="71"/>
      <c r="AK456" s="71"/>
    </row>
    <row r="457" spans="1:37" ht="12.75" customHeight="1" x14ac:dyDescent="0.2">
      <c r="A457" s="71"/>
      <c r="B457" s="71"/>
      <c r="C457" s="71"/>
      <c r="D457" s="71"/>
      <c r="E457" s="71"/>
      <c r="F457" s="71"/>
      <c r="G457" s="71"/>
      <c r="H457" s="71"/>
      <c r="I457" s="71"/>
      <c r="J457" s="71"/>
      <c r="K457" s="71"/>
      <c r="L457" s="71"/>
      <c r="M457" s="71"/>
      <c r="N457" s="71"/>
      <c r="O457" s="71"/>
      <c r="P457" s="71"/>
      <c r="Q457" s="71"/>
      <c r="R457" s="71"/>
      <c r="S457" s="71"/>
      <c r="T457" s="105"/>
      <c r="U457" s="71"/>
      <c r="V457" s="71"/>
      <c r="W457" s="71"/>
      <c r="X457" s="71"/>
      <c r="Y457" s="71"/>
      <c r="Z457" s="71"/>
      <c r="AA457" s="71"/>
      <c r="AB457" s="71"/>
      <c r="AC457" s="71"/>
      <c r="AD457" s="71"/>
      <c r="AE457" s="71"/>
      <c r="AF457" s="71"/>
      <c r="AG457" s="71"/>
      <c r="AH457" s="71"/>
      <c r="AI457" s="71"/>
      <c r="AJ457" s="71"/>
      <c r="AK457" s="71"/>
    </row>
    <row r="458" spans="1:37" ht="12.75" customHeight="1" x14ac:dyDescent="0.2">
      <c r="A458" s="71"/>
      <c r="B458" s="71"/>
      <c r="C458" s="71"/>
      <c r="D458" s="71"/>
      <c r="E458" s="71"/>
      <c r="F458" s="71"/>
      <c r="G458" s="71"/>
      <c r="H458" s="71"/>
      <c r="I458" s="71"/>
      <c r="J458" s="71"/>
      <c r="K458" s="71"/>
      <c r="L458" s="71"/>
      <c r="M458" s="71"/>
      <c r="N458" s="71"/>
      <c r="O458" s="71"/>
      <c r="P458" s="71"/>
      <c r="Q458" s="71"/>
      <c r="R458" s="71"/>
      <c r="S458" s="71"/>
      <c r="T458" s="105"/>
      <c r="U458" s="71"/>
      <c r="V458" s="71"/>
      <c r="W458" s="71"/>
      <c r="X458" s="71"/>
      <c r="Y458" s="71"/>
      <c r="Z458" s="71"/>
      <c r="AA458" s="71"/>
      <c r="AB458" s="71"/>
      <c r="AC458" s="71"/>
      <c r="AD458" s="71"/>
      <c r="AE458" s="71"/>
      <c r="AF458" s="71"/>
      <c r="AG458" s="71"/>
      <c r="AH458" s="71"/>
      <c r="AI458" s="71"/>
      <c r="AJ458" s="71"/>
      <c r="AK458" s="71"/>
    </row>
    <row r="459" spans="1:37" ht="12.75" customHeight="1" x14ac:dyDescent="0.2">
      <c r="A459" s="71"/>
      <c r="B459" s="71"/>
      <c r="C459" s="71"/>
      <c r="D459" s="71"/>
      <c r="E459" s="71"/>
      <c r="F459" s="71"/>
      <c r="G459" s="71"/>
      <c r="H459" s="71"/>
      <c r="I459" s="71"/>
      <c r="J459" s="71"/>
      <c r="K459" s="71"/>
      <c r="L459" s="71"/>
      <c r="M459" s="71"/>
      <c r="N459" s="71"/>
      <c r="O459" s="71"/>
      <c r="P459" s="71"/>
      <c r="Q459" s="71"/>
      <c r="R459" s="71"/>
      <c r="S459" s="71"/>
      <c r="T459" s="105"/>
      <c r="U459" s="71"/>
      <c r="V459" s="71"/>
      <c r="W459" s="71"/>
      <c r="X459" s="71"/>
      <c r="Y459" s="71"/>
      <c r="Z459" s="71"/>
      <c r="AA459" s="71"/>
      <c r="AB459" s="71"/>
      <c r="AC459" s="71"/>
      <c r="AD459" s="71"/>
      <c r="AE459" s="71"/>
      <c r="AF459" s="71"/>
      <c r="AG459" s="71"/>
      <c r="AH459" s="71"/>
      <c r="AI459" s="71"/>
      <c r="AJ459" s="71"/>
      <c r="AK459" s="71"/>
    </row>
    <row r="460" spans="1:37" ht="12.75" customHeight="1" x14ac:dyDescent="0.2">
      <c r="A460" s="71"/>
      <c r="B460" s="71"/>
      <c r="C460" s="71"/>
      <c r="D460" s="71"/>
      <c r="E460" s="71"/>
      <c r="F460" s="71"/>
      <c r="G460" s="71"/>
      <c r="H460" s="71"/>
      <c r="I460" s="71"/>
      <c r="J460" s="71"/>
      <c r="K460" s="71"/>
      <c r="L460" s="71"/>
      <c r="M460" s="71"/>
      <c r="N460" s="71"/>
      <c r="O460" s="71"/>
      <c r="P460" s="71"/>
      <c r="Q460" s="71"/>
      <c r="R460" s="71"/>
      <c r="S460" s="71"/>
      <c r="T460" s="105"/>
      <c r="U460" s="71"/>
      <c r="V460" s="71"/>
      <c r="W460" s="71"/>
      <c r="X460" s="71"/>
      <c r="Y460" s="71"/>
      <c r="Z460" s="71"/>
      <c r="AA460" s="71"/>
      <c r="AB460" s="71"/>
      <c r="AC460" s="71"/>
      <c r="AD460" s="71"/>
      <c r="AE460" s="71"/>
      <c r="AF460" s="71"/>
      <c r="AG460" s="71"/>
      <c r="AH460" s="71"/>
      <c r="AI460" s="71"/>
      <c r="AJ460" s="71"/>
      <c r="AK460" s="71"/>
    </row>
    <row r="461" spans="1:37" ht="12.75" customHeight="1" x14ac:dyDescent="0.2">
      <c r="A461" s="71"/>
      <c r="B461" s="71"/>
      <c r="C461" s="71"/>
      <c r="D461" s="71"/>
      <c r="E461" s="71"/>
      <c r="F461" s="71"/>
      <c r="G461" s="71"/>
      <c r="H461" s="71"/>
      <c r="I461" s="71"/>
      <c r="J461" s="71"/>
      <c r="K461" s="71"/>
      <c r="L461" s="71"/>
      <c r="M461" s="71"/>
      <c r="N461" s="71"/>
      <c r="O461" s="71"/>
      <c r="P461" s="71"/>
      <c r="Q461" s="71"/>
      <c r="R461" s="71"/>
      <c r="S461" s="71"/>
      <c r="T461" s="105"/>
      <c r="U461" s="71"/>
      <c r="V461" s="71"/>
      <c r="W461" s="71"/>
      <c r="X461" s="71"/>
      <c r="Y461" s="71"/>
      <c r="Z461" s="71"/>
      <c r="AA461" s="71"/>
      <c r="AB461" s="71"/>
      <c r="AC461" s="71"/>
      <c r="AD461" s="71"/>
      <c r="AE461" s="71"/>
      <c r="AF461" s="71"/>
      <c r="AG461" s="71"/>
      <c r="AH461" s="71"/>
      <c r="AI461" s="71"/>
      <c r="AJ461" s="71"/>
      <c r="AK461" s="71"/>
    </row>
    <row r="462" spans="1:37" ht="12.75" customHeight="1" x14ac:dyDescent="0.2">
      <c r="A462" s="71"/>
      <c r="B462" s="71"/>
      <c r="C462" s="71"/>
      <c r="D462" s="71"/>
      <c r="E462" s="71"/>
      <c r="F462" s="71"/>
      <c r="G462" s="71"/>
      <c r="H462" s="71"/>
      <c r="I462" s="71"/>
      <c r="J462" s="71"/>
      <c r="K462" s="71"/>
      <c r="L462" s="71"/>
      <c r="M462" s="71"/>
      <c r="N462" s="71"/>
      <c r="O462" s="71"/>
      <c r="P462" s="71"/>
      <c r="Q462" s="71"/>
      <c r="R462" s="71"/>
      <c r="S462" s="71"/>
      <c r="T462" s="105"/>
      <c r="U462" s="71"/>
      <c r="V462" s="71"/>
      <c r="W462" s="71"/>
      <c r="X462" s="71"/>
      <c r="Y462" s="71"/>
      <c r="Z462" s="71"/>
      <c r="AA462" s="71"/>
      <c r="AB462" s="71"/>
      <c r="AC462" s="71"/>
      <c r="AD462" s="71"/>
      <c r="AE462" s="71"/>
      <c r="AF462" s="71"/>
      <c r="AG462" s="71"/>
      <c r="AH462" s="71"/>
      <c r="AI462" s="71"/>
      <c r="AJ462" s="71"/>
      <c r="AK462" s="71"/>
    </row>
    <row r="463" spans="1:37" ht="12.75" customHeight="1" x14ac:dyDescent="0.2">
      <c r="A463" s="71"/>
      <c r="B463" s="71"/>
      <c r="C463" s="71"/>
      <c r="D463" s="71"/>
      <c r="E463" s="71"/>
      <c r="F463" s="71"/>
      <c r="G463" s="71"/>
      <c r="H463" s="71"/>
      <c r="I463" s="71"/>
      <c r="J463" s="71"/>
      <c r="K463" s="71"/>
      <c r="L463" s="71"/>
      <c r="M463" s="71"/>
      <c r="N463" s="71"/>
      <c r="O463" s="71"/>
      <c r="P463" s="71"/>
      <c r="Q463" s="71"/>
      <c r="R463" s="71"/>
      <c r="S463" s="71"/>
      <c r="T463" s="105"/>
      <c r="U463" s="71"/>
      <c r="V463" s="71"/>
      <c r="W463" s="71"/>
      <c r="X463" s="71"/>
      <c r="Y463" s="71"/>
      <c r="Z463" s="71"/>
      <c r="AA463" s="71"/>
      <c r="AB463" s="71"/>
      <c r="AC463" s="71"/>
      <c r="AD463" s="71"/>
      <c r="AE463" s="71"/>
      <c r="AF463" s="71"/>
      <c r="AG463" s="71"/>
      <c r="AH463" s="71"/>
      <c r="AI463" s="71"/>
      <c r="AJ463" s="71"/>
      <c r="AK463" s="71"/>
    </row>
    <row r="464" spans="1:37" ht="12.75" customHeight="1" x14ac:dyDescent="0.2">
      <c r="A464" s="71"/>
      <c r="B464" s="71"/>
      <c r="C464" s="71"/>
      <c r="D464" s="71"/>
      <c r="E464" s="71"/>
      <c r="F464" s="71"/>
      <c r="G464" s="71"/>
      <c r="H464" s="71"/>
      <c r="I464" s="71"/>
      <c r="J464" s="71"/>
      <c r="K464" s="71"/>
      <c r="L464" s="71"/>
      <c r="M464" s="71"/>
      <c r="N464" s="71"/>
      <c r="O464" s="71"/>
      <c r="P464" s="71"/>
      <c r="Q464" s="71"/>
      <c r="R464" s="71"/>
      <c r="S464" s="71"/>
      <c r="T464" s="105"/>
      <c r="U464" s="71"/>
      <c r="V464" s="71"/>
      <c r="W464" s="71"/>
      <c r="X464" s="71"/>
      <c r="Y464" s="71"/>
      <c r="Z464" s="71"/>
      <c r="AA464" s="71"/>
      <c r="AB464" s="71"/>
      <c r="AC464" s="71"/>
      <c r="AD464" s="71"/>
      <c r="AE464" s="71"/>
      <c r="AF464" s="71"/>
      <c r="AG464" s="71"/>
      <c r="AH464" s="71"/>
      <c r="AI464" s="71"/>
      <c r="AJ464" s="71"/>
      <c r="AK464" s="71"/>
    </row>
    <row r="465" spans="1:37" ht="12.75" customHeight="1" x14ac:dyDescent="0.2">
      <c r="A465" s="71"/>
      <c r="B465" s="71"/>
      <c r="C465" s="71"/>
      <c r="D465" s="71"/>
      <c r="E465" s="71"/>
      <c r="F465" s="71"/>
      <c r="G465" s="71"/>
      <c r="H465" s="71"/>
      <c r="I465" s="71"/>
      <c r="J465" s="71"/>
      <c r="K465" s="71"/>
      <c r="L465" s="71"/>
      <c r="M465" s="71"/>
      <c r="N465" s="71"/>
      <c r="O465" s="71"/>
      <c r="P465" s="71"/>
      <c r="Q465" s="71"/>
      <c r="R465" s="71"/>
      <c r="S465" s="71"/>
      <c r="T465" s="105"/>
      <c r="U465" s="71"/>
      <c r="V465" s="71"/>
      <c r="W465" s="71"/>
      <c r="X465" s="71"/>
      <c r="Y465" s="71"/>
      <c r="Z465" s="71"/>
      <c r="AA465" s="71"/>
      <c r="AB465" s="71"/>
      <c r="AC465" s="71"/>
      <c r="AD465" s="71"/>
      <c r="AE465" s="71"/>
      <c r="AF465" s="71"/>
      <c r="AG465" s="71"/>
      <c r="AH465" s="71"/>
      <c r="AI465" s="71"/>
      <c r="AJ465" s="71"/>
      <c r="AK465" s="71"/>
    </row>
    <row r="466" spans="1:37" ht="12.75" customHeight="1" x14ac:dyDescent="0.2">
      <c r="A466" s="71"/>
      <c r="B466" s="71"/>
      <c r="C466" s="71"/>
      <c r="D466" s="71"/>
      <c r="E466" s="71"/>
      <c r="F466" s="71"/>
      <c r="G466" s="71"/>
      <c r="H466" s="71"/>
      <c r="I466" s="71"/>
      <c r="J466" s="71"/>
      <c r="K466" s="71"/>
      <c r="L466" s="71"/>
      <c r="M466" s="71"/>
      <c r="N466" s="71"/>
      <c r="O466" s="71"/>
      <c r="P466" s="71"/>
      <c r="Q466" s="71"/>
      <c r="R466" s="71"/>
      <c r="S466" s="71"/>
      <c r="T466" s="105"/>
      <c r="U466" s="71"/>
      <c r="V466" s="71"/>
      <c r="W466" s="71"/>
      <c r="X466" s="71"/>
      <c r="Y466" s="71"/>
      <c r="Z466" s="71"/>
      <c r="AA466" s="71"/>
      <c r="AB466" s="71"/>
      <c r="AC466" s="71"/>
      <c r="AD466" s="71"/>
      <c r="AE466" s="71"/>
      <c r="AF466" s="71"/>
      <c r="AG466" s="71"/>
      <c r="AH466" s="71"/>
      <c r="AI466" s="71"/>
      <c r="AJ466" s="71"/>
      <c r="AK466" s="71"/>
    </row>
    <row r="467" spans="1:37" ht="12.75" customHeight="1" x14ac:dyDescent="0.2">
      <c r="A467" s="71"/>
      <c r="B467" s="71"/>
      <c r="C467" s="71"/>
      <c r="D467" s="71"/>
      <c r="E467" s="71"/>
      <c r="F467" s="71"/>
      <c r="G467" s="71"/>
      <c r="H467" s="71"/>
      <c r="I467" s="71"/>
      <c r="J467" s="71"/>
      <c r="K467" s="71"/>
      <c r="L467" s="71"/>
      <c r="M467" s="71"/>
      <c r="N467" s="71"/>
      <c r="O467" s="71"/>
      <c r="P467" s="71"/>
      <c r="Q467" s="71"/>
      <c r="R467" s="71"/>
      <c r="S467" s="71"/>
      <c r="T467" s="105"/>
      <c r="U467" s="71"/>
      <c r="V467" s="71"/>
      <c r="W467" s="71"/>
      <c r="X467" s="71"/>
      <c r="Y467" s="71"/>
      <c r="Z467" s="71"/>
      <c r="AA467" s="71"/>
      <c r="AB467" s="71"/>
      <c r="AC467" s="71"/>
      <c r="AD467" s="71"/>
      <c r="AE467" s="71"/>
      <c r="AF467" s="71"/>
      <c r="AG467" s="71"/>
      <c r="AH467" s="71"/>
      <c r="AI467" s="71"/>
      <c r="AJ467" s="71"/>
      <c r="AK467" s="71"/>
    </row>
    <row r="468" spans="1:37" ht="12.75" customHeight="1" x14ac:dyDescent="0.2">
      <c r="A468" s="71"/>
      <c r="B468" s="71"/>
      <c r="C468" s="71"/>
      <c r="D468" s="71"/>
      <c r="E468" s="71"/>
      <c r="F468" s="71"/>
      <c r="G468" s="71"/>
      <c r="H468" s="71"/>
      <c r="I468" s="71"/>
      <c r="J468" s="71"/>
      <c r="K468" s="71"/>
      <c r="L468" s="71"/>
      <c r="M468" s="71"/>
      <c r="N468" s="71"/>
      <c r="O468" s="71"/>
      <c r="P468" s="71"/>
      <c r="Q468" s="71"/>
      <c r="R468" s="71"/>
      <c r="S468" s="71"/>
      <c r="T468" s="105"/>
      <c r="U468" s="71"/>
      <c r="V468" s="71"/>
      <c r="W468" s="71"/>
      <c r="X468" s="71"/>
      <c r="Y468" s="71"/>
      <c r="Z468" s="71"/>
      <c r="AA468" s="71"/>
      <c r="AB468" s="71"/>
      <c r="AC468" s="71"/>
      <c r="AD468" s="71"/>
      <c r="AE468" s="71"/>
      <c r="AF468" s="71"/>
      <c r="AG468" s="71"/>
      <c r="AH468" s="71"/>
      <c r="AI468" s="71"/>
      <c r="AJ468" s="71"/>
      <c r="AK468" s="71"/>
    </row>
    <row r="469" spans="1:37" ht="12.75" customHeight="1" x14ac:dyDescent="0.2">
      <c r="A469" s="71"/>
      <c r="B469" s="71"/>
      <c r="C469" s="71"/>
      <c r="D469" s="71"/>
      <c r="E469" s="71"/>
      <c r="F469" s="71"/>
      <c r="G469" s="71"/>
      <c r="H469" s="71"/>
      <c r="I469" s="71"/>
      <c r="J469" s="71"/>
      <c r="K469" s="71"/>
      <c r="L469" s="71"/>
      <c r="M469" s="71"/>
      <c r="N469" s="71"/>
      <c r="O469" s="71"/>
      <c r="P469" s="71"/>
      <c r="Q469" s="71"/>
      <c r="R469" s="71"/>
      <c r="S469" s="71"/>
      <c r="T469" s="105"/>
      <c r="U469" s="71"/>
      <c r="V469" s="71"/>
      <c r="W469" s="71"/>
      <c r="X469" s="71"/>
      <c r="Y469" s="71"/>
      <c r="Z469" s="71"/>
      <c r="AA469" s="71"/>
      <c r="AB469" s="71"/>
      <c r="AC469" s="71"/>
      <c r="AD469" s="71"/>
      <c r="AE469" s="71"/>
      <c r="AF469" s="71"/>
      <c r="AG469" s="71"/>
      <c r="AH469" s="71"/>
      <c r="AI469" s="71"/>
      <c r="AJ469" s="71"/>
      <c r="AK469" s="71"/>
    </row>
    <row r="470" spans="1:37" ht="12.75" customHeight="1" x14ac:dyDescent="0.2">
      <c r="A470" s="71"/>
      <c r="B470" s="71"/>
      <c r="C470" s="71"/>
      <c r="D470" s="71"/>
      <c r="E470" s="71"/>
      <c r="F470" s="71"/>
      <c r="G470" s="71"/>
      <c r="H470" s="71"/>
      <c r="I470" s="71"/>
      <c r="J470" s="71"/>
      <c r="K470" s="71"/>
      <c r="L470" s="71"/>
      <c r="M470" s="71"/>
      <c r="N470" s="71"/>
      <c r="O470" s="71"/>
      <c r="P470" s="71"/>
      <c r="Q470" s="71"/>
      <c r="R470" s="71"/>
      <c r="S470" s="71"/>
      <c r="T470" s="105"/>
      <c r="U470" s="71"/>
      <c r="V470" s="71"/>
      <c r="W470" s="71"/>
      <c r="X470" s="71"/>
      <c r="Y470" s="71"/>
      <c r="Z470" s="71"/>
      <c r="AA470" s="71"/>
      <c r="AB470" s="71"/>
      <c r="AC470" s="71"/>
      <c r="AD470" s="71"/>
      <c r="AE470" s="71"/>
      <c r="AF470" s="71"/>
      <c r="AG470" s="71"/>
      <c r="AH470" s="71"/>
      <c r="AI470" s="71"/>
      <c r="AJ470" s="71"/>
      <c r="AK470" s="71"/>
    </row>
    <row r="471" spans="1:37" ht="12.75" customHeight="1" x14ac:dyDescent="0.2">
      <c r="A471" s="71"/>
      <c r="B471" s="71"/>
      <c r="C471" s="71"/>
      <c r="D471" s="71"/>
      <c r="E471" s="71"/>
      <c r="F471" s="71"/>
      <c r="G471" s="71"/>
      <c r="H471" s="71"/>
      <c r="I471" s="71"/>
      <c r="J471" s="71"/>
      <c r="K471" s="71"/>
      <c r="L471" s="71"/>
      <c r="M471" s="71"/>
      <c r="N471" s="71"/>
      <c r="O471" s="71"/>
      <c r="P471" s="71"/>
      <c r="Q471" s="71"/>
      <c r="R471" s="71"/>
      <c r="S471" s="71"/>
      <c r="T471" s="105"/>
      <c r="U471" s="71"/>
      <c r="V471" s="71"/>
      <c r="W471" s="71"/>
      <c r="X471" s="71"/>
      <c r="Y471" s="71"/>
      <c r="Z471" s="71"/>
      <c r="AA471" s="71"/>
      <c r="AB471" s="71"/>
      <c r="AC471" s="71"/>
      <c r="AD471" s="71"/>
      <c r="AE471" s="71"/>
      <c r="AF471" s="71"/>
      <c r="AG471" s="71"/>
      <c r="AH471" s="71"/>
      <c r="AI471" s="71"/>
      <c r="AJ471" s="71"/>
      <c r="AK471" s="71"/>
    </row>
    <row r="472" spans="1:37" ht="12.75" customHeight="1" x14ac:dyDescent="0.2">
      <c r="A472" s="71"/>
      <c r="B472" s="71"/>
      <c r="C472" s="71"/>
      <c r="D472" s="71"/>
      <c r="E472" s="71"/>
      <c r="F472" s="71"/>
      <c r="G472" s="71"/>
      <c r="H472" s="71"/>
      <c r="I472" s="71"/>
      <c r="J472" s="71"/>
      <c r="K472" s="71"/>
      <c r="L472" s="71"/>
      <c r="M472" s="71"/>
      <c r="N472" s="71"/>
      <c r="O472" s="71"/>
      <c r="P472" s="71"/>
      <c r="Q472" s="71"/>
      <c r="R472" s="71"/>
      <c r="S472" s="71"/>
      <c r="T472" s="105"/>
      <c r="U472" s="71"/>
      <c r="V472" s="71"/>
      <c r="W472" s="71"/>
      <c r="X472" s="71"/>
      <c r="Y472" s="71"/>
      <c r="Z472" s="71"/>
      <c r="AA472" s="71"/>
      <c r="AB472" s="71"/>
      <c r="AC472" s="71"/>
      <c r="AD472" s="71"/>
      <c r="AE472" s="71"/>
      <c r="AF472" s="71"/>
      <c r="AG472" s="71"/>
      <c r="AH472" s="71"/>
      <c r="AI472" s="71"/>
      <c r="AJ472" s="71"/>
      <c r="AK472" s="71"/>
    </row>
    <row r="473" spans="1:37" ht="12.75" customHeight="1" x14ac:dyDescent="0.2">
      <c r="A473" s="71"/>
      <c r="B473" s="71"/>
      <c r="C473" s="71"/>
      <c r="D473" s="71"/>
      <c r="E473" s="71"/>
      <c r="F473" s="71"/>
      <c r="G473" s="71"/>
      <c r="H473" s="71"/>
      <c r="I473" s="71"/>
      <c r="J473" s="71"/>
      <c r="K473" s="71"/>
      <c r="L473" s="71"/>
      <c r="M473" s="71"/>
      <c r="N473" s="71"/>
      <c r="O473" s="71"/>
      <c r="P473" s="71"/>
      <c r="Q473" s="71"/>
      <c r="R473" s="71"/>
      <c r="S473" s="71"/>
      <c r="T473" s="105"/>
      <c r="U473" s="71"/>
      <c r="V473" s="71"/>
      <c r="W473" s="71"/>
      <c r="X473" s="71"/>
      <c r="Y473" s="71"/>
      <c r="Z473" s="71"/>
      <c r="AA473" s="71"/>
      <c r="AB473" s="71"/>
      <c r="AC473" s="71"/>
      <c r="AD473" s="71"/>
      <c r="AE473" s="71"/>
      <c r="AF473" s="71"/>
      <c r="AG473" s="71"/>
      <c r="AH473" s="71"/>
      <c r="AI473" s="71"/>
      <c r="AJ473" s="71"/>
      <c r="AK473" s="71"/>
    </row>
    <row r="474" spans="1:37" ht="12.75" customHeight="1" x14ac:dyDescent="0.2">
      <c r="A474" s="71"/>
      <c r="B474" s="71"/>
      <c r="C474" s="71"/>
      <c r="D474" s="71"/>
      <c r="E474" s="71"/>
      <c r="F474" s="71"/>
      <c r="G474" s="71"/>
      <c r="H474" s="71"/>
      <c r="I474" s="71"/>
      <c r="J474" s="71"/>
      <c r="K474" s="71"/>
      <c r="L474" s="71"/>
      <c r="M474" s="71"/>
      <c r="N474" s="71"/>
      <c r="O474" s="71"/>
      <c r="P474" s="71"/>
      <c r="Q474" s="71"/>
      <c r="R474" s="71"/>
      <c r="S474" s="71"/>
      <c r="T474" s="105"/>
      <c r="U474" s="71"/>
      <c r="V474" s="71"/>
      <c r="W474" s="71"/>
      <c r="X474" s="71"/>
      <c r="Y474" s="71"/>
      <c r="Z474" s="71"/>
      <c r="AA474" s="71"/>
      <c r="AB474" s="71"/>
      <c r="AC474" s="71"/>
      <c r="AD474" s="71"/>
      <c r="AE474" s="71"/>
      <c r="AF474" s="71"/>
      <c r="AG474" s="71"/>
      <c r="AH474" s="71"/>
      <c r="AI474" s="71"/>
      <c r="AJ474" s="71"/>
      <c r="AK474" s="71"/>
    </row>
    <row r="475" spans="1:37" ht="12.75" customHeight="1" x14ac:dyDescent="0.2">
      <c r="A475" s="71"/>
      <c r="B475" s="71"/>
      <c r="C475" s="71"/>
      <c r="D475" s="71"/>
      <c r="E475" s="71"/>
      <c r="F475" s="71"/>
      <c r="G475" s="71"/>
      <c r="H475" s="71"/>
      <c r="I475" s="71"/>
      <c r="J475" s="71"/>
      <c r="K475" s="71"/>
      <c r="L475" s="71"/>
      <c r="M475" s="71"/>
      <c r="N475" s="71"/>
      <c r="O475" s="71"/>
      <c r="P475" s="71"/>
      <c r="Q475" s="71"/>
      <c r="R475" s="71"/>
      <c r="S475" s="71"/>
      <c r="T475" s="105"/>
      <c r="U475" s="71"/>
      <c r="V475" s="71"/>
      <c r="W475" s="71"/>
      <c r="X475" s="71"/>
      <c r="Y475" s="71"/>
      <c r="Z475" s="71"/>
      <c r="AA475" s="71"/>
      <c r="AB475" s="71"/>
      <c r="AC475" s="71"/>
      <c r="AD475" s="71"/>
      <c r="AE475" s="71"/>
      <c r="AF475" s="71"/>
      <c r="AG475" s="71"/>
      <c r="AH475" s="71"/>
      <c r="AI475" s="71"/>
      <c r="AJ475" s="71"/>
      <c r="AK475" s="71"/>
    </row>
    <row r="476" spans="1:37" ht="12.75" customHeight="1" x14ac:dyDescent="0.2">
      <c r="A476" s="71"/>
      <c r="B476" s="71"/>
      <c r="C476" s="71"/>
      <c r="D476" s="71"/>
      <c r="E476" s="71"/>
      <c r="F476" s="71"/>
      <c r="G476" s="71"/>
      <c r="H476" s="71"/>
      <c r="I476" s="71"/>
      <c r="J476" s="71"/>
      <c r="K476" s="71"/>
      <c r="L476" s="71"/>
      <c r="M476" s="71"/>
      <c r="N476" s="71"/>
      <c r="O476" s="71"/>
      <c r="P476" s="71"/>
      <c r="Q476" s="71"/>
      <c r="R476" s="71"/>
      <c r="S476" s="71"/>
      <c r="T476" s="105"/>
      <c r="U476" s="71"/>
      <c r="V476" s="71"/>
      <c r="W476" s="71"/>
      <c r="X476" s="71"/>
      <c r="Y476" s="71"/>
      <c r="Z476" s="71"/>
      <c r="AA476" s="71"/>
      <c r="AB476" s="71"/>
      <c r="AC476" s="71"/>
      <c r="AD476" s="71"/>
      <c r="AE476" s="71"/>
      <c r="AF476" s="71"/>
      <c r="AG476" s="71"/>
      <c r="AH476" s="71"/>
      <c r="AI476" s="71"/>
      <c r="AJ476" s="71"/>
      <c r="AK476" s="71"/>
    </row>
    <row r="477" spans="1:37" ht="12.75" customHeight="1" x14ac:dyDescent="0.2">
      <c r="A477" s="71"/>
      <c r="B477" s="71"/>
      <c r="C477" s="71"/>
      <c r="D477" s="71"/>
      <c r="E477" s="71"/>
      <c r="F477" s="71"/>
      <c r="G477" s="71"/>
      <c r="H477" s="71"/>
      <c r="I477" s="71"/>
      <c r="J477" s="71"/>
      <c r="K477" s="71"/>
      <c r="L477" s="71"/>
      <c r="M477" s="71"/>
      <c r="N477" s="71"/>
      <c r="O477" s="71"/>
      <c r="P477" s="71"/>
      <c r="Q477" s="71"/>
      <c r="R477" s="71"/>
      <c r="S477" s="71"/>
      <c r="T477" s="105"/>
      <c r="U477" s="71"/>
      <c r="V477" s="71"/>
      <c r="W477" s="71"/>
      <c r="X477" s="71"/>
      <c r="Y477" s="71"/>
      <c r="Z477" s="71"/>
      <c r="AA477" s="71"/>
      <c r="AB477" s="71"/>
      <c r="AC477" s="71"/>
      <c r="AD477" s="71"/>
      <c r="AE477" s="71"/>
      <c r="AF477" s="71"/>
      <c r="AG477" s="71"/>
      <c r="AH477" s="71"/>
      <c r="AI477" s="71"/>
      <c r="AJ477" s="71"/>
      <c r="AK477" s="71"/>
    </row>
    <row r="478" spans="1:37" ht="12.75" customHeight="1" x14ac:dyDescent="0.2">
      <c r="A478" s="71"/>
      <c r="B478" s="71"/>
      <c r="C478" s="71"/>
      <c r="D478" s="71"/>
      <c r="E478" s="71"/>
      <c r="F478" s="71"/>
      <c r="G478" s="71"/>
      <c r="H478" s="71"/>
      <c r="I478" s="71"/>
      <c r="J478" s="71"/>
      <c r="K478" s="71"/>
      <c r="L478" s="71"/>
      <c r="M478" s="71"/>
      <c r="N478" s="71"/>
      <c r="O478" s="71"/>
      <c r="P478" s="71"/>
      <c r="Q478" s="71"/>
      <c r="R478" s="71"/>
      <c r="S478" s="71"/>
      <c r="T478" s="105"/>
      <c r="U478" s="71"/>
      <c r="V478" s="71"/>
      <c r="W478" s="71"/>
      <c r="X478" s="71"/>
      <c r="Y478" s="71"/>
      <c r="Z478" s="71"/>
      <c r="AA478" s="71"/>
      <c r="AB478" s="71"/>
      <c r="AC478" s="71"/>
      <c r="AD478" s="71"/>
      <c r="AE478" s="71"/>
      <c r="AF478" s="71"/>
      <c r="AG478" s="71"/>
      <c r="AH478" s="71"/>
      <c r="AI478" s="71"/>
      <c r="AJ478" s="71"/>
      <c r="AK478" s="71"/>
    </row>
    <row r="479" spans="1:37" ht="12.75" customHeight="1" x14ac:dyDescent="0.2">
      <c r="A479" s="71"/>
      <c r="B479" s="71"/>
      <c r="C479" s="71"/>
      <c r="D479" s="71"/>
      <c r="E479" s="71"/>
      <c r="F479" s="71"/>
      <c r="G479" s="71"/>
      <c r="H479" s="71"/>
      <c r="I479" s="71"/>
      <c r="J479" s="71"/>
      <c r="K479" s="71"/>
      <c r="L479" s="71"/>
      <c r="M479" s="71"/>
      <c r="N479" s="71"/>
      <c r="O479" s="71"/>
      <c r="P479" s="71"/>
      <c r="Q479" s="71"/>
      <c r="R479" s="71"/>
      <c r="S479" s="71"/>
      <c r="T479" s="105"/>
      <c r="U479" s="71"/>
      <c r="V479" s="71"/>
      <c r="W479" s="71"/>
      <c r="X479" s="71"/>
      <c r="Y479" s="71"/>
      <c r="Z479" s="71"/>
      <c r="AA479" s="71"/>
      <c r="AB479" s="71"/>
      <c r="AC479" s="71"/>
      <c r="AD479" s="71"/>
      <c r="AE479" s="71"/>
      <c r="AF479" s="71"/>
      <c r="AG479" s="71"/>
      <c r="AH479" s="71"/>
      <c r="AI479" s="71"/>
      <c r="AJ479" s="71"/>
      <c r="AK479" s="71"/>
    </row>
    <row r="480" spans="1:37" ht="12.75" customHeight="1" x14ac:dyDescent="0.2">
      <c r="A480" s="71"/>
      <c r="B480" s="71"/>
      <c r="C480" s="71"/>
      <c r="D480" s="71"/>
      <c r="E480" s="71"/>
      <c r="F480" s="71"/>
      <c r="G480" s="71"/>
      <c r="H480" s="71"/>
      <c r="I480" s="71"/>
      <c r="J480" s="71"/>
      <c r="K480" s="71"/>
      <c r="L480" s="71"/>
      <c r="M480" s="71"/>
      <c r="N480" s="71"/>
      <c r="O480" s="71"/>
      <c r="P480" s="71"/>
      <c r="Q480" s="71"/>
      <c r="R480" s="71"/>
      <c r="S480" s="71"/>
      <c r="T480" s="105"/>
      <c r="U480" s="71"/>
      <c r="V480" s="71"/>
      <c r="W480" s="71"/>
      <c r="X480" s="71"/>
      <c r="Y480" s="71"/>
      <c r="Z480" s="71"/>
      <c r="AA480" s="71"/>
      <c r="AB480" s="71"/>
      <c r="AC480" s="71"/>
      <c r="AD480" s="71"/>
      <c r="AE480" s="71"/>
      <c r="AF480" s="71"/>
      <c r="AG480" s="71"/>
      <c r="AH480" s="71"/>
      <c r="AI480" s="71"/>
      <c r="AJ480" s="71"/>
      <c r="AK480" s="71"/>
    </row>
    <row r="481" spans="1:37" ht="12.75" customHeight="1" x14ac:dyDescent="0.2">
      <c r="A481" s="71"/>
      <c r="B481" s="71"/>
      <c r="C481" s="71"/>
      <c r="D481" s="71"/>
      <c r="E481" s="71"/>
      <c r="F481" s="71"/>
      <c r="G481" s="71"/>
      <c r="H481" s="71"/>
      <c r="I481" s="71"/>
      <c r="J481" s="71"/>
      <c r="K481" s="71"/>
      <c r="L481" s="71"/>
      <c r="M481" s="71"/>
      <c r="N481" s="71"/>
      <c r="O481" s="71"/>
      <c r="P481" s="71"/>
      <c r="Q481" s="71"/>
      <c r="R481" s="71"/>
      <c r="S481" s="71"/>
      <c r="T481" s="105"/>
      <c r="U481" s="71"/>
      <c r="V481" s="71"/>
      <c r="W481" s="71"/>
      <c r="X481" s="71"/>
      <c r="Y481" s="71"/>
      <c r="Z481" s="71"/>
      <c r="AA481" s="71"/>
      <c r="AB481" s="71"/>
      <c r="AC481" s="71"/>
      <c r="AD481" s="71"/>
      <c r="AE481" s="71"/>
      <c r="AF481" s="71"/>
      <c r="AG481" s="71"/>
      <c r="AH481" s="71"/>
      <c r="AI481" s="71"/>
      <c r="AJ481" s="71"/>
      <c r="AK481" s="71"/>
    </row>
    <row r="482" spans="1:37" ht="12.75" customHeight="1" x14ac:dyDescent="0.2">
      <c r="A482" s="71"/>
      <c r="B482" s="71"/>
      <c r="C482" s="71"/>
      <c r="D482" s="71"/>
      <c r="E482" s="71"/>
      <c r="F482" s="71"/>
      <c r="G482" s="71"/>
      <c r="H482" s="71"/>
      <c r="I482" s="71"/>
      <c r="J482" s="71"/>
      <c r="K482" s="71"/>
      <c r="L482" s="71"/>
      <c r="M482" s="71"/>
      <c r="N482" s="71"/>
      <c r="O482" s="71"/>
      <c r="P482" s="71"/>
      <c r="Q482" s="71"/>
      <c r="R482" s="71"/>
      <c r="S482" s="71"/>
      <c r="T482" s="105"/>
      <c r="U482" s="71"/>
      <c r="V482" s="71"/>
      <c r="W482" s="71"/>
      <c r="X482" s="71"/>
      <c r="Y482" s="71"/>
      <c r="Z482" s="71"/>
      <c r="AA482" s="71"/>
      <c r="AB482" s="71"/>
      <c r="AC482" s="71"/>
      <c r="AD482" s="71"/>
      <c r="AE482" s="71"/>
      <c r="AF482" s="71"/>
      <c r="AG482" s="71"/>
      <c r="AH482" s="71"/>
      <c r="AI482" s="71"/>
      <c r="AJ482" s="71"/>
      <c r="AK482" s="71"/>
    </row>
    <row r="483" spans="1:37" ht="12.75" customHeight="1" x14ac:dyDescent="0.2">
      <c r="A483" s="71"/>
      <c r="B483" s="71"/>
      <c r="C483" s="71"/>
      <c r="D483" s="71"/>
      <c r="E483" s="71"/>
      <c r="F483" s="71"/>
      <c r="G483" s="71"/>
      <c r="H483" s="71"/>
      <c r="I483" s="71"/>
      <c r="J483" s="71"/>
      <c r="K483" s="71"/>
      <c r="L483" s="71"/>
      <c r="M483" s="71"/>
      <c r="N483" s="71"/>
      <c r="O483" s="71"/>
      <c r="P483" s="71"/>
      <c r="Q483" s="71"/>
      <c r="R483" s="71"/>
      <c r="S483" s="71"/>
      <c r="T483" s="105"/>
      <c r="U483" s="71"/>
      <c r="V483" s="71"/>
      <c r="W483" s="71"/>
      <c r="X483" s="71"/>
      <c r="Y483" s="71"/>
      <c r="Z483" s="71"/>
      <c r="AA483" s="71"/>
      <c r="AB483" s="71"/>
      <c r="AC483" s="71"/>
      <c r="AD483" s="71"/>
      <c r="AE483" s="71"/>
      <c r="AF483" s="71"/>
      <c r="AG483" s="71"/>
      <c r="AH483" s="71"/>
      <c r="AI483" s="71"/>
      <c r="AJ483" s="71"/>
      <c r="AK483" s="71"/>
    </row>
    <row r="484" spans="1:37" ht="12.75" customHeight="1" x14ac:dyDescent="0.2">
      <c r="A484" s="71"/>
      <c r="B484" s="71"/>
      <c r="C484" s="71"/>
      <c r="D484" s="71"/>
      <c r="E484" s="71"/>
      <c r="F484" s="71"/>
      <c r="G484" s="71"/>
      <c r="H484" s="71"/>
      <c r="I484" s="71"/>
      <c r="J484" s="71"/>
      <c r="K484" s="71"/>
      <c r="L484" s="71"/>
      <c r="M484" s="71"/>
      <c r="N484" s="71"/>
      <c r="O484" s="71"/>
      <c r="P484" s="71"/>
      <c r="Q484" s="71"/>
      <c r="R484" s="71"/>
      <c r="S484" s="71"/>
      <c r="T484" s="105"/>
      <c r="U484" s="71"/>
      <c r="V484" s="71"/>
      <c r="W484" s="71"/>
      <c r="X484" s="71"/>
      <c r="Y484" s="71"/>
      <c r="Z484" s="71"/>
      <c r="AA484" s="71"/>
      <c r="AB484" s="71"/>
      <c r="AC484" s="71"/>
      <c r="AD484" s="71"/>
      <c r="AE484" s="71"/>
      <c r="AF484" s="71"/>
      <c r="AG484" s="71"/>
      <c r="AH484" s="71"/>
      <c r="AI484" s="71"/>
      <c r="AJ484" s="71"/>
      <c r="AK484" s="71"/>
    </row>
    <row r="485" spans="1:37" ht="12.75" customHeight="1" x14ac:dyDescent="0.2">
      <c r="A485" s="71"/>
      <c r="B485" s="71"/>
      <c r="C485" s="71"/>
      <c r="D485" s="71"/>
      <c r="E485" s="71"/>
      <c r="F485" s="71"/>
      <c r="G485" s="71"/>
      <c r="H485" s="71"/>
      <c r="I485" s="71"/>
      <c r="J485" s="71"/>
      <c r="K485" s="71"/>
      <c r="L485" s="71"/>
      <c r="M485" s="71"/>
      <c r="N485" s="71"/>
      <c r="O485" s="71"/>
      <c r="P485" s="71"/>
      <c r="Q485" s="71"/>
      <c r="R485" s="71"/>
      <c r="S485" s="71"/>
      <c r="T485" s="105"/>
      <c r="U485" s="71"/>
      <c r="V485" s="71"/>
      <c r="W485" s="71"/>
      <c r="X485" s="71"/>
      <c r="Y485" s="71"/>
      <c r="Z485" s="71"/>
      <c r="AA485" s="71"/>
      <c r="AB485" s="71"/>
      <c r="AC485" s="71"/>
      <c r="AD485" s="71"/>
      <c r="AE485" s="71"/>
      <c r="AF485" s="71"/>
      <c r="AG485" s="71"/>
      <c r="AH485" s="71"/>
      <c r="AI485" s="71"/>
      <c r="AJ485" s="71"/>
      <c r="AK485" s="71"/>
    </row>
    <row r="486" spans="1:37" ht="12.75" customHeight="1" x14ac:dyDescent="0.2">
      <c r="A486" s="71"/>
      <c r="B486" s="71"/>
      <c r="C486" s="71"/>
      <c r="D486" s="71"/>
      <c r="E486" s="71"/>
      <c r="F486" s="71"/>
      <c r="G486" s="71"/>
      <c r="H486" s="71"/>
      <c r="I486" s="71"/>
      <c r="J486" s="71"/>
      <c r="K486" s="71"/>
      <c r="L486" s="71"/>
      <c r="M486" s="71"/>
      <c r="N486" s="71"/>
      <c r="O486" s="71"/>
      <c r="P486" s="71"/>
      <c r="Q486" s="71"/>
      <c r="R486" s="71"/>
      <c r="S486" s="71"/>
      <c r="T486" s="105"/>
      <c r="U486" s="71"/>
      <c r="V486" s="71"/>
      <c r="W486" s="71"/>
      <c r="X486" s="71"/>
      <c r="Y486" s="71"/>
      <c r="Z486" s="71"/>
      <c r="AA486" s="71"/>
      <c r="AB486" s="71"/>
      <c r="AC486" s="71"/>
      <c r="AD486" s="71"/>
      <c r="AE486" s="71"/>
      <c r="AF486" s="71"/>
      <c r="AG486" s="71"/>
      <c r="AH486" s="71"/>
      <c r="AI486" s="71"/>
      <c r="AJ486" s="71"/>
      <c r="AK486" s="71"/>
    </row>
    <row r="487" spans="1:37" ht="12.75" customHeight="1" x14ac:dyDescent="0.2">
      <c r="A487" s="71"/>
      <c r="B487" s="71"/>
      <c r="C487" s="71"/>
      <c r="D487" s="71"/>
      <c r="E487" s="71"/>
      <c r="F487" s="71"/>
      <c r="G487" s="71"/>
      <c r="H487" s="71"/>
      <c r="I487" s="71"/>
      <c r="J487" s="71"/>
      <c r="K487" s="71"/>
      <c r="L487" s="71"/>
      <c r="M487" s="71"/>
      <c r="N487" s="71"/>
      <c r="O487" s="71"/>
      <c r="P487" s="71"/>
      <c r="Q487" s="71"/>
      <c r="R487" s="71"/>
      <c r="S487" s="71"/>
      <c r="T487" s="105"/>
      <c r="U487" s="71"/>
      <c r="V487" s="71"/>
      <c r="W487" s="71"/>
      <c r="X487" s="71"/>
      <c r="Y487" s="71"/>
      <c r="Z487" s="71"/>
      <c r="AA487" s="71"/>
      <c r="AB487" s="71"/>
      <c r="AC487" s="71"/>
      <c r="AD487" s="71"/>
      <c r="AE487" s="71"/>
      <c r="AF487" s="71"/>
      <c r="AG487" s="71"/>
      <c r="AH487" s="71"/>
      <c r="AI487" s="71"/>
      <c r="AJ487" s="71"/>
      <c r="AK487" s="71"/>
    </row>
    <row r="488" spans="1:37" ht="12.75" customHeight="1" x14ac:dyDescent="0.2">
      <c r="A488" s="71"/>
      <c r="B488" s="71"/>
      <c r="C488" s="71"/>
      <c r="D488" s="71"/>
      <c r="E488" s="71"/>
      <c r="F488" s="71"/>
      <c r="G488" s="71"/>
      <c r="H488" s="71"/>
      <c r="I488" s="71"/>
      <c r="J488" s="71"/>
      <c r="K488" s="71"/>
      <c r="L488" s="71"/>
      <c r="M488" s="71"/>
      <c r="N488" s="71"/>
      <c r="O488" s="71"/>
      <c r="P488" s="71"/>
      <c r="Q488" s="71"/>
      <c r="R488" s="71"/>
      <c r="S488" s="71"/>
      <c r="T488" s="105"/>
      <c r="U488" s="71"/>
      <c r="V488" s="71"/>
      <c r="W488" s="71"/>
      <c r="X488" s="71"/>
      <c r="Y488" s="71"/>
      <c r="Z488" s="71"/>
      <c r="AA488" s="71"/>
      <c r="AB488" s="71"/>
      <c r="AC488" s="71"/>
      <c r="AD488" s="71"/>
      <c r="AE488" s="71"/>
      <c r="AF488" s="71"/>
      <c r="AG488" s="71"/>
      <c r="AH488" s="71"/>
      <c r="AI488" s="71"/>
      <c r="AJ488" s="71"/>
      <c r="AK488" s="71"/>
    </row>
    <row r="489" spans="1:37" ht="12.75" customHeight="1" x14ac:dyDescent="0.2">
      <c r="A489" s="71"/>
      <c r="B489" s="71"/>
      <c r="C489" s="71"/>
      <c r="D489" s="71"/>
      <c r="E489" s="71"/>
      <c r="F489" s="71"/>
      <c r="G489" s="71"/>
      <c r="H489" s="71"/>
      <c r="I489" s="71"/>
      <c r="J489" s="71"/>
      <c r="K489" s="71"/>
      <c r="L489" s="71"/>
      <c r="M489" s="71"/>
      <c r="N489" s="71"/>
      <c r="O489" s="71"/>
      <c r="P489" s="71"/>
      <c r="Q489" s="71"/>
      <c r="R489" s="71"/>
      <c r="S489" s="71"/>
      <c r="T489" s="105"/>
      <c r="U489" s="71"/>
      <c r="V489" s="71"/>
      <c r="W489" s="71"/>
      <c r="X489" s="71"/>
      <c r="Y489" s="71"/>
      <c r="Z489" s="71"/>
      <c r="AA489" s="71"/>
      <c r="AB489" s="71"/>
      <c r="AC489" s="71"/>
      <c r="AD489" s="71"/>
      <c r="AE489" s="71"/>
      <c r="AF489" s="71"/>
      <c r="AG489" s="71"/>
      <c r="AH489" s="71"/>
      <c r="AI489" s="71"/>
      <c r="AJ489" s="71"/>
      <c r="AK489" s="71"/>
    </row>
    <row r="490" spans="1:37" ht="12.75" customHeight="1" x14ac:dyDescent="0.2">
      <c r="A490" s="71"/>
      <c r="B490" s="71"/>
      <c r="C490" s="71"/>
      <c r="D490" s="71"/>
      <c r="E490" s="71"/>
      <c r="F490" s="71"/>
      <c r="G490" s="71"/>
      <c r="H490" s="71"/>
      <c r="I490" s="71"/>
      <c r="J490" s="71"/>
      <c r="K490" s="71"/>
      <c r="L490" s="71"/>
      <c r="M490" s="71"/>
      <c r="N490" s="71"/>
      <c r="O490" s="71"/>
      <c r="P490" s="71"/>
      <c r="Q490" s="71"/>
      <c r="R490" s="71"/>
      <c r="S490" s="71"/>
      <c r="T490" s="105"/>
      <c r="U490" s="71"/>
      <c r="V490" s="71"/>
      <c r="W490" s="71"/>
      <c r="X490" s="71"/>
      <c r="Y490" s="71"/>
      <c r="Z490" s="71"/>
      <c r="AA490" s="71"/>
      <c r="AB490" s="71"/>
      <c r="AC490" s="71"/>
      <c r="AD490" s="71"/>
      <c r="AE490" s="71"/>
      <c r="AF490" s="71"/>
      <c r="AG490" s="71"/>
      <c r="AH490" s="71"/>
      <c r="AI490" s="71"/>
      <c r="AJ490" s="71"/>
      <c r="AK490" s="71"/>
    </row>
    <row r="491" spans="1:37" ht="12.75" customHeight="1" x14ac:dyDescent="0.2">
      <c r="A491" s="71"/>
      <c r="B491" s="71"/>
      <c r="C491" s="71"/>
      <c r="D491" s="71"/>
      <c r="E491" s="71"/>
      <c r="F491" s="71"/>
      <c r="G491" s="71"/>
      <c r="H491" s="71"/>
      <c r="I491" s="71"/>
      <c r="J491" s="71"/>
      <c r="K491" s="71"/>
      <c r="L491" s="71"/>
      <c r="M491" s="71"/>
      <c r="N491" s="71"/>
      <c r="O491" s="71"/>
      <c r="P491" s="71"/>
      <c r="Q491" s="71"/>
      <c r="R491" s="71"/>
      <c r="S491" s="71"/>
      <c r="T491" s="105"/>
      <c r="U491" s="71"/>
      <c r="V491" s="71"/>
      <c r="W491" s="71"/>
      <c r="X491" s="71"/>
      <c r="Y491" s="71"/>
      <c r="Z491" s="71"/>
      <c r="AA491" s="71"/>
      <c r="AB491" s="71"/>
      <c r="AC491" s="71"/>
      <c r="AD491" s="71"/>
      <c r="AE491" s="71"/>
      <c r="AF491" s="71"/>
      <c r="AG491" s="71"/>
      <c r="AH491" s="71"/>
      <c r="AI491" s="71"/>
      <c r="AJ491" s="71"/>
      <c r="AK491" s="71"/>
    </row>
    <row r="492" spans="1:37" ht="12.75" customHeight="1" x14ac:dyDescent="0.2">
      <c r="A492" s="71"/>
      <c r="B492" s="71"/>
      <c r="C492" s="71"/>
      <c r="D492" s="71"/>
      <c r="E492" s="71"/>
      <c r="F492" s="71"/>
      <c r="G492" s="71"/>
      <c r="H492" s="71"/>
      <c r="I492" s="71"/>
      <c r="J492" s="71"/>
      <c r="K492" s="71"/>
      <c r="L492" s="71"/>
      <c r="M492" s="71"/>
      <c r="N492" s="71"/>
      <c r="O492" s="71"/>
      <c r="P492" s="71"/>
      <c r="Q492" s="71"/>
      <c r="R492" s="71"/>
      <c r="S492" s="71"/>
      <c r="T492" s="105"/>
      <c r="U492" s="71"/>
      <c r="V492" s="71"/>
      <c r="W492" s="71"/>
      <c r="X492" s="71"/>
      <c r="Y492" s="71"/>
      <c r="Z492" s="71"/>
      <c r="AA492" s="71"/>
      <c r="AB492" s="71"/>
      <c r="AC492" s="71"/>
      <c r="AD492" s="71"/>
      <c r="AE492" s="71"/>
      <c r="AF492" s="71"/>
      <c r="AG492" s="71"/>
      <c r="AH492" s="71"/>
      <c r="AI492" s="71"/>
      <c r="AJ492" s="71"/>
      <c r="AK492" s="71"/>
    </row>
    <row r="493" spans="1:37" ht="12.75" customHeight="1" x14ac:dyDescent="0.2">
      <c r="A493" s="71"/>
      <c r="B493" s="71"/>
      <c r="C493" s="71"/>
      <c r="D493" s="71"/>
      <c r="E493" s="71"/>
      <c r="F493" s="71"/>
      <c r="G493" s="71"/>
      <c r="H493" s="71"/>
      <c r="I493" s="71"/>
      <c r="J493" s="71"/>
      <c r="K493" s="71"/>
      <c r="L493" s="71"/>
      <c r="M493" s="71"/>
      <c r="N493" s="71"/>
      <c r="O493" s="71"/>
      <c r="P493" s="71"/>
      <c r="Q493" s="71"/>
      <c r="R493" s="71"/>
      <c r="S493" s="71"/>
      <c r="T493" s="105"/>
      <c r="U493" s="71"/>
      <c r="V493" s="71"/>
      <c r="W493" s="71"/>
      <c r="X493" s="71"/>
      <c r="Y493" s="71"/>
      <c r="Z493" s="71"/>
      <c r="AA493" s="71"/>
      <c r="AB493" s="71"/>
      <c r="AC493" s="71"/>
      <c r="AD493" s="71"/>
      <c r="AE493" s="71"/>
      <c r="AF493" s="71"/>
      <c r="AG493" s="71"/>
      <c r="AH493" s="71"/>
      <c r="AI493" s="71"/>
      <c r="AJ493" s="71"/>
      <c r="AK493" s="71"/>
    </row>
    <row r="494" spans="1:37" ht="12.75" customHeight="1" x14ac:dyDescent="0.2">
      <c r="A494" s="71"/>
      <c r="B494" s="71"/>
      <c r="C494" s="71"/>
      <c r="D494" s="71"/>
      <c r="E494" s="71"/>
      <c r="F494" s="71"/>
      <c r="G494" s="71"/>
      <c r="H494" s="71"/>
      <c r="I494" s="71"/>
      <c r="J494" s="71"/>
      <c r="K494" s="71"/>
      <c r="L494" s="71"/>
      <c r="M494" s="71"/>
      <c r="N494" s="71"/>
      <c r="O494" s="71"/>
      <c r="P494" s="71"/>
      <c r="Q494" s="71"/>
      <c r="R494" s="71"/>
      <c r="S494" s="71"/>
      <c r="T494" s="105"/>
      <c r="U494" s="71"/>
      <c r="V494" s="71"/>
      <c r="W494" s="71"/>
      <c r="X494" s="71"/>
      <c r="Y494" s="71"/>
      <c r="Z494" s="71"/>
      <c r="AA494" s="71"/>
      <c r="AB494" s="71"/>
      <c r="AC494" s="71"/>
      <c r="AD494" s="71"/>
      <c r="AE494" s="71"/>
      <c r="AF494" s="71"/>
      <c r="AG494" s="71"/>
      <c r="AH494" s="71"/>
      <c r="AI494" s="71"/>
      <c r="AJ494" s="71"/>
      <c r="AK494" s="71"/>
    </row>
    <row r="495" spans="1:37" ht="12.75" customHeight="1" x14ac:dyDescent="0.2">
      <c r="A495" s="71"/>
      <c r="B495" s="71"/>
      <c r="C495" s="71"/>
      <c r="D495" s="71"/>
      <c r="E495" s="71"/>
      <c r="F495" s="71"/>
      <c r="G495" s="71"/>
      <c r="H495" s="71"/>
      <c r="I495" s="71"/>
      <c r="J495" s="71"/>
      <c r="K495" s="71"/>
      <c r="L495" s="71"/>
      <c r="M495" s="71"/>
      <c r="N495" s="71"/>
      <c r="O495" s="71"/>
      <c r="P495" s="71"/>
      <c r="Q495" s="71"/>
      <c r="R495" s="71"/>
      <c r="S495" s="71"/>
      <c r="T495" s="105"/>
      <c r="U495" s="71"/>
      <c r="V495" s="71"/>
      <c r="W495" s="71"/>
      <c r="X495" s="71"/>
      <c r="Y495" s="71"/>
      <c r="Z495" s="71"/>
      <c r="AA495" s="71"/>
      <c r="AB495" s="71"/>
      <c r="AC495" s="71"/>
      <c r="AD495" s="71"/>
      <c r="AE495" s="71"/>
      <c r="AF495" s="71"/>
      <c r="AG495" s="71"/>
      <c r="AH495" s="71"/>
      <c r="AI495" s="71"/>
      <c r="AJ495" s="71"/>
      <c r="AK495" s="71"/>
    </row>
    <row r="496" spans="1:37" ht="12.75" customHeight="1" x14ac:dyDescent="0.2">
      <c r="A496" s="71"/>
      <c r="B496" s="71"/>
      <c r="C496" s="71"/>
      <c r="D496" s="71"/>
      <c r="E496" s="71"/>
      <c r="F496" s="71"/>
      <c r="G496" s="71"/>
      <c r="H496" s="71"/>
      <c r="I496" s="71"/>
      <c r="J496" s="71"/>
      <c r="K496" s="71"/>
      <c r="L496" s="71"/>
      <c r="M496" s="71"/>
      <c r="N496" s="71"/>
      <c r="O496" s="71"/>
      <c r="P496" s="71"/>
      <c r="Q496" s="71"/>
      <c r="R496" s="71"/>
      <c r="S496" s="71"/>
      <c r="T496" s="105"/>
      <c r="U496" s="71"/>
      <c r="V496" s="71"/>
      <c r="W496" s="71"/>
      <c r="X496" s="71"/>
      <c r="Y496" s="71"/>
      <c r="Z496" s="71"/>
      <c r="AA496" s="71"/>
      <c r="AB496" s="71"/>
      <c r="AC496" s="71"/>
      <c r="AD496" s="71"/>
      <c r="AE496" s="71"/>
      <c r="AF496" s="71"/>
      <c r="AG496" s="71"/>
      <c r="AH496" s="71"/>
      <c r="AI496" s="71"/>
      <c r="AJ496" s="71"/>
      <c r="AK496" s="71"/>
    </row>
    <row r="497" spans="1:37" ht="12.75" customHeight="1" x14ac:dyDescent="0.2">
      <c r="A497" s="71"/>
      <c r="B497" s="71"/>
      <c r="C497" s="71"/>
      <c r="D497" s="71"/>
      <c r="E497" s="71"/>
      <c r="F497" s="71"/>
      <c r="G497" s="71"/>
      <c r="H497" s="71"/>
      <c r="I497" s="71"/>
      <c r="J497" s="71"/>
      <c r="K497" s="71"/>
      <c r="L497" s="71"/>
      <c r="M497" s="71"/>
      <c r="N497" s="71"/>
      <c r="O497" s="71"/>
      <c r="P497" s="71"/>
      <c r="Q497" s="71"/>
      <c r="R497" s="71"/>
      <c r="S497" s="71"/>
      <c r="T497" s="105"/>
      <c r="U497" s="71"/>
      <c r="V497" s="71"/>
      <c r="W497" s="71"/>
      <c r="X497" s="71"/>
      <c r="Y497" s="71"/>
      <c r="Z497" s="71"/>
      <c r="AA497" s="71"/>
      <c r="AB497" s="71"/>
      <c r="AC497" s="71"/>
      <c r="AD497" s="71"/>
      <c r="AE497" s="71"/>
      <c r="AF497" s="71"/>
      <c r="AG497" s="71"/>
      <c r="AH497" s="71"/>
      <c r="AI497" s="71"/>
      <c r="AJ497" s="71"/>
      <c r="AK497" s="71"/>
    </row>
    <row r="498" spans="1:37" ht="12.75" customHeight="1" x14ac:dyDescent="0.2">
      <c r="A498" s="71"/>
      <c r="B498" s="71"/>
      <c r="C498" s="71"/>
      <c r="D498" s="71"/>
      <c r="E498" s="71"/>
      <c r="F498" s="71"/>
      <c r="G498" s="71"/>
      <c r="H498" s="71"/>
      <c r="I498" s="71"/>
      <c r="J498" s="71"/>
      <c r="K498" s="71"/>
      <c r="L498" s="71"/>
      <c r="M498" s="71"/>
      <c r="N498" s="71"/>
      <c r="O498" s="71"/>
      <c r="P498" s="71"/>
      <c r="Q498" s="71"/>
      <c r="R498" s="71"/>
      <c r="S498" s="71"/>
      <c r="T498" s="105"/>
      <c r="U498" s="71"/>
      <c r="V498" s="71"/>
      <c r="W498" s="71"/>
      <c r="X498" s="71"/>
      <c r="Y498" s="71"/>
      <c r="Z498" s="71"/>
      <c r="AA498" s="71"/>
      <c r="AB498" s="71"/>
      <c r="AC498" s="71"/>
      <c r="AD498" s="71"/>
      <c r="AE498" s="71"/>
      <c r="AF498" s="71"/>
      <c r="AG498" s="71"/>
      <c r="AH498" s="71"/>
      <c r="AI498" s="71"/>
      <c r="AJ498" s="71"/>
      <c r="AK498" s="71"/>
    </row>
    <row r="499" spans="1:37" ht="12.75" customHeight="1" x14ac:dyDescent="0.2">
      <c r="A499" s="71"/>
      <c r="B499" s="71"/>
      <c r="C499" s="71"/>
      <c r="D499" s="71"/>
      <c r="E499" s="71"/>
      <c r="F499" s="71"/>
      <c r="G499" s="71"/>
      <c r="H499" s="71"/>
      <c r="I499" s="71"/>
      <c r="J499" s="71"/>
      <c r="K499" s="71"/>
      <c r="L499" s="71"/>
      <c r="M499" s="71"/>
      <c r="N499" s="71"/>
      <c r="O499" s="71"/>
      <c r="P499" s="71"/>
      <c r="Q499" s="71"/>
      <c r="R499" s="71"/>
      <c r="S499" s="71"/>
      <c r="T499" s="105"/>
      <c r="U499" s="71"/>
      <c r="V499" s="71"/>
      <c r="W499" s="71"/>
      <c r="X499" s="71"/>
      <c r="Y499" s="71"/>
      <c r="Z499" s="71"/>
      <c r="AA499" s="71"/>
      <c r="AB499" s="71"/>
      <c r="AC499" s="71"/>
      <c r="AD499" s="71"/>
      <c r="AE499" s="71"/>
      <c r="AF499" s="71"/>
      <c r="AG499" s="71"/>
      <c r="AH499" s="71"/>
      <c r="AI499" s="71"/>
      <c r="AJ499" s="71"/>
      <c r="AK499" s="71"/>
    </row>
    <row r="500" spans="1:37" ht="12.75" customHeight="1" x14ac:dyDescent="0.2">
      <c r="A500" s="71"/>
      <c r="B500" s="71"/>
      <c r="C500" s="71"/>
      <c r="D500" s="71"/>
      <c r="E500" s="71"/>
      <c r="F500" s="71"/>
      <c r="G500" s="71"/>
      <c r="H500" s="71"/>
      <c r="I500" s="71"/>
      <c r="J500" s="71"/>
      <c r="K500" s="71"/>
      <c r="L500" s="71"/>
      <c r="M500" s="71"/>
      <c r="N500" s="71"/>
      <c r="O500" s="71"/>
      <c r="P500" s="71"/>
      <c r="Q500" s="71"/>
      <c r="R500" s="71"/>
      <c r="S500" s="71"/>
      <c r="T500" s="105"/>
      <c r="U500" s="71"/>
      <c r="V500" s="71"/>
      <c r="W500" s="71"/>
      <c r="X500" s="71"/>
      <c r="Y500" s="71"/>
      <c r="Z500" s="71"/>
      <c r="AA500" s="71"/>
      <c r="AB500" s="71"/>
      <c r="AC500" s="71"/>
      <c r="AD500" s="71"/>
      <c r="AE500" s="71"/>
      <c r="AF500" s="71"/>
      <c r="AG500" s="71"/>
      <c r="AH500" s="71"/>
      <c r="AI500" s="71"/>
      <c r="AJ500" s="71"/>
      <c r="AK500" s="71"/>
    </row>
    <row r="501" spans="1:37" ht="12.75" customHeight="1" x14ac:dyDescent="0.2">
      <c r="A501" s="71"/>
      <c r="B501" s="71"/>
      <c r="C501" s="71"/>
      <c r="D501" s="71"/>
      <c r="E501" s="71"/>
      <c r="F501" s="71"/>
      <c r="G501" s="71"/>
      <c r="H501" s="71"/>
      <c r="I501" s="71"/>
      <c r="J501" s="71"/>
      <c r="K501" s="71"/>
      <c r="L501" s="71"/>
      <c r="M501" s="71"/>
      <c r="N501" s="71"/>
      <c r="O501" s="71"/>
      <c r="P501" s="71"/>
      <c r="Q501" s="71"/>
      <c r="R501" s="71"/>
      <c r="S501" s="71"/>
      <c r="T501" s="105"/>
      <c r="U501" s="71"/>
      <c r="V501" s="71"/>
      <c r="W501" s="71"/>
      <c r="X501" s="71"/>
      <c r="Y501" s="71"/>
      <c r="Z501" s="71"/>
      <c r="AA501" s="71"/>
      <c r="AB501" s="71"/>
      <c r="AC501" s="71"/>
      <c r="AD501" s="71"/>
      <c r="AE501" s="71"/>
      <c r="AF501" s="71"/>
      <c r="AG501" s="71"/>
      <c r="AH501" s="71"/>
      <c r="AI501" s="71"/>
      <c r="AJ501" s="71"/>
      <c r="AK501" s="71"/>
    </row>
    <row r="502" spans="1:37" ht="12.75" customHeight="1" x14ac:dyDescent="0.2">
      <c r="A502" s="71"/>
      <c r="B502" s="71"/>
      <c r="C502" s="71"/>
      <c r="D502" s="71"/>
      <c r="E502" s="71"/>
      <c r="F502" s="71"/>
      <c r="G502" s="71"/>
      <c r="H502" s="71"/>
      <c r="I502" s="71"/>
      <c r="J502" s="71"/>
      <c r="K502" s="71"/>
      <c r="L502" s="71"/>
      <c r="M502" s="71"/>
      <c r="N502" s="71"/>
      <c r="O502" s="71"/>
      <c r="P502" s="71"/>
      <c r="Q502" s="71"/>
      <c r="R502" s="71"/>
      <c r="S502" s="71"/>
      <c r="T502" s="105"/>
      <c r="U502" s="71"/>
      <c r="V502" s="71"/>
      <c r="W502" s="71"/>
      <c r="X502" s="71"/>
      <c r="Y502" s="71"/>
      <c r="Z502" s="71"/>
      <c r="AA502" s="71"/>
      <c r="AB502" s="71"/>
      <c r="AC502" s="71"/>
      <c r="AD502" s="71"/>
      <c r="AE502" s="71"/>
      <c r="AF502" s="71"/>
      <c r="AG502" s="71"/>
      <c r="AH502" s="71"/>
      <c r="AI502" s="71"/>
      <c r="AJ502" s="71"/>
      <c r="AK502" s="71"/>
    </row>
    <row r="503" spans="1:37" ht="12.75" customHeight="1" x14ac:dyDescent="0.2">
      <c r="A503" s="71"/>
      <c r="B503" s="71"/>
      <c r="C503" s="71"/>
      <c r="D503" s="71"/>
      <c r="E503" s="71"/>
      <c r="F503" s="71"/>
      <c r="G503" s="71"/>
      <c r="H503" s="71"/>
      <c r="I503" s="71"/>
      <c r="J503" s="71"/>
      <c r="K503" s="71"/>
      <c r="L503" s="71"/>
      <c r="M503" s="71"/>
      <c r="N503" s="71"/>
      <c r="O503" s="71"/>
      <c r="P503" s="71"/>
      <c r="Q503" s="71"/>
      <c r="R503" s="71"/>
      <c r="S503" s="71"/>
      <c r="T503" s="105"/>
      <c r="U503" s="71"/>
      <c r="V503" s="71"/>
      <c r="W503" s="71"/>
      <c r="X503" s="71"/>
      <c r="Y503" s="71"/>
      <c r="Z503" s="71"/>
      <c r="AA503" s="71"/>
      <c r="AB503" s="71"/>
      <c r="AC503" s="71"/>
      <c r="AD503" s="71"/>
      <c r="AE503" s="71"/>
      <c r="AF503" s="71"/>
      <c r="AG503" s="71"/>
      <c r="AH503" s="71"/>
      <c r="AI503" s="71"/>
      <c r="AJ503" s="71"/>
      <c r="AK503" s="71"/>
    </row>
    <row r="504" spans="1:37" ht="12.75" customHeight="1" x14ac:dyDescent="0.2">
      <c r="A504" s="71"/>
      <c r="B504" s="71"/>
      <c r="C504" s="71"/>
      <c r="D504" s="71"/>
      <c r="E504" s="71"/>
      <c r="F504" s="71"/>
      <c r="G504" s="71"/>
      <c r="H504" s="71"/>
      <c r="I504" s="71"/>
      <c r="J504" s="71"/>
      <c r="K504" s="71"/>
      <c r="L504" s="71"/>
      <c r="M504" s="71"/>
      <c r="N504" s="71"/>
      <c r="O504" s="71"/>
      <c r="P504" s="71"/>
      <c r="Q504" s="71"/>
      <c r="R504" s="71"/>
      <c r="S504" s="71"/>
      <c r="T504" s="105"/>
      <c r="U504" s="71"/>
      <c r="V504" s="71"/>
      <c r="W504" s="71"/>
      <c r="X504" s="71"/>
      <c r="Y504" s="71"/>
      <c r="Z504" s="71"/>
      <c r="AA504" s="71"/>
      <c r="AB504" s="71"/>
      <c r="AC504" s="71"/>
      <c r="AD504" s="71"/>
      <c r="AE504" s="71"/>
      <c r="AF504" s="71"/>
      <c r="AG504" s="71"/>
      <c r="AH504" s="71"/>
      <c r="AI504" s="71"/>
      <c r="AJ504" s="71"/>
      <c r="AK504" s="71"/>
    </row>
    <row r="505" spans="1:37" ht="12.75" customHeight="1" x14ac:dyDescent="0.2">
      <c r="A505" s="71"/>
      <c r="B505" s="71"/>
      <c r="C505" s="71"/>
      <c r="D505" s="71"/>
      <c r="E505" s="71"/>
      <c r="F505" s="71"/>
      <c r="G505" s="71"/>
      <c r="H505" s="71"/>
      <c r="I505" s="71"/>
      <c r="J505" s="71"/>
      <c r="K505" s="71"/>
      <c r="L505" s="71"/>
      <c r="M505" s="71"/>
      <c r="N505" s="71"/>
      <c r="O505" s="71"/>
      <c r="P505" s="71"/>
      <c r="Q505" s="71"/>
      <c r="R505" s="71"/>
      <c r="S505" s="71"/>
      <c r="T505" s="105"/>
      <c r="U505" s="71"/>
      <c r="V505" s="71"/>
      <c r="W505" s="71"/>
      <c r="X505" s="71"/>
      <c r="Y505" s="71"/>
      <c r="Z505" s="71"/>
      <c r="AA505" s="71"/>
      <c r="AB505" s="71"/>
      <c r="AC505" s="71"/>
      <c r="AD505" s="71"/>
      <c r="AE505" s="71"/>
      <c r="AF505" s="71"/>
      <c r="AG505" s="71"/>
      <c r="AH505" s="71"/>
      <c r="AI505" s="71"/>
      <c r="AJ505" s="71"/>
      <c r="AK505" s="71"/>
    </row>
    <row r="506" spans="1:37" ht="12.75" customHeight="1" x14ac:dyDescent="0.2">
      <c r="A506" s="71"/>
      <c r="B506" s="71"/>
      <c r="C506" s="71"/>
      <c r="D506" s="71"/>
      <c r="E506" s="71"/>
      <c r="F506" s="71"/>
      <c r="G506" s="71"/>
      <c r="H506" s="71"/>
      <c r="I506" s="71"/>
      <c r="J506" s="71"/>
      <c r="K506" s="71"/>
      <c r="L506" s="71"/>
      <c r="M506" s="71"/>
      <c r="N506" s="71"/>
      <c r="O506" s="71"/>
      <c r="P506" s="71"/>
      <c r="Q506" s="71"/>
      <c r="R506" s="71"/>
      <c r="S506" s="71"/>
      <c r="T506" s="105"/>
      <c r="U506" s="71"/>
      <c r="V506" s="71"/>
      <c r="W506" s="71"/>
      <c r="X506" s="71"/>
      <c r="Y506" s="71"/>
      <c r="Z506" s="71"/>
      <c r="AA506" s="71"/>
      <c r="AB506" s="71"/>
      <c r="AC506" s="71"/>
      <c r="AD506" s="71"/>
      <c r="AE506" s="71"/>
      <c r="AF506" s="71"/>
      <c r="AG506" s="71"/>
      <c r="AH506" s="71"/>
      <c r="AI506" s="71"/>
      <c r="AJ506" s="71"/>
      <c r="AK506" s="71"/>
    </row>
    <row r="507" spans="1:37" ht="12.75" customHeight="1" x14ac:dyDescent="0.2">
      <c r="A507" s="71"/>
      <c r="B507" s="71"/>
      <c r="C507" s="71"/>
      <c r="D507" s="71"/>
      <c r="E507" s="71"/>
      <c r="F507" s="71"/>
      <c r="G507" s="71"/>
      <c r="H507" s="71"/>
      <c r="I507" s="71"/>
      <c r="J507" s="71"/>
      <c r="K507" s="71"/>
      <c r="L507" s="71"/>
      <c r="M507" s="71"/>
      <c r="N507" s="71"/>
      <c r="O507" s="71"/>
      <c r="P507" s="71"/>
      <c r="Q507" s="71"/>
      <c r="R507" s="71"/>
      <c r="S507" s="71"/>
      <c r="T507" s="105"/>
      <c r="U507" s="71"/>
      <c r="V507" s="71"/>
      <c r="W507" s="71"/>
      <c r="X507" s="71"/>
      <c r="Y507" s="71"/>
      <c r="Z507" s="71"/>
      <c r="AA507" s="71"/>
      <c r="AB507" s="71"/>
      <c r="AC507" s="71"/>
      <c r="AD507" s="71"/>
      <c r="AE507" s="71"/>
      <c r="AF507" s="71"/>
      <c r="AG507" s="71"/>
      <c r="AH507" s="71"/>
      <c r="AI507" s="71"/>
      <c r="AJ507" s="71"/>
      <c r="AK507" s="71"/>
    </row>
    <row r="508" spans="1:37" ht="12.75" customHeight="1" x14ac:dyDescent="0.2">
      <c r="A508" s="71"/>
      <c r="B508" s="71"/>
      <c r="C508" s="71"/>
      <c r="D508" s="71"/>
      <c r="E508" s="71"/>
      <c r="F508" s="71"/>
      <c r="G508" s="71"/>
      <c r="H508" s="71"/>
      <c r="I508" s="71"/>
      <c r="J508" s="71"/>
      <c r="K508" s="71"/>
      <c r="L508" s="71"/>
      <c r="M508" s="71"/>
      <c r="N508" s="71"/>
      <c r="O508" s="71"/>
      <c r="P508" s="71"/>
      <c r="Q508" s="71"/>
      <c r="R508" s="71"/>
      <c r="S508" s="71"/>
      <c r="T508" s="105"/>
      <c r="U508" s="71"/>
      <c r="V508" s="71"/>
      <c r="W508" s="71"/>
      <c r="X508" s="71"/>
      <c r="Y508" s="71"/>
      <c r="Z508" s="71"/>
      <c r="AA508" s="71"/>
      <c r="AB508" s="71"/>
      <c r="AC508" s="71"/>
      <c r="AD508" s="71"/>
      <c r="AE508" s="71"/>
      <c r="AF508" s="71"/>
      <c r="AG508" s="71"/>
      <c r="AH508" s="71"/>
      <c r="AI508" s="71"/>
      <c r="AJ508" s="71"/>
      <c r="AK508" s="71"/>
    </row>
    <row r="509" spans="1:37" ht="12.75" customHeight="1" x14ac:dyDescent="0.2">
      <c r="A509" s="71"/>
      <c r="B509" s="71"/>
      <c r="C509" s="71"/>
      <c r="D509" s="71"/>
      <c r="E509" s="71"/>
      <c r="F509" s="71"/>
      <c r="G509" s="71"/>
      <c r="H509" s="71"/>
      <c r="I509" s="71"/>
      <c r="J509" s="71"/>
      <c r="K509" s="71"/>
      <c r="L509" s="71"/>
      <c r="M509" s="71"/>
      <c r="N509" s="71"/>
      <c r="O509" s="71"/>
      <c r="P509" s="71"/>
      <c r="Q509" s="71"/>
      <c r="R509" s="71"/>
      <c r="S509" s="71"/>
      <c r="T509" s="105"/>
      <c r="U509" s="71"/>
      <c r="V509" s="71"/>
      <c r="W509" s="71"/>
      <c r="X509" s="71"/>
      <c r="Y509" s="71"/>
      <c r="Z509" s="71"/>
      <c r="AA509" s="71"/>
      <c r="AB509" s="71"/>
      <c r="AC509" s="71"/>
      <c r="AD509" s="71"/>
      <c r="AE509" s="71"/>
      <c r="AF509" s="71"/>
      <c r="AG509" s="71"/>
      <c r="AH509" s="71"/>
      <c r="AI509" s="71"/>
      <c r="AJ509" s="71"/>
      <c r="AK509" s="71"/>
    </row>
    <row r="510" spans="1:37" ht="12.75" customHeight="1" x14ac:dyDescent="0.2">
      <c r="A510" s="71"/>
      <c r="B510" s="71"/>
      <c r="C510" s="71"/>
      <c r="D510" s="71"/>
      <c r="E510" s="71"/>
      <c r="F510" s="71"/>
      <c r="G510" s="71"/>
      <c r="H510" s="71"/>
      <c r="I510" s="71"/>
      <c r="J510" s="71"/>
      <c r="K510" s="71"/>
      <c r="L510" s="71"/>
      <c r="M510" s="71"/>
      <c r="N510" s="71"/>
      <c r="O510" s="71"/>
      <c r="P510" s="71"/>
      <c r="Q510" s="71"/>
      <c r="R510" s="71"/>
      <c r="S510" s="71"/>
      <c r="T510" s="105"/>
      <c r="U510" s="71"/>
      <c r="V510" s="71"/>
      <c r="W510" s="71"/>
      <c r="X510" s="71"/>
      <c r="Y510" s="71"/>
      <c r="Z510" s="71"/>
      <c r="AA510" s="71"/>
      <c r="AB510" s="71"/>
      <c r="AC510" s="71"/>
      <c r="AD510" s="71"/>
      <c r="AE510" s="71"/>
      <c r="AF510" s="71"/>
      <c r="AG510" s="71"/>
      <c r="AH510" s="71"/>
      <c r="AI510" s="71"/>
      <c r="AJ510" s="71"/>
      <c r="AK510" s="71"/>
    </row>
    <row r="511" spans="1:37" ht="12.75" customHeight="1" x14ac:dyDescent="0.2">
      <c r="A511" s="71"/>
      <c r="B511" s="71"/>
      <c r="C511" s="71"/>
      <c r="D511" s="71"/>
      <c r="E511" s="71"/>
      <c r="F511" s="71"/>
      <c r="G511" s="71"/>
      <c r="H511" s="71"/>
      <c r="I511" s="71"/>
      <c r="J511" s="71"/>
      <c r="K511" s="71"/>
      <c r="L511" s="71"/>
      <c r="M511" s="71"/>
      <c r="N511" s="71"/>
      <c r="O511" s="71"/>
      <c r="P511" s="71"/>
      <c r="Q511" s="71"/>
      <c r="R511" s="71"/>
      <c r="S511" s="71"/>
      <c r="T511" s="105"/>
      <c r="U511" s="71"/>
      <c r="V511" s="71"/>
      <c r="W511" s="71"/>
      <c r="X511" s="71"/>
      <c r="Y511" s="71"/>
      <c r="Z511" s="71"/>
      <c r="AA511" s="71"/>
      <c r="AB511" s="71"/>
      <c r="AC511" s="71"/>
      <c r="AD511" s="71"/>
      <c r="AE511" s="71"/>
      <c r="AF511" s="71"/>
      <c r="AG511" s="71"/>
      <c r="AH511" s="71"/>
      <c r="AI511" s="71"/>
      <c r="AJ511" s="71"/>
      <c r="AK511" s="71"/>
    </row>
    <row r="512" spans="1:37" ht="12.75" customHeight="1" x14ac:dyDescent="0.2">
      <c r="A512" s="71"/>
      <c r="B512" s="71"/>
      <c r="C512" s="71"/>
      <c r="D512" s="71"/>
      <c r="E512" s="71"/>
      <c r="F512" s="71"/>
      <c r="G512" s="71"/>
      <c r="H512" s="71"/>
      <c r="I512" s="71"/>
      <c r="J512" s="71"/>
      <c r="K512" s="71"/>
      <c r="L512" s="71"/>
      <c r="M512" s="71"/>
      <c r="N512" s="71"/>
      <c r="O512" s="71"/>
      <c r="P512" s="71"/>
      <c r="Q512" s="71"/>
      <c r="R512" s="71"/>
      <c r="S512" s="71"/>
      <c r="T512" s="105"/>
      <c r="U512" s="71"/>
      <c r="V512" s="71"/>
      <c r="W512" s="71"/>
      <c r="X512" s="71"/>
      <c r="Y512" s="71"/>
      <c r="Z512" s="71"/>
      <c r="AA512" s="71"/>
      <c r="AB512" s="71"/>
      <c r="AC512" s="71"/>
      <c r="AD512" s="71"/>
      <c r="AE512" s="71"/>
      <c r="AF512" s="71"/>
      <c r="AG512" s="71"/>
      <c r="AH512" s="71"/>
      <c r="AI512" s="71"/>
      <c r="AJ512" s="71"/>
      <c r="AK512" s="71"/>
    </row>
    <row r="513" spans="1:37" ht="12.75" customHeight="1" x14ac:dyDescent="0.2">
      <c r="A513" s="71"/>
      <c r="B513" s="71"/>
      <c r="C513" s="71"/>
      <c r="D513" s="71"/>
      <c r="E513" s="71"/>
      <c r="F513" s="71"/>
      <c r="G513" s="71"/>
      <c r="H513" s="71"/>
      <c r="I513" s="71"/>
      <c r="J513" s="71"/>
      <c r="K513" s="71"/>
      <c r="L513" s="71"/>
      <c r="M513" s="71"/>
      <c r="N513" s="71"/>
      <c r="O513" s="71"/>
      <c r="P513" s="71"/>
      <c r="Q513" s="71"/>
      <c r="R513" s="71"/>
      <c r="S513" s="71"/>
      <c r="T513" s="105"/>
      <c r="U513" s="71"/>
      <c r="V513" s="71"/>
      <c r="W513" s="71"/>
      <c r="X513" s="71"/>
      <c r="Y513" s="71"/>
      <c r="Z513" s="71"/>
      <c r="AA513" s="71"/>
      <c r="AB513" s="71"/>
      <c r="AC513" s="71"/>
      <c r="AD513" s="71"/>
      <c r="AE513" s="71"/>
      <c r="AF513" s="71"/>
      <c r="AG513" s="71"/>
      <c r="AH513" s="71"/>
      <c r="AI513" s="71"/>
      <c r="AJ513" s="71"/>
      <c r="AK513" s="71"/>
    </row>
    <row r="514" spans="1:37" ht="12.75" customHeight="1" x14ac:dyDescent="0.2">
      <c r="A514" s="71"/>
      <c r="B514" s="71"/>
      <c r="C514" s="71"/>
      <c r="D514" s="71"/>
      <c r="E514" s="71"/>
      <c r="F514" s="71"/>
      <c r="G514" s="71"/>
      <c r="H514" s="71"/>
      <c r="I514" s="71"/>
      <c r="J514" s="71"/>
      <c r="K514" s="71"/>
      <c r="L514" s="71"/>
      <c r="M514" s="71"/>
      <c r="N514" s="71"/>
      <c r="O514" s="71"/>
      <c r="P514" s="71"/>
      <c r="Q514" s="71"/>
      <c r="R514" s="71"/>
      <c r="S514" s="71"/>
      <c r="T514" s="105"/>
      <c r="U514" s="71"/>
      <c r="V514" s="71"/>
      <c r="W514" s="71"/>
      <c r="X514" s="71"/>
      <c r="Y514" s="71"/>
      <c r="Z514" s="71"/>
      <c r="AA514" s="71"/>
      <c r="AB514" s="71"/>
      <c r="AC514" s="71"/>
      <c r="AD514" s="71"/>
      <c r="AE514" s="71"/>
      <c r="AF514" s="71"/>
      <c r="AG514" s="71"/>
      <c r="AH514" s="71"/>
      <c r="AI514" s="71"/>
      <c r="AJ514" s="71"/>
      <c r="AK514" s="71"/>
    </row>
    <row r="515" spans="1:37" ht="12.75" customHeight="1" x14ac:dyDescent="0.2">
      <c r="A515" s="71"/>
      <c r="B515" s="71"/>
      <c r="C515" s="71"/>
      <c r="D515" s="71"/>
      <c r="E515" s="71"/>
      <c r="F515" s="71"/>
      <c r="G515" s="71"/>
      <c r="H515" s="71"/>
      <c r="I515" s="71"/>
      <c r="J515" s="71"/>
      <c r="K515" s="71"/>
      <c r="L515" s="71"/>
      <c r="M515" s="71"/>
      <c r="N515" s="71"/>
      <c r="O515" s="71"/>
      <c r="P515" s="71"/>
      <c r="Q515" s="71"/>
      <c r="R515" s="71"/>
      <c r="S515" s="71"/>
      <c r="T515" s="105"/>
      <c r="U515" s="71"/>
      <c r="V515" s="71"/>
      <c r="W515" s="71"/>
      <c r="X515" s="71"/>
      <c r="Y515" s="71"/>
      <c r="Z515" s="71"/>
      <c r="AA515" s="71"/>
      <c r="AB515" s="71"/>
      <c r="AC515" s="71"/>
      <c r="AD515" s="71"/>
      <c r="AE515" s="71"/>
      <c r="AF515" s="71"/>
      <c r="AG515" s="71"/>
      <c r="AH515" s="71"/>
      <c r="AI515" s="71"/>
      <c r="AJ515" s="71"/>
      <c r="AK515" s="71"/>
    </row>
    <row r="516" spans="1:37" ht="12.75" customHeight="1" x14ac:dyDescent="0.2">
      <c r="A516" s="71"/>
      <c r="B516" s="71"/>
      <c r="C516" s="71"/>
      <c r="D516" s="71"/>
      <c r="E516" s="71"/>
      <c r="F516" s="71"/>
      <c r="G516" s="71"/>
      <c r="H516" s="71"/>
      <c r="I516" s="71"/>
      <c r="J516" s="71"/>
      <c r="K516" s="71"/>
      <c r="L516" s="71"/>
      <c r="M516" s="71"/>
      <c r="N516" s="71"/>
      <c r="O516" s="71"/>
      <c r="P516" s="71"/>
      <c r="Q516" s="71"/>
      <c r="R516" s="71"/>
      <c r="S516" s="71"/>
      <c r="T516" s="105"/>
      <c r="U516" s="71"/>
      <c r="V516" s="71"/>
      <c r="W516" s="71"/>
      <c r="X516" s="71"/>
      <c r="Y516" s="71"/>
      <c r="Z516" s="71"/>
      <c r="AA516" s="71"/>
      <c r="AB516" s="71"/>
      <c r="AC516" s="71"/>
      <c r="AD516" s="71"/>
      <c r="AE516" s="71"/>
      <c r="AF516" s="71"/>
      <c r="AG516" s="71"/>
      <c r="AH516" s="71"/>
      <c r="AI516" s="71"/>
      <c r="AJ516" s="71"/>
      <c r="AK516" s="71"/>
    </row>
    <row r="517" spans="1:37" ht="12.75" customHeight="1" x14ac:dyDescent="0.2">
      <c r="A517" s="71"/>
      <c r="B517" s="71"/>
      <c r="C517" s="71"/>
      <c r="D517" s="71"/>
      <c r="E517" s="71"/>
      <c r="F517" s="71"/>
      <c r="G517" s="71"/>
      <c r="H517" s="71"/>
      <c r="I517" s="71"/>
      <c r="J517" s="71"/>
      <c r="K517" s="71"/>
      <c r="L517" s="71"/>
      <c r="M517" s="71"/>
      <c r="N517" s="71"/>
      <c r="O517" s="71"/>
      <c r="P517" s="71"/>
      <c r="Q517" s="71"/>
      <c r="R517" s="71"/>
      <c r="S517" s="71"/>
      <c r="T517" s="105"/>
      <c r="U517" s="71"/>
      <c r="V517" s="71"/>
      <c r="W517" s="71"/>
      <c r="X517" s="71"/>
      <c r="Y517" s="71"/>
      <c r="Z517" s="71"/>
      <c r="AA517" s="71"/>
      <c r="AB517" s="71"/>
      <c r="AC517" s="71"/>
      <c r="AD517" s="71"/>
      <c r="AE517" s="71"/>
      <c r="AF517" s="71"/>
      <c r="AG517" s="71"/>
      <c r="AH517" s="71"/>
      <c r="AI517" s="71"/>
      <c r="AJ517" s="71"/>
      <c r="AK517" s="71"/>
    </row>
    <row r="518" spans="1:37" ht="12.75" customHeight="1" x14ac:dyDescent="0.2">
      <c r="A518" s="71"/>
      <c r="B518" s="71"/>
      <c r="C518" s="71"/>
      <c r="D518" s="71"/>
      <c r="E518" s="71"/>
      <c r="F518" s="71"/>
      <c r="G518" s="71"/>
      <c r="H518" s="71"/>
      <c r="I518" s="71"/>
      <c r="J518" s="71"/>
      <c r="K518" s="71"/>
      <c r="L518" s="71"/>
      <c r="M518" s="71"/>
      <c r="N518" s="71"/>
      <c r="O518" s="71"/>
      <c r="P518" s="71"/>
      <c r="Q518" s="71"/>
      <c r="R518" s="71"/>
      <c r="S518" s="71"/>
      <c r="T518" s="105"/>
      <c r="U518" s="71"/>
      <c r="V518" s="71"/>
      <c r="W518" s="71"/>
      <c r="X518" s="71"/>
      <c r="Y518" s="71"/>
      <c r="Z518" s="71"/>
      <c r="AA518" s="71"/>
      <c r="AB518" s="71"/>
      <c r="AC518" s="71"/>
      <c r="AD518" s="71"/>
      <c r="AE518" s="71"/>
      <c r="AF518" s="71"/>
      <c r="AG518" s="71"/>
      <c r="AH518" s="71"/>
      <c r="AI518" s="71"/>
      <c r="AJ518" s="71"/>
      <c r="AK518" s="71"/>
    </row>
    <row r="519" spans="1:37" ht="12.75" customHeight="1" x14ac:dyDescent="0.2">
      <c r="A519" s="71"/>
      <c r="B519" s="71"/>
      <c r="C519" s="71"/>
      <c r="D519" s="71"/>
      <c r="E519" s="71"/>
      <c r="F519" s="71"/>
      <c r="G519" s="71"/>
      <c r="H519" s="71"/>
      <c r="I519" s="71"/>
      <c r="J519" s="71"/>
      <c r="K519" s="71"/>
      <c r="L519" s="71"/>
      <c r="M519" s="71"/>
      <c r="N519" s="71"/>
      <c r="O519" s="71"/>
      <c r="P519" s="71"/>
      <c r="Q519" s="71"/>
      <c r="R519" s="71"/>
      <c r="S519" s="71"/>
      <c r="T519" s="105"/>
      <c r="U519" s="71"/>
      <c r="V519" s="71"/>
      <c r="W519" s="71"/>
      <c r="X519" s="71"/>
      <c r="Y519" s="71"/>
      <c r="Z519" s="71"/>
      <c r="AA519" s="71"/>
      <c r="AB519" s="71"/>
      <c r="AC519" s="71"/>
      <c r="AD519" s="71"/>
      <c r="AE519" s="71"/>
      <c r="AF519" s="71"/>
      <c r="AG519" s="71"/>
      <c r="AH519" s="71"/>
      <c r="AI519" s="71"/>
      <c r="AJ519" s="71"/>
      <c r="AK519" s="71"/>
    </row>
    <row r="520" spans="1:37" ht="12.75" customHeight="1" x14ac:dyDescent="0.2">
      <c r="A520" s="71"/>
      <c r="B520" s="71"/>
      <c r="C520" s="71"/>
      <c r="D520" s="71"/>
      <c r="E520" s="71"/>
      <c r="F520" s="71"/>
      <c r="G520" s="71"/>
      <c r="H520" s="71"/>
      <c r="I520" s="71"/>
      <c r="J520" s="71"/>
      <c r="K520" s="71"/>
      <c r="L520" s="71"/>
      <c r="M520" s="71"/>
      <c r="N520" s="71"/>
      <c r="O520" s="71"/>
      <c r="P520" s="71"/>
      <c r="Q520" s="71"/>
      <c r="R520" s="71"/>
      <c r="S520" s="71"/>
      <c r="T520" s="105"/>
      <c r="U520" s="71"/>
      <c r="V520" s="71"/>
      <c r="W520" s="71"/>
      <c r="X520" s="71"/>
      <c r="Y520" s="71"/>
      <c r="Z520" s="71"/>
      <c r="AA520" s="71"/>
      <c r="AB520" s="71"/>
      <c r="AC520" s="71"/>
      <c r="AD520" s="71"/>
      <c r="AE520" s="71"/>
      <c r="AF520" s="71"/>
      <c r="AG520" s="71"/>
      <c r="AH520" s="71"/>
      <c r="AI520" s="71"/>
      <c r="AJ520" s="71"/>
      <c r="AK520" s="71"/>
    </row>
    <row r="521" spans="1:37" ht="12.75" customHeight="1" x14ac:dyDescent="0.2">
      <c r="A521" s="71"/>
      <c r="B521" s="71"/>
      <c r="C521" s="71"/>
      <c r="D521" s="71"/>
      <c r="E521" s="71"/>
      <c r="F521" s="71"/>
      <c r="G521" s="71"/>
      <c r="H521" s="71"/>
      <c r="I521" s="71"/>
      <c r="J521" s="71"/>
      <c r="K521" s="71"/>
      <c r="L521" s="71"/>
      <c r="M521" s="71"/>
      <c r="N521" s="71"/>
      <c r="O521" s="71"/>
      <c r="P521" s="71"/>
      <c r="Q521" s="71"/>
      <c r="R521" s="71"/>
      <c r="S521" s="71"/>
      <c r="T521" s="105"/>
      <c r="U521" s="71"/>
      <c r="V521" s="71"/>
      <c r="W521" s="71"/>
      <c r="X521" s="71"/>
      <c r="Y521" s="71"/>
      <c r="Z521" s="71"/>
      <c r="AA521" s="71"/>
      <c r="AB521" s="71"/>
      <c r="AC521" s="71"/>
      <c r="AD521" s="71"/>
      <c r="AE521" s="71"/>
      <c r="AF521" s="71"/>
      <c r="AG521" s="71"/>
      <c r="AH521" s="71"/>
      <c r="AI521" s="71"/>
      <c r="AJ521" s="71"/>
      <c r="AK521" s="71"/>
    </row>
    <row r="522" spans="1:37" ht="12.75" customHeight="1" x14ac:dyDescent="0.2">
      <c r="A522" s="71"/>
      <c r="B522" s="71"/>
      <c r="C522" s="71"/>
      <c r="D522" s="71"/>
      <c r="E522" s="71"/>
      <c r="F522" s="71"/>
      <c r="G522" s="71"/>
      <c r="H522" s="71"/>
      <c r="I522" s="71"/>
      <c r="J522" s="71"/>
      <c r="K522" s="71"/>
      <c r="L522" s="71"/>
      <c r="M522" s="71"/>
      <c r="N522" s="71"/>
      <c r="O522" s="71"/>
      <c r="P522" s="71"/>
      <c r="Q522" s="71"/>
      <c r="R522" s="71"/>
      <c r="S522" s="71"/>
      <c r="T522" s="105"/>
      <c r="U522" s="71"/>
      <c r="V522" s="71"/>
      <c r="W522" s="71"/>
      <c r="X522" s="71"/>
      <c r="Y522" s="71"/>
      <c r="Z522" s="71"/>
      <c r="AA522" s="71"/>
      <c r="AB522" s="71"/>
      <c r="AC522" s="71"/>
      <c r="AD522" s="71"/>
      <c r="AE522" s="71"/>
      <c r="AF522" s="71"/>
      <c r="AG522" s="71"/>
      <c r="AH522" s="71"/>
      <c r="AI522" s="71"/>
      <c r="AJ522" s="71"/>
      <c r="AK522" s="71"/>
    </row>
    <row r="523" spans="1:37" ht="12.75" customHeight="1" x14ac:dyDescent="0.2">
      <c r="A523" s="71"/>
      <c r="B523" s="71"/>
      <c r="C523" s="71"/>
      <c r="D523" s="71"/>
      <c r="E523" s="71"/>
      <c r="F523" s="71"/>
      <c r="G523" s="71"/>
      <c r="H523" s="71"/>
      <c r="I523" s="71"/>
      <c r="J523" s="71"/>
      <c r="K523" s="71"/>
      <c r="L523" s="71"/>
      <c r="M523" s="71"/>
      <c r="N523" s="71"/>
      <c r="O523" s="71"/>
      <c r="P523" s="71"/>
      <c r="Q523" s="71"/>
      <c r="R523" s="71"/>
      <c r="S523" s="71"/>
      <c r="T523" s="105"/>
      <c r="U523" s="71"/>
      <c r="V523" s="71"/>
      <c r="W523" s="71"/>
      <c r="X523" s="71"/>
      <c r="Y523" s="71"/>
      <c r="Z523" s="71"/>
      <c r="AA523" s="71"/>
      <c r="AB523" s="71"/>
      <c r="AC523" s="71"/>
      <c r="AD523" s="71"/>
      <c r="AE523" s="71"/>
      <c r="AF523" s="71"/>
      <c r="AG523" s="71"/>
      <c r="AH523" s="71"/>
      <c r="AI523" s="71"/>
      <c r="AJ523" s="71"/>
      <c r="AK523" s="71"/>
    </row>
    <row r="524" spans="1:37" ht="12.75" customHeight="1" x14ac:dyDescent="0.2">
      <c r="A524" s="71"/>
      <c r="B524" s="71"/>
      <c r="C524" s="71"/>
      <c r="D524" s="71"/>
      <c r="E524" s="71"/>
      <c r="F524" s="71"/>
      <c r="G524" s="71"/>
      <c r="H524" s="71"/>
      <c r="I524" s="71"/>
      <c r="J524" s="71"/>
      <c r="K524" s="71"/>
      <c r="L524" s="71"/>
      <c r="M524" s="71"/>
      <c r="N524" s="71"/>
      <c r="O524" s="71"/>
      <c r="P524" s="71"/>
      <c r="Q524" s="71"/>
      <c r="R524" s="71"/>
      <c r="S524" s="71"/>
      <c r="T524" s="105"/>
      <c r="U524" s="71"/>
      <c r="V524" s="71"/>
      <c r="W524" s="71"/>
      <c r="X524" s="71"/>
      <c r="Y524" s="71"/>
      <c r="Z524" s="71"/>
      <c r="AA524" s="71"/>
      <c r="AB524" s="71"/>
      <c r="AC524" s="71"/>
      <c r="AD524" s="71"/>
      <c r="AE524" s="71"/>
      <c r="AF524" s="71"/>
      <c r="AG524" s="71"/>
      <c r="AH524" s="71"/>
      <c r="AI524" s="71"/>
      <c r="AJ524" s="71"/>
      <c r="AK524" s="71"/>
    </row>
    <row r="525" spans="1:37" ht="12.75" customHeight="1" x14ac:dyDescent="0.2">
      <c r="A525" s="71"/>
      <c r="B525" s="71"/>
      <c r="C525" s="71"/>
      <c r="D525" s="71"/>
      <c r="E525" s="71"/>
      <c r="F525" s="71"/>
      <c r="G525" s="71"/>
      <c r="H525" s="71"/>
      <c r="I525" s="71"/>
      <c r="J525" s="71"/>
      <c r="K525" s="71"/>
      <c r="L525" s="71"/>
      <c r="M525" s="71"/>
      <c r="N525" s="71"/>
      <c r="O525" s="71"/>
      <c r="P525" s="71"/>
      <c r="Q525" s="71"/>
      <c r="R525" s="71"/>
      <c r="S525" s="71"/>
      <c r="T525" s="105"/>
      <c r="U525" s="71"/>
      <c r="V525" s="71"/>
      <c r="W525" s="71"/>
      <c r="X525" s="71"/>
      <c r="Y525" s="71"/>
      <c r="Z525" s="71"/>
      <c r="AA525" s="71"/>
      <c r="AB525" s="71"/>
      <c r="AC525" s="71"/>
      <c r="AD525" s="71"/>
      <c r="AE525" s="71"/>
      <c r="AF525" s="71"/>
      <c r="AG525" s="71"/>
      <c r="AH525" s="71"/>
      <c r="AI525" s="71"/>
      <c r="AJ525" s="71"/>
      <c r="AK525" s="71"/>
    </row>
    <row r="526" spans="1:37" ht="12.75" customHeight="1" x14ac:dyDescent="0.2">
      <c r="A526" s="71"/>
      <c r="B526" s="71"/>
      <c r="C526" s="71"/>
      <c r="D526" s="71"/>
      <c r="E526" s="71"/>
      <c r="F526" s="71"/>
      <c r="G526" s="71"/>
      <c r="H526" s="71"/>
      <c r="I526" s="71"/>
      <c r="J526" s="71"/>
      <c r="K526" s="71"/>
      <c r="L526" s="71"/>
      <c r="M526" s="71"/>
      <c r="N526" s="71"/>
      <c r="O526" s="71"/>
      <c r="P526" s="71"/>
      <c r="Q526" s="71"/>
      <c r="R526" s="71"/>
      <c r="S526" s="71"/>
      <c r="T526" s="105"/>
      <c r="U526" s="71"/>
      <c r="V526" s="71"/>
      <c r="W526" s="71"/>
      <c r="X526" s="71"/>
      <c r="Y526" s="71"/>
      <c r="Z526" s="71"/>
      <c r="AA526" s="71"/>
      <c r="AB526" s="71"/>
      <c r="AC526" s="71"/>
      <c r="AD526" s="71"/>
      <c r="AE526" s="71"/>
      <c r="AF526" s="71"/>
      <c r="AG526" s="71"/>
      <c r="AH526" s="71"/>
      <c r="AI526" s="71"/>
      <c r="AJ526" s="71"/>
      <c r="AK526" s="71"/>
    </row>
    <row r="527" spans="1:37" ht="12.75" customHeight="1" x14ac:dyDescent="0.2">
      <c r="A527" s="71"/>
      <c r="B527" s="71"/>
      <c r="C527" s="71"/>
      <c r="D527" s="71"/>
      <c r="E527" s="71"/>
      <c r="F527" s="71"/>
      <c r="G527" s="71"/>
      <c r="H527" s="71"/>
      <c r="I527" s="71"/>
      <c r="J527" s="71"/>
      <c r="K527" s="71"/>
      <c r="L527" s="71"/>
      <c r="M527" s="71"/>
      <c r="N527" s="71"/>
      <c r="O527" s="71"/>
      <c r="P527" s="71"/>
      <c r="Q527" s="71"/>
      <c r="R527" s="71"/>
      <c r="S527" s="71"/>
      <c r="T527" s="105"/>
      <c r="U527" s="71"/>
      <c r="V527" s="71"/>
      <c r="W527" s="71"/>
      <c r="X527" s="71"/>
      <c r="Y527" s="71"/>
      <c r="Z527" s="71"/>
      <c r="AA527" s="71"/>
      <c r="AB527" s="71"/>
      <c r="AC527" s="71"/>
      <c r="AD527" s="71"/>
      <c r="AE527" s="71"/>
      <c r="AF527" s="71"/>
      <c r="AG527" s="71"/>
      <c r="AH527" s="71"/>
      <c r="AI527" s="71"/>
      <c r="AJ527" s="71"/>
      <c r="AK527" s="71"/>
    </row>
    <row r="528" spans="1:37" ht="12.75" customHeight="1" x14ac:dyDescent="0.2">
      <c r="A528" s="71"/>
      <c r="B528" s="71"/>
      <c r="C528" s="71"/>
      <c r="D528" s="71"/>
      <c r="E528" s="71"/>
      <c r="F528" s="71"/>
      <c r="G528" s="71"/>
      <c r="H528" s="71"/>
      <c r="I528" s="71"/>
      <c r="J528" s="71"/>
      <c r="K528" s="71"/>
      <c r="L528" s="71"/>
      <c r="M528" s="71"/>
      <c r="N528" s="71"/>
      <c r="O528" s="71"/>
      <c r="P528" s="71"/>
      <c r="Q528" s="71"/>
      <c r="R528" s="71"/>
      <c r="S528" s="71"/>
      <c r="T528" s="105"/>
      <c r="U528" s="71"/>
      <c r="V528" s="71"/>
      <c r="W528" s="71"/>
      <c r="X528" s="71"/>
      <c r="Y528" s="71"/>
      <c r="Z528" s="71"/>
      <c r="AA528" s="71"/>
      <c r="AB528" s="71"/>
      <c r="AC528" s="71"/>
      <c r="AD528" s="71"/>
      <c r="AE528" s="71"/>
      <c r="AF528" s="71"/>
      <c r="AG528" s="71"/>
      <c r="AH528" s="71"/>
      <c r="AI528" s="71"/>
      <c r="AJ528" s="71"/>
      <c r="AK528" s="71"/>
    </row>
    <row r="529" spans="1:37" ht="12.75" customHeight="1" x14ac:dyDescent="0.2">
      <c r="A529" s="71"/>
      <c r="B529" s="71"/>
      <c r="C529" s="71"/>
      <c r="D529" s="71"/>
      <c r="E529" s="71"/>
      <c r="F529" s="71"/>
      <c r="G529" s="71"/>
      <c r="H529" s="71"/>
      <c r="I529" s="71"/>
      <c r="J529" s="71"/>
      <c r="K529" s="71"/>
      <c r="L529" s="71"/>
      <c r="M529" s="71"/>
      <c r="N529" s="71"/>
      <c r="O529" s="71"/>
      <c r="P529" s="71"/>
      <c r="Q529" s="71"/>
      <c r="R529" s="71"/>
      <c r="S529" s="71"/>
      <c r="T529" s="105"/>
      <c r="U529" s="71"/>
      <c r="V529" s="71"/>
      <c r="W529" s="71"/>
      <c r="X529" s="71"/>
      <c r="Y529" s="71"/>
      <c r="Z529" s="71"/>
      <c r="AA529" s="71"/>
      <c r="AB529" s="71"/>
      <c r="AC529" s="71"/>
      <c r="AD529" s="71"/>
      <c r="AE529" s="71"/>
      <c r="AF529" s="71"/>
      <c r="AG529" s="71"/>
      <c r="AH529" s="71"/>
      <c r="AI529" s="71"/>
      <c r="AJ529" s="71"/>
      <c r="AK529" s="71"/>
    </row>
    <row r="530" spans="1:37" ht="12.75" customHeight="1" x14ac:dyDescent="0.2">
      <c r="A530" s="71"/>
      <c r="B530" s="71"/>
      <c r="C530" s="71"/>
      <c r="D530" s="71"/>
      <c r="E530" s="71"/>
      <c r="F530" s="71"/>
      <c r="G530" s="71"/>
      <c r="H530" s="71"/>
      <c r="I530" s="71"/>
      <c r="J530" s="71"/>
      <c r="K530" s="71"/>
      <c r="L530" s="71"/>
      <c r="M530" s="71"/>
      <c r="N530" s="71"/>
      <c r="O530" s="71"/>
      <c r="P530" s="71"/>
      <c r="Q530" s="71"/>
      <c r="R530" s="71"/>
      <c r="S530" s="71"/>
      <c r="T530" s="105"/>
      <c r="U530" s="71"/>
      <c r="V530" s="71"/>
      <c r="W530" s="71"/>
      <c r="X530" s="71"/>
      <c r="Y530" s="71"/>
      <c r="Z530" s="71"/>
      <c r="AA530" s="71"/>
      <c r="AB530" s="71"/>
      <c r="AC530" s="71"/>
      <c r="AD530" s="71"/>
      <c r="AE530" s="71"/>
      <c r="AF530" s="71"/>
      <c r="AG530" s="71"/>
      <c r="AH530" s="71"/>
      <c r="AI530" s="71"/>
      <c r="AJ530" s="71"/>
      <c r="AK530" s="71"/>
    </row>
    <row r="531" spans="1:37" ht="12.75" customHeight="1" x14ac:dyDescent="0.2">
      <c r="A531" s="71"/>
      <c r="B531" s="71"/>
      <c r="C531" s="71"/>
      <c r="D531" s="71"/>
      <c r="E531" s="71"/>
      <c r="F531" s="71"/>
      <c r="G531" s="71"/>
      <c r="H531" s="71"/>
      <c r="I531" s="71"/>
      <c r="J531" s="71"/>
      <c r="K531" s="71"/>
      <c r="L531" s="71"/>
      <c r="M531" s="71"/>
      <c r="N531" s="71"/>
      <c r="O531" s="71"/>
      <c r="P531" s="71"/>
      <c r="Q531" s="71"/>
      <c r="R531" s="71"/>
      <c r="S531" s="71"/>
      <c r="T531" s="105"/>
      <c r="U531" s="71"/>
      <c r="V531" s="71"/>
      <c r="W531" s="71"/>
      <c r="X531" s="71"/>
      <c r="Y531" s="71"/>
      <c r="Z531" s="71"/>
      <c r="AA531" s="71"/>
      <c r="AB531" s="71"/>
      <c r="AC531" s="71"/>
      <c r="AD531" s="71"/>
      <c r="AE531" s="71"/>
      <c r="AF531" s="71"/>
      <c r="AG531" s="71"/>
      <c r="AH531" s="71"/>
      <c r="AI531" s="71"/>
      <c r="AJ531" s="71"/>
      <c r="AK531" s="71"/>
    </row>
    <row r="532" spans="1:37" ht="12.75" customHeight="1" x14ac:dyDescent="0.2">
      <c r="A532" s="71"/>
      <c r="B532" s="71"/>
      <c r="C532" s="71"/>
      <c r="D532" s="71"/>
      <c r="E532" s="71"/>
      <c r="F532" s="71"/>
      <c r="G532" s="71"/>
      <c r="H532" s="71"/>
      <c r="I532" s="71"/>
      <c r="J532" s="71"/>
      <c r="K532" s="71"/>
      <c r="L532" s="71"/>
      <c r="M532" s="71"/>
      <c r="N532" s="71"/>
      <c r="O532" s="71"/>
      <c r="P532" s="71"/>
      <c r="Q532" s="71"/>
      <c r="R532" s="71"/>
      <c r="S532" s="71"/>
      <c r="T532" s="105"/>
      <c r="U532" s="71"/>
      <c r="V532" s="71"/>
      <c r="W532" s="71"/>
      <c r="X532" s="71"/>
      <c r="Y532" s="71"/>
      <c r="Z532" s="71"/>
      <c r="AA532" s="71"/>
      <c r="AB532" s="71"/>
      <c r="AC532" s="71"/>
      <c r="AD532" s="71"/>
      <c r="AE532" s="71"/>
      <c r="AF532" s="71"/>
      <c r="AG532" s="71"/>
      <c r="AH532" s="71"/>
      <c r="AI532" s="71"/>
      <c r="AJ532" s="71"/>
      <c r="AK532" s="71"/>
    </row>
    <row r="533" spans="1:37" ht="12.75" customHeight="1" x14ac:dyDescent="0.2">
      <c r="A533" s="71"/>
      <c r="B533" s="71"/>
      <c r="C533" s="71"/>
      <c r="D533" s="71"/>
      <c r="E533" s="71"/>
      <c r="F533" s="71"/>
      <c r="G533" s="71"/>
      <c r="H533" s="71"/>
      <c r="I533" s="71"/>
      <c r="J533" s="71"/>
      <c r="K533" s="71"/>
      <c r="L533" s="71"/>
      <c r="M533" s="71"/>
      <c r="N533" s="71"/>
      <c r="O533" s="71"/>
      <c r="P533" s="71"/>
      <c r="Q533" s="71"/>
      <c r="R533" s="71"/>
      <c r="S533" s="71"/>
      <c r="T533" s="105"/>
      <c r="U533" s="71"/>
      <c r="V533" s="71"/>
      <c r="W533" s="71"/>
      <c r="X533" s="71"/>
      <c r="Y533" s="71"/>
      <c r="Z533" s="71"/>
      <c r="AA533" s="71"/>
      <c r="AB533" s="71"/>
      <c r="AC533" s="71"/>
      <c r="AD533" s="71"/>
      <c r="AE533" s="71"/>
      <c r="AF533" s="71"/>
      <c r="AG533" s="71"/>
      <c r="AH533" s="71"/>
      <c r="AI533" s="71"/>
      <c r="AJ533" s="71"/>
      <c r="AK533" s="71"/>
    </row>
    <row r="534" spans="1:37" ht="12.75" customHeight="1" x14ac:dyDescent="0.2">
      <c r="A534" s="71"/>
      <c r="B534" s="71"/>
      <c r="C534" s="71"/>
      <c r="D534" s="71"/>
      <c r="E534" s="71"/>
      <c r="F534" s="71"/>
      <c r="G534" s="71"/>
      <c r="H534" s="71"/>
      <c r="I534" s="71"/>
      <c r="J534" s="71"/>
      <c r="K534" s="71"/>
      <c r="L534" s="71"/>
      <c r="M534" s="71"/>
      <c r="N534" s="71"/>
      <c r="O534" s="71"/>
      <c r="P534" s="71"/>
      <c r="Q534" s="71"/>
      <c r="R534" s="71"/>
      <c r="S534" s="71"/>
      <c r="T534" s="105"/>
      <c r="U534" s="71"/>
      <c r="V534" s="71"/>
      <c r="W534" s="71"/>
      <c r="X534" s="71"/>
      <c r="Y534" s="71"/>
      <c r="Z534" s="71"/>
      <c r="AA534" s="71"/>
      <c r="AB534" s="71"/>
      <c r="AC534" s="71"/>
      <c r="AD534" s="71"/>
      <c r="AE534" s="71"/>
      <c r="AF534" s="71"/>
      <c r="AG534" s="71"/>
      <c r="AH534" s="71"/>
      <c r="AI534" s="71"/>
      <c r="AJ534" s="71"/>
      <c r="AK534" s="71"/>
    </row>
    <row r="535" spans="1:37" ht="12.75" customHeight="1" x14ac:dyDescent="0.2">
      <c r="A535" s="71"/>
      <c r="B535" s="71"/>
      <c r="C535" s="71"/>
      <c r="D535" s="71"/>
      <c r="E535" s="71"/>
      <c r="F535" s="71"/>
      <c r="G535" s="71"/>
      <c r="H535" s="71"/>
      <c r="I535" s="71"/>
      <c r="J535" s="71"/>
      <c r="K535" s="71"/>
      <c r="L535" s="71"/>
      <c r="M535" s="71"/>
      <c r="N535" s="71"/>
      <c r="O535" s="71"/>
      <c r="P535" s="71"/>
      <c r="Q535" s="71"/>
      <c r="R535" s="71"/>
      <c r="S535" s="71"/>
      <c r="T535" s="105"/>
      <c r="U535" s="71"/>
      <c r="V535" s="71"/>
      <c r="W535" s="71"/>
      <c r="X535" s="71"/>
      <c r="Y535" s="71"/>
      <c r="Z535" s="71"/>
      <c r="AA535" s="71"/>
      <c r="AB535" s="71"/>
      <c r="AC535" s="71"/>
      <c r="AD535" s="71"/>
      <c r="AE535" s="71"/>
      <c r="AF535" s="71"/>
      <c r="AG535" s="71"/>
      <c r="AH535" s="71"/>
      <c r="AI535" s="71"/>
      <c r="AJ535" s="71"/>
      <c r="AK535" s="71"/>
    </row>
    <row r="536" spans="1:37" ht="12.75" customHeight="1" x14ac:dyDescent="0.2">
      <c r="A536" s="71"/>
      <c r="B536" s="71"/>
      <c r="C536" s="71"/>
      <c r="D536" s="71"/>
      <c r="E536" s="71"/>
      <c r="F536" s="71"/>
      <c r="G536" s="71"/>
      <c r="H536" s="71"/>
      <c r="I536" s="71"/>
      <c r="J536" s="71"/>
      <c r="K536" s="71"/>
      <c r="L536" s="71"/>
      <c r="M536" s="71"/>
      <c r="N536" s="71"/>
      <c r="O536" s="71"/>
      <c r="P536" s="71"/>
      <c r="Q536" s="71"/>
      <c r="R536" s="71"/>
      <c r="S536" s="71"/>
      <c r="T536" s="105"/>
      <c r="U536" s="71"/>
      <c r="V536" s="71"/>
      <c r="W536" s="71"/>
      <c r="X536" s="71"/>
      <c r="Y536" s="71"/>
      <c r="Z536" s="71"/>
      <c r="AA536" s="71"/>
      <c r="AB536" s="71"/>
      <c r="AC536" s="71"/>
      <c r="AD536" s="71"/>
      <c r="AE536" s="71"/>
      <c r="AF536" s="71"/>
      <c r="AG536" s="71"/>
      <c r="AH536" s="71"/>
      <c r="AI536" s="71"/>
      <c r="AJ536" s="71"/>
      <c r="AK536" s="71"/>
    </row>
    <row r="537" spans="1:37" ht="12.75" customHeight="1" x14ac:dyDescent="0.2">
      <c r="A537" s="71"/>
      <c r="B537" s="71"/>
      <c r="C537" s="71"/>
      <c r="D537" s="71"/>
      <c r="E537" s="71"/>
      <c r="F537" s="71"/>
      <c r="G537" s="71"/>
      <c r="H537" s="71"/>
      <c r="I537" s="71"/>
      <c r="J537" s="71"/>
      <c r="K537" s="71"/>
      <c r="L537" s="71"/>
      <c r="M537" s="71"/>
      <c r="N537" s="71"/>
      <c r="O537" s="71"/>
      <c r="P537" s="71"/>
      <c r="Q537" s="71"/>
      <c r="R537" s="71"/>
      <c r="S537" s="71"/>
      <c r="T537" s="105"/>
      <c r="U537" s="71"/>
      <c r="V537" s="71"/>
      <c r="W537" s="71"/>
      <c r="X537" s="71"/>
      <c r="Y537" s="71"/>
      <c r="Z537" s="71"/>
      <c r="AA537" s="71"/>
      <c r="AB537" s="71"/>
      <c r="AC537" s="71"/>
      <c r="AD537" s="71"/>
      <c r="AE537" s="71"/>
      <c r="AF537" s="71"/>
      <c r="AG537" s="71"/>
      <c r="AH537" s="71"/>
      <c r="AI537" s="71"/>
      <c r="AJ537" s="71"/>
      <c r="AK537" s="71"/>
    </row>
    <row r="538" spans="1:37" ht="12.75" customHeight="1" x14ac:dyDescent="0.2">
      <c r="A538" s="71"/>
      <c r="B538" s="71"/>
      <c r="C538" s="71"/>
      <c r="D538" s="71"/>
      <c r="E538" s="71"/>
      <c r="F538" s="71"/>
      <c r="G538" s="71"/>
      <c r="H538" s="71"/>
      <c r="I538" s="71"/>
      <c r="J538" s="71"/>
      <c r="K538" s="71"/>
      <c r="L538" s="71"/>
      <c r="M538" s="71"/>
      <c r="N538" s="71"/>
      <c r="O538" s="71"/>
      <c r="P538" s="71"/>
      <c r="Q538" s="71"/>
      <c r="R538" s="71"/>
      <c r="S538" s="71"/>
      <c r="T538" s="105"/>
      <c r="U538" s="71"/>
      <c r="V538" s="71"/>
      <c r="W538" s="71"/>
      <c r="X538" s="71"/>
      <c r="Y538" s="71"/>
      <c r="Z538" s="71"/>
      <c r="AA538" s="71"/>
      <c r="AB538" s="71"/>
      <c r="AC538" s="71"/>
      <c r="AD538" s="71"/>
      <c r="AE538" s="71"/>
      <c r="AF538" s="71"/>
      <c r="AG538" s="71"/>
      <c r="AH538" s="71"/>
      <c r="AI538" s="71"/>
      <c r="AJ538" s="71"/>
      <c r="AK538" s="71"/>
    </row>
    <row r="539" spans="1:37" ht="12.75" customHeight="1" x14ac:dyDescent="0.2">
      <c r="A539" s="71"/>
      <c r="B539" s="71"/>
      <c r="C539" s="71"/>
      <c r="D539" s="71"/>
      <c r="E539" s="71"/>
      <c r="F539" s="71"/>
      <c r="G539" s="71"/>
      <c r="H539" s="71"/>
      <c r="I539" s="71"/>
      <c r="J539" s="71"/>
      <c r="K539" s="71"/>
      <c r="L539" s="71"/>
      <c r="M539" s="71"/>
      <c r="N539" s="71"/>
      <c r="O539" s="71"/>
      <c r="P539" s="71"/>
      <c r="Q539" s="71"/>
      <c r="R539" s="71"/>
      <c r="S539" s="71"/>
      <c r="T539" s="105"/>
      <c r="U539" s="71"/>
      <c r="V539" s="71"/>
      <c r="W539" s="71"/>
      <c r="X539" s="71"/>
      <c r="Y539" s="71"/>
      <c r="Z539" s="71"/>
      <c r="AA539" s="71"/>
      <c r="AB539" s="71"/>
      <c r="AC539" s="71"/>
      <c r="AD539" s="71"/>
      <c r="AE539" s="71"/>
      <c r="AF539" s="71"/>
      <c r="AG539" s="71"/>
      <c r="AH539" s="71"/>
      <c r="AI539" s="71"/>
      <c r="AJ539" s="71"/>
      <c r="AK539" s="71"/>
    </row>
    <row r="540" spans="1:37" ht="12.75" customHeight="1" x14ac:dyDescent="0.2">
      <c r="A540" s="71"/>
      <c r="B540" s="71"/>
      <c r="C540" s="71"/>
      <c r="D540" s="71"/>
      <c r="E540" s="71"/>
      <c r="F540" s="71"/>
      <c r="G540" s="71"/>
      <c r="H540" s="71"/>
      <c r="I540" s="71"/>
      <c r="J540" s="71"/>
      <c r="K540" s="71"/>
      <c r="L540" s="71"/>
      <c r="M540" s="71"/>
      <c r="N540" s="71"/>
      <c r="O540" s="71"/>
      <c r="P540" s="71"/>
      <c r="Q540" s="71"/>
      <c r="R540" s="71"/>
      <c r="S540" s="71"/>
      <c r="T540" s="105"/>
      <c r="U540" s="71"/>
      <c r="V540" s="71"/>
      <c r="W540" s="71"/>
      <c r="X540" s="71"/>
      <c r="Y540" s="71"/>
      <c r="Z540" s="71"/>
      <c r="AA540" s="71"/>
      <c r="AB540" s="71"/>
      <c r="AC540" s="71"/>
      <c r="AD540" s="71"/>
      <c r="AE540" s="71"/>
      <c r="AF540" s="71"/>
      <c r="AG540" s="71"/>
      <c r="AH540" s="71"/>
      <c r="AI540" s="71"/>
      <c r="AJ540" s="71"/>
      <c r="AK540" s="71"/>
    </row>
    <row r="541" spans="1:37" ht="12.75" customHeight="1" x14ac:dyDescent="0.2">
      <c r="A541" s="71"/>
      <c r="B541" s="71"/>
      <c r="C541" s="71"/>
      <c r="D541" s="71"/>
      <c r="E541" s="71"/>
      <c r="F541" s="71"/>
      <c r="G541" s="71"/>
      <c r="H541" s="71"/>
      <c r="I541" s="71"/>
      <c r="J541" s="71"/>
      <c r="K541" s="71"/>
      <c r="L541" s="71"/>
      <c r="M541" s="71"/>
      <c r="N541" s="71"/>
      <c r="O541" s="71"/>
      <c r="P541" s="71"/>
      <c r="Q541" s="71"/>
      <c r="R541" s="71"/>
      <c r="S541" s="71"/>
      <c r="T541" s="105"/>
      <c r="U541" s="71"/>
      <c r="V541" s="71"/>
      <c r="W541" s="71"/>
      <c r="X541" s="71"/>
      <c r="Y541" s="71"/>
      <c r="Z541" s="71"/>
      <c r="AA541" s="71"/>
      <c r="AB541" s="71"/>
      <c r="AC541" s="71"/>
      <c r="AD541" s="71"/>
      <c r="AE541" s="71"/>
      <c r="AF541" s="71"/>
      <c r="AG541" s="71"/>
      <c r="AH541" s="71"/>
      <c r="AI541" s="71"/>
      <c r="AJ541" s="71"/>
      <c r="AK541" s="71"/>
    </row>
    <row r="542" spans="1:37" ht="12.75" customHeight="1" x14ac:dyDescent="0.2">
      <c r="A542" s="71"/>
      <c r="B542" s="71"/>
      <c r="C542" s="71"/>
      <c r="D542" s="71"/>
      <c r="E542" s="71"/>
      <c r="F542" s="71"/>
      <c r="G542" s="71"/>
      <c r="H542" s="71"/>
      <c r="I542" s="71"/>
      <c r="J542" s="71"/>
      <c r="K542" s="71"/>
      <c r="L542" s="71"/>
      <c r="M542" s="71"/>
      <c r="N542" s="71"/>
      <c r="O542" s="71"/>
      <c r="P542" s="71"/>
      <c r="Q542" s="71"/>
      <c r="R542" s="71"/>
      <c r="S542" s="71"/>
      <c r="T542" s="105"/>
      <c r="U542" s="71"/>
      <c r="V542" s="71"/>
      <c r="W542" s="71"/>
      <c r="X542" s="71"/>
      <c r="Y542" s="71"/>
      <c r="Z542" s="71"/>
      <c r="AA542" s="71"/>
      <c r="AB542" s="71"/>
      <c r="AC542" s="71"/>
      <c r="AD542" s="71"/>
      <c r="AE542" s="71"/>
      <c r="AF542" s="71"/>
      <c r="AG542" s="71"/>
      <c r="AH542" s="71"/>
      <c r="AI542" s="71"/>
      <c r="AJ542" s="71"/>
      <c r="AK542" s="71"/>
    </row>
    <row r="543" spans="1:37" ht="12.75" customHeight="1" x14ac:dyDescent="0.2">
      <c r="A543" s="71"/>
      <c r="B543" s="71"/>
      <c r="C543" s="71"/>
      <c r="D543" s="71"/>
      <c r="E543" s="71"/>
      <c r="F543" s="71"/>
      <c r="G543" s="71"/>
      <c r="H543" s="71"/>
      <c r="I543" s="71"/>
      <c r="J543" s="71"/>
      <c r="K543" s="71"/>
      <c r="L543" s="71"/>
      <c r="M543" s="71"/>
      <c r="N543" s="71"/>
      <c r="O543" s="71"/>
      <c r="P543" s="71"/>
      <c r="Q543" s="71"/>
      <c r="R543" s="71"/>
      <c r="S543" s="71"/>
      <c r="T543" s="105"/>
      <c r="U543" s="71"/>
      <c r="V543" s="71"/>
      <c r="W543" s="71"/>
      <c r="X543" s="71"/>
      <c r="Y543" s="71"/>
      <c r="Z543" s="71"/>
      <c r="AA543" s="71"/>
      <c r="AB543" s="71"/>
      <c r="AC543" s="71"/>
      <c r="AD543" s="71"/>
      <c r="AE543" s="71"/>
      <c r="AF543" s="71"/>
      <c r="AG543" s="71"/>
      <c r="AH543" s="71"/>
      <c r="AI543" s="71"/>
      <c r="AJ543" s="71"/>
      <c r="AK543" s="71"/>
    </row>
    <row r="544" spans="1:37" ht="12.75" customHeight="1" x14ac:dyDescent="0.2">
      <c r="A544" s="71"/>
      <c r="B544" s="71"/>
      <c r="C544" s="71"/>
      <c r="D544" s="71"/>
      <c r="E544" s="71"/>
      <c r="F544" s="71"/>
      <c r="G544" s="71"/>
      <c r="H544" s="71"/>
      <c r="I544" s="71"/>
      <c r="J544" s="71"/>
      <c r="K544" s="71"/>
      <c r="L544" s="71"/>
      <c r="M544" s="71"/>
      <c r="N544" s="71"/>
      <c r="O544" s="71"/>
      <c r="P544" s="71"/>
      <c r="Q544" s="71"/>
      <c r="R544" s="71"/>
      <c r="S544" s="71"/>
      <c r="T544" s="105"/>
      <c r="U544" s="71"/>
      <c r="V544" s="71"/>
      <c r="W544" s="71"/>
      <c r="X544" s="71"/>
      <c r="Y544" s="71"/>
      <c r="Z544" s="71"/>
      <c r="AA544" s="71"/>
      <c r="AB544" s="71"/>
      <c r="AC544" s="71"/>
      <c r="AD544" s="71"/>
      <c r="AE544" s="71"/>
      <c r="AF544" s="71"/>
      <c r="AG544" s="71"/>
      <c r="AH544" s="71"/>
      <c r="AI544" s="71"/>
      <c r="AJ544" s="71"/>
      <c r="AK544" s="71"/>
    </row>
    <row r="545" spans="1:37" ht="12.75" customHeight="1" x14ac:dyDescent="0.2">
      <c r="A545" s="71"/>
      <c r="B545" s="71"/>
      <c r="C545" s="71"/>
      <c r="D545" s="71"/>
      <c r="E545" s="71"/>
      <c r="F545" s="71"/>
      <c r="G545" s="71"/>
      <c r="H545" s="71"/>
      <c r="I545" s="71"/>
      <c r="J545" s="71"/>
      <c r="K545" s="71"/>
      <c r="L545" s="71"/>
      <c r="M545" s="71"/>
      <c r="N545" s="71"/>
      <c r="O545" s="71"/>
      <c r="P545" s="71"/>
      <c r="Q545" s="71"/>
      <c r="R545" s="71"/>
      <c r="S545" s="71"/>
      <c r="T545" s="105"/>
      <c r="U545" s="71"/>
      <c r="V545" s="71"/>
      <c r="W545" s="71"/>
      <c r="X545" s="71"/>
      <c r="Y545" s="71"/>
      <c r="Z545" s="71"/>
      <c r="AA545" s="71"/>
      <c r="AB545" s="71"/>
      <c r="AC545" s="71"/>
      <c r="AD545" s="71"/>
      <c r="AE545" s="71"/>
      <c r="AF545" s="71"/>
      <c r="AG545" s="71"/>
      <c r="AH545" s="71"/>
      <c r="AI545" s="71"/>
      <c r="AJ545" s="71"/>
      <c r="AK545" s="71"/>
    </row>
    <row r="546" spans="1:37" ht="12.75" customHeight="1" x14ac:dyDescent="0.2">
      <c r="A546" s="71"/>
      <c r="B546" s="71"/>
      <c r="C546" s="71"/>
      <c r="D546" s="71"/>
      <c r="E546" s="71"/>
      <c r="F546" s="71"/>
      <c r="G546" s="71"/>
      <c r="H546" s="71"/>
      <c r="I546" s="71"/>
      <c r="J546" s="71"/>
      <c r="K546" s="71"/>
      <c r="L546" s="71"/>
      <c r="M546" s="71"/>
      <c r="N546" s="71"/>
      <c r="O546" s="71"/>
      <c r="P546" s="71"/>
      <c r="Q546" s="71"/>
      <c r="R546" s="71"/>
      <c r="S546" s="71"/>
      <c r="T546" s="105"/>
      <c r="U546" s="71"/>
      <c r="V546" s="71"/>
      <c r="W546" s="71"/>
      <c r="X546" s="71"/>
      <c r="Y546" s="71"/>
      <c r="Z546" s="71"/>
      <c r="AA546" s="71"/>
      <c r="AB546" s="71"/>
      <c r="AC546" s="71"/>
      <c r="AD546" s="71"/>
      <c r="AE546" s="71"/>
      <c r="AF546" s="71"/>
      <c r="AG546" s="71"/>
      <c r="AH546" s="71"/>
      <c r="AI546" s="71"/>
      <c r="AJ546" s="71"/>
      <c r="AK546" s="71"/>
    </row>
    <row r="547" spans="1:37" ht="12.75" customHeight="1" x14ac:dyDescent="0.2">
      <c r="A547" s="71"/>
      <c r="B547" s="71"/>
      <c r="C547" s="71"/>
      <c r="D547" s="71"/>
      <c r="E547" s="71"/>
      <c r="F547" s="71"/>
      <c r="G547" s="71"/>
      <c r="H547" s="71"/>
      <c r="I547" s="71"/>
      <c r="J547" s="71"/>
      <c r="K547" s="71"/>
      <c r="L547" s="71"/>
      <c r="M547" s="71"/>
      <c r="N547" s="71"/>
      <c r="O547" s="71"/>
      <c r="P547" s="71"/>
      <c r="Q547" s="71"/>
      <c r="R547" s="71"/>
      <c r="S547" s="71"/>
      <c r="T547" s="105"/>
      <c r="U547" s="71"/>
      <c r="V547" s="71"/>
      <c r="W547" s="71"/>
      <c r="X547" s="71"/>
      <c r="Y547" s="71"/>
      <c r="Z547" s="71"/>
      <c r="AA547" s="71"/>
      <c r="AB547" s="71"/>
      <c r="AC547" s="71"/>
      <c r="AD547" s="71"/>
      <c r="AE547" s="71"/>
      <c r="AF547" s="71"/>
      <c r="AG547" s="71"/>
      <c r="AH547" s="71"/>
      <c r="AI547" s="71"/>
      <c r="AJ547" s="71"/>
      <c r="AK547" s="71"/>
    </row>
    <row r="548" spans="1:37" ht="12.75" customHeight="1" x14ac:dyDescent="0.2">
      <c r="A548" s="71"/>
      <c r="B548" s="71"/>
      <c r="C548" s="71"/>
      <c r="D548" s="71"/>
      <c r="E548" s="71"/>
      <c r="F548" s="71"/>
      <c r="G548" s="71"/>
      <c r="H548" s="71"/>
      <c r="I548" s="71"/>
      <c r="J548" s="71"/>
      <c r="K548" s="71"/>
      <c r="L548" s="71"/>
      <c r="M548" s="71"/>
      <c r="N548" s="71"/>
      <c r="O548" s="71"/>
      <c r="P548" s="71"/>
      <c r="Q548" s="71"/>
      <c r="R548" s="71"/>
      <c r="S548" s="71"/>
      <c r="T548" s="105"/>
      <c r="U548" s="71"/>
      <c r="V548" s="71"/>
      <c r="W548" s="71"/>
      <c r="X548" s="71"/>
      <c r="Y548" s="71"/>
      <c r="Z548" s="71"/>
      <c r="AA548" s="71"/>
      <c r="AB548" s="71"/>
      <c r="AC548" s="71"/>
      <c r="AD548" s="71"/>
      <c r="AE548" s="71"/>
      <c r="AF548" s="71"/>
      <c r="AG548" s="71"/>
      <c r="AH548" s="71"/>
      <c r="AI548" s="71"/>
      <c r="AJ548" s="71"/>
      <c r="AK548" s="71"/>
    </row>
    <row r="549" spans="1:37" ht="12.75" customHeight="1" x14ac:dyDescent="0.2">
      <c r="A549" s="71"/>
      <c r="B549" s="71"/>
      <c r="C549" s="71"/>
      <c r="D549" s="71"/>
      <c r="E549" s="71"/>
      <c r="F549" s="71"/>
      <c r="G549" s="71"/>
      <c r="H549" s="71"/>
      <c r="I549" s="71"/>
      <c r="J549" s="71"/>
      <c r="K549" s="71"/>
      <c r="L549" s="71"/>
      <c r="M549" s="71"/>
      <c r="N549" s="71"/>
      <c r="O549" s="71"/>
      <c r="P549" s="71"/>
      <c r="Q549" s="71"/>
      <c r="R549" s="71"/>
      <c r="S549" s="71"/>
      <c r="T549" s="105"/>
      <c r="U549" s="71"/>
      <c r="V549" s="71"/>
      <c r="W549" s="71"/>
      <c r="X549" s="71"/>
      <c r="Y549" s="71"/>
      <c r="Z549" s="71"/>
      <c r="AA549" s="71"/>
      <c r="AB549" s="71"/>
      <c r="AC549" s="71"/>
      <c r="AD549" s="71"/>
      <c r="AE549" s="71"/>
      <c r="AF549" s="71"/>
      <c r="AG549" s="71"/>
      <c r="AH549" s="71"/>
      <c r="AI549" s="71"/>
      <c r="AJ549" s="71"/>
      <c r="AK549" s="71"/>
    </row>
    <row r="550" spans="1:37" ht="12.75" customHeight="1" x14ac:dyDescent="0.2">
      <c r="A550" s="71"/>
      <c r="B550" s="71"/>
      <c r="C550" s="71"/>
      <c r="D550" s="71"/>
      <c r="E550" s="71"/>
      <c r="F550" s="71"/>
      <c r="G550" s="71"/>
      <c r="H550" s="71"/>
      <c r="I550" s="71"/>
      <c r="J550" s="71"/>
      <c r="K550" s="71"/>
      <c r="L550" s="71"/>
      <c r="M550" s="71"/>
      <c r="N550" s="71"/>
      <c r="O550" s="71"/>
      <c r="P550" s="71"/>
      <c r="Q550" s="71"/>
      <c r="R550" s="71"/>
      <c r="S550" s="71"/>
      <c r="T550" s="105"/>
      <c r="U550" s="71"/>
      <c r="V550" s="71"/>
      <c r="W550" s="71"/>
      <c r="X550" s="71"/>
      <c r="Y550" s="71"/>
      <c r="Z550" s="71"/>
      <c r="AA550" s="71"/>
      <c r="AB550" s="71"/>
      <c r="AC550" s="71"/>
      <c r="AD550" s="71"/>
      <c r="AE550" s="71"/>
      <c r="AF550" s="71"/>
      <c r="AG550" s="71"/>
      <c r="AH550" s="71"/>
      <c r="AI550" s="71"/>
      <c r="AJ550" s="71"/>
      <c r="AK550" s="71"/>
    </row>
    <row r="551" spans="1:37" ht="12.75" customHeight="1" x14ac:dyDescent="0.2">
      <c r="A551" s="71"/>
      <c r="B551" s="71"/>
      <c r="C551" s="71"/>
      <c r="D551" s="71"/>
      <c r="E551" s="71"/>
      <c r="F551" s="71"/>
      <c r="G551" s="71"/>
      <c r="H551" s="71"/>
      <c r="I551" s="71"/>
      <c r="J551" s="71"/>
      <c r="K551" s="71"/>
      <c r="L551" s="71"/>
      <c r="M551" s="71"/>
      <c r="N551" s="71"/>
      <c r="O551" s="71"/>
      <c r="P551" s="71"/>
      <c r="Q551" s="71"/>
      <c r="R551" s="71"/>
      <c r="S551" s="71"/>
      <c r="T551" s="105"/>
      <c r="U551" s="71"/>
      <c r="V551" s="71"/>
      <c r="W551" s="71"/>
      <c r="X551" s="71"/>
      <c r="Y551" s="71"/>
      <c r="Z551" s="71"/>
      <c r="AA551" s="71"/>
      <c r="AB551" s="71"/>
      <c r="AC551" s="71"/>
      <c r="AD551" s="71"/>
      <c r="AE551" s="71"/>
      <c r="AF551" s="71"/>
      <c r="AG551" s="71"/>
      <c r="AH551" s="71"/>
      <c r="AI551" s="71"/>
      <c r="AJ551" s="71"/>
      <c r="AK551" s="71"/>
    </row>
    <row r="552" spans="1:37" ht="12.75" customHeight="1" x14ac:dyDescent="0.2">
      <c r="A552" s="71"/>
      <c r="B552" s="71"/>
      <c r="C552" s="71"/>
      <c r="D552" s="71"/>
      <c r="E552" s="71"/>
      <c r="F552" s="71"/>
      <c r="G552" s="71"/>
      <c r="H552" s="71"/>
      <c r="I552" s="71"/>
      <c r="J552" s="71"/>
      <c r="K552" s="71"/>
      <c r="L552" s="71"/>
      <c r="M552" s="71"/>
      <c r="N552" s="71"/>
      <c r="O552" s="71"/>
      <c r="P552" s="71"/>
      <c r="Q552" s="71"/>
      <c r="R552" s="71"/>
      <c r="S552" s="71"/>
      <c r="T552" s="105"/>
      <c r="U552" s="71"/>
      <c r="V552" s="71"/>
      <c r="W552" s="71"/>
      <c r="X552" s="71"/>
      <c r="Y552" s="71"/>
      <c r="Z552" s="71"/>
      <c r="AA552" s="71"/>
      <c r="AB552" s="71"/>
      <c r="AC552" s="71"/>
      <c r="AD552" s="71"/>
      <c r="AE552" s="71"/>
      <c r="AF552" s="71"/>
      <c r="AG552" s="71"/>
      <c r="AH552" s="71"/>
      <c r="AI552" s="71"/>
      <c r="AJ552" s="71"/>
      <c r="AK552" s="71"/>
    </row>
    <row r="553" spans="1:37" ht="12.75" customHeight="1" x14ac:dyDescent="0.2">
      <c r="A553" s="71"/>
      <c r="B553" s="71"/>
      <c r="C553" s="71"/>
      <c r="D553" s="71"/>
      <c r="E553" s="71"/>
      <c r="F553" s="71"/>
      <c r="G553" s="71"/>
      <c r="H553" s="71"/>
      <c r="I553" s="71"/>
      <c r="J553" s="71"/>
      <c r="K553" s="71"/>
      <c r="L553" s="71"/>
      <c r="M553" s="71"/>
      <c r="N553" s="71"/>
      <c r="O553" s="71"/>
      <c r="P553" s="71"/>
      <c r="Q553" s="71"/>
      <c r="R553" s="71"/>
      <c r="S553" s="71"/>
      <c r="T553" s="105"/>
      <c r="U553" s="71"/>
      <c r="V553" s="71"/>
      <c r="W553" s="71"/>
      <c r="X553" s="71"/>
      <c r="Y553" s="71"/>
      <c r="Z553" s="71"/>
      <c r="AA553" s="71"/>
      <c r="AB553" s="71"/>
      <c r="AC553" s="71"/>
      <c r="AD553" s="71"/>
      <c r="AE553" s="71"/>
      <c r="AF553" s="71"/>
      <c r="AG553" s="71"/>
      <c r="AH553" s="71"/>
      <c r="AI553" s="71"/>
      <c r="AJ553" s="71"/>
      <c r="AK553" s="71"/>
    </row>
    <row r="554" spans="1:37" ht="12.75" customHeight="1" x14ac:dyDescent="0.2">
      <c r="A554" s="71"/>
      <c r="B554" s="71"/>
      <c r="C554" s="71"/>
      <c r="D554" s="71"/>
      <c r="E554" s="71"/>
      <c r="F554" s="71"/>
      <c r="G554" s="71"/>
      <c r="H554" s="71"/>
      <c r="I554" s="71"/>
      <c r="J554" s="71"/>
      <c r="K554" s="71"/>
      <c r="L554" s="71"/>
      <c r="M554" s="71"/>
      <c r="N554" s="71"/>
      <c r="O554" s="71"/>
      <c r="P554" s="71"/>
      <c r="Q554" s="71"/>
      <c r="R554" s="71"/>
      <c r="S554" s="71"/>
      <c r="T554" s="105"/>
      <c r="U554" s="71"/>
      <c r="V554" s="71"/>
      <c r="W554" s="71"/>
      <c r="X554" s="71"/>
      <c r="Y554" s="71"/>
      <c r="Z554" s="71"/>
      <c r="AA554" s="71"/>
      <c r="AB554" s="71"/>
      <c r="AC554" s="71"/>
      <c r="AD554" s="71"/>
      <c r="AE554" s="71"/>
      <c r="AF554" s="71"/>
      <c r="AG554" s="71"/>
      <c r="AH554" s="71"/>
      <c r="AI554" s="71"/>
      <c r="AJ554" s="71"/>
      <c r="AK554" s="71"/>
    </row>
    <row r="555" spans="1:37" ht="12.75" customHeight="1" x14ac:dyDescent="0.2">
      <c r="A555" s="71"/>
      <c r="B555" s="71"/>
      <c r="C555" s="71"/>
      <c r="D555" s="71"/>
      <c r="E555" s="71"/>
      <c r="F555" s="71"/>
      <c r="G555" s="71"/>
      <c r="H555" s="71"/>
      <c r="I555" s="71"/>
      <c r="J555" s="71"/>
      <c r="K555" s="71"/>
      <c r="L555" s="71"/>
      <c r="M555" s="71"/>
      <c r="N555" s="71"/>
      <c r="O555" s="71"/>
      <c r="P555" s="71"/>
      <c r="Q555" s="71"/>
      <c r="R555" s="71"/>
      <c r="S555" s="71"/>
      <c r="T555" s="105"/>
      <c r="U555" s="71"/>
      <c r="V555" s="71"/>
      <c r="W555" s="71"/>
      <c r="X555" s="71"/>
      <c r="Y555" s="71"/>
      <c r="Z555" s="71"/>
      <c r="AA555" s="71"/>
      <c r="AB555" s="71"/>
      <c r="AC555" s="71"/>
      <c r="AD555" s="71"/>
      <c r="AE555" s="71"/>
      <c r="AF555" s="71"/>
      <c r="AG555" s="71"/>
      <c r="AH555" s="71"/>
      <c r="AI555" s="71"/>
      <c r="AJ555" s="71"/>
      <c r="AK555" s="71"/>
    </row>
    <row r="556" spans="1:37" ht="12.75" customHeight="1" x14ac:dyDescent="0.2">
      <c r="A556" s="71"/>
      <c r="B556" s="71"/>
      <c r="C556" s="71"/>
      <c r="D556" s="71"/>
      <c r="E556" s="71"/>
      <c r="F556" s="71"/>
      <c r="G556" s="71"/>
      <c r="H556" s="71"/>
      <c r="I556" s="71"/>
      <c r="J556" s="71"/>
      <c r="K556" s="71"/>
      <c r="L556" s="71"/>
      <c r="M556" s="71"/>
      <c r="N556" s="71"/>
      <c r="O556" s="71"/>
      <c r="P556" s="71"/>
      <c r="Q556" s="71"/>
      <c r="R556" s="71"/>
      <c r="S556" s="71"/>
      <c r="T556" s="105"/>
      <c r="U556" s="71"/>
      <c r="V556" s="71"/>
      <c r="W556" s="71"/>
      <c r="X556" s="71"/>
      <c r="Y556" s="71"/>
      <c r="Z556" s="71"/>
      <c r="AA556" s="71"/>
      <c r="AB556" s="71"/>
      <c r="AC556" s="71"/>
      <c r="AD556" s="71"/>
      <c r="AE556" s="71"/>
      <c r="AF556" s="71"/>
      <c r="AG556" s="71"/>
      <c r="AH556" s="71"/>
      <c r="AI556" s="71"/>
      <c r="AJ556" s="71"/>
      <c r="AK556" s="71"/>
    </row>
    <row r="557" spans="1:37" ht="12.75" customHeight="1" x14ac:dyDescent="0.2">
      <c r="A557" s="71"/>
      <c r="B557" s="71"/>
      <c r="C557" s="71"/>
      <c r="D557" s="71"/>
      <c r="E557" s="71"/>
      <c r="F557" s="71"/>
      <c r="G557" s="71"/>
      <c r="H557" s="71"/>
      <c r="I557" s="71"/>
      <c r="J557" s="71"/>
      <c r="K557" s="71"/>
      <c r="L557" s="71"/>
      <c r="M557" s="71"/>
      <c r="N557" s="71"/>
      <c r="O557" s="71"/>
      <c r="P557" s="71"/>
      <c r="Q557" s="71"/>
      <c r="R557" s="71"/>
      <c r="S557" s="71"/>
      <c r="T557" s="105"/>
      <c r="U557" s="71"/>
      <c r="V557" s="71"/>
      <c r="W557" s="71"/>
      <c r="X557" s="71"/>
      <c r="Y557" s="71"/>
      <c r="Z557" s="71"/>
      <c r="AA557" s="71"/>
      <c r="AB557" s="71"/>
      <c r="AC557" s="71"/>
      <c r="AD557" s="71"/>
      <c r="AE557" s="71"/>
      <c r="AF557" s="71"/>
      <c r="AG557" s="71"/>
      <c r="AH557" s="71"/>
      <c r="AI557" s="71"/>
      <c r="AJ557" s="71"/>
      <c r="AK557" s="71"/>
    </row>
    <row r="558" spans="1:37" ht="12.75" customHeight="1" x14ac:dyDescent="0.2">
      <c r="A558" s="71"/>
      <c r="B558" s="71"/>
      <c r="C558" s="71"/>
      <c r="D558" s="71"/>
      <c r="E558" s="71"/>
      <c r="F558" s="71"/>
      <c r="G558" s="71"/>
      <c r="H558" s="71"/>
      <c r="I558" s="71"/>
      <c r="J558" s="71"/>
      <c r="K558" s="71"/>
      <c r="L558" s="71"/>
      <c r="M558" s="71"/>
      <c r="N558" s="71"/>
      <c r="O558" s="71"/>
      <c r="P558" s="71"/>
      <c r="Q558" s="71"/>
      <c r="R558" s="71"/>
      <c r="S558" s="71"/>
      <c r="T558" s="105"/>
      <c r="U558" s="71"/>
      <c r="V558" s="71"/>
      <c r="W558" s="71"/>
      <c r="X558" s="71"/>
      <c r="Y558" s="71"/>
      <c r="Z558" s="71"/>
      <c r="AA558" s="71"/>
      <c r="AB558" s="71"/>
      <c r="AC558" s="71"/>
      <c r="AD558" s="71"/>
      <c r="AE558" s="71"/>
      <c r="AF558" s="71"/>
      <c r="AG558" s="71"/>
      <c r="AH558" s="71"/>
      <c r="AI558" s="71"/>
      <c r="AJ558" s="71"/>
      <c r="AK558" s="71"/>
    </row>
    <row r="559" spans="1:37" ht="12.75" customHeight="1" x14ac:dyDescent="0.2">
      <c r="A559" s="71"/>
      <c r="B559" s="71"/>
      <c r="C559" s="71"/>
      <c r="D559" s="71"/>
      <c r="E559" s="71"/>
      <c r="F559" s="71"/>
      <c r="G559" s="71"/>
      <c r="H559" s="71"/>
      <c r="I559" s="71"/>
      <c r="J559" s="71"/>
      <c r="K559" s="71"/>
      <c r="L559" s="71"/>
      <c r="M559" s="71"/>
      <c r="N559" s="71"/>
      <c r="O559" s="71"/>
      <c r="P559" s="71"/>
      <c r="Q559" s="71"/>
      <c r="R559" s="71"/>
      <c r="S559" s="71"/>
      <c r="T559" s="105"/>
      <c r="U559" s="71"/>
      <c r="V559" s="71"/>
      <c r="W559" s="71"/>
      <c r="X559" s="71"/>
      <c r="Y559" s="71"/>
      <c r="Z559" s="71"/>
      <c r="AA559" s="71"/>
      <c r="AB559" s="71"/>
      <c r="AC559" s="71"/>
      <c r="AD559" s="71"/>
      <c r="AE559" s="71"/>
      <c r="AF559" s="71"/>
      <c r="AG559" s="71"/>
      <c r="AH559" s="71"/>
      <c r="AI559" s="71"/>
      <c r="AJ559" s="71"/>
      <c r="AK559" s="71"/>
    </row>
    <row r="560" spans="1:37" ht="12.75" customHeight="1" x14ac:dyDescent="0.2">
      <c r="A560" s="71"/>
      <c r="B560" s="71"/>
      <c r="C560" s="71"/>
      <c r="D560" s="71"/>
      <c r="E560" s="71"/>
      <c r="F560" s="71"/>
      <c r="G560" s="71"/>
      <c r="H560" s="71"/>
      <c r="I560" s="71"/>
      <c r="J560" s="71"/>
      <c r="K560" s="71"/>
      <c r="L560" s="71"/>
      <c r="M560" s="71"/>
      <c r="N560" s="71"/>
      <c r="O560" s="71"/>
      <c r="P560" s="71"/>
      <c r="Q560" s="71"/>
      <c r="R560" s="71"/>
      <c r="S560" s="71"/>
      <c r="T560" s="105"/>
      <c r="U560" s="71"/>
      <c r="V560" s="71"/>
      <c r="W560" s="71"/>
      <c r="X560" s="71"/>
      <c r="Y560" s="71"/>
      <c r="Z560" s="71"/>
      <c r="AA560" s="71"/>
      <c r="AB560" s="71"/>
      <c r="AC560" s="71"/>
      <c r="AD560" s="71"/>
      <c r="AE560" s="71"/>
      <c r="AF560" s="71"/>
      <c r="AG560" s="71"/>
      <c r="AH560" s="71"/>
      <c r="AI560" s="71"/>
      <c r="AJ560" s="71"/>
      <c r="AK560" s="71"/>
    </row>
    <row r="561" spans="1:37" ht="12.75" customHeight="1" x14ac:dyDescent="0.2">
      <c r="A561" s="71"/>
      <c r="B561" s="71"/>
      <c r="C561" s="71"/>
      <c r="D561" s="71"/>
      <c r="E561" s="71"/>
      <c r="F561" s="71"/>
      <c r="G561" s="71"/>
      <c r="H561" s="71"/>
      <c r="I561" s="71"/>
      <c r="J561" s="71"/>
      <c r="K561" s="71"/>
      <c r="L561" s="71"/>
      <c r="M561" s="71"/>
      <c r="N561" s="71"/>
      <c r="O561" s="71"/>
      <c r="P561" s="71"/>
      <c r="Q561" s="71"/>
      <c r="R561" s="71"/>
      <c r="S561" s="71"/>
      <c r="T561" s="105"/>
      <c r="U561" s="71"/>
      <c r="V561" s="71"/>
      <c r="W561" s="71"/>
      <c r="X561" s="71"/>
      <c r="Y561" s="71"/>
      <c r="Z561" s="71"/>
      <c r="AA561" s="71"/>
      <c r="AB561" s="71"/>
      <c r="AC561" s="71"/>
      <c r="AD561" s="71"/>
      <c r="AE561" s="71"/>
      <c r="AF561" s="71"/>
      <c r="AG561" s="71"/>
      <c r="AH561" s="71"/>
      <c r="AI561" s="71"/>
      <c r="AJ561" s="71"/>
      <c r="AK561" s="71"/>
    </row>
    <row r="562" spans="1:37" ht="12.75" customHeight="1" x14ac:dyDescent="0.2">
      <c r="A562" s="71"/>
      <c r="B562" s="71"/>
      <c r="C562" s="71"/>
      <c r="D562" s="71"/>
      <c r="E562" s="71"/>
      <c r="F562" s="71"/>
      <c r="G562" s="71"/>
      <c r="H562" s="71"/>
      <c r="I562" s="71"/>
      <c r="J562" s="71"/>
      <c r="K562" s="71"/>
      <c r="L562" s="71"/>
      <c r="M562" s="71"/>
      <c r="N562" s="71"/>
      <c r="O562" s="71"/>
      <c r="P562" s="71"/>
      <c r="Q562" s="71"/>
      <c r="R562" s="71"/>
      <c r="S562" s="71"/>
      <c r="T562" s="105"/>
      <c r="U562" s="71"/>
      <c r="V562" s="71"/>
      <c r="W562" s="71"/>
      <c r="X562" s="71"/>
      <c r="Y562" s="71"/>
      <c r="Z562" s="71"/>
      <c r="AA562" s="71"/>
      <c r="AB562" s="71"/>
      <c r="AC562" s="71"/>
      <c r="AD562" s="71"/>
      <c r="AE562" s="71"/>
      <c r="AF562" s="71"/>
      <c r="AG562" s="71"/>
      <c r="AH562" s="71"/>
      <c r="AI562" s="71"/>
      <c r="AJ562" s="71"/>
      <c r="AK562" s="71"/>
    </row>
    <row r="563" spans="1:37" ht="12.75" customHeight="1" x14ac:dyDescent="0.2">
      <c r="A563" s="71"/>
      <c r="B563" s="71"/>
      <c r="C563" s="71"/>
      <c r="D563" s="71"/>
      <c r="E563" s="71"/>
      <c r="F563" s="71"/>
      <c r="G563" s="71"/>
      <c r="H563" s="71"/>
      <c r="I563" s="71"/>
      <c r="J563" s="71"/>
      <c r="K563" s="71"/>
      <c r="L563" s="71"/>
      <c r="M563" s="71"/>
      <c r="N563" s="71"/>
      <c r="O563" s="71"/>
      <c r="P563" s="71"/>
      <c r="Q563" s="71"/>
      <c r="R563" s="71"/>
      <c r="S563" s="71"/>
      <c r="T563" s="105"/>
      <c r="U563" s="71"/>
      <c r="V563" s="71"/>
      <c r="W563" s="71"/>
      <c r="X563" s="71"/>
      <c r="Y563" s="71"/>
      <c r="Z563" s="71"/>
      <c r="AA563" s="71"/>
      <c r="AB563" s="71"/>
      <c r="AC563" s="71"/>
      <c r="AD563" s="71"/>
      <c r="AE563" s="71"/>
      <c r="AF563" s="71"/>
      <c r="AG563" s="71"/>
      <c r="AH563" s="71"/>
      <c r="AI563" s="71"/>
      <c r="AJ563" s="71"/>
      <c r="AK563" s="71"/>
    </row>
    <row r="564" spans="1:37" ht="12.75" customHeight="1" x14ac:dyDescent="0.2">
      <c r="A564" s="71"/>
      <c r="B564" s="71"/>
      <c r="C564" s="71"/>
      <c r="D564" s="71"/>
      <c r="E564" s="71"/>
      <c r="F564" s="71"/>
      <c r="G564" s="71"/>
      <c r="H564" s="71"/>
      <c r="I564" s="71"/>
      <c r="J564" s="71"/>
      <c r="K564" s="71"/>
      <c r="L564" s="71"/>
      <c r="M564" s="71"/>
      <c r="N564" s="71"/>
      <c r="O564" s="71"/>
      <c r="P564" s="71"/>
      <c r="Q564" s="71"/>
      <c r="R564" s="71"/>
      <c r="S564" s="71"/>
      <c r="T564" s="105"/>
      <c r="U564" s="71"/>
      <c r="V564" s="71"/>
      <c r="W564" s="71"/>
      <c r="X564" s="71"/>
      <c r="Y564" s="71"/>
      <c r="Z564" s="71"/>
      <c r="AA564" s="71"/>
      <c r="AB564" s="71"/>
      <c r="AC564" s="71"/>
      <c r="AD564" s="71"/>
      <c r="AE564" s="71"/>
      <c r="AF564" s="71"/>
      <c r="AG564" s="71"/>
      <c r="AH564" s="71"/>
      <c r="AI564" s="71"/>
      <c r="AJ564" s="71"/>
      <c r="AK564" s="71"/>
    </row>
    <row r="565" spans="1:37" ht="12.75" customHeight="1" x14ac:dyDescent="0.2">
      <c r="A565" s="71"/>
      <c r="B565" s="71"/>
      <c r="C565" s="71"/>
      <c r="D565" s="71"/>
      <c r="E565" s="71"/>
      <c r="F565" s="71"/>
      <c r="G565" s="71"/>
      <c r="H565" s="71"/>
      <c r="I565" s="71"/>
      <c r="J565" s="71"/>
      <c r="K565" s="71"/>
      <c r="L565" s="71"/>
      <c r="M565" s="71"/>
      <c r="N565" s="71"/>
      <c r="O565" s="71"/>
      <c r="P565" s="71"/>
      <c r="Q565" s="71"/>
      <c r="R565" s="71"/>
      <c r="S565" s="71"/>
      <c r="T565" s="105"/>
      <c r="U565" s="71"/>
      <c r="V565" s="71"/>
      <c r="W565" s="71"/>
      <c r="X565" s="71"/>
      <c r="Y565" s="71"/>
      <c r="Z565" s="71"/>
      <c r="AA565" s="71"/>
      <c r="AB565" s="71"/>
      <c r="AC565" s="71"/>
      <c r="AD565" s="71"/>
      <c r="AE565" s="71"/>
      <c r="AF565" s="71"/>
      <c r="AG565" s="71"/>
      <c r="AH565" s="71"/>
      <c r="AI565" s="71"/>
      <c r="AJ565" s="71"/>
      <c r="AK565" s="71"/>
    </row>
    <row r="566" spans="1:37" ht="12.75" customHeight="1" x14ac:dyDescent="0.2">
      <c r="A566" s="71"/>
      <c r="B566" s="71"/>
      <c r="C566" s="71"/>
      <c r="D566" s="71"/>
      <c r="E566" s="71"/>
      <c r="F566" s="71"/>
      <c r="G566" s="71"/>
      <c r="H566" s="71"/>
      <c r="I566" s="71"/>
      <c r="J566" s="71"/>
      <c r="K566" s="71"/>
      <c r="L566" s="71"/>
      <c r="M566" s="71"/>
      <c r="N566" s="71"/>
      <c r="O566" s="71"/>
      <c r="P566" s="71"/>
      <c r="Q566" s="71"/>
      <c r="R566" s="71"/>
      <c r="S566" s="71"/>
      <c r="T566" s="105"/>
      <c r="U566" s="71"/>
      <c r="V566" s="71"/>
      <c r="W566" s="71"/>
      <c r="X566" s="71"/>
      <c r="Y566" s="71"/>
      <c r="Z566" s="71"/>
      <c r="AA566" s="71"/>
      <c r="AB566" s="71"/>
      <c r="AC566" s="71"/>
      <c r="AD566" s="71"/>
      <c r="AE566" s="71"/>
      <c r="AF566" s="71"/>
      <c r="AG566" s="71"/>
      <c r="AH566" s="71"/>
      <c r="AI566" s="71"/>
      <c r="AJ566" s="71"/>
      <c r="AK566" s="71"/>
    </row>
    <row r="567" spans="1:37" ht="12.75" customHeight="1" x14ac:dyDescent="0.2">
      <c r="A567" s="71"/>
      <c r="B567" s="71"/>
      <c r="C567" s="71"/>
      <c r="D567" s="71"/>
      <c r="E567" s="71"/>
      <c r="F567" s="71"/>
      <c r="G567" s="71"/>
      <c r="H567" s="71"/>
      <c r="I567" s="71"/>
      <c r="J567" s="71"/>
      <c r="K567" s="71"/>
      <c r="L567" s="71"/>
      <c r="M567" s="71"/>
      <c r="N567" s="71"/>
      <c r="O567" s="71"/>
      <c r="P567" s="71"/>
      <c r="Q567" s="71"/>
      <c r="R567" s="71"/>
      <c r="S567" s="71"/>
      <c r="T567" s="105"/>
      <c r="U567" s="71"/>
      <c r="V567" s="71"/>
      <c r="W567" s="71"/>
      <c r="X567" s="71"/>
      <c r="Y567" s="71"/>
      <c r="Z567" s="71"/>
      <c r="AA567" s="71"/>
      <c r="AB567" s="71"/>
      <c r="AC567" s="71"/>
      <c r="AD567" s="71"/>
      <c r="AE567" s="71"/>
      <c r="AF567" s="71"/>
      <c r="AG567" s="71"/>
      <c r="AH567" s="71"/>
      <c r="AI567" s="71"/>
      <c r="AJ567" s="71"/>
      <c r="AK567" s="71"/>
    </row>
    <row r="568" spans="1:37" ht="12.75" customHeight="1" x14ac:dyDescent="0.2">
      <c r="A568" s="71"/>
      <c r="B568" s="71"/>
      <c r="C568" s="71"/>
      <c r="D568" s="71"/>
      <c r="E568" s="71"/>
      <c r="F568" s="71"/>
      <c r="G568" s="71"/>
      <c r="H568" s="71"/>
      <c r="I568" s="71"/>
      <c r="J568" s="71"/>
      <c r="K568" s="71"/>
      <c r="L568" s="71"/>
      <c r="M568" s="71"/>
      <c r="N568" s="71"/>
      <c r="O568" s="71"/>
      <c r="P568" s="71"/>
      <c r="Q568" s="71"/>
      <c r="R568" s="71"/>
      <c r="S568" s="71"/>
      <c r="T568" s="105"/>
      <c r="U568" s="71"/>
      <c r="V568" s="71"/>
      <c r="W568" s="71"/>
      <c r="X568" s="71"/>
      <c r="Y568" s="71"/>
      <c r="Z568" s="71"/>
      <c r="AA568" s="71"/>
      <c r="AB568" s="71"/>
      <c r="AC568" s="71"/>
      <c r="AD568" s="71"/>
      <c r="AE568" s="71"/>
      <c r="AF568" s="71"/>
      <c r="AG568" s="71"/>
      <c r="AH568" s="71"/>
      <c r="AI568" s="71"/>
      <c r="AJ568" s="71"/>
      <c r="AK568" s="71"/>
    </row>
    <row r="569" spans="1:37" ht="12.75" customHeight="1" x14ac:dyDescent="0.2">
      <c r="A569" s="71"/>
      <c r="B569" s="71"/>
      <c r="C569" s="71"/>
      <c r="D569" s="71"/>
      <c r="E569" s="71"/>
      <c r="F569" s="71"/>
      <c r="G569" s="71"/>
      <c r="H569" s="71"/>
      <c r="I569" s="71"/>
      <c r="J569" s="71"/>
      <c r="K569" s="71"/>
      <c r="L569" s="71"/>
      <c r="M569" s="71"/>
      <c r="N569" s="71"/>
      <c r="O569" s="71"/>
      <c r="P569" s="71"/>
      <c r="Q569" s="71"/>
      <c r="R569" s="71"/>
      <c r="S569" s="71"/>
      <c r="T569" s="105"/>
      <c r="U569" s="71"/>
      <c r="V569" s="71"/>
      <c r="W569" s="71"/>
      <c r="X569" s="71"/>
      <c r="Y569" s="71"/>
      <c r="Z569" s="71"/>
      <c r="AA569" s="71"/>
      <c r="AB569" s="71"/>
      <c r="AC569" s="71"/>
      <c r="AD569" s="71"/>
      <c r="AE569" s="71"/>
      <c r="AF569" s="71"/>
      <c r="AG569" s="71"/>
      <c r="AH569" s="71"/>
      <c r="AI569" s="71"/>
      <c r="AJ569" s="71"/>
      <c r="AK569" s="71"/>
    </row>
    <row r="570" spans="1:37" ht="12.75" customHeight="1" x14ac:dyDescent="0.2">
      <c r="A570" s="71"/>
      <c r="B570" s="71"/>
      <c r="C570" s="71"/>
      <c r="D570" s="71"/>
      <c r="E570" s="71"/>
      <c r="F570" s="71"/>
      <c r="G570" s="71"/>
      <c r="H570" s="71"/>
      <c r="I570" s="71"/>
      <c r="J570" s="71"/>
      <c r="K570" s="71"/>
      <c r="L570" s="71"/>
      <c r="M570" s="71"/>
      <c r="N570" s="71"/>
      <c r="O570" s="71"/>
      <c r="P570" s="71"/>
      <c r="Q570" s="71"/>
      <c r="R570" s="71"/>
      <c r="S570" s="71"/>
      <c r="T570" s="105"/>
      <c r="U570" s="71"/>
      <c r="V570" s="71"/>
      <c r="W570" s="71"/>
      <c r="X570" s="71"/>
      <c r="Y570" s="71"/>
      <c r="Z570" s="71"/>
      <c r="AA570" s="71"/>
      <c r="AB570" s="71"/>
      <c r="AC570" s="71"/>
      <c r="AD570" s="71"/>
      <c r="AE570" s="71"/>
      <c r="AF570" s="71"/>
      <c r="AG570" s="71"/>
      <c r="AH570" s="71"/>
      <c r="AI570" s="71"/>
      <c r="AJ570" s="71"/>
      <c r="AK570" s="71"/>
    </row>
    <row r="571" spans="1:37" ht="12.75" customHeight="1" x14ac:dyDescent="0.2">
      <c r="A571" s="71"/>
      <c r="B571" s="71"/>
      <c r="C571" s="71"/>
      <c r="D571" s="71"/>
      <c r="E571" s="71"/>
      <c r="F571" s="71"/>
      <c r="G571" s="71"/>
      <c r="H571" s="71"/>
      <c r="I571" s="71"/>
      <c r="J571" s="71"/>
      <c r="K571" s="71"/>
      <c r="L571" s="71"/>
      <c r="M571" s="71"/>
      <c r="N571" s="71"/>
      <c r="O571" s="71"/>
      <c r="P571" s="71"/>
      <c r="Q571" s="71"/>
      <c r="R571" s="71"/>
      <c r="S571" s="71"/>
      <c r="T571" s="105"/>
      <c r="U571" s="71"/>
      <c r="V571" s="71"/>
      <c r="W571" s="71"/>
      <c r="X571" s="71"/>
      <c r="Y571" s="71"/>
      <c r="Z571" s="71"/>
      <c r="AA571" s="71"/>
      <c r="AB571" s="71"/>
      <c r="AC571" s="71"/>
      <c r="AD571" s="71"/>
      <c r="AE571" s="71"/>
      <c r="AF571" s="71"/>
      <c r="AG571" s="71"/>
      <c r="AH571" s="71"/>
      <c r="AI571" s="71"/>
      <c r="AJ571" s="71"/>
      <c r="AK571" s="71"/>
    </row>
    <row r="572" spans="1:37" ht="12.75" customHeight="1" x14ac:dyDescent="0.2">
      <c r="A572" s="71"/>
      <c r="B572" s="71"/>
      <c r="C572" s="71"/>
      <c r="D572" s="71"/>
      <c r="E572" s="71"/>
      <c r="F572" s="71"/>
      <c r="G572" s="71"/>
      <c r="H572" s="71"/>
      <c r="I572" s="71"/>
      <c r="J572" s="71"/>
      <c r="K572" s="71"/>
      <c r="L572" s="71"/>
      <c r="M572" s="71"/>
      <c r="N572" s="71"/>
      <c r="O572" s="71"/>
      <c r="P572" s="71"/>
      <c r="Q572" s="71"/>
      <c r="R572" s="71"/>
      <c r="S572" s="71"/>
      <c r="T572" s="105"/>
      <c r="U572" s="71"/>
      <c r="V572" s="71"/>
      <c r="W572" s="71"/>
      <c r="X572" s="71"/>
      <c r="Y572" s="71"/>
      <c r="Z572" s="71"/>
      <c r="AA572" s="71"/>
      <c r="AB572" s="71"/>
      <c r="AC572" s="71"/>
      <c r="AD572" s="71"/>
      <c r="AE572" s="71"/>
      <c r="AF572" s="71"/>
      <c r="AG572" s="71"/>
      <c r="AH572" s="71"/>
      <c r="AI572" s="71"/>
      <c r="AJ572" s="71"/>
      <c r="AK572" s="71"/>
    </row>
    <row r="573" spans="1:37" ht="12.75" customHeight="1" x14ac:dyDescent="0.2">
      <c r="A573" s="71"/>
      <c r="B573" s="71"/>
      <c r="C573" s="71"/>
      <c r="D573" s="71"/>
      <c r="E573" s="71"/>
      <c r="F573" s="71"/>
      <c r="G573" s="71"/>
      <c r="H573" s="71"/>
      <c r="I573" s="71"/>
      <c r="J573" s="71"/>
      <c r="K573" s="71"/>
      <c r="L573" s="71"/>
      <c r="M573" s="71"/>
      <c r="N573" s="71"/>
      <c r="O573" s="71"/>
      <c r="P573" s="71"/>
      <c r="Q573" s="71"/>
      <c r="R573" s="71"/>
      <c r="S573" s="71"/>
      <c r="T573" s="105"/>
      <c r="U573" s="71"/>
      <c r="V573" s="71"/>
      <c r="W573" s="71"/>
      <c r="X573" s="71"/>
      <c r="Y573" s="71"/>
      <c r="Z573" s="71"/>
      <c r="AA573" s="71"/>
      <c r="AB573" s="71"/>
      <c r="AC573" s="71"/>
      <c r="AD573" s="71"/>
      <c r="AE573" s="71"/>
      <c r="AF573" s="71"/>
      <c r="AG573" s="71"/>
      <c r="AH573" s="71"/>
      <c r="AI573" s="71"/>
      <c r="AJ573" s="71"/>
      <c r="AK573" s="71"/>
    </row>
    <row r="574" spans="1:37" ht="12.75" customHeight="1" x14ac:dyDescent="0.2">
      <c r="A574" s="71"/>
      <c r="B574" s="71"/>
      <c r="C574" s="71"/>
      <c r="D574" s="71"/>
      <c r="E574" s="71"/>
      <c r="F574" s="71"/>
      <c r="G574" s="71"/>
      <c r="H574" s="71"/>
      <c r="I574" s="71"/>
      <c r="J574" s="71"/>
      <c r="K574" s="71"/>
      <c r="L574" s="71"/>
      <c r="M574" s="71"/>
      <c r="N574" s="71"/>
      <c r="O574" s="71"/>
      <c r="P574" s="71"/>
      <c r="Q574" s="71"/>
      <c r="R574" s="71"/>
      <c r="S574" s="71"/>
      <c r="T574" s="105"/>
      <c r="U574" s="71"/>
      <c r="V574" s="71"/>
      <c r="W574" s="71"/>
      <c r="X574" s="71"/>
      <c r="Y574" s="71"/>
      <c r="Z574" s="71"/>
      <c r="AA574" s="71"/>
      <c r="AB574" s="71"/>
      <c r="AC574" s="71"/>
      <c r="AD574" s="71"/>
      <c r="AE574" s="71"/>
      <c r="AF574" s="71"/>
      <c r="AG574" s="71"/>
      <c r="AH574" s="71"/>
      <c r="AI574" s="71"/>
      <c r="AJ574" s="71"/>
      <c r="AK574" s="71"/>
    </row>
    <row r="575" spans="1:37" ht="12.75" customHeight="1" x14ac:dyDescent="0.2">
      <c r="A575" s="71"/>
      <c r="B575" s="71"/>
      <c r="C575" s="71"/>
      <c r="D575" s="71"/>
      <c r="E575" s="71"/>
      <c r="F575" s="71"/>
      <c r="G575" s="71"/>
      <c r="H575" s="71"/>
      <c r="I575" s="71"/>
      <c r="J575" s="71"/>
      <c r="K575" s="71"/>
      <c r="L575" s="71"/>
      <c r="M575" s="71"/>
      <c r="N575" s="71"/>
      <c r="O575" s="71"/>
      <c r="P575" s="71"/>
      <c r="Q575" s="71"/>
      <c r="R575" s="71"/>
      <c r="S575" s="71"/>
      <c r="T575" s="105"/>
      <c r="U575" s="71"/>
      <c r="V575" s="71"/>
      <c r="W575" s="71"/>
      <c r="X575" s="71"/>
      <c r="Y575" s="71"/>
      <c r="Z575" s="71"/>
      <c r="AA575" s="71"/>
      <c r="AB575" s="71"/>
      <c r="AC575" s="71"/>
      <c r="AD575" s="71"/>
      <c r="AE575" s="71"/>
      <c r="AF575" s="71"/>
      <c r="AG575" s="71"/>
      <c r="AH575" s="71"/>
      <c r="AI575" s="71"/>
      <c r="AJ575" s="71"/>
      <c r="AK575" s="71"/>
    </row>
    <row r="576" spans="1:37" ht="12.75" customHeight="1" x14ac:dyDescent="0.2">
      <c r="A576" s="71"/>
      <c r="B576" s="71"/>
      <c r="C576" s="71"/>
      <c r="D576" s="71"/>
      <c r="E576" s="71"/>
      <c r="F576" s="71"/>
      <c r="G576" s="71"/>
      <c r="H576" s="71"/>
      <c r="I576" s="71"/>
      <c r="J576" s="71"/>
      <c r="K576" s="71"/>
      <c r="L576" s="71"/>
      <c r="M576" s="71"/>
      <c r="N576" s="71"/>
      <c r="O576" s="71"/>
      <c r="P576" s="71"/>
      <c r="Q576" s="71"/>
      <c r="R576" s="71"/>
      <c r="S576" s="71"/>
      <c r="T576" s="105"/>
      <c r="U576" s="71"/>
      <c r="V576" s="71"/>
      <c r="W576" s="71"/>
      <c r="X576" s="71"/>
      <c r="Y576" s="71"/>
      <c r="Z576" s="71"/>
      <c r="AA576" s="71"/>
      <c r="AB576" s="71"/>
      <c r="AC576" s="71"/>
      <c r="AD576" s="71"/>
      <c r="AE576" s="71"/>
      <c r="AF576" s="71"/>
      <c r="AG576" s="71"/>
      <c r="AH576" s="71"/>
      <c r="AI576" s="71"/>
      <c r="AJ576" s="71"/>
      <c r="AK576" s="71"/>
    </row>
    <row r="577" spans="1:37" ht="12.75" customHeight="1" x14ac:dyDescent="0.2">
      <c r="A577" s="71"/>
      <c r="B577" s="71"/>
      <c r="C577" s="71"/>
      <c r="D577" s="71"/>
      <c r="E577" s="71"/>
      <c r="F577" s="71"/>
      <c r="G577" s="71"/>
      <c r="H577" s="71"/>
      <c r="I577" s="71"/>
      <c r="J577" s="71"/>
      <c r="K577" s="71"/>
      <c r="L577" s="71"/>
      <c r="M577" s="71"/>
      <c r="N577" s="71"/>
      <c r="O577" s="71"/>
      <c r="P577" s="71"/>
      <c r="Q577" s="71"/>
      <c r="R577" s="71"/>
      <c r="S577" s="71"/>
      <c r="T577" s="105"/>
      <c r="U577" s="71"/>
      <c r="V577" s="71"/>
      <c r="W577" s="71"/>
      <c r="X577" s="71"/>
      <c r="Y577" s="71"/>
      <c r="Z577" s="71"/>
      <c r="AA577" s="71"/>
      <c r="AB577" s="71"/>
      <c r="AC577" s="71"/>
      <c r="AD577" s="71"/>
      <c r="AE577" s="71"/>
      <c r="AF577" s="71"/>
      <c r="AG577" s="71"/>
      <c r="AH577" s="71"/>
      <c r="AI577" s="71"/>
      <c r="AJ577" s="71"/>
      <c r="AK577" s="71"/>
    </row>
    <row r="578" spans="1:37" ht="12.75" customHeight="1" x14ac:dyDescent="0.2">
      <c r="A578" s="71"/>
      <c r="B578" s="71"/>
      <c r="C578" s="71"/>
      <c r="D578" s="71"/>
      <c r="E578" s="71"/>
      <c r="F578" s="71"/>
      <c r="G578" s="71"/>
      <c r="H578" s="71"/>
      <c r="I578" s="71"/>
      <c r="J578" s="71"/>
      <c r="K578" s="71"/>
      <c r="L578" s="71"/>
      <c r="M578" s="71"/>
      <c r="N578" s="71"/>
      <c r="O578" s="71"/>
      <c r="P578" s="71"/>
      <c r="Q578" s="71"/>
      <c r="R578" s="71"/>
      <c r="S578" s="71"/>
      <c r="T578" s="105"/>
      <c r="U578" s="71"/>
      <c r="V578" s="71"/>
      <c r="W578" s="71"/>
      <c r="X578" s="71"/>
      <c r="Y578" s="71"/>
      <c r="Z578" s="71"/>
      <c r="AA578" s="71"/>
      <c r="AB578" s="71"/>
      <c r="AC578" s="71"/>
      <c r="AD578" s="71"/>
      <c r="AE578" s="71"/>
      <c r="AF578" s="71"/>
      <c r="AG578" s="71"/>
      <c r="AH578" s="71"/>
      <c r="AI578" s="71"/>
      <c r="AJ578" s="71"/>
      <c r="AK578" s="71"/>
    </row>
    <row r="579" spans="1:37" ht="12.75" customHeight="1" x14ac:dyDescent="0.2">
      <c r="A579" s="71"/>
      <c r="B579" s="71"/>
      <c r="C579" s="71"/>
      <c r="D579" s="71"/>
      <c r="E579" s="71"/>
      <c r="F579" s="71"/>
      <c r="G579" s="71"/>
      <c r="H579" s="71"/>
      <c r="I579" s="71"/>
      <c r="J579" s="71"/>
      <c r="K579" s="71"/>
      <c r="L579" s="71"/>
      <c r="M579" s="71"/>
      <c r="N579" s="71"/>
      <c r="O579" s="71"/>
      <c r="P579" s="71"/>
      <c r="Q579" s="71"/>
      <c r="R579" s="71"/>
      <c r="S579" s="71"/>
      <c r="T579" s="105"/>
      <c r="U579" s="71"/>
      <c r="V579" s="71"/>
      <c r="W579" s="71"/>
      <c r="X579" s="71"/>
      <c r="Y579" s="71"/>
      <c r="Z579" s="71"/>
      <c r="AA579" s="71"/>
      <c r="AB579" s="71"/>
      <c r="AC579" s="71"/>
      <c r="AD579" s="71"/>
      <c r="AE579" s="71"/>
      <c r="AF579" s="71"/>
      <c r="AG579" s="71"/>
      <c r="AH579" s="71"/>
      <c r="AI579" s="71"/>
      <c r="AJ579" s="71"/>
      <c r="AK579" s="71"/>
    </row>
    <row r="580" spans="1:37" ht="12.75" customHeight="1" x14ac:dyDescent="0.2">
      <c r="A580" s="71"/>
      <c r="B580" s="71"/>
      <c r="C580" s="71"/>
      <c r="D580" s="71"/>
      <c r="E580" s="71"/>
      <c r="F580" s="71"/>
      <c r="G580" s="71"/>
      <c r="H580" s="71"/>
      <c r="I580" s="71"/>
      <c r="J580" s="71"/>
      <c r="K580" s="71"/>
      <c r="L580" s="71"/>
      <c r="M580" s="71"/>
      <c r="N580" s="71"/>
      <c r="O580" s="71"/>
      <c r="P580" s="71"/>
      <c r="Q580" s="71"/>
      <c r="R580" s="71"/>
      <c r="S580" s="71"/>
      <c r="T580" s="105"/>
      <c r="U580" s="71"/>
      <c r="V580" s="71"/>
      <c r="W580" s="71"/>
      <c r="X580" s="71"/>
      <c r="Y580" s="71"/>
      <c r="Z580" s="71"/>
      <c r="AA580" s="71"/>
      <c r="AB580" s="71"/>
      <c r="AC580" s="71"/>
      <c r="AD580" s="71"/>
      <c r="AE580" s="71"/>
      <c r="AF580" s="71"/>
      <c r="AG580" s="71"/>
      <c r="AH580" s="71"/>
      <c r="AI580" s="71"/>
      <c r="AJ580" s="71"/>
      <c r="AK580" s="71"/>
    </row>
    <row r="581" spans="1:37" ht="12.75" customHeight="1" x14ac:dyDescent="0.2">
      <c r="A581" s="71"/>
      <c r="B581" s="71"/>
      <c r="C581" s="71"/>
      <c r="D581" s="71"/>
      <c r="E581" s="71"/>
      <c r="F581" s="71"/>
      <c r="G581" s="71"/>
      <c r="H581" s="71"/>
      <c r="I581" s="71"/>
      <c r="J581" s="71"/>
      <c r="K581" s="71"/>
      <c r="L581" s="71"/>
      <c r="M581" s="71"/>
      <c r="N581" s="71"/>
      <c r="O581" s="71"/>
      <c r="P581" s="71"/>
      <c r="Q581" s="71"/>
      <c r="R581" s="71"/>
      <c r="S581" s="71"/>
      <c r="T581" s="105"/>
      <c r="U581" s="71"/>
      <c r="V581" s="71"/>
      <c r="W581" s="71"/>
      <c r="X581" s="71"/>
      <c r="Y581" s="71"/>
      <c r="Z581" s="71"/>
      <c r="AA581" s="71"/>
      <c r="AB581" s="71"/>
      <c r="AC581" s="71"/>
      <c r="AD581" s="71"/>
      <c r="AE581" s="71"/>
      <c r="AF581" s="71"/>
      <c r="AG581" s="71"/>
      <c r="AH581" s="71"/>
      <c r="AI581" s="71"/>
      <c r="AJ581" s="71"/>
      <c r="AK581" s="71"/>
    </row>
    <row r="582" spans="1:37" ht="12.75" customHeight="1" x14ac:dyDescent="0.2">
      <c r="A582" s="71"/>
      <c r="B582" s="71"/>
      <c r="C582" s="71"/>
      <c r="D582" s="71"/>
      <c r="E582" s="71"/>
      <c r="F582" s="71"/>
      <c r="G582" s="71"/>
      <c r="H582" s="71"/>
      <c r="I582" s="71"/>
      <c r="J582" s="71"/>
      <c r="K582" s="71"/>
      <c r="L582" s="71"/>
      <c r="M582" s="71"/>
      <c r="N582" s="71"/>
      <c r="O582" s="71"/>
      <c r="P582" s="71"/>
      <c r="Q582" s="71"/>
      <c r="R582" s="71"/>
      <c r="S582" s="71"/>
      <c r="T582" s="105"/>
      <c r="U582" s="71"/>
      <c r="V582" s="71"/>
      <c r="W582" s="71"/>
      <c r="X582" s="71"/>
      <c r="Y582" s="71"/>
      <c r="Z582" s="71"/>
      <c r="AA582" s="71"/>
      <c r="AB582" s="71"/>
      <c r="AC582" s="71"/>
      <c r="AD582" s="71"/>
      <c r="AE582" s="71"/>
      <c r="AF582" s="71"/>
      <c r="AG582" s="71"/>
      <c r="AH582" s="71"/>
      <c r="AI582" s="71"/>
      <c r="AJ582" s="71"/>
      <c r="AK582" s="71"/>
    </row>
    <row r="583" spans="1:37" ht="12.75" customHeight="1" x14ac:dyDescent="0.2">
      <c r="A583" s="71"/>
      <c r="B583" s="71"/>
      <c r="C583" s="71"/>
      <c r="D583" s="71"/>
      <c r="E583" s="71"/>
      <c r="F583" s="71"/>
      <c r="G583" s="71"/>
      <c r="H583" s="71"/>
      <c r="I583" s="71"/>
      <c r="J583" s="71"/>
      <c r="K583" s="71"/>
      <c r="L583" s="71"/>
      <c r="M583" s="71"/>
      <c r="N583" s="71"/>
      <c r="O583" s="71"/>
      <c r="P583" s="71"/>
      <c r="Q583" s="71"/>
      <c r="R583" s="71"/>
      <c r="S583" s="71"/>
      <c r="T583" s="105"/>
      <c r="U583" s="71"/>
      <c r="V583" s="71"/>
      <c r="W583" s="71"/>
      <c r="X583" s="71"/>
      <c r="Y583" s="71"/>
      <c r="Z583" s="71"/>
      <c r="AA583" s="71"/>
      <c r="AB583" s="71"/>
      <c r="AC583" s="71"/>
      <c r="AD583" s="71"/>
      <c r="AE583" s="71"/>
      <c r="AF583" s="71"/>
      <c r="AG583" s="71"/>
      <c r="AH583" s="71"/>
      <c r="AI583" s="71"/>
      <c r="AJ583" s="71"/>
      <c r="AK583" s="71"/>
    </row>
    <row r="584" spans="1:37" ht="12.75" customHeight="1" x14ac:dyDescent="0.2">
      <c r="A584" s="71"/>
      <c r="B584" s="71"/>
      <c r="C584" s="71"/>
      <c r="D584" s="71"/>
      <c r="E584" s="71"/>
      <c r="F584" s="71"/>
      <c r="G584" s="71"/>
      <c r="H584" s="71"/>
      <c r="I584" s="71"/>
      <c r="J584" s="71"/>
      <c r="K584" s="71"/>
      <c r="L584" s="71"/>
      <c r="M584" s="71"/>
      <c r="N584" s="71"/>
      <c r="O584" s="71"/>
      <c r="P584" s="71"/>
      <c r="Q584" s="71"/>
      <c r="R584" s="71"/>
      <c r="S584" s="71"/>
      <c r="T584" s="105"/>
      <c r="U584" s="71"/>
      <c r="V584" s="71"/>
      <c r="W584" s="71"/>
      <c r="X584" s="71"/>
      <c r="Y584" s="71"/>
      <c r="Z584" s="71"/>
      <c r="AA584" s="71"/>
      <c r="AB584" s="71"/>
      <c r="AC584" s="71"/>
      <c r="AD584" s="71"/>
      <c r="AE584" s="71"/>
      <c r="AF584" s="71"/>
      <c r="AG584" s="71"/>
      <c r="AH584" s="71"/>
      <c r="AI584" s="71"/>
      <c r="AJ584" s="71"/>
      <c r="AK584" s="71"/>
    </row>
    <row r="585" spans="1:37" ht="12.75" customHeight="1" x14ac:dyDescent="0.2">
      <c r="A585" s="71"/>
      <c r="B585" s="71"/>
      <c r="C585" s="71"/>
      <c r="D585" s="71"/>
      <c r="E585" s="71"/>
      <c r="F585" s="71"/>
      <c r="G585" s="71"/>
      <c r="H585" s="71"/>
      <c r="I585" s="71"/>
      <c r="J585" s="71"/>
      <c r="K585" s="71"/>
      <c r="L585" s="71"/>
      <c r="M585" s="71"/>
      <c r="N585" s="71"/>
      <c r="O585" s="71"/>
      <c r="P585" s="71"/>
      <c r="Q585" s="71"/>
      <c r="R585" s="71"/>
      <c r="S585" s="71"/>
      <c r="T585" s="105"/>
      <c r="U585" s="71"/>
      <c r="V585" s="71"/>
      <c r="W585" s="71"/>
      <c r="X585" s="71"/>
      <c r="Y585" s="71"/>
      <c r="Z585" s="71"/>
      <c r="AA585" s="71"/>
      <c r="AB585" s="71"/>
      <c r="AC585" s="71"/>
      <c r="AD585" s="71"/>
      <c r="AE585" s="71"/>
      <c r="AF585" s="71"/>
      <c r="AG585" s="71"/>
      <c r="AH585" s="71"/>
      <c r="AI585" s="71"/>
      <c r="AJ585" s="71"/>
      <c r="AK585" s="71"/>
    </row>
    <row r="586" spans="1:37" ht="12.75" customHeight="1" x14ac:dyDescent="0.2">
      <c r="A586" s="71"/>
      <c r="B586" s="71"/>
      <c r="C586" s="71"/>
      <c r="D586" s="71"/>
      <c r="E586" s="71"/>
      <c r="F586" s="71"/>
      <c r="G586" s="71"/>
      <c r="H586" s="71"/>
      <c r="I586" s="71"/>
      <c r="J586" s="71"/>
      <c r="K586" s="71"/>
      <c r="L586" s="71"/>
      <c r="M586" s="71"/>
      <c r="N586" s="71"/>
      <c r="O586" s="71"/>
      <c r="P586" s="71"/>
      <c r="Q586" s="71"/>
      <c r="R586" s="71"/>
      <c r="S586" s="71"/>
      <c r="T586" s="105"/>
      <c r="U586" s="71"/>
      <c r="V586" s="71"/>
      <c r="W586" s="71"/>
      <c r="X586" s="71"/>
      <c r="Y586" s="71"/>
      <c r="Z586" s="71"/>
      <c r="AA586" s="71"/>
      <c r="AB586" s="71"/>
      <c r="AC586" s="71"/>
      <c r="AD586" s="71"/>
      <c r="AE586" s="71"/>
      <c r="AF586" s="71"/>
      <c r="AG586" s="71"/>
      <c r="AH586" s="71"/>
      <c r="AI586" s="71"/>
      <c r="AJ586" s="71"/>
      <c r="AK586" s="71"/>
    </row>
    <row r="587" spans="1:37" ht="12.75" customHeight="1" x14ac:dyDescent="0.2">
      <c r="A587" s="71"/>
      <c r="B587" s="71"/>
      <c r="C587" s="71"/>
      <c r="D587" s="71"/>
      <c r="E587" s="71"/>
      <c r="F587" s="71"/>
      <c r="G587" s="71"/>
      <c r="H587" s="71"/>
      <c r="I587" s="71"/>
      <c r="J587" s="71"/>
      <c r="K587" s="71"/>
      <c r="L587" s="71"/>
      <c r="M587" s="71"/>
      <c r="N587" s="71"/>
      <c r="O587" s="71"/>
      <c r="P587" s="71"/>
      <c r="Q587" s="71"/>
      <c r="R587" s="71"/>
      <c r="S587" s="71"/>
      <c r="T587" s="105"/>
      <c r="U587" s="71"/>
      <c r="V587" s="71"/>
      <c r="W587" s="71"/>
      <c r="X587" s="71"/>
      <c r="Y587" s="71"/>
      <c r="Z587" s="71"/>
      <c r="AA587" s="71"/>
      <c r="AB587" s="71"/>
      <c r="AC587" s="71"/>
      <c r="AD587" s="71"/>
      <c r="AE587" s="71"/>
      <c r="AF587" s="71"/>
      <c r="AG587" s="71"/>
      <c r="AH587" s="71"/>
      <c r="AI587" s="71"/>
      <c r="AJ587" s="71"/>
      <c r="AK587" s="71"/>
    </row>
    <row r="588" spans="1:37" ht="12.75" customHeight="1" x14ac:dyDescent="0.2">
      <c r="A588" s="71"/>
      <c r="B588" s="71"/>
      <c r="C588" s="71"/>
      <c r="D588" s="71"/>
      <c r="E588" s="71"/>
      <c r="F588" s="71"/>
      <c r="G588" s="71"/>
      <c r="H588" s="71"/>
      <c r="I588" s="71"/>
      <c r="J588" s="71"/>
      <c r="K588" s="71"/>
      <c r="L588" s="71"/>
      <c r="M588" s="71"/>
      <c r="N588" s="71"/>
      <c r="O588" s="71"/>
      <c r="P588" s="71"/>
      <c r="Q588" s="71"/>
      <c r="R588" s="71"/>
      <c r="S588" s="71"/>
      <c r="T588" s="105"/>
      <c r="U588" s="71"/>
      <c r="V588" s="71"/>
      <c r="W588" s="71"/>
      <c r="X588" s="71"/>
      <c r="Y588" s="71"/>
      <c r="Z588" s="71"/>
      <c r="AA588" s="71"/>
      <c r="AB588" s="71"/>
      <c r="AC588" s="71"/>
      <c r="AD588" s="71"/>
      <c r="AE588" s="71"/>
      <c r="AF588" s="71"/>
      <c r="AG588" s="71"/>
      <c r="AH588" s="71"/>
      <c r="AI588" s="71"/>
      <c r="AJ588" s="71"/>
      <c r="AK588" s="71"/>
    </row>
    <row r="589" spans="1:37" ht="12.75" customHeight="1" x14ac:dyDescent="0.2">
      <c r="A589" s="71"/>
      <c r="B589" s="71"/>
      <c r="C589" s="71"/>
      <c r="D589" s="71"/>
      <c r="E589" s="71"/>
      <c r="F589" s="71"/>
      <c r="G589" s="71"/>
      <c r="H589" s="71"/>
      <c r="I589" s="71"/>
      <c r="J589" s="71"/>
      <c r="K589" s="71"/>
      <c r="L589" s="71"/>
      <c r="M589" s="71"/>
      <c r="N589" s="71"/>
      <c r="O589" s="71"/>
      <c r="P589" s="71"/>
      <c r="Q589" s="71"/>
      <c r="R589" s="71"/>
      <c r="S589" s="71"/>
      <c r="T589" s="105"/>
      <c r="U589" s="71"/>
      <c r="V589" s="71"/>
      <c r="W589" s="71"/>
      <c r="X589" s="71"/>
      <c r="Y589" s="71"/>
      <c r="Z589" s="71"/>
      <c r="AA589" s="71"/>
      <c r="AB589" s="71"/>
      <c r="AC589" s="71"/>
      <c r="AD589" s="71"/>
      <c r="AE589" s="71"/>
      <c r="AF589" s="71"/>
      <c r="AG589" s="71"/>
      <c r="AH589" s="71"/>
      <c r="AI589" s="71"/>
      <c r="AJ589" s="71"/>
      <c r="AK589" s="71"/>
    </row>
    <row r="590" spans="1:37" ht="12.75" customHeight="1" x14ac:dyDescent="0.2">
      <c r="A590" s="71"/>
      <c r="B590" s="71"/>
      <c r="C590" s="71"/>
      <c r="D590" s="71"/>
      <c r="E590" s="71"/>
      <c r="F590" s="71"/>
      <c r="G590" s="71"/>
      <c r="H590" s="71"/>
      <c r="I590" s="71"/>
      <c r="J590" s="71"/>
      <c r="K590" s="71"/>
      <c r="L590" s="71"/>
      <c r="M590" s="71"/>
      <c r="N590" s="71"/>
      <c r="O590" s="71"/>
      <c r="P590" s="71"/>
      <c r="Q590" s="71"/>
      <c r="R590" s="71"/>
      <c r="S590" s="71"/>
      <c r="T590" s="105"/>
      <c r="U590" s="71"/>
      <c r="V590" s="71"/>
      <c r="W590" s="71"/>
      <c r="X590" s="71"/>
      <c r="Y590" s="71"/>
      <c r="Z590" s="71"/>
      <c r="AA590" s="71"/>
      <c r="AB590" s="71"/>
      <c r="AC590" s="71"/>
      <c r="AD590" s="71"/>
      <c r="AE590" s="71"/>
      <c r="AF590" s="71"/>
      <c r="AG590" s="71"/>
      <c r="AH590" s="71"/>
      <c r="AI590" s="71"/>
      <c r="AJ590" s="71"/>
      <c r="AK590" s="71"/>
    </row>
    <row r="591" spans="1:37" ht="12.75" customHeight="1" x14ac:dyDescent="0.2">
      <c r="A591" s="71"/>
      <c r="B591" s="71"/>
      <c r="C591" s="71"/>
      <c r="D591" s="71"/>
      <c r="E591" s="71"/>
      <c r="F591" s="71"/>
      <c r="G591" s="71"/>
      <c r="H591" s="71"/>
      <c r="I591" s="71"/>
      <c r="J591" s="71"/>
      <c r="K591" s="71"/>
      <c r="L591" s="71"/>
      <c r="M591" s="71"/>
      <c r="N591" s="71"/>
      <c r="O591" s="71"/>
      <c r="P591" s="71"/>
      <c r="Q591" s="71"/>
      <c r="R591" s="71"/>
      <c r="S591" s="71"/>
      <c r="T591" s="105"/>
      <c r="U591" s="71"/>
      <c r="V591" s="71"/>
      <c r="W591" s="71"/>
      <c r="X591" s="71"/>
      <c r="Y591" s="71"/>
      <c r="Z591" s="71"/>
      <c r="AA591" s="71"/>
      <c r="AB591" s="71"/>
      <c r="AC591" s="71"/>
      <c r="AD591" s="71"/>
      <c r="AE591" s="71"/>
      <c r="AF591" s="71"/>
      <c r="AG591" s="71"/>
      <c r="AH591" s="71"/>
      <c r="AI591" s="71"/>
      <c r="AJ591" s="71"/>
      <c r="AK591" s="71"/>
    </row>
    <row r="592" spans="1:37" ht="12.75" customHeight="1" x14ac:dyDescent="0.2">
      <c r="A592" s="71"/>
      <c r="B592" s="71"/>
      <c r="C592" s="71"/>
      <c r="D592" s="71"/>
      <c r="E592" s="71"/>
      <c r="F592" s="71"/>
      <c r="G592" s="71"/>
      <c r="H592" s="71"/>
      <c r="I592" s="71"/>
      <c r="J592" s="71"/>
      <c r="K592" s="71"/>
      <c r="L592" s="71"/>
      <c r="M592" s="71"/>
      <c r="N592" s="71"/>
      <c r="O592" s="71"/>
      <c r="P592" s="71"/>
      <c r="Q592" s="71"/>
      <c r="R592" s="71"/>
      <c r="S592" s="71"/>
      <c r="T592" s="105"/>
      <c r="U592" s="71"/>
      <c r="V592" s="71"/>
      <c r="W592" s="71"/>
      <c r="X592" s="71"/>
      <c r="Y592" s="71"/>
      <c r="Z592" s="71"/>
      <c r="AA592" s="71"/>
      <c r="AB592" s="71"/>
      <c r="AC592" s="71"/>
      <c r="AD592" s="71"/>
      <c r="AE592" s="71"/>
      <c r="AF592" s="71"/>
      <c r="AG592" s="71"/>
      <c r="AH592" s="71"/>
      <c r="AI592" s="71"/>
      <c r="AJ592" s="71"/>
      <c r="AK592" s="71"/>
    </row>
    <row r="593" spans="1:37" ht="12.75" customHeight="1" x14ac:dyDescent="0.2">
      <c r="A593" s="71"/>
      <c r="B593" s="71"/>
      <c r="C593" s="71"/>
      <c r="D593" s="71"/>
      <c r="E593" s="71"/>
      <c r="F593" s="71"/>
      <c r="G593" s="71"/>
      <c r="H593" s="71"/>
      <c r="I593" s="71"/>
      <c r="J593" s="71"/>
      <c r="K593" s="71"/>
      <c r="L593" s="71"/>
      <c r="M593" s="71"/>
      <c r="N593" s="71"/>
      <c r="O593" s="71"/>
      <c r="P593" s="71"/>
      <c r="Q593" s="71"/>
      <c r="R593" s="71"/>
      <c r="S593" s="71"/>
      <c r="T593" s="105"/>
      <c r="U593" s="71"/>
      <c r="V593" s="71"/>
      <c r="W593" s="71"/>
      <c r="X593" s="71"/>
      <c r="Y593" s="71"/>
      <c r="Z593" s="71"/>
      <c r="AA593" s="71"/>
      <c r="AB593" s="71"/>
      <c r="AC593" s="71"/>
      <c r="AD593" s="71"/>
      <c r="AE593" s="71"/>
      <c r="AF593" s="71"/>
      <c r="AG593" s="71"/>
      <c r="AH593" s="71"/>
      <c r="AI593" s="71"/>
      <c r="AJ593" s="71"/>
      <c r="AK593" s="71"/>
    </row>
    <row r="594" spans="1:37" ht="12.75" customHeight="1" x14ac:dyDescent="0.2">
      <c r="A594" s="71"/>
      <c r="B594" s="71"/>
      <c r="C594" s="71"/>
      <c r="D594" s="71"/>
      <c r="E594" s="71"/>
      <c r="F594" s="71"/>
      <c r="G594" s="71"/>
      <c r="H594" s="71"/>
      <c r="I594" s="71"/>
      <c r="J594" s="71"/>
      <c r="K594" s="71"/>
      <c r="L594" s="71"/>
      <c r="M594" s="71"/>
      <c r="N594" s="71"/>
      <c r="O594" s="71"/>
      <c r="P594" s="71"/>
      <c r="Q594" s="71"/>
      <c r="R594" s="71"/>
      <c r="S594" s="71"/>
      <c r="T594" s="105"/>
      <c r="U594" s="71"/>
      <c r="V594" s="71"/>
      <c r="W594" s="71"/>
      <c r="X594" s="71"/>
      <c r="Y594" s="71"/>
      <c r="Z594" s="71"/>
      <c r="AA594" s="71"/>
      <c r="AB594" s="71"/>
      <c r="AC594" s="71"/>
      <c r="AD594" s="71"/>
      <c r="AE594" s="71"/>
      <c r="AF594" s="71"/>
      <c r="AG594" s="71"/>
      <c r="AH594" s="71"/>
      <c r="AI594" s="71"/>
      <c r="AJ594" s="71"/>
      <c r="AK594" s="71"/>
    </row>
    <row r="595" spans="1:37" ht="12.75" customHeight="1" x14ac:dyDescent="0.2">
      <c r="A595" s="71"/>
      <c r="B595" s="71"/>
      <c r="C595" s="71"/>
      <c r="D595" s="71"/>
      <c r="E595" s="71"/>
      <c r="F595" s="71"/>
      <c r="G595" s="71"/>
      <c r="H595" s="71"/>
      <c r="I595" s="71"/>
      <c r="J595" s="71"/>
      <c r="K595" s="71"/>
      <c r="L595" s="71"/>
      <c r="M595" s="71"/>
      <c r="N595" s="71"/>
      <c r="O595" s="71"/>
      <c r="P595" s="71"/>
      <c r="Q595" s="71"/>
      <c r="R595" s="71"/>
      <c r="S595" s="71"/>
      <c r="T595" s="105"/>
      <c r="U595" s="71"/>
      <c r="V595" s="71"/>
      <c r="W595" s="71"/>
      <c r="X595" s="71"/>
      <c r="Y595" s="71"/>
      <c r="Z595" s="71"/>
      <c r="AA595" s="71"/>
      <c r="AB595" s="71"/>
      <c r="AC595" s="71"/>
      <c r="AD595" s="71"/>
      <c r="AE595" s="71"/>
      <c r="AF595" s="71"/>
      <c r="AG595" s="71"/>
      <c r="AH595" s="71"/>
      <c r="AI595" s="71"/>
      <c r="AJ595" s="71"/>
      <c r="AK595" s="71"/>
    </row>
    <row r="596" spans="1:37" ht="12.75" customHeight="1" x14ac:dyDescent="0.2">
      <c r="A596" s="71"/>
      <c r="B596" s="71"/>
      <c r="C596" s="71"/>
      <c r="D596" s="71"/>
      <c r="E596" s="71"/>
      <c r="F596" s="71"/>
      <c r="G596" s="71"/>
      <c r="H596" s="71"/>
      <c r="I596" s="71"/>
      <c r="J596" s="71"/>
      <c r="K596" s="71"/>
      <c r="L596" s="71"/>
      <c r="M596" s="71"/>
      <c r="N596" s="71"/>
      <c r="O596" s="71"/>
      <c r="P596" s="71"/>
      <c r="Q596" s="71"/>
      <c r="R596" s="71"/>
      <c r="S596" s="71"/>
      <c r="T596" s="105"/>
      <c r="U596" s="71"/>
      <c r="V596" s="71"/>
      <c r="W596" s="71"/>
      <c r="X596" s="71"/>
      <c r="Y596" s="71"/>
      <c r="Z596" s="71"/>
      <c r="AA596" s="71"/>
      <c r="AB596" s="71"/>
      <c r="AC596" s="71"/>
      <c r="AD596" s="71"/>
      <c r="AE596" s="71"/>
      <c r="AF596" s="71"/>
      <c r="AG596" s="71"/>
      <c r="AH596" s="71"/>
      <c r="AI596" s="71"/>
      <c r="AJ596" s="71"/>
      <c r="AK596" s="71"/>
    </row>
    <row r="597" spans="1:37" ht="12.75" customHeight="1" x14ac:dyDescent="0.2">
      <c r="A597" s="71"/>
      <c r="B597" s="71"/>
      <c r="C597" s="71"/>
      <c r="D597" s="71"/>
      <c r="E597" s="71"/>
      <c r="F597" s="71"/>
      <c r="G597" s="71"/>
      <c r="H597" s="71"/>
      <c r="I597" s="71"/>
      <c r="J597" s="71"/>
      <c r="K597" s="71"/>
      <c r="L597" s="71"/>
      <c r="M597" s="71"/>
      <c r="N597" s="71"/>
      <c r="O597" s="71"/>
      <c r="P597" s="71"/>
      <c r="Q597" s="71"/>
      <c r="R597" s="71"/>
      <c r="S597" s="71"/>
      <c r="T597" s="105"/>
      <c r="U597" s="71"/>
      <c r="V597" s="71"/>
      <c r="W597" s="71"/>
      <c r="X597" s="71"/>
      <c r="Y597" s="71"/>
      <c r="Z597" s="71"/>
      <c r="AA597" s="71"/>
      <c r="AB597" s="71"/>
      <c r="AC597" s="71"/>
      <c r="AD597" s="71"/>
      <c r="AE597" s="71"/>
      <c r="AF597" s="71"/>
      <c r="AG597" s="71"/>
      <c r="AH597" s="71"/>
      <c r="AI597" s="71"/>
      <c r="AJ597" s="71"/>
      <c r="AK597" s="71"/>
    </row>
    <row r="598" spans="1:37" ht="12.75" customHeight="1" x14ac:dyDescent="0.2">
      <c r="A598" s="71"/>
      <c r="B598" s="71"/>
      <c r="C598" s="71"/>
      <c r="D598" s="71"/>
      <c r="E598" s="71"/>
      <c r="F598" s="71"/>
      <c r="G598" s="71"/>
      <c r="H598" s="71"/>
      <c r="I598" s="71"/>
      <c r="J598" s="71"/>
      <c r="K598" s="71"/>
      <c r="L598" s="71"/>
      <c r="M598" s="71"/>
      <c r="N598" s="71"/>
      <c r="O598" s="71"/>
      <c r="P598" s="71"/>
      <c r="Q598" s="71"/>
      <c r="R598" s="71"/>
      <c r="S598" s="71"/>
      <c r="T598" s="105"/>
      <c r="U598" s="71"/>
      <c r="V598" s="71"/>
      <c r="W598" s="71"/>
      <c r="X598" s="71"/>
      <c r="Y598" s="71"/>
      <c r="Z598" s="71"/>
      <c r="AA598" s="71"/>
      <c r="AB598" s="71"/>
      <c r="AC598" s="71"/>
      <c r="AD598" s="71"/>
      <c r="AE598" s="71"/>
      <c r="AF598" s="71"/>
      <c r="AG598" s="71"/>
      <c r="AH598" s="71"/>
      <c r="AI598" s="71"/>
      <c r="AJ598" s="71"/>
      <c r="AK598" s="71"/>
    </row>
    <row r="599" spans="1:37" ht="12.75" customHeight="1" x14ac:dyDescent="0.2">
      <c r="A599" s="71"/>
      <c r="B599" s="71"/>
      <c r="C599" s="71"/>
      <c r="D599" s="71"/>
      <c r="E599" s="71"/>
      <c r="F599" s="71"/>
      <c r="G599" s="71"/>
      <c r="H599" s="71"/>
      <c r="I599" s="71"/>
      <c r="J599" s="71"/>
      <c r="K599" s="71"/>
      <c r="L599" s="71"/>
      <c r="M599" s="71"/>
      <c r="N599" s="71"/>
      <c r="O599" s="71"/>
      <c r="P599" s="71"/>
      <c r="Q599" s="71"/>
      <c r="R599" s="71"/>
      <c r="S599" s="71"/>
      <c r="T599" s="105"/>
      <c r="U599" s="71"/>
      <c r="V599" s="71"/>
      <c r="W599" s="71"/>
      <c r="X599" s="71"/>
      <c r="Y599" s="71"/>
      <c r="Z599" s="71"/>
      <c r="AA599" s="71"/>
      <c r="AB599" s="71"/>
      <c r="AC599" s="71"/>
      <c r="AD599" s="71"/>
      <c r="AE599" s="71"/>
      <c r="AF599" s="71"/>
      <c r="AG599" s="71"/>
      <c r="AH599" s="71"/>
      <c r="AI599" s="71"/>
      <c r="AJ599" s="71"/>
      <c r="AK599" s="71"/>
    </row>
    <row r="600" spans="1:37" ht="12.75" customHeight="1" x14ac:dyDescent="0.2">
      <c r="A600" s="71"/>
      <c r="B600" s="71"/>
      <c r="C600" s="71"/>
      <c r="D600" s="71"/>
      <c r="E600" s="71"/>
      <c r="F600" s="71"/>
      <c r="G600" s="71"/>
      <c r="H600" s="71"/>
      <c r="I600" s="71"/>
      <c r="J600" s="71"/>
      <c r="K600" s="71"/>
      <c r="L600" s="71"/>
      <c r="M600" s="71"/>
      <c r="N600" s="71"/>
      <c r="O600" s="71"/>
      <c r="P600" s="71"/>
      <c r="Q600" s="71"/>
      <c r="R600" s="71"/>
      <c r="S600" s="71"/>
      <c r="T600" s="105"/>
      <c r="U600" s="71"/>
      <c r="V600" s="71"/>
      <c r="W600" s="71"/>
      <c r="X600" s="71"/>
      <c r="Y600" s="71"/>
      <c r="Z600" s="71"/>
      <c r="AA600" s="71"/>
      <c r="AB600" s="71"/>
      <c r="AC600" s="71"/>
      <c r="AD600" s="71"/>
      <c r="AE600" s="71"/>
      <c r="AF600" s="71"/>
      <c r="AG600" s="71"/>
      <c r="AH600" s="71"/>
      <c r="AI600" s="71"/>
      <c r="AJ600" s="71"/>
      <c r="AK600" s="71"/>
    </row>
    <row r="601" spans="1:37" ht="12.75" customHeight="1" x14ac:dyDescent="0.2">
      <c r="A601" s="71"/>
      <c r="B601" s="71"/>
      <c r="C601" s="71"/>
      <c r="D601" s="71"/>
      <c r="E601" s="71"/>
      <c r="F601" s="71"/>
      <c r="G601" s="71"/>
      <c r="H601" s="71"/>
      <c r="I601" s="71"/>
      <c r="J601" s="71"/>
      <c r="K601" s="71"/>
      <c r="L601" s="71"/>
      <c r="M601" s="71"/>
      <c r="N601" s="71"/>
      <c r="O601" s="71"/>
      <c r="P601" s="71"/>
      <c r="Q601" s="71"/>
      <c r="R601" s="71"/>
      <c r="S601" s="71"/>
      <c r="T601" s="105"/>
      <c r="U601" s="71"/>
      <c r="V601" s="71"/>
      <c r="W601" s="71"/>
      <c r="X601" s="71"/>
      <c r="Y601" s="71"/>
      <c r="Z601" s="71"/>
      <c r="AA601" s="71"/>
      <c r="AB601" s="71"/>
      <c r="AC601" s="71"/>
      <c r="AD601" s="71"/>
      <c r="AE601" s="71"/>
      <c r="AF601" s="71"/>
      <c r="AG601" s="71"/>
      <c r="AH601" s="71"/>
      <c r="AI601" s="71"/>
      <c r="AJ601" s="71"/>
      <c r="AK601" s="71"/>
    </row>
    <row r="602" spans="1:37" ht="12.75" customHeight="1" x14ac:dyDescent="0.2">
      <c r="A602" s="71"/>
      <c r="B602" s="71"/>
      <c r="C602" s="71"/>
      <c r="D602" s="71"/>
      <c r="E602" s="71"/>
      <c r="F602" s="71"/>
      <c r="G602" s="71"/>
      <c r="H602" s="71"/>
      <c r="I602" s="71"/>
      <c r="J602" s="71"/>
      <c r="K602" s="71"/>
      <c r="L602" s="71"/>
      <c r="M602" s="71"/>
      <c r="N602" s="71"/>
      <c r="O602" s="71"/>
      <c r="P602" s="71"/>
      <c r="Q602" s="71"/>
      <c r="R602" s="71"/>
      <c r="S602" s="71"/>
      <c r="T602" s="105"/>
      <c r="U602" s="71"/>
      <c r="V602" s="71"/>
      <c r="W602" s="71"/>
      <c r="X602" s="71"/>
      <c r="Y602" s="71"/>
      <c r="Z602" s="71"/>
      <c r="AA602" s="71"/>
      <c r="AB602" s="71"/>
      <c r="AC602" s="71"/>
      <c r="AD602" s="71"/>
      <c r="AE602" s="71"/>
      <c r="AF602" s="71"/>
      <c r="AG602" s="71"/>
      <c r="AH602" s="71"/>
      <c r="AI602" s="71"/>
      <c r="AJ602" s="71"/>
      <c r="AK602" s="71"/>
    </row>
    <row r="603" spans="1:37" ht="12.75" customHeight="1" x14ac:dyDescent="0.2">
      <c r="A603" s="71"/>
      <c r="B603" s="71"/>
      <c r="C603" s="71"/>
      <c r="D603" s="71"/>
      <c r="E603" s="71"/>
      <c r="F603" s="71"/>
      <c r="G603" s="71"/>
      <c r="H603" s="71"/>
      <c r="I603" s="71"/>
      <c r="J603" s="71"/>
      <c r="K603" s="71"/>
      <c r="L603" s="71"/>
      <c r="M603" s="71"/>
      <c r="N603" s="71"/>
      <c r="O603" s="71"/>
      <c r="P603" s="71"/>
      <c r="Q603" s="71"/>
      <c r="R603" s="71"/>
      <c r="S603" s="71"/>
      <c r="T603" s="105"/>
      <c r="U603" s="71"/>
      <c r="V603" s="71"/>
      <c r="W603" s="71"/>
      <c r="X603" s="71"/>
      <c r="Y603" s="71"/>
      <c r="Z603" s="71"/>
      <c r="AA603" s="71"/>
      <c r="AB603" s="71"/>
      <c r="AC603" s="71"/>
      <c r="AD603" s="71"/>
      <c r="AE603" s="71"/>
      <c r="AF603" s="71"/>
      <c r="AG603" s="71"/>
      <c r="AH603" s="71"/>
      <c r="AI603" s="71"/>
      <c r="AJ603" s="71"/>
      <c r="AK603" s="71"/>
    </row>
    <row r="604" spans="1:37" ht="12.75" customHeight="1" x14ac:dyDescent="0.2">
      <c r="A604" s="71"/>
      <c r="B604" s="71"/>
      <c r="C604" s="71"/>
      <c r="D604" s="71"/>
      <c r="E604" s="71"/>
      <c r="F604" s="71"/>
      <c r="G604" s="71"/>
      <c r="H604" s="71"/>
      <c r="I604" s="71"/>
      <c r="J604" s="71"/>
      <c r="K604" s="71"/>
      <c r="L604" s="71"/>
      <c r="M604" s="71"/>
      <c r="N604" s="71"/>
      <c r="O604" s="71"/>
      <c r="P604" s="71"/>
      <c r="Q604" s="71"/>
      <c r="R604" s="71"/>
      <c r="S604" s="71"/>
      <c r="T604" s="105"/>
      <c r="U604" s="71"/>
      <c r="V604" s="71"/>
      <c r="W604" s="71"/>
      <c r="X604" s="71"/>
      <c r="Y604" s="71"/>
      <c r="Z604" s="71"/>
      <c r="AA604" s="71"/>
      <c r="AB604" s="71"/>
      <c r="AC604" s="71"/>
      <c r="AD604" s="71"/>
      <c r="AE604" s="71"/>
      <c r="AF604" s="71"/>
      <c r="AG604" s="71"/>
      <c r="AH604" s="71"/>
      <c r="AI604" s="71"/>
      <c r="AJ604" s="71"/>
      <c r="AK604" s="71"/>
    </row>
    <row r="605" spans="1:37" ht="12.75" customHeight="1" x14ac:dyDescent="0.2">
      <c r="A605" s="71"/>
      <c r="B605" s="71"/>
      <c r="C605" s="71"/>
      <c r="D605" s="71"/>
      <c r="E605" s="71"/>
      <c r="F605" s="71"/>
      <c r="G605" s="71"/>
      <c r="H605" s="71"/>
      <c r="I605" s="71"/>
      <c r="J605" s="71"/>
      <c r="K605" s="71"/>
      <c r="L605" s="71"/>
      <c r="M605" s="71"/>
      <c r="N605" s="71"/>
      <c r="O605" s="71"/>
      <c r="P605" s="71"/>
      <c r="Q605" s="71"/>
      <c r="R605" s="71"/>
      <c r="S605" s="71"/>
      <c r="T605" s="105"/>
      <c r="U605" s="71"/>
      <c r="V605" s="71"/>
      <c r="W605" s="71"/>
      <c r="X605" s="71"/>
      <c r="Y605" s="71"/>
      <c r="Z605" s="71"/>
      <c r="AA605" s="71"/>
      <c r="AB605" s="71"/>
      <c r="AC605" s="71"/>
      <c r="AD605" s="71"/>
      <c r="AE605" s="71"/>
      <c r="AF605" s="71"/>
      <c r="AG605" s="71"/>
      <c r="AH605" s="71"/>
      <c r="AI605" s="71"/>
      <c r="AJ605" s="71"/>
      <c r="AK605" s="71"/>
    </row>
    <row r="606" spans="1:37" ht="12.75" customHeight="1" x14ac:dyDescent="0.2">
      <c r="A606" s="71"/>
      <c r="B606" s="71"/>
      <c r="C606" s="71"/>
      <c r="D606" s="71"/>
      <c r="E606" s="71"/>
      <c r="F606" s="71"/>
      <c r="G606" s="71"/>
      <c r="H606" s="71"/>
      <c r="I606" s="71"/>
      <c r="J606" s="71"/>
      <c r="K606" s="71"/>
      <c r="L606" s="71"/>
      <c r="M606" s="71"/>
      <c r="N606" s="71"/>
      <c r="O606" s="71"/>
      <c r="P606" s="71"/>
      <c r="Q606" s="71"/>
      <c r="R606" s="71"/>
      <c r="S606" s="71"/>
      <c r="T606" s="105"/>
      <c r="U606" s="71"/>
      <c r="V606" s="71"/>
      <c r="W606" s="71"/>
      <c r="X606" s="71"/>
      <c r="Y606" s="71"/>
      <c r="Z606" s="71"/>
      <c r="AA606" s="71"/>
      <c r="AB606" s="71"/>
      <c r="AC606" s="71"/>
      <c r="AD606" s="71"/>
      <c r="AE606" s="71"/>
      <c r="AF606" s="71"/>
      <c r="AG606" s="71"/>
      <c r="AH606" s="71"/>
      <c r="AI606" s="71"/>
      <c r="AJ606" s="71"/>
      <c r="AK606" s="71"/>
    </row>
    <row r="607" spans="1:37" ht="12.75" customHeight="1" x14ac:dyDescent="0.2">
      <c r="A607" s="71"/>
      <c r="B607" s="71"/>
      <c r="C607" s="71"/>
      <c r="D607" s="71"/>
      <c r="E607" s="71"/>
      <c r="F607" s="71"/>
      <c r="G607" s="71"/>
      <c r="H607" s="71"/>
      <c r="I607" s="71"/>
      <c r="J607" s="71"/>
      <c r="K607" s="71"/>
      <c r="L607" s="71"/>
      <c r="M607" s="71"/>
      <c r="N607" s="71"/>
      <c r="O607" s="71"/>
      <c r="P607" s="71"/>
      <c r="Q607" s="71"/>
      <c r="R607" s="71"/>
      <c r="S607" s="71"/>
      <c r="T607" s="105"/>
      <c r="U607" s="71"/>
      <c r="V607" s="71"/>
      <c r="W607" s="71"/>
      <c r="X607" s="71"/>
      <c r="Y607" s="71"/>
      <c r="Z607" s="71"/>
      <c r="AA607" s="71"/>
      <c r="AB607" s="71"/>
      <c r="AC607" s="71"/>
      <c r="AD607" s="71"/>
      <c r="AE607" s="71"/>
      <c r="AF607" s="71"/>
      <c r="AG607" s="71"/>
      <c r="AH607" s="71"/>
      <c r="AI607" s="71"/>
      <c r="AJ607" s="71"/>
      <c r="AK607" s="71"/>
    </row>
    <row r="608" spans="1:37" ht="12.75" customHeight="1" x14ac:dyDescent="0.2">
      <c r="A608" s="71"/>
      <c r="B608" s="71"/>
      <c r="C608" s="71"/>
      <c r="D608" s="71"/>
      <c r="E608" s="71"/>
      <c r="F608" s="71"/>
      <c r="G608" s="71"/>
      <c r="H608" s="71"/>
      <c r="I608" s="71"/>
      <c r="J608" s="71"/>
      <c r="K608" s="71"/>
      <c r="L608" s="71"/>
      <c r="M608" s="71"/>
      <c r="N608" s="71"/>
      <c r="O608" s="71"/>
      <c r="P608" s="71"/>
      <c r="Q608" s="71"/>
      <c r="R608" s="71"/>
      <c r="S608" s="71"/>
      <c r="T608" s="105"/>
      <c r="U608" s="71"/>
      <c r="V608" s="71"/>
      <c r="W608" s="71"/>
      <c r="X608" s="71"/>
      <c r="Y608" s="71"/>
      <c r="Z608" s="71"/>
      <c r="AA608" s="71"/>
      <c r="AB608" s="71"/>
      <c r="AC608" s="71"/>
      <c r="AD608" s="71"/>
      <c r="AE608" s="71"/>
      <c r="AF608" s="71"/>
      <c r="AG608" s="71"/>
      <c r="AH608" s="71"/>
      <c r="AI608" s="71"/>
      <c r="AJ608" s="71"/>
      <c r="AK608" s="71"/>
    </row>
    <row r="609" spans="1:37" ht="12.75" customHeight="1" x14ac:dyDescent="0.2">
      <c r="A609" s="71"/>
      <c r="B609" s="71"/>
      <c r="C609" s="71"/>
      <c r="D609" s="71"/>
      <c r="E609" s="71"/>
      <c r="F609" s="71"/>
      <c r="G609" s="71"/>
      <c r="H609" s="71"/>
      <c r="I609" s="71"/>
      <c r="J609" s="71"/>
      <c r="K609" s="71"/>
      <c r="L609" s="71"/>
      <c r="M609" s="71"/>
      <c r="N609" s="71"/>
      <c r="O609" s="71"/>
      <c r="P609" s="71"/>
      <c r="Q609" s="71"/>
      <c r="R609" s="71"/>
      <c r="S609" s="71"/>
      <c r="T609" s="105"/>
      <c r="U609" s="71"/>
      <c r="V609" s="71"/>
      <c r="W609" s="71"/>
      <c r="X609" s="71"/>
      <c r="Y609" s="71"/>
      <c r="Z609" s="71"/>
      <c r="AA609" s="71"/>
      <c r="AB609" s="71"/>
      <c r="AC609" s="71"/>
      <c r="AD609" s="71"/>
      <c r="AE609" s="71"/>
      <c r="AF609" s="71"/>
      <c r="AG609" s="71"/>
      <c r="AH609" s="71"/>
      <c r="AI609" s="71"/>
      <c r="AJ609" s="71"/>
      <c r="AK609" s="71"/>
    </row>
    <row r="610" spans="1:37" ht="12.75" customHeight="1" x14ac:dyDescent="0.2">
      <c r="A610" s="71"/>
      <c r="B610" s="71"/>
      <c r="C610" s="71"/>
      <c r="D610" s="71"/>
      <c r="E610" s="71"/>
      <c r="F610" s="71"/>
      <c r="G610" s="71"/>
      <c r="H610" s="71"/>
      <c r="I610" s="71"/>
      <c r="J610" s="71"/>
      <c r="K610" s="71"/>
      <c r="L610" s="71"/>
      <c r="M610" s="71"/>
      <c r="N610" s="71"/>
      <c r="O610" s="71"/>
      <c r="P610" s="71"/>
      <c r="Q610" s="71"/>
      <c r="R610" s="71"/>
      <c r="S610" s="71"/>
      <c r="T610" s="105"/>
      <c r="U610" s="71"/>
      <c r="V610" s="71"/>
      <c r="W610" s="71"/>
      <c r="X610" s="71"/>
      <c r="Y610" s="71"/>
      <c r="Z610" s="71"/>
      <c r="AA610" s="71"/>
      <c r="AB610" s="71"/>
      <c r="AC610" s="71"/>
      <c r="AD610" s="71"/>
      <c r="AE610" s="71"/>
      <c r="AF610" s="71"/>
      <c r="AG610" s="71"/>
      <c r="AH610" s="71"/>
      <c r="AI610" s="71"/>
      <c r="AJ610" s="71"/>
      <c r="AK610" s="71"/>
    </row>
    <row r="611" spans="1:37" ht="12.75" customHeight="1" x14ac:dyDescent="0.2">
      <c r="A611" s="71"/>
      <c r="B611" s="71"/>
      <c r="C611" s="71"/>
      <c r="D611" s="71"/>
      <c r="E611" s="71"/>
      <c r="F611" s="71"/>
      <c r="G611" s="71"/>
      <c r="H611" s="71"/>
      <c r="I611" s="71"/>
      <c r="J611" s="71"/>
      <c r="K611" s="71"/>
      <c r="L611" s="71"/>
      <c r="M611" s="71"/>
      <c r="N611" s="71"/>
      <c r="O611" s="71"/>
      <c r="P611" s="71"/>
      <c r="Q611" s="71"/>
      <c r="R611" s="71"/>
      <c r="S611" s="71"/>
      <c r="T611" s="105"/>
      <c r="U611" s="71"/>
      <c r="V611" s="71"/>
      <c r="W611" s="71"/>
      <c r="X611" s="71"/>
      <c r="Y611" s="71"/>
      <c r="Z611" s="71"/>
      <c r="AA611" s="71"/>
      <c r="AB611" s="71"/>
      <c r="AC611" s="71"/>
      <c r="AD611" s="71"/>
      <c r="AE611" s="71"/>
      <c r="AF611" s="71"/>
      <c r="AG611" s="71"/>
      <c r="AH611" s="71"/>
      <c r="AI611" s="71"/>
      <c r="AJ611" s="71"/>
      <c r="AK611" s="71"/>
    </row>
    <row r="612" spans="1:37" ht="12.75" customHeight="1" x14ac:dyDescent="0.2">
      <c r="A612" s="71"/>
      <c r="B612" s="71"/>
      <c r="C612" s="71"/>
      <c r="D612" s="71"/>
      <c r="E612" s="71"/>
      <c r="F612" s="71"/>
      <c r="G612" s="71"/>
      <c r="H612" s="71"/>
      <c r="I612" s="71"/>
      <c r="J612" s="71"/>
      <c r="K612" s="71"/>
      <c r="L612" s="71"/>
      <c r="M612" s="71"/>
      <c r="N612" s="71"/>
      <c r="O612" s="71"/>
      <c r="P612" s="71"/>
      <c r="Q612" s="71"/>
      <c r="R612" s="71"/>
      <c r="S612" s="71"/>
      <c r="T612" s="105"/>
      <c r="U612" s="71"/>
      <c r="V612" s="71"/>
      <c r="W612" s="71"/>
      <c r="X612" s="71"/>
      <c r="Y612" s="71"/>
      <c r="Z612" s="71"/>
      <c r="AA612" s="71"/>
      <c r="AB612" s="71"/>
      <c r="AC612" s="71"/>
      <c r="AD612" s="71"/>
      <c r="AE612" s="71"/>
      <c r="AF612" s="71"/>
      <c r="AG612" s="71"/>
      <c r="AH612" s="71"/>
      <c r="AI612" s="71"/>
      <c r="AJ612" s="71"/>
      <c r="AK612" s="71"/>
    </row>
    <row r="613" spans="1:37" ht="12.75" customHeight="1" x14ac:dyDescent="0.2">
      <c r="A613" s="71"/>
      <c r="B613" s="71"/>
      <c r="C613" s="71"/>
      <c r="D613" s="71"/>
      <c r="E613" s="71"/>
      <c r="F613" s="71"/>
      <c r="G613" s="71"/>
      <c r="H613" s="71"/>
      <c r="I613" s="71"/>
      <c r="J613" s="71"/>
      <c r="K613" s="71"/>
      <c r="L613" s="71"/>
      <c r="M613" s="71"/>
      <c r="N613" s="71"/>
      <c r="O613" s="71"/>
      <c r="P613" s="71"/>
      <c r="Q613" s="71"/>
      <c r="R613" s="71"/>
      <c r="S613" s="71"/>
      <c r="T613" s="105"/>
      <c r="U613" s="71"/>
      <c r="V613" s="71"/>
      <c r="W613" s="71"/>
      <c r="X613" s="71"/>
      <c r="Y613" s="71"/>
      <c r="Z613" s="71"/>
      <c r="AA613" s="71"/>
      <c r="AB613" s="71"/>
      <c r="AC613" s="71"/>
      <c r="AD613" s="71"/>
      <c r="AE613" s="71"/>
      <c r="AF613" s="71"/>
      <c r="AG613" s="71"/>
      <c r="AH613" s="71"/>
      <c r="AI613" s="71"/>
      <c r="AJ613" s="71"/>
      <c r="AK613" s="71"/>
    </row>
    <row r="614" spans="1:37" ht="12.75" customHeight="1" x14ac:dyDescent="0.2">
      <c r="A614" s="71"/>
      <c r="B614" s="71"/>
      <c r="C614" s="71"/>
      <c r="D614" s="71"/>
      <c r="E614" s="71"/>
      <c r="F614" s="71"/>
      <c r="G614" s="71"/>
      <c r="H614" s="71"/>
      <c r="I614" s="71"/>
      <c r="J614" s="71"/>
      <c r="K614" s="71"/>
      <c r="L614" s="71"/>
      <c r="M614" s="71"/>
      <c r="N614" s="71"/>
      <c r="O614" s="71"/>
      <c r="P614" s="71"/>
      <c r="Q614" s="71"/>
      <c r="R614" s="71"/>
      <c r="S614" s="71"/>
      <c r="T614" s="105"/>
      <c r="U614" s="71"/>
      <c r="V614" s="71"/>
      <c r="W614" s="71"/>
      <c r="X614" s="71"/>
      <c r="Y614" s="71"/>
      <c r="Z614" s="71"/>
      <c r="AA614" s="71"/>
      <c r="AB614" s="71"/>
      <c r="AC614" s="71"/>
      <c r="AD614" s="71"/>
      <c r="AE614" s="71"/>
      <c r="AF614" s="71"/>
      <c r="AG614" s="71"/>
      <c r="AH614" s="71"/>
      <c r="AI614" s="71"/>
      <c r="AJ614" s="71"/>
      <c r="AK614" s="71"/>
    </row>
    <row r="615" spans="1:37" ht="12.75" customHeight="1" x14ac:dyDescent="0.2">
      <c r="A615" s="71"/>
      <c r="B615" s="71"/>
      <c r="C615" s="71"/>
      <c r="D615" s="71"/>
      <c r="E615" s="71"/>
      <c r="F615" s="71"/>
      <c r="G615" s="71"/>
      <c r="H615" s="71"/>
      <c r="I615" s="71"/>
      <c r="J615" s="71"/>
      <c r="K615" s="71"/>
      <c r="L615" s="71"/>
      <c r="M615" s="71"/>
      <c r="N615" s="71"/>
      <c r="O615" s="71"/>
      <c r="P615" s="71"/>
      <c r="Q615" s="71"/>
      <c r="R615" s="71"/>
      <c r="S615" s="71"/>
      <c r="T615" s="105"/>
      <c r="U615" s="71"/>
      <c r="V615" s="71"/>
      <c r="W615" s="71"/>
      <c r="X615" s="71"/>
      <c r="Y615" s="71"/>
      <c r="Z615" s="71"/>
      <c r="AA615" s="71"/>
      <c r="AB615" s="71"/>
      <c r="AC615" s="71"/>
      <c r="AD615" s="71"/>
      <c r="AE615" s="71"/>
      <c r="AF615" s="71"/>
      <c r="AG615" s="71"/>
      <c r="AH615" s="71"/>
      <c r="AI615" s="71"/>
      <c r="AJ615" s="71"/>
      <c r="AK615" s="71"/>
    </row>
    <row r="616" spans="1:37" ht="12.75" customHeight="1" x14ac:dyDescent="0.2">
      <c r="A616" s="71"/>
      <c r="B616" s="71"/>
      <c r="C616" s="71"/>
      <c r="D616" s="71"/>
      <c r="E616" s="71"/>
      <c r="F616" s="71"/>
      <c r="G616" s="71"/>
      <c r="H616" s="71"/>
      <c r="I616" s="71"/>
      <c r="J616" s="71"/>
      <c r="K616" s="71"/>
      <c r="L616" s="71"/>
      <c r="M616" s="71"/>
      <c r="N616" s="71"/>
      <c r="O616" s="71"/>
      <c r="P616" s="71"/>
      <c r="Q616" s="71"/>
      <c r="R616" s="71"/>
      <c r="S616" s="71"/>
      <c r="T616" s="105"/>
      <c r="U616" s="71"/>
      <c r="V616" s="71"/>
      <c r="W616" s="71"/>
      <c r="X616" s="71"/>
      <c r="Y616" s="71"/>
      <c r="Z616" s="71"/>
      <c r="AA616" s="71"/>
      <c r="AB616" s="71"/>
      <c r="AC616" s="71"/>
      <c r="AD616" s="71"/>
      <c r="AE616" s="71"/>
      <c r="AF616" s="71"/>
      <c r="AG616" s="71"/>
      <c r="AH616" s="71"/>
      <c r="AI616" s="71"/>
      <c r="AJ616" s="71"/>
      <c r="AK616" s="71"/>
    </row>
    <row r="617" spans="1:37" ht="12.75" customHeight="1" x14ac:dyDescent="0.2">
      <c r="A617" s="71"/>
      <c r="B617" s="71"/>
      <c r="C617" s="71"/>
      <c r="D617" s="71"/>
      <c r="E617" s="71"/>
      <c r="F617" s="71"/>
      <c r="G617" s="71"/>
      <c r="H617" s="71"/>
      <c r="I617" s="71"/>
      <c r="J617" s="71"/>
      <c r="K617" s="71"/>
      <c r="L617" s="71"/>
      <c r="M617" s="71"/>
      <c r="N617" s="71"/>
      <c r="O617" s="71"/>
      <c r="P617" s="71"/>
      <c r="Q617" s="71"/>
      <c r="R617" s="71"/>
      <c r="S617" s="71"/>
      <c r="T617" s="105"/>
      <c r="U617" s="71"/>
      <c r="V617" s="71"/>
      <c r="W617" s="71"/>
      <c r="X617" s="71"/>
      <c r="Y617" s="71"/>
      <c r="Z617" s="71"/>
      <c r="AA617" s="71"/>
      <c r="AB617" s="71"/>
      <c r="AC617" s="71"/>
      <c r="AD617" s="71"/>
      <c r="AE617" s="71"/>
      <c r="AF617" s="71"/>
      <c r="AG617" s="71"/>
      <c r="AH617" s="71"/>
      <c r="AI617" s="71"/>
      <c r="AJ617" s="71"/>
      <c r="AK617" s="71"/>
    </row>
    <row r="618" spans="1:37" ht="12.75" customHeight="1" x14ac:dyDescent="0.2">
      <c r="A618" s="71"/>
      <c r="B618" s="71"/>
      <c r="C618" s="71"/>
      <c r="D618" s="71"/>
      <c r="E618" s="71"/>
      <c r="F618" s="71"/>
      <c r="G618" s="71"/>
      <c r="H618" s="71"/>
      <c r="I618" s="71"/>
      <c r="J618" s="71"/>
      <c r="K618" s="71"/>
      <c r="L618" s="71"/>
      <c r="M618" s="71"/>
      <c r="N618" s="71"/>
      <c r="O618" s="71"/>
      <c r="P618" s="71"/>
      <c r="Q618" s="71"/>
      <c r="R618" s="71"/>
      <c r="S618" s="71"/>
      <c r="T618" s="105"/>
      <c r="U618" s="71"/>
      <c r="V618" s="71"/>
      <c r="W618" s="71"/>
      <c r="X618" s="71"/>
      <c r="Y618" s="71"/>
      <c r="Z618" s="71"/>
      <c r="AA618" s="71"/>
      <c r="AB618" s="71"/>
      <c r="AC618" s="71"/>
      <c r="AD618" s="71"/>
      <c r="AE618" s="71"/>
      <c r="AF618" s="71"/>
      <c r="AG618" s="71"/>
      <c r="AH618" s="71"/>
      <c r="AI618" s="71"/>
      <c r="AJ618" s="71"/>
      <c r="AK618" s="71"/>
    </row>
    <row r="619" spans="1:37" ht="12.75" customHeight="1" x14ac:dyDescent="0.2">
      <c r="A619" s="71"/>
      <c r="B619" s="71"/>
      <c r="C619" s="71"/>
      <c r="D619" s="71"/>
      <c r="E619" s="71"/>
      <c r="F619" s="71"/>
      <c r="G619" s="71"/>
      <c r="H619" s="71"/>
      <c r="I619" s="71"/>
      <c r="J619" s="71"/>
      <c r="K619" s="71"/>
      <c r="L619" s="71"/>
      <c r="M619" s="71"/>
      <c r="N619" s="71"/>
      <c r="O619" s="71"/>
      <c r="P619" s="71"/>
      <c r="Q619" s="71"/>
      <c r="R619" s="71"/>
      <c r="S619" s="71"/>
      <c r="T619" s="105"/>
      <c r="U619" s="71"/>
      <c r="V619" s="71"/>
      <c r="W619" s="71"/>
      <c r="X619" s="71"/>
      <c r="Y619" s="71"/>
      <c r="Z619" s="71"/>
      <c r="AA619" s="71"/>
      <c r="AB619" s="71"/>
      <c r="AC619" s="71"/>
      <c r="AD619" s="71"/>
      <c r="AE619" s="71"/>
      <c r="AF619" s="71"/>
      <c r="AG619" s="71"/>
      <c r="AH619" s="71"/>
      <c r="AI619" s="71"/>
      <c r="AJ619" s="71"/>
      <c r="AK619" s="71"/>
    </row>
    <row r="620" spans="1:37" ht="12.75" customHeight="1" x14ac:dyDescent="0.2">
      <c r="A620" s="71"/>
      <c r="B620" s="71"/>
      <c r="C620" s="71"/>
      <c r="D620" s="71"/>
      <c r="E620" s="71"/>
      <c r="F620" s="71"/>
      <c r="G620" s="71"/>
      <c r="H620" s="71"/>
      <c r="I620" s="71"/>
      <c r="J620" s="71"/>
      <c r="K620" s="71"/>
      <c r="L620" s="71"/>
      <c r="M620" s="71"/>
      <c r="N620" s="71"/>
      <c r="O620" s="71"/>
      <c r="P620" s="71"/>
      <c r="Q620" s="71"/>
      <c r="R620" s="71"/>
      <c r="S620" s="71"/>
      <c r="T620" s="105"/>
      <c r="U620" s="71"/>
      <c r="V620" s="71"/>
      <c r="W620" s="71"/>
      <c r="X620" s="71"/>
      <c r="Y620" s="71"/>
      <c r="Z620" s="71"/>
      <c r="AA620" s="71"/>
      <c r="AB620" s="71"/>
      <c r="AC620" s="71"/>
      <c r="AD620" s="71"/>
      <c r="AE620" s="71"/>
      <c r="AF620" s="71"/>
      <c r="AG620" s="71"/>
      <c r="AH620" s="71"/>
      <c r="AI620" s="71"/>
      <c r="AJ620" s="71"/>
      <c r="AK620" s="71"/>
    </row>
    <row r="621" spans="1:37" ht="12.75" customHeight="1" x14ac:dyDescent="0.2">
      <c r="A621" s="71"/>
      <c r="B621" s="71"/>
      <c r="C621" s="71"/>
      <c r="D621" s="71"/>
      <c r="E621" s="71"/>
      <c r="F621" s="71"/>
      <c r="G621" s="71"/>
      <c r="H621" s="71"/>
      <c r="I621" s="71"/>
      <c r="J621" s="71"/>
      <c r="K621" s="71"/>
      <c r="L621" s="71"/>
      <c r="M621" s="71"/>
      <c r="N621" s="71"/>
      <c r="O621" s="71"/>
      <c r="P621" s="71"/>
      <c r="Q621" s="71"/>
      <c r="R621" s="71"/>
      <c r="S621" s="71"/>
      <c r="T621" s="105"/>
      <c r="U621" s="71"/>
      <c r="V621" s="71"/>
      <c r="W621" s="71"/>
      <c r="X621" s="71"/>
      <c r="Y621" s="71"/>
      <c r="Z621" s="71"/>
      <c r="AA621" s="71"/>
      <c r="AB621" s="71"/>
      <c r="AC621" s="71"/>
      <c r="AD621" s="71"/>
      <c r="AE621" s="71"/>
      <c r="AF621" s="71"/>
      <c r="AG621" s="71"/>
      <c r="AH621" s="71"/>
      <c r="AI621" s="71"/>
      <c r="AJ621" s="71"/>
      <c r="AK621" s="71"/>
    </row>
    <row r="622" spans="1:37" ht="12.75" customHeight="1" x14ac:dyDescent="0.2">
      <c r="A622" s="71"/>
      <c r="B622" s="71"/>
      <c r="C622" s="71"/>
      <c r="D622" s="71"/>
      <c r="E622" s="71"/>
      <c r="F622" s="71"/>
      <c r="G622" s="71"/>
      <c r="H622" s="71"/>
      <c r="I622" s="71"/>
      <c r="J622" s="71"/>
      <c r="K622" s="71"/>
      <c r="L622" s="71"/>
      <c r="M622" s="71"/>
      <c r="N622" s="71"/>
      <c r="O622" s="71"/>
      <c r="P622" s="71"/>
      <c r="Q622" s="71"/>
      <c r="R622" s="71"/>
      <c r="S622" s="71"/>
      <c r="T622" s="105"/>
      <c r="U622" s="71"/>
      <c r="V622" s="71"/>
      <c r="W622" s="71"/>
      <c r="X622" s="71"/>
      <c r="Y622" s="71"/>
      <c r="Z622" s="71"/>
      <c r="AA622" s="71"/>
      <c r="AB622" s="71"/>
      <c r="AC622" s="71"/>
      <c r="AD622" s="71"/>
      <c r="AE622" s="71"/>
      <c r="AF622" s="71"/>
      <c r="AG622" s="71"/>
      <c r="AH622" s="71"/>
      <c r="AI622" s="71"/>
      <c r="AJ622" s="71"/>
      <c r="AK622" s="71"/>
    </row>
    <row r="623" spans="1:37" ht="12.75" customHeight="1" x14ac:dyDescent="0.2">
      <c r="A623" s="71"/>
      <c r="B623" s="71"/>
      <c r="C623" s="71"/>
      <c r="D623" s="71"/>
      <c r="E623" s="71"/>
      <c r="F623" s="71"/>
      <c r="G623" s="71"/>
      <c r="H623" s="71"/>
      <c r="I623" s="71"/>
      <c r="J623" s="71"/>
      <c r="K623" s="71"/>
      <c r="L623" s="71"/>
      <c r="M623" s="71"/>
      <c r="N623" s="71"/>
      <c r="O623" s="71"/>
      <c r="P623" s="71"/>
      <c r="Q623" s="71"/>
      <c r="R623" s="71"/>
      <c r="S623" s="71"/>
      <c r="T623" s="105"/>
      <c r="U623" s="71"/>
      <c r="V623" s="71"/>
      <c r="W623" s="71"/>
      <c r="X623" s="71"/>
      <c r="Y623" s="71"/>
      <c r="Z623" s="71"/>
      <c r="AA623" s="71"/>
      <c r="AB623" s="71"/>
      <c r="AC623" s="71"/>
      <c r="AD623" s="71"/>
      <c r="AE623" s="71"/>
      <c r="AF623" s="71"/>
      <c r="AG623" s="71"/>
      <c r="AH623" s="71"/>
      <c r="AI623" s="71"/>
      <c r="AJ623" s="71"/>
      <c r="AK623" s="71"/>
    </row>
    <row r="624" spans="1:37" ht="12.75" customHeight="1" x14ac:dyDescent="0.2">
      <c r="A624" s="71"/>
      <c r="B624" s="71"/>
      <c r="C624" s="71"/>
      <c r="D624" s="71"/>
      <c r="E624" s="71"/>
      <c r="F624" s="71"/>
      <c r="G624" s="71"/>
      <c r="H624" s="71"/>
      <c r="I624" s="71"/>
      <c r="J624" s="71"/>
      <c r="K624" s="71"/>
      <c r="L624" s="71"/>
      <c r="M624" s="71"/>
      <c r="N624" s="71"/>
      <c r="O624" s="71"/>
      <c r="P624" s="71"/>
      <c r="Q624" s="71"/>
      <c r="R624" s="71"/>
      <c r="S624" s="71"/>
      <c r="T624" s="105"/>
      <c r="U624" s="71"/>
      <c r="V624" s="71"/>
      <c r="W624" s="71"/>
      <c r="X624" s="71"/>
      <c r="Y624" s="71"/>
      <c r="Z624" s="71"/>
      <c r="AA624" s="71"/>
      <c r="AB624" s="71"/>
      <c r="AC624" s="71"/>
      <c r="AD624" s="71"/>
      <c r="AE624" s="71"/>
      <c r="AF624" s="71"/>
      <c r="AG624" s="71"/>
      <c r="AH624" s="71"/>
      <c r="AI624" s="71"/>
      <c r="AJ624" s="71"/>
      <c r="AK624" s="71"/>
    </row>
    <row r="625" spans="1:37" ht="12.75" customHeight="1" x14ac:dyDescent="0.2">
      <c r="A625" s="71"/>
      <c r="B625" s="71"/>
      <c r="C625" s="71"/>
      <c r="D625" s="71"/>
      <c r="E625" s="71"/>
      <c r="F625" s="71"/>
      <c r="G625" s="71"/>
      <c r="H625" s="71"/>
      <c r="I625" s="71"/>
      <c r="J625" s="71"/>
      <c r="K625" s="71"/>
      <c r="L625" s="71"/>
      <c r="M625" s="71"/>
      <c r="N625" s="71"/>
      <c r="O625" s="71"/>
      <c r="P625" s="71"/>
      <c r="Q625" s="71"/>
      <c r="R625" s="71"/>
      <c r="S625" s="71"/>
      <c r="T625" s="105"/>
      <c r="U625" s="71"/>
      <c r="V625" s="71"/>
      <c r="W625" s="71"/>
      <c r="X625" s="71"/>
      <c r="Y625" s="71"/>
      <c r="Z625" s="71"/>
      <c r="AA625" s="71"/>
      <c r="AB625" s="71"/>
      <c r="AC625" s="71"/>
      <c r="AD625" s="71"/>
      <c r="AE625" s="71"/>
      <c r="AF625" s="71"/>
      <c r="AG625" s="71"/>
      <c r="AH625" s="71"/>
      <c r="AI625" s="71"/>
      <c r="AJ625" s="71"/>
      <c r="AK625" s="71"/>
    </row>
    <row r="626" spans="1:37" ht="12.75" customHeight="1" x14ac:dyDescent="0.2">
      <c r="A626" s="71"/>
      <c r="B626" s="71"/>
      <c r="C626" s="71"/>
      <c r="D626" s="71"/>
      <c r="E626" s="71"/>
      <c r="F626" s="71"/>
      <c r="G626" s="71"/>
      <c r="H626" s="71"/>
      <c r="I626" s="71"/>
      <c r="J626" s="71"/>
      <c r="K626" s="71"/>
      <c r="L626" s="71"/>
      <c r="M626" s="71"/>
      <c r="N626" s="71"/>
      <c r="O626" s="71"/>
      <c r="P626" s="71"/>
      <c r="Q626" s="71"/>
      <c r="R626" s="71"/>
      <c r="S626" s="71"/>
      <c r="T626" s="105"/>
      <c r="U626" s="71"/>
      <c r="V626" s="71"/>
      <c r="W626" s="71"/>
      <c r="X626" s="71"/>
      <c r="Y626" s="71"/>
      <c r="Z626" s="71"/>
      <c r="AA626" s="71"/>
      <c r="AB626" s="71"/>
      <c r="AC626" s="71"/>
      <c r="AD626" s="71"/>
      <c r="AE626" s="71"/>
      <c r="AF626" s="71"/>
      <c r="AG626" s="71"/>
      <c r="AH626" s="71"/>
      <c r="AI626" s="71"/>
      <c r="AJ626" s="71"/>
      <c r="AK626" s="71"/>
    </row>
    <row r="627" spans="1:37" ht="12.75" customHeight="1" x14ac:dyDescent="0.2">
      <c r="A627" s="71"/>
      <c r="B627" s="71"/>
      <c r="C627" s="71"/>
      <c r="D627" s="71"/>
      <c r="E627" s="71"/>
      <c r="F627" s="71"/>
      <c r="G627" s="71"/>
      <c r="H627" s="71"/>
      <c r="I627" s="71"/>
      <c r="J627" s="71"/>
      <c r="K627" s="71"/>
      <c r="L627" s="71"/>
      <c r="M627" s="71"/>
      <c r="N627" s="71"/>
      <c r="O627" s="71"/>
      <c r="P627" s="71"/>
      <c r="Q627" s="71"/>
      <c r="R627" s="71"/>
      <c r="S627" s="71"/>
      <c r="T627" s="105"/>
      <c r="U627" s="71"/>
      <c r="V627" s="71"/>
      <c r="W627" s="71"/>
      <c r="X627" s="71"/>
      <c r="Y627" s="71"/>
      <c r="Z627" s="71"/>
      <c r="AA627" s="71"/>
      <c r="AB627" s="71"/>
      <c r="AC627" s="71"/>
      <c r="AD627" s="71"/>
      <c r="AE627" s="71"/>
      <c r="AF627" s="71"/>
      <c r="AG627" s="71"/>
      <c r="AH627" s="71"/>
      <c r="AI627" s="71"/>
      <c r="AJ627" s="71"/>
      <c r="AK627" s="71"/>
    </row>
    <row r="628" spans="1:37" ht="12.75" customHeight="1" x14ac:dyDescent="0.2">
      <c r="A628" s="71"/>
      <c r="B628" s="71"/>
      <c r="C628" s="71"/>
      <c r="D628" s="71"/>
      <c r="E628" s="71"/>
      <c r="F628" s="71"/>
      <c r="G628" s="71"/>
      <c r="H628" s="71"/>
      <c r="I628" s="71"/>
      <c r="J628" s="71"/>
      <c r="K628" s="71"/>
      <c r="L628" s="71"/>
      <c r="M628" s="71"/>
      <c r="N628" s="71"/>
      <c r="O628" s="71"/>
      <c r="P628" s="71"/>
      <c r="Q628" s="71"/>
      <c r="R628" s="71"/>
      <c r="S628" s="71"/>
      <c r="T628" s="105"/>
      <c r="U628" s="71"/>
      <c r="V628" s="71"/>
      <c r="W628" s="71"/>
      <c r="X628" s="71"/>
      <c r="Y628" s="71"/>
      <c r="Z628" s="71"/>
      <c r="AA628" s="71"/>
      <c r="AB628" s="71"/>
      <c r="AC628" s="71"/>
      <c r="AD628" s="71"/>
      <c r="AE628" s="71"/>
      <c r="AF628" s="71"/>
      <c r="AG628" s="71"/>
      <c r="AH628" s="71"/>
      <c r="AI628" s="71"/>
      <c r="AJ628" s="71"/>
      <c r="AK628" s="71"/>
    </row>
    <row r="629" spans="1:37" ht="12.75" customHeight="1" x14ac:dyDescent="0.2">
      <c r="A629" s="71"/>
      <c r="B629" s="71"/>
      <c r="C629" s="71"/>
      <c r="D629" s="71"/>
      <c r="E629" s="71"/>
      <c r="F629" s="71"/>
      <c r="G629" s="71"/>
      <c r="H629" s="71"/>
      <c r="I629" s="71"/>
      <c r="J629" s="71"/>
      <c r="K629" s="71"/>
      <c r="L629" s="71"/>
      <c r="M629" s="71"/>
      <c r="N629" s="71"/>
      <c r="O629" s="71"/>
      <c r="P629" s="71"/>
      <c r="Q629" s="71"/>
      <c r="R629" s="71"/>
      <c r="S629" s="71"/>
      <c r="T629" s="105"/>
      <c r="U629" s="71"/>
      <c r="V629" s="71"/>
      <c r="W629" s="71"/>
      <c r="X629" s="71"/>
      <c r="Y629" s="71"/>
      <c r="Z629" s="71"/>
      <c r="AA629" s="71"/>
      <c r="AB629" s="71"/>
      <c r="AC629" s="71"/>
      <c r="AD629" s="71"/>
      <c r="AE629" s="71"/>
      <c r="AF629" s="71"/>
      <c r="AG629" s="71"/>
      <c r="AH629" s="71"/>
      <c r="AI629" s="71"/>
      <c r="AJ629" s="71"/>
      <c r="AK629" s="71"/>
    </row>
    <row r="630" spans="1:37" ht="12.75" customHeight="1" x14ac:dyDescent="0.2">
      <c r="A630" s="71"/>
      <c r="B630" s="71"/>
      <c r="C630" s="71"/>
      <c r="D630" s="71"/>
      <c r="E630" s="71"/>
      <c r="F630" s="71"/>
      <c r="G630" s="71"/>
      <c r="H630" s="71"/>
      <c r="I630" s="71"/>
      <c r="J630" s="71"/>
      <c r="K630" s="71"/>
      <c r="L630" s="71"/>
      <c r="M630" s="71"/>
      <c r="N630" s="71"/>
      <c r="O630" s="71"/>
      <c r="P630" s="71"/>
      <c r="Q630" s="71"/>
      <c r="R630" s="71"/>
      <c r="S630" s="71"/>
      <c r="T630" s="105"/>
      <c r="U630" s="71"/>
      <c r="V630" s="71"/>
      <c r="W630" s="71"/>
      <c r="X630" s="71"/>
      <c r="Y630" s="71"/>
      <c r="Z630" s="71"/>
      <c r="AA630" s="71"/>
      <c r="AB630" s="71"/>
      <c r="AC630" s="71"/>
      <c r="AD630" s="71"/>
      <c r="AE630" s="71"/>
      <c r="AF630" s="71"/>
      <c r="AG630" s="71"/>
      <c r="AH630" s="71"/>
      <c r="AI630" s="71"/>
      <c r="AJ630" s="71"/>
      <c r="AK630" s="71"/>
    </row>
    <row r="631" spans="1:37" ht="12.75" customHeight="1" x14ac:dyDescent="0.2">
      <c r="A631" s="71"/>
      <c r="B631" s="71"/>
      <c r="C631" s="71"/>
      <c r="D631" s="71"/>
      <c r="E631" s="71"/>
      <c r="F631" s="71"/>
      <c r="G631" s="71"/>
      <c r="H631" s="71"/>
      <c r="I631" s="71"/>
      <c r="J631" s="71"/>
      <c r="K631" s="71"/>
      <c r="L631" s="71"/>
      <c r="M631" s="71"/>
      <c r="N631" s="71"/>
      <c r="O631" s="71"/>
      <c r="P631" s="71"/>
      <c r="Q631" s="71"/>
      <c r="R631" s="71"/>
      <c r="S631" s="71"/>
      <c r="T631" s="105"/>
      <c r="U631" s="71"/>
      <c r="V631" s="71"/>
      <c r="W631" s="71"/>
      <c r="X631" s="71"/>
      <c r="Y631" s="71"/>
      <c r="Z631" s="71"/>
      <c r="AA631" s="71"/>
      <c r="AB631" s="71"/>
      <c r="AC631" s="71"/>
      <c r="AD631" s="71"/>
      <c r="AE631" s="71"/>
      <c r="AF631" s="71"/>
      <c r="AG631" s="71"/>
      <c r="AH631" s="71"/>
      <c r="AI631" s="71"/>
      <c r="AJ631" s="71"/>
      <c r="AK631" s="71"/>
    </row>
    <row r="632" spans="1:37" ht="12.75" customHeight="1" x14ac:dyDescent="0.2">
      <c r="A632" s="71"/>
      <c r="B632" s="71"/>
      <c r="C632" s="71"/>
      <c r="D632" s="71"/>
      <c r="E632" s="71"/>
      <c r="F632" s="71"/>
      <c r="G632" s="71"/>
      <c r="H632" s="71"/>
      <c r="I632" s="71"/>
      <c r="J632" s="71"/>
      <c r="K632" s="71"/>
      <c r="L632" s="71"/>
      <c r="M632" s="71"/>
      <c r="N632" s="71"/>
      <c r="O632" s="71"/>
      <c r="P632" s="71"/>
      <c r="Q632" s="71"/>
      <c r="R632" s="71"/>
      <c r="S632" s="71"/>
      <c r="T632" s="105"/>
      <c r="U632" s="71"/>
      <c r="V632" s="71"/>
      <c r="W632" s="71"/>
      <c r="X632" s="71"/>
      <c r="Y632" s="71"/>
      <c r="Z632" s="71"/>
      <c r="AA632" s="71"/>
      <c r="AB632" s="71"/>
      <c r="AC632" s="71"/>
      <c r="AD632" s="71"/>
      <c r="AE632" s="71"/>
      <c r="AF632" s="71"/>
      <c r="AG632" s="71"/>
      <c r="AH632" s="71"/>
      <c r="AI632" s="71"/>
      <c r="AJ632" s="71"/>
      <c r="AK632" s="71"/>
    </row>
    <row r="633" spans="1:37" ht="12.75" customHeight="1" x14ac:dyDescent="0.2">
      <c r="A633" s="71"/>
      <c r="B633" s="71"/>
      <c r="C633" s="71"/>
      <c r="D633" s="71"/>
      <c r="E633" s="71"/>
      <c r="F633" s="71"/>
      <c r="G633" s="71"/>
      <c r="H633" s="71"/>
      <c r="I633" s="71"/>
      <c r="J633" s="71"/>
      <c r="K633" s="71"/>
      <c r="L633" s="71"/>
      <c r="M633" s="71"/>
      <c r="N633" s="71"/>
      <c r="O633" s="71"/>
      <c r="P633" s="71"/>
      <c r="Q633" s="71"/>
      <c r="R633" s="71"/>
      <c r="S633" s="71"/>
      <c r="T633" s="105"/>
      <c r="U633" s="71"/>
      <c r="V633" s="71"/>
      <c r="W633" s="71"/>
      <c r="X633" s="71"/>
      <c r="Y633" s="71"/>
      <c r="Z633" s="71"/>
      <c r="AA633" s="71"/>
      <c r="AB633" s="71"/>
      <c r="AC633" s="71"/>
      <c r="AD633" s="71"/>
      <c r="AE633" s="71"/>
      <c r="AF633" s="71"/>
      <c r="AG633" s="71"/>
      <c r="AH633" s="71"/>
      <c r="AI633" s="71"/>
      <c r="AJ633" s="71"/>
      <c r="AK633" s="71"/>
    </row>
    <row r="634" spans="1:37" ht="12.75" customHeight="1" x14ac:dyDescent="0.2">
      <c r="A634" s="71"/>
      <c r="B634" s="71"/>
      <c r="C634" s="71"/>
      <c r="D634" s="71"/>
      <c r="E634" s="71"/>
      <c r="F634" s="71"/>
      <c r="G634" s="71"/>
      <c r="H634" s="71"/>
      <c r="I634" s="71"/>
      <c r="J634" s="71"/>
      <c r="K634" s="71"/>
      <c r="L634" s="71"/>
      <c r="M634" s="71"/>
      <c r="N634" s="71"/>
      <c r="O634" s="71"/>
      <c r="P634" s="71"/>
      <c r="Q634" s="71"/>
      <c r="R634" s="71"/>
      <c r="S634" s="71"/>
      <c r="T634" s="105"/>
      <c r="U634" s="71"/>
      <c r="V634" s="71"/>
      <c r="W634" s="71"/>
      <c r="X634" s="71"/>
      <c r="Y634" s="71"/>
      <c r="Z634" s="71"/>
      <c r="AA634" s="71"/>
      <c r="AB634" s="71"/>
      <c r="AC634" s="71"/>
      <c r="AD634" s="71"/>
      <c r="AE634" s="71"/>
      <c r="AF634" s="71"/>
      <c r="AG634" s="71"/>
      <c r="AH634" s="71"/>
      <c r="AI634" s="71"/>
      <c r="AJ634" s="71"/>
      <c r="AK634" s="71"/>
    </row>
    <row r="635" spans="1:37" ht="12.75" customHeight="1" x14ac:dyDescent="0.2">
      <c r="A635" s="71"/>
      <c r="B635" s="71"/>
      <c r="C635" s="71"/>
      <c r="D635" s="71"/>
      <c r="E635" s="71"/>
      <c r="F635" s="71"/>
      <c r="G635" s="71"/>
      <c r="H635" s="71"/>
      <c r="I635" s="71"/>
      <c r="J635" s="71"/>
      <c r="K635" s="71"/>
      <c r="L635" s="71"/>
      <c r="M635" s="71"/>
      <c r="N635" s="71"/>
      <c r="O635" s="71"/>
      <c r="P635" s="71"/>
      <c r="Q635" s="71"/>
      <c r="R635" s="71"/>
      <c r="S635" s="71"/>
      <c r="T635" s="105"/>
      <c r="U635" s="71"/>
      <c r="V635" s="71"/>
      <c r="W635" s="71"/>
      <c r="X635" s="71"/>
      <c r="Y635" s="71"/>
      <c r="Z635" s="71"/>
      <c r="AA635" s="71"/>
      <c r="AB635" s="71"/>
      <c r="AC635" s="71"/>
      <c r="AD635" s="71"/>
      <c r="AE635" s="71"/>
      <c r="AF635" s="71"/>
      <c r="AG635" s="71"/>
      <c r="AH635" s="71"/>
      <c r="AI635" s="71"/>
      <c r="AJ635" s="71"/>
      <c r="AK635" s="71"/>
    </row>
    <row r="636" spans="1:37" ht="12.75" customHeight="1" x14ac:dyDescent="0.2">
      <c r="A636" s="71"/>
      <c r="B636" s="71"/>
      <c r="C636" s="71"/>
      <c r="D636" s="71"/>
      <c r="E636" s="71"/>
      <c r="F636" s="71"/>
      <c r="G636" s="71"/>
      <c r="H636" s="71"/>
      <c r="I636" s="71"/>
      <c r="J636" s="71"/>
      <c r="K636" s="71"/>
      <c r="L636" s="71"/>
      <c r="M636" s="71"/>
      <c r="N636" s="71"/>
      <c r="O636" s="71"/>
      <c r="P636" s="71"/>
      <c r="Q636" s="71"/>
      <c r="R636" s="71"/>
      <c r="S636" s="71"/>
      <c r="T636" s="105"/>
      <c r="U636" s="71"/>
      <c r="V636" s="71"/>
      <c r="W636" s="71"/>
      <c r="X636" s="71"/>
      <c r="Y636" s="71"/>
      <c r="Z636" s="71"/>
      <c r="AA636" s="71"/>
      <c r="AB636" s="71"/>
      <c r="AC636" s="71"/>
      <c r="AD636" s="71"/>
      <c r="AE636" s="71"/>
      <c r="AF636" s="71"/>
      <c r="AG636" s="71"/>
      <c r="AH636" s="71"/>
      <c r="AI636" s="71"/>
      <c r="AJ636" s="71"/>
      <c r="AK636" s="71"/>
    </row>
    <row r="637" spans="1:37" ht="12.75" customHeight="1" x14ac:dyDescent="0.2">
      <c r="A637" s="71"/>
      <c r="B637" s="71"/>
      <c r="C637" s="71"/>
      <c r="D637" s="71"/>
      <c r="E637" s="71"/>
      <c r="F637" s="71"/>
      <c r="G637" s="71"/>
      <c r="H637" s="71"/>
      <c r="I637" s="71"/>
      <c r="J637" s="71"/>
      <c r="K637" s="71"/>
      <c r="L637" s="71"/>
      <c r="M637" s="71"/>
      <c r="N637" s="71"/>
      <c r="O637" s="71"/>
      <c r="P637" s="71"/>
      <c r="Q637" s="71"/>
      <c r="R637" s="71"/>
      <c r="S637" s="71"/>
      <c r="T637" s="105"/>
      <c r="U637" s="71"/>
      <c r="V637" s="71"/>
      <c r="W637" s="71"/>
      <c r="X637" s="71"/>
      <c r="Y637" s="71"/>
      <c r="Z637" s="71"/>
      <c r="AA637" s="71"/>
      <c r="AB637" s="71"/>
      <c r="AC637" s="71"/>
      <c r="AD637" s="71"/>
      <c r="AE637" s="71"/>
      <c r="AF637" s="71"/>
      <c r="AG637" s="71"/>
      <c r="AH637" s="71"/>
      <c r="AI637" s="71"/>
      <c r="AJ637" s="71"/>
      <c r="AK637" s="71"/>
    </row>
    <row r="638" spans="1:37" ht="12.75" customHeight="1" x14ac:dyDescent="0.2">
      <c r="A638" s="71"/>
      <c r="B638" s="71"/>
      <c r="C638" s="71"/>
      <c r="D638" s="71"/>
      <c r="E638" s="71"/>
      <c r="F638" s="71"/>
      <c r="G638" s="71"/>
      <c r="H638" s="71"/>
      <c r="I638" s="71"/>
      <c r="J638" s="71"/>
      <c r="K638" s="71"/>
      <c r="L638" s="71"/>
      <c r="M638" s="71"/>
      <c r="N638" s="71"/>
      <c r="O638" s="71"/>
      <c r="P638" s="71"/>
      <c r="Q638" s="71"/>
      <c r="R638" s="71"/>
      <c r="S638" s="71"/>
      <c r="T638" s="105"/>
      <c r="U638" s="71"/>
      <c r="V638" s="71"/>
      <c r="W638" s="71"/>
      <c r="X638" s="71"/>
      <c r="Y638" s="71"/>
      <c r="Z638" s="71"/>
      <c r="AA638" s="71"/>
      <c r="AB638" s="71"/>
      <c r="AC638" s="71"/>
      <c r="AD638" s="71"/>
      <c r="AE638" s="71"/>
      <c r="AF638" s="71"/>
      <c r="AG638" s="71"/>
      <c r="AH638" s="71"/>
      <c r="AI638" s="71"/>
      <c r="AJ638" s="71"/>
      <c r="AK638" s="71"/>
    </row>
    <row r="639" spans="1:37" ht="12.75" customHeight="1" x14ac:dyDescent="0.2">
      <c r="A639" s="71"/>
      <c r="B639" s="71"/>
      <c r="C639" s="71"/>
      <c r="D639" s="71"/>
      <c r="E639" s="71"/>
      <c r="F639" s="71"/>
      <c r="G639" s="71"/>
      <c r="H639" s="71"/>
      <c r="I639" s="71"/>
      <c r="J639" s="71"/>
      <c r="K639" s="71"/>
      <c r="L639" s="71"/>
      <c r="M639" s="71"/>
      <c r="N639" s="71"/>
      <c r="O639" s="71"/>
      <c r="P639" s="71"/>
      <c r="Q639" s="71"/>
      <c r="R639" s="71"/>
      <c r="S639" s="71"/>
      <c r="T639" s="105"/>
      <c r="U639" s="71"/>
      <c r="V639" s="71"/>
      <c r="W639" s="71"/>
      <c r="X639" s="71"/>
      <c r="Y639" s="71"/>
      <c r="Z639" s="71"/>
      <c r="AA639" s="71"/>
      <c r="AB639" s="71"/>
      <c r="AC639" s="71"/>
      <c r="AD639" s="71"/>
      <c r="AE639" s="71"/>
      <c r="AF639" s="71"/>
      <c r="AG639" s="71"/>
      <c r="AH639" s="71"/>
      <c r="AI639" s="71"/>
      <c r="AJ639" s="71"/>
      <c r="AK639" s="71"/>
    </row>
    <row r="640" spans="1:37" ht="12.75" customHeight="1" x14ac:dyDescent="0.2">
      <c r="A640" s="71"/>
      <c r="B640" s="71"/>
      <c r="C640" s="71"/>
      <c r="D640" s="71"/>
      <c r="E640" s="71"/>
      <c r="F640" s="71"/>
      <c r="G640" s="71"/>
      <c r="H640" s="71"/>
      <c r="I640" s="71"/>
      <c r="J640" s="71"/>
      <c r="K640" s="71"/>
      <c r="L640" s="71"/>
      <c r="M640" s="71"/>
      <c r="N640" s="71"/>
      <c r="O640" s="71"/>
      <c r="P640" s="71"/>
      <c r="Q640" s="71"/>
      <c r="R640" s="71"/>
      <c r="S640" s="71"/>
      <c r="T640" s="105"/>
      <c r="U640" s="71"/>
      <c r="V640" s="71"/>
      <c r="W640" s="71"/>
      <c r="X640" s="71"/>
      <c r="Y640" s="71"/>
      <c r="Z640" s="71"/>
      <c r="AA640" s="71"/>
      <c r="AB640" s="71"/>
      <c r="AC640" s="71"/>
      <c r="AD640" s="71"/>
      <c r="AE640" s="71"/>
      <c r="AF640" s="71"/>
      <c r="AG640" s="71"/>
      <c r="AH640" s="71"/>
      <c r="AI640" s="71"/>
      <c r="AJ640" s="71"/>
      <c r="AK640" s="71"/>
    </row>
    <row r="641" spans="1:37" ht="12.75" customHeight="1" x14ac:dyDescent="0.2">
      <c r="A641" s="71"/>
      <c r="B641" s="71"/>
      <c r="C641" s="71"/>
      <c r="D641" s="71"/>
      <c r="E641" s="71"/>
      <c r="F641" s="71"/>
      <c r="G641" s="71"/>
      <c r="H641" s="71"/>
      <c r="I641" s="71"/>
      <c r="J641" s="71"/>
      <c r="K641" s="71"/>
      <c r="L641" s="71"/>
      <c r="M641" s="71"/>
      <c r="N641" s="71"/>
      <c r="O641" s="71"/>
      <c r="P641" s="71"/>
      <c r="Q641" s="71"/>
      <c r="R641" s="71"/>
      <c r="S641" s="71"/>
      <c r="T641" s="105"/>
      <c r="U641" s="71"/>
      <c r="V641" s="71"/>
      <c r="W641" s="71"/>
      <c r="X641" s="71"/>
      <c r="Y641" s="71"/>
      <c r="Z641" s="71"/>
      <c r="AA641" s="71"/>
      <c r="AB641" s="71"/>
      <c r="AC641" s="71"/>
      <c r="AD641" s="71"/>
      <c r="AE641" s="71"/>
      <c r="AF641" s="71"/>
      <c r="AG641" s="71"/>
      <c r="AH641" s="71"/>
      <c r="AI641" s="71"/>
      <c r="AJ641" s="71"/>
      <c r="AK641" s="71"/>
    </row>
    <row r="642" spans="1:37" ht="12.75" customHeight="1" x14ac:dyDescent="0.2">
      <c r="A642" s="71"/>
      <c r="B642" s="71"/>
      <c r="C642" s="71"/>
      <c r="D642" s="71"/>
      <c r="E642" s="71"/>
      <c r="F642" s="71"/>
      <c r="G642" s="71"/>
      <c r="H642" s="71"/>
      <c r="I642" s="71"/>
      <c r="J642" s="71"/>
      <c r="K642" s="71"/>
      <c r="L642" s="71"/>
      <c r="M642" s="71"/>
      <c r="N642" s="71"/>
      <c r="O642" s="71"/>
      <c r="P642" s="71"/>
      <c r="Q642" s="71"/>
      <c r="R642" s="71"/>
      <c r="S642" s="71"/>
      <c r="T642" s="105"/>
      <c r="U642" s="71"/>
      <c r="V642" s="71"/>
      <c r="W642" s="71"/>
      <c r="X642" s="71"/>
      <c r="Y642" s="71"/>
      <c r="Z642" s="71"/>
      <c r="AA642" s="71"/>
      <c r="AB642" s="71"/>
      <c r="AC642" s="71"/>
      <c r="AD642" s="71"/>
      <c r="AE642" s="71"/>
      <c r="AF642" s="71"/>
      <c r="AG642" s="71"/>
      <c r="AH642" s="71"/>
      <c r="AI642" s="71"/>
      <c r="AJ642" s="71"/>
      <c r="AK642" s="71"/>
    </row>
    <row r="643" spans="1:37" ht="12.75" customHeight="1" x14ac:dyDescent="0.2">
      <c r="A643" s="71"/>
      <c r="B643" s="71"/>
      <c r="C643" s="71"/>
      <c r="D643" s="71"/>
      <c r="E643" s="71"/>
      <c r="F643" s="71"/>
      <c r="G643" s="71"/>
      <c r="H643" s="71"/>
      <c r="I643" s="71"/>
      <c r="J643" s="71"/>
      <c r="K643" s="71"/>
      <c r="L643" s="71"/>
      <c r="M643" s="71"/>
      <c r="N643" s="71"/>
      <c r="O643" s="71"/>
      <c r="P643" s="71"/>
      <c r="Q643" s="71"/>
      <c r="R643" s="71"/>
      <c r="S643" s="71"/>
      <c r="T643" s="105"/>
      <c r="U643" s="71"/>
      <c r="V643" s="71"/>
      <c r="W643" s="71"/>
      <c r="X643" s="71"/>
      <c r="Y643" s="71"/>
      <c r="Z643" s="71"/>
      <c r="AA643" s="71"/>
      <c r="AB643" s="71"/>
      <c r="AC643" s="71"/>
      <c r="AD643" s="71"/>
      <c r="AE643" s="71"/>
      <c r="AF643" s="71"/>
      <c r="AG643" s="71"/>
      <c r="AH643" s="71"/>
      <c r="AI643" s="71"/>
      <c r="AJ643" s="71"/>
      <c r="AK643" s="71"/>
    </row>
    <row r="644" spans="1:37" ht="12.75" customHeight="1" x14ac:dyDescent="0.2">
      <c r="A644" s="71"/>
      <c r="B644" s="71"/>
      <c r="C644" s="71"/>
      <c r="D644" s="71"/>
      <c r="E644" s="71"/>
      <c r="F644" s="71"/>
      <c r="G644" s="71"/>
      <c r="H644" s="71"/>
      <c r="I644" s="71"/>
      <c r="J644" s="71"/>
      <c r="K644" s="71"/>
      <c r="L644" s="71"/>
      <c r="M644" s="71"/>
      <c r="N644" s="71"/>
      <c r="O644" s="71"/>
      <c r="P644" s="71"/>
      <c r="Q644" s="71"/>
      <c r="R644" s="71"/>
      <c r="S644" s="71"/>
      <c r="T644" s="105"/>
      <c r="U644" s="71"/>
      <c r="V644" s="71"/>
      <c r="W644" s="71"/>
      <c r="X644" s="71"/>
      <c r="Y644" s="71"/>
      <c r="Z644" s="71"/>
      <c r="AA644" s="71"/>
      <c r="AB644" s="71"/>
      <c r="AC644" s="71"/>
      <c r="AD644" s="71"/>
      <c r="AE644" s="71"/>
      <c r="AF644" s="71"/>
      <c r="AG644" s="71"/>
      <c r="AH644" s="71"/>
      <c r="AI644" s="71"/>
      <c r="AJ644" s="71"/>
      <c r="AK644" s="71"/>
    </row>
    <row r="645" spans="1:37" ht="12.75" customHeight="1" x14ac:dyDescent="0.2">
      <c r="A645" s="71"/>
      <c r="B645" s="71"/>
      <c r="C645" s="71"/>
      <c r="D645" s="71"/>
      <c r="E645" s="71"/>
      <c r="F645" s="71"/>
      <c r="G645" s="71"/>
      <c r="H645" s="71"/>
      <c r="I645" s="71"/>
      <c r="J645" s="71"/>
      <c r="K645" s="71"/>
      <c r="L645" s="71"/>
      <c r="M645" s="71"/>
      <c r="N645" s="71"/>
      <c r="O645" s="71"/>
      <c r="P645" s="71"/>
      <c r="Q645" s="71"/>
      <c r="R645" s="71"/>
      <c r="S645" s="71"/>
      <c r="T645" s="105"/>
      <c r="U645" s="71"/>
      <c r="V645" s="71"/>
      <c r="W645" s="71"/>
      <c r="X645" s="71"/>
      <c r="Y645" s="71"/>
      <c r="Z645" s="71"/>
      <c r="AA645" s="71"/>
      <c r="AB645" s="71"/>
      <c r="AC645" s="71"/>
      <c r="AD645" s="71"/>
      <c r="AE645" s="71"/>
      <c r="AF645" s="71"/>
      <c r="AG645" s="71"/>
      <c r="AH645" s="71"/>
      <c r="AI645" s="71"/>
      <c r="AJ645" s="71"/>
      <c r="AK645" s="71"/>
    </row>
    <row r="646" spans="1:37" ht="12.75" customHeight="1" x14ac:dyDescent="0.2">
      <c r="A646" s="71"/>
      <c r="B646" s="71"/>
      <c r="C646" s="71"/>
      <c r="D646" s="71"/>
      <c r="E646" s="71"/>
      <c r="F646" s="71"/>
      <c r="G646" s="71"/>
      <c r="H646" s="71"/>
      <c r="I646" s="71"/>
      <c r="J646" s="71"/>
      <c r="K646" s="71"/>
      <c r="L646" s="71"/>
      <c r="M646" s="71"/>
      <c r="N646" s="71"/>
      <c r="O646" s="71"/>
      <c r="P646" s="71"/>
      <c r="Q646" s="71"/>
      <c r="R646" s="71"/>
      <c r="S646" s="71"/>
      <c r="T646" s="105"/>
      <c r="U646" s="71"/>
      <c r="V646" s="71"/>
      <c r="W646" s="71"/>
      <c r="X646" s="71"/>
      <c r="Y646" s="71"/>
      <c r="Z646" s="71"/>
      <c r="AA646" s="71"/>
      <c r="AB646" s="71"/>
      <c r="AC646" s="71"/>
      <c r="AD646" s="71"/>
      <c r="AE646" s="71"/>
      <c r="AF646" s="71"/>
      <c r="AG646" s="71"/>
      <c r="AH646" s="71"/>
      <c r="AI646" s="71"/>
      <c r="AJ646" s="71"/>
      <c r="AK646" s="71"/>
    </row>
    <row r="647" spans="1:37" ht="12.75" customHeight="1" x14ac:dyDescent="0.2">
      <c r="A647" s="71"/>
      <c r="B647" s="71"/>
      <c r="C647" s="71"/>
      <c r="D647" s="71"/>
      <c r="E647" s="71"/>
      <c r="F647" s="71"/>
      <c r="G647" s="71"/>
      <c r="H647" s="71"/>
      <c r="I647" s="71"/>
      <c r="J647" s="71"/>
      <c r="K647" s="71"/>
      <c r="L647" s="71"/>
      <c r="M647" s="71"/>
      <c r="N647" s="71"/>
      <c r="O647" s="71"/>
      <c r="P647" s="71"/>
      <c r="Q647" s="71"/>
      <c r="R647" s="71"/>
      <c r="S647" s="71"/>
      <c r="T647" s="105"/>
      <c r="U647" s="71"/>
      <c r="V647" s="71"/>
      <c r="W647" s="71"/>
      <c r="X647" s="71"/>
      <c r="Y647" s="71"/>
      <c r="Z647" s="71"/>
      <c r="AA647" s="71"/>
      <c r="AB647" s="71"/>
      <c r="AC647" s="71"/>
      <c r="AD647" s="71"/>
      <c r="AE647" s="71"/>
      <c r="AF647" s="71"/>
      <c r="AG647" s="71"/>
      <c r="AH647" s="71"/>
      <c r="AI647" s="71"/>
      <c r="AJ647" s="71"/>
      <c r="AK647" s="71"/>
    </row>
    <row r="648" spans="1:37" ht="12.75" customHeight="1" x14ac:dyDescent="0.2">
      <c r="A648" s="71"/>
      <c r="B648" s="71"/>
      <c r="C648" s="71"/>
      <c r="D648" s="71"/>
      <c r="E648" s="71"/>
      <c r="F648" s="71"/>
      <c r="G648" s="71"/>
      <c r="H648" s="71"/>
      <c r="I648" s="71"/>
      <c r="J648" s="71"/>
      <c r="K648" s="71"/>
      <c r="L648" s="71"/>
      <c r="M648" s="71"/>
      <c r="N648" s="71"/>
      <c r="O648" s="71"/>
      <c r="P648" s="71"/>
      <c r="Q648" s="71"/>
      <c r="R648" s="71"/>
      <c r="S648" s="71"/>
      <c r="T648" s="105"/>
      <c r="U648" s="71"/>
      <c r="V648" s="71"/>
      <c r="W648" s="71"/>
      <c r="X648" s="71"/>
      <c r="Y648" s="71"/>
      <c r="Z648" s="71"/>
      <c r="AA648" s="71"/>
      <c r="AB648" s="71"/>
      <c r="AC648" s="71"/>
      <c r="AD648" s="71"/>
      <c r="AE648" s="71"/>
      <c r="AF648" s="71"/>
      <c r="AG648" s="71"/>
      <c r="AH648" s="71"/>
      <c r="AI648" s="71"/>
      <c r="AJ648" s="71"/>
      <c r="AK648" s="71"/>
    </row>
    <row r="649" spans="1:37" ht="12.75" customHeight="1" x14ac:dyDescent="0.2">
      <c r="A649" s="71"/>
      <c r="B649" s="71"/>
      <c r="C649" s="71"/>
      <c r="D649" s="71"/>
      <c r="E649" s="71"/>
      <c r="F649" s="71"/>
      <c r="G649" s="71"/>
      <c r="H649" s="71"/>
      <c r="I649" s="71"/>
      <c r="J649" s="71"/>
      <c r="K649" s="71"/>
      <c r="L649" s="71"/>
      <c r="M649" s="71"/>
      <c r="N649" s="71"/>
      <c r="O649" s="71"/>
      <c r="P649" s="71"/>
      <c r="Q649" s="71"/>
      <c r="R649" s="71"/>
      <c r="S649" s="71"/>
      <c r="T649" s="105"/>
      <c r="U649" s="71"/>
      <c r="V649" s="71"/>
      <c r="W649" s="71"/>
      <c r="X649" s="71"/>
      <c r="Y649" s="71"/>
      <c r="Z649" s="71"/>
      <c r="AA649" s="71"/>
      <c r="AB649" s="71"/>
      <c r="AC649" s="71"/>
      <c r="AD649" s="71"/>
      <c r="AE649" s="71"/>
      <c r="AF649" s="71"/>
      <c r="AG649" s="71"/>
      <c r="AH649" s="71"/>
      <c r="AI649" s="71"/>
      <c r="AJ649" s="71"/>
      <c r="AK649" s="71"/>
    </row>
    <row r="650" spans="1:37" ht="12.75" customHeight="1" x14ac:dyDescent="0.2">
      <c r="A650" s="71"/>
      <c r="B650" s="71"/>
      <c r="C650" s="71"/>
      <c r="D650" s="71"/>
      <c r="E650" s="71"/>
      <c r="F650" s="71"/>
      <c r="G650" s="71"/>
      <c r="H650" s="71"/>
      <c r="I650" s="71"/>
      <c r="J650" s="71"/>
      <c r="K650" s="71"/>
      <c r="L650" s="71"/>
      <c r="M650" s="71"/>
      <c r="N650" s="71"/>
      <c r="O650" s="71"/>
      <c r="P650" s="71"/>
      <c r="Q650" s="71"/>
      <c r="R650" s="71"/>
      <c r="S650" s="71"/>
      <c r="T650" s="105"/>
      <c r="U650" s="71"/>
      <c r="V650" s="71"/>
      <c r="W650" s="71"/>
      <c r="X650" s="71"/>
      <c r="Y650" s="71"/>
      <c r="Z650" s="71"/>
      <c r="AA650" s="71"/>
      <c r="AB650" s="71"/>
      <c r="AC650" s="71"/>
      <c r="AD650" s="71"/>
      <c r="AE650" s="71"/>
      <c r="AF650" s="71"/>
      <c r="AG650" s="71"/>
      <c r="AH650" s="71"/>
      <c r="AI650" s="71"/>
      <c r="AJ650" s="71"/>
      <c r="AK650" s="71"/>
    </row>
    <row r="651" spans="1:37" ht="12.75" customHeight="1" x14ac:dyDescent="0.2">
      <c r="A651" s="71"/>
      <c r="B651" s="71"/>
      <c r="C651" s="71"/>
      <c r="D651" s="71"/>
      <c r="E651" s="71"/>
      <c r="F651" s="71"/>
      <c r="G651" s="71"/>
      <c r="H651" s="71"/>
      <c r="I651" s="71"/>
      <c r="J651" s="71"/>
      <c r="K651" s="71"/>
      <c r="L651" s="71"/>
      <c r="M651" s="71"/>
      <c r="N651" s="71"/>
      <c r="O651" s="71"/>
      <c r="P651" s="71"/>
      <c r="Q651" s="71"/>
      <c r="R651" s="71"/>
      <c r="S651" s="71"/>
      <c r="T651" s="105"/>
      <c r="U651" s="71"/>
      <c r="V651" s="71"/>
      <c r="W651" s="71"/>
      <c r="X651" s="71"/>
      <c r="Y651" s="71"/>
      <c r="Z651" s="71"/>
      <c r="AA651" s="71"/>
      <c r="AB651" s="71"/>
      <c r="AC651" s="71"/>
      <c r="AD651" s="71"/>
      <c r="AE651" s="71"/>
      <c r="AF651" s="71"/>
      <c r="AG651" s="71"/>
      <c r="AH651" s="71"/>
      <c r="AI651" s="71"/>
      <c r="AJ651" s="71"/>
      <c r="AK651" s="71"/>
    </row>
    <row r="652" spans="1:37" ht="12.75" customHeight="1" x14ac:dyDescent="0.2">
      <c r="A652" s="71"/>
      <c r="B652" s="71"/>
      <c r="C652" s="71"/>
      <c r="D652" s="71"/>
      <c r="E652" s="71"/>
      <c r="F652" s="71"/>
      <c r="G652" s="71"/>
      <c r="H652" s="71"/>
      <c r="I652" s="71"/>
      <c r="J652" s="71"/>
      <c r="K652" s="71"/>
      <c r="L652" s="71"/>
      <c r="M652" s="71"/>
      <c r="N652" s="71"/>
      <c r="O652" s="71"/>
      <c r="P652" s="71"/>
      <c r="Q652" s="71"/>
      <c r="R652" s="71"/>
      <c r="S652" s="71"/>
      <c r="T652" s="105"/>
      <c r="U652" s="71"/>
      <c r="V652" s="71"/>
      <c r="W652" s="71"/>
      <c r="X652" s="71"/>
      <c r="Y652" s="71"/>
      <c r="Z652" s="71"/>
      <c r="AA652" s="71"/>
      <c r="AB652" s="71"/>
      <c r="AC652" s="71"/>
      <c r="AD652" s="71"/>
      <c r="AE652" s="71"/>
      <c r="AF652" s="71"/>
      <c r="AG652" s="71"/>
      <c r="AH652" s="71"/>
      <c r="AI652" s="71"/>
      <c r="AJ652" s="71"/>
      <c r="AK652" s="71"/>
    </row>
    <row r="653" spans="1:37" ht="12.75" customHeight="1" x14ac:dyDescent="0.2">
      <c r="A653" s="71"/>
      <c r="B653" s="71"/>
      <c r="C653" s="71"/>
      <c r="D653" s="71"/>
      <c r="E653" s="71"/>
      <c r="F653" s="71"/>
      <c r="G653" s="71"/>
      <c r="H653" s="71"/>
      <c r="I653" s="71"/>
      <c r="J653" s="71"/>
      <c r="K653" s="71"/>
      <c r="L653" s="71"/>
      <c r="M653" s="71"/>
      <c r="N653" s="71"/>
      <c r="O653" s="71"/>
      <c r="P653" s="71"/>
      <c r="Q653" s="71"/>
      <c r="R653" s="71"/>
      <c r="S653" s="71"/>
      <c r="T653" s="105"/>
      <c r="U653" s="71"/>
      <c r="V653" s="71"/>
      <c r="W653" s="71"/>
      <c r="X653" s="71"/>
      <c r="Y653" s="71"/>
      <c r="Z653" s="71"/>
      <c r="AA653" s="71"/>
      <c r="AB653" s="71"/>
      <c r="AC653" s="71"/>
      <c r="AD653" s="71"/>
      <c r="AE653" s="71"/>
      <c r="AF653" s="71"/>
      <c r="AG653" s="71"/>
      <c r="AH653" s="71"/>
      <c r="AI653" s="71"/>
      <c r="AJ653" s="71"/>
      <c r="AK653" s="71"/>
    </row>
    <row r="654" spans="1:37" ht="12.75" customHeight="1" x14ac:dyDescent="0.2">
      <c r="A654" s="71"/>
      <c r="B654" s="71"/>
      <c r="C654" s="71"/>
      <c r="D654" s="71"/>
      <c r="E654" s="71"/>
      <c r="F654" s="71"/>
      <c r="G654" s="71"/>
      <c r="H654" s="71"/>
      <c r="I654" s="71"/>
      <c r="J654" s="71"/>
      <c r="K654" s="71"/>
      <c r="L654" s="71"/>
      <c r="M654" s="71"/>
      <c r="N654" s="71"/>
      <c r="O654" s="71"/>
      <c r="P654" s="71"/>
      <c r="Q654" s="71"/>
      <c r="R654" s="71"/>
      <c r="S654" s="71"/>
      <c r="T654" s="105"/>
      <c r="U654" s="71"/>
      <c r="V654" s="71"/>
      <c r="W654" s="71"/>
      <c r="X654" s="71"/>
      <c r="Y654" s="71"/>
      <c r="Z654" s="71"/>
      <c r="AA654" s="71"/>
      <c r="AB654" s="71"/>
      <c r="AC654" s="71"/>
      <c r="AD654" s="71"/>
      <c r="AE654" s="71"/>
      <c r="AF654" s="71"/>
      <c r="AG654" s="71"/>
      <c r="AH654" s="71"/>
      <c r="AI654" s="71"/>
      <c r="AJ654" s="71"/>
      <c r="AK654" s="71"/>
    </row>
    <row r="655" spans="1:37" ht="12.75" customHeight="1" x14ac:dyDescent="0.2">
      <c r="A655" s="71"/>
      <c r="B655" s="71"/>
      <c r="C655" s="71"/>
      <c r="D655" s="71"/>
      <c r="E655" s="71"/>
      <c r="F655" s="71"/>
      <c r="G655" s="71"/>
      <c r="H655" s="71"/>
      <c r="I655" s="71"/>
      <c r="J655" s="71"/>
      <c r="K655" s="71"/>
      <c r="L655" s="71"/>
      <c r="M655" s="71"/>
      <c r="N655" s="71"/>
      <c r="O655" s="71"/>
      <c r="P655" s="71"/>
      <c r="Q655" s="71"/>
      <c r="R655" s="71"/>
      <c r="S655" s="71"/>
      <c r="T655" s="105"/>
      <c r="U655" s="71"/>
      <c r="V655" s="71"/>
      <c r="W655" s="71"/>
      <c r="X655" s="71"/>
      <c r="Y655" s="71"/>
      <c r="Z655" s="71"/>
      <c r="AA655" s="71"/>
      <c r="AB655" s="71"/>
      <c r="AC655" s="71"/>
      <c r="AD655" s="71"/>
      <c r="AE655" s="71"/>
      <c r="AF655" s="71"/>
      <c r="AG655" s="71"/>
      <c r="AH655" s="71"/>
      <c r="AI655" s="71"/>
      <c r="AJ655" s="71"/>
      <c r="AK655" s="71"/>
    </row>
    <row r="656" spans="1:37" ht="12.75" customHeight="1" x14ac:dyDescent="0.2">
      <c r="A656" s="71"/>
      <c r="B656" s="71"/>
      <c r="C656" s="71"/>
      <c r="D656" s="71"/>
      <c r="E656" s="71"/>
      <c r="F656" s="71"/>
      <c r="G656" s="71"/>
      <c r="H656" s="71"/>
      <c r="I656" s="71"/>
      <c r="J656" s="71"/>
      <c r="K656" s="71"/>
      <c r="L656" s="71"/>
      <c r="M656" s="71"/>
      <c r="N656" s="71"/>
      <c r="O656" s="71"/>
      <c r="P656" s="71"/>
      <c r="Q656" s="71"/>
      <c r="R656" s="71"/>
      <c r="S656" s="71"/>
      <c r="T656" s="105"/>
      <c r="U656" s="71"/>
      <c r="V656" s="71"/>
      <c r="W656" s="71"/>
      <c r="X656" s="71"/>
      <c r="Y656" s="71"/>
      <c r="Z656" s="71"/>
      <c r="AA656" s="71"/>
      <c r="AB656" s="71"/>
      <c r="AC656" s="71"/>
      <c r="AD656" s="71"/>
      <c r="AE656" s="71"/>
      <c r="AF656" s="71"/>
      <c r="AG656" s="71"/>
      <c r="AH656" s="71"/>
      <c r="AI656" s="71"/>
      <c r="AJ656" s="71"/>
      <c r="AK656" s="71"/>
    </row>
    <row r="657" spans="1:37" ht="12.75" customHeight="1" x14ac:dyDescent="0.2">
      <c r="A657" s="71"/>
      <c r="B657" s="71"/>
      <c r="C657" s="71"/>
      <c r="D657" s="71"/>
      <c r="E657" s="71"/>
      <c r="F657" s="71"/>
      <c r="G657" s="71"/>
      <c r="H657" s="71"/>
      <c r="I657" s="71"/>
      <c r="J657" s="71"/>
      <c r="K657" s="71"/>
      <c r="L657" s="71"/>
      <c r="M657" s="71"/>
      <c r="N657" s="71"/>
      <c r="O657" s="71"/>
      <c r="P657" s="71"/>
      <c r="Q657" s="71"/>
      <c r="R657" s="71"/>
      <c r="S657" s="71"/>
      <c r="T657" s="105"/>
      <c r="U657" s="71"/>
      <c r="V657" s="71"/>
      <c r="W657" s="71"/>
      <c r="X657" s="71"/>
      <c r="Y657" s="71"/>
      <c r="Z657" s="71"/>
      <c r="AA657" s="71"/>
      <c r="AB657" s="71"/>
      <c r="AC657" s="71"/>
      <c r="AD657" s="71"/>
      <c r="AE657" s="71"/>
      <c r="AF657" s="71"/>
      <c r="AG657" s="71"/>
      <c r="AH657" s="71"/>
      <c r="AI657" s="71"/>
      <c r="AJ657" s="71"/>
      <c r="AK657" s="71"/>
    </row>
    <row r="658" spans="1:37" ht="12.75" customHeight="1" x14ac:dyDescent="0.2">
      <c r="A658" s="71"/>
      <c r="B658" s="71"/>
      <c r="C658" s="71"/>
      <c r="D658" s="71"/>
      <c r="E658" s="71"/>
      <c r="F658" s="71"/>
      <c r="G658" s="71"/>
      <c r="H658" s="71"/>
      <c r="I658" s="71"/>
      <c r="J658" s="71"/>
      <c r="K658" s="71"/>
      <c r="L658" s="71"/>
      <c r="M658" s="71"/>
      <c r="N658" s="71"/>
      <c r="O658" s="71"/>
      <c r="P658" s="71"/>
      <c r="Q658" s="71"/>
      <c r="R658" s="71"/>
      <c r="S658" s="71"/>
      <c r="T658" s="105"/>
      <c r="U658" s="71"/>
      <c r="V658" s="71"/>
      <c r="W658" s="71"/>
      <c r="X658" s="71"/>
      <c r="Y658" s="71"/>
      <c r="Z658" s="71"/>
      <c r="AA658" s="71"/>
      <c r="AB658" s="71"/>
      <c r="AC658" s="71"/>
      <c r="AD658" s="71"/>
      <c r="AE658" s="71"/>
      <c r="AF658" s="71"/>
      <c r="AG658" s="71"/>
      <c r="AH658" s="71"/>
      <c r="AI658" s="71"/>
      <c r="AJ658" s="71"/>
      <c r="AK658" s="71"/>
    </row>
    <row r="659" spans="1:37" ht="12.75" customHeight="1" x14ac:dyDescent="0.2">
      <c r="A659" s="71"/>
      <c r="B659" s="71"/>
      <c r="C659" s="71"/>
      <c r="D659" s="71"/>
      <c r="E659" s="71"/>
      <c r="F659" s="71"/>
      <c r="G659" s="71"/>
      <c r="H659" s="71"/>
      <c r="I659" s="71"/>
      <c r="J659" s="71"/>
      <c r="K659" s="71"/>
      <c r="L659" s="71"/>
      <c r="M659" s="71"/>
      <c r="N659" s="71"/>
      <c r="O659" s="71"/>
      <c r="P659" s="71"/>
      <c r="Q659" s="71"/>
      <c r="R659" s="71"/>
      <c r="S659" s="71"/>
      <c r="T659" s="105"/>
      <c r="U659" s="71"/>
      <c r="V659" s="71"/>
      <c r="W659" s="71"/>
      <c r="X659" s="71"/>
      <c r="Y659" s="71"/>
      <c r="Z659" s="71"/>
      <c r="AA659" s="71"/>
      <c r="AB659" s="71"/>
      <c r="AC659" s="71"/>
      <c r="AD659" s="71"/>
      <c r="AE659" s="71"/>
      <c r="AF659" s="71"/>
      <c r="AG659" s="71"/>
      <c r="AH659" s="71"/>
      <c r="AI659" s="71"/>
      <c r="AJ659" s="71"/>
      <c r="AK659" s="71"/>
    </row>
    <row r="660" spans="1:37" ht="12.75" customHeight="1" x14ac:dyDescent="0.2">
      <c r="A660" s="71"/>
      <c r="B660" s="71"/>
      <c r="C660" s="71"/>
      <c r="D660" s="71"/>
      <c r="E660" s="71"/>
      <c r="F660" s="71"/>
      <c r="G660" s="71"/>
      <c r="H660" s="71"/>
      <c r="I660" s="71"/>
      <c r="J660" s="71"/>
      <c r="K660" s="71"/>
      <c r="L660" s="71"/>
      <c r="M660" s="71"/>
      <c r="N660" s="71"/>
      <c r="O660" s="71"/>
      <c r="P660" s="71"/>
      <c r="Q660" s="71"/>
      <c r="R660" s="71"/>
      <c r="S660" s="71"/>
      <c r="T660" s="105"/>
      <c r="U660" s="71"/>
      <c r="V660" s="71"/>
      <c r="W660" s="71"/>
      <c r="X660" s="71"/>
      <c r="Y660" s="71"/>
      <c r="Z660" s="71"/>
      <c r="AA660" s="71"/>
      <c r="AB660" s="71"/>
      <c r="AC660" s="71"/>
      <c r="AD660" s="71"/>
      <c r="AE660" s="71"/>
      <c r="AF660" s="71"/>
      <c r="AG660" s="71"/>
      <c r="AH660" s="71"/>
      <c r="AI660" s="71"/>
      <c r="AJ660" s="71"/>
      <c r="AK660" s="71"/>
    </row>
    <row r="661" spans="1:37" ht="12.75" customHeight="1" x14ac:dyDescent="0.2">
      <c r="A661" s="71"/>
      <c r="B661" s="71"/>
      <c r="C661" s="71"/>
      <c r="D661" s="71"/>
      <c r="E661" s="71"/>
      <c r="F661" s="71"/>
      <c r="G661" s="71"/>
      <c r="H661" s="71"/>
      <c r="I661" s="71"/>
      <c r="J661" s="71"/>
      <c r="K661" s="71"/>
      <c r="L661" s="71"/>
      <c r="M661" s="71"/>
      <c r="N661" s="71"/>
      <c r="O661" s="71"/>
      <c r="P661" s="71"/>
      <c r="Q661" s="71"/>
      <c r="R661" s="71"/>
      <c r="S661" s="71"/>
      <c r="T661" s="105"/>
      <c r="U661" s="71"/>
      <c r="V661" s="71"/>
      <c r="W661" s="71"/>
      <c r="X661" s="71"/>
      <c r="Y661" s="71"/>
      <c r="Z661" s="71"/>
      <c r="AA661" s="71"/>
      <c r="AB661" s="71"/>
      <c r="AC661" s="71"/>
      <c r="AD661" s="71"/>
      <c r="AE661" s="71"/>
      <c r="AF661" s="71"/>
      <c r="AG661" s="71"/>
      <c r="AH661" s="71"/>
      <c r="AI661" s="71"/>
      <c r="AJ661" s="71"/>
      <c r="AK661" s="71"/>
    </row>
    <row r="662" spans="1:37" ht="12.75" customHeight="1" x14ac:dyDescent="0.2">
      <c r="A662" s="71"/>
      <c r="B662" s="71"/>
      <c r="C662" s="71"/>
      <c r="D662" s="71"/>
      <c r="E662" s="71"/>
      <c r="F662" s="71"/>
      <c r="G662" s="71"/>
      <c r="H662" s="71"/>
      <c r="I662" s="71"/>
      <c r="J662" s="71"/>
      <c r="K662" s="71"/>
      <c r="L662" s="71"/>
      <c r="M662" s="71"/>
      <c r="N662" s="71"/>
      <c r="O662" s="71"/>
      <c r="P662" s="71"/>
      <c r="Q662" s="71"/>
      <c r="R662" s="71"/>
      <c r="S662" s="71"/>
      <c r="T662" s="105"/>
      <c r="U662" s="71"/>
      <c r="V662" s="71"/>
      <c r="W662" s="71"/>
      <c r="X662" s="71"/>
      <c r="Y662" s="71"/>
      <c r="Z662" s="71"/>
      <c r="AA662" s="71"/>
      <c r="AB662" s="71"/>
      <c r="AC662" s="71"/>
      <c r="AD662" s="71"/>
      <c r="AE662" s="71"/>
      <c r="AF662" s="71"/>
      <c r="AG662" s="71"/>
      <c r="AH662" s="71"/>
      <c r="AI662" s="71"/>
      <c r="AJ662" s="71"/>
      <c r="AK662" s="71"/>
    </row>
    <row r="663" spans="1:37" ht="12.75" customHeight="1" x14ac:dyDescent="0.2">
      <c r="A663" s="71"/>
      <c r="B663" s="71"/>
      <c r="C663" s="71"/>
      <c r="D663" s="71"/>
      <c r="E663" s="71"/>
      <c r="F663" s="71"/>
      <c r="G663" s="71"/>
      <c r="H663" s="71"/>
      <c r="I663" s="71"/>
      <c r="J663" s="71"/>
      <c r="K663" s="71"/>
      <c r="L663" s="71"/>
      <c r="M663" s="71"/>
      <c r="N663" s="71"/>
      <c r="O663" s="71"/>
      <c r="P663" s="71"/>
      <c r="Q663" s="71"/>
      <c r="R663" s="71"/>
      <c r="S663" s="71"/>
      <c r="T663" s="105"/>
      <c r="U663" s="71"/>
      <c r="V663" s="71"/>
      <c r="W663" s="71"/>
      <c r="X663" s="71"/>
      <c r="Y663" s="71"/>
      <c r="Z663" s="71"/>
      <c r="AA663" s="71"/>
      <c r="AB663" s="71"/>
      <c r="AC663" s="71"/>
      <c r="AD663" s="71"/>
      <c r="AE663" s="71"/>
      <c r="AF663" s="71"/>
      <c r="AG663" s="71"/>
      <c r="AH663" s="71"/>
      <c r="AI663" s="71"/>
      <c r="AJ663" s="71"/>
      <c r="AK663" s="71"/>
    </row>
    <row r="664" spans="1:37" ht="12.75" customHeight="1" x14ac:dyDescent="0.2">
      <c r="A664" s="71"/>
      <c r="B664" s="71"/>
      <c r="C664" s="71"/>
      <c r="D664" s="71"/>
      <c r="E664" s="71"/>
      <c r="F664" s="71"/>
      <c r="G664" s="71"/>
      <c r="H664" s="71"/>
      <c r="I664" s="71"/>
      <c r="J664" s="71"/>
      <c r="K664" s="71"/>
      <c r="L664" s="71"/>
      <c r="M664" s="71"/>
      <c r="N664" s="71"/>
      <c r="O664" s="71"/>
      <c r="P664" s="71"/>
      <c r="Q664" s="71"/>
      <c r="R664" s="71"/>
      <c r="S664" s="71"/>
      <c r="T664" s="105"/>
      <c r="U664" s="71"/>
      <c r="V664" s="71"/>
      <c r="W664" s="71"/>
      <c r="X664" s="71"/>
      <c r="Y664" s="71"/>
      <c r="Z664" s="71"/>
      <c r="AA664" s="71"/>
      <c r="AB664" s="71"/>
      <c r="AC664" s="71"/>
      <c r="AD664" s="71"/>
      <c r="AE664" s="71"/>
      <c r="AF664" s="71"/>
      <c r="AG664" s="71"/>
      <c r="AH664" s="71"/>
      <c r="AI664" s="71"/>
      <c r="AJ664" s="71"/>
      <c r="AK664" s="71"/>
    </row>
    <row r="665" spans="1:37" ht="12.75" customHeight="1" x14ac:dyDescent="0.2">
      <c r="A665" s="71"/>
      <c r="B665" s="71"/>
      <c r="C665" s="71"/>
      <c r="D665" s="71"/>
      <c r="E665" s="71"/>
      <c r="F665" s="71"/>
      <c r="G665" s="71"/>
      <c r="H665" s="71"/>
      <c r="I665" s="71"/>
      <c r="J665" s="71"/>
      <c r="K665" s="71"/>
      <c r="L665" s="71"/>
      <c r="M665" s="71"/>
      <c r="N665" s="71"/>
      <c r="O665" s="71"/>
      <c r="P665" s="71"/>
      <c r="Q665" s="71"/>
      <c r="R665" s="71"/>
      <c r="S665" s="71"/>
      <c r="T665" s="105"/>
      <c r="U665" s="71"/>
      <c r="V665" s="71"/>
      <c r="W665" s="71"/>
      <c r="X665" s="71"/>
      <c r="Y665" s="71"/>
      <c r="Z665" s="71"/>
      <c r="AA665" s="71"/>
      <c r="AB665" s="71"/>
      <c r="AC665" s="71"/>
      <c r="AD665" s="71"/>
      <c r="AE665" s="71"/>
      <c r="AF665" s="71"/>
      <c r="AG665" s="71"/>
      <c r="AH665" s="71"/>
      <c r="AI665" s="71"/>
      <c r="AJ665" s="71"/>
      <c r="AK665" s="71"/>
    </row>
    <row r="666" spans="1:37" ht="12.75" customHeight="1" x14ac:dyDescent="0.2">
      <c r="A666" s="71"/>
      <c r="B666" s="71"/>
      <c r="C666" s="71"/>
      <c r="D666" s="71"/>
      <c r="E666" s="71"/>
      <c r="F666" s="71"/>
      <c r="G666" s="71"/>
      <c r="H666" s="71"/>
      <c r="I666" s="71"/>
      <c r="J666" s="71"/>
      <c r="K666" s="71"/>
      <c r="L666" s="71"/>
      <c r="M666" s="71"/>
      <c r="N666" s="71"/>
      <c r="O666" s="71"/>
      <c r="P666" s="71"/>
      <c r="Q666" s="71"/>
      <c r="R666" s="71"/>
      <c r="S666" s="71"/>
      <c r="T666" s="105"/>
      <c r="U666" s="71"/>
      <c r="V666" s="71"/>
      <c r="W666" s="71"/>
      <c r="X666" s="71"/>
      <c r="Y666" s="71"/>
      <c r="Z666" s="71"/>
      <c r="AA666" s="71"/>
      <c r="AB666" s="71"/>
      <c r="AC666" s="71"/>
      <c r="AD666" s="71"/>
      <c r="AE666" s="71"/>
      <c r="AF666" s="71"/>
      <c r="AG666" s="71"/>
      <c r="AH666" s="71"/>
      <c r="AI666" s="71"/>
      <c r="AJ666" s="71"/>
      <c r="AK666" s="71"/>
    </row>
    <row r="667" spans="1:37" ht="12.75" customHeight="1" x14ac:dyDescent="0.2">
      <c r="A667" s="71"/>
      <c r="B667" s="71"/>
      <c r="C667" s="71"/>
      <c r="D667" s="71"/>
      <c r="E667" s="71"/>
      <c r="F667" s="71"/>
      <c r="G667" s="71"/>
      <c r="H667" s="71"/>
      <c r="I667" s="71"/>
      <c r="J667" s="71"/>
      <c r="K667" s="71"/>
      <c r="L667" s="71"/>
      <c r="M667" s="71"/>
      <c r="N667" s="71"/>
      <c r="O667" s="71"/>
      <c r="P667" s="71"/>
      <c r="Q667" s="71"/>
      <c r="R667" s="71"/>
      <c r="S667" s="71"/>
      <c r="T667" s="105"/>
      <c r="U667" s="71"/>
      <c r="V667" s="71"/>
      <c r="W667" s="71"/>
      <c r="X667" s="71"/>
      <c r="Y667" s="71"/>
      <c r="Z667" s="71"/>
      <c r="AA667" s="71"/>
      <c r="AB667" s="71"/>
      <c r="AC667" s="71"/>
      <c r="AD667" s="71"/>
      <c r="AE667" s="71"/>
      <c r="AF667" s="71"/>
      <c r="AG667" s="71"/>
      <c r="AH667" s="71"/>
      <c r="AI667" s="71"/>
      <c r="AJ667" s="71"/>
      <c r="AK667" s="71"/>
    </row>
    <row r="668" spans="1:37" ht="12.75" customHeight="1" x14ac:dyDescent="0.2">
      <c r="A668" s="71"/>
      <c r="B668" s="71"/>
      <c r="C668" s="71"/>
      <c r="D668" s="71"/>
      <c r="E668" s="71"/>
      <c r="F668" s="71"/>
      <c r="G668" s="71"/>
      <c r="H668" s="71"/>
      <c r="I668" s="71"/>
      <c r="J668" s="71"/>
      <c r="K668" s="71"/>
      <c r="L668" s="71"/>
      <c r="M668" s="71"/>
      <c r="N668" s="71"/>
      <c r="O668" s="71"/>
      <c r="P668" s="71"/>
      <c r="Q668" s="71"/>
      <c r="R668" s="71"/>
      <c r="S668" s="71"/>
      <c r="T668" s="105"/>
      <c r="U668" s="71"/>
      <c r="V668" s="71"/>
      <c r="W668" s="71"/>
      <c r="X668" s="71"/>
      <c r="Y668" s="71"/>
      <c r="Z668" s="71"/>
      <c r="AA668" s="71"/>
      <c r="AB668" s="71"/>
      <c r="AC668" s="71"/>
      <c r="AD668" s="71"/>
      <c r="AE668" s="71"/>
      <c r="AF668" s="71"/>
      <c r="AG668" s="71"/>
      <c r="AH668" s="71"/>
      <c r="AI668" s="71"/>
      <c r="AJ668" s="71"/>
      <c r="AK668" s="71"/>
    </row>
    <row r="669" spans="1:37" ht="12.75" customHeight="1" x14ac:dyDescent="0.2">
      <c r="A669" s="71"/>
      <c r="B669" s="71"/>
      <c r="C669" s="71"/>
      <c r="D669" s="71"/>
      <c r="E669" s="71"/>
      <c r="F669" s="71"/>
      <c r="G669" s="71"/>
      <c r="H669" s="71"/>
      <c r="I669" s="71"/>
      <c r="J669" s="71"/>
      <c r="K669" s="71"/>
      <c r="L669" s="71"/>
      <c r="M669" s="71"/>
      <c r="N669" s="71"/>
      <c r="O669" s="71"/>
      <c r="P669" s="71"/>
      <c r="Q669" s="71"/>
      <c r="R669" s="71"/>
      <c r="S669" s="71"/>
      <c r="T669" s="105"/>
      <c r="U669" s="71"/>
      <c r="V669" s="71"/>
      <c r="W669" s="71"/>
      <c r="X669" s="71"/>
      <c r="Y669" s="71"/>
      <c r="Z669" s="71"/>
      <c r="AA669" s="71"/>
      <c r="AB669" s="71"/>
      <c r="AC669" s="71"/>
      <c r="AD669" s="71"/>
      <c r="AE669" s="71"/>
      <c r="AF669" s="71"/>
      <c r="AG669" s="71"/>
      <c r="AH669" s="71"/>
      <c r="AI669" s="71"/>
      <c r="AJ669" s="71"/>
      <c r="AK669" s="71"/>
    </row>
    <row r="670" spans="1:37" ht="12.75" customHeight="1" x14ac:dyDescent="0.2">
      <c r="A670" s="71"/>
      <c r="B670" s="71"/>
      <c r="C670" s="71"/>
      <c r="D670" s="71"/>
      <c r="E670" s="71"/>
      <c r="F670" s="71"/>
      <c r="G670" s="71"/>
      <c r="H670" s="71"/>
      <c r="I670" s="71"/>
      <c r="J670" s="71"/>
      <c r="K670" s="71"/>
      <c r="L670" s="71"/>
      <c r="M670" s="71"/>
      <c r="N670" s="71"/>
      <c r="O670" s="71"/>
      <c r="P670" s="71"/>
      <c r="Q670" s="71"/>
      <c r="R670" s="71"/>
      <c r="S670" s="71"/>
      <c r="T670" s="105"/>
      <c r="U670" s="71"/>
      <c r="V670" s="71"/>
      <c r="W670" s="71"/>
      <c r="X670" s="71"/>
      <c r="Y670" s="71"/>
      <c r="Z670" s="71"/>
      <c r="AA670" s="71"/>
      <c r="AB670" s="71"/>
      <c r="AC670" s="71"/>
      <c r="AD670" s="71"/>
      <c r="AE670" s="71"/>
      <c r="AF670" s="71"/>
      <c r="AG670" s="71"/>
      <c r="AH670" s="71"/>
      <c r="AI670" s="71"/>
      <c r="AJ670" s="71"/>
      <c r="AK670" s="71"/>
    </row>
    <row r="671" spans="1:37" ht="12.75" customHeight="1" x14ac:dyDescent="0.2">
      <c r="A671" s="71"/>
      <c r="B671" s="71"/>
      <c r="C671" s="71"/>
      <c r="D671" s="71"/>
      <c r="E671" s="71"/>
      <c r="F671" s="71"/>
      <c r="G671" s="71"/>
      <c r="H671" s="71"/>
      <c r="I671" s="71"/>
      <c r="J671" s="71"/>
      <c r="K671" s="71"/>
      <c r="L671" s="71"/>
      <c r="M671" s="71"/>
      <c r="N671" s="71"/>
      <c r="O671" s="71"/>
      <c r="P671" s="71"/>
      <c r="Q671" s="71"/>
      <c r="R671" s="71"/>
      <c r="S671" s="71"/>
      <c r="T671" s="105"/>
      <c r="U671" s="71"/>
      <c r="V671" s="71"/>
      <c r="W671" s="71"/>
      <c r="X671" s="71"/>
      <c r="Y671" s="71"/>
      <c r="Z671" s="71"/>
      <c r="AA671" s="71"/>
      <c r="AB671" s="71"/>
      <c r="AC671" s="71"/>
      <c r="AD671" s="71"/>
      <c r="AE671" s="71"/>
      <c r="AF671" s="71"/>
      <c r="AG671" s="71"/>
      <c r="AH671" s="71"/>
      <c r="AI671" s="71"/>
      <c r="AJ671" s="71"/>
      <c r="AK671" s="71"/>
    </row>
    <row r="672" spans="1:37" ht="12.75" customHeight="1" x14ac:dyDescent="0.2">
      <c r="A672" s="71"/>
      <c r="B672" s="71"/>
      <c r="C672" s="71"/>
      <c r="D672" s="71"/>
      <c r="E672" s="71"/>
      <c r="F672" s="71"/>
      <c r="G672" s="71"/>
      <c r="H672" s="71"/>
      <c r="I672" s="71"/>
      <c r="J672" s="71"/>
      <c r="K672" s="71"/>
      <c r="L672" s="71"/>
      <c r="M672" s="71"/>
      <c r="N672" s="71"/>
      <c r="O672" s="71"/>
      <c r="P672" s="71"/>
      <c r="Q672" s="71"/>
      <c r="R672" s="71"/>
      <c r="S672" s="71"/>
      <c r="T672" s="105"/>
      <c r="U672" s="71"/>
      <c r="V672" s="71"/>
      <c r="W672" s="71"/>
      <c r="X672" s="71"/>
      <c r="Y672" s="71"/>
      <c r="Z672" s="71"/>
      <c r="AA672" s="71"/>
      <c r="AB672" s="71"/>
      <c r="AC672" s="71"/>
      <c r="AD672" s="71"/>
      <c r="AE672" s="71"/>
      <c r="AF672" s="71"/>
      <c r="AG672" s="71"/>
      <c r="AH672" s="71"/>
      <c r="AI672" s="71"/>
      <c r="AJ672" s="71"/>
      <c r="AK672" s="71"/>
    </row>
    <row r="673" spans="1:37" ht="12.75" customHeight="1" x14ac:dyDescent="0.2">
      <c r="A673" s="71"/>
      <c r="B673" s="71"/>
      <c r="C673" s="71"/>
      <c r="D673" s="71"/>
      <c r="E673" s="71"/>
      <c r="F673" s="71"/>
      <c r="G673" s="71"/>
      <c r="H673" s="71"/>
      <c r="I673" s="71"/>
      <c r="J673" s="71"/>
      <c r="K673" s="71"/>
      <c r="L673" s="71"/>
      <c r="M673" s="71"/>
      <c r="N673" s="71"/>
      <c r="O673" s="71"/>
      <c r="P673" s="71"/>
      <c r="Q673" s="71"/>
      <c r="R673" s="71"/>
      <c r="S673" s="71"/>
      <c r="T673" s="105"/>
      <c r="U673" s="71"/>
      <c r="V673" s="71"/>
      <c r="W673" s="71"/>
      <c r="X673" s="71"/>
      <c r="Y673" s="71"/>
      <c r="Z673" s="71"/>
      <c r="AA673" s="71"/>
      <c r="AB673" s="71"/>
      <c r="AC673" s="71"/>
      <c r="AD673" s="71"/>
      <c r="AE673" s="71"/>
      <c r="AF673" s="71"/>
      <c r="AG673" s="71"/>
      <c r="AH673" s="71"/>
      <c r="AI673" s="71"/>
      <c r="AJ673" s="71"/>
      <c r="AK673" s="71"/>
    </row>
    <row r="674" spans="1:37" ht="12.75" customHeight="1" x14ac:dyDescent="0.2">
      <c r="A674" s="71"/>
      <c r="B674" s="71"/>
      <c r="C674" s="71"/>
      <c r="D674" s="71"/>
      <c r="E674" s="71"/>
      <c r="F674" s="71"/>
      <c r="G674" s="71"/>
      <c r="H674" s="71"/>
      <c r="I674" s="71"/>
      <c r="J674" s="71"/>
      <c r="K674" s="71"/>
      <c r="L674" s="71"/>
      <c r="M674" s="71"/>
      <c r="N674" s="71"/>
      <c r="O674" s="71"/>
      <c r="P674" s="71"/>
      <c r="Q674" s="71"/>
      <c r="R674" s="71"/>
      <c r="S674" s="71"/>
      <c r="T674" s="105"/>
      <c r="U674" s="71"/>
      <c r="V674" s="71"/>
      <c r="W674" s="71"/>
      <c r="X674" s="71"/>
      <c r="Y674" s="71"/>
      <c r="Z674" s="71"/>
      <c r="AA674" s="71"/>
      <c r="AB674" s="71"/>
      <c r="AC674" s="71"/>
      <c r="AD674" s="71"/>
      <c r="AE674" s="71"/>
      <c r="AF674" s="71"/>
      <c r="AG674" s="71"/>
      <c r="AH674" s="71"/>
      <c r="AI674" s="71"/>
      <c r="AJ674" s="71"/>
      <c r="AK674" s="71"/>
    </row>
    <row r="675" spans="1:37" ht="12.75" customHeight="1" x14ac:dyDescent="0.2">
      <c r="A675" s="71"/>
      <c r="B675" s="71"/>
      <c r="C675" s="71"/>
      <c r="D675" s="71"/>
      <c r="E675" s="71"/>
      <c r="F675" s="71"/>
      <c r="G675" s="71"/>
      <c r="H675" s="71"/>
      <c r="I675" s="71"/>
      <c r="J675" s="71"/>
      <c r="K675" s="71"/>
      <c r="L675" s="71"/>
      <c r="M675" s="71"/>
      <c r="N675" s="71"/>
      <c r="O675" s="71"/>
      <c r="P675" s="71"/>
      <c r="Q675" s="71"/>
      <c r="R675" s="71"/>
      <c r="S675" s="71"/>
      <c r="T675" s="105"/>
      <c r="U675" s="71"/>
      <c r="V675" s="71"/>
      <c r="W675" s="71"/>
      <c r="X675" s="71"/>
      <c r="Y675" s="71"/>
      <c r="Z675" s="71"/>
      <c r="AA675" s="71"/>
      <c r="AB675" s="71"/>
      <c r="AC675" s="71"/>
      <c r="AD675" s="71"/>
      <c r="AE675" s="71"/>
      <c r="AF675" s="71"/>
      <c r="AG675" s="71"/>
      <c r="AH675" s="71"/>
      <c r="AI675" s="71"/>
      <c r="AJ675" s="71"/>
      <c r="AK675" s="71"/>
    </row>
    <row r="676" spans="1:37" ht="12.75" customHeight="1" x14ac:dyDescent="0.2">
      <c r="A676" s="71"/>
      <c r="B676" s="71"/>
      <c r="C676" s="71"/>
      <c r="D676" s="71"/>
      <c r="E676" s="71"/>
      <c r="F676" s="71"/>
      <c r="G676" s="71"/>
      <c r="H676" s="71"/>
      <c r="I676" s="71"/>
      <c r="J676" s="71"/>
      <c r="K676" s="71"/>
      <c r="L676" s="71"/>
      <c r="M676" s="71"/>
      <c r="N676" s="71"/>
      <c r="O676" s="71"/>
      <c r="P676" s="71"/>
      <c r="Q676" s="71"/>
      <c r="R676" s="71"/>
      <c r="S676" s="71"/>
      <c r="T676" s="105"/>
      <c r="U676" s="71"/>
      <c r="V676" s="71"/>
      <c r="W676" s="71"/>
      <c r="X676" s="71"/>
      <c r="Y676" s="71"/>
      <c r="Z676" s="71"/>
      <c r="AA676" s="71"/>
      <c r="AB676" s="71"/>
      <c r="AC676" s="71"/>
      <c r="AD676" s="71"/>
      <c r="AE676" s="71"/>
      <c r="AF676" s="71"/>
      <c r="AG676" s="71"/>
      <c r="AH676" s="71"/>
      <c r="AI676" s="71"/>
      <c r="AJ676" s="71"/>
      <c r="AK676" s="71"/>
    </row>
    <row r="677" spans="1:37" ht="12.75" customHeight="1" x14ac:dyDescent="0.2">
      <c r="A677" s="71"/>
      <c r="B677" s="71"/>
      <c r="C677" s="71"/>
      <c r="D677" s="71"/>
      <c r="E677" s="71"/>
      <c r="F677" s="71"/>
      <c r="G677" s="71"/>
      <c r="H677" s="71"/>
      <c r="I677" s="71"/>
      <c r="J677" s="71"/>
      <c r="K677" s="71"/>
      <c r="L677" s="71"/>
      <c r="M677" s="71"/>
      <c r="N677" s="71"/>
      <c r="O677" s="71"/>
      <c r="P677" s="71"/>
      <c r="Q677" s="71"/>
      <c r="R677" s="71"/>
      <c r="S677" s="71"/>
      <c r="T677" s="105"/>
      <c r="U677" s="71"/>
      <c r="V677" s="71"/>
      <c r="W677" s="71"/>
      <c r="X677" s="71"/>
      <c r="Y677" s="71"/>
      <c r="Z677" s="71"/>
      <c r="AA677" s="71"/>
      <c r="AB677" s="71"/>
      <c r="AC677" s="71"/>
      <c r="AD677" s="71"/>
      <c r="AE677" s="71"/>
      <c r="AF677" s="71"/>
      <c r="AG677" s="71"/>
      <c r="AH677" s="71"/>
      <c r="AI677" s="71"/>
      <c r="AJ677" s="71"/>
      <c r="AK677" s="71"/>
    </row>
    <row r="678" spans="1:37" ht="12.75" customHeight="1" x14ac:dyDescent="0.2">
      <c r="A678" s="71"/>
      <c r="B678" s="71"/>
      <c r="C678" s="71"/>
      <c r="D678" s="71"/>
      <c r="E678" s="71"/>
      <c r="F678" s="71"/>
      <c r="G678" s="71"/>
      <c r="H678" s="71"/>
      <c r="I678" s="71"/>
      <c r="J678" s="71"/>
      <c r="K678" s="71"/>
      <c r="L678" s="71"/>
      <c r="M678" s="71"/>
      <c r="N678" s="71"/>
      <c r="O678" s="71"/>
      <c r="P678" s="71"/>
      <c r="Q678" s="71"/>
      <c r="R678" s="71"/>
      <c r="S678" s="71"/>
      <c r="T678" s="105"/>
      <c r="U678" s="71"/>
      <c r="V678" s="71"/>
      <c r="W678" s="71"/>
      <c r="X678" s="71"/>
      <c r="Y678" s="71"/>
      <c r="Z678" s="71"/>
      <c r="AA678" s="71"/>
      <c r="AB678" s="71"/>
      <c r="AC678" s="71"/>
      <c r="AD678" s="71"/>
      <c r="AE678" s="71"/>
      <c r="AF678" s="71"/>
      <c r="AG678" s="71"/>
      <c r="AH678" s="71"/>
      <c r="AI678" s="71"/>
      <c r="AJ678" s="71"/>
      <c r="AK678" s="71"/>
    </row>
    <row r="679" spans="1:37" ht="12.75" customHeight="1" x14ac:dyDescent="0.2">
      <c r="A679" s="71"/>
      <c r="B679" s="71"/>
      <c r="C679" s="71"/>
      <c r="D679" s="71"/>
      <c r="E679" s="71"/>
      <c r="F679" s="71"/>
      <c r="G679" s="71"/>
      <c r="H679" s="71"/>
      <c r="I679" s="71"/>
      <c r="J679" s="71"/>
      <c r="K679" s="71"/>
      <c r="L679" s="71"/>
      <c r="M679" s="71"/>
      <c r="N679" s="71"/>
      <c r="O679" s="71"/>
      <c r="P679" s="71"/>
      <c r="Q679" s="71"/>
      <c r="R679" s="71"/>
      <c r="S679" s="71"/>
      <c r="T679" s="105"/>
      <c r="U679" s="71"/>
      <c r="V679" s="71"/>
      <c r="W679" s="71"/>
      <c r="X679" s="71"/>
      <c r="Y679" s="71"/>
      <c r="Z679" s="71"/>
      <c r="AA679" s="71"/>
      <c r="AB679" s="71"/>
      <c r="AC679" s="71"/>
      <c r="AD679" s="71"/>
      <c r="AE679" s="71"/>
      <c r="AF679" s="71"/>
      <c r="AG679" s="71"/>
      <c r="AH679" s="71"/>
      <c r="AI679" s="71"/>
      <c r="AJ679" s="71"/>
      <c r="AK679" s="71"/>
    </row>
    <row r="680" spans="1:37" ht="12.75" customHeight="1" x14ac:dyDescent="0.2">
      <c r="A680" s="71"/>
      <c r="B680" s="71"/>
      <c r="C680" s="71"/>
      <c r="D680" s="71"/>
      <c r="E680" s="71"/>
      <c r="F680" s="71"/>
      <c r="G680" s="71"/>
      <c r="H680" s="71"/>
      <c r="I680" s="71"/>
      <c r="J680" s="71"/>
      <c r="K680" s="71"/>
      <c r="L680" s="71"/>
      <c r="M680" s="71"/>
      <c r="N680" s="71"/>
      <c r="O680" s="71"/>
      <c r="P680" s="71"/>
      <c r="Q680" s="71"/>
      <c r="R680" s="71"/>
      <c r="S680" s="71"/>
      <c r="T680" s="105"/>
      <c r="U680" s="71"/>
      <c r="V680" s="71"/>
      <c r="W680" s="71"/>
      <c r="X680" s="71"/>
      <c r="Y680" s="71"/>
      <c r="Z680" s="71"/>
      <c r="AA680" s="71"/>
      <c r="AB680" s="71"/>
      <c r="AC680" s="71"/>
      <c r="AD680" s="71"/>
      <c r="AE680" s="71"/>
      <c r="AF680" s="71"/>
      <c r="AG680" s="71"/>
      <c r="AH680" s="71"/>
      <c r="AI680" s="71"/>
      <c r="AJ680" s="71"/>
      <c r="AK680" s="71"/>
    </row>
    <row r="681" spans="1:37" ht="12.75" customHeight="1" x14ac:dyDescent="0.2">
      <c r="A681" s="71"/>
      <c r="B681" s="71"/>
      <c r="C681" s="71"/>
      <c r="D681" s="71"/>
      <c r="E681" s="71"/>
      <c r="F681" s="71"/>
      <c r="G681" s="71"/>
      <c r="H681" s="71"/>
      <c r="I681" s="71"/>
      <c r="J681" s="71"/>
      <c r="K681" s="71"/>
      <c r="L681" s="71"/>
      <c r="M681" s="71"/>
      <c r="N681" s="71"/>
      <c r="O681" s="71"/>
      <c r="P681" s="71"/>
      <c r="Q681" s="71"/>
      <c r="R681" s="71"/>
      <c r="S681" s="71"/>
      <c r="T681" s="105"/>
      <c r="U681" s="71"/>
      <c r="V681" s="71"/>
      <c r="W681" s="71"/>
      <c r="X681" s="71"/>
      <c r="Y681" s="71"/>
      <c r="Z681" s="71"/>
      <c r="AA681" s="71"/>
      <c r="AB681" s="71"/>
      <c r="AC681" s="71"/>
      <c r="AD681" s="71"/>
      <c r="AE681" s="71"/>
      <c r="AF681" s="71"/>
      <c r="AG681" s="71"/>
      <c r="AH681" s="71"/>
      <c r="AI681" s="71"/>
      <c r="AJ681" s="71"/>
      <c r="AK681" s="71"/>
    </row>
    <row r="682" spans="1:37" ht="12.75" customHeight="1" x14ac:dyDescent="0.2">
      <c r="A682" s="71"/>
      <c r="B682" s="71"/>
      <c r="C682" s="71"/>
      <c r="D682" s="71"/>
      <c r="E682" s="71"/>
      <c r="F682" s="71"/>
      <c r="G682" s="71"/>
      <c r="H682" s="71"/>
      <c r="I682" s="71"/>
      <c r="J682" s="71"/>
      <c r="K682" s="71"/>
      <c r="L682" s="71"/>
      <c r="M682" s="71"/>
      <c r="N682" s="71"/>
      <c r="O682" s="71"/>
      <c r="P682" s="71"/>
      <c r="Q682" s="71"/>
      <c r="R682" s="71"/>
      <c r="S682" s="71"/>
      <c r="T682" s="105"/>
      <c r="U682" s="71"/>
      <c r="V682" s="71"/>
      <c r="W682" s="71"/>
      <c r="X682" s="71"/>
      <c r="Y682" s="71"/>
      <c r="Z682" s="71"/>
      <c r="AA682" s="71"/>
      <c r="AB682" s="71"/>
      <c r="AC682" s="71"/>
      <c r="AD682" s="71"/>
      <c r="AE682" s="71"/>
      <c r="AF682" s="71"/>
      <c r="AG682" s="71"/>
      <c r="AH682" s="71"/>
      <c r="AI682" s="71"/>
      <c r="AJ682" s="71"/>
      <c r="AK682" s="71"/>
    </row>
    <row r="683" spans="1:37" ht="12.75" customHeight="1" x14ac:dyDescent="0.2">
      <c r="A683" s="71"/>
      <c r="B683" s="71"/>
      <c r="C683" s="71"/>
      <c r="D683" s="71"/>
      <c r="E683" s="71"/>
      <c r="F683" s="71"/>
      <c r="G683" s="71"/>
      <c r="H683" s="71"/>
      <c r="I683" s="71"/>
      <c r="J683" s="71"/>
      <c r="K683" s="71"/>
      <c r="L683" s="71"/>
      <c r="M683" s="71"/>
      <c r="N683" s="71"/>
      <c r="O683" s="71"/>
      <c r="P683" s="71"/>
      <c r="Q683" s="71"/>
      <c r="R683" s="71"/>
      <c r="S683" s="71"/>
      <c r="T683" s="105"/>
      <c r="U683" s="71"/>
      <c r="V683" s="71"/>
      <c r="W683" s="71"/>
      <c r="X683" s="71"/>
      <c r="Y683" s="71"/>
      <c r="Z683" s="71"/>
      <c r="AA683" s="71"/>
      <c r="AB683" s="71"/>
      <c r="AC683" s="71"/>
      <c r="AD683" s="71"/>
      <c r="AE683" s="71"/>
      <c r="AF683" s="71"/>
      <c r="AG683" s="71"/>
      <c r="AH683" s="71"/>
      <c r="AI683" s="71"/>
      <c r="AJ683" s="71"/>
      <c r="AK683" s="71"/>
    </row>
    <row r="684" spans="1:37" ht="12.75" customHeight="1" x14ac:dyDescent="0.2">
      <c r="A684" s="71"/>
      <c r="B684" s="71"/>
      <c r="C684" s="71"/>
      <c r="D684" s="71"/>
      <c r="E684" s="71"/>
      <c r="F684" s="71"/>
      <c r="G684" s="71"/>
      <c r="H684" s="71"/>
      <c r="I684" s="71"/>
      <c r="J684" s="71"/>
      <c r="K684" s="71"/>
      <c r="L684" s="71"/>
      <c r="M684" s="71"/>
      <c r="N684" s="71"/>
      <c r="O684" s="71"/>
      <c r="P684" s="71"/>
      <c r="Q684" s="71"/>
      <c r="R684" s="71"/>
      <c r="S684" s="71"/>
      <c r="T684" s="105"/>
      <c r="U684" s="71"/>
      <c r="V684" s="71"/>
      <c r="W684" s="71"/>
      <c r="X684" s="71"/>
      <c r="Y684" s="71"/>
      <c r="Z684" s="71"/>
      <c r="AA684" s="71"/>
      <c r="AB684" s="71"/>
      <c r="AC684" s="71"/>
      <c r="AD684" s="71"/>
      <c r="AE684" s="71"/>
      <c r="AF684" s="71"/>
      <c r="AG684" s="71"/>
      <c r="AH684" s="71"/>
      <c r="AI684" s="71"/>
      <c r="AJ684" s="71"/>
      <c r="AK684" s="71"/>
    </row>
    <row r="685" spans="1:37" ht="12.75" customHeight="1" x14ac:dyDescent="0.2">
      <c r="A685" s="71"/>
      <c r="B685" s="71"/>
      <c r="C685" s="71"/>
      <c r="D685" s="71"/>
      <c r="E685" s="71"/>
      <c r="F685" s="71"/>
      <c r="G685" s="71"/>
      <c r="H685" s="71"/>
      <c r="I685" s="71"/>
      <c r="J685" s="71"/>
      <c r="K685" s="71"/>
      <c r="L685" s="71"/>
      <c r="M685" s="71"/>
      <c r="N685" s="71"/>
      <c r="O685" s="71"/>
      <c r="P685" s="71"/>
      <c r="Q685" s="71"/>
      <c r="R685" s="71"/>
      <c r="S685" s="71"/>
      <c r="T685" s="105"/>
      <c r="U685" s="71"/>
      <c r="V685" s="71"/>
      <c r="W685" s="71"/>
      <c r="X685" s="71"/>
      <c r="Y685" s="71"/>
      <c r="Z685" s="71"/>
      <c r="AA685" s="71"/>
      <c r="AB685" s="71"/>
      <c r="AC685" s="71"/>
      <c r="AD685" s="71"/>
      <c r="AE685" s="71"/>
      <c r="AF685" s="71"/>
      <c r="AG685" s="71"/>
      <c r="AH685" s="71"/>
      <c r="AI685" s="71"/>
      <c r="AJ685" s="71"/>
      <c r="AK685" s="71"/>
    </row>
    <row r="686" spans="1:37" ht="12.75" customHeight="1" x14ac:dyDescent="0.2">
      <c r="A686" s="71"/>
      <c r="B686" s="71"/>
      <c r="C686" s="71"/>
      <c r="D686" s="71"/>
      <c r="E686" s="71"/>
      <c r="F686" s="71"/>
      <c r="G686" s="71"/>
      <c r="H686" s="71"/>
      <c r="I686" s="71"/>
      <c r="J686" s="71"/>
      <c r="K686" s="71"/>
      <c r="L686" s="71"/>
      <c r="M686" s="71"/>
      <c r="N686" s="71"/>
      <c r="O686" s="71"/>
      <c r="P686" s="71"/>
      <c r="Q686" s="71"/>
      <c r="R686" s="71"/>
      <c r="S686" s="71"/>
      <c r="T686" s="105"/>
      <c r="U686" s="71"/>
      <c r="V686" s="71"/>
      <c r="W686" s="71"/>
      <c r="X686" s="71"/>
      <c r="Y686" s="71"/>
      <c r="Z686" s="71"/>
      <c r="AA686" s="71"/>
      <c r="AB686" s="71"/>
      <c r="AC686" s="71"/>
      <c r="AD686" s="71"/>
      <c r="AE686" s="71"/>
      <c r="AF686" s="71"/>
      <c r="AG686" s="71"/>
      <c r="AH686" s="71"/>
      <c r="AI686" s="71"/>
      <c r="AJ686" s="71"/>
      <c r="AK686" s="71"/>
    </row>
    <row r="687" spans="1:37" ht="12.75" customHeight="1" x14ac:dyDescent="0.2">
      <c r="A687" s="71"/>
      <c r="B687" s="71"/>
      <c r="C687" s="71"/>
      <c r="D687" s="71"/>
      <c r="E687" s="71"/>
      <c r="F687" s="71"/>
      <c r="G687" s="71"/>
      <c r="H687" s="71"/>
      <c r="I687" s="71"/>
      <c r="J687" s="71"/>
      <c r="K687" s="71"/>
      <c r="L687" s="71"/>
      <c r="M687" s="71"/>
      <c r="N687" s="71"/>
      <c r="O687" s="71"/>
      <c r="P687" s="71"/>
      <c r="Q687" s="71"/>
      <c r="R687" s="71"/>
      <c r="S687" s="71"/>
      <c r="T687" s="105"/>
      <c r="U687" s="71"/>
      <c r="V687" s="71"/>
      <c r="W687" s="71"/>
      <c r="X687" s="71"/>
      <c r="Y687" s="71"/>
      <c r="Z687" s="71"/>
      <c r="AA687" s="71"/>
      <c r="AB687" s="71"/>
      <c r="AC687" s="71"/>
      <c r="AD687" s="71"/>
      <c r="AE687" s="71"/>
      <c r="AF687" s="71"/>
      <c r="AG687" s="71"/>
      <c r="AH687" s="71"/>
      <c r="AI687" s="71"/>
      <c r="AJ687" s="71"/>
      <c r="AK687" s="71"/>
    </row>
    <row r="688" spans="1:37" ht="12.75" customHeight="1" x14ac:dyDescent="0.2">
      <c r="A688" s="71"/>
      <c r="B688" s="71"/>
      <c r="C688" s="71"/>
      <c r="D688" s="71"/>
      <c r="E688" s="71"/>
      <c r="F688" s="71"/>
      <c r="G688" s="71"/>
      <c r="H688" s="71"/>
      <c r="I688" s="71"/>
      <c r="J688" s="71"/>
      <c r="K688" s="71"/>
      <c r="L688" s="71"/>
      <c r="M688" s="71"/>
      <c r="N688" s="71"/>
      <c r="O688" s="71"/>
      <c r="P688" s="71"/>
      <c r="Q688" s="71"/>
      <c r="R688" s="71"/>
      <c r="S688" s="71"/>
      <c r="T688" s="105"/>
      <c r="U688" s="71"/>
      <c r="V688" s="71"/>
      <c r="W688" s="71"/>
      <c r="X688" s="71"/>
      <c r="Y688" s="71"/>
      <c r="Z688" s="71"/>
      <c r="AA688" s="71"/>
      <c r="AB688" s="71"/>
      <c r="AC688" s="71"/>
      <c r="AD688" s="71"/>
      <c r="AE688" s="71"/>
      <c r="AF688" s="71"/>
      <c r="AG688" s="71"/>
      <c r="AH688" s="71"/>
      <c r="AI688" s="71"/>
      <c r="AJ688" s="71"/>
      <c r="AK688" s="71"/>
    </row>
    <row r="689" spans="1:37" ht="12.75" customHeight="1" x14ac:dyDescent="0.2">
      <c r="A689" s="71"/>
      <c r="B689" s="71"/>
      <c r="C689" s="71"/>
      <c r="D689" s="71"/>
      <c r="E689" s="71"/>
      <c r="F689" s="71"/>
      <c r="G689" s="71"/>
      <c r="H689" s="71"/>
      <c r="I689" s="71"/>
      <c r="J689" s="71"/>
      <c r="K689" s="71"/>
      <c r="L689" s="71"/>
      <c r="M689" s="71"/>
      <c r="N689" s="71"/>
      <c r="O689" s="71"/>
      <c r="P689" s="71"/>
      <c r="Q689" s="71"/>
      <c r="R689" s="71"/>
      <c r="S689" s="71"/>
      <c r="T689" s="105"/>
      <c r="U689" s="71"/>
      <c r="V689" s="71"/>
      <c r="W689" s="71"/>
      <c r="X689" s="71"/>
      <c r="Y689" s="71"/>
      <c r="Z689" s="71"/>
      <c r="AA689" s="71"/>
      <c r="AB689" s="71"/>
      <c r="AC689" s="71"/>
      <c r="AD689" s="71"/>
      <c r="AE689" s="71"/>
      <c r="AF689" s="71"/>
      <c r="AG689" s="71"/>
      <c r="AH689" s="71"/>
      <c r="AI689" s="71"/>
      <c r="AJ689" s="71"/>
      <c r="AK689" s="71"/>
    </row>
    <row r="690" spans="1:37" ht="12.75" customHeight="1" x14ac:dyDescent="0.2">
      <c r="A690" s="71"/>
      <c r="B690" s="71"/>
      <c r="C690" s="71"/>
      <c r="D690" s="71"/>
      <c r="E690" s="71"/>
      <c r="F690" s="71"/>
      <c r="G690" s="71"/>
      <c r="H690" s="71"/>
      <c r="I690" s="71"/>
      <c r="J690" s="71"/>
      <c r="K690" s="71"/>
      <c r="L690" s="71"/>
      <c r="M690" s="71"/>
      <c r="N690" s="71"/>
      <c r="O690" s="71"/>
      <c r="P690" s="71"/>
      <c r="Q690" s="71"/>
      <c r="R690" s="71"/>
      <c r="S690" s="71"/>
      <c r="T690" s="105"/>
      <c r="U690" s="71"/>
      <c r="V690" s="71"/>
      <c r="W690" s="71"/>
      <c r="X690" s="71"/>
      <c r="Y690" s="71"/>
      <c r="Z690" s="71"/>
      <c r="AA690" s="71"/>
      <c r="AB690" s="71"/>
      <c r="AC690" s="71"/>
      <c r="AD690" s="71"/>
      <c r="AE690" s="71"/>
      <c r="AF690" s="71"/>
      <c r="AG690" s="71"/>
      <c r="AH690" s="71"/>
      <c r="AI690" s="71"/>
      <c r="AJ690" s="71"/>
      <c r="AK690" s="71"/>
    </row>
    <row r="691" spans="1:37" ht="12.75" customHeight="1" x14ac:dyDescent="0.2">
      <c r="A691" s="71"/>
      <c r="B691" s="71"/>
      <c r="C691" s="71"/>
      <c r="D691" s="71"/>
      <c r="E691" s="71"/>
      <c r="F691" s="71"/>
      <c r="G691" s="71"/>
      <c r="H691" s="71"/>
      <c r="I691" s="71"/>
      <c r="J691" s="71"/>
      <c r="K691" s="71"/>
      <c r="L691" s="71"/>
      <c r="M691" s="71"/>
      <c r="N691" s="71"/>
      <c r="O691" s="71"/>
      <c r="P691" s="71"/>
      <c r="Q691" s="71"/>
      <c r="R691" s="71"/>
      <c r="S691" s="71"/>
      <c r="T691" s="105"/>
      <c r="U691" s="71"/>
      <c r="V691" s="71"/>
      <c r="W691" s="71"/>
      <c r="X691" s="71"/>
      <c r="Y691" s="71"/>
      <c r="Z691" s="71"/>
      <c r="AA691" s="71"/>
      <c r="AB691" s="71"/>
      <c r="AC691" s="71"/>
      <c r="AD691" s="71"/>
      <c r="AE691" s="71"/>
      <c r="AF691" s="71"/>
      <c r="AG691" s="71"/>
      <c r="AH691" s="71"/>
      <c r="AI691" s="71"/>
      <c r="AJ691" s="71"/>
      <c r="AK691" s="71"/>
    </row>
    <row r="692" spans="1:37" ht="12.75" customHeight="1" x14ac:dyDescent="0.2">
      <c r="A692" s="71"/>
      <c r="B692" s="71"/>
      <c r="C692" s="71"/>
      <c r="D692" s="71"/>
      <c r="E692" s="71"/>
      <c r="F692" s="71"/>
      <c r="G692" s="71"/>
      <c r="H692" s="71"/>
      <c r="I692" s="71"/>
      <c r="J692" s="71"/>
      <c r="K692" s="71"/>
      <c r="L692" s="71"/>
      <c r="M692" s="71"/>
      <c r="N692" s="71"/>
      <c r="O692" s="71"/>
      <c r="P692" s="71"/>
      <c r="Q692" s="71"/>
      <c r="R692" s="71"/>
      <c r="S692" s="71"/>
      <c r="T692" s="105"/>
      <c r="U692" s="71"/>
      <c r="V692" s="71"/>
      <c r="W692" s="71"/>
      <c r="X692" s="71"/>
      <c r="Y692" s="71"/>
      <c r="Z692" s="71"/>
      <c r="AA692" s="71"/>
      <c r="AB692" s="71"/>
      <c r="AC692" s="71"/>
      <c r="AD692" s="71"/>
      <c r="AE692" s="71"/>
      <c r="AF692" s="71"/>
      <c r="AG692" s="71"/>
      <c r="AH692" s="71"/>
      <c r="AI692" s="71"/>
      <c r="AJ692" s="71"/>
      <c r="AK692" s="71"/>
    </row>
    <row r="693" spans="1:37" ht="12.75" customHeight="1" x14ac:dyDescent="0.2">
      <c r="A693" s="71"/>
      <c r="B693" s="71"/>
      <c r="C693" s="71"/>
      <c r="D693" s="71"/>
      <c r="E693" s="71"/>
      <c r="F693" s="71"/>
      <c r="G693" s="71"/>
      <c r="H693" s="71"/>
      <c r="I693" s="71"/>
      <c r="J693" s="71"/>
      <c r="K693" s="71"/>
      <c r="L693" s="71"/>
      <c r="M693" s="71"/>
      <c r="N693" s="71"/>
      <c r="O693" s="71"/>
      <c r="P693" s="71"/>
      <c r="Q693" s="71"/>
      <c r="R693" s="71"/>
      <c r="S693" s="71"/>
      <c r="T693" s="105"/>
      <c r="U693" s="71"/>
      <c r="V693" s="71"/>
      <c r="W693" s="71"/>
      <c r="X693" s="71"/>
      <c r="Y693" s="71"/>
      <c r="Z693" s="71"/>
      <c r="AA693" s="71"/>
      <c r="AB693" s="71"/>
      <c r="AC693" s="71"/>
      <c r="AD693" s="71"/>
      <c r="AE693" s="71"/>
      <c r="AF693" s="71"/>
      <c r="AG693" s="71"/>
      <c r="AH693" s="71"/>
      <c r="AI693" s="71"/>
      <c r="AJ693" s="71"/>
      <c r="AK693" s="71"/>
    </row>
    <row r="694" spans="1:37" ht="12.75" customHeight="1" x14ac:dyDescent="0.2">
      <c r="A694" s="71"/>
      <c r="B694" s="71"/>
      <c r="C694" s="71"/>
      <c r="D694" s="71"/>
      <c r="E694" s="71"/>
      <c r="F694" s="71"/>
      <c r="G694" s="71"/>
      <c r="H694" s="71"/>
      <c r="I694" s="71"/>
      <c r="J694" s="71"/>
      <c r="K694" s="71"/>
      <c r="L694" s="71"/>
      <c r="M694" s="71"/>
      <c r="N694" s="71"/>
      <c r="O694" s="71"/>
      <c r="P694" s="71"/>
      <c r="Q694" s="71"/>
      <c r="R694" s="71"/>
      <c r="S694" s="71"/>
      <c r="T694" s="105"/>
      <c r="U694" s="71"/>
      <c r="V694" s="71"/>
      <c r="W694" s="71"/>
      <c r="X694" s="71"/>
      <c r="Y694" s="71"/>
      <c r="Z694" s="71"/>
      <c r="AA694" s="71"/>
      <c r="AB694" s="71"/>
      <c r="AC694" s="71"/>
      <c r="AD694" s="71"/>
      <c r="AE694" s="71"/>
      <c r="AF694" s="71"/>
      <c r="AG694" s="71"/>
      <c r="AH694" s="71"/>
      <c r="AI694" s="71"/>
      <c r="AJ694" s="71"/>
      <c r="AK694" s="71"/>
    </row>
    <row r="695" spans="1:37" ht="12.75" customHeight="1" x14ac:dyDescent="0.2">
      <c r="A695" s="71"/>
      <c r="B695" s="71"/>
      <c r="C695" s="71"/>
      <c r="D695" s="71"/>
      <c r="E695" s="71"/>
      <c r="F695" s="71"/>
      <c r="G695" s="71"/>
      <c r="H695" s="71"/>
      <c r="I695" s="71"/>
      <c r="J695" s="71"/>
      <c r="K695" s="71"/>
      <c r="L695" s="71"/>
      <c r="M695" s="71"/>
      <c r="N695" s="71"/>
      <c r="O695" s="71"/>
      <c r="P695" s="71"/>
      <c r="Q695" s="71"/>
      <c r="R695" s="71"/>
      <c r="S695" s="71"/>
      <c r="T695" s="105"/>
      <c r="U695" s="71"/>
      <c r="V695" s="71"/>
      <c r="W695" s="71"/>
      <c r="X695" s="71"/>
      <c r="Y695" s="71"/>
      <c r="Z695" s="71"/>
      <c r="AA695" s="71"/>
      <c r="AB695" s="71"/>
      <c r="AC695" s="71"/>
      <c r="AD695" s="71"/>
      <c r="AE695" s="71"/>
      <c r="AF695" s="71"/>
      <c r="AG695" s="71"/>
      <c r="AH695" s="71"/>
      <c r="AI695" s="71"/>
      <c r="AJ695" s="71"/>
      <c r="AK695" s="71"/>
    </row>
    <row r="696" spans="1:37" ht="12.75" customHeight="1" x14ac:dyDescent="0.2">
      <c r="A696" s="71"/>
      <c r="B696" s="71"/>
      <c r="C696" s="71"/>
      <c r="D696" s="71"/>
      <c r="E696" s="71"/>
      <c r="F696" s="71"/>
      <c r="G696" s="71"/>
      <c r="H696" s="71"/>
      <c r="I696" s="71"/>
      <c r="J696" s="71"/>
      <c r="K696" s="71"/>
      <c r="L696" s="71"/>
      <c r="M696" s="71"/>
      <c r="N696" s="71"/>
      <c r="O696" s="71"/>
      <c r="P696" s="71"/>
      <c r="Q696" s="71"/>
      <c r="R696" s="71"/>
      <c r="S696" s="71"/>
      <c r="T696" s="105"/>
      <c r="U696" s="71"/>
      <c r="V696" s="71"/>
      <c r="W696" s="71"/>
      <c r="X696" s="71"/>
      <c r="Y696" s="71"/>
      <c r="Z696" s="71"/>
      <c r="AA696" s="71"/>
      <c r="AB696" s="71"/>
      <c r="AC696" s="71"/>
      <c r="AD696" s="71"/>
      <c r="AE696" s="71"/>
      <c r="AF696" s="71"/>
      <c r="AG696" s="71"/>
      <c r="AH696" s="71"/>
      <c r="AI696" s="71"/>
      <c r="AJ696" s="71"/>
      <c r="AK696" s="71"/>
    </row>
    <row r="697" spans="1:37" ht="12.75" customHeight="1" x14ac:dyDescent="0.2">
      <c r="A697" s="71"/>
      <c r="B697" s="71"/>
      <c r="C697" s="71"/>
      <c r="D697" s="71"/>
      <c r="E697" s="71"/>
      <c r="F697" s="71"/>
      <c r="G697" s="71"/>
      <c r="H697" s="71"/>
      <c r="I697" s="71"/>
      <c r="J697" s="71"/>
      <c r="K697" s="71"/>
      <c r="L697" s="71"/>
      <c r="M697" s="71"/>
      <c r="N697" s="71"/>
      <c r="O697" s="71"/>
      <c r="P697" s="71"/>
      <c r="Q697" s="71"/>
      <c r="R697" s="71"/>
      <c r="S697" s="71"/>
      <c r="T697" s="105"/>
      <c r="U697" s="71"/>
      <c r="V697" s="71"/>
      <c r="W697" s="71"/>
      <c r="X697" s="71"/>
      <c r="Y697" s="71"/>
      <c r="Z697" s="71"/>
      <c r="AA697" s="71"/>
      <c r="AB697" s="71"/>
      <c r="AC697" s="71"/>
      <c r="AD697" s="71"/>
      <c r="AE697" s="71"/>
      <c r="AF697" s="71"/>
      <c r="AG697" s="71"/>
      <c r="AH697" s="71"/>
      <c r="AI697" s="71"/>
      <c r="AJ697" s="71"/>
      <c r="AK697" s="71"/>
    </row>
    <row r="698" spans="1:37" ht="12.75" customHeight="1" x14ac:dyDescent="0.2">
      <c r="A698" s="71"/>
      <c r="B698" s="71"/>
      <c r="C698" s="71"/>
      <c r="D698" s="71"/>
      <c r="E698" s="71"/>
      <c r="F698" s="71"/>
      <c r="G698" s="71"/>
      <c r="H698" s="71"/>
      <c r="I698" s="71"/>
      <c r="J698" s="71"/>
      <c r="K698" s="71"/>
      <c r="L698" s="71"/>
      <c r="M698" s="71"/>
      <c r="N698" s="71"/>
      <c r="O698" s="71"/>
      <c r="P698" s="71"/>
      <c r="Q698" s="71"/>
      <c r="R698" s="71"/>
      <c r="S698" s="71"/>
      <c r="T698" s="105"/>
      <c r="U698" s="71"/>
      <c r="V698" s="71"/>
      <c r="W698" s="71"/>
      <c r="X698" s="71"/>
      <c r="Y698" s="71"/>
      <c r="Z698" s="71"/>
      <c r="AA698" s="71"/>
      <c r="AB698" s="71"/>
      <c r="AC698" s="71"/>
      <c r="AD698" s="71"/>
      <c r="AE698" s="71"/>
      <c r="AF698" s="71"/>
      <c r="AG698" s="71"/>
      <c r="AH698" s="71"/>
      <c r="AI698" s="71"/>
      <c r="AJ698" s="71"/>
      <c r="AK698" s="71"/>
    </row>
    <row r="699" spans="1:37" ht="12.75" customHeight="1" x14ac:dyDescent="0.2">
      <c r="A699" s="71"/>
      <c r="B699" s="71"/>
      <c r="C699" s="71"/>
      <c r="D699" s="71"/>
      <c r="E699" s="71"/>
      <c r="F699" s="71"/>
      <c r="G699" s="71"/>
      <c r="H699" s="71"/>
      <c r="I699" s="71"/>
      <c r="J699" s="71"/>
      <c r="K699" s="71"/>
      <c r="L699" s="71"/>
      <c r="M699" s="71"/>
      <c r="N699" s="71"/>
      <c r="O699" s="71"/>
      <c r="P699" s="71"/>
      <c r="Q699" s="71"/>
      <c r="R699" s="71"/>
      <c r="S699" s="71"/>
      <c r="T699" s="105"/>
      <c r="U699" s="71"/>
      <c r="V699" s="71"/>
      <c r="W699" s="71"/>
      <c r="X699" s="71"/>
      <c r="Y699" s="71"/>
      <c r="Z699" s="71"/>
      <c r="AA699" s="71"/>
      <c r="AB699" s="71"/>
      <c r="AC699" s="71"/>
      <c r="AD699" s="71"/>
      <c r="AE699" s="71"/>
      <c r="AF699" s="71"/>
      <c r="AG699" s="71"/>
      <c r="AH699" s="71"/>
      <c r="AI699" s="71"/>
      <c r="AJ699" s="71"/>
      <c r="AK699" s="71"/>
    </row>
    <row r="700" spans="1:37" ht="12.75" customHeight="1" x14ac:dyDescent="0.2">
      <c r="A700" s="71"/>
      <c r="B700" s="71"/>
      <c r="C700" s="71"/>
      <c r="D700" s="71"/>
      <c r="E700" s="71"/>
      <c r="F700" s="71"/>
      <c r="G700" s="71"/>
      <c r="H700" s="71"/>
      <c r="I700" s="71"/>
      <c r="J700" s="71"/>
      <c r="K700" s="71"/>
      <c r="L700" s="71"/>
      <c r="M700" s="71"/>
      <c r="N700" s="71"/>
      <c r="O700" s="71"/>
      <c r="P700" s="71"/>
      <c r="Q700" s="71"/>
      <c r="R700" s="71"/>
      <c r="S700" s="71"/>
      <c r="T700" s="105"/>
      <c r="U700" s="71"/>
      <c r="V700" s="71"/>
      <c r="W700" s="71"/>
      <c r="X700" s="71"/>
      <c r="Y700" s="71"/>
      <c r="Z700" s="71"/>
      <c r="AA700" s="71"/>
      <c r="AB700" s="71"/>
      <c r="AC700" s="71"/>
      <c r="AD700" s="71"/>
      <c r="AE700" s="71"/>
      <c r="AF700" s="71"/>
      <c r="AG700" s="71"/>
      <c r="AH700" s="71"/>
      <c r="AI700" s="71"/>
      <c r="AJ700" s="71"/>
      <c r="AK700" s="71"/>
    </row>
    <row r="701" spans="1:37" ht="12.75" customHeight="1" x14ac:dyDescent="0.2">
      <c r="A701" s="71"/>
      <c r="B701" s="71"/>
      <c r="C701" s="71"/>
      <c r="D701" s="71"/>
      <c r="E701" s="71"/>
      <c r="F701" s="71"/>
      <c r="G701" s="71"/>
      <c r="H701" s="71"/>
      <c r="I701" s="71"/>
      <c r="J701" s="71"/>
      <c r="K701" s="71"/>
      <c r="L701" s="71"/>
      <c r="M701" s="71"/>
      <c r="N701" s="71"/>
      <c r="O701" s="71"/>
      <c r="P701" s="71"/>
      <c r="Q701" s="71"/>
      <c r="R701" s="71"/>
      <c r="S701" s="71"/>
      <c r="T701" s="105"/>
      <c r="U701" s="71"/>
      <c r="V701" s="71"/>
      <c r="W701" s="71"/>
      <c r="X701" s="71"/>
      <c r="Y701" s="71"/>
      <c r="Z701" s="71"/>
      <c r="AA701" s="71"/>
      <c r="AB701" s="71"/>
      <c r="AC701" s="71"/>
      <c r="AD701" s="71"/>
      <c r="AE701" s="71"/>
      <c r="AF701" s="71"/>
      <c r="AG701" s="71"/>
      <c r="AH701" s="71"/>
      <c r="AI701" s="71"/>
      <c r="AJ701" s="71"/>
      <c r="AK701" s="71"/>
    </row>
    <row r="702" spans="1:37" ht="12.75" customHeight="1" x14ac:dyDescent="0.2">
      <c r="A702" s="71"/>
      <c r="B702" s="71"/>
      <c r="C702" s="71"/>
      <c r="D702" s="71"/>
      <c r="E702" s="71"/>
      <c r="F702" s="71"/>
      <c r="G702" s="71"/>
      <c r="H702" s="71"/>
      <c r="I702" s="71"/>
      <c r="J702" s="71"/>
      <c r="K702" s="71"/>
      <c r="L702" s="71"/>
      <c r="M702" s="71"/>
      <c r="N702" s="71"/>
      <c r="O702" s="71"/>
      <c r="P702" s="71"/>
      <c r="Q702" s="71"/>
      <c r="R702" s="71"/>
      <c r="S702" s="71"/>
      <c r="T702" s="105"/>
      <c r="U702" s="71"/>
      <c r="V702" s="71"/>
      <c r="W702" s="71"/>
      <c r="X702" s="71"/>
      <c r="Y702" s="71"/>
      <c r="Z702" s="71"/>
      <c r="AA702" s="71"/>
      <c r="AB702" s="71"/>
      <c r="AC702" s="71"/>
      <c r="AD702" s="71"/>
      <c r="AE702" s="71"/>
      <c r="AF702" s="71"/>
      <c r="AG702" s="71"/>
      <c r="AH702" s="71"/>
      <c r="AI702" s="71"/>
      <c r="AJ702" s="71"/>
      <c r="AK702" s="71"/>
    </row>
    <row r="703" spans="1:37" ht="12.75" customHeight="1" x14ac:dyDescent="0.2">
      <c r="A703" s="71"/>
      <c r="B703" s="71"/>
      <c r="C703" s="71"/>
      <c r="D703" s="71"/>
      <c r="E703" s="71"/>
      <c r="F703" s="71"/>
      <c r="G703" s="71"/>
      <c r="H703" s="71"/>
      <c r="I703" s="71"/>
      <c r="J703" s="71"/>
      <c r="K703" s="71"/>
      <c r="L703" s="71"/>
      <c r="M703" s="71"/>
      <c r="N703" s="71"/>
      <c r="O703" s="71"/>
      <c r="P703" s="71"/>
      <c r="Q703" s="71"/>
      <c r="R703" s="71"/>
      <c r="S703" s="71"/>
      <c r="T703" s="105"/>
      <c r="U703" s="71"/>
      <c r="V703" s="71"/>
      <c r="W703" s="71"/>
      <c r="X703" s="71"/>
      <c r="Y703" s="71"/>
      <c r="Z703" s="71"/>
      <c r="AA703" s="71"/>
      <c r="AB703" s="71"/>
      <c r="AC703" s="71"/>
      <c r="AD703" s="71"/>
      <c r="AE703" s="71"/>
      <c r="AF703" s="71"/>
      <c r="AG703" s="71"/>
      <c r="AH703" s="71"/>
      <c r="AI703" s="71"/>
      <c r="AJ703" s="71"/>
      <c r="AK703" s="71"/>
    </row>
    <row r="704" spans="1:37" ht="12.75" customHeight="1" x14ac:dyDescent="0.2">
      <c r="A704" s="71"/>
      <c r="B704" s="71"/>
      <c r="C704" s="71"/>
      <c r="D704" s="71"/>
      <c r="E704" s="71"/>
      <c r="F704" s="71"/>
      <c r="G704" s="71"/>
      <c r="H704" s="71"/>
      <c r="I704" s="71"/>
      <c r="J704" s="71"/>
      <c r="K704" s="71"/>
      <c r="L704" s="71"/>
      <c r="M704" s="71"/>
      <c r="N704" s="71"/>
      <c r="O704" s="71"/>
      <c r="P704" s="71"/>
      <c r="Q704" s="71"/>
      <c r="R704" s="71"/>
      <c r="S704" s="71"/>
      <c r="T704" s="105"/>
      <c r="U704" s="71"/>
      <c r="V704" s="71"/>
      <c r="W704" s="71"/>
      <c r="X704" s="71"/>
      <c r="Y704" s="71"/>
      <c r="Z704" s="71"/>
      <c r="AA704" s="71"/>
      <c r="AB704" s="71"/>
      <c r="AC704" s="71"/>
      <c r="AD704" s="71"/>
      <c r="AE704" s="71"/>
      <c r="AF704" s="71"/>
      <c r="AG704" s="71"/>
      <c r="AH704" s="71"/>
      <c r="AI704" s="71"/>
      <c r="AJ704" s="71"/>
      <c r="AK704" s="71"/>
    </row>
    <row r="705" spans="1:37" ht="12.75" customHeight="1" x14ac:dyDescent="0.2">
      <c r="A705" s="71"/>
      <c r="B705" s="71"/>
      <c r="C705" s="71"/>
      <c r="D705" s="71"/>
      <c r="E705" s="71"/>
      <c r="F705" s="71"/>
      <c r="G705" s="71"/>
      <c r="H705" s="71"/>
      <c r="I705" s="71"/>
      <c r="J705" s="71"/>
      <c r="K705" s="71"/>
      <c r="L705" s="71"/>
      <c r="M705" s="71"/>
      <c r="N705" s="71"/>
      <c r="O705" s="71"/>
      <c r="P705" s="71"/>
      <c r="Q705" s="71"/>
      <c r="R705" s="71"/>
      <c r="S705" s="71"/>
      <c r="T705" s="105"/>
      <c r="U705" s="71"/>
      <c r="V705" s="71"/>
      <c r="W705" s="71"/>
      <c r="X705" s="71"/>
      <c r="Y705" s="71"/>
      <c r="Z705" s="71"/>
      <c r="AA705" s="71"/>
      <c r="AB705" s="71"/>
      <c r="AC705" s="71"/>
      <c r="AD705" s="71"/>
      <c r="AE705" s="71"/>
      <c r="AF705" s="71"/>
      <c r="AG705" s="71"/>
      <c r="AH705" s="71"/>
      <c r="AI705" s="71"/>
      <c r="AJ705" s="71"/>
      <c r="AK705" s="71"/>
    </row>
    <row r="706" spans="1:37" ht="12.75" customHeight="1" x14ac:dyDescent="0.2">
      <c r="A706" s="71"/>
      <c r="B706" s="71"/>
      <c r="C706" s="71"/>
      <c r="D706" s="71"/>
      <c r="E706" s="71"/>
      <c r="F706" s="71"/>
      <c r="G706" s="71"/>
      <c r="H706" s="71"/>
      <c r="I706" s="71"/>
      <c r="J706" s="71"/>
      <c r="K706" s="71"/>
      <c r="L706" s="71"/>
      <c r="M706" s="71"/>
      <c r="N706" s="71"/>
      <c r="O706" s="71"/>
      <c r="P706" s="71"/>
      <c r="Q706" s="71"/>
      <c r="R706" s="71"/>
      <c r="S706" s="71"/>
      <c r="T706" s="105"/>
      <c r="U706" s="71"/>
      <c r="V706" s="71"/>
      <c r="W706" s="71"/>
      <c r="X706" s="71"/>
      <c r="Y706" s="71"/>
      <c r="Z706" s="71"/>
      <c r="AA706" s="71"/>
      <c r="AB706" s="71"/>
      <c r="AC706" s="71"/>
      <c r="AD706" s="71"/>
      <c r="AE706" s="71"/>
      <c r="AF706" s="71"/>
      <c r="AG706" s="71"/>
      <c r="AH706" s="71"/>
      <c r="AI706" s="71"/>
      <c r="AJ706" s="71"/>
      <c r="AK706" s="71"/>
    </row>
    <row r="707" spans="1:37" ht="12.75" customHeight="1" x14ac:dyDescent="0.2">
      <c r="A707" s="71"/>
      <c r="B707" s="71"/>
      <c r="C707" s="71"/>
      <c r="D707" s="71"/>
      <c r="E707" s="71"/>
      <c r="F707" s="71"/>
      <c r="G707" s="71"/>
      <c r="H707" s="71"/>
      <c r="I707" s="71"/>
      <c r="J707" s="71"/>
      <c r="K707" s="71"/>
      <c r="L707" s="71"/>
      <c r="M707" s="71"/>
      <c r="N707" s="71"/>
      <c r="O707" s="71"/>
      <c r="P707" s="71"/>
      <c r="Q707" s="71"/>
      <c r="R707" s="71"/>
      <c r="S707" s="71"/>
      <c r="T707" s="105"/>
      <c r="U707" s="71"/>
      <c r="V707" s="71"/>
      <c r="W707" s="71"/>
      <c r="X707" s="71"/>
      <c r="Y707" s="71"/>
      <c r="Z707" s="71"/>
      <c r="AA707" s="71"/>
      <c r="AB707" s="71"/>
      <c r="AC707" s="71"/>
      <c r="AD707" s="71"/>
      <c r="AE707" s="71"/>
      <c r="AF707" s="71"/>
      <c r="AG707" s="71"/>
      <c r="AH707" s="71"/>
      <c r="AI707" s="71"/>
      <c r="AJ707" s="71"/>
      <c r="AK707" s="71"/>
    </row>
    <row r="708" spans="1:37" ht="12.75" customHeight="1" x14ac:dyDescent="0.2">
      <c r="A708" s="71"/>
      <c r="B708" s="71"/>
      <c r="C708" s="71"/>
      <c r="D708" s="71"/>
      <c r="E708" s="71"/>
      <c r="F708" s="71"/>
      <c r="G708" s="71"/>
      <c r="H708" s="71"/>
      <c r="I708" s="71"/>
      <c r="J708" s="71"/>
      <c r="K708" s="71"/>
      <c r="L708" s="71"/>
      <c r="M708" s="71"/>
      <c r="N708" s="71"/>
      <c r="O708" s="71"/>
      <c r="P708" s="71"/>
      <c r="Q708" s="71"/>
      <c r="R708" s="71"/>
      <c r="S708" s="71"/>
      <c r="T708" s="105"/>
      <c r="U708" s="71"/>
      <c r="V708" s="71"/>
      <c r="W708" s="71"/>
      <c r="X708" s="71"/>
      <c r="Y708" s="71"/>
      <c r="Z708" s="71"/>
      <c r="AA708" s="71"/>
      <c r="AB708" s="71"/>
      <c r="AC708" s="71"/>
      <c r="AD708" s="71"/>
      <c r="AE708" s="71"/>
      <c r="AF708" s="71"/>
      <c r="AG708" s="71"/>
      <c r="AH708" s="71"/>
      <c r="AI708" s="71"/>
      <c r="AJ708" s="71"/>
      <c r="AK708" s="71"/>
    </row>
    <row r="709" spans="1:37" ht="12.75" customHeight="1" x14ac:dyDescent="0.2">
      <c r="A709" s="71"/>
      <c r="B709" s="71"/>
      <c r="C709" s="71"/>
      <c r="D709" s="71"/>
      <c r="E709" s="71"/>
      <c r="F709" s="71"/>
      <c r="G709" s="71"/>
      <c r="H709" s="71"/>
      <c r="I709" s="71"/>
      <c r="J709" s="71"/>
      <c r="K709" s="71"/>
      <c r="L709" s="71"/>
      <c r="M709" s="71"/>
      <c r="N709" s="71"/>
      <c r="O709" s="71"/>
      <c r="P709" s="71"/>
      <c r="Q709" s="71"/>
      <c r="R709" s="71"/>
      <c r="S709" s="71"/>
      <c r="T709" s="105"/>
      <c r="U709" s="71"/>
      <c r="V709" s="71"/>
      <c r="W709" s="71"/>
      <c r="X709" s="71"/>
      <c r="Y709" s="71"/>
      <c r="Z709" s="71"/>
      <c r="AA709" s="71"/>
      <c r="AB709" s="71"/>
      <c r="AC709" s="71"/>
      <c r="AD709" s="71"/>
      <c r="AE709" s="71"/>
      <c r="AF709" s="71"/>
      <c r="AG709" s="71"/>
      <c r="AH709" s="71"/>
      <c r="AI709" s="71"/>
      <c r="AJ709" s="71"/>
      <c r="AK709" s="71"/>
    </row>
    <row r="710" spans="1:37" ht="12.75" customHeight="1" x14ac:dyDescent="0.2">
      <c r="A710" s="71"/>
      <c r="B710" s="71"/>
      <c r="C710" s="71"/>
      <c r="D710" s="71"/>
      <c r="E710" s="71"/>
      <c r="F710" s="71"/>
      <c r="G710" s="71"/>
      <c r="H710" s="71"/>
      <c r="I710" s="71"/>
      <c r="J710" s="71"/>
      <c r="K710" s="71"/>
      <c r="L710" s="71"/>
      <c r="M710" s="71"/>
      <c r="N710" s="71"/>
      <c r="O710" s="71"/>
      <c r="P710" s="71"/>
      <c r="Q710" s="71"/>
      <c r="R710" s="71"/>
      <c r="S710" s="71"/>
      <c r="T710" s="105"/>
      <c r="U710" s="71"/>
      <c r="V710" s="71"/>
      <c r="W710" s="71"/>
      <c r="X710" s="71"/>
      <c r="Y710" s="71"/>
      <c r="Z710" s="71"/>
      <c r="AA710" s="71"/>
      <c r="AB710" s="71"/>
      <c r="AC710" s="71"/>
      <c r="AD710" s="71"/>
      <c r="AE710" s="71"/>
      <c r="AF710" s="71"/>
      <c r="AG710" s="71"/>
      <c r="AH710" s="71"/>
      <c r="AI710" s="71"/>
      <c r="AJ710" s="71"/>
      <c r="AK710" s="71"/>
    </row>
    <row r="711" spans="1:37" ht="12.75" customHeight="1" x14ac:dyDescent="0.2">
      <c r="A711" s="71"/>
      <c r="B711" s="71"/>
      <c r="C711" s="71"/>
      <c r="D711" s="71"/>
      <c r="E711" s="71"/>
      <c r="F711" s="71"/>
      <c r="G711" s="71"/>
      <c r="H711" s="71"/>
      <c r="I711" s="71"/>
      <c r="J711" s="71"/>
      <c r="K711" s="71"/>
      <c r="L711" s="71"/>
      <c r="M711" s="71"/>
      <c r="N711" s="71"/>
      <c r="O711" s="71"/>
      <c r="P711" s="71"/>
      <c r="Q711" s="71"/>
      <c r="R711" s="71"/>
      <c r="S711" s="71"/>
      <c r="T711" s="105"/>
      <c r="U711" s="71"/>
      <c r="V711" s="71"/>
      <c r="W711" s="71"/>
      <c r="X711" s="71"/>
      <c r="Y711" s="71"/>
      <c r="Z711" s="71"/>
      <c r="AA711" s="71"/>
      <c r="AB711" s="71"/>
      <c r="AC711" s="71"/>
      <c r="AD711" s="71"/>
      <c r="AE711" s="71"/>
      <c r="AF711" s="71"/>
      <c r="AG711" s="71"/>
      <c r="AH711" s="71"/>
      <c r="AI711" s="71"/>
      <c r="AJ711" s="71"/>
      <c r="AK711" s="71"/>
    </row>
    <row r="712" spans="1:37" ht="12.75" customHeight="1" x14ac:dyDescent="0.2">
      <c r="A712" s="71"/>
      <c r="B712" s="71"/>
      <c r="C712" s="71"/>
      <c r="D712" s="71"/>
      <c r="E712" s="71"/>
      <c r="F712" s="71"/>
      <c r="G712" s="71"/>
      <c r="H712" s="71"/>
      <c r="I712" s="71"/>
      <c r="J712" s="71"/>
      <c r="K712" s="71"/>
      <c r="L712" s="71"/>
      <c r="M712" s="71"/>
      <c r="N712" s="71"/>
      <c r="O712" s="71"/>
      <c r="P712" s="71"/>
      <c r="Q712" s="71"/>
      <c r="R712" s="71"/>
      <c r="S712" s="71"/>
      <c r="T712" s="105"/>
      <c r="U712" s="71"/>
      <c r="V712" s="71"/>
      <c r="W712" s="71"/>
      <c r="X712" s="71"/>
      <c r="Y712" s="71"/>
      <c r="Z712" s="71"/>
      <c r="AA712" s="71"/>
      <c r="AB712" s="71"/>
      <c r="AC712" s="71"/>
      <c r="AD712" s="71"/>
      <c r="AE712" s="71"/>
      <c r="AF712" s="71"/>
      <c r="AG712" s="71"/>
      <c r="AH712" s="71"/>
      <c r="AI712" s="71"/>
      <c r="AJ712" s="71"/>
      <c r="AK712" s="71"/>
    </row>
    <row r="713" spans="1:37" ht="12.75" customHeight="1" x14ac:dyDescent="0.2">
      <c r="A713" s="71"/>
      <c r="B713" s="71"/>
      <c r="C713" s="71"/>
      <c r="D713" s="71"/>
      <c r="E713" s="71"/>
      <c r="F713" s="71"/>
      <c r="G713" s="71"/>
      <c r="H713" s="71"/>
      <c r="I713" s="71"/>
      <c r="J713" s="71"/>
      <c r="K713" s="71"/>
      <c r="L713" s="71"/>
      <c r="M713" s="71"/>
      <c r="N713" s="71"/>
      <c r="O713" s="71"/>
      <c r="P713" s="71"/>
      <c r="Q713" s="71"/>
      <c r="R713" s="71"/>
      <c r="S713" s="71"/>
      <c r="T713" s="105"/>
      <c r="U713" s="71"/>
      <c r="V713" s="71"/>
      <c r="W713" s="71"/>
      <c r="X713" s="71"/>
      <c r="Y713" s="71"/>
      <c r="Z713" s="71"/>
      <c r="AA713" s="71"/>
      <c r="AB713" s="71"/>
      <c r="AC713" s="71"/>
      <c r="AD713" s="71"/>
      <c r="AE713" s="71"/>
      <c r="AF713" s="71"/>
      <c r="AG713" s="71"/>
      <c r="AH713" s="71"/>
      <c r="AI713" s="71"/>
      <c r="AJ713" s="71"/>
      <c r="AK713" s="71"/>
    </row>
    <row r="714" spans="1:37" ht="12.75" customHeight="1" x14ac:dyDescent="0.2">
      <c r="A714" s="71"/>
      <c r="B714" s="71"/>
      <c r="C714" s="71"/>
      <c r="D714" s="71"/>
      <c r="E714" s="71"/>
      <c r="F714" s="71"/>
      <c r="G714" s="71"/>
      <c r="H714" s="71"/>
      <c r="I714" s="71"/>
      <c r="J714" s="71"/>
      <c r="K714" s="71"/>
      <c r="L714" s="71"/>
      <c r="M714" s="71"/>
      <c r="N714" s="71"/>
      <c r="O714" s="71"/>
      <c r="P714" s="71"/>
      <c r="Q714" s="71"/>
      <c r="R714" s="71"/>
      <c r="S714" s="71"/>
      <c r="T714" s="105"/>
      <c r="U714" s="71"/>
      <c r="V714" s="71"/>
      <c r="W714" s="71"/>
      <c r="X714" s="71"/>
      <c r="Y714" s="71"/>
      <c r="Z714" s="71"/>
      <c r="AA714" s="71"/>
      <c r="AB714" s="71"/>
      <c r="AC714" s="71"/>
      <c r="AD714" s="71"/>
      <c r="AE714" s="71"/>
      <c r="AF714" s="71"/>
      <c r="AG714" s="71"/>
      <c r="AH714" s="71"/>
      <c r="AI714" s="71"/>
      <c r="AJ714" s="71"/>
      <c r="AK714" s="71"/>
    </row>
    <row r="715" spans="1:37" ht="12.75" customHeight="1" x14ac:dyDescent="0.2">
      <c r="A715" s="71"/>
      <c r="B715" s="71"/>
      <c r="C715" s="71"/>
      <c r="D715" s="71"/>
      <c r="E715" s="71"/>
      <c r="F715" s="71"/>
      <c r="G715" s="71"/>
      <c r="H715" s="71"/>
      <c r="I715" s="71"/>
      <c r="J715" s="71"/>
      <c r="K715" s="71"/>
      <c r="L715" s="71"/>
      <c r="M715" s="71"/>
      <c r="N715" s="71"/>
      <c r="O715" s="71"/>
      <c r="P715" s="71"/>
      <c r="Q715" s="71"/>
      <c r="R715" s="71"/>
      <c r="S715" s="71"/>
      <c r="T715" s="105"/>
      <c r="U715" s="71"/>
      <c r="V715" s="71"/>
      <c r="W715" s="71"/>
      <c r="X715" s="71"/>
      <c r="Y715" s="71"/>
      <c r="Z715" s="71"/>
      <c r="AA715" s="71"/>
      <c r="AB715" s="71"/>
      <c r="AC715" s="71"/>
      <c r="AD715" s="71"/>
      <c r="AE715" s="71"/>
      <c r="AF715" s="71"/>
      <c r="AG715" s="71"/>
      <c r="AH715" s="71"/>
      <c r="AI715" s="71"/>
      <c r="AJ715" s="71"/>
      <c r="AK715" s="71"/>
    </row>
    <row r="716" spans="1:37" ht="12.75" customHeight="1" x14ac:dyDescent="0.2">
      <c r="A716" s="71"/>
      <c r="B716" s="71"/>
      <c r="C716" s="71"/>
      <c r="D716" s="71"/>
      <c r="E716" s="71"/>
      <c r="F716" s="71"/>
      <c r="G716" s="71"/>
      <c r="H716" s="71"/>
      <c r="I716" s="71"/>
      <c r="J716" s="71"/>
      <c r="K716" s="71"/>
      <c r="L716" s="71"/>
      <c r="M716" s="71"/>
      <c r="N716" s="71"/>
      <c r="O716" s="71"/>
      <c r="P716" s="71"/>
      <c r="Q716" s="71"/>
      <c r="R716" s="71"/>
      <c r="S716" s="71"/>
      <c r="T716" s="105"/>
      <c r="U716" s="71"/>
      <c r="V716" s="71"/>
      <c r="W716" s="71"/>
      <c r="X716" s="71"/>
      <c r="Y716" s="71"/>
      <c r="Z716" s="71"/>
      <c r="AA716" s="71"/>
      <c r="AB716" s="71"/>
      <c r="AC716" s="71"/>
      <c r="AD716" s="71"/>
      <c r="AE716" s="71"/>
      <c r="AF716" s="71"/>
      <c r="AG716" s="71"/>
      <c r="AH716" s="71"/>
      <c r="AI716" s="71"/>
      <c r="AJ716" s="71"/>
      <c r="AK716" s="71"/>
    </row>
    <row r="717" spans="1:37" ht="12.75" customHeight="1" x14ac:dyDescent="0.2">
      <c r="A717" s="71"/>
      <c r="B717" s="71"/>
      <c r="C717" s="71"/>
      <c r="D717" s="71"/>
      <c r="E717" s="71"/>
      <c r="F717" s="71"/>
      <c r="G717" s="71"/>
      <c r="H717" s="71"/>
      <c r="I717" s="71"/>
      <c r="J717" s="71"/>
      <c r="K717" s="71"/>
      <c r="L717" s="71"/>
      <c r="M717" s="71"/>
      <c r="N717" s="71"/>
      <c r="O717" s="71"/>
      <c r="P717" s="71"/>
      <c r="Q717" s="71"/>
      <c r="R717" s="71"/>
      <c r="S717" s="71"/>
      <c r="T717" s="105"/>
      <c r="U717" s="71"/>
      <c r="V717" s="71"/>
      <c r="W717" s="71"/>
      <c r="X717" s="71"/>
      <c r="Y717" s="71"/>
      <c r="Z717" s="71"/>
      <c r="AA717" s="71"/>
      <c r="AB717" s="71"/>
      <c r="AC717" s="71"/>
      <c r="AD717" s="71"/>
      <c r="AE717" s="71"/>
      <c r="AF717" s="71"/>
      <c r="AG717" s="71"/>
      <c r="AH717" s="71"/>
      <c r="AI717" s="71"/>
      <c r="AJ717" s="71"/>
      <c r="AK717" s="71"/>
    </row>
    <row r="718" spans="1:37" ht="12.75" customHeight="1" x14ac:dyDescent="0.2">
      <c r="A718" s="71"/>
      <c r="B718" s="71"/>
      <c r="C718" s="71"/>
      <c r="D718" s="71"/>
      <c r="E718" s="71"/>
      <c r="F718" s="71"/>
      <c r="G718" s="71"/>
      <c r="H718" s="71"/>
      <c r="I718" s="71"/>
      <c r="J718" s="71"/>
      <c r="K718" s="71"/>
      <c r="L718" s="71"/>
      <c r="M718" s="71"/>
      <c r="N718" s="71"/>
      <c r="O718" s="71"/>
      <c r="P718" s="71"/>
      <c r="Q718" s="71"/>
      <c r="R718" s="71"/>
      <c r="S718" s="71"/>
      <c r="T718" s="105"/>
      <c r="U718" s="71"/>
      <c r="V718" s="71"/>
      <c r="W718" s="71"/>
      <c r="X718" s="71"/>
      <c r="Y718" s="71"/>
      <c r="Z718" s="71"/>
      <c r="AA718" s="71"/>
      <c r="AB718" s="71"/>
      <c r="AC718" s="71"/>
      <c r="AD718" s="71"/>
      <c r="AE718" s="71"/>
      <c r="AF718" s="71"/>
      <c r="AG718" s="71"/>
      <c r="AH718" s="71"/>
      <c r="AI718" s="71"/>
      <c r="AJ718" s="71"/>
      <c r="AK718" s="71"/>
    </row>
    <row r="719" spans="1:37" ht="12.75" customHeight="1" x14ac:dyDescent="0.2">
      <c r="A719" s="71"/>
      <c r="B719" s="71"/>
      <c r="C719" s="71"/>
      <c r="D719" s="71"/>
      <c r="E719" s="71"/>
      <c r="F719" s="71"/>
      <c r="G719" s="71"/>
      <c r="H719" s="71"/>
      <c r="I719" s="71"/>
      <c r="J719" s="71"/>
      <c r="K719" s="71"/>
      <c r="L719" s="71"/>
      <c r="M719" s="71"/>
      <c r="N719" s="71"/>
      <c r="O719" s="71"/>
      <c r="P719" s="71"/>
      <c r="Q719" s="71"/>
      <c r="R719" s="71"/>
      <c r="S719" s="71"/>
      <c r="T719" s="105"/>
      <c r="U719" s="71"/>
      <c r="V719" s="71"/>
      <c r="W719" s="71"/>
      <c r="X719" s="71"/>
      <c r="Y719" s="71"/>
      <c r="Z719" s="71"/>
      <c r="AA719" s="71"/>
      <c r="AB719" s="71"/>
      <c r="AC719" s="71"/>
      <c r="AD719" s="71"/>
      <c r="AE719" s="71"/>
      <c r="AF719" s="71"/>
      <c r="AG719" s="71"/>
      <c r="AH719" s="71"/>
      <c r="AI719" s="71"/>
      <c r="AJ719" s="71"/>
      <c r="AK719" s="71"/>
    </row>
    <row r="720" spans="1:37" ht="12.75" customHeight="1" x14ac:dyDescent="0.2">
      <c r="A720" s="71"/>
      <c r="B720" s="71"/>
      <c r="C720" s="71"/>
      <c r="D720" s="71"/>
      <c r="E720" s="71"/>
      <c r="F720" s="71"/>
      <c r="G720" s="71"/>
      <c r="H720" s="71"/>
      <c r="I720" s="71"/>
      <c r="J720" s="71"/>
      <c r="K720" s="71"/>
      <c r="L720" s="71"/>
      <c r="M720" s="71"/>
      <c r="N720" s="71"/>
      <c r="O720" s="71"/>
      <c r="P720" s="71"/>
      <c r="Q720" s="71"/>
      <c r="R720" s="71"/>
      <c r="S720" s="71"/>
      <c r="T720" s="105"/>
      <c r="U720" s="71"/>
      <c r="V720" s="71"/>
      <c r="W720" s="71"/>
      <c r="X720" s="71"/>
      <c r="Y720" s="71"/>
      <c r="Z720" s="71"/>
      <c r="AA720" s="71"/>
      <c r="AB720" s="71"/>
      <c r="AC720" s="71"/>
      <c r="AD720" s="71"/>
      <c r="AE720" s="71"/>
      <c r="AF720" s="71"/>
      <c r="AG720" s="71"/>
      <c r="AH720" s="71"/>
      <c r="AI720" s="71"/>
      <c r="AJ720" s="71"/>
      <c r="AK720" s="71"/>
    </row>
    <row r="721" spans="1:37" ht="12.75" customHeight="1" x14ac:dyDescent="0.2">
      <c r="A721" s="71"/>
      <c r="B721" s="71"/>
      <c r="C721" s="71"/>
      <c r="D721" s="71"/>
      <c r="E721" s="71"/>
      <c r="F721" s="71"/>
      <c r="G721" s="71"/>
      <c r="H721" s="71"/>
      <c r="I721" s="71"/>
      <c r="J721" s="71"/>
      <c r="K721" s="71"/>
      <c r="L721" s="71"/>
      <c r="M721" s="71"/>
      <c r="N721" s="71"/>
      <c r="O721" s="71"/>
      <c r="P721" s="71"/>
      <c r="Q721" s="71"/>
      <c r="R721" s="71"/>
      <c r="S721" s="71"/>
      <c r="T721" s="105"/>
      <c r="U721" s="71"/>
      <c r="V721" s="71"/>
      <c r="W721" s="71"/>
      <c r="X721" s="71"/>
      <c r="Y721" s="71"/>
      <c r="Z721" s="71"/>
      <c r="AA721" s="71"/>
      <c r="AB721" s="71"/>
      <c r="AC721" s="71"/>
      <c r="AD721" s="71"/>
      <c r="AE721" s="71"/>
      <c r="AF721" s="71"/>
      <c r="AG721" s="71"/>
      <c r="AH721" s="71"/>
      <c r="AI721" s="71"/>
      <c r="AJ721" s="71"/>
      <c r="AK721" s="71"/>
    </row>
    <row r="722" spans="1:37" ht="12.75" customHeight="1" x14ac:dyDescent="0.2">
      <c r="A722" s="71"/>
      <c r="B722" s="71"/>
      <c r="C722" s="71"/>
      <c r="D722" s="71"/>
      <c r="E722" s="71"/>
      <c r="F722" s="71"/>
      <c r="G722" s="71"/>
      <c r="H722" s="71"/>
      <c r="I722" s="71"/>
      <c r="J722" s="71"/>
      <c r="K722" s="71"/>
      <c r="L722" s="71"/>
      <c r="M722" s="71"/>
      <c r="N722" s="71"/>
      <c r="O722" s="71"/>
      <c r="P722" s="71"/>
      <c r="Q722" s="71"/>
      <c r="R722" s="71"/>
      <c r="S722" s="71"/>
      <c r="T722" s="105"/>
      <c r="U722" s="71"/>
      <c r="V722" s="71"/>
      <c r="W722" s="71"/>
      <c r="X722" s="71"/>
      <c r="Y722" s="71"/>
      <c r="Z722" s="71"/>
      <c r="AA722" s="71"/>
      <c r="AB722" s="71"/>
      <c r="AC722" s="71"/>
      <c r="AD722" s="71"/>
      <c r="AE722" s="71"/>
      <c r="AF722" s="71"/>
      <c r="AG722" s="71"/>
      <c r="AH722" s="71"/>
      <c r="AI722" s="71"/>
      <c r="AJ722" s="71"/>
      <c r="AK722" s="71"/>
    </row>
    <row r="723" spans="1:37" ht="12.75" customHeight="1" x14ac:dyDescent="0.2">
      <c r="A723" s="71"/>
      <c r="B723" s="71"/>
      <c r="C723" s="71"/>
      <c r="D723" s="71"/>
      <c r="E723" s="71"/>
      <c r="F723" s="71"/>
      <c r="G723" s="71"/>
      <c r="H723" s="71"/>
      <c r="I723" s="71"/>
      <c r="J723" s="71"/>
      <c r="K723" s="71"/>
      <c r="L723" s="71"/>
      <c r="M723" s="71"/>
      <c r="N723" s="71"/>
      <c r="O723" s="71"/>
      <c r="P723" s="71"/>
      <c r="Q723" s="71"/>
      <c r="R723" s="71"/>
      <c r="S723" s="71"/>
      <c r="T723" s="105"/>
      <c r="U723" s="71"/>
      <c r="V723" s="71"/>
      <c r="W723" s="71"/>
      <c r="X723" s="71"/>
      <c r="Y723" s="71"/>
      <c r="Z723" s="71"/>
      <c r="AA723" s="71"/>
      <c r="AB723" s="71"/>
      <c r="AC723" s="71"/>
      <c r="AD723" s="71"/>
      <c r="AE723" s="71"/>
      <c r="AF723" s="71"/>
      <c r="AG723" s="71"/>
      <c r="AH723" s="71"/>
      <c r="AI723" s="71"/>
      <c r="AJ723" s="71"/>
      <c r="AK723" s="71"/>
    </row>
    <row r="724" spans="1:37" ht="12.75" customHeight="1" x14ac:dyDescent="0.2">
      <c r="A724" s="71"/>
      <c r="B724" s="71"/>
      <c r="C724" s="71"/>
      <c r="D724" s="71"/>
      <c r="E724" s="71"/>
      <c r="F724" s="71"/>
      <c r="G724" s="71"/>
      <c r="H724" s="71"/>
      <c r="I724" s="71"/>
      <c r="J724" s="71"/>
      <c r="K724" s="71"/>
      <c r="L724" s="71"/>
      <c r="M724" s="71"/>
      <c r="N724" s="71"/>
      <c r="O724" s="71"/>
      <c r="P724" s="71"/>
      <c r="Q724" s="71"/>
      <c r="R724" s="71"/>
      <c r="S724" s="71"/>
      <c r="T724" s="105"/>
      <c r="U724" s="71"/>
      <c r="V724" s="71"/>
      <c r="W724" s="71"/>
      <c r="X724" s="71"/>
      <c r="Y724" s="71"/>
      <c r="Z724" s="71"/>
      <c r="AA724" s="71"/>
      <c r="AB724" s="71"/>
      <c r="AC724" s="71"/>
      <c r="AD724" s="71"/>
      <c r="AE724" s="71"/>
      <c r="AF724" s="71"/>
      <c r="AG724" s="71"/>
      <c r="AH724" s="71"/>
      <c r="AI724" s="71"/>
      <c r="AJ724" s="71"/>
      <c r="AK724" s="71"/>
    </row>
    <row r="725" spans="1:37" ht="12.75" customHeight="1" x14ac:dyDescent="0.2">
      <c r="A725" s="71"/>
      <c r="B725" s="71"/>
      <c r="C725" s="71"/>
      <c r="D725" s="71"/>
      <c r="E725" s="71"/>
      <c r="F725" s="71"/>
      <c r="G725" s="71"/>
      <c r="H725" s="71"/>
      <c r="I725" s="71"/>
      <c r="J725" s="71"/>
      <c r="K725" s="71"/>
      <c r="L725" s="71"/>
      <c r="M725" s="71"/>
      <c r="N725" s="71"/>
      <c r="O725" s="71"/>
      <c r="P725" s="71"/>
      <c r="Q725" s="71"/>
      <c r="R725" s="71"/>
      <c r="S725" s="71"/>
      <c r="T725" s="105"/>
      <c r="U725" s="71"/>
      <c r="V725" s="71"/>
      <c r="W725" s="71"/>
      <c r="X725" s="71"/>
      <c r="Y725" s="71"/>
      <c r="Z725" s="71"/>
      <c r="AA725" s="71"/>
      <c r="AB725" s="71"/>
      <c r="AC725" s="71"/>
      <c r="AD725" s="71"/>
      <c r="AE725" s="71"/>
      <c r="AF725" s="71"/>
      <c r="AG725" s="71"/>
      <c r="AH725" s="71"/>
      <c r="AI725" s="71"/>
      <c r="AJ725" s="71"/>
      <c r="AK725" s="71"/>
    </row>
    <row r="726" spans="1:37" ht="12.75" customHeight="1" x14ac:dyDescent="0.2">
      <c r="A726" s="71"/>
      <c r="B726" s="71"/>
      <c r="C726" s="71"/>
      <c r="D726" s="71"/>
      <c r="E726" s="71"/>
      <c r="F726" s="71"/>
      <c r="G726" s="71"/>
      <c r="H726" s="71"/>
      <c r="I726" s="71"/>
      <c r="J726" s="71"/>
      <c r="K726" s="71"/>
      <c r="L726" s="71"/>
      <c r="M726" s="71"/>
      <c r="N726" s="71"/>
      <c r="O726" s="71"/>
      <c r="P726" s="71"/>
      <c r="Q726" s="71"/>
      <c r="R726" s="71"/>
      <c r="S726" s="71"/>
      <c r="T726" s="105"/>
      <c r="U726" s="71"/>
      <c r="V726" s="71"/>
      <c r="W726" s="71"/>
      <c r="X726" s="71"/>
      <c r="Y726" s="71"/>
      <c r="Z726" s="71"/>
      <c r="AA726" s="71"/>
      <c r="AB726" s="71"/>
      <c r="AC726" s="71"/>
      <c r="AD726" s="71"/>
      <c r="AE726" s="71"/>
      <c r="AF726" s="71"/>
      <c r="AG726" s="71"/>
      <c r="AH726" s="71"/>
      <c r="AI726" s="71"/>
      <c r="AJ726" s="71"/>
      <c r="AK726" s="71"/>
    </row>
    <row r="727" spans="1:37" ht="12.75" customHeight="1" x14ac:dyDescent="0.2">
      <c r="A727" s="71"/>
      <c r="B727" s="71"/>
      <c r="C727" s="71"/>
      <c r="D727" s="71"/>
      <c r="E727" s="71"/>
      <c r="F727" s="71"/>
      <c r="G727" s="71"/>
      <c r="H727" s="71"/>
      <c r="I727" s="71"/>
      <c r="J727" s="71"/>
      <c r="K727" s="71"/>
      <c r="L727" s="71"/>
      <c r="M727" s="71"/>
      <c r="N727" s="71"/>
      <c r="O727" s="71"/>
      <c r="P727" s="71"/>
      <c r="Q727" s="71"/>
      <c r="R727" s="71"/>
      <c r="S727" s="71"/>
      <c r="T727" s="105"/>
      <c r="U727" s="71"/>
      <c r="V727" s="71"/>
      <c r="W727" s="71"/>
      <c r="X727" s="71"/>
      <c r="Y727" s="71"/>
      <c r="Z727" s="71"/>
      <c r="AA727" s="71"/>
      <c r="AB727" s="71"/>
      <c r="AC727" s="71"/>
      <c r="AD727" s="71"/>
      <c r="AE727" s="71"/>
      <c r="AF727" s="71"/>
      <c r="AG727" s="71"/>
      <c r="AH727" s="71"/>
      <c r="AI727" s="71"/>
      <c r="AJ727" s="71"/>
      <c r="AK727" s="71"/>
    </row>
    <row r="728" spans="1:37" ht="12.75" customHeight="1" x14ac:dyDescent="0.2">
      <c r="A728" s="71"/>
      <c r="B728" s="71"/>
      <c r="C728" s="71"/>
      <c r="D728" s="71"/>
      <c r="E728" s="71"/>
      <c r="F728" s="71"/>
      <c r="G728" s="71"/>
      <c r="H728" s="71"/>
      <c r="I728" s="71"/>
      <c r="J728" s="71"/>
      <c r="K728" s="71"/>
      <c r="L728" s="71"/>
      <c r="M728" s="71"/>
      <c r="N728" s="71"/>
      <c r="O728" s="71"/>
      <c r="P728" s="71"/>
      <c r="Q728" s="71"/>
      <c r="R728" s="71"/>
      <c r="S728" s="71"/>
      <c r="T728" s="105"/>
      <c r="U728" s="71"/>
      <c r="V728" s="71"/>
      <c r="W728" s="71"/>
      <c r="X728" s="71"/>
      <c r="Y728" s="71"/>
      <c r="Z728" s="71"/>
      <c r="AA728" s="71"/>
      <c r="AB728" s="71"/>
      <c r="AC728" s="71"/>
      <c r="AD728" s="71"/>
      <c r="AE728" s="71"/>
      <c r="AF728" s="71"/>
      <c r="AG728" s="71"/>
      <c r="AH728" s="71"/>
      <c r="AI728" s="71"/>
      <c r="AJ728" s="71"/>
      <c r="AK728" s="71"/>
    </row>
    <row r="729" spans="1:37" ht="12.75" customHeight="1" x14ac:dyDescent="0.2">
      <c r="A729" s="71"/>
      <c r="B729" s="71"/>
      <c r="C729" s="71"/>
      <c r="D729" s="71"/>
      <c r="E729" s="71"/>
      <c r="F729" s="71"/>
      <c r="G729" s="71"/>
      <c r="H729" s="71"/>
      <c r="I729" s="71"/>
      <c r="J729" s="71"/>
      <c r="K729" s="71"/>
      <c r="L729" s="71"/>
      <c r="M729" s="71"/>
      <c r="N729" s="71"/>
      <c r="O729" s="71"/>
      <c r="P729" s="71"/>
      <c r="Q729" s="71"/>
      <c r="R729" s="71"/>
      <c r="S729" s="71"/>
      <c r="T729" s="105"/>
      <c r="U729" s="71"/>
      <c r="V729" s="71"/>
      <c r="W729" s="71"/>
      <c r="X729" s="71"/>
      <c r="Y729" s="71"/>
      <c r="Z729" s="71"/>
      <c r="AA729" s="71"/>
      <c r="AB729" s="71"/>
      <c r="AC729" s="71"/>
      <c r="AD729" s="71"/>
      <c r="AE729" s="71"/>
      <c r="AF729" s="71"/>
      <c r="AG729" s="71"/>
      <c r="AH729" s="71"/>
      <c r="AI729" s="71"/>
      <c r="AJ729" s="71"/>
      <c r="AK729" s="71"/>
    </row>
    <row r="730" spans="1:37" ht="12.75" customHeight="1" x14ac:dyDescent="0.2">
      <c r="A730" s="71"/>
      <c r="B730" s="71"/>
      <c r="C730" s="71"/>
      <c r="D730" s="71"/>
      <c r="E730" s="71"/>
      <c r="F730" s="71"/>
      <c r="G730" s="71"/>
      <c r="H730" s="71"/>
      <c r="I730" s="71"/>
      <c r="J730" s="71"/>
      <c r="K730" s="71"/>
      <c r="L730" s="71"/>
      <c r="M730" s="71"/>
      <c r="N730" s="71"/>
      <c r="O730" s="71"/>
      <c r="P730" s="71"/>
      <c r="Q730" s="71"/>
      <c r="R730" s="71"/>
      <c r="S730" s="71"/>
      <c r="T730" s="105"/>
      <c r="U730" s="71"/>
      <c r="V730" s="71"/>
      <c r="W730" s="71"/>
      <c r="X730" s="71"/>
      <c r="Y730" s="71"/>
      <c r="Z730" s="71"/>
      <c r="AA730" s="71"/>
      <c r="AB730" s="71"/>
      <c r="AC730" s="71"/>
      <c r="AD730" s="71"/>
      <c r="AE730" s="71"/>
      <c r="AF730" s="71"/>
      <c r="AG730" s="71"/>
      <c r="AH730" s="71"/>
      <c r="AI730" s="71"/>
      <c r="AJ730" s="71"/>
      <c r="AK730" s="71"/>
    </row>
    <row r="731" spans="1:37" ht="12.75" customHeight="1" x14ac:dyDescent="0.2">
      <c r="A731" s="71"/>
      <c r="B731" s="71"/>
      <c r="C731" s="71"/>
      <c r="D731" s="71"/>
      <c r="E731" s="71"/>
      <c r="F731" s="71"/>
      <c r="G731" s="71"/>
      <c r="H731" s="71"/>
      <c r="I731" s="71"/>
      <c r="J731" s="71"/>
      <c r="K731" s="71"/>
      <c r="L731" s="71"/>
      <c r="M731" s="71"/>
      <c r="N731" s="71"/>
      <c r="O731" s="71"/>
      <c r="P731" s="71"/>
      <c r="Q731" s="71"/>
      <c r="R731" s="71"/>
      <c r="S731" s="71"/>
      <c r="T731" s="105"/>
      <c r="U731" s="71"/>
      <c r="V731" s="71"/>
      <c r="W731" s="71"/>
      <c r="X731" s="71"/>
      <c r="Y731" s="71"/>
      <c r="Z731" s="71"/>
      <c r="AA731" s="71"/>
      <c r="AB731" s="71"/>
      <c r="AC731" s="71"/>
      <c r="AD731" s="71"/>
      <c r="AE731" s="71"/>
      <c r="AF731" s="71"/>
      <c r="AG731" s="71"/>
      <c r="AH731" s="71"/>
      <c r="AI731" s="71"/>
      <c r="AJ731" s="71"/>
      <c r="AK731" s="71"/>
    </row>
    <row r="732" spans="1:37" ht="12.75" customHeight="1" x14ac:dyDescent="0.2">
      <c r="A732" s="71"/>
      <c r="B732" s="71"/>
      <c r="C732" s="71"/>
      <c r="D732" s="71"/>
      <c r="E732" s="71"/>
      <c r="F732" s="71"/>
      <c r="G732" s="71"/>
      <c r="H732" s="71"/>
      <c r="I732" s="71"/>
      <c r="J732" s="71"/>
      <c r="K732" s="71"/>
      <c r="L732" s="71"/>
      <c r="M732" s="71"/>
      <c r="N732" s="71"/>
      <c r="O732" s="71"/>
      <c r="P732" s="71"/>
      <c r="Q732" s="71"/>
      <c r="R732" s="71"/>
      <c r="S732" s="71"/>
      <c r="T732" s="105"/>
      <c r="U732" s="71"/>
      <c r="V732" s="71"/>
      <c r="W732" s="71"/>
      <c r="X732" s="71"/>
      <c r="Y732" s="71"/>
      <c r="Z732" s="71"/>
      <c r="AA732" s="71"/>
      <c r="AB732" s="71"/>
      <c r="AC732" s="71"/>
      <c r="AD732" s="71"/>
      <c r="AE732" s="71"/>
      <c r="AF732" s="71"/>
      <c r="AG732" s="71"/>
      <c r="AH732" s="71"/>
      <c r="AI732" s="71"/>
      <c r="AJ732" s="71"/>
      <c r="AK732" s="71"/>
    </row>
    <row r="733" spans="1:37" ht="12.75" customHeight="1" x14ac:dyDescent="0.2">
      <c r="A733" s="71"/>
      <c r="B733" s="71"/>
      <c r="C733" s="71"/>
      <c r="D733" s="71"/>
      <c r="E733" s="71"/>
      <c r="F733" s="71"/>
      <c r="G733" s="71"/>
      <c r="H733" s="71"/>
      <c r="I733" s="71"/>
      <c r="J733" s="71"/>
      <c r="K733" s="71"/>
      <c r="L733" s="71"/>
      <c r="M733" s="71"/>
      <c r="N733" s="71"/>
      <c r="O733" s="71"/>
      <c r="P733" s="71"/>
      <c r="Q733" s="71"/>
      <c r="R733" s="71"/>
      <c r="S733" s="71"/>
      <c r="T733" s="105"/>
      <c r="U733" s="71"/>
      <c r="V733" s="71"/>
      <c r="W733" s="71"/>
      <c r="X733" s="71"/>
      <c r="Y733" s="71"/>
      <c r="Z733" s="71"/>
      <c r="AA733" s="71"/>
      <c r="AB733" s="71"/>
      <c r="AC733" s="71"/>
      <c r="AD733" s="71"/>
      <c r="AE733" s="71"/>
      <c r="AF733" s="71"/>
      <c r="AG733" s="71"/>
      <c r="AH733" s="71"/>
      <c r="AI733" s="71"/>
      <c r="AJ733" s="71"/>
      <c r="AK733" s="71"/>
    </row>
    <row r="734" spans="1:37" ht="12.75" customHeight="1" x14ac:dyDescent="0.2">
      <c r="A734" s="71"/>
      <c r="B734" s="71"/>
      <c r="C734" s="71"/>
      <c r="D734" s="71"/>
      <c r="E734" s="71"/>
      <c r="F734" s="71"/>
      <c r="G734" s="71"/>
      <c r="H734" s="71"/>
      <c r="I734" s="71"/>
      <c r="J734" s="71"/>
      <c r="K734" s="71"/>
      <c r="L734" s="71"/>
      <c r="M734" s="71"/>
      <c r="N734" s="71"/>
      <c r="O734" s="71"/>
      <c r="P734" s="71"/>
      <c r="Q734" s="71"/>
      <c r="R734" s="71"/>
      <c r="S734" s="71"/>
      <c r="T734" s="105"/>
      <c r="U734" s="71"/>
      <c r="V734" s="71"/>
      <c r="W734" s="71"/>
      <c r="X734" s="71"/>
      <c r="Y734" s="71"/>
      <c r="Z734" s="71"/>
      <c r="AA734" s="71"/>
      <c r="AB734" s="71"/>
      <c r="AC734" s="71"/>
      <c r="AD734" s="71"/>
      <c r="AE734" s="71"/>
      <c r="AF734" s="71"/>
      <c r="AG734" s="71"/>
      <c r="AH734" s="71"/>
      <c r="AI734" s="71"/>
      <c r="AJ734" s="71"/>
      <c r="AK734" s="71"/>
    </row>
    <row r="735" spans="1:37" ht="12.75" customHeight="1" x14ac:dyDescent="0.2">
      <c r="A735" s="71"/>
      <c r="B735" s="71"/>
      <c r="C735" s="71"/>
      <c r="D735" s="71"/>
      <c r="E735" s="71"/>
      <c r="F735" s="71"/>
      <c r="G735" s="71"/>
      <c r="H735" s="71"/>
      <c r="I735" s="71"/>
      <c r="J735" s="71"/>
      <c r="K735" s="71"/>
      <c r="L735" s="71"/>
      <c r="M735" s="71"/>
      <c r="N735" s="71"/>
      <c r="O735" s="71"/>
      <c r="P735" s="71"/>
      <c r="Q735" s="71"/>
      <c r="R735" s="71"/>
      <c r="S735" s="71"/>
      <c r="T735" s="105"/>
      <c r="U735" s="71"/>
      <c r="V735" s="71"/>
      <c r="W735" s="71"/>
      <c r="X735" s="71"/>
      <c r="Y735" s="71"/>
      <c r="Z735" s="71"/>
      <c r="AA735" s="71"/>
      <c r="AB735" s="71"/>
      <c r="AC735" s="71"/>
      <c r="AD735" s="71"/>
      <c r="AE735" s="71"/>
      <c r="AF735" s="71"/>
      <c r="AG735" s="71"/>
      <c r="AH735" s="71"/>
      <c r="AI735" s="71"/>
      <c r="AJ735" s="71"/>
      <c r="AK735" s="71"/>
    </row>
    <row r="736" spans="1:37" ht="12.75" customHeight="1" x14ac:dyDescent="0.2">
      <c r="A736" s="71"/>
      <c r="B736" s="71"/>
      <c r="C736" s="71"/>
      <c r="D736" s="71"/>
      <c r="E736" s="71"/>
      <c r="F736" s="71"/>
      <c r="G736" s="71"/>
      <c r="H736" s="71"/>
      <c r="I736" s="71"/>
      <c r="J736" s="71"/>
      <c r="K736" s="71"/>
      <c r="L736" s="71"/>
      <c r="M736" s="71"/>
      <c r="N736" s="71"/>
      <c r="O736" s="71"/>
      <c r="P736" s="71"/>
      <c r="Q736" s="71"/>
      <c r="R736" s="71"/>
      <c r="S736" s="71"/>
      <c r="T736" s="105"/>
      <c r="U736" s="71"/>
      <c r="V736" s="71"/>
      <c r="W736" s="71"/>
      <c r="X736" s="71"/>
      <c r="Y736" s="71"/>
      <c r="Z736" s="71"/>
      <c r="AA736" s="71"/>
      <c r="AB736" s="71"/>
      <c r="AC736" s="71"/>
      <c r="AD736" s="71"/>
      <c r="AE736" s="71"/>
      <c r="AF736" s="71"/>
      <c r="AG736" s="71"/>
      <c r="AH736" s="71"/>
      <c r="AI736" s="71"/>
      <c r="AJ736" s="71"/>
      <c r="AK736" s="71"/>
    </row>
    <row r="737" spans="1:37" ht="12.75" customHeight="1" x14ac:dyDescent="0.2">
      <c r="A737" s="71"/>
      <c r="B737" s="71"/>
      <c r="C737" s="71"/>
      <c r="D737" s="71"/>
      <c r="E737" s="71"/>
      <c r="F737" s="71"/>
      <c r="G737" s="71"/>
      <c r="H737" s="71"/>
      <c r="I737" s="71"/>
      <c r="J737" s="71"/>
      <c r="K737" s="71"/>
      <c r="L737" s="71"/>
      <c r="M737" s="71"/>
      <c r="N737" s="71"/>
      <c r="O737" s="71"/>
      <c r="P737" s="71"/>
      <c r="Q737" s="71"/>
      <c r="R737" s="71"/>
      <c r="S737" s="71"/>
      <c r="T737" s="105"/>
      <c r="U737" s="71"/>
      <c r="V737" s="71"/>
      <c r="W737" s="71"/>
      <c r="X737" s="71"/>
      <c r="Y737" s="71"/>
      <c r="Z737" s="71"/>
      <c r="AA737" s="71"/>
      <c r="AB737" s="71"/>
      <c r="AC737" s="71"/>
      <c r="AD737" s="71"/>
      <c r="AE737" s="71"/>
      <c r="AF737" s="71"/>
      <c r="AG737" s="71"/>
      <c r="AH737" s="71"/>
      <c r="AI737" s="71"/>
      <c r="AJ737" s="71"/>
      <c r="AK737" s="71"/>
    </row>
    <row r="738" spans="1:37" ht="12.75" customHeight="1" x14ac:dyDescent="0.2">
      <c r="A738" s="71"/>
      <c r="B738" s="71"/>
      <c r="C738" s="71"/>
      <c r="D738" s="71"/>
      <c r="E738" s="71"/>
      <c r="F738" s="71"/>
      <c r="G738" s="71"/>
      <c r="H738" s="71"/>
      <c r="I738" s="71"/>
      <c r="J738" s="71"/>
      <c r="K738" s="71"/>
      <c r="L738" s="71"/>
      <c r="M738" s="71"/>
      <c r="N738" s="71"/>
      <c r="O738" s="71"/>
      <c r="P738" s="71"/>
      <c r="Q738" s="71"/>
      <c r="R738" s="71"/>
      <c r="S738" s="71"/>
      <c r="T738" s="105"/>
      <c r="U738" s="71"/>
      <c r="V738" s="71"/>
      <c r="W738" s="71"/>
      <c r="X738" s="71"/>
      <c r="Y738" s="71"/>
      <c r="Z738" s="71"/>
      <c r="AA738" s="71"/>
      <c r="AB738" s="71"/>
      <c r="AC738" s="71"/>
      <c r="AD738" s="71"/>
      <c r="AE738" s="71"/>
      <c r="AF738" s="71"/>
      <c r="AG738" s="71"/>
      <c r="AH738" s="71"/>
      <c r="AI738" s="71"/>
      <c r="AJ738" s="71"/>
      <c r="AK738" s="71"/>
    </row>
    <row r="739" spans="1:37" ht="12.75" customHeight="1" x14ac:dyDescent="0.2">
      <c r="A739" s="71"/>
      <c r="B739" s="71"/>
      <c r="C739" s="71"/>
      <c r="D739" s="71"/>
      <c r="E739" s="71"/>
      <c r="F739" s="71"/>
      <c r="G739" s="71"/>
      <c r="H739" s="71"/>
      <c r="I739" s="71"/>
      <c r="J739" s="71"/>
      <c r="K739" s="71"/>
      <c r="L739" s="71"/>
      <c r="M739" s="71"/>
      <c r="N739" s="71"/>
      <c r="O739" s="71"/>
      <c r="P739" s="71"/>
      <c r="Q739" s="71"/>
      <c r="R739" s="71"/>
      <c r="S739" s="71"/>
      <c r="T739" s="105"/>
      <c r="U739" s="71"/>
      <c r="V739" s="71"/>
      <c r="W739" s="71"/>
      <c r="X739" s="71"/>
      <c r="Y739" s="71"/>
      <c r="Z739" s="71"/>
      <c r="AA739" s="71"/>
      <c r="AB739" s="71"/>
      <c r="AC739" s="71"/>
      <c r="AD739" s="71"/>
      <c r="AE739" s="71"/>
      <c r="AF739" s="71"/>
      <c r="AG739" s="71"/>
      <c r="AH739" s="71"/>
      <c r="AI739" s="71"/>
      <c r="AJ739" s="71"/>
      <c r="AK739" s="71"/>
    </row>
    <row r="740" spans="1:37" ht="12.75" customHeight="1" x14ac:dyDescent="0.2">
      <c r="A740" s="71"/>
      <c r="B740" s="71"/>
      <c r="C740" s="71"/>
      <c r="D740" s="71"/>
      <c r="E740" s="71"/>
      <c r="F740" s="71"/>
      <c r="G740" s="71"/>
      <c r="H740" s="71"/>
      <c r="I740" s="71"/>
      <c r="J740" s="71"/>
      <c r="K740" s="71"/>
      <c r="L740" s="71"/>
      <c r="M740" s="71"/>
      <c r="N740" s="71"/>
      <c r="O740" s="71"/>
      <c r="P740" s="71"/>
      <c r="Q740" s="71"/>
      <c r="R740" s="71"/>
      <c r="S740" s="71"/>
      <c r="T740" s="105"/>
      <c r="U740" s="71"/>
      <c r="V740" s="71"/>
      <c r="W740" s="71"/>
      <c r="X740" s="71"/>
      <c r="Y740" s="71"/>
      <c r="Z740" s="71"/>
      <c r="AA740" s="71"/>
      <c r="AB740" s="71"/>
      <c r="AC740" s="71"/>
      <c r="AD740" s="71"/>
      <c r="AE740" s="71"/>
      <c r="AF740" s="71"/>
      <c r="AG740" s="71"/>
      <c r="AH740" s="71"/>
      <c r="AI740" s="71"/>
      <c r="AJ740" s="71"/>
      <c r="AK740" s="71"/>
    </row>
    <row r="741" spans="1:37" ht="12.75" customHeight="1" x14ac:dyDescent="0.2">
      <c r="A741" s="71"/>
      <c r="B741" s="71"/>
      <c r="C741" s="71"/>
      <c r="D741" s="71"/>
      <c r="E741" s="71"/>
      <c r="F741" s="71"/>
      <c r="G741" s="71"/>
      <c r="H741" s="71"/>
      <c r="I741" s="71"/>
      <c r="J741" s="71"/>
      <c r="K741" s="71"/>
      <c r="L741" s="71"/>
      <c r="M741" s="71"/>
      <c r="N741" s="71"/>
      <c r="O741" s="71"/>
      <c r="P741" s="71"/>
      <c r="Q741" s="71"/>
      <c r="R741" s="71"/>
      <c r="S741" s="71"/>
      <c r="T741" s="105"/>
      <c r="U741" s="71"/>
      <c r="V741" s="71"/>
      <c r="W741" s="71"/>
      <c r="X741" s="71"/>
      <c r="Y741" s="71"/>
      <c r="Z741" s="71"/>
      <c r="AA741" s="71"/>
      <c r="AB741" s="71"/>
      <c r="AC741" s="71"/>
      <c r="AD741" s="71"/>
      <c r="AE741" s="71"/>
      <c r="AF741" s="71"/>
      <c r="AG741" s="71"/>
      <c r="AH741" s="71"/>
      <c r="AI741" s="71"/>
      <c r="AJ741" s="71"/>
      <c r="AK741" s="71"/>
    </row>
    <row r="742" spans="1:37" ht="12.75" customHeight="1" x14ac:dyDescent="0.2">
      <c r="A742" s="71"/>
      <c r="B742" s="71"/>
      <c r="C742" s="71"/>
      <c r="D742" s="71"/>
      <c r="E742" s="71"/>
      <c r="F742" s="71"/>
      <c r="G742" s="71"/>
      <c r="H742" s="71"/>
      <c r="I742" s="71"/>
      <c r="J742" s="71"/>
      <c r="K742" s="71"/>
      <c r="L742" s="71"/>
      <c r="M742" s="71"/>
      <c r="N742" s="71"/>
      <c r="O742" s="71"/>
      <c r="P742" s="71"/>
      <c r="Q742" s="71"/>
      <c r="R742" s="71"/>
      <c r="S742" s="71"/>
      <c r="T742" s="105"/>
      <c r="U742" s="71"/>
      <c r="V742" s="71"/>
      <c r="W742" s="71"/>
      <c r="X742" s="71"/>
      <c r="Y742" s="71"/>
      <c r="Z742" s="71"/>
      <c r="AA742" s="71"/>
      <c r="AB742" s="71"/>
      <c r="AC742" s="71"/>
      <c r="AD742" s="71"/>
      <c r="AE742" s="71"/>
      <c r="AF742" s="71"/>
      <c r="AG742" s="71"/>
      <c r="AH742" s="71"/>
      <c r="AI742" s="71"/>
      <c r="AJ742" s="71"/>
      <c r="AK742" s="71"/>
    </row>
    <row r="743" spans="1:37" ht="12.75" customHeight="1" x14ac:dyDescent="0.2">
      <c r="A743" s="71"/>
      <c r="B743" s="71"/>
      <c r="C743" s="71"/>
      <c r="D743" s="71"/>
      <c r="E743" s="71"/>
      <c r="F743" s="71"/>
      <c r="G743" s="71"/>
      <c r="H743" s="71"/>
      <c r="I743" s="71"/>
      <c r="J743" s="71"/>
      <c r="K743" s="71"/>
      <c r="L743" s="71"/>
      <c r="M743" s="71"/>
      <c r="N743" s="71"/>
      <c r="O743" s="71"/>
      <c r="P743" s="71"/>
      <c r="Q743" s="71"/>
      <c r="R743" s="71"/>
      <c r="S743" s="71"/>
      <c r="T743" s="105"/>
      <c r="U743" s="71"/>
      <c r="V743" s="71"/>
      <c r="W743" s="71"/>
      <c r="X743" s="71"/>
      <c r="Y743" s="71"/>
      <c r="Z743" s="71"/>
      <c r="AA743" s="71"/>
      <c r="AB743" s="71"/>
      <c r="AC743" s="71"/>
      <c r="AD743" s="71"/>
      <c r="AE743" s="71"/>
      <c r="AF743" s="71"/>
      <c r="AG743" s="71"/>
      <c r="AH743" s="71"/>
      <c r="AI743" s="71"/>
      <c r="AJ743" s="71"/>
      <c r="AK743" s="71"/>
    </row>
    <row r="744" spans="1:37" ht="12.75" customHeight="1" x14ac:dyDescent="0.2">
      <c r="A744" s="71"/>
      <c r="B744" s="71"/>
      <c r="C744" s="71"/>
      <c r="D744" s="71"/>
      <c r="E744" s="71"/>
      <c r="F744" s="71"/>
      <c r="G744" s="71"/>
      <c r="H744" s="71"/>
      <c r="I744" s="71"/>
      <c r="J744" s="71"/>
      <c r="K744" s="71"/>
      <c r="L744" s="71"/>
      <c r="M744" s="71"/>
      <c r="N744" s="71"/>
      <c r="O744" s="71"/>
      <c r="P744" s="71"/>
      <c r="Q744" s="71"/>
      <c r="R744" s="71"/>
      <c r="S744" s="71"/>
      <c r="T744" s="105"/>
      <c r="U744" s="71"/>
      <c r="V744" s="71"/>
      <c r="W744" s="71"/>
      <c r="X744" s="71"/>
      <c r="Y744" s="71"/>
      <c r="Z744" s="71"/>
      <c r="AA744" s="71"/>
      <c r="AB744" s="71"/>
      <c r="AC744" s="71"/>
      <c r="AD744" s="71"/>
      <c r="AE744" s="71"/>
      <c r="AF744" s="71"/>
      <c r="AG744" s="71"/>
      <c r="AH744" s="71"/>
      <c r="AI744" s="71"/>
      <c r="AJ744" s="71"/>
      <c r="AK744" s="71"/>
    </row>
    <row r="745" spans="1:37" ht="12.75" customHeight="1" x14ac:dyDescent="0.2">
      <c r="A745" s="71"/>
      <c r="B745" s="71"/>
      <c r="C745" s="71"/>
      <c r="D745" s="71"/>
      <c r="E745" s="71"/>
      <c r="F745" s="71"/>
      <c r="G745" s="71"/>
      <c r="H745" s="71"/>
      <c r="I745" s="71"/>
      <c r="J745" s="71"/>
      <c r="K745" s="71"/>
      <c r="L745" s="71"/>
      <c r="M745" s="71"/>
      <c r="N745" s="71"/>
      <c r="O745" s="71"/>
      <c r="P745" s="71"/>
      <c r="Q745" s="71"/>
      <c r="R745" s="71"/>
      <c r="S745" s="71"/>
      <c r="T745" s="105"/>
      <c r="U745" s="71"/>
      <c r="V745" s="71"/>
      <c r="W745" s="71"/>
      <c r="X745" s="71"/>
      <c r="Y745" s="71"/>
      <c r="Z745" s="71"/>
      <c r="AA745" s="71"/>
      <c r="AB745" s="71"/>
      <c r="AC745" s="71"/>
      <c r="AD745" s="71"/>
      <c r="AE745" s="71"/>
      <c r="AF745" s="71"/>
      <c r="AG745" s="71"/>
      <c r="AH745" s="71"/>
      <c r="AI745" s="71"/>
      <c r="AJ745" s="71"/>
      <c r="AK745" s="71"/>
    </row>
    <row r="746" spans="1:37" ht="12.75" customHeight="1" x14ac:dyDescent="0.2">
      <c r="A746" s="71"/>
      <c r="B746" s="71"/>
      <c r="C746" s="71"/>
      <c r="D746" s="71"/>
      <c r="E746" s="71"/>
      <c r="F746" s="71"/>
      <c r="G746" s="71"/>
      <c r="H746" s="71"/>
      <c r="I746" s="71"/>
      <c r="J746" s="71"/>
      <c r="K746" s="71"/>
      <c r="L746" s="71"/>
      <c r="M746" s="71"/>
      <c r="N746" s="71"/>
      <c r="O746" s="71"/>
      <c r="P746" s="71"/>
      <c r="Q746" s="71"/>
      <c r="R746" s="71"/>
      <c r="S746" s="71"/>
      <c r="T746" s="105"/>
      <c r="U746" s="71"/>
      <c r="V746" s="71"/>
      <c r="W746" s="71"/>
      <c r="X746" s="71"/>
      <c r="Y746" s="71"/>
      <c r="Z746" s="71"/>
      <c r="AA746" s="71"/>
      <c r="AB746" s="71"/>
      <c r="AC746" s="71"/>
      <c r="AD746" s="71"/>
      <c r="AE746" s="71"/>
      <c r="AF746" s="71"/>
      <c r="AG746" s="71"/>
      <c r="AH746" s="71"/>
      <c r="AI746" s="71"/>
      <c r="AJ746" s="71"/>
      <c r="AK746" s="71"/>
    </row>
    <row r="747" spans="1:37" ht="12.75" customHeight="1" x14ac:dyDescent="0.2">
      <c r="A747" s="71"/>
      <c r="B747" s="71"/>
      <c r="C747" s="71"/>
      <c r="D747" s="71"/>
      <c r="E747" s="71"/>
      <c r="F747" s="71"/>
      <c r="G747" s="71"/>
      <c r="H747" s="71"/>
      <c r="I747" s="71"/>
      <c r="J747" s="71"/>
      <c r="K747" s="71"/>
      <c r="L747" s="71"/>
      <c r="M747" s="71"/>
      <c r="N747" s="71"/>
      <c r="O747" s="71"/>
      <c r="P747" s="71"/>
      <c r="Q747" s="71"/>
      <c r="R747" s="71"/>
      <c r="S747" s="71"/>
      <c r="T747" s="105"/>
      <c r="U747" s="71"/>
      <c r="V747" s="71"/>
      <c r="W747" s="71"/>
      <c r="X747" s="71"/>
      <c r="Y747" s="71"/>
      <c r="Z747" s="71"/>
      <c r="AA747" s="71"/>
      <c r="AB747" s="71"/>
      <c r="AC747" s="71"/>
      <c r="AD747" s="71"/>
      <c r="AE747" s="71"/>
      <c r="AF747" s="71"/>
      <c r="AG747" s="71"/>
      <c r="AH747" s="71"/>
      <c r="AI747" s="71"/>
      <c r="AJ747" s="71"/>
      <c r="AK747" s="71"/>
    </row>
    <row r="748" spans="1:37" ht="12.75" customHeight="1" x14ac:dyDescent="0.2">
      <c r="A748" s="71"/>
      <c r="B748" s="71"/>
      <c r="C748" s="71"/>
      <c r="D748" s="71"/>
      <c r="E748" s="71"/>
      <c r="F748" s="71"/>
      <c r="G748" s="71"/>
      <c r="H748" s="71"/>
      <c r="I748" s="71"/>
      <c r="J748" s="71"/>
      <c r="K748" s="71"/>
      <c r="L748" s="71"/>
      <c r="M748" s="71"/>
      <c r="N748" s="71"/>
      <c r="O748" s="71"/>
      <c r="P748" s="71"/>
      <c r="Q748" s="71"/>
      <c r="R748" s="71"/>
      <c r="S748" s="71"/>
      <c r="T748" s="105"/>
      <c r="U748" s="71"/>
      <c r="V748" s="71"/>
      <c r="W748" s="71"/>
      <c r="X748" s="71"/>
      <c r="Y748" s="71"/>
      <c r="Z748" s="71"/>
      <c r="AA748" s="71"/>
      <c r="AB748" s="71"/>
      <c r="AC748" s="71"/>
      <c r="AD748" s="71"/>
      <c r="AE748" s="71"/>
      <c r="AF748" s="71"/>
      <c r="AG748" s="71"/>
      <c r="AH748" s="71"/>
      <c r="AI748" s="71"/>
      <c r="AJ748" s="71"/>
      <c r="AK748" s="71"/>
    </row>
    <row r="749" spans="1:37" ht="12.75" customHeight="1" x14ac:dyDescent="0.2">
      <c r="A749" s="71"/>
      <c r="B749" s="71"/>
      <c r="C749" s="71"/>
      <c r="D749" s="71"/>
      <c r="E749" s="71"/>
      <c r="F749" s="71"/>
      <c r="G749" s="71"/>
      <c r="H749" s="71"/>
      <c r="I749" s="71"/>
      <c r="J749" s="71"/>
      <c r="K749" s="71"/>
      <c r="L749" s="71"/>
      <c r="M749" s="71"/>
      <c r="N749" s="71"/>
      <c r="O749" s="71"/>
      <c r="P749" s="71"/>
      <c r="Q749" s="71"/>
      <c r="R749" s="71"/>
      <c r="S749" s="71"/>
      <c r="T749" s="105"/>
      <c r="U749" s="71"/>
      <c r="V749" s="71"/>
      <c r="W749" s="71"/>
      <c r="X749" s="71"/>
      <c r="Y749" s="71"/>
      <c r="Z749" s="71"/>
      <c r="AA749" s="71"/>
      <c r="AB749" s="71"/>
      <c r="AC749" s="71"/>
      <c r="AD749" s="71"/>
      <c r="AE749" s="71"/>
      <c r="AF749" s="71"/>
      <c r="AG749" s="71"/>
      <c r="AH749" s="71"/>
      <c r="AI749" s="71"/>
      <c r="AJ749" s="71"/>
      <c r="AK749" s="71"/>
    </row>
    <row r="750" spans="1:37" ht="12.75" customHeight="1" x14ac:dyDescent="0.2">
      <c r="A750" s="71"/>
      <c r="B750" s="71"/>
      <c r="C750" s="71"/>
      <c r="D750" s="71"/>
      <c r="E750" s="71"/>
      <c r="F750" s="71"/>
      <c r="G750" s="71"/>
      <c r="H750" s="71"/>
      <c r="I750" s="71"/>
      <c r="J750" s="71"/>
      <c r="K750" s="71"/>
      <c r="L750" s="71"/>
      <c r="M750" s="71"/>
      <c r="N750" s="71"/>
      <c r="O750" s="71"/>
      <c r="P750" s="71"/>
      <c r="Q750" s="71"/>
      <c r="R750" s="71"/>
      <c r="S750" s="71"/>
      <c r="T750" s="105"/>
      <c r="U750" s="71"/>
      <c r="V750" s="71"/>
      <c r="W750" s="71"/>
      <c r="X750" s="71"/>
      <c r="Y750" s="71"/>
      <c r="Z750" s="71"/>
      <c r="AA750" s="71"/>
      <c r="AB750" s="71"/>
      <c r="AC750" s="71"/>
      <c r="AD750" s="71"/>
      <c r="AE750" s="71"/>
      <c r="AF750" s="71"/>
      <c r="AG750" s="71"/>
      <c r="AH750" s="71"/>
      <c r="AI750" s="71"/>
      <c r="AJ750" s="71"/>
      <c r="AK750" s="71"/>
    </row>
    <row r="751" spans="1:37" ht="12.75" customHeight="1" x14ac:dyDescent="0.2">
      <c r="A751" s="71"/>
      <c r="B751" s="71"/>
      <c r="C751" s="71"/>
      <c r="D751" s="71"/>
      <c r="E751" s="71"/>
      <c r="F751" s="71"/>
      <c r="G751" s="71"/>
      <c r="H751" s="71"/>
      <c r="I751" s="71"/>
      <c r="J751" s="71"/>
      <c r="K751" s="71"/>
      <c r="L751" s="71"/>
      <c r="M751" s="71"/>
      <c r="N751" s="71"/>
      <c r="O751" s="71"/>
      <c r="P751" s="71"/>
      <c r="Q751" s="71"/>
      <c r="R751" s="71"/>
      <c r="S751" s="71"/>
      <c r="T751" s="105"/>
      <c r="U751" s="71"/>
      <c r="V751" s="71"/>
      <c r="W751" s="71"/>
      <c r="X751" s="71"/>
      <c r="Y751" s="71"/>
      <c r="Z751" s="71"/>
      <c r="AA751" s="71"/>
      <c r="AB751" s="71"/>
      <c r="AC751" s="71"/>
      <c r="AD751" s="71"/>
      <c r="AE751" s="71"/>
      <c r="AF751" s="71"/>
      <c r="AG751" s="71"/>
      <c r="AH751" s="71"/>
      <c r="AI751" s="71"/>
      <c r="AJ751" s="71"/>
      <c r="AK751" s="71"/>
    </row>
    <row r="752" spans="1:37" ht="12.75" customHeight="1" x14ac:dyDescent="0.2">
      <c r="A752" s="71"/>
      <c r="B752" s="71"/>
      <c r="C752" s="71"/>
      <c r="D752" s="71"/>
      <c r="E752" s="71"/>
      <c r="F752" s="71"/>
      <c r="G752" s="71"/>
      <c r="H752" s="71"/>
      <c r="I752" s="71"/>
      <c r="J752" s="71"/>
      <c r="K752" s="71"/>
      <c r="L752" s="71"/>
      <c r="M752" s="71"/>
      <c r="N752" s="71"/>
      <c r="O752" s="71"/>
      <c r="P752" s="71"/>
      <c r="Q752" s="71"/>
      <c r="R752" s="71"/>
      <c r="S752" s="71"/>
      <c r="T752" s="105"/>
      <c r="U752" s="71"/>
      <c r="V752" s="71"/>
      <c r="W752" s="71"/>
      <c r="X752" s="71"/>
      <c r="Y752" s="71"/>
      <c r="Z752" s="71"/>
      <c r="AA752" s="71"/>
      <c r="AB752" s="71"/>
      <c r="AC752" s="71"/>
      <c r="AD752" s="71"/>
      <c r="AE752" s="71"/>
      <c r="AF752" s="71"/>
      <c r="AG752" s="71"/>
      <c r="AH752" s="71"/>
      <c r="AI752" s="71"/>
      <c r="AJ752" s="71"/>
      <c r="AK752" s="71"/>
    </row>
    <row r="753" spans="1:37" ht="12.75" customHeight="1" x14ac:dyDescent="0.2">
      <c r="A753" s="71"/>
      <c r="B753" s="71"/>
      <c r="C753" s="71"/>
      <c r="D753" s="71"/>
      <c r="E753" s="71"/>
      <c r="F753" s="71"/>
      <c r="G753" s="71"/>
      <c r="H753" s="71"/>
      <c r="I753" s="71"/>
      <c r="J753" s="71"/>
      <c r="K753" s="71"/>
      <c r="L753" s="71"/>
      <c r="M753" s="71"/>
      <c r="N753" s="71"/>
      <c r="O753" s="71"/>
      <c r="P753" s="71"/>
      <c r="Q753" s="71"/>
      <c r="R753" s="71"/>
      <c r="S753" s="71"/>
      <c r="T753" s="105"/>
      <c r="U753" s="71"/>
      <c r="V753" s="71"/>
      <c r="W753" s="71"/>
      <c r="X753" s="71"/>
      <c r="Y753" s="71"/>
      <c r="Z753" s="71"/>
      <c r="AA753" s="71"/>
      <c r="AB753" s="71"/>
      <c r="AC753" s="71"/>
      <c r="AD753" s="71"/>
      <c r="AE753" s="71"/>
      <c r="AF753" s="71"/>
      <c r="AG753" s="71"/>
      <c r="AH753" s="71"/>
      <c r="AI753" s="71"/>
      <c r="AJ753" s="71"/>
      <c r="AK753" s="71"/>
    </row>
    <row r="754" spans="1:37" ht="12.75" customHeight="1" x14ac:dyDescent="0.2">
      <c r="A754" s="71"/>
      <c r="B754" s="71"/>
      <c r="C754" s="71"/>
      <c r="D754" s="71"/>
      <c r="E754" s="71"/>
      <c r="F754" s="71"/>
      <c r="G754" s="71"/>
      <c r="H754" s="71"/>
      <c r="I754" s="71"/>
      <c r="J754" s="71"/>
      <c r="K754" s="71"/>
      <c r="L754" s="71"/>
      <c r="M754" s="71"/>
      <c r="N754" s="71"/>
      <c r="O754" s="71"/>
      <c r="P754" s="71"/>
      <c r="Q754" s="71"/>
      <c r="R754" s="71"/>
      <c r="S754" s="71"/>
      <c r="T754" s="105"/>
      <c r="U754" s="71"/>
      <c r="V754" s="71"/>
      <c r="W754" s="71"/>
      <c r="X754" s="71"/>
      <c r="Y754" s="71"/>
      <c r="Z754" s="71"/>
      <c r="AA754" s="71"/>
      <c r="AB754" s="71"/>
      <c r="AC754" s="71"/>
      <c r="AD754" s="71"/>
      <c r="AE754" s="71"/>
      <c r="AF754" s="71"/>
      <c r="AG754" s="71"/>
      <c r="AH754" s="71"/>
      <c r="AI754" s="71"/>
      <c r="AJ754" s="71"/>
      <c r="AK754" s="71"/>
    </row>
    <row r="755" spans="1:37" ht="12.75" customHeight="1" x14ac:dyDescent="0.2">
      <c r="A755" s="71"/>
      <c r="B755" s="71"/>
      <c r="C755" s="71"/>
      <c r="D755" s="71"/>
      <c r="E755" s="71"/>
      <c r="F755" s="71"/>
      <c r="G755" s="71"/>
      <c r="H755" s="71"/>
      <c r="I755" s="71"/>
      <c r="J755" s="71"/>
      <c r="K755" s="71"/>
      <c r="L755" s="71"/>
      <c r="M755" s="71"/>
      <c r="N755" s="71"/>
      <c r="O755" s="71"/>
      <c r="P755" s="71"/>
      <c r="Q755" s="71"/>
      <c r="R755" s="71"/>
      <c r="S755" s="71"/>
      <c r="T755" s="105"/>
      <c r="U755" s="71"/>
      <c r="V755" s="71"/>
      <c r="W755" s="71"/>
      <c r="X755" s="71"/>
      <c r="Y755" s="71"/>
      <c r="Z755" s="71"/>
      <c r="AA755" s="71"/>
      <c r="AB755" s="71"/>
      <c r="AC755" s="71"/>
      <c r="AD755" s="71"/>
      <c r="AE755" s="71"/>
      <c r="AF755" s="71"/>
      <c r="AG755" s="71"/>
      <c r="AH755" s="71"/>
      <c r="AI755" s="71"/>
      <c r="AJ755" s="71"/>
      <c r="AK755" s="71"/>
    </row>
    <row r="756" spans="1:37" ht="12.75" customHeight="1" x14ac:dyDescent="0.2">
      <c r="A756" s="71"/>
      <c r="B756" s="71"/>
      <c r="C756" s="71"/>
      <c r="D756" s="71"/>
      <c r="E756" s="71"/>
      <c r="F756" s="71"/>
      <c r="G756" s="71"/>
      <c r="H756" s="71"/>
      <c r="I756" s="71"/>
      <c r="J756" s="71"/>
      <c r="K756" s="71"/>
      <c r="L756" s="71"/>
      <c r="M756" s="71"/>
      <c r="N756" s="71"/>
      <c r="O756" s="71"/>
      <c r="P756" s="71"/>
      <c r="Q756" s="71"/>
      <c r="R756" s="71"/>
      <c r="S756" s="71"/>
      <c r="T756" s="105"/>
      <c r="U756" s="71"/>
      <c r="V756" s="71"/>
      <c r="W756" s="71"/>
      <c r="X756" s="71"/>
      <c r="Y756" s="71"/>
      <c r="Z756" s="71"/>
      <c r="AA756" s="71"/>
      <c r="AB756" s="71"/>
      <c r="AC756" s="71"/>
      <c r="AD756" s="71"/>
      <c r="AE756" s="71"/>
      <c r="AF756" s="71"/>
      <c r="AG756" s="71"/>
      <c r="AH756" s="71"/>
      <c r="AI756" s="71"/>
      <c r="AJ756" s="71"/>
      <c r="AK756" s="71"/>
    </row>
    <row r="757" spans="1:37" ht="12.75" customHeight="1" x14ac:dyDescent="0.2">
      <c r="A757" s="71"/>
      <c r="B757" s="71"/>
      <c r="C757" s="71"/>
      <c r="D757" s="71"/>
      <c r="E757" s="71"/>
      <c r="F757" s="71"/>
      <c r="G757" s="71"/>
      <c r="H757" s="71"/>
      <c r="I757" s="71"/>
      <c r="J757" s="71"/>
      <c r="K757" s="71"/>
      <c r="L757" s="71"/>
      <c r="M757" s="71"/>
      <c r="N757" s="71"/>
      <c r="O757" s="71"/>
      <c r="P757" s="71"/>
      <c r="Q757" s="71"/>
      <c r="R757" s="71"/>
      <c r="S757" s="71"/>
      <c r="T757" s="105"/>
      <c r="U757" s="71"/>
      <c r="V757" s="71"/>
      <c r="W757" s="71"/>
      <c r="X757" s="71"/>
      <c r="Y757" s="71"/>
      <c r="Z757" s="71"/>
      <c r="AA757" s="71"/>
      <c r="AB757" s="71"/>
      <c r="AC757" s="71"/>
      <c r="AD757" s="71"/>
      <c r="AE757" s="71"/>
      <c r="AF757" s="71"/>
      <c r="AG757" s="71"/>
      <c r="AH757" s="71"/>
      <c r="AI757" s="71"/>
      <c r="AJ757" s="71"/>
      <c r="AK757" s="71"/>
    </row>
    <row r="758" spans="1:37" ht="12.75" customHeight="1" x14ac:dyDescent="0.2">
      <c r="A758" s="71"/>
      <c r="B758" s="71"/>
      <c r="C758" s="71"/>
      <c r="D758" s="71"/>
      <c r="E758" s="71"/>
      <c r="F758" s="71"/>
      <c r="G758" s="71"/>
      <c r="H758" s="71"/>
      <c r="I758" s="71"/>
      <c r="J758" s="71"/>
      <c r="K758" s="71"/>
      <c r="L758" s="71"/>
      <c r="M758" s="71"/>
      <c r="N758" s="71"/>
      <c r="O758" s="71"/>
      <c r="P758" s="71"/>
      <c r="Q758" s="71"/>
      <c r="R758" s="71"/>
      <c r="S758" s="71"/>
      <c r="T758" s="105"/>
      <c r="U758" s="71"/>
      <c r="V758" s="71"/>
      <c r="W758" s="71"/>
      <c r="X758" s="71"/>
      <c r="Y758" s="71"/>
      <c r="Z758" s="71"/>
      <c r="AA758" s="71"/>
      <c r="AB758" s="71"/>
      <c r="AC758" s="71"/>
      <c r="AD758" s="71"/>
      <c r="AE758" s="71"/>
      <c r="AF758" s="71"/>
      <c r="AG758" s="71"/>
      <c r="AH758" s="71"/>
      <c r="AI758" s="71"/>
      <c r="AJ758" s="71"/>
      <c r="AK758" s="71"/>
    </row>
    <row r="759" spans="1:37" ht="12.75" customHeight="1" x14ac:dyDescent="0.2">
      <c r="A759" s="71"/>
      <c r="B759" s="71"/>
      <c r="C759" s="71"/>
      <c r="D759" s="71"/>
      <c r="E759" s="71"/>
      <c r="F759" s="71"/>
      <c r="G759" s="71"/>
      <c r="H759" s="71"/>
      <c r="I759" s="71"/>
      <c r="J759" s="71"/>
      <c r="K759" s="71"/>
      <c r="L759" s="71"/>
      <c r="M759" s="71"/>
      <c r="N759" s="71"/>
      <c r="O759" s="71"/>
      <c r="P759" s="71"/>
      <c r="Q759" s="71"/>
      <c r="R759" s="71"/>
      <c r="S759" s="71"/>
      <c r="T759" s="105"/>
      <c r="U759" s="71"/>
      <c r="V759" s="71"/>
      <c r="W759" s="71"/>
      <c r="X759" s="71"/>
      <c r="Y759" s="71"/>
      <c r="Z759" s="71"/>
      <c r="AA759" s="71"/>
      <c r="AB759" s="71"/>
      <c r="AC759" s="71"/>
      <c r="AD759" s="71"/>
      <c r="AE759" s="71"/>
      <c r="AF759" s="71"/>
      <c r="AG759" s="71"/>
      <c r="AH759" s="71"/>
      <c r="AI759" s="71"/>
      <c r="AJ759" s="71"/>
      <c r="AK759" s="71"/>
    </row>
    <row r="760" spans="1:37" ht="12.75" customHeight="1" x14ac:dyDescent="0.2">
      <c r="A760" s="71"/>
      <c r="B760" s="71"/>
      <c r="C760" s="71"/>
      <c r="D760" s="71"/>
      <c r="E760" s="71"/>
      <c r="F760" s="71"/>
      <c r="G760" s="71"/>
      <c r="H760" s="71"/>
      <c r="I760" s="71"/>
      <c r="J760" s="71"/>
      <c r="K760" s="71"/>
      <c r="L760" s="71"/>
      <c r="M760" s="71"/>
      <c r="N760" s="71"/>
      <c r="O760" s="71"/>
      <c r="P760" s="71"/>
      <c r="Q760" s="71"/>
      <c r="R760" s="71"/>
      <c r="S760" s="71"/>
      <c r="T760" s="105"/>
      <c r="U760" s="71"/>
      <c r="V760" s="71"/>
      <c r="W760" s="71"/>
      <c r="X760" s="71"/>
      <c r="Y760" s="71"/>
      <c r="Z760" s="71"/>
      <c r="AA760" s="71"/>
      <c r="AB760" s="71"/>
      <c r="AC760" s="71"/>
      <c r="AD760" s="71"/>
      <c r="AE760" s="71"/>
      <c r="AF760" s="71"/>
      <c r="AG760" s="71"/>
      <c r="AH760" s="71"/>
      <c r="AI760" s="71"/>
      <c r="AJ760" s="71"/>
      <c r="AK760" s="71"/>
    </row>
    <row r="761" spans="1:37" ht="12.75" customHeight="1" x14ac:dyDescent="0.2">
      <c r="A761" s="71"/>
      <c r="B761" s="71"/>
      <c r="C761" s="71"/>
      <c r="D761" s="71"/>
      <c r="E761" s="71"/>
      <c r="F761" s="71"/>
      <c r="G761" s="71"/>
      <c r="H761" s="71"/>
      <c r="I761" s="71"/>
      <c r="J761" s="71"/>
      <c r="K761" s="71"/>
      <c r="L761" s="71"/>
      <c r="M761" s="71"/>
      <c r="N761" s="71"/>
      <c r="O761" s="71"/>
      <c r="P761" s="71"/>
      <c r="Q761" s="71"/>
      <c r="R761" s="71"/>
      <c r="S761" s="71"/>
      <c r="T761" s="105"/>
      <c r="U761" s="71"/>
      <c r="V761" s="71"/>
      <c r="W761" s="71"/>
      <c r="X761" s="71"/>
      <c r="Y761" s="71"/>
      <c r="Z761" s="71"/>
      <c r="AA761" s="71"/>
      <c r="AB761" s="71"/>
      <c r="AC761" s="71"/>
      <c r="AD761" s="71"/>
      <c r="AE761" s="71"/>
      <c r="AF761" s="71"/>
      <c r="AG761" s="71"/>
      <c r="AH761" s="71"/>
      <c r="AI761" s="71"/>
      <c r="AJ761" s="71"/>
      <c r="AK761" s="71"/>
    </row>
    <row r="762" spans="1:37" ht="12.75" customHeight="1" x14ac:dyDescent="0.2">
      <c r="A762" s="71"/>
      <c r="B762" s="71"/>
      <c r="C762" s="71"/>
      <c r="D762" s="71"/>
      <c r="E762" s="71"/>
      <c r="F762" s="71"/>
      <c r="G762" s="71"/>
      <c r="H762" s="71"/>
      <c r="I762" s="71"/>
      <c r="J762" s="71"/>
      <c r="K762" s="71"/>
      <c r="L762" s="71"/>
      <c r="M762" s="71"/>
      <c r="N762" s="71"/>
      <c r="O762" s="71"/>
      <c r="P762" s="71"/>
      <c r="Q762" s="71"/>
      <c r="R762" s="71"/>
      <c r="S762" s="71"/>
      <c r="T762" s="105"/>
      <c r="U762" s="71"/>
      <c r="V762" s="71"/>
      <c r="W762" s="71"/>
      <c r="X762" s="71"/>
      <c r="Y762" s="71"/>
      <c r="Z762" s="71"/>
      <c r="AA762" s="71"/>
      <c r="AB762" s="71"/>
      <c r="AC762" s="71"/>
      <c r="AD762" s="71"/>
      <c r="AE762" s="71"/>
      <c r="AF762" s="71"/>
      <c r="AG762" s="71"/>
      <c r="AH762" s="71"/>
      <c r="AI762" s="71"/>
      <c r="AJ762" s="71"/>
      <c r="AK762" s="71"/>
    </row>
    <row r="763" spans="1:37" ht="12.75" customHeight="1" x14ac:dyDescent="0.2">
      <c r="A763" s="71"/>
      <c r="B763" s="71"/>
      <c r="C763" s="71"/>
      <c r="D763" s="71"/>
      <c r="E763" s="71"/>
      <c r="F763" s="71"/>
      <c r="G763" s="71"/>
      <c r="H763" s="71"/>
      <c r="I763" s="71"/>
      <c r="J763" s="71"/>
      <c r="K763" s="71"/>
      <c r="L763" s="71"/>
      <c r="M763" s="71"/>
      <c r="N763" s="71"/>
      <c r="O763" s="71"/>
      <c r="P763" s="71"/>
      <c r="Q763" s="71"/>
      <c r="R763" s="71"/>
      <c r="S763" s="71"/>
      <c r="T763" s="105"/>
      <c r="U763" s="71"/>
      <c r="V763" s="71"/>
      <c r="W763" s="71"/>
      <c r="X763" s="71"/>
      <c r="Y763" s="71"/>
      <c r="Z763" s="71"/>
      <c r="AA763" s="71"/>
      <c r="AB763" s="71"/>
      <c r="AC763" s="71"/>
      <c r="AD763" s="71"/>
      <c r="AE763" s="71"/>
      <c r="AF763" s="71"/>
      <c r="AG763" s="71"/>
      <c r="AH763" s="71"/>
      <c r="AI763" s="71"/>
      <c r="AJ763" s="71"/>
      <c r="AK763" s="71"/>
    </row>
    <row r="764" spans="1:37" ht="12.75" customHeight="1" x14ac:dyDescent="0.2">
      <c r="A764" s="71"/>
      <c r="B764" s="71"/>
      <c r="C764" s="71"/>
      <c r="D764" s="71"/>
      <c r="E764" s="71"/>
      <c r="F764" s="71"/>
      <c r="G764" s="71"/>
      <c r="H764" s="71"/>
      <c r="I764" s="71"/>
      <c r="J764" s="71"/>
      <c r="K764" s="71"/>
      <c r="L764" s="71"/>
      <c r="M764" s="71"/>
      <c r="N764" s="71"/>
      <c r="O764" s="71"/>
      <c r="P764" s="71"/>
      <c r="Q764" s="71"/>
      <c r="R764" s="71"/>
      <c r="S764" s="71"/>
      <c r="T764" s="105"/>
      <c r="U764" s="71"/>
      <c r="V764" s="71"/>
      <c r="W764" s="71"/>
      <c r="X764" s="71"/>
      <c r="Y764" s="71"/>
      <c r="Z764" s="71"/>
      <c r="AA764" s="71"/>
      <c r="AB764" s="71"/>
      <c r="AC764" s="71"/>
      <c r="AD764" s="71"/>
      <c r="AE764" s="71"/>
      <c r="AF764" s="71"/>
      <c r="AG764" s="71"/>
      <c r="AH764" s="71"/>
      <c r="AI764" s="71"/>
      <c r="AJ764" s="71"/>
      <c r="AK764" s="71"/>
    </row>
    <row r="765" spans="1:37" ht="12.75" customHeight="1" x14ac:dyDescent="0.2">
      <c r="A765" s="71"/>
      <c r="B765" s="71"/>
      <c r="C765" s="71"/>
      <c r="D765" s="71"/>
      <c r="E765" s="71"/>
      <c r="F765" s="71"/>
      <c r="G765" s="71"/>
      <c r="H765" s="71"/>
      <c r="I765" s="71"/>
      <c r="J765" s="71"/>
      <c r="K765" s="71"/>
      <c r="L765" s="71"/>
      <c r="M765" s="71"/>
      <c r="N765" s="71"/>
      <c r="O765" s="71"/>
      <c r="P765" s="71"/>
      <c r="Q765" s="71"/>
      <c r="R765" s="71"/>
      <c r="S765" s="71"/>
      <c r="T765" s="105"/>
      <c r="U765" s="71"/>
      <c r="V765" s="71"/>
      <c r="W765" s="71"/>
      <c r="X765" s="71"/>
      <c r="Y765" s="71"/>
      <c r="Z765" s="71"/>
      <c r="AA765" s="71"/>
      <c r="AB765" s="71"/>
      <c r="AC765" s="71"/>
      <c r="AD765" s="71"/>
      <c r="AE765" s="71"/>
      <c r="AF765" s="71"/>
      <c r="AG765" s="71"/>
      <c r="AH765" s="71"/>
      <c r="AI765" s="71"/>
      <c r="AJ765" s="71"/>
      <c r="AK765" s="71"/>
    </row>
    <row r="766" spans="1:37" ht="12.75" customHeight="1" x14ac:dyDescent="0.2">
      <c r="A766" s="71"/>
      <c r="B766" s="71"/>
      <c r="C766" s="71"/>
      <c r="D766" s="71"/>
      <c r="E766" s="71"/>
      <c r="F766" s="71"/>
      <c r="G766" s="71"/>
      <c r="H766" s="71"/>
      <c r="I766" s="71"/>
      <c r="J766" s="71"/>
      <c r="K766" s="71"/>
      <c r="L766" s="71"/>
      <c r="M766" s="71"/>
      <c r="N766" s="71"/>
      <c r="O766" s="71"/>
      <c r="P766" s="71"/>
      <c r="Q766" s="71"/>
      <c r="R766" s="71"/>
      <c r="S766" s="71"/>
      <c r="T766" s="105"/>
      <c r="U766" s="71"/>
      <c r="V766" s="71"/>
      <c r="W766" s="71"/>
      <c r="X766" s="71"/>
      <c r="Y766" s="71"/>
      <c r="Z766" s="71"/>
      <c r="AA766" s="71"/>
      <c r="AB766" s="71"/>
      <c r="AC766" s="71"/>
      <c r="AD766" s="71"/>
      <c r="AE766" s="71"/>
      <c r="AF766" s="71"/>
      <c r="AG766" s="71"/>
      <c r="AH766" s="71"/>
      <c r="AI766" s="71"/>
      <c r="AJ766" s="71"/>
      <c r="AK766" s="71"/>
    </row>
    <row r="767" spans="1:37" ht="12.75" customHeight="1" x14ac:dyDescent="0.2">
      <c r="A767" s="71"/>
      <c r="B767" s="71"/>
      <c r="C767" s="71"/>
      <c r="D767" s="71"/>
      <c r="E767" s="71"/>
      <c r="F767" s="71"/>
      <c r="G767" s="71"/>
      <c r="H767" s="71"/>
      <c r="I767" s="71"/>
      <c r="J767" s="71"/>
      <c r="K767" s="71"/>
      <c r="L767" s="71"/>
      <c r="M767" s="71"/>
      <c r="N767" s="71"/>
      <c r="O767" s="71"/>
      <c r="P767" s="71"/>
      <c r="Q767" s="71"/>
      <c r="R767" s="71"/>
      <c r="S767" s="71"/>
      <c r="T767" s="105"/>
      <c r="U767" s="71"/>
      <c r="V767" s="71"/>
      <c r="W767" s="71"/>
      <c r="X767" s="71"/>
      <c r="Y767" s="71"/>
      <c r="Z767" s="71"/>
      <c r="AA767" s="71"/>
      <c r="AB767" s="71"/>
      <c r="AC767" s="71"/>
      <c r="AD767" s="71"/>
      <c r="AE767" s="71"/>
      <c r="AF767" s="71"/>
      <c r="AG767" s="71"/>
      <c r="AH767" s="71"/>
      <c r="AI767" s="71"/>
      <c r="AJ767" s="71"/>
      <c r="AK767" s="71"/>
    </row>
    <row r="768" spans="1:37" ht="12.75" customHeight="1" x14ac:dyDescent="0.2">
      <c r="A768" s="71"/>
      <c r="B768" s="71"/>
      <c r="C768" s="71"/>
      <c r="D768" s="71"/>
      <c r="E768" s="71"/>
      <c r="F768" s="71"/>
      <c r="G768" s="71"/>
      <c r="H768" s="71"/>
      <c r="I768" s="71"/>
      <c r="J768" s="71"/>
      <c r="K768" s="71"/>
      <c r="L768" s="71"/>
      <c r="M768" s="71"/>
      <c r="N768" s="71"/>
      <c r="O768" s="71"/>
      <c r="P768" s="71"/>
      <c r="Q768" s="71"/>
      <c r="R768" s="71"/>
      <c r="S768" s="71"/>
      <c r="T768" s="105"/>
      <c r="U768" s="71"/>
      <c r="V768" s="71"/>
      <c r="W768" s="71"/>
      <c r="X768" s="71"/>
      <c r="Y768" s="71"/>
      <c r="Z768" s="71"/>
      <c r="AA768" s="71"/>
      <c r="AB768" s="71"/>
      <c r="AC768" s="71"/>
      <c r="AD768" s="71"/>
      <c r="AE768" s="71"/>
      <c r="AF768" s="71"/>
      <c r="AG768" s="71"/>
      <c r="AH768" s="71"/>
      <c r="AI768" s="71"/>
      <c r="AJ768" s="71"/>
      <c r="AK768" s="71"/>
    </row>
    <row r="769" spans="1:37" ht="12.75" customHeight="1" x14ac:dyDescent="0.2">
      <c r="A769" s="71"/>
      <c r="B769" s="71"/>
      <c r="C769" s="71"/>
      <c r="D769" s="71"/>
      <c r="E769" s="71"/>
      <c r="F769" s="71"/>
      <c r="G769" s="71"/>
      <c r="H769" s="71"/>
      <c r="I769" s="71"/>
      <c r="J769" s="71"/>
      <c r="K769" s="71"/>
      <c r="L769" s="71"/>
      <c r="M769" s="71"/>
      <c r="N769" s="71"/>
      <c r="O769" s="71"/>
      <c r="P769" s="71"/>
      <c r="Q769" s="71"/>
      <c r="R769" s="71"/>
      <c r="S769" s="71"/>
      <c r="T769" s="105"/>
      <c r="U769" s="71"/>
      <c r="V769" s="71"/>
      <c r="W769" s="71"/>
      <c r="X769" s="71"/>
      <c r="Y769" s="71"/>
      <c r="Z769" s="71"/>
      <c r="AA769" s="71"/>
      <c r="AB769" s="71"/>
      <c r="AC769" s="71"/>
      <c r="AD769" s="71"/>
      <c r="AE769" s="71"/>
      <c r="AF769" s="71"/>
      <c r="AG769" s="71"/>
      <c r="AH769" s="71"/>
      <c r="AI769" s="71"/>
      <c r="AJ769" s="71"/>
      <c r="AK769" s="71"/>
    </row>
    <row r="770" spans="1:37" ht="12.75" customHeight="1" x14ac:dyDescent="0.2">
      <c r="A770" s="71"/>
      <c r="B770" s="71"/>
      <c r="C770" s="71"/>
      <c r="D770" s="71"/>
      <c r="E770" s="71"/>
      <c r="F770" s="71"/>
      <c r="G770" s="71"/>
      <c r="H770" s="71"/>
      <c r="I770" s="71"/>
      <c r="J770" s="71"/>
      <c r="K770" s="71"/>
      <c r="L770" s="71"/>
      <c r="M770" s="71"/>
      <c r="N770" s="71"/>
      <c r="O770" s="71"/>
      <c r="P770" s="71"/>
      <c r="Q770" s="71"/>
      <c r="R770" s="71"/>
      <c r="S770" s="71"/>
      <c r="T770" s="105"/>
      <c r="U770" s="71"/>
      <c r="V770" s="71"/>
      <c r="W770" s="71"/>
      <c r="X770" s="71"/>
      <c r="Y770" s="71"/>
      <c r="Z770" s="71"/>
      <c r="AA770" s="71"/>
      <c r="AB770" s="71"/>
      <c r="AC770" s="71"/>
      <c r="AD770" s="71"/>
      <c r="AE770" s="71"/>
      <c r="AF770" s="71"/>
      <c r="AG770" s="71"/>
      <c r="AH770" s="71"/>
      <c r="AI770" s="71"/>
      <c r="AJ770" s="71"/>
      <c r="AK770" s="71"/>
    </row>
    <row r="771" spans="1:37" ht="12.75" customHeight="1" x14ac:dyDescent="0.2">
      <c r="A771" s="71"/>
      <c r="B771" s="71"/>
      <c r="C771" s="71"/>
      <c r="D771" s="71"/>
      <c r="E771" s="71"/>
      <c r="F771" s="71"/>
      <c r="G771" s="71"/>
      <c r="H771" s="71"/>
      <c r="I771" s="71"/>
      <c r="J771" s="71"/>
      <c r="K771" s="71"/>
      <c r="L771" s="71"/>
      <c r="M771" s="71"/>
      <c r="N771" s="71"/>
      <c r="O771" s="71"/>
      <c r="P771" s="71"/>
      <c r="Q771" s="71"/>
      <c r="R771" s="71"/>
      <c r="S771" s="71"/>
      <c r="T771" s="105"/>
      <c r="U771" s="71"/>
      <c r="V771" s="71"/>
      <c r="W771" s="71"/>
      <c r="X771" s="71"/>
      <c r="Y771" s="71"/>
      <c r="Z771" s="71"/>
      <c r="AA771" s="71"/>
      <c r="AB771" s="71"/>
      <c r="AC771" s="71"/>
      <c r="AD771" s="71"/>
      <c r="AE771" s="71"/>
      <c r="AF771" s="71"/>
      <c r="AG771" s="71"/>
      <c r="AH771" s="71"/>
      <c r="AI771" s="71"/>
      <c r="AJ771" s="71"/>
      <c r="AK771" s="71"/>
    </row>
    <row r="772" spans="1:37" ht="12.75" customHeight="1" x14ac:dyDescent="0.2">
      <c r="A772" s="71"/>
      <c r="B772" s="71"/>
      <c r="C772" s="71"/>
      <c r="D772" s="71"/>
      <c r="E772" s="71"/>
      <c r="F772" s="71"/>
      <c r="G772" s="71"/>
      <c r="H772" s="71"/>
      <c r="I772" s="71"/>
      <c r="J772" s="71"/>
      <c r="K772" s="71"/>
      <c r="L772" s="71"/>
      <c r="M772" s="71"/>
      <c r="N772" s="71"/>
      <c r="O772" s="71"/>
      <c r="P772" s="71"/>
      <c r="Q772" s="71"/>
      <c r="R772" s="71"/>
      <c r="S772" s="71"/>
      <c r="T772" s="105"/>
      <c r="U772" s="71"/>
      <c r="V772" s="71"/>
      <c r="W772" s="71"/>
      <c r="X772" s="71"/>
      <c r="Y772" s="71"/>
      <c r="Z772" s="71"/>
      <c r="AA772" s="71"/>
      <c r="AB772" s="71"/>
      <c r="AC772" s="71"/>
      <c r="AD772" s="71"/>
      <c r="AE772" s="71"/>
      <c r="AF772" s="71"/>
      <c r="AG772" s="71"/>
      <c r="AH772" s="71"/>
      <c r="AI772" s="71"/>
      <c r="AJ772" s="71"/>
      <c r="AK772" s="71"/>
    </row>
    <row r="773" spans="1:37" ht="12.75" customHeight="1" x14ac:dyDescent="0.2">
      <c r="A773" s="71"/>
      <c r="B773" s="71"/>
      <c r="C773" s="71"/>
      <c r="D773" s="71"/>
      <c r="E773" s="71"/>
      <c r="F773" s="71"/>
      <c r="G773" s="71"/>
      <c r="H773" s="71"/>
      <c r="I773" s="71"/>
      <c r="J773" s="71"/>
      <c r="K773" s="71"/>
      <c r="L773" s="71"/>
      <c r="M773" s="71"/>
      <c r="N773" s="71"/>
      <c r="O773" s="71"/>
      <c r="P773" s="71"/>
      <c r="Q773" s="71"/>
      <c r="R773" s="71"/>
      <c r="S773" s="71"/>
      <c r="T773" s="105"/>
      <c r="U773" s="71"/>
      <c r="V773" s="71"/>
      <c r="W773" s="71"/>
      <c r="X773" s="71"/>
      <c r="Y773" s="71"/>
      <c r="Z773" s="71"/>
      <c r="AA773" s="71"/>
      <c r="AB773" s="71"/>
      <c r="AC773" s="71"/>
      <c r="AD773" s="71"/>
      <c r="AE773" s="71"/>
      <c r="AF773" s="71"/>
      <c r="AG773" s="71"/>
      <c r="AH773" s="71"/>
      <c r="AI773" s="71"/>
      <c r="AJ773" s="71"/>
      <c r="AK773" s="71"/>
    </row>
    <row r="774" spans="1:37" ht="12.75" customHeight="1" x14ac:dyDescent="0.2">
      <c r="A774" s="71"/>
      <c r="B774" s="71"/>
      <c r="C774" s="71"/>
      <c r="D774" s="71"/>
      <c r="E774" s="71"/>
      <c r="F774" s="71"/>
      <c r="G774" s="71"/>
      <c r="H774" s="71"/>
      <c r="I774" s="71"/>
      <c r="J774" s="71"/>
      <c r="K774" s="71"/>
      <c r="L774" s="71"/>
      <c r="M774" s="71"/>
      <c r="N774" s="71"/>
      <c r="O774" s="71"/>
      <c r="P774" s="71"/>
      <c r="Q774" s="71"/>
      <c r="R774" s="71"/>
      <c r="S774" s="71"/>
      <c r="T774" s="105"/>
      <c r="U774" s="71"/>
      <c r="V774" s="71"/>
      <c r="W774" s="71"/>
      <c r="X774" s="71"/>
      <c r="Y774" s="71"/>
      <c r="Z774" s="71"/>
      <c r="AA774" s="71"/>
      <c r="AB774" s="71"/>
      <c r="AC774" s="71"/>
      <c r="AD774" s="71"/>
      <c r="AE774" s="71"/>
      <c r="AF774" s="71"/>
      <c r="AG774" s="71"/>
      <c r="AH774" s="71"/>
      <c r="AI774" s="71"/>
      <c r="AJ774" s="71"/>
      <c r="AK774" s="71"/>
    </row>
    <row r="775" spans="1:37" ht="12.75" customHeight="1" x14ac:dyDescent="0.2">
      <c r="A775" s="71"/>
      <c r="B775" s="71"/>
      <c r="C775" s="71"/>
      <c r="D775" s="71"/>
      <c r="E775" s="71"/>
      <c r="F775" s="71"/>
      <c r="G775" s="71"/>
      <c r="H775" s="71"/>
      <c r="I775" s="71"/>
      <c r="J775" s="71"/>
      <c r="K775" s="71"/>
      <c r="L775" s="71"/>
      <c r="M775" s="71"/>
      <c r="N775" s="71"/>
      <c r="O775" s="71"/>
      <c r="P775" s="71"/>
      <c r="Q775" s="71"/>
      <c r="R775" s="71"/>
      <c r="S775" s="71"/>
      <c r="T775" s="105"/>
      <c r="U775" s="71"/>
      <c r="V775" s="71"/>
      <c r="W775" s="71"/>
      <c r="X775" s="71"/>
      <c r="Y775" s="71"/>
      <c r="Z775" s="71"/>
      <c r="AA775" s="71"/>
      <c r="AB775" s="71"/>
      <c r="AC775" s="71"/>
      <c r="AD775" s="71"/>
      <c r="AE775" s="71"/>
      <c r="AF775" s="71"/>
      <c r="AG775" s="71"/>
      <c r="AH775" s="71"/>
      <c r="AI775" s="71"/>
      <c r="AJ775" s="71"/>
      <c r="AK775" s="71"/>
    </row>
    <row r="776" spans="1:37" ht="12.75" customHeight="1" x14ac:dyDescent="0.2">
      <c r="A776" s="71"/>
      <c r="B776" s="71"/>
      <c r="C776" s="71"/>
      <c r="D776" s="71"/>
      <c r="E776" s="71"/>
      <c r="F776" s="71"/>
      <c r="G776" s="71"/>
      <c r="H776" s="71"/>
      <c r="I776" s="71"/>
      <c r="J776" s="71"/>
      <c r="K776" s="71"/>
      <c r="L776" s="71"/>
      <c r="M776" s="71"/>
      <c r="N776" s="71"/>
      <c r="O776" s="71"/>
      <c r="P776" s="71"/>
      <c r="Q776" s="71"/>
      <c r="R776" s="71"/>
      <c r="S776" s="71"/>
      <c r="T776" s="105"/>
      <c r="U776" s="71"/>
      <c r="V776" s="71"/>
      <c r="W776" s="71"/>
      <c r="X776" s="71"/>
      <c r="Y776" s="71"/>
      <c r="Z776" s="71"/>
      <c r="AA776" s="71"/>
      <c r="AB776" s="71"/>
      <c r="AC776" s="71"/>
      <c r="AD776" s="71"/>
      <c r="AE776" s="71"/>
      <c r="AF776" s="71"/>
      <c r="AG776" s="71"/>
      <c r="AH776" s="71"/>
      <c r="AI776" s="71"/>
      <c r="AJ776" s="71"/>
      <c r="AK776" s="71"/>
    </row>
    <row r="777" spans="1:37" ht="12.75" customHeight="1" x14ac:dyDescent="0.2">
      <c r="A777" s="71"/>
      <c r="B777" s="71"/>
      <c r="C777" s="71"/>
      <c r="D777" s="71"/>
      <c r="E777" s="71"/>
      <c r="F777" s="71"/>
      <c r="G777" s="71"/>
      <c r="H777" s="71"/>
      <c r="I777" s="71"/>
      <c r="J777" s="71"/>
      <c r="K777" s="71"/>
      <c r="L777" s="71"/>
      <c r="M777" s="71"/>
      <c r="N777" s="71"/>
      <c r="O777" s="71"/>
      <c r="P777" s="71"/>
      <c r="Q777" s="71"/>
      <c r="R777" s="71"/>
      <c r="S777" s="71"/>
      <c r="T777" s="105"/>
      <c r="U777" s="71"/>
      <c r="V777" s="71"/>
      <c r="W777" s="71"/>
      <c r="X777" s="71"/>
      <c r="Y777" s="71"/>
      <c r="Z777" s="71"/>
      <c r="AA777" s="71"/>
      <c r="AB777" s="71"/>
      <c r="AC777" s="71"/>
      <c r="AD777" s="71"/>
      <c r="AE777" s="71"/>
      <c r="AF777" s="71"/>
      <c r="AG777" s="71"/>
      <c r="AH777" s="71"/>
      <c r="AI777" s="71"/>
      <c r="AJ777" s="71"/>
      <c r="AK777" s="71"/>
    </row>
    <row r="778" spans="1:37" ht="12.75" customHeight="1" x14ac:dyDescent="0.2">
      <c r="A778" s="71"/>
      <c r="B778" s="71"/>
      <c r="C778" s="71"/>
      <c r="D778" s="71"/>
      <c r="E778" s="71"/>
      <c r="F778" s="71"/>
      <c r="G778" s="71"/>
      <c r="H778" s="71"/>
      <c r="I778" s="71"/>
      <c r="J778" s="71"/>
      <c r="K778" s="71"/>
      <c r="L778" s="71"/>
      <c r="M778" s="71"/>
      <c r="N778" s="71"/>
      <c r="O778" s="71"/>
      <c r="P778" s="71"/>
      <c r="Q778" s="71"/>
      <c r="R778" s="71"/>
      <c r="S778" s="71"/>
      <c r="T778" s="105"/>
      <c r="U778" s="71"/>
      <c r="V778" s="71"/>
      <c r="W778" s="71"/>
      <c r="X778" s="71"/>
      <c r="Y778" s="71"/>
      <c r="Z778" s="71"/>
      <c r="AA778" s="71"/>
      <c r="AB778" s="71"/>
      <c r="AC778" s="71"/>
      <c r="AD778" s="71"/>
      <c r="AE778" s="71"/>
      <c r="AF778" s="71"/>
      <c r="AG778" s="71"/>
      <c r="AH778" s="71"/>
      <c r="AI778" s="71"/>
      <c r="AJ778" s="71"/>
      <c r="AK778" s="71"/>
    </row>
    <row r="779" spans="1:37" ht="12.75" customHeight="1" x14ac:dyDescent="0.2">
      <c r="A779" s="71"/>
      <c r="B779" s="71"/>
      <c r="C779" s="71"/>
      <c r="D779" s="71"/>
      <c r="E779" s="71"/>
      <c r="F779" s="71"/>
      <c r="G779" s="71"/>
      <c r="H779" s="71"/>
      <c r="I779" s="71"/>
      <c r="J779" s="71"/>
      <c r="K779" s="71"/>
      <c r="L779" s="71"/>
      <c r="M779" s="71"/>
      <c r="N779" s="71"/>
      <c r="O779" s="71"/>
      <c r="P779" s="71"/>
      <c r="Q779" s="71"/>
      <c r="R779" s="71"/>
      <c r="S779" s="71"/>
      <c r="T779" s="105"/>
      <c r="U779" s="71"/>
      <c r="V779" s="71"/>
      <c r="W779" s="71"/>
      <c r="X779" s="71"/>
      <c r="Y779" s="71"/>
      <c r="Z779" s="71"/>
      <c r="AA779" s="71"/>
      <c r="AB779" s="71"/>
      <c r="AC779" s="71"/>
      <c r="AD779" s="71"/>
      <c r="AE779" s="71"/>
      <c r="AF779" s="71"/>
      <c r="AG779" s="71"/>
      <c r="AH779" s="71"/>
      <c r="AI779" s="71"/>
      <c r="AJ779" s="71"/>
      <c r="AK779" s="71"/>
    </row>
    <row r="780" spans="1:37" ht="12.75" customHeight="1" x14ac:dyDescent="0.2">
      <c r="A780" s="71"/>
      <c r="B780" s="71"/>
      <c r="C780" s="71"/>
      <c r="D780" s="71"/>
      <c r="E780" s="71"/>
      <c r="F780" s="71"/>
      <c r="G780" s="71"/>
      <c r="H780" s="71"/>
      <c r="I780" s="71"/>
      <c r="J780" s="71"/>
      <c r="K780" s="71"/>
      <c r="L780" s="71"/>
      <c r="M780" s="71"/>
      <c r="N780" s="71"/>
      <c r="O780" s="71"/>
      <c r="P780" s="71"/>
      <c r="Q780" s="71"/>
      <c r="R780" s="71"/>
      <c r="S780" s="71"/>
      <c r="T780" s="105"/>
      <c r="U780" s="71"/>
      <c r="V780" s="71"/>
      <c r="W780" s="71"/>
      <c r="X780" s="71"/>
      <c r="Y780" s="71"/>
      <c r="Z780" s="71"/>
      <c r="AA780" s="71"/>
      <c r="AB780" s="71"/>
      <c r="AC780" s="71"/>
      <c r="AD780" s="71"/>
      <c r="AE780" s="71"/>
      <c r="AF780" s="71"/>
      <c r="AG780" s="71"/>
      <c r="AH780" s="71"/>
      <c r="AI780" s="71"/>
      <c r="AJ780" s="71"/>
      <c r="AK780" s="71"/>
    </row>
    <row r="781" spans="1:37" ht="12.75" customHeight="1" x14ac:dyDescent="0.2">
      <c r="A781" s="71"/>
      <c r="B781" s="71"/>
      <c r="C781" s="71"/>
      <c r="D781" s="71"/>
      <c r="E781" s="71"/>
      <c r="F781" s="71"/>
      <c r="G781" s="71"/>
      <c r="H781" s="71"/>
      <c r="I781" s="71"/>
      <c r="J781" s="71"/>
      <c r="K781" s="71"/>
      <c r="L781" s="71"/>
      <c r="M781" s="71"/>
      <c r="N781" s="71"/>
      <c r="O781" s="71"/>
      <c r="P781" s="71"/>
      <c r="Q781" s="71"/>
      <c r="R781" s="71"/>
      <c r="S781" s="71"/>
      <c r="T781" s="105"/>
      <c r="U781" s="71"/>
      <c r="V781" s="71"/>
      <c r="W781" s="71"/>
      <c r="X781" s="71"/>
      <c r="Y781" s="71"/>
      <c r="Z781" s="71"/>
      <c r="AA781" s="71"/>
      <c r="AB781" s="71"/>
      <c r="AC781" s="71"/>
      <c r="AD781" s="71"/>
      <c r="AE781" s="71"/>
      <c r="AF781" s="71"/>
      <c r="AG781" s="71"/>
      <c r="AH781" s="71"/>
      <c r="AI781" s="71"/>
      <c r="AJ781" s="71"/>
      <c r="AK781" s="71"/>
    </row>
    <row r="782" spans="1:37" ht="12.75" customHeight="1" x14ac:dyDescent="0.2">
      <c r="A782" s="71"/>
      <c r="B782" s="71"/>
      <c r="C782" s="71"/>
      <c r="D782" s="71"/>
      <c r="E782" s="71"/>
      <c r="F782" s="71"/>
      <c r="G782" s="71"/>
      <c r="H782" s="71"/>
      <c r="I782" s="71"/>
      <c r="J782" s="71"/>
      <c r="K782" s="71"/>
      <c r="L782" s="71"/>
      <c r="M782" s="71"/>
      <c r="N782" s="71"/>
      <c r="O782" s="71"/>
      <c r="P782" s="71"/>
      <c r="Q782" s="71"/>
      <c r="R782" s="71"/>
      <c r="S782" s="71"/>
      <c r="T782" s="105"/>
      <c r="U782" s="71"/>
      <c r="V782" s="71"/>
      <c r="W782" s="71"/>
      <c r="X782" s="71"/>
      <c r="Y782" s="71"/>
      <c r="Z782" s="71"/>
      <c r="AA782" s="71"/>
      <c r="AB782" s="71"/>
      <c r="AC782" s="71"/>
      <c r="AD782" s="71"/>
      <c r="AE782" s="71"/>
      <c r="AF782" s="71"/>
      <c r="AG782" s="71"/>
      <c r="AH782" s="71"/>
      <c r="AI782" s="71"/>
      <c r="AJ782" s="71"/>
      <c r="AK782" s="71"/>
    </row>
    <row r="783" spans="1:37" ht="12.75" customHeight="1" x14ac:dyDescent="0.2">
      <c r="A783" s="71"/>
      <c r="B783" s="71"/>
      <c r="C783" s="71"/>
      <c r="D783" s="71"/>
      <c r="E783" s="71"/>
      <c r="F783" s="71"/>
      <c r="G783" s="71"/>
      <c r="H783" s="71"/>
      <c r="I783" s="71"/>
      <c r="J783" s="71"/>
      <c r="K783" s="71"/>
      <c r="L783" s="71"/>
      <c r="M783" s="71"/>
      <c r="N783" s="71"/>
      <c r="O783" s="71"/>
      <c r="P783" s="71"/>
      <c r="Q783" s="71"/>
      <c r="R783" s="71"/>
      <c r="S783" s="71"/>
      <c r="T783" s="105"/>
      <c r="U783" s="71"/>
      <c r="V783" s="71"/>
      <c r="W783" s="71"/>
      <c r="X783" s="71"/>
      <c r="Y783" s="71"/>
      <c r="Z783" s="71"/>
      <c r="AA783" s="71"/>
      <c r="AB783" s="71"/>
      <c r="AC783" s="71"/>
      <c r="AD783" s="71"/>
      <c r="AE783" s="71"/>
      <c r="AF783" s="71"/>
      <c r="AG783" s="71"/>
      <c r="AH783" s="71"/>
      <c r="AI783" s="71"/>
      <c r="AJ783" s="71"/>
      <c r="AK783" s="71"/>
    </row>
    <row r="784" spans="1:37" ht="12.75" customHeight="1" x14ac:dyDescent="0.2">
      <c r="A784" s="71"/>
      <c r="B784" s="71"/>
      <c r="C784" s="71"/>
      <c r="D784" s="71"/>
      <c r="E784" s="71"/>
      <c r="F784" s="71"/>
      <c r="G784" s="71"/>
      <c r="H784" s="71"/>
      <c r="I784" s="71"/>
      <c r="J784" s="71"/>
      <c r="K784" s="71"/>
      <c r="L784" s="71"/>
      <c r="M784" s="71"/>
      <c r="N784" s="71"/>
      <c r="O784" s="71"/>
      <c r="P784" s="71"/>
      <c r="Q784" s="71"/>
      <c r="R784" s="71"/>
      <c r="S784" s="71"/>
      <c r="T784" s="105"/>
      <c r="U784" s="71"/>
      <c r="V784" s="71"/>
      <c r="W784" s="71"/>
      <c r="X784" s="71"/>
      <c r="Y784" s="71"/>
      <c r="Z784" s="71"/>
      <c r="AA784" s="71"/>
      <c r="AB784" s="71"/>
      <c r="AC784" s="71"/>
      <c r="AD784" s="71"/>
      <c r="AE784" s="71"/>
      <c r="AF784" s="71"/>
      <c r="AG784" s="71"/>
      <c r="AH784" s="71"/>
      <c r="AI784" s="71"/>
      <c r="AJ784" s="71"/>
      <c r="AK784" s="71"/>
    </row>
    <row r="785" spans="1:37" ht="12.75" customHeight="1" x14ac:dyDescent="0.2">
      <c r="A785" s="71"/>
      <c r="B785" s="71"/>
      <c r="C785" s="71"/>
      <c r="D785" s="71"/>
      <c r="E785" s="71"/>
      <c r="F785" s="71"/>
      <c r="G785" s="71"/>
      <c r="H785" s="71"/>
      <c r="I785" s="71"/>
      <c r="J785" s="71"/>
      <c r="K785" s="71"/>
      <c r="L785" s="71"/>
      <c r="M785" s="71"/>
      <c r="N785" s="71"/>
      <c r="O785" s="71"/>
      <c r="P785" s="71"/>
      <c r="Q785" s="71"/>
      <c r="R785" s="71"/>
      <c r="S785" s="71"/>
      <c r="T785" s="105"/>
      <c r="U785" s="71"/>
      <c r="V785" s="71"/>
      <c r="W785" s="71"/>
      <c r="X785" s="71"/>
      <c r="Y785" s="71"/>
      <c r="Z785" s="71"/>
      <c r="AA785" s="71"/>
      <c r="AB785" s="71"/>
      <c r="AC785" s="71"/>
      <c r="AD785" s="71"/>
      <c r="AE785" s="71"/>
      <c r="AF785" s="71"/>
      <c r="AG785" s="71"/>
      <c r="AH785" s="71"/>
      <c r="AI785" s="71"/>
      <c r="AJ785" s="71"/>
      <c r="AK785" s="71"/>
    </row>
    <row r="786" spans="1:37" ht="12.75" customHeight="1" x14ac:dyDescent="0.2">
      <c r="A786" s="71"/>
      <c r="B786" s="71"/>
      <c r="C786" s="71"/>
      <c r="D786" s="71"/>
      <c r="E786" s="71"/>
      <c r="F786" s="71"/>
      <c r="G786" s="71"/>
      <c r="H786" s="71"/>
      <c r="I786" s="71"/>
      <c r="J786" s="71"/>
      <c r="K786" s="71"/>
      <c r="L786" s="71"/>
      <c r="M786" s="71"/>
      <c r="N786" s="71"/>
      <c r="O786" s="71"/>
      <c r="P786" s="71"/>
      <c r="Q786" s="71"/>
      <c r="R786" s="71"/>
      <c r="S786" s="71"/>
      <c r="T786" s="105"/>
      <c r="U786" s="71"/>
      <c r="V786" s="71"/>
      <c r="W786" s="71"/>
      <c r="X786" s="71"/>
      <c r="Y786" s="71"/>
      <c r="Z786" s="71"/>
      <c r="AA786" s="71"/>
      <c r="AB786" s="71"/>
      <c r="AC786" s="71"/>
      <c r="AD786" s="71"/>
      <c r="AE786" s="71"/>
      <c r="AF786" s="71"/>
      <c r="AG786" s="71"/>
      <c r="AH786" s="71"/>
      <c r="AI786" s="71"/>
      <c r="AJ786" s="71"/>
      <c r="AK786" s="71"/>
    </row>
    <row r="787" spans="1:37" ht="12.75" customHeight="1" x14ac:dyDescent="0.2">
      <c r="A787" s="71"/>
      <c r="B787" s="71"/>
      <c r="C787" s="71"/>
      <c r="D787" s="71"/>
      <c r="E787" s="71"/>
      <c r="F787" s="71"/>
      <c r="G787" s="71"/>
      <c r="H787" s="71"/>
      <c r="I787" s="71"/>
      <c r="J787" s="71"/>
      <c r="K787" s="71"/>
      <c r="L787" s="71"/>
      <c r="M787" s="71"/>
      <c r="N787" s="71"/>
      <c r="O787" s="71"/>
      <c r="P787" s="71"/>
      <c r="Q787" s="71"/>
      <c r="R787" s="71"/>
      <c r="S787" s="71"/>
      <c r="T787" s="105"/>
      <c r="U787" s="71"/>
      <c r="V787" s="71"/>
      <c r="W787" s="71"/>
      <c r="X787" s="71"/>
      <c r="Y787" s="71"/>
      <c r="Z787" s="71"/>
      <c r="AA787" s="71"/>
      <c r="AB787" s="71"/>
      <c r="AC787" s="71"/>
      <c r="AD787" s="71"/>
      <c r="AE787" s="71"/>
      <c r="AF787" s="71"/>
      <c r="AG787" s="71"/>
      <c r="AH787" s="71"/>
      <c r="AI787" s="71"/>
      <c r="AJ787" s="71"/>
      <c r="AK787" s="71"/>
    </row>
    <row r="788" spans="1:37" ht="12.75" customHeight="1" x14ac:dyDescent="0.2">
      <c r="A788" s="71"/>
      <c r="B788" s="71"/>
      <c r="C788" s="71"/>
      <c r="D788" s="71"/>
      <c r="E788" s="71"/>
      <c r="F788" s="71"/>
      <c r="G788" s="71"/>
      <c r="H788" s="71"/>
      <c r="I788" s="71"/>
      <c r="J788" s="71"/>
      <c r="K788" s="71"/>
      <c r="L788" s="71"/>
      <c r="M788" s="71"/>
      <c r="N788" s="71"/>
      <c r="O788" s="71"/>
      <c r="P788" s="71"/>
      <c r="Q788" s="71"/>
      <c r="R788" s="71"/>
      <c r="S788" s="71"/>
      <c r="T788" s="105"/>
      <c r="U788" s="71"/>
      <c r="V788" s="71"/>
      <c r="W788" s="71"/>
      <c r="X788" s="71"/>
      <c r="Y788" s="71"/>
      <c r="Z788" s="71"/>
      <c r="AA788" s="71"/>
      <c r="AB788" s="71"/>
      <c r="AC788" s="71"/>
      <c r="AD788" s="71"/>
      <c r="AE788" s="71"/>
      <c r="AF788" s="71"/>
      <c r="AG788" s="71"/>
      <c r="AH788" s="71"/>
      <c r="AI788" s="71"/>
      <c r="AJ788" s="71"/>
      <c r="AK788" s="71"/>
    </row>
    <row r="789" spans="1:37" ht="12.75" customHeight="1" x14ac:dyDescent="0.2">
      <c r="A789" s="71"/>
      <c r="B789" s="71"/>
      <c r="C789" s="71"/>
      <c r="D789" s="71"/>
      <c r="E789" s="71"/>
      <c r="F789" s="71"/>
      <c r="G789" s="71"/>
      <c r="H789" s="71"/>
      <c r="I789" s="71"/>
      <c r="J789" s="71"/>
      <c r="K789" s="71"/>
      <c r="L789" s="71"/>
      <c r="M789" s="71"/>
      <c r="N789" s="71"/>
      <c r="O789" s="71"/>
      <c r="P789" s="71"/>
      <c r="Q789" s="71"/>
      <c r="R789" s="71"/>
      <c r="S789" s="71"/>
      <c r="T789" s="105"/>
      <c r="U789" s="71"/>
      <c r="V789" s="71"/>
      <c r="W789" s="71"/>
      <c r="X789" s="71"/>
      <c r="Y789" s="71"/>
      <c r="Z789" s="71"/>
      <c r="AA789" s="71"/>
      <c r="AB789" s="71"/>
      <c r="AC789" s="71"/>
      <c r="AD789" s="71"/>
      <c r="AE789" s="71"/>
      <c r="AF789" s="71"/>
      <c r="AG789" s="71"/>
      <c r="AH789" s="71"/>
      <c r="AI789" s="71"/>
      <c r="AJ789" s="71"/>
      <c r="AK789" s="71"/>
    </row>
    <row r="790" spans="1:37" ht="12.75" customHeight="1" x14ac:dyDescent="0.2">
      <c r="A790" s="71"/>
      <c r="B790" s="71"/>
      <c r="C790" s="71"/>
      <c r="D790" s="71"/>
      <c r="E790" s="71"/>
      <c r="F790" s="71"/>
      <c r="G790" s="71"/>
      <c r="H790" s="71"/>
      <c r="I790" s="71"/>
      <c r="J790" s="71"/>
      <c r="K790" s="71"/>
      <c r="L790" s="71"/>
      <c r="M790" s="71"/>
      <c r="N790" s="71"/>
      <c r="O790" s="71"/>
      <c r="P790" s="71"/>
      <c r="Q790" s="71"/>
      <c r="R790" s="71"/>
      <c r="S790" s="71"/>
      <c r="T790" s="105"/>
      <c r="U790" s="71"/>
      <c r="V790" s="71"/>
      <c r="W790" s="71"/>
      <c r="X790" s="71"/>
      <c r="Y790" s="71"/>
      <c r="Z790" s="71"/>
      <c r="AA790" s="71"/>
      <c r="AB790" s="71"/>
      <c r="AC790" s="71"/>
      <c r="AD790" s="71"/>
      <c r="AE790" s="71"/>
      <c r="AF790" s="71"/>
      <c r="AG790" s="71"/>
      <c r="AH790" s="71"/>
      <c r="AI790" s="71"/>
      <c r="AJ790" s="71"/>
      <c r="AK790" s="71"/>
    </row>
    <row r="791" spans="1:37" ht="12.75" customHeight="1" x14ac:dyDescent="0.2">
      <c r="A791" s="71"/>
      <c r="B791" s="71"/>
      <c r="C791" s="71"/>
      <c r="D791" s="71"/>
      <c r="E791" s="71"/>
      <c r="F791" s="71"/>
      <c r="G791" s="71"/>
      <c r="H791" s="71"/>
      <c r="I791" s="71"/>
      <c r="J791" s="71"/>
      <c r="K791" s="71"/>
      <c r="L791" s="71"/>
      <c r="M791" s="71"/>
      <c r="N791" s="71"/>
      <c r="O791" s="71"/>
      <c r="P791" s="71"/>
      <c r="Q791" s="71"/>
      <c r="R791" s="71"/>
      <c r="S791" s="71"/>
      <c r="T791" s="105"/>
      <c r="U791" s="71"/>
      <c r="V791" s="71"/>
      <c r="W791" s="71"/>
      <c r="X791" s="71"/>
      <c r="Y791" s="71"/>
      <c r="Z791" s="71"/>
      <c r="AA791" s="71"/>
      <c r="AB791" s="71"/>
      <c r="AC791" s="71"/>
      <c r="AD791" s="71"/>
      <c r="AE791" s="71"/>
      <c r="AF791" s="71"/>
      <c r="AG791" s="71"/>
      <c r="AH791" s="71"/>
      <c r="AI791" s="71"/>
      <c r="AJ791" s="71"/>
      <c r="AK791" s="71"/>
    </row>
    <row r="792" spans="1:37" ht="12.75" customHeight="1" x14ac:dyDescent="0.2">
      <c r="A792" s="71"/>
      <c r="B792" s="71"/>
      <c r="C792" s="71"/>
      <c r="D792" s="71"/>
      <c r="E792" s="71"/>
      <c r="F792" s="71"/>
      <c r="G792" s="71"/>
      <c r="H792" s="71"/>
      <c r="I792" s="71"/>
      <c r="J792" s="71"/>
      <c r="K792" s="71"/>
      <c r="L792" s="71"/>
      <c r="M792" s="71"/>
      <c r="N792" s="71"/>
      <c r="O792" s="71"/>
      <c r="P792" s="71"/>
      <c r="Q792" s="71"/>
      <c r="R792" s="71"/>
      <c r="S792" s="71"/>
      <c r="T792" s="105"/>
      <c r="U792" s="71"/>
      <c r="V792" s="71"/>
      <c r="W792" s="71"/>
      <c r="X792" s="71"/>
      <c r="Y792" s="71"/>
      <c r="Z792" s="71"/>
      <c r="AA792" s="71"/>
      <c r="AB792" s="71"/>
      <c r="AC792" s="71"/>
      <c r="AD792" s="71"/>
      <c r="AE792" s="71"/>
      <c r="AF792" s="71"/>
      <c r="AG792" s="71"/>
      <c r="AH792" s="71"/>
      <c r="AI792" s="71"/>
      <c r="AJ792" s="71"/>
      <c r="AK792" s="71"/>
    </row>
    <row r="793" spans="1:37" ht="12.75" customHeight="1" x14ac:dyDescent="0.2">
      <c r="A793" s="71"/>
      <c r="B793" s="71"/>
      <c r="C793" s="71"/>
      <c r="D793" s="71"/>
      <c r="E793" s="71"/>
      <c r="F793" s="71"/>
      <c r="G793" s="71"/>
      <c r="H793" s="71"/>
      <c r="I793" s="71"/>
      <c r="J793" s="71"/>
      <c r="K793" s="71"/>
      <c r="L793" s="71"/>
      <c r="M793" s="71"/>
      <c r="N793" s="71"/>
      <c r="O793" s="71"/>
      <c r="P793" s="71"/>
      <c r="Q793" s="71"/>
      <c r="R793" s="71"/>
      <c r="S793" s="71"/>
      <c r="T793" s="105"/>
      <c r="U793" s="71"/>
      <c r="V793" s="71"/>
      <c r="W793" s="71"/>
      <c r="X793" s="71"/>
      <c r="Y793" s="71"/>
      <c r="Z793" s="71"/>
      <c r="AA793" s="71"/>
      <c r="AB793" s="71"/>
      <c r="AC793" s="71"/>
      <c r="AD793" s="71"/>
      <c r="AE793" s="71"/>
      <c r="AF793" s="71"/>
      <c r="AG793" s="71"/>
      <c r="AH793" s="71"/>
      <c r="AI793" s="71"/>
      <c r="AJ793" s="71"/>
      <c r="AK793" s="71"/>
    </row>
    <row r="794" spans="1:37" ht="12.75" customHeight="1" x14ac:dyDescent="0.2">
      <c r="A794" s="71"/>
      <c r="B794" s="71"/>
      <c r="C794" s="71"/>
      <c r="D794" s="71"/>
      <c r="E794" s="71"/>
      <c r="F794" s="71"/>
      <c r="G794" s="71"/>
      <c r="H794" s="71"/>
      <c r="I794" s="71"/>
      <c r="J794" s="71"/>
      <c r="K794" s="71"/>
      <c r="L794" s="71"/>
      <c r="M794" s="71"/>
      <c r="N794" s="71"/>
      <c r="O794" s="71"/>
      <c r="P794" s="71"/>
      <c r="Q794" s="71"/>
      <c r="R794" s="71"/>
      <c r="S794" s="71"/>
      <c r="T794" s="105"/>
      <c r="U794" s="71"/>
      <c r="V794" s="71"/>
      <c r="W794" s="71"/>
      <c r="X794" s="71"/>
      <c r="Y794" s="71"/>
      <c r="Z794" s="71"/>
      <c r="AA794" s="71"/>
      <c r="AB794" s="71"/>
      <c r="AC794" s="71"/>
      <c r="AD794" s="71"/>
      <c r="AE794" s="71"/>
      <c r="AF794" s="71"/>
      <c r="AG794" s="71"/>
      <c r="AH794" s="71"/>
      <c r="AI794" s="71"/>
      <c r="AJ794" s="71"/>
      <c r="AK794" s="71"/>
    </row>
    <row r="795" spans="1:37" ht="12.75" customHeight="1" x14ac:dyDescent="0.2">
      <c r="A795" s="71"/>
      <c r="B795" s="71"/>
      <c r="C795" s="71"/>
      <c r="D795" s="71"/>
      <c r="E795" s="71"/>
      <c r="F795" s="71"/>
      <c r="G795" s="71"/>
      <c r="H795" s="71"/>
      <c r="I795" s="71"/>
      <c r="J795" s="71"/>
      <c r="K795" s="71"/>
      <c r="L795" s="71"/>
      <c r="M795" s="71"/>
      <c r="N795" s="71"/>
      <c r="O795" s="71"/>
      <c r="P795" s="71"/>
      <c r="Q795" s="71"/>
      <c r="R795" s="71"/>
      <c r="S795" s="71"/>
      <c r="T795" s="105"/>
      <c r="U795" s="71"/>
      <c r="V795" s="71"/>
      <c r="W795" s="71"/>
      <c r="X795" s="71"/>
      <c r="Y795" s="71"/>
      <c r="Z795" s="71"/>
      <c r="AA795" s="71"/>
      <c r="AB795" s="71"/>
      <c r="AC795" s="71"/>
      <c r="AD795" s="71"/>
      <c r="AE795" s="71"/>
      <c r="AF795" s="71"/>
      <c r="AG795" s="71"/>
      <c r="AH795" s="71"/>
      <c r="AI795" s="71"/>
      <c r="AJ795" s="71"/>
      <c r="AK795" s="71"/>
    </row>
    <row r="796" spans="1:37" ht="12.75" customHeight="1" x14ac:dyDescent="0.2">
      <c r="A796" s="71"/>
      <c r="B796" s="71"/>
      <c r="C796" s="71"/>
      <c r="D796" s="71"/>
      <c r="E796" s="71"/>
      <c r="F796" s="71"/>
      <c r="G796" s="71"/>
      <c r="H796" s="71"/>
      <c r="I796" s="71"/>
      <c r="J796" s="71"/>
      <c r="K796" s="71"/>
      <c r="L796" s="71"/>
      <c r="M796" s="71"/>
      <c r="N796" s="71"/>
      <c r="O796" s="71"/>
      <c r="P796" s="71"/>
      <c r="Q796" s="71"/>
      <c r="R796" s="71"/>
      <c r="S796" s="71"/>
      <c r="T796" s="105"/>
      <c r="U796" s="71"/>
      <c r="V796" s="71"/>
      <c r="W796" s="71"/>
      <c r="X796" s="71"/>
      <c r="Y796" s="71"/>
      <c r="Z796" s="71"/>
      <c r="AA796" s="71"/>
      <c r="AB796" s="71"/>
      <c r="AC796" s="71"/>
      <c r="AD796" s="71"/>
      <c r="AE796" s="71"/>
      <c r="AF796" s="71"/>
      <c r="AG796" s="71"/>
      <c r="AH796" s="71"/>
      <c r="AI796" s="71"/>
      <c r="AJ796" s="71"/>
      <c r="AK796" s="71"/>
    </row>
    <row r="797" spans="1:37" ht="12.75" customHeight="1" x14ac:dyDescent="0.2">
      <c r="A797" s="71"/>
      <c r="B797" s="71"/>
      <c r="C797" s="71"/>
      <c r="D797" s="71"/>
      <c r="E797" s="71"/>
      <c r="F797" s="71"/>
      <c r="G797" s="71"/>
      <c r="H797" s="71"/>
      <c r="I797" s="71"/>
      <c r="J797" s="71"/>
      <c r="K797" s="71"/>
      <c r="L797" s="71"/>
      <c r="M797" s="71"/>
      <c r="N797" s="71"/>
      <c r="O797" s="71"/>
      <c r="P797" s="71"/>
      <c r="Q797" s="71"/>
      <c r="R797" s="71"/>
      <c r="S797" s="71"/>
      <c r="T797" s="105"/>
      <c r="U797" s="71"/>
      <c r="V797" s="71"/>
      <c r="W797" s="71"/>
      <c r="X797" s="71"/>
      <c r="Y797" s="71"/>
      <c r="Z797" s="71"/>
      <c r="AA797" s="71"/>
      <c r="AB797" s="71"/>
      <c r="AC797" s="71"/>
      <c r="AD797" s="71"/>
      <c r="AE797" s="71"/>
      <c r="AF797" s="71"/>
      <c r="AG797" s="71"/>
      <c r="AH797" s="71"/>
      <c r="AI797" s="71"/>
      <c r="AJ797" s="71"/>
      <c r="AK797" s="71"/>
    </row>
    <row r="798" spans="1:37" ht="12.75" customHeight="1" x14ac:dyDescent="0.2">
      <c r="A798" s="71"/>
      <c r="B798" s="71"/>
      <c r="C798" s="71"/>
      <c r="D798" s="71"/>
      <c r="E798" s="71"/>
      <c r="F798" s="71"/>
      <c r="G798" s="71"/>
      <c r="H798" s="71"/>
      <c r="I798" s="71"/>
      <c r="J798" s="71"/>
      <c r="K798" s="71"/>
      <c r="L798" s="71"/>
      <c r="M798" s="71"/>
      <c r="N798" s="71"/>
      <c r="O798" s="71"/>
      <c r="P798" s="71"/>
      <c r="Q798" s="71"/>
      <c r="R798" s="71"/>
      <c r="S798" s="71"/>
      <c r="T798" s="105"/>
      <c r="U798" s="71"/>
      <c r="V798" s="71"/>
      <c r="W798" s="71"/>
      <c r="X798" s="71"/>
      <c r="Y798" s="71"/>
      <c r="Z798" s="71"/>
      <c r="AA798" s="71"/>
      <c r="AB798" s="71"/>
      <c r="AC798" s="71"/>
      <c r="AD798" s="71"/>
      <c r="AE798" s="71"/>
      <c r="AF798" s="71"/>
      <c r="AG798" s="71"/>
      <c r="AH798" s="71"/>
      <c r="AI798" s="71"/>
      <c r="AJ798" s="71"/>
      <c r="AK798" s="71"/>
    </row>
    <row r="799" spans="1:37" ht="12.75" customHeight="1" x14ac:dyDescent="0.2">
      <c r="A799" s="71"/>
      <c r="B799" s="71"/>
      <c r="C799" s="71"/>
      <c r="D799" s="71"/>
      <c r="E799" s="71"/>
      <c r="F799" s="71"/>
      <c r="G799" s="71"/>
      <c r="H799" s="71"/>
      <c r="I799" s="71"/>
      <c r="J799" s="71"/>
      <c r="K799" s="71"/>
      <c r="L799" s="71"/>
      <c r="M799" s="71"/>
      <c r="N799" s="71"/>
      <c r="O799" s="71"/>
      <c r="P799" s="71"/>
      <c r="Q799" s="71"/>
      <c r="R799" s="71"/>
      <c r="S799" s="71"/>
      <c r="T799" s="105"/>
      <c r="U799" s="71"/>
      <c r="V799" s="71"/>
      <c r="W799" s="71"/>
      <c r="X799" s="71"/>
      <c r="Y799" s="71"/>
      <c r="Z799" s="71"/>
      <c r="AA799" s="71"/>
      <c r="AB799" s="71"/>
      <c r="AC799" s="71"/>
      <c r="AD799" s="71"/>
      <c r="AE799" s="71"/>
      <c r="AF799" s="71"/>
      <c r="AG799" s="71"/>
      <c r="AH799" s="71"/>
      <c r="AI799" s="71"/>
      <c r="AJ799" s="71"/>
      <c r="AK799" s="71"/>
    </row>
    <row r="800" spans="1:37" ht="12.75" customHeight="1" x14ac:dyDescent="0.2">
      <c r="A800" s="71"/>
      <c r="B800" s="71"/>
      <c r="C800" s="71"/>
      <c r="D800" s="71"/>
      <c r="E800" s="71"/>
      <c r="F800" s="71"/>
      <c r="G800" s="71"/>
      <c r="H800" s="71"/>
      <c r="I800" s="71"/>
      <c r="J800" s="71"/>
      <c r="K800" s="71"/>
      <c r="L800" s="71"/>
      <c r="M800" s="71"/>
      <c r="N800" s="71"/>
      <c r="O800" s="71"/>
      <c r="P800" s="71"/>
      <c r="Q800" s="71"/>
      <c r="R800" s="71"/>
      <c r="S800" s="71"/>
      <c r="T800" s="105"/>
      <c r="U800" s="71"/>
      <c r="V800" s="71"/>
      <c r="W800" s="71"/>
      <c r="X800" s="71"/>
      <c r="Y800" s="71"/>
      <c r="Z800" s="71"/>
      <c r="AA800" s="71"/>
      <c r="AB800" s="71"/>
      <c r="AC800" s="71"/>
      <c r="AD800" s="71"/>
      <c r="AE800" s="71"/>
      <c r="AF800" s="71"/>
      <c r="AG800" s="71"/>
      <c r="AH800" s="71"/>
      <c r="AI800" s="71"/>
      <c r="AJ800" s="71"/>
      <c r="AK800" s="71"/>
    </row>
    <row r="801" spans="1:37" ht="12.75" customHeight="1" x14ac:dyDescent="0.2">
      <c r="A801" s="71"/>
      <c r="B801" s="71"/>
      <c r="C801" s="71"/>
      <c r="D801" s="71"/>
      <c r="E801" s="71"/>
      <c r="F801" s="71"/>
      <c r="G801" s="71"/>
      <c r="H801" s="71"/>
      <c r="I801" s="71"/>
      <c r="J801" s="71"/>
      <c r="K801" s="71"/>
      <c r="L801" s="71"/>
      <c r="M801" s="71"/>
      <c r="N801" s="71"/>
      <c r="O801" s="71"/>
      <c r="P801" s="71"/>
      <c r="Q801" s="71"/>
      <c r="R801" s="71"/>
      <c r="S801" s="71"/>
      <c r="T801" s="105"/>
      <c r="U801" s="71"/>
      <c r="V801" s="71"/>
      <c r="W801" s="71"/>
      <c r="X801" s="71"/>
      <c r="Y801" s="71"/>
      <c r="Z801" s="71"/>
      <c r="AA801" s="71"/>
      <c r="AB801" s="71"/>
      <c r="AC801" s="71"/>
      <c r="AD801" s="71"/>
      <c r="AE801" s="71"/>
      <c r="AF801" s="71"/>
      <c r="AG801" s="71"/>
      <c r="AH801" s="71"/>
      <c r="AI801" s="71"/>
      <c r="AJ801" s="71"/>
      <c r="AK801" s="71"/>
    </row>
    <row r="802" spans="1:37" ht="12.75" customHeight="1" x14ac:dyDescent="0.2">
      <c r="A802" s="71"/>
      <c r="B802" s="71"/>
      <c r="C802" s="71"/>
      <c r="D802" s="71"/>
      <c r="E802" s="71"/>
      <c r="F802" s="71"/>
      <c r="G802" s="71"/>
      <c r="H802" s="71"/>
      <c r="I802" s="71"/>
      <c r="J802" s="71"/>
      <c r="K802" s="71"/>
      <c r="L802" s="71"/>
      <c r="M802" s="71"/>
      <c r="N802" s="71"/>
      <c r="O802" s="71"/>
      <c r="P802" s="71"/>
      <c r="Q802" s="71"/>
      <c r="R802" s="71"/>
      <c r="S802" s="71"/>
      <c r="T802" s="105"/>
      <c r="U802" s="71"/>
      <c r="V802" s="71"/>
      <c r="W802" s="71"/>
      <c r="X802" s="71"/>
      <c r="Y802" s="71"/>
      <c r="Z802" s="71"/>
      <c r="AA802" s="71"/>
      <c r="AB802" s="71"/>
      <c r="AC802" s="71"/>
      <c r="AD802" s="71"/>
      <c r="AE802" s="71"/>
      <c r="AF802" s="71"/>
      <c r="AG802" s="71"/>
      <c r="AH802" s="71"/>
      <c r="AI802" s="71"/>
      <c r="AJ802" s="71"/>
      <c r="AK802" s="71"/>
    </row>
    <row r="803" spans="1:37" ht="12.75" customHeight="1" x14ac:dyDescent="0.2">
      <c r="A803" s="71"/>
      <c r="B803" s="71"/>
      <c r="C803" s="71"/>
      <c r="D803" s="71"/>
      <c r="E803" s="71"/>
      <c r="F803" s="71"/>
      <c r="G803" s="71"/>
      <c r="H803" s="71"/>
      <c r="I803" s="71"/>
      <c r="J803" s="71"/>
      <c r="K803" s="71"/>
      <c r="L803" s="71"/>
      <c r="M803" s="71"/>
      <c r="N803" s="71"/>
      <c r="O803" s="71"/>
      <c r="P803" s="71"/>
      <c r="Q803" s="71"/>
      <c r="R803" s="71"/>
      <c r="S803" s="71"/>
      <c r="T803" s="105"/>
      <c r="U803" s="71"/>
      <c r="V803" s="71"/>
      <c r="W803" s="71"/>
      <c r="X803" s="71"/>
      <c r="Y803" s="71"/>
      <c r="Z803" s="71"/>
      <c r="AA803" s="71"/>
      <c r="AB803" s="71"/>
      <c r="AC803" s="71"/>
      <c r="AD803" s="71"/>
      <c r="AE803" s="71"/>
      <c r="AF803" s="71"/>
      <c r="AG803" s="71"/>
      <c r="AH803" s="71"/>
      <c r="AI803" s="71"/>
      <c r="AJ803" s="71"/>
      <c r="AK803" s="71"/>
    </row>
    <row r="804" spans="1:37" ht="12.75" customHeight="1" x14ac:dyDescent="0.2">
      <c r="A804" s="71"/>
      <c r="B804" s="71"/>
      <c r="C804" s="71"/>
      <c r="D804" s="71"/>
      <c r="E804" s="71"/>
      <c r="F804" s="71"/>
      <c r="G804" s="71"/>
      <c r="H804" s="71"/>
      <c r="I804" s="71"/>
      <c r="J804" s="71"/>
      <c r="K804" s="71"/>
      <c r="L804" s="71"/>
      <c r="M804" s="71"/>
      <c r="N804" s="71"/>
      <c r="O804" s="71"/>
      <c r="P804" s="71"/>
      <c r="Q804" s="71"/>
      <c r="R804" s="71"/>
      <c r="S804" s="71"/>
      <c r="T804" s="105"/>
      <c r="U804" s="71"/>
      <c r="V804" s="71"/>
      <c r="W804" s="71"/>
      <c r="X804" s="71"/>
      <c r="Y804" s="71"/>
      <c r="Z804" s="71"/>
      <c r="AA804" s="71"/>
      <c r="AB804" s="71"/>
      <c r="AC804" s="71"/>
      <c r="AD804" s="71"/>
      <c r="AE804" s="71"/>
      <c r="AF804" s="71"/>
      <c r="AG804" s="71"/>
      <c r="AH804" s="71"/>
      <c r="AI804" s="71"/>
      <c r="AJ804" s="71"/>
      <c r="AK804" s="71"/>
    </row>
    <row r="805" spans="1:37" ht="12.75" customHeight="1" x14ac:dyDescent="0.2">
      <c r="A805" s="71"/>
      <c r="B805" s="71"/>
      <c r="C805" s="71"/>
      <c r="D805" s="71"/>
      <c r="E805" s="71"/>
      <c r="F805" s="71"/>
      <c r="G805" s="71"/>
      <c r="H805" s="71"/>
      <c r="I805" s="71"/>
      <c r="J805" s="71"/>
      <c r="K805" s="71"/>
      <c r="L805" s="71"/>
      <c r="M805" s="71"/>
      <c r="N805" s="71"/>
      <c r="O805" s="71"/>
      <c r="P805" s="71"/>
      <c r="Q805" s="71"/>
      <c r="R805" s="71"/>
      <c r="S805" s="71"/>
      <c r="T805" s="105"/>
      <c r="U805" s="71"/>
      <c r="V805" s="71"/>
      <c r="W805" s="71"/>
      <c r="X805" s="71"/>
      <c r="Y805" s="71"/>
      <c r="Z805" s="71"/>
      <c r="AA805" s="71"/>
      <c r="AB805" s="71"/>
      <c r="AC805" s="71"/>
      <c r="AD805" s="71"/>
      <c r="AE805" s="71"/>
      <c r="AF805" s="71"/>
      <c r="AG805" s="71"/>
      <c r="AH805" s="71"/>
      <c r="AI805" s="71"/>
      <c r="AJ805" s="71"/>
      <c r="AK805" s="71"/>
    </row>
    <row r="806" spans="1:37" ht="12.75" customHeight="1" x14ac:dyDescent="0.2">
      <c r="A806" s="71"/>
      <c r="B806" s="71"/>
      <c r="C806" s="71"/>
      <c r="D806" s="71"/>
      <c r="E806" s="71"/>
      <c r="F806" s="71"/>
      <c r="G806" s="71"/>
      <c r="H806" s="71"/>
      <c r="I806" s="71"/>
      <c r="J806" s="71"/>
      <c r="K806" s="71"/>
      <c r="L806" s="71"/>
      <c r="M806" s="71"/>
      <c r="N806" s="71"/>
      <c r="O806" s="71"/>
      <c r="P806" s="71"/>
      <c r="Q806" s="71"/>
      <c r="R806" s="71"/>
      <c r="S806" s="71"/>
      <c r="T806" s="105"/>
      <c r="U806" s="71"/>
      <c r="V806" s="71"/>
      <c r="W806" s="71"/>
      <c r="X806" s="71"/>
      <c r="Y806" s="71"/>
      <c r="Z806" s="71"/>
      <c r="AA806" s="71"/>
      <c r="AB806" s="71"/>
      <c r="AC806" s="71"/>
      <c r="AD806" s="71"/>
      <c r="AE806" s="71"/>
      <c r="AF806" s="71"/>
      <c r="AG806" s="71"/>
      <c r="AH806" s="71"/>
      <c r="AI806" s="71"/>
      <c r="AJ806" s="71"/>
      <c r="AK806" s="71"/>
    </row>
    <row r="807" spans="1:37" ht="12.75" customHeight="1" x14ac:dyDescent="0.2">
      <c r="A807" s="71"/>
      <c r="B807" s="71"/>
      <c r="C807" s="71"/>
      <c r="D807" s="71"/>
      <c r="E807" s="71"/>
      <c r="F807" s="71"/>
      <c r="G807" s="71"/>
      <c r="H807" s="71"/>
      <c r="I807" s="71"/>
      <c r="J807" s="71"/>
      <c r="K807" s="71"/>
      <c r="L807" s="71"/>
      <c r="M807" s="71"/>
      <c r="N807" s="71"/>
      <c r="O807" s="71"/>
      <c r="P807" s="71"/>
      <c r="Q807" s="71"/>
      <c r="R807" s="71"/>
      <c r="S807" s="71"/>
      <c r="T807" s="105"/>
      <c r="U807" s="71"/>
      <c r="V807" s="71"/>
      <c r="W807" s="71"/>
      <c r="X807" s="71"/>
      <c r="Y807" s="71"/>
      <c r="Z807" s="71"/>
      <c r="AA807" s="71"/>
      <c r="AB807" s="71"/>
      <c r="AC807" s="71"/>
      <c r="AD807" s="71"/>
      <c r="AE807" s="71"/>
      <c r="AF807" s="71"/>
      <c r="AG807" s="71"/>
      <c r="AH807" s="71"/>
      <c r="AI807" s="71"/>
      <c r="AJ807" s="71"/>
      <c r="AK807" s="71"/>
    </row>
    <row r="808" spans="1:37" ht="12.75" customHeight="1" x14ac:dyDescent="0.2">
      <c r="A808" s="71"/>
      <c r="B808" s="71"/>
      <c r="C808" s="71"/>
      <c r="D808" s="71"/>
      <c r="E808" s="71"/>
      <c r="F808" s="71"/>
      <c r="G808" s="71"/>
      <c r="H808" s="71"/>
      <c r="I808" s="71"/>
      <c r="J808" s="71"/>
      <c r="K808" s="71"/>
      <c r="L808" s="71"/>
      <c r="M808" s="71"/>
      <c r="N808" s="71"/>
      <c r="O808" s="71"/>
      <c r="P808" s="71"/>
      <c r="Q808" s="71"/>
      <c r="R808" s="71"/>
      <c r="S808" s="71"/>
      <c r="T808" s="105"/>
      <c r="U808" s="71"/>
      <c r="V808" s="71"/>
      <c r="W808" s="71"/>
      <c r="X808" s="71"/>
      <c r="Y808" s="71"/>
      <c r="Z808" s="71"/>
      <c r="AA808" s="71"/>
      <c r="AB808" s="71"/>
      <c r="AC808" s="71"/>
      <c r="AD808" s="71"/>
      <c r="AE808" s="71"/>
      <c r="AF808" s="71"/>
      <c r="AG808" s="71"/>
      <c r="AH808" s="71"/>
      <c r="AI808" s="71"/>
      <c r="AJ808" s="71"/>
      <c r="AK808" s="71"/>
    </row>
    <row r="809" spans="1:37" ht="12.75" customHeight="1" x14ac:dyDescent="0.2">
      <c r="A809" s="71"/>
      <c r="B809" s="71"/>
      <c r="C809" s="71"/>
      <c r="D809" s="71"/>
      <c r="E809" s="71"/>
      <c r="F809" s="71"/>
      <c r="G809" s="71"/>
      <c r="H809" s="71"/>
      <c r="I809" s="71"/>
      <c r="J809" s="71"/>
      <c r="K809" s="71"/>
      <c r="L809" s="71"/>
      <c r="M809" s="71"/>
      <c r="N809" s="71"/>
      <c r="O809" s="71"/>
      <c r="P809" s="71"/>
      <c r="Q809" s="71"/>
      <c r="R809" s="71"/>
      <c r="S809" s="71"/>
      <c r="T809" s="105"/>
      <c r="U809" s="71"/>
      <c r="V809" s="71"/>
      <c r="W809" s="71"/>
      <c r="X809" s="71"/>
      <c r="Y809" s="71"/>
      <c r="Z809" s="71"/>
      <c r="AA809" s="71"/>
      <c r="AB809" s="71"/>
      <c r="AC809" s="71"/>
      <c r="AD809" s="71"/>
      <c r="AE809" s="71"/>
      <c r="AF809" s="71"/>
      <c r="AG809" s="71"/>
      <c r="AH809" s="71"/>
      <c r="AI809" s="71"/>
      <c r="AJ809" s="71"/>
      <c r="AK809" s="71"/>
    </row>
    <row r="810" spans="1:37" ht="12.75" customHeight="1" x14ac:dyDescent="0.2">
      <c r="A810" s="71"/>
      <c r="B810" s="71"/>
      <c r="C810" s="71"/>
      <c r="D810" s="71"/>
      <c r="E810" s="71"/>
      <c r="F810" s="71"/>
      <c r="G810" s="71"/>
      <c r="H810" s="71"/>
      <c r="I810" s="71"/>
      <c r="J810" s="71"/>
      <c r="K810" s="71"/>
      <c r="L810" s="71"/>
      <c r="M810" s="71"/>
      <c r="N810" s="71"/>
      <c r="O810" s="71"/>
      <c r="P810" s="71"/>
      <c r="Q810" s="71"/>
      <c r="R810" s="71"/>
      <c r="S810" s="71"/>
      <c r="T810" s="105"/>
      <c r="U810" s="71"/>
      <c r="V810" s="71"/>
      <c r="W810" s="71"/>
      <c r="X810" s="71"/>
      <c r="Y810" s="71"/>
      <c r="Z810" s="71"/>
      <c r="AA810" s="71"/>
      <c r="AB810" s="71"/>
      <c r="AC810" s="71"/>
      <c r="AD810" s="71"/>
      <c r="AE810" s="71"/>
      <c r="AF810" s="71"/>
      <c r="AG810" s="71"/>
      <c r="AH810" s="71"/>
      <c r="AI810" s="71"/>
      <c r="AJ810" s="71"/>
      <c r="AK810" s="71"/>
    </row>
    <row r="811" spans="1:37" ht="12.75" customHeight="1" x14ac:dyDescent="0.2">
      <c r="A811" s="71"/>
      <c r="B811" s="71"/>
      <c r="C811" s="71"/>
      <c r="D811" s="71"/>
      <c r="E811" s="71"/>
      <c r="F811" s="71"/>
      <c r="G811" s="71"/>
      <c r="H811" s="71"/>
      <c r="I811" s="71"/>
      <c r="J811" s="71"/>
      <c r="K811" s="71"/>
      <c r="L811" s="71"/>
      <c r="M811" s="71"/>
      <c r="N811" s="71"/>
      <c r="O811" s="71"/>
      <c r="P811" s="71"/>
      <c r="Q811" s="71"/>
      <c r="R811" s="71"/>
      <c r="S811" s="71"/>
      <c r="T811" s="105"/>
      <c r="U811" s="71"/>
      <c r="V811" s="71"/>
      <c r="W811" s="71"/>
      <c r="X811" s="71"/>
      <c r="Y811" s="71"/>
      <c r="Z811" s="71"/>
      <c r="AA811" s="71"/>
      <c r="AB811" s="71"/>
      <c r="AC811" s="71"/>
      <c r="AD811" s="71"/>
      <c r="AE811" s="71"/>
      <c r="AF811" s="71"/>
      <c r="AG811" s="71"/>
      <c r="AH811" s="71"/>
      <c r="AI811" s="71"/>
      <c r="AJ811" s="71"/>
      <c r="AK811" s="71"/>
    </row>
    <row r="812" spans="1:37" ht="12.75" customHeight="1" x14ac:dyDescent="0.2">
      <c r="A812" s="71"/>
      <c r="B812" s="71"/>
      <c r="C812" s="71"/>
      <c r="D812" s="71"/>
      <c r="E812" s="71"/>
      <c r="F812" s="71"/>
      <c r="G812" s="71"/>
      <c r="H812" s="71"/>
      <c r="I812" s="71"/>
      <c r="J812" s="71"/>
      <c r="K812" s="71"/>
      <c r="L812" s="71"/>
      <c r="M812" s="71"/>
      <c r="N812" s="71"/>
      <c r="O812" s="71"/>
      <c r="P812" s="71"/>
      <c r="Q812" s="71"/>
      <c r="R812" s="71"/>
      <c r="S812" s="71"/>
      <c r="T812" s="105"/>
      <c r="U812" s="71"/>
      <c r="V812" s="71"/>
      <c r="W812" s="71"/>
      <c r="X812" s="71"/>
      <c r="Y812" s="71"/>
      <c r="Z812" s="71"/>
      <c r="AA812" s="71"/>
      <c r="AB812" s="71"/>
      <c r="AC812" s="71"/>
      <c r="AD812" s="71"/>
      <c r="AE812" s="71"/>
      <c r="AF812" s="71"/>
      <c r="AG812" s="71"/>
      <c r="AH812" s="71"/>
      <c r="AI812" s="71"/>
      <c r="AJ812" s="71"/>
      <c r="AK812" s="71"/>
    </row>
    <row r="813" spans="1:37" ht="12.75" customHeight="1" x14ac:dyDescent="0.2">
      <c r="A813" s="71"/>
      <c r="B813" s="71"/>
      <c r="C813" s="71"/>
      <c r="D813" s="71"/>
      <c r="E813" s="71"/>
      <c r="F813" s="71"/>
      <c r="G813" s="71"/>
      <c r="H813" s="71"/>
      <c r="I813" s="71"/>
      <c r="J813" s="71"/>
      <c r="K813" s="71"/>
      <c r="L813" s="71"/>
      <c r="M813" s="71"/>
      <c r="N813" s="71"/>
      <c r="O813" s="71"/>
      <c r="P813" s="71"/>
      <c r="Q813" s="71"/>
      <c r="R813" s="71"/>
      <c r="S813" s="71"/>
      <c r="T813" s="105"/>
      <c r="U813" s="71"/>
      <c r="V813" s="71"/>
      <c r="W813" s="71"/>
      <c r="X813" s="71"/>
      <c r="Y813" s="71"/>
      <c r="Z813" s="71"/>
      <c r="AA813" s="71"/>
      <c r="AB813" s="71"/>
      <c r="AC813" s="71"/>
      <c r="AD813" s="71"/>
      <c r="AE813" s="71"/>
      <c r="AF813" s="71"/>
      <c r="AG813" s="71"/>
      <c r="AH813" s="71"/>
      <c r="AI813" s="71"/>
      <c r="AJ813" s="71"/>
      <c r="AK813" s="71"/>
    </row>
    <row r="814" spans="1:37" ht="12.75" customHeight="1" x14ac:dyDescent="0.2">
      <c r="A814" s="71"/>
      <c r="B814" s="71"/>
      <c r="C814" s="71"/>
      <c r="D814" s="71"/>
      <c r="E814" s="71"/>
      <c r="F814" s="71"/>
      <c r="G814" s="71"/>
      <c r="H814" s="71"/>
      <c r="I814" s="71"/>
      <c r="J814" s="71"/>
      <c r="K814" s="71"/>
      <c r="L814" s="71"/>
      <c r="M814" s="71"/>
      <c r="N814" s="71"/>
      <c r="O814" s="71"/>
      <c r="P814" s="71"/>
      <c r="Q814" s="71"/>
      <c r="R814" s="71"/>
      <c r="S814" s="71"/>
      <c r="T814" s="105"/>
      <c r="U814" s="71"/>
      <c r="V814" s="71"/>
      <c r="W814" s="71"/>
      <c r="X814" s="71"/>
      <c r="Y814" s="71"/>
      <c r="Z814" s="71"/>
      <c r="AA814" s="71"/>
      <c r="AB814" s="71"/>
      <c r="AC814" s="71"/>
      <c r="AD814" s="71"/>
      <c r="AE814" s="71"/>
      <c r="AF814" s="71"/>
      <c r="AG814" s="71"/>
      <c r="AH814" s="71"/>
      <c r="AI814" s="71"/>
      <c r="AJ814" s="71"/>
      <c r="AK814" s="71"/>
    </row>
    <row r="815" spans="1:37" ht="12.75" customHeight="1" x14ac:dyDescent="0.2">
      <c r="A815" s="71"/>
      <c r="B815" s="71"/>
      <c r="C815" s="71"/>
      <c r="D815" s="71"/>
      <c r="E815" s="71"/>
      <c r="F815" s="71"/>
      <c r="G815" s="71"/>
      <c r="H815" s="71"/>
      <c r="I815" s="71"/>
      <c r="J815" s="71"/>
      <c r="K815" s="71"/>
      <c r="L815" s="71"/>
      <c r="M815" s="71"/>
      <c r="N815" s="71"/>
      <c r="O815" s="71"/>
      <c r="P815" s="71"/>
      <c r="Q815" s="71"/>
      <c r="R815" s="71"/>
      <c r="S815" s="71"/>
      <c r="T815" s="105"/>
      <c r="U815" s="71"/>
      <c r="V815" s="71"/>
      <c r="W815" s="71"/>
      <c r="X815" s="71"/>
      <c r="Y815" s="71"/>
      <c r="Z815" s="71"/>
      <c r="AA815" s="71"/>
      <c r="AB815" s="71"/>
      <c r="AC815" s="71"/>
      <c r="AD815" s="71"/>
      <c r="AE815" s="71"/>
      <c r="AF815" s="71"/>
      <c r="AG815" s="71"/>
      <c r="AH815" s="71"/>
      <c r="AI815" s="71"/>
      <c r="AJ815" s="71"/>
      <c r="AK815" s="71"/>
    </row>
    <row r="816" spans="1:37" ht="12.75" customHeight="1" x14ac:dyDescent="0.2">
      <c r="A816" s="71"/>
      <c r="B816" s="71"/>
      <c r="C816" s="71"/>
      <c r="D816" s="71"/>
      <c r="E816" s="71"/>
      <c r="F816" s="71"/>
      <c r="G816" s="71"/>
      <c r="H816" s="71"/>
      <c r="I816" s="71"/>
      <c r="J816" s="71"/>
      <c r="K816" s="71"/>
      <c r="L816" s="71"/>
      <c r="M816" s="71"/>
      <c r="N816" s="71"/>
      <c r="O816" s="71"/>
      <c r="P816" s="71"/>
      <c r="Q816" s="71"/>
      <c r="R816" s="71"/>
      <c r="S816" s="71"/>
      <c r="T816" s="105"/>
      <c r="U816" s="71"/>
      <c r="V816" s="71"/>
      <c r="W816" s="71"/>
      <c r="X816" s="71"/>
      <c r="Y816" s="71"/>
      <c r="Z816" s="71"/>
      <c r="AA816" s="71"/>
      <c r="AB816" s="71"/>
      <c r="AC816" s="71"/>
      <c r="AD816" s="71"/>
      <c r="AE816" s="71"/>
      <c r="AF816" s="71"/>
      <c r="AG816" s="71"/>
      <c r="AH816" s="71"/>
      <c r="AI816" s="71"/>
      <c r="AJ816" s="71"/>
      <c r="AK816" s="71"/>
    </row>
    <row r="817" spans="1:37" ht="12.75" customHeight="1" x14ac:dyDescent="0.2">
      <c r="A817" s="71"/>
      <c r="B817" s="71"/>
      <c r="C817" s="71"/>
      <c r="D817" s="71"/>
      <c r="E817" s="71"/>
      <c r="F817" s="71"/>
      <c r="G817" s="71"/>
      <c r="H817" s="71"/>
      <c r="I817" s="71"/>
      <c r="J817" s="71"/>
      <c r="K817" s="71"/>
      <c r="L817" s="71"/>
      <c r="M817" s="71"/>
      <c r="N817" s="71"/>
      <c r="O817" s="71"/>
      <c r="P817" s="71"/>
      <c r="Q817" s="71"/>
      <c r="R817" s="71"/>
      <c r="S817" s="71"/>
      <c r="T817" s="105"/>
      <c r="U817" s="71"/>
      <c r="V817" s="71"/>
      <c r="W817" s="71"/>
      <c r="X817" s="71"/>
      <c r="Y817" s="71"/>
      <c r="Z817" s="71"/>
      <c r="AA817" s="71"/>
      <c r="AB817" s="71"/>
      <c r="AC817" s="71"/>
      <c r="AD817" s="71"/>
      <c r="AE817" s="71"/>
      <c r="AF817" s="71"/>
      <c r="AG817" s="71"/>
      <c r="AH817" s="71"/>
      <c r="AI817" s="71"/>
      <c r="AJ817" s="71"/>
      <c r="AK817" s="71"/>
    </row>
    <row r="818" spans="1:37" ht="12.75" customHeight="1" x14ac:dyDescent="0.2">
      <c r="A818" s="71"/>
      <c r="B818" s="71"/>
      <c r="C818" s="71"/>
      <c r="D818" s="71"/>
      <c r="E818" s="71"/>
      <c r="F818" s="71"/>
      <c r="G818" s="71"/>
      <c r="H818" s="71"/>
      <c r="I818" s="71"/>
      <c r="J818" s="71"/>
      <c r="K818" s="71"/>
      <c r="L818" s="71"/>
      <c r="M818" s="71"/>
      <c r="N818" s="71"/>
      <c r="O818" s="71"/>
      <c r="P818" s="71"/>
      <c r="Q818" s="71"/>
      <c r="R818" s="71"/>
      <c r="S818" s="71"/>
      <c r="T818" s="105"/>
      <c r="U818" s="71"/>
      <c r="V818" s="71"/>
      <c r="W818" s="71"/>
      <c r="X818" s="71"/>
      <c r="Y818" s="71"/>
      <c r="Z818" s="71"/>
      <c r="AA818" s="71"/>
      <c r="AB818" s="71"/>
      <c r="AC818" s="71"/>
      <c r="AD818" s="71"/>
      <c r="AE818" s="71"/>
      <c r="AF818" s="71"/>
      <c r="AG818" s="71"/>
      <c r="AH818" s="71"/>
      <c r="AI818" s="71"/>
      <c r="AJ818" s="71"/>
      <c r="AK818" s="71"/>
    </row>
    <row r="819" spans="1:37" ht="12.75" customHeight="1" x14ac:dyDescent="0.2">
      <c r="A819" s="71"/>
      <c r="B819" s="71"/>
      <c r="C819" s="71"/>
      <c r="D819" s="71"/>
      <c r="E819" s="71"/>
      <c r="F819" s="71"/>
      <c r="G819" s="71"/>
      <c r="H819" s="71"/>
      <c r="I819" s="71"/>
      <c r="J819" s="71"/>
      <c r="K819" s="71"/>
      <c r="L819" s="71"/>
      <c r="M819" s="71"/>
      <c r="N819" s="71"/>
      <c r="O819" s="71"/>
      <c r="P819" s="71"/>
      <c r="Q819" s="71"/>
      <c r="R819" s="71"/>
      <c r="S819" s="71"/>
      <c r="T819" s="105"/>
      <c r="U819" s="71"/>
      <c r="V819" s="71"/>
      <c r="W819" s="71"/>
      <c r="X819" s="71"/>
      <c r="Y819" s="71"/>
      <c r="Z819" s="71"/>
      <c r="AA819" s="71"/>
      <c r="AB819" s="71"/>
      <c r="AC819" s="71"/>
      <c r="AD819" s="71"/>
      <c r="AE819" s="71"/>
      <c r="AF819" s="71"/>
      <c r="AG819" s="71"/>
      <c r="AH819" s="71"/>
      <c r="AI819" s="71"/>
      <c r="AJ819" s="71"/>
      <c r="AK819" s="71"/>
    </row>
    <row r="820" spans="1:37" ht="12.75" customHeight="1" x14ac:dyDescent="0.2">
      <c r="A820" s="71"/>
      <c r="B820" s="71"/>
      <c r="C820" s="71"/>
      <c r="D820" s="71"/>
      <c r="E820" s="71"/>
      <c r="F820" s="71"/>
      <c r="G820" s="71"/>
      <c r="H820" s="71"/>
      <c r="I820" s="71"/>
      <c r="J820" s="71"/>
      <c r="K820" s="71"/>
      <c r="L820" s="71"/>
      <c r="M820" s="71"/>
      <c r="N820" s="71"/>
      <c r="O820" s="71"/>
      <c r="P820" s="71"/>
      <c r="Q820" s="71"/>
      <c r="R820" s="71"/>
      <c r="S820" s="71"/>
      <c r="T820" s="105"/>
      <c r="U820" s="71"/>
      <c r="V820" s="71"/>
      <c r="W820" s="71"/>
      <c r="X820" s="71"/>
      <c r="Y820" s="71"/>
      <c r="Z820" s="71"/>
      <c r="AA820" s="71"/>
      <c r="AB820" s="71"/>
      <c r="AC820" s="71"/>
      <c r="AD820" s="71"/>
      <c r="AE820" s="71"/>
      <c r="AF820" s="71"/>
      <c r="AG820" s="71"/>
      <c r="AH820" s="71"/>
      <c r="AI820" s="71"/>
      <c r="AJ820" s="71"/>
      <c r="AK820" s="71"/>
    </row>
    <row r="821" spans="1:37" ht="12.75" customHeight="1" x14ac:dyDescent="0.2">
      <c r="A821" s="71"/>
      <c r="B821" s="71"/>
      <c r="C821" s="71"/>
      <c r="D821" s="71"/>
      <c r="E821" s="71"/>
      <c r="F821" s="71"/>
      <c r="G821" s="71"/>
      <c r="H821" s="71"/>
      <c r="I821" s="71"/>
      <c r="J821" s="71"/>
      <c r="K821" s="71"/>
      <c r="L821" s="71"/>
      <c r="M821" s="71"/>
      <c r="N821" s="71"/>
      <c r="O821" s="71"/>
      <c r="P821" s="71"/>
      <c r="Q821" s="71"/>
      <c r="R821" s="71"/>
      <c r="S821" s="71"/>
      <c r="T821" s="105"/>
      <c r="U821" s="71"/>
      <c r="V821" s="71"/>
      <c r="W821" s="71"/>
      <c r="X821" s="71"/>
      <c r="Y821" s="71"/>
      <c r="Z821" s="71"/>
      <c r="AA821" s="71"/>
      <c r="AB821" s="71"/>
      <c r="AC821" s="71"/>
      <c r="AD821" s="71"/>
      <c r="AE821" s="71"/>
      <c r="AF821" s="71"/>
      <c r="AG821" s="71"/>
      <c r="AH821" s="71"/>
      <c r="AI821" s="71"/>
      <c r="AJ821" s="71"/>
      <c r="AK821" s="71"/>
    </row>
    <row r="822" spans="1:37" ht="12.75" customHeight="1" x14ac:dyDescent="0.2">
      <c r="A822" s="71"/>
      <c r="B822" s="71"/>
      <c r="C822" s="71"/>
      <c r="D822" s="71"/>
      <c r="E822" s="71"/>
      <c r="F822" s="71"/>
      <c r="G822" s="71"/>
      <c r="H822" s="71"/>
      <c r="I822" s="71"/>
      <c r="J822" s="71"/>
      <c r="K822" s="71"/>
      <c r="L822" s="71"/>
      <c r="M822" s="71"/>
      <c r="N822" s="71"/>
      <c r="O822" s="71"/>
      <c r="P822" s="71"/>
      <c r="Q822" s="71"/>
      <c r="R822" s="71"/>
      <c r="S822" s="71"/>
      <c r="T822" s="105"/>
      <c r="U822" s="71"/>
      <c r="V822" s="71"/>
      <c r="W822" s="71"/>
      <c r="X822" s="71"/>
      <c r="Y822" s="71"/>
      <c r="Z822" s="71"/>
      <c r="AA822" s="71"/>
      <c r="AB822" s="71"/>
      <c r="AC822" s="71"/>
      <c r="AD822" s="71"/>
      <c r="AE822" s="71"/>
      <c r="AF822" s="71"/>
      <c r="AG822" s="71"/>
      <c r="AH822" s="71"/>
      <c r="AI822" s="71"/>
      <c r="AJ822" s="71"/>
      <c r="AK822" s="71"/>
    </row>
    <row r="823" spans="1:37" ht="12.75" customHeight="1" x14ac:dyDescent="0.2">
      <c r="A823" s="71"/>
      <c r="B823" s="71"/>
      <c r="C823" s="71"/>
      <c r="D823" s="71"/>
      <c r="E823" s="71"/>
      <c r="F823" s="71"/>
      <c r="G823" s="71"/>
      <c r="H823" s="71"/>
      <c r="I823" s="71"/>
      <c r="J823" s="71"/>
      <c r="K823" s="71"/>
      <c r="L823" s="71"/>
      <c r="M823" s="71"/>
      <c r="N823" s="71"/>
      <c r="O823" s="71"/>
      <c r="P823" s="71"/>
      <c r="Q823" s="71"/>
      <c r="R823" s="71"/>
      <c r="S823" s="71"/>
      <c r="T823" s="105"/>
      <c r="U823" s="71"/>
      <c r="V823" s="71"/>
      <c r="W823" s="71"/>
      <c r="X823" s="71"/>
      <c r="Y823" s="71"/>
      <c r="Z823" s="71"/>
      <c r="AA823" s="71"/>
      <c r="AB823" s="71"/>
      <c r="AC823" s="71"/>
      <c r="AD823" s="71"/>
      <c r="AE823" s="71"/>
      <c r="AF823" s="71"/>
      <c r="AG823" s="71"/>
      <c r="AH823" s="71"/>
      <c r="AI823" s="71"/>
      <c r="AJ823" s="71"/>
      <c r="AK823" s="71"/>
    </row>
    <row r="824" spans="1:37" ht="12.75" customHeight="1" x14ac:dyDescent="0.2">
      <c r="A824" s="71"/>
      <c r="B824" s="71"/>
      <c r="C824" s="71"/>
      <c r="D824" s="71"/>
      <c r="E824" s="71"/>
      <c r="F824" s="71"/>
      <c r="G824" s="71"/>
      <c r="H824" s="71"/>
      <c r="I824" s="71"/>
      <c r="J824" s="71"/>
      <c r="K824" s="71"/>
      <c r="L824" s="71"/>
      <c r="M824" s="71"/>
      <c r="N824" s="71"/>
      <c r="O824" s="71"/>
      <c r="P824" s="71"/>
      <c r="Q824" s="71"/>
      <c r="R824" s="71"/>
      <c r="S824" s="71"/>
      <c r="T824" s="105"/>
      <c r="U824" s="71"/>
      <c r="V824" s="71"/>
      <c r="W824" s="71"/>
      <c r="X824" s="71"/>
      <c r="Y824" s="71"/>
      <c r="Z824" s="71"/>
      <c r="AA824" s="71"/>
      <c r="AB824" s="71"/>
      <c r="AC824" s="71"/>
      <c r="AD824" s="71"/>
      <c r="AE824" s="71"/>
      <c r="AF824" s="71"/>
      <c r="AG824" s="71"/>
      <c r="AH824" s="71"/>
      <c r="AI824" s="71"/>
      <c r="AJ824" s="71"/>
      <c r="AK824" s="71"/>
    </row>
    <row r="825" spans="1:37" ht="12.75" customHeight="1" x14ac:dyDescent="0.2">
      <c r="A825" s="71"/>
      <c r="B825" s="71"/>
      <c r="C825" s="71"/>
      <c r="D825" s="71"/>
      <c r="E825" s="71"/>
      <c r="F825" s="71"/>
      <c r="G825" s="71"/>
      <c r="H825" s="71"/>
      <c r="I825" s="71"/>
      <c r="J825" s="71"/>
      <c r="K825" s="71"/>
      <c r="L825" s="71"/>
      <c r="M825" s="71"/>
      <c r="N825" s="71"/>
      <c r="O825" s="71"/>
      <c r="P825" s="71"/>
      <c r="Q825" s="71"/>
      <c r="R825" s="71"/>
      <c r="S825" s="71"/>
      <c r="T825" s="105"/>
      <c r="U825" s="71"/>
      <c r="V825" s="71"/>
      <c r="W825" s="71"/>
      <c r="X825" s="71"/>
      <c r="Y825" s="71"/>
      <c r="Z825" s="71"/>
      <c r="AA825" s="71"/>
      <c r="AB825" s="71"/>
      <c r="AC825" s="71"/>
      <c r="AD825" s="71"/>
      <c r="AE825" s="71"/>
      <c r="AF825" s="71"/>
      <c r="AG825" s="71"/>
      <c r="AH825" s="71"/>
      <c r="AI825" s="71"/>
      <c r="AJ825" s="71"/>
      <c r="AK825" s="71"/>
    </row>
    <row r="826" spans="1:37" ht="12.75" customHeight="1" x14ac:dyDescent="0.2">
      <c r="A826" s="71"/>
      <c r="B826" s="71"/>
      <c r="C826" s="71"/>
      <c r="D826" s="71"/>
      <c r="E826" s="71"/>
      <c r="F826" s="71"/>
      <c r="G826" s="71"/>
      <c r="H826" s="71"/>
      <c r="I826" s="71"/>
      <c r="J826" s="71"/>
      <c r="K826" s="71"/>
      <c r="L826" s="71"/>
      <c r="M826" s="71"/>
      <c r="N826" s="71"/>
      <c r="O826" s="71"/>
      <c r="P826" s="71"/>
      <c r="Q826" s="71"/>
      <c r="R826" s="71"/>
      <c r="S826" s="71"/>
      <c r="T826" s="105"/>
      <c r="U826" s="71"/>
      <c r="V826" s="71"/>
      <c r="W826" s="71"/>
      <c r="X826" s="71"/>
      <c r="Y826" s="71"/>
      <c r="Z826" s="71"/>
      <c r="AA826" s="71"/>
      <c r="AB826" s="71"/>
      <c r="AC826" s="71"/>
      <c r="AD826" s="71"/>
      <c r="AE826" s="71"/>
      <c r="AF826" s="71"/>
      <c r="AG826" s="71"/>
      <c r="AH826" s="71"/>
      <c r="AI826" s="71"/>
      <c r="AJ826" s="71"/>
      <c r="AK826" s="71"/>
    </row>
    <row r="827" spans="1:37" ht="12.75" customHeight="1" x14ac:dyDescent="0.2">
      <c r="A827" s="71"/>
      <c r="B827" s="71"/>
      <c r="C827" s="71"/>
      <c r="D827" s="71"/>
      <c r="E827" s="71"/>
      <c r="F827" s="71"/>
      <c r="G827" s="71"/>
      <c r="H827" s="71"/>
      <c r="I827" s="71"/>
      <c r="J827" s="71"/>
      <c r="K827" s="71"/>
      <c r="L827" s="71"/>
      <c r="M827" s="71"/>
      <c r="N827" s="71"/>
      <c r="O827" s="71"/>
      <c r="P827" s="71"/>
      <c r="Q827" s="71"/>
      <c r="R827" s="71"/>
      <c r="S827" s="71"/>
      <c r="T827" s="105"/>
      <c r="U827" s="71"/>
      <c r="V827" s="71"/>
      <c r="W827" s="71"/>
      <c r="X827" s="71"/>
      <c r="Y827" s="71"/>
      <c r="Z827" s="71"/>
      <c r="AA827" s="71"/>
      <c r="AB827" s="71"/>
      <c r="AC827" s="71"/>
      <c r="AD827" s="71"/>
      <c r="AE827" s="71"/>
      <c r="AF827" s="71"/>
      <c r="AG827" s="71"/>
      <c r="AH827" s="71"/>
      <c r="AI827" s="71"/>
      <c r="AJ827" s="71"/>
      <c r="AK827" s="71"/>
    </row>
    <row r="828" spans="1:37" ht="12.75" customHeight="1" x14ac:dyDescent="0.2">
      <c r="A828" s="71"/>
      <c r="B828" s="71"/>
      <c r="C828" s="71"/>
      <c r="D828" s="71"/>
      <c r="E828" s="71"/>
      <c r="F828" s="71"/>
      <c r="G828" s="71"/>
      <c r="H828" s="71"/>
      <c r="I828" s="71"/>
      <c r="J828" s="71"/>
      <c r="K828" s="71"/>
      <c r="L828" s="71"/>
      <c r="M828" s="71"/>
      <c r="N828" s="71"/>
      <c r="O828" s="71"/>
      <c r="P828" s="71"/>
      <c r="Q828" s="71"/>
      <c r="R828" s="71"/>
      <c r="S828" s="71"/>
      <c r="T828" s="105"/>
      <c r="U828" s="71"/>
      <c r="V828" s="71"/>
      <c r="W828" s="71"/>
      <c r="X828" s="71"/>
      <c r="Y828" s="71"/>
      <c r="Z828" s="71"/>
      <c r="AA828" s="71"/>
      <c r="AB828" s="71"/>
      <c r="AC828" s="71"/>
      <c r="AD828" s="71"/>
      <c r="AE828" s="71"/>
      <c r="AF828" s="71"/>
      <c r="AG828" s="71"/>
      <c r="AH828" s="71"/>
      <c r="AI828" s="71"/>
      <c r="AJ828" s="71"/>
      <c r="AK828" s="71"/>
    </row>
    <row r="829" spans="1:37" ht="12.75" customHeight="1" x14ac:dyDescent="0.2">
      <c r="A829" s="71"/>
      <c r="B829" s="71"/>
      <c r="C829" s="71"/>
      <c r="D829" s="71"/>
      <c r="E829" s="71"/>
      <c r="F829" s="71"/>
      <c r="G829" s="71"/>
      <c r="H829" s="71"/>
      <c r="I829" s="71"/>
      <c r="J829" s="71"/>
      <c r="K829" s="71"/>
      <c r="L829" s="71"/>
      <c r="M829" s="71"/>
      <c r="N829" s="71"/>
      <c r="O829" s="71"/>
      <c r="P829" s="71"/>
      <c r="Q829" s="71"/>
      <c r="R829" s="71"/>
      <c r="S829" s="71"/>
      <c r="T829" s="105"/>
      <c r="U829" s="71"/>
      <c r="V829" s="71"/>
      <c r="W829" s="71"/>
      <c r="X829" s="71"/>
      <c r="Y829" s="71"/>
      <c r="Z829" s="71"/>
      <c r="AA829" s="71"/>
      <c r="AB829" s="71"/>
      <c r="AC829" s="71"/>
      <c r="AD829" s="71"/>
      <c r="AE829" s="71"/>
      <c r="AF829" s="71"/>
      <c r="AG829" s="71"/>
      <c r="AH829" s="71"/>
      <c r="AI829" s="71"/>
      <c r="AJ829" s="71"/>
      <c r="AK829" s="71"/>
    </row>
    <row r="830" spans="1:37" ht="12.75" customHeight="1" x14ac:dyDescent="0.2">
      <c r="A830" s="71"/>
      <c r="B830" s="71"/>
      <c r="C830" s="71"/>
      <c r="D830" s="71"/>
      <c r="E830" s="71"/>
      <c r="F830" s="71"/>
      <c r="G830" s="71"/>
      <c r="H830" s="71"/>
      <c r="I830" s="71"/>
      <c r="J830" s="71"/>
      <c r="K830" s="71"/>
      <c r="L830" s="71"/>
      <c r="M830" s="71"/>
      <c r="N830" s="71"/>
      <c r="O830" s="71"/>
      <c r="P830" s="71"/>
      <c r="Q830" s="71"/>
      <c r="R830" s="71"/>
      <c r="S830" s="71"/>
      <c r="T830" s="105"/>
      <c r="U830" s="71"/>
      <c r="V830" s="71"/>
      <c r="W830" s="71"/>
      <c r="X830" s="71"/>
      <c r="Y830" s="71"/>
      <c r="Z830" s="71"/>
      <c r="AA830" s="71"/>
      <c r="AB830" s="71"/>
      <c r="AC830" s="71"/>
      <c r="AD830" s="71"/>
      <c r="AE830" s="71"/>
      <c r="AF830" s="71"/>
      <c r="AG830" s="71"/>
      <c r="AH830" s="71"/>
      <c r="AI830" s="71"/>
      <c r="AJ830" s="71"/>
      <c r="AK830" s="71"/>
    </row>
    <row r="831" spans="1:37" ht="12.75" customHeight="1" x14ac:dyDescent="0.2">
      <c r="A831" s="71"/>
      <c r="B831" s="71"/>
      <c r="C831" s="71"/>
      <c r="D831" s="71"/>
      <c r="E831" s="71"/>
      <c r="F831" s="71"/>
      <c r="G831" s="71"/>
      <c r="H831" s="71"/>
      <c r="I831" s="71"/>
      <c r="J831" s="71"/>
      <c r="K831" s="71"/>
      <c r="L831" s="71"/>
      <c r="M831" s="71"/>
      <c r="N831" s="71"/>
      <c r="O831" s="71"/>
      <c r="P831" s="71"/>
      <c r="Q831" s="71"/>
      <c r="R831" s="71"/>
      <c r="S831" s="71"/>
      <c r="T831" s="105"/>
      <c r="U831" s="71"/>
      <c r="V831" s="71"/>
      <c r="W831" s="71"/>
      <c r="X831" s="71"/>
      <c r="Y831" s="71"/>
      <c r="Z831" s="71"/>
      <c r="AA831" s="71"/>
      <c r="AB831" s="71"/>
      <c r="AC831" s="71"/>
      <c r="AD831" s="71"/>
      <c r="AE831" s="71"/>
      <c r="AF831" s="71"/>
      <c r="AG831" s="71"/>
      <c r="AH831" s="71"/>
      <c r="AI831" s="71"/>
      <c r="AJ831" s="71"/>
      <c r="AK831" s="71"/>
    </row>
    <row r="832" spans="1:37" ht="12.75" customHeight="1" x14ac:dyDescent="0.2">
      <c r="A832" s="71"/>
      <c r="B832" s="71"/>
      <c r="C832" s="71"/>
      <c r="D832" s="71"/>
      <c r="E832" s="71"/>
      <c r="F832" s="71"/>
      <c r="G832" s="71"/>
      <c r="H832" s="71"/>
      <c r="I832" s="71"/>
      <c r="J832" s="71"/>
      <c r="K832" s="71"/>
      <c r="L832" s="71"/>
      <c r="M832" s="71"/>
      <c r="N832" s="71"/>
      <c r="O832" s="71"/>
      <c r="P832" s="71"/>
      <c r="Q832" s="71"/>
      <c r="R832" s="71"/>
      <c r="S832" s="71"/>
      <c r="T832" s="105"/>
      <c r="U832" s="71"/>
      <c r="V832" s="71"/>
      <c r="W832" s="71"/>
      <c r="X832" s="71"/>
      <c r="Y832" s="71"/>
      <c r="Z832" s="71"/>
      <c r="AA832" s="71"/>
      <c r="AB832" s="71"/>
      <c r="AC832" s="71"/>
      <c r="AD832" s="71"/>
      <c r="AE832" s="71"/>
      <c r="AF832" s="71"/>
      <c r="AG832" s="71"/>
      <c r="AH832" s="71"/>
      <c r="AI832" s="71"/>
      <c r="AJ832" s="71"/>
      <c r="AK832" s="71"/>
    </row>
    <row r="833" spans="1:37" ht="12.75" customHeight="1" x14ac:dyDescent="0.2">
      <c r="A833" s="71"/>
      <c r="B833" s="71"/>
      <c r="C833" s="71"/>
      <c r="D833" s="71"/>
      <c r="E833" s="71"/>
      <c r="F833" s="71"/>
      <c r="G833" s="71"/>
      <c r="H833" s="71"/>
      <c r="I833" s="71"/>
      <c r="J833" s="71"/>
      <c r="K833" s="71"/>
      <c r="L833" s="71"/>
      <c r="M833" s="71"/>
      <c r="N833" s="71"/>
      <c r="O833" s="71"/>
      <c r="P833" s="71"/>
      <c r="Q833" s="71"/>
      <c r="R833" s="71"/>
      <c r="S833" s="71"/>
      <c r="T833" s="105"/>
      <c r="U833" s="71"/>
      <c r="V833" s="71"/>
      <c r="W833" s="71"/>
      <c r="X833" s="71"/>
      <c r="Y833" s="71"/>
      <c r="Z833" s="71"/>
      <c r="AA833" s="71"/>
      <c r="AB833" s="71"/>
      <c r="AC833" s="71"/>
      <c r="AD833" s="71"/>
      <c r="AE833" s="71"/>
      <c r="AF833" s="71"/>
      <c r="AG833" s="71"/>
      <c r="AH833" s="71"/>
      <c r="AI833" s="71"/>
      <c r="AJ833" s="71"/>
      <c r="AK833" s="71"/>
    </row>
    <row r="834" spans="1:37" ht="12.75" customHeight="1" x14ac:dyDescent="0.2">
      <c r="A834" s="71"/>
      <c r="B834" s="71"/>
      <c r="C834" s="71"/>
      <c r="D834" s="71"/>
      <c r="E834" s="71"/>
      <c r="F834" s="71"/>
      <c r="G834" s="71"/>
      <c r="H834" s="71"/>
      <c r="I834" s="71"/>
      <c r="J834" s="71"/>
      <c r="K834" s="71"/>
      <c r="L834" s="71"/>
      <c r="M834" s="71"/>
      <c r="N834" s="71"/>
      <c r="O834" s="71"/>
      <c r="P834" s="71"/>
      <c r="Q834" s="71"/>
      <c r="R834" s="71"/>
      <c r="S834" s="71"/>
      <c r="T834" s="105"/>
      <c r="U834" s="71"/>
      <c r="V834" s="71"/>
      <c r="W834" s="71"/>
      <c r="X834" s="71"/>
      <c r="Y834" s="71"/>
      <c r="Z834" s="71"/>
      <c r="AA834" s="71"/>
      <c r="AB834" s="71"/>
      <c r="AC834" s="71"/>
      <c r="AD834" s="71"/>
      <c r="AE834" s="71"/>
      <c r="AF834" s="71"/>
      <c r="AG834" s="71"/>
      <c r="AH834" s="71"/>
      <c r="AI834" s="71"/>
      <c r="AJ834" s="71"/>
      <c r="AK834" s="71"/>
    </row>
    <row r="835" spans="1:37" ht="12.75" customHeight="1" x14ac:dyDescent="0.2">
      <c r="A835" s="71"/>
      <c r="B835" s="71"/>
      <c r="C835" s="71"/>
      <c r="D835" s="71"/>
      <c r="E835" s="71"/>
      <c r="F835" s="71"/>
      <c r="G835" s="71"/>
      <c r="H835" s="71"/>
      <c r="I835" s="71"/>
      <c r="J835" s="71"/>
      <c r="K835" s="71"/>
      <c r="L835" s="71"/>
      <c r="M835" s="71"/>
      <c r="N835" s="71"/>
      <c r="O835" s="71"/>
      <c r="P835" s="71"/>
      <c r="Q835" s="71"/>
      <c r="R835" s="71"/>
      <c r="S835" s="71"/>
      <c r="T835" s="105"/>
      <c r="U835" s="71"/>
      <c r="V835" s="71"/>
      <c r="W835" s="71"/>
      <c r="X835" s="71"/>
      <c r="Y835" s="71"/>
      <c r="Z835" s="71"/>
      <c r="AA835" s="71"/>
      <c r="AB835" s="71"/>
      <c r="AC835" s="71"/>
      <c r="AD835" s="71"/>
      <c r="AE835" s="71"/>
      <c r="AF835" s="71"/>
      <c r="AG835" s="71"/>
      <c r="AH835" s="71"/>
      <c r="AI835" s="71"/>
      <c r="AJ835" s="71"/>
      <c r="AK835" s="71"/>
    </row>
    <row r="836" spans="1:37" ht="12.75" customHeight="1" x14ac:dyDescent="0.2">
      <c r="A836" s="71"/>
      <c r="B836" s="71"/>
      <c r="C836" s="71"/>
      <c r="D836" s="71"/>
      <c r="E836" s="71"/>
      <c r="F836" s="71"/>
      <c r="G836" s="71"/>
      <c r="H836" s="71"/>
      <c r="I836" s="71"/>
      <c r="J836" s="71"/>
      <c r="K836" s="71"/>
      <c r="L836" s="71"/>
      <c r="M836" s="71"/>
      <c r="N836" s="71"/>
      <c r="O836" s="71"/>
      <c r="P836" s="71"/>
      <c r="Q836" s="71"/>
      <c r="R836" s="71"/>
      <c r="S836" s="71"/>
      <c r="T836" s="105"/>
      <c r="U836" s="71"/>
      <c r="V836" s="71"/>
      <c r="W836" s="71"/>
      <c r="X836" s="71"/>
      <c r="Y836" s="71"/>
      <c r="Z836" s="71"/>
      <c r="AA836" s="71"/>
      <c r="AB836" s="71"/>
      <c r="AC836" s="71"/>
      <c r="AD836" s="71"/>
      <c r="AE836" s="71"/>
      <c r="AF836" s="71"/>
      <c r="AG836" s="71"/>
      <c r="AH836" s="71"/>
      <c r="AI836" s="71"/>
      <c r="AJ836" s="71"/>
      <c r="AK836" s="71"/>
    </row>
    <row r="837" spans="1:37" ht="12.75" customHeight="1" x14ac:dyDescent="0.2">
      <c r="A837" s="71"/>
      <c r="B837" s="71"/>
      <c r="C837" s="71"/>
      <c r="D837" s="71"/>
      <c r="E837" s="71"/>
      <c r="F837" s="71"/>
      <c r="G837" s="71"/>
      <c r="H837" s="71"/>
      <c r="I837" s="71"/>
      <c r="J837" s="71"/>
      <c r="K837" s="71"/>
      <c r="L837" s="71"/>
      <c r="M837" s="71"/>
      <c r="N837" s="71"/>
      <c r="O837" s="71"/>
      <c r="P837" s="71"/>
      <c r="Q837" s="71"/>
      <c r="R837" s="71"/>
      <c r="S837" s="71"/>
      <c r="T837" s="105"/>
      <c r="U837" s="71"/>
      <c r="V837" s="71"/>
      <c r="W837" s="71"/>
      <c r="X837" s="71"/>
      <c r="Y837" s="71"/>
      <c r="Z837" s="71"/>
      <c r="AA837" s="71"/>
      <c r="AB837" s="71"/>
      <c r="AC837" s="71"/>
      <c r="AD837" s="71"/>
      <c r="AE837" s="71"/>
      <c r="AF837" s="71"/>
      <c r="AG837" s="71"/>
      <c r="AH837" s="71"/>
      <c r="AI837" s="71"/>
      <c r="AJ837" s="71"/>
      <c r="AK837" s="71"/>
    </row>
    <row r="838" spans="1:37" ht="12.75" customHeight="1" x14ac:dyDescent="0.2">
      <c r="A838" s="71"/>
      <c r="B838" s="71"/>
      <c r="C838" s="71"/>
      <c r="D838" s="71"/>
      <c r="E838" s="71"/>
      <c r="F838" s="71"/>
      <c r="G838" s="71"/>
      <c r="H838" s="71"/>
      <c r="I838" s="71"/>
      <c r="J838" s="71"/>
      <c r="K838" s="71"/>
      <c r="L838" s="71"/>
      <c r="M838" s="71"/>
      <c r="N838" s="71"/>
      <c r="O838" s="71"/>
      <c r="P838" s="71"/>
      <c r="Q838" s="71"/>
      <c r="R838" s="71"/>
      <c r="S838" s="71"/>
      <c r="T838" s="105"/>
      <c r="U838" s="71"/>
      <c r="V838" s="71"/>
      <c r="W838" s="71"/>
      <c r="X838" s="71"/>
      <c r="Y838" s="71"/>
      <c r="Z838" s="71"/>
      <c r="AA838" s="71"/>
      <c r="AB838" s="71"/>
      <c r="AC838" s="71"/>
      <c r="AD838" s="71"/>
      <c r="AE838" s="71"/>
      <c r="AF838" s="71"/>
      <c r="AG838" s="71"/>
      <c r="AH838" s="71"/>
      <c r="AI838" s="71"/>
      <c r="AJ838" s="71"/>
      <c r="AK838" s="71"/>
    </row>
    <row r="839" spans="1:37" ht="12.75" customHeight="1" x14ac:dyDescent="0.2">
      <c r="A839" s="71"/>
      <c r="B839" s="71"/>
      <c r="C839" s="71"/>
      <c r="D839" s="71"/>
      <c r="E839" s="71"/>
      <c r="F839" s="71"/>
      <c r="G839" s="71"/>
      <c r="H839" s="71"/>
      <c r="I839" s="71"/>
      <c r="J839" s="71"/>
      <c r="K839" s="71"/>
      <c r="L839" s="71"/>
      <c r="M839" s="71"/>
      <c r="N839" s="71"/>
      <c r="O839" s="71"/>
      <c r="P839" s="71"/>
      <c r="Q839" s="71"/>
      <c r="R839" s="71"/>
      <c r="S839" s="71"/>
      <c r="T839" s="105"/>
      <c r="U839" s="71"/>
      <c r="V839" s="71"/>
      <c r="W839" s="71"/>
      <c r="X839" s="71"/>
      <c r="Y839" s="71"/>
      <c r="Z839" s="71"/>
      <c r="AA839" s="71"/>
      <c r="AB839" s="71"/>
      <c r="AC839" s="71"/>
      <c r="AD839" s="71"/>
      <c r="AE839" s="71"/>
      <c r="AF839" s="71"/>
      <c r="AG839" s="71"/>
      <c r="AH839" s="71"/>
      <c r="AI839" s="71"/>
      <c r="AJ839" s="71"/>
      <c r="AK839" s="71"/>
    </row>
    <row r="840" spans="1:37" ht="12.75" customHeight="1" x14ac:dyDescent="0.2">
      <c r="A840" s="71"/>
      <c r="B840" s="71"/>
      <c r="C840" s="71"/>
      <c r="D840" s="71"/>
      <c r="E840" s="71"/>
      <c r="F840" s="71"/>
      <c r="G840" s="71"/>
      <c r="H840" s="71"/>
      <c r="I840" s="71"/>
      <c r="J840" s="71"/>
      <c r="K840" s="71"/>
      <c r="L840" s="71"/>
      <c r="M840" s="71"/>
      <c r="N840" s="71"/>
      <c r="O840" s="71"/>
      <c r="P840" s="71"/>
      <c r="Q840" s="71"/>
      <c r="R840" s="71"/>
      <c r="S840" s="71"/>
      <c r="T840" s="105"/>
      <c r="U840" s="71"/>
      <c r="V840" s="71"/>
      <c r="W840" s="71"/>
      <c r="X840" s="71"/>
      <c r="Y840" s="71"/>
      <c r="Z840" s="71"/>
      <c r="AA840" s="71"/>
      <c r="AB840" s="71"/>
      <c r="AC840" s="71"/>
      <c r="AD840" s="71"/>
      <c r="AE840" s="71"/>
      <c r="AF840" s="71"/>
      <c r="AG840" s="71"/>
      <c r="AH840" s="71"/>
      <c r="AI840" s="71"/>
      <c r="AJ840" s="71"/>
      <c r="AK840" s="71"/>
    </row>
    <row r="841" spans="1:37" ht="12.75" customHeight="1" x14ac:dyDescent="0.2">
      <c r="A841" s="71"/>
      <c r="B841" s="71"/>
      <c r="C841" s="71"/>
      <c r="D841" s="71"/>
      <c r="E841" s="71"/>
      <c r="F841" s="71"/>
      <c r="G841" s="71"/>
      <c r="H841" s="71"/>
      <c r="I841" s="71"/>
      <c r="J841" s="71"/>
      <c r="K841" s="71"/>
      <c r="L841" s="71"/>
      <c r="M841" s="71"/>
      <c r="N841" s="71"/>
      <c r="O841" s="71"/>
      <c r="P841" s="71"/>
      <c r="Q841" s="71"/>
      <c r="R841" s="71"/>
      <c r="S841" s="71"/>
      <c r="T841" s="105"/>
      <c r="U841" s="71"/>
      <c r="V841" s="71"/>
      <c r="W841" s="71"/>
      <c r="X841" s="71"/>
      <c r="Y841" s="71"/>
      <c r="Z841" s="71"/>
      <c r="AA841" s="71"/>
      <c r="AB841" s="71"/>
      <c r="AC841" s="71"/>
      <c r="AD841" s="71"/>
      <c r="AE841" s="71"/>
      <c r="AF841" s="71"/>
      <c r="AG841" s="71"/>
      <c r="AH841" s="71"/>
      <c r="AI841" s="71"/>
      <c r="AJ841" s="71"/>
      <c r="AK841" s="71"/>
    </row>
    <row r="842" spans="1:37" ht="12.75" customHeight="1" x14ac:dyDescent="0.2">
      <c r="A842" s="71"/>
      <c r="B842" s="71"/>
      <c r="C842" s="71"/>
      <c r="D842" s="71"/>
      <c r="E842" s="71"/>
      <c r="F842" s="71"/>
      <c r="G842" s="71"/>
      <c r="H842" s="71"/>
      <c r="I842" s="71"/>
      <c r="J842" s="71"/>
      <c r="K842" s="71"/>
      <c r="L842" s="71"/>
      <c r="M842" s="71"/>
      <c r="N842" s="71"/>
      <c r="O842" s="71"/>
      <c r="P842" s="71"/>
      <c r="Q842" s="71"/>
      <c r="R842" s="71"/>
      <c r="S842" s="71"/>
      <c r="T842" s="105"/>
      <c r="U842" s="71"/>
      <c r="V842" s="71"/>
      <c r="W842" s="71"/>
      <c r="X842" s="71"/>
      <c r="Y842" s="71"/>
      <c r="Z842" s="71"/>
      <c r="AA842" s="71"/>
      <c r="AB842" s="71"/>
      <c r="AC842" s="71"/>
      <c r="AD842" s="71"/>
      <c r="AE842" s="71"/>
      <c r="AF842" s="71"/>
      <c r="AG842" s="71"/>
      <c r="AH842" s="71"/>
      <c r="AI842" s="71"/>
      <c r="AJ842" s="71"/>
      <c r="AK842" s="71"/>
    </row>
    <row r="843" spans="1:37" ht="12.75" customHeight="1" x14ac:dyDescent="0.2">
      <c r="A843" s="71"/>
      <c r="B843" s="71"/>
      <c r="C843" s="71"/>
      <c r="D843" s="71"/>
      <c r="E843" s="71"/>
      <c r="F843" s="71"/>
      <c r="G843" s="71"/>
      <c r="H843" s="71"/>
      <c r="I843" s="71"/>
      <c r="J843" s="71"/>
      <c r="K843" s="71"/>
      <c r="L843" s="71"/>
      <c r="M843" s="71"/>
      <c r="N843" s="71"/>
      <c r="O843" s="71"/>
      <c r="P843" s="71"/>
      <c r="Q843" s="71"/>
      <c r="R843" s="71"/>
      <c r="S843" s="71"/>
      <c r="T843" s="105"/>
      <c r="U843" s="71"/>
      <c r="V843" s="71"/>
      <c r="W843" s="71"/>
      <c r="X843" s="71"/>
      <c r="Y843" s="71"/>
      <c r="Z843" s="71"/>
      <c r="AA843" s="71"/>
      <c r="AB843" s="71"/>
      <c r="AC843" s="71"/>
      <c r="AD843" s="71"/>
      <c r="AE843" s="71"/>
      <c r="AF843" s="71"/>
      <c r="AG843" s="71"/>
      <c r="AH843" s="71"/>
      <c r="AI843" s="71"/>
      <c r="AJ843" s="71"/>
      <c r="AK843" s="71"/>
    </row>
    <row r="844" spans="1:37" ht="12.75" customHeight="1" x14ac:dyDescent="0.2">
      <c r="A844" s="71"/>
      <c r="B844" s="71"/>
      <c r="C844" s="71"/>
      <c r="D844" s="71"/>
      <c r="E844" s="71"/>
      <c r="F844" s="71"/>
      <c r="G844" s="71"/>
      <c r="H844" s="71"/>
      <c r="I844" s="71"/>
      <c r="J844" s="71"/>
      <c r="K844" s="71"/>
      <c r="L844" s="71"/>
      <c r="M844" s="71"/>
      <c r="N844" s="71"/>
      <c r="O844" s="71"/>
      <c r="P844" s="71"/>
      <c r="Q844" s="71"/>
      <c r="R844" s="71"/>
      <c r="S844" s="71"/>
      <c r="T844" s="105"/>
      <c r="U844" s="71"/>
      <c r="V844" s="71"/>
      <c r="W844" s="71"/>
      <c r="X844" s="71"/>
      <c r="Y844" s="71"/>
      <c r="Z844" s="71"/>
      <c r="AA844" s="71"/>
      <c r="AB844" s="71"/>
      <c r="AC844" s="71"/>
      <c r="AD844" s="71"/>
      <c r="AE844" s="71"/>
      <c r="AF844" s="71"/>
      <c r="AG844" s="71"/>
      <c r="AH844" s="71"/>
      <c r="AI844" s="71"/>
      <c r="AJ844" s="71"/>
      <c r="AK844" s="71"/>
    </row>
    <row r="845" spans="1:37" ht="12.75" customHeight="1" x14ac:dyDescent="0.2">
      <c r="A845" s="71"/>
      <c r="B845" s="71"/>
      <c r="C845" s="71"/>
      <c r="D845" s="71"/>
      <c r="E845" s="71"/>
      <c r="F845" s="71"/>
      <c r="G845" s="71"/>
      <c r="H845" s="71"/>
      <c r="I845" s="71"/>
      <c r="J845" s="71"/>
      <c r="K845" s="71"/>
      <c r="L845" s="71"/>
      <c r="M845" s="71"/>
      <c r="N845" s="71"/>
      <c r="O845" s="71"/>
      <c r="P845" s="71"/>
      <c r="Q845" s="71"/>
      <c r="R845" s="71"/>
      <c r="S845" s="71"/>
      <c r="T845" s="105"/>
      <c r="U845" s="71"/>
      <c r="V845" s="71"/>
      <c r="W845" s="71"/>
      <c r="X845" s="71"/>
      <c r="Y845" s="71"/>
      <c r="Z845" s="71"/>
      <c r="AA845" s="71"/>
      <c r="AB845" s="71"/>
      <c r="AC845" s="71"/>
      <c r="AD845" s="71"/>
      <c r="AE845" s="71"/>
      <c r="AF845" s="71"/>
      <c r="AG845" s="71"/>
      <c r="AH845" s="71"/>
      <c r="AI845" s="71"/>
      <c r="AJ845" s="71"/>
      <c r="AK845" s="71"/>
    </row>
    <row r="846" spans="1:37" ht="12.75" customHeight="1" x14ac:dyDescent="0.2">
      <c r="A846" s="71"/>
      <c r="B846" s="71"/>
      <c r="C846" s="71"/>
      <c r="D846" s="71"/>
      <c r="E846" s="71"/>
      <c r="F846" s="71"/>
      <c r="G846" s="71"/>
      <c r="H846" s="71"/>
      <c r="I846" s="71"/>
      <c r="J846" s="71"/>
      <c r="K846" s="71"/>
      <c r="L846" s="71"/>
      <c r="M846" s="71"/>
      <c r="N846" s="71"/>
      <c r="O846" s="71"/>
      <c r="P846" s="71"/>
      <c r="Q846" s="71"/>
      <c r="R846" s="71"/>
      <c r="S846" s="71"/>
      <c r="T846" s="105"/>
      <c r="U846" s="71"/>
      <c r="V846" s="71"/>
      <c r="W846" s="71"/>
      <c r="X846" s="71"/>
      <c r="Y846" s="71"/>
      <c r="Z846" s="71"/>
      <c r="AA846" s="71"/>
      <c r="AB846" s="71"/>
      <c r="AC846" s="71"/>
      <c r="AD846" s="71"/>
      <c r="AE846" s="71"/>
      <c r="AF846" s="71"/>
      <c r="AG846" s="71"/>
      <c r="AH846" s="71"/>
      <c r="AI846" s="71"/>
      <c r="AJ846" s="71"/>
      <c r="AK846" s="71"/>
    </row>
    <row r="847" spans="1:37" ht="12.75" customHeight="1" x14ac:dyDescent="0.2">
      <c r="A847" s="71"/>
      <c r="B847" s="71"/>
      <c r="C847" s="71"/>
      <c r="D847" s="71"/>
      <c r="E847" s="71"/>
      <c r="F847" s="71"/>
      <c r="G847" s="71"/>
      <c r="H847" s="71"/>
      <c r="I847" s="71"/>
      <c r="J847" s="71"/>
      <c r="K847" s="71"/>
      <c r="L847" s="71"/>
      <c r="M847" s="71"/>
      <c r="N847" s="71"/>
      <c r="O847" s="71"/>
      <c r="P847" s="71"/>
      <c r="Q847" s="71"/>
      <c r="R847" s="71"/>
      <c r="S847" s="71"/>
      <c r="T847" s="105"/>
      <c r="U847" s="71"/>
      <c r="V847" s="71"/>
      <c r="W847" s="71"/>
      <c r="X847" s="71"/>
      <c r="Y847" s="71"/>
      <c r="Z847" s="71"/>
      <c r="AA847" s="71"/>
      <c r="AB847" s="71"/>
      <c r="AC847" s="71"/>
      <c r="AD847" s="71"/>
      <c r="AE847" s="71"/>
      <c r="AF847" s="71"/>
      <c r="AG847" s="71"/>
      <c r="AH847" s="71"/>
      <c r="AI847" s="71"/>
      <c r="AJ847" s="71"/>
      <c r="AK847" s="71"/>
    </row>
    <row r="848" spans="1:37" ht="12.75" customHeight="1" x14ac:dyDescent="0.2">
      <c r="A848" s="71"/>
      <c r="B848" s="71"/>
      <c r="C848" s="71"/>
      <c r="D848" s="71"/>
      <c r="E848" s="71"/>
      <c r="F848" s="71"/>
      <c r="G848" s="71"/>
      <c r="H848" s="71"/>
      <c r="I848" s="71"/>
      <c r="J848" s="71"/>
      <c r="K848" s="71"/>
      <c r="L848" s="71"/>
      <c r="M848" s="71"/>
      <c r="N848" s="71"/>
      <c r="O848" s="71"/>
      <c r="P848" s="71"/>
      <c r="Q848" s="71"/>
      <c r="R848" s="71"/>
      <c r="S848" s="71"/>
      <c r="T848" s="105"/>
      <c r="U848" s="71"/>
      <c r="V848" s="71"/>
      <c r="W848" s="71"/>
      <c r="X848" s="71"/>
      <c r="Y848" s="71"/>
      <c r="Z848" s="71"/>
      <c r="AA848" s="71"/>
      <c r="AB848" s="71"/>
      <c r="AC848" s="71"/>
      <c r="AD848" s="71"/>
      <c r="AE848" s="71"/>
      <c r="AF848" s="71"/>
      <c r="AG848" s="71"/>
      <c r="AH848" s="71"/>
      <c r="AI848" s="71"/>
      <c r="AJ848" s="71"/>
      <c r="AK848" s="71"/>
    </row>
    <row r="849" spans="1:37" ht="12.75" customHeight="1" x14ac:dyDescent="0.2">
      <c r="A849" s="71"/>
      <c r="B849" s="71"/>
      <c r="C849" s="71"/>
      <c r="D849" s="71"/>
      <c r="E849" s="71"/>
      <c r="F849" s="71"/>
      <c r="G849" s="71"/>
      <c r="H849" s="71"/>
      <c r="I849" s="71"/>
      <c r="J849" s="71"/>
      <c r="K849" s="71"/>
      <c r="L849" s="71"/>
      <c r="M849" s="71"/>
      <c r="N849" s="71"/>
      <c r="O849" s="71"/>
      <c r="P849" s="71"/>
      <c r="Q849" s="71"/>
      <c r="R849" s="71"/>
      <c r="S849" s="71"/>
      <c r="T849" s="105"/>
      <c r="U849" s="71"/>
      <c r="V849" s="71"/>
      <c r="W849" s="71"/>
      <c r="X849" s="71"/>
      <c r="Y849" s="71"/>
      <c r="Z849" s="71"/>
      <c r="AA849" s="71"/>
      <c r="AB849" s="71"/>
      <c r="AC849" s="71"/>
      <c r="AD849" s="71"/>
      <c r="AE849" s="71"/>
      <c r="AF849" s="71"/>
      <c r="AG849" s="71"/>
      <c r="AH849" s="71"/>
      <c r="AI849" s="71"/>
      <c r="AJ849" s="71"/>
      <c r="AK849" s="71"/>
    </row>
    <row r="850" spans="1:37" ht="12.75" customHeight="1" x14ac:dyDescent="0.2">
      <c r="A850" s="71"/>
      <c r="B850" s="71"/>
      <c r="C850" s="71"/>
      <c r="D850" s="71"/>
      <c r="E850" s="71"/>
      <c r="F850" s="71"/>
      <c r="G850" s="71"/>
      <c r="H850" s="71"/>
      <c r="I850" s="71"/>
      <c r="J850" s="71"/>
      <c r="K850" s="71"/>
      <c r="L850" s="71"/>
      <c r="M850" s="71"/>
      <c r="N850" s="71"/>
      <c r="O850" s="71"/>
      <c r="P850" s="71"/>
      <c r="Q850" s="71"/>
      <c r="R850" s="71"/>
      <c r="S850" s="71"/>
      <c r="T850" s="105"/>
      <c r="U850" s="71"/>
      <c r="V850" s="71"/>
      <c r="W850" s="71"/>
      <c r="X850" s="71"/>
      <c r="Y850" s="71"/>
      <c r="Z850" s="71"/>
      <c r="AA850" s="71"/>
      <c r="AB850" s="71"/>
      <c r="AC850" s="71"/>
      <c r="AD850" s="71"/>
      <c r="AE850" s="71"/>
      <c r="AF850" s="71"/>
      <c r="AG850" s="71"/>
      <c r="AH850" s="71"/>
      <c r="AI850" s="71"/>
      <c r="AJ850" s="71"/>
      <c r="AK850" s="71"/>
    </row>
    <row r="851" spans="1:37" ht="12.75" customHeight="1" x14ac:dyDescent="0.2">
      <c r="A851" s="71"/>
      <c r="B851" s="71"/>
      <c r="C851" s="71"/>
      <c r="D851" s="71"/>
      <c r="E851" s="71"/>
      <c r="F851" s="71"/>
      <c r="G851" s="71"/>
      <c r="H851" s="71"/>
      <c r="I851" s="71"/>
      <c r="J851" s="71"/>
      <c r="K851" s="71"/>
      <c r="L851" s="71"/>
      <c r="M851" s="71"/>
      <c r="N851" s="71"/>
      <c r="O851" s="71"/>
      <c r="P851" s="71"/>
      <c r="Q851" s="71"/>
      <c r="R851" s="71"/>
      <c r="S851" s="71"/>
      <c r="T851" s="105"/>
      <c r="U851" s="71"/>
      <c r="V851" s="71"/>
      <c r="W851" s="71"/>
      <c r="X851" s="71"/>
      <c r="Y851" s="71"/>
      <c r="Z851" s="71"/>
      <c r="AA851" s="71"/>
      <c r="AB851" s="71"/>
      <c r="AC851" s="71"/>
      <c r="AD851" s="71"/>
      <c r="AE851" s="71"/>
      <c r="AF851" s="71"/>
      <c r="AG851" s="71"/>
      <c r="AH851" s="71"/>
      <c r="AI851" s="71"/>
      <c r="AJ851" s="71"/>
      <c r="AK851" s="71"/>
    </row>
    <row r="852" spans="1:37" ht="12.75" customHeight="1" x14ac:dyDescent="0.2">
      <c r="A852" s="71"/>
      <c r="B852" s="71"/>
      <c r="C852" s="71"/>
      <c r="D852" s="71"/>
      <c r="E852" s="71"/>
      <c r="F852" s="71"/>
      <c r="G852" s="71"/>
      <c r="H852" s="71"/>
      <c r="I852" s="71"/>
      <c r="J852" s="71"/>
      <c r="K852" s="71"/>
      <c r="L852" s="71"/>
      <c r="M852" s="71"/>
      <c r="N852" s="71"/>
      <c r="O852" s="71"/>
      <c r="P852" s="71"/>
      <c r="Q852" s="71"/>
      <c r="R852" s="71"/>
      <c r="S852" s="71"/>
      <c r="T852" s="105"/>
      <c r="U852" s="71"/>
      <c r="V852" s="71"/>
      <c r="W852" s="71"/>
      <c r="X852" s="71"/>
      <c r="Y852" s="71"/>
      <c r="Z852" s="71"/>
      <c r="AA852" s="71"/>
      <c r="AB852" s="71"/>
      <c r="AC852" s="71"/>
      <c r="AD852" s="71"/>
      <c r="AE852" s="71"/>
      <c r="AF852" s="71"/>
      <c r="AG852" s="71"/>
      <c r="AH852" s="71"/>
      <c r="AI852" s="71"/>
      <c r="AJ852" s="71"/>
      <c r="AK852" s="71"/>
    </row>
    <row r="853" spans="1:37" ht="12.75" customHeight="1" x14ac:dyDescent="0.2">
      <c r="A853" s="71"/>
      <c r="B853" s="71"/>
      <c r="C853" s="71"/>
      <c r="D853" s="71"/>
      <c r="E853" s="71"/>
      <c r="F853" s="71"/>
      <c r="G853" s="71"/>
      <c r="H853" s="71"/>
      <c r="I853" s="71"/>
      <c r="J853" s="71"/>
      <c r="K853" s="71"/>
      <c r="L853" s="71"/>
      <c r="M853" s="71"/>
      <c r="N853" s="71"/>
      <c r="O853" s="71"/>
      <c r="P853" s="71"/>
      <c r="Q853" s="71"/>
      <c r="R853" s="71"/>
      <c r="S853" s="71"/>
      <c r="T853" s="105"/>
      <c r="U853" s="71"/>
      <c r="V853" s="71"/>
      <c r="W853" s="71"/>
      <c r="X853" s="71"/>
      <c r="Y853" s="71"/>
      <c r="Z853" s="71"/>
      <c r="AA853" s="71"/>
      <c r="AB853" s="71"/>
      <c r="AC853" s="71"/>
      <c r="AD853" s="71"/>
      <c r="AE853" s="71"/>
      <c r="AF853" s="71"/>
      <c r="AG853" s="71"/>
      <c r="AH853" s="71"/>
      <c r="AI853" s="71"/>
      <c r="AJ853" s="71"/>
      <c r="AK853" s="71"/>
    </row>
    <row r="854" spans="1:37" ht="12.75" customHeight="1" x14ac:dyDescent="0.2">
      <c r="A854" s="71"/>
      <c r="B854" s="71"/>
      <c r="C854" s="71"/>
      <c r="D854" s="71"/>
      <c r="E854" s="71"/>
      <c r="F854" s="71"/>
      <c r="G854" s="71"/>
      <c r="H854" s="71"/>
      <c r="I854" s="71"/>
      <c r="J854" s="71"/>
      <c r="K854" s="71"/>
      <c r="L854" s="71"/>
      <c r="M854" s="71"/>
      <c r="N854" s="71"/>
      <c r="O854" s="71"/>
      <c r="P854" s="71"/>
      <c r="Q854" s="71"/>
      <c r="R854" s="71"/>
      <c r="S854" s="71"/>
      <c r="T854" s="105"/>
      <c r="U854" s="71"/>
      <c r="V854" s="71"/>
      <c r="W854" s="71"/>
      <c r="X854" s="71"/>
      <c r="Y854" s="71"/>
      <c r="Z854" s="71"/>
      <c r="AA854" s="71"/>
      <c r="AB854" s="71"/>
      <c r="AC854" s="71"/>
      <c r="AD854" s="71"/>
      <c r="AE854" s="71"/>
      <c r="AF854" s="71"/>
      <c r="AG854" s="71"/>
      <c r="AH854" s="71"/>
      <c r="AI854" s="71"/>
      <c r="AJ854" s="71"/>
      <c r="AK854" s="71"/>
    </row>
    <row r="855" spans="1:37" ht="12.75" customHeight="1" x14ac:dyDescent="0.2">
      <c r="A855" s="71"/>
      <c r="B855" s="71"/>
      <c r="C855" s="71"/>
      <c r="D855" s="71"/>
      <c r="E855" s="71"/>
      <c r="F855" s="71"/>
      <c r="G855" s="71"/>
      <c r="H855" s="71"/>
      <c r="I855" s="71"/>
      <c r="J855" s="71"/>
      <c r="K855" s="71"/>
      <c r="L855" s="71"/>
      <c r="M855" s="71"/>
      <c r="N855" s="71"/>
      <c r="O855" s="71"/>
      <c r="P855" s="71"/>
      <c r="Q855" s="71"/>
      <c r="R855" s="71"/>
      <c r="S855" s="71"/>
      <c r="T855" s="105"/>
      <c r="U855" s="71"/>
      <c r="V855" s="71"/>
      <c r="W855" s="71"/>
      <c r="X855" s="71"/>
      <c r="Y855" s="71"/>
      <c r="Z855" s="71"/>
      <c r="AA855" s="71"/>
      <c r="AB855" s="71"/>
      <c r="AC855" s="71"/>
      <c r="AD855" s="71"/>
      <c r="AE855" s="71"/>
      <c r="AF855" s="71"/>
      <c r="AG855" s="71"/>
      <c r="AH855" s="71"/>
      <c r="AI855" s="71"/>
      <c r="AJ855" s="71"/>
      <c r="AK855" s="71"/>
    </row>
    <row r="856" spans="1:37" ht="12.75" customHeight="1" x14ac:dyDescent="0.2">
      <c r="A856" s="71"/>
      <c r="B856" s="71"/>
      <c r="C856" s="71"/>
      <c r="D856" s="71"/>
      <c r="E856" s="71"/>
      <c r="F856" s="71"/>
      <c r="G856" s="71"/>
      <c r="H856" s="71"/>
      <c r="I856" s="71"/>
      <c r="J856" s="71"/>
      <c r="K856" s="71"/>
      <c r="L856" s="71"/>
      <c r="M856" s="71"/>
      <c r="N856" s="71"/>
      <c r="O856" s="71"/>
      <c r="P856" s="71"/>
      <c r="Q856" s="71"/>
      <c r="R856" s="71"/>
      <c r="S856" s="71"/>
      <c r="T856" s="105"/>
      <c r="U856" s="71"/>
      <c r="V856" s="71"/>
      <c r="W856" s="71"/>
      <c r="X856" s="71"/>
      <c r="Y856" s="71"/>
      <c r="Z856" s="71"/>
      <c r="AA856" s="71"/>
      <c r="AB856" s="71"/>
      <c r="AC856" s="71"/>
      <c r="AD856" s="71"/>
      <c r="AE856" s="71"/>
      <c r="AF856" s="71"/>
      <c r="AG856" s="71"/>
      <c r="AH856" s="71"/>
      <c r="AI856" s="71"/>
      <c r="AJ856" s="71"/>
      <c r="AK856" s="71"/>
    </row>
    <row r="857" spans="1:37" ht="12.75" customHeight="1" x14ac:dyDescent="0.2">
      <c r="A857" s="71"/>
      <c r="B857" s="71"/>
      <c r="C857" s="71"/>
      <c r="D857" s="71"/>
      <c r="E857" s="71"/>
      <c r="F857" s="71"/>
      <c r="G857" s="71"/>
      <c r="H857" s="71"/>
      <c r="I857" s="71"/>
      <c r="J857" s="71"/>
      <c r="K857" s="71"/>
      <c r="L857" s="71"/>
      <c r="M857" s="71"/>
      <c r="N857" s="71"/>
      <c r="O857" s="71"/>
      <c r="P857" s="71"/>
      <c r="Q857" s="71"/>
      <c r="R857" s="71"/>
      <c r="S857" s="71"/>
      <c r="T857" s="105"/>
      <c r="U857" s="71"/>
      <c r="V857" s="71"/>
      <c r="W857" s="71"/>
      <c r="X857" s="71"/>
      <c r="Y857" s="71"/>
      <c r="Z857" s="71"/>
      <c r="AA857" s="71"/>
      <c r="AB857" s="71"/>
      <c r="AC857" s="71"/>
      <c r="AD857" s="71"/>
      <c r="AE857" s="71"/>
      <c r="AF857" s="71"/>
      <c r="AG857" s="71"/>
      <c r="AH857" s="71"/>
      <c r="AI857" s="71"/>
      <c r="AJ857" s="71"/>
      <c r="AK857" s="71"/>
    </row>
    <row r="858" spans="1:37" ht="12.75" customHeight="1" x14ac:dyDescent="0.2">
      <c r="A858" s="71"/>
      <c r="B858" s="71"/>
      <c r="C858" s="71"/>
      <c r="D858" s="71"/>
      <c r="E858" s="71"/>
      <c r="F858" s="71"/>
      <c r="G858" s="71"/>
      <c r="H858" s="71"/>
      <c r="I858" s="71"/>
      <c r="J858" s="71"/>
      <c r="K858" s="71"/>
      <c r="L858" s="71"/>
      <c r="M858" s="71"/>
      <c r="N858" s="71"/>
      <c r="O858" s="71"/>
      <c r="P858" s="71"/>
      <c r="Q858" s="71"/>
      <c r="R858" s="71"/>
      <c r="S858" s="71"/>
      <c r="T858" s="105"/>
      <c r="U858" s="71"/>
      <c r="V858" s="71"/>
      <c r="W858" s="71"/>
      <c r="X858" s="71"/>
      <c r="Y858" s="71"/>
      <c r="Z858" s="71"/>
      <c r="AA858" s="71"/>
      <c r="AB858" s="71"/>
      <c r="AC858" s="71"/>
      <c r="AD858" s="71"/>
      <c r="AE858" s="71"/>
      <c r="AF858" s="71"/>
      <c r="AG858" s="71"/>
      <c r="AH858" s="71"/>
      <c r="AI858" s="71"/>
      <c r="AJ858" s="71"/>
      <c r="AK858" s="71"/>
    </row>
    <row r="859" spans="1:37" ht="12.75" customHeight="1" x14ac:dyDescent="0.2">
      <c r="A859" s="71"/>
      <c r="B859" s="71"/>
      <c r="C859" s="71"/>
      <c r="D859" s="71"/>
      <c r="E859" s="71"/>
      <c r="F859" s="71"/>
      <c r="G859" s="71"/>
      <c r="H859" s="71"/>
      <c r="I859" s="71"/>
      <c r="J859" s="71"/>
      <c r="K859" s="71"/>
      <c r="L859" s="71"/>
      <c r="M859" s="71"/>
      <c r="N859" s="71"/>
      <c r="O859" s="71"/>
      <c r="P859" s="71"/>
      <c r="Q859" s="71"/>
      <c r="R859" s="71"/>
      <c r="S859" s="71"/>
      <c r="T859" s="105"/>
      <c r="U859" s="71"/>
      <c r="V859" s="71"/>
      <c r="W859" s="71"/>
      <c r="X859" s="71"/>
      <c r="Y859" s="71"/>
      <c r="Z859" s="71"/>
      <c r="AA859" s="71"/>
      <c r="AB859" s="71"/>
      <c r="AC859" s="71"/>
      <c r="AD859" s="71"/>
      <c r="AE859" s="71"/>
      <c r="AF859" s="71"/>
      <c r="AG859" s="71"/>
      <c r="AH859" s="71"/>
      <c r="AI859" s="71"/>
      <c r="AJ859" s="71"/>
      <c r="AK859" s="71"/>
    </row>
    <row r="860" spans="1:37" ht="12.75" customHeight="1" x14ac:dyDescent="0.2">
      <c r="A860" s="71"/>
      <c r="B860" s="71"/>
      <c r="C860" s="71"/>
      <c r="D860" s="71"/>
      <c r="E860" s="71"/>
      <c r="F860" s="71"/>
      <c r="G860" s="71"/>
      <c r="H860" s="71"/>
      <c r="I860" s="71"/>
      <c r="J860" s="71"/>
      <c r="K860" s="71"/>
      <c r="L860" s="71"/>
      <c r="M860" s="71"/>
      <c r="N860" s="71"/>
      <c r="O860" s="71"/>
      <c r="P860" s="71"/>
      <c r="Q860" s="71"/>
      <c r="R860" s="71"/>
      <c r="S860" s="71"/>
      <c r="T860" s="105"/>
      <c r="U860" s="71"/>
      <c r="V860" s="71"/>
      <c r="W860" s="71"/>
      <c r="X860" s="71"/>
      <c r="Y860" s="71"/>
      <c r="Z860" s="71"/>
      <c r="AA860" s="71"/>
      <c r="AB860" s="71"/>
      <c r="AC860" s="71"/>
      <c r="AD860" s="71"/>
      <c r="AE860" s="71"/>
      <c r="AF860" s="71"/>
      <c r="AG860" s="71"/>
      <c r="AH860" s="71"/>
      <c r="AI860" s="71"/>
      <c r="AJ860" s="71"/>
      <c r="AK860" s="71"/>
    </row>
    <row r="861" spans="1:37" ht="12.75" customHeight="1" x14ac:dyDescent="0.2">
      <c r="A861" s="71"/>
      <c r="B861" s="71"/>
      <c r="C861" s="71"/>
      <c r="D861" s="71"/>
      <c r="E861" s="71"/>
      <c r="F861" s="71"/>
      <c r="G861" s="71"/>
      <c r="H861" s="71"/>
      <c r="I861" s="71"/>
      <c r="J861" s="71"/>
      <c r="K861" s="71"/>
      <c r="L861" s="71"/>
      <c r="M861" s="71"/>
      <c r="N861" s="71"/>
      <c r="O861" s="71"/>
      <c r="P861" s="71"/>
      <c r="Q861" s="71"/>
      <c r="R861" s="71"/>
      <c r="S861" s="71"/>
      <c r="T861" s="105"/>
      <c r="U861" s="71"/>
      <c r="V861" s="71"/>
      <c r="W861" s="71"/>
      <c r="X861" s="71"/>
      <c r="Y861" s="71"/>
      <c r="Z861" s="71"/>
      <c r="AA861" s="71"/>
      <c r="AB861" s="71"/>
      <c r="AC861" s="71"/>
      <c r="AD861" s="71"/>
      <c r="AE861" s="71"/>
      <c r="AF861" s="71"/>
      <c r="AG861" s="71"/>
      <c r="AH861" s="71"/>
      <c r="AI861" s="71"/>
      <c r="AJ861" s="71"/>
      <c r="AK861" s="71"/>
    </row>
    <row r="862" spans="1:37" ht="12.75" customHeight="1" x14ac:dyDescent="0.2">
      <c r="A862" s="71"/>
      <c r="B862" s="71"/>
      <c r="C862" s="71"/>
      <c r="D862" s="71"/>
      <c r="E862" s="71"/>
      <c r="F862" s="71"/>
      <c r="G862" s="71"/>
      <c r="H862" s="71"/>
      <c r="I862" s="71"/>
      <c r="J862" s="71"/>
      <c r="K862" s="71"/>
      <c r="L862" s="71"/>
      <c r="M862" s="71"/>
      <c r="N862" s="71"/>
      <c r="O862" s="71"/>
      <c r="P862" s="71"/>
      <c r="Q862" s="71"/>
      <c r="R862" s="71"/>
      <c r="S862" s="71"/>
      <c r="T862" s="105"/>
      <c r="U862" s="71"/>
      <c r="V862" s="71"/>
      <c r="W862" s="71"/>
      <c r="X862" s="71"/>
      <c r="Y862" s="71"/>
      <c r="Z862" s="71"/>
      <c r="AA862" s="71"/>
      <c r="AB862" s="71"/>
      <c r="AC862" s="71"/>
      <c r="AD862" s="71"/>
      <c r="AE862" s="71"/>
      <c r="AF862" s="71"/>
      <c r="AG862" s="71"/>
      <c r="AH862" s="71"/>
      <c r="AI862" s="71"/>
      <c r="AJ862" s="71"/>
      <c r="AK862" s="71"/>
    </row>
    <row r="863" spans="1:37" ht="12.75" customHeight="1" x14ac:dyDescent="0.2">
      <c r="A863" s="71"/>
      <c r="B863" s="71"/>
      <c r="C863" s="71"/>
      <c r="D863" s="71"/>
      <c r="E863" s="71"/>
      <c r="F863" s="71"/>
      <c r="G863" s="71"/>
      <c r="H863" s="71"/>
      <c r="I863" s="71"/>
      <c r="J863" s="71"/>
      <c r="K863" s="71"/>
      <c r="L863" s="71"/>
      <c r="M863" s="71"/>
      <c r="N863" s="71"/>
      <c r="O863" s="71"/>
      <c r="P863" s="71"/>
      <c r="Q863" s="71"/>
      <c r="R863" s="71"/>
      <c r="S863" s="71"/>
      <c r="T863" s="105"/>
      <c r="U863" s="71"/>
      <c r="V863" s="71"/>
      <c r="W863" s="71"/>
      <c r="X863" s="71"/>
      <c r="Y863" s="71"/>
      <c r="Z863" s="71"/>
      <c r="AA863" s="71"/>
      <c r="AB863" s="71"/>
      <c r="AC863" s="71"/>
      <c r="AD863" s="71"/>
      <c r="AE863" s="71"/>
      <c r="AF863" s="71"/>
      <c r="AG863" s="71"/>
      <c r="AH863" s="71"/>
      <c r="AI863" s="71"/>
      <c r="AJ863" s="71"/>
      <c r="AK863" s="71"/>
    </row>
    <row r="864" spans="1:37" ht="12.75" customHeight="1" x14ac:dyDescent="0.2">
      <c r="A864" s="71"/>
      <c r="B864" s="71"/>
      <c r="C864" s="71"/>
      <c r="D864" s="71"/>
      <c r="E864" s="71"/>
      <c r="F864" s="71"/>
      <c r="G864" s="71"/>
      <c r="H864" s="71"/>
      <c r="I864" s="71"/>
      <c r="J864" s="71"/>
      <c r="K864" s="71"/>
      <c r="L864" s="71"/>
      <c r="M864" s="71"/>
      <c r="N864" s="71"/>
      <c r="O864" s="71"/>
      <c r="P864" s="71"/>
      <c r="Q864" s="71"/>
      <c r="R864" s="71"/>
      <c r="S864" s="71"/>
      <c r="T864" s="105"/>
      <c r="U864" s="71"/>
      <c r="V864" s="71"/>
      <c r="W864" s="71"/>
      <c r="X864" s="71"/>
      <c r="Y864" s="71"/>
      <c r="Z864" s="71"/>
      <c r="AA864" s="71"/>
      <c r="AB864" s="71"/>
      <c r="AC864" s="71"/>
      <c r="AD864" s="71"/>
      <c r="AE864" s="71"/>
      <c r="AF864" s="71"/>
      <c r="AG864" s="71"/>
      <c r="AH864" s="71"/>
      <c r="AI864" s="71"/>
      <c r="AJ864" s="71"/>
      <c r="AK864" s="71"/>
    </row>
    <row r="865" spans="1:37" ht="12.75" customHeight="1" x14ac:dyDescent="0.2">
      <c r="A865" s="71"/>
      <c r="B865" s="71"/>
      <c r="C865" s="71"/>
      <c r="D865" s="71"/>
      <c r="E865" s="71"/>
      <c r="F865" s="71"/>
      <c r="G865" s="71"/>
      <c r="H865" s="71"/>
      <c r="I865" s="71"/>
      <c r="J865" s="71"/>
      <c r="K865" s="71"/>
      <c r="L865" s="71"/>
      <c r="M865" s="71"/>
      <c r="N865" s="71"/>
      <c r="O865" s="71"/>
      <c r="P865" s="71"/>
      <c r="Q865" s="71"/>
      <c r="R865" s="71"/>
      <c r="S865" s="71"/>
      <c r="T865" s="105"/>
      <c r="U865" s="71"/>
      <c r="V865" s="71"/>
      <c r="W865" s="71"/>
      <c r="X865" s="71"/>
      <c r="Y865" s="71"/>
      <c r="Z865" s="71"/>
      <c r="AA865" s="71"/>
      <c r="AB865" s="71"/>
      <c r="AC865" s="71"/>
      <c r="AD865" s="71"/>
      <c r="AE865" s="71"/>
      <c r="AF865" s="71"/>
      <c r="AG865" s="71"/>
      <c r="AH865" s="71"/>
      <c r="AI865" s="71"/>
      <c r="AJ865" s="71"/>
      <c r="AK865" s="71"/>
    </row>
    <row r="866" spans="1:37" ht="12.75" customHeight="1" x14ac:dyDescent="0.2">
      <c r="A866" s="71"/>
      <c r="B866" s="71"/>
      <c r="C866" s="71"/>
      <c r="D866" s="71"/>
      <c r="E866" s="71"/>
      <c r="F866" s="71"/>
      <c r="G866" s="71"/>
      <c r="H866" s="71"/>
      <c r="I866" s="71"/>
      <c r="J866" s="71"/>
      <c r="K866" s="71"/>
      <c r="L866" s="71"/>
      <c r="M866" s="71"/>
      <c r="N866" s="71"/>
      <c r="O866" s="71"/>
      <c r="P866" s="71"/>
      <c r="Q866" s="71"/>
      <c r="R866" s="71"/>
      <c r="S866" s="71"/>
      <c r="T866" s="105"/>
      <c r="U866" s="71"/>
      <c r="V866" s="71"/>
      <c r="W866" s="71"/>
      <c r="X866" s="71"/>
      <c r="Y866" s="71"/>
      <c r="Z866" s="71"/>
      <c r="AA866" s="71"/>
      <c r="AB866" s="71"/>
      <c r="AC866" s="71"/>
      <c r="AD866" s="71"/>
      <c r="AE866" s="71"/>
      <c r="AF866" s="71"/>
      <c r="AG866" s="71"/>
      <c r="AH866" s="71"/>
      <c r="AI866" s="71"/>
      <c r="AJ866" s="71"/>
      <c r="AK866" s="71"/>
    </row>
    <row r="867" spans="1:37" ht="12.75" customHeight="1" x14ac:dyDescent="0.2">
      <c r="A867" s="71"/>
      <c r="B867" s="71"/>
      <c r="C867" s="71"/>
      <c r="D867" s="71"/>
      <c r="E867" s="71"/>
      <c r="F867" s="71"/>
      <c r="G867" s="71"/>
      <c r="H867" s="71"/>
      <c r="I867" s="71"/>
      <c r="J867" s="71"/>
      <c r="K867" s="71"/>
      <c r="L867" s="71"/>
      <c r="M867" s="71"/>
      <c r="N867" s="71"/>
      <c r="O867" s="71"/>
      <c r="P867" s="71"/>
      <c r="Q867" s="71"/>
      <c r="R867" s="71"/>
      <c r="S867" s="71"/>
      <c r="T867" s="105"/>
      <c r="U867" s="71"/>
      <c r="V867" s="71"/>
      <c r="W867" s="71"/>
      <c r="X867" s="71"/>
      <c r="Y867" s="71"/>
      <c r="Z867" s="71"/>
      <c r="AA867" s="71"/>
      <c r="AB867" s="71"/>
      <c r="AC867" s="71"/>
      <c r="AD867" s="71"/>
      <c r="AE867" s="71"/>
      <c r="AF867" s="71"/>
      <c r="AG867" s="71"/>
      <c r="AH867" s="71"/>
      <c r="AI867" s="71"/>
      <c r="AJ867" s="71"/>
      <c r="AK867" s="71"/>
    </row>
    <row r="868" spans="1:37" ht="12.75" customHeight="1" x14ac:dyDescent="0.2">
      <c r="A868" s="71"/>
      <c r="B868" s="71"/>
      <c r="C868" s="71"/>
      <c r="D868" s="71"/>
      <c r="E868" s="71"/>
      <c r="F868" s="71"/>
      <c r="G868" s="71"/>
      <c r="H868" s="71"/>
      <c r="I868" s="71"/>
      <c r="J868" s="71"/>
      <c r="K868" s="71"/>
      <c r="L868" s="71"/>
      <c r="M868" s="71"/>
      <c r="N868" s="71"/>
      <c r="O868" s="71"/>
      <c r="P868" s="71"/>
      <c r="Q868" s="71"/>
      <c r="R868" s="71"/>
      <c r="S868" s="71"/>
      <c r="T868" s="105"/>
      <c r="U868" s="71"/>
      <c r="V868" s="71"/>
      <c r="W868" s="71"/>
      <c r="X868" s="71"/>
      <c r="Y868" s="71"/>
      <c r="Z868" s="71"/>
      <c r="AA868" s="71"/>
      <c r="AB868" s="71"/>
      <c r="AC868" s="71"/>
      <c r="AD868" s="71"/>
      <c r="AE868" s="71"/>
      <c r="AF868" s="71"/>
      <c r="AG868" s="71"/>
      <c r="AH868" s="71"/>
      <c r="AI868" s="71"/>
      <c r="AJ868" s="71"/>
      <c r="AK868" s="71"/>
    </row>
    <row r="869" spans="1:37" ht="12.75" customHeight="1" x14ac:dyDescent="0.2">
      <c r="A869" s="71"/>
      <c r="B869" s="71"/>
      <c r="C869" s="71"/>
      <c r="D869" s="71"/>
      <c r="E869" s="71"/>
      <c r="F869" s="71"/>
      <c r="G869" s="71"/>
      <c r="H869" s="71"/>
      <c r="I869" s="71"/>
      <c r="J869" s="71"/>
      <c r="K869" s="71"/>
      <c r="L869" s="71"/>
      <c r="M869" s="71"/>
      <c r="N869" s="71"/>
      <c r="O869" s="71"/>
      <c r="P869" s="71"/>
      <c r="Q869" s="71"/>
      <c r="R869" s="71"/>
      <c r="S869" s="71"/>
      <c r="T869" s="105"/>
      <c r="U869" s="71"/>
      <c r="V869" s="71"/>
      <c r="W869" s="71"/>
      <c r="X869" s="71"/>
      <c r="Y869" s="71"/>
      <c r="Z869" s="71"/>
      <c r="AA869" s="71"/>
      <c r="AB869" s="71"/>
      <c r="AC869" s="71"/>
      <c r="AD869" s="71"/>
      <c r="AE869" s="71"/>
      <c r="AF869" s="71"/>
      <c r="AG869" s="71"/>
      <c r="AH869" s="71"/>
      <c r="AI869" s="71"/>
      <c r="AJ869" s="71"/>
      <c r="AK869" s="71"/>
    </row>
    <row r="870" spans="1:37" ht="12.75" customHeight="1" x14ac:dyDescent="0.2">
      <c r="A870" s="71"/>
      <c r="B870" s="71"/>
      <c r="C870" s="71"/>
      <c r="D870" s="71"/>
      <c r="E870" s="71"/>
      <c r="F870" s="71"/>
      <c r="G870" s="71"/>
      <c r="H870" s="71"/>
      <c r="I870" s="71"/>
      <c r="J870" s="71"/>
      <c r="K870" s="71"/>
      <c r="L870" s="71"/>
      <c r="M870" s="71"/>
      <c r="N870" s="71"/>
      <c r="O870" s="71"/>
      <c r="P870" s="71"/>
      <c r="Q870" s="71"/>
      <c r="R870" s="71"/>
      <c r="S870" s="71"/>
      <c r="T870" s="105"/>
      <c r="U870" s="71"/>
      <c r="V870" s="71"/>
      <c r="W870" s="71"/>
      <c r="X870" s="71"/>
      <c r="Y870" s="71"/>
      <c r="Z870" s="71"/>
      <c r="AA870" s="71"/>
      <c r="AB870" s="71"/>
      <c r="AC870" s="71"/>
      <c r="AD870" s="71"/>
      <c r="AE870" s="71"/>
      <c r="AF870" s="71"/>
      <c r="AG870" s="71"/>
      <c r="AH870" s="71"/>
      <c r="AI870" s="71"/>
      <c r="AJ870" s="71"/>
      <c r="AK870" s="71"/>
    </row>
    <row r="871" spans="1:37" ht="12.75" customHeight="1" x14ac:dyDescent="0.2">
      <c r="A871" s="71"/>
      <c r="B871" s="71"/>
      <c r="C871" s="71"/>
      <c r="D871" s="71"/>
      <c r="E871" s="71"/>
      <c r="F871" s="71"/>
      <c r="G871" s="71"/>
      <c r="H871" s="71"/>
      <c r="I871" s="71"/>
      <c r="J871" s="71"/>
      <c r="K871" s="71"/>
      <c r="L871" s="71"/>
      <c r="M871" s="71"/>
      <c r="N871" s="71"/>
      <c r="O871" s="71"/>
      <c r="P871" s="71"/>
      <c r="Q871" s="71"/>
      <c r="R871" s="71"/>
      <c r="S871" s="71"/>
      <c r="T871" s="105"/>
      <c r="U871" s="71"/>
      <c r="V871" s="71"/>
      <c r="W871" s="71"/>
      <c r="X871" s="71"/>
      <c r="Y871" s="71"/>
      <c r="Z871" s="71"/>
      <c r="AA871" s="71"/>
      <c r="AB871" s="71"/>
      <c r="AC871" s="71"/>
      <c r="AD871" s="71"/>
      <c r="AE871" s="71"/>
      <c r="AF871" s="71"/>
      <c r="AG871" s="71"/>
      <c r="AH871" s="71"/>
      <c r="AI871" s="71"/>
      <c r="AJ871" s="71"/>
      <c r="AK871" s="71"/>
    </row>
    <row r="872" spans="1:37" ht="12.75" customHeight="1" x14ac:dyDescent="0.2">
      <c r="A872" s="71"/>
      <c r="B872" s="71"/>
      <c r="C872" s="71"/>
      <c r="D872" s="71"/>
      <c r="E872" s="71"/>
      <c r="F872" s="71"/>
      <c r="G872" s="71"/>
      <c r="H872" s="71"/>
      <c r="I872" s="71"/>
      <c r="J872" s="71"/>
      <c r="K872" s="71"/>
      <c r="L872" s="71"/>
      <c r="M872" s="71"/>
      <c r="N872" s="71"/>
      <c r="O872" s="71"/>
      <c r="P872" s="71"/>
      <c r="Q872" s="71"/>
      <c r="R872" s="71"/>
      <c r="S872" s="71"/>
      <c r="T872" s="105"/>
      <c r="U872" s="71"/>
      <c r="V872" s="71"/>
      <c r="W872" s="71"/>
      <c r="X872" s="71"/>
      <c r="Y872" s="71"/>
      <c r="Z872" s="71"/>
      <c r="AA872" s="71"/>
      <c r="AB872" s="71"/>
      <c r="AC872" s="71"/>
      <c r="AD872" s="71"/>
      <c r="AE872" s="71"/>
      <c r="AF872" s="71"/>
      <c r="AG872" s="71"/>
      <c r="AH872" s="71"/>
      <c r="AI872" s="71"/>
      <c r="AJ872" s="71"/>
      <c r="AK872" s="71"/>
    </row>
    <row r="873" spans="1:37" ht="12.75" customHeight="1" x14ac:dyDescent="0.2">
      <c r="A873" s="71"/>
      <c r="B873" s="71"/>
      <c r="C873" s="71"/>
      <c r="D873" s="71"/>
      <c r="E873" s="71"/>
      <c r="F873" s="71"/>
      <c r="G873" s="71"/>
      <c r="H873" s="71"/>
      <c r="I873" s="71"/>
      <c r="J873" s="71"/>
      <c r="K873" s="71"/>
      <c r="L873" s="71"/>
      <c r="M873" s="71"/>
      <c r="N873" s="71"/>
      <c r="O873" s="71"/>
      <c r="P873" s="71"/>
      <c r="Q873" s="71"/>
      <c r="R873" s="71"/>
      <c r="S873" s="71"/>
      <c r="T873" s="105"/>
      <c r="U873" s="71"/>
      <c r="V873" s="71"/>
      <c r="W873" s="71"/>
      <c r="X873" s="71"/>
      <c r="Y873" s="71"/>
      <c r="Z873" s="71"/>
      <c r="AA873" s="71"/>
      <c r="AB873" s="71"/>
      <c r="AC873" s="71"/>
      <c r="AD873" s="71"/>
      <c r="AE873" s="71"/>
      <c r="AF873" s="71"/>
      <c r="AG873" s="71"/>
      <c r="AH873" s="71"/>
      <c r="AI873" s="71"/>
      <c r="AJ873" s="71"/>
      <c r="AK873" s="71"/>
    </row>
    <row r="874" spans="1:37" ht="12.75" customHeight="1" x14ac:dyDescent="0.2">
      <c r="A874" s="71"/>
      <c r="B874" s="71"/>
      <c r="C874" s="71"/>
      <c r="D874" s="71"/>
      <c r="E874" s="71"/>
      <c r="F874" s="71"/>
      <c r="G874" s="71"/>
      <c r="H874" s="71"/>
      <c r="I874" s="71"/>
      <c r="J874" s="71"/>
      <c r="K874" s="71"/>
      <c r="L874" s="71"/>
      <c r="M874" s="71"/>
      <c r="N874" s="71"/>
      <c r="O874" s="71"/>
      <c r="P874" s="71"/>
      <c r="Q874" s="71"/>
      <c r="R874" s="71"/>
      <c r="S874" s="71"/>
      <c r="T874" s="105"/>
      <c r="U874" s="71"/>
      <c r="V874" s="71"/>
      <c r="W874" s="71"/>
      <c r="X874" s="71"/>
      <c r="Y874" s="71"/>
      <c r="Z874" s="71"/>
      <c r="AA874" s="71"/>
      <c r="AB874" s="71"/>
      <c r="AC874" s="71"/>
      <c r="AD874" s="71"/>
      <c r="AE874" s="71"/>
      <c r="AF874" s="71"/>
      <c r="AG874" s="71"/>
      <c r="AH874" s="71"/>
      <c r="AI874" s="71"/>
      <c r="AJ874" s="71"/>
      <c r="AK874" s="71"/>
    </row>
    <row r="875" spans="1:37" ht="12.75" customHeight="1" x14ac:dyDescent="0.2">
      <c r="A875" s="71"/>
      <c r="B875" s="71"/>
      <c r="C875" s="71"/>
      <c r="D875" s="71"/>
      <c r="E875" s="71"/>
      <c r="F875" s="71"/>
      <c r="G875" s="71"/>
      <c r="H875" s="71"/>
      <c r="I875" s="71"/>
      <c r="J875" s="71"/>
      <c r="K875" s="71"/>
      <c r="L875" s="71"/>
      <c r="M875" s="71"/>
      <c r="N875" s="71"/>
      <c r="O875" s="71"/>
      <c r="P875" s="71"/>
      <c r="Q875" s="71"/>
      <c r="R875" s="71"/>
      <c r="S875" s="71"/>
      <c r="T875" s="105"/>
      <c r="U875" s="71"/>
      <c r="V875" s="71"/>
      <c r="W875" s="71"/>
      <c r="X875" s="71"/>
      <c r="Y875" s="71"/>
      <c r="Z875" s="71"/>
      <c r="AA875" s="71"/>
      <c r="AB875" s="71"/>
      <c r="AC875" s="71"/>
      <c r="AD875" s="71"/>
      <c r="AE875" s="71"/>
      <c r="AF875" s="71"/>
      <c r="AG875" s="71"/>
      <c r="AH875" s="71"/>
      <c r="AI875" s="71"/>
      <c r="AJ875" s="71"/>
      <c r="AK875" s="71"/>
    </row>
    <row r="876" spans="1:37" ht="12.75" customHeight="1" x14ac:dyDescent="0.2">
      <c r="A876" s="71"/>
      <c r="B876" s="71"/>
      <c r="C876" s="71"/>
      <c r="D876" s="71"/>
      <c r="E876" s="71"/>
      <c r="F876" s="71"/>
      <c r="G876" s="71"/>
      <c r="H876" s="71"/>
      <c r="I876" s="71"/>
      <c r="J876" s="71"/>
      <c r="K876" s="71"/>
      <c r="L876" s="71"/>
      <c r="M876" s="71"/>
      <c r="N876" s="71"/>
      <c r="O876" s="71"/>
      <c r="P876" s="71"/>
      <c r="Q876" s="71"/>
      <c r="R876" s="71"/>
      <c r="S876" s="71"/>
      <c r="T876" s="105"/>
      <c r="U876" s="71"/>
      <c r="V876" s="71"/>
      <c r="W876" s="71"/>
      <c r="X876" s="71"/>
      <c r="Y876" s="71"/>
      <c r="Z876" s="71"/>
      <c r="AA876" s="71"/>
      <c r="AB876" s="71"/>
      <c r="AC876" s="71"/>
      <c r="AD876" s="71"/>
      <c r="AE876" s="71"/>
      <c r="AF876" s="71"/>
      <c r="AG876" s="71"/>
      <c r="AH876" s="71"/>
      <c r="AI876" s="71"/>
      <c r="AJ876" s="71"/>
      <c r="AK876" s="71"/>
    </row>
    <row r="877" spans="1:37" ht="12.75" customHeight="1" x14ac:dyDescent="0.2">
      <c r="A877" s="71"/>
      <c r="B877" s="71"/>
      <c r="C877" s="71"/>
      <c r="D877" s="71"/>
      <c r="E877" s="71"/>
      <c r="F877" s="71"/>
      <c r="G877" s="71"/>
      <c r="H877" s="71"/>
      <c r="I877" s="71"/>
      <c r="J877" s="71"/>
      <c r="K877" s="71"/>
      <c r="L877" s="71"/>
      <c r="M877" s="71"/>
      <c r="N877" s="71"/>
      <c r="O877" s="71"/>
      <c r="P877" s="71"/>
      <c r="Q877" s="71"/>
      <c r="R877" s="71"/>
      <c r="S877" s="71"/>
      <c r="T877" s="105"/>
      <c r="U877" s="71"/>
      <c r="V877" s="71"/>
      <c r="W877" s="71"/>
      <c r="X877" s="71"/>
      <c r="Y877" s="71"/>
      <c r="Z877" s="71"/>
      <c r="AA877" s="71"/>
      <c r="AB877" s="71"/>
      <c r="AC877" s="71"/>
      <c r="AD877" s="71"/>
      <c r="AE877" s="71"/>
      <c r="AF877" s="71"/>
      <c r="AG877" s="71"/>
      <c r="AH877" s="71"/>
      <c r="AI877" s="71"/>
      <c r="AJ877" s="71"/>
      <c r="AK877" s="71"/>
    </row>
    <row r="878" spans="1:37" ht="12.75" customHeight="1" x14ac:dyDescent="0.2">
      <c r="A878" s="71"/>
      <c r="B878" s="71"/>
      <c r="C878" s="71"/>
      <c r="D878" s="71"/>
      <c r="E878" s="71"/>
      <c r="F878" s="71"/>
      <c r="G878" s="71"/>
      <c r="H878" s="71"/>
      <c r="I878" s="71"/>
      <c r="J878" s="71"/>
      <c r="K878" s="71"/>
      <c r="L878" s="71"/>
      <c r="M878" s="71"/>
      <c r="N878" s="71"/>
      <c r="O878" s="71"/>
      <c r="P878" s="71"/>
      <c r="Q878" s="71"/>
      <c r="R878" s="71"/>
      <c r="S878" s="71"/>
      <c r="T878" s="105"/>
      <c r="U878" s="71"/>
      <c r="V878" s="71"/>
      <c r="W878" s="71"/>
      <c r="X878" s="71"/>
      <c r="Y878" s="71"/>
      <c r="Z878" s="71"/>
      <c r="AA878" s="71"/>
      <c r="AB878" s="71"/>
      <c r="AC878" s="71"/>
      <c r="AD878" s="71"/>
      <c r="AE878" s="71"/>
      <c r="AF878" s="71"/>
      <c r="AG878" s="71"/>
      <c r="AH878" s="71"/>
      <c r="AI878" s="71"/>
      <c r="AJ878" s="71"/>
      <c r="AK878" s="71"/>
    </row>
    <row r="879" spans="1:37" ht="12.75" customHeight="1" x14ac:dyDescent="0.2">
      <c r="A879" s="71"/>
      <c r="B879" s="71"/>
      <c r="C879" s="71"/>
      <c r="D879" s="71"/>
      <c r="E879" s="71"/>
      <c r="F879" s="71"/>
      <c r="G879" s="71"/>
      <c r="H879" s="71"/>
      <c r="I879" s="71"/>
      <c r="J879" s="71"/>
      <c r="K879" s="71"/>
      <c r="L879" s="71"/>
      <c r="M879" s="71"/>
      <c r="N879" s="71"/>
      <c r="O879" s="71"/>
      <c r="P879" s="71"/>
      <c r="Q879" s="71"/>
      <c r="R879" s="71"/>
      <c r="S879" s="71"/>
      <c r="T879" s="105"/>
      <c r="U879" s="71"/>
      <c r="V879" s="71"/>
      <c r="W879" s="71"/>
      <c r="X879" s="71"/>
      <c r="Y879" s="71"/>
      <c r="Z879" s="71"/>
      <c r="AA879" s="71"/>
      <c r="AB879" s="71"/>
      <c r="AC879" s="71"/>
      <c r="AD879" s="71"/>
      <c r="AE879" s="71"/>
      <c r="AF879" s="71"/>
      <c r="AG879" s="71"/>
      <c r="AH879" s="71"/>
      <c r="AI879" s="71"/>
      <c r="AJ879" s="71"/>
      <c r="AK879" s="71"/>
    </row>
    <row r="880" spans="1:37" ht="12.75" customHeight="1" x14ac:dyDescent="0.2">
      <c r="A880" s="71"/>
      <c r="B880" s="71"/>
      <c r="C880" s="71"/>
      <c r="D880" s="71"/>
      <c r="E880" s="71"/>
      <c r="F880" s="71"/>
      <c r="G880" s="71"/>
      <c r="H880" s="71"/>
      <c r="I880" s="71"/>
      <c r="J880" s="71"/>
      <c r="K880" s="71"/>
      <c r="L880" s="71"/>
      <c r="M880" s="71"/>
      <c r="N880" s="71"/>
      <c r="O880" s="71"/>
      <c r="P880" s="71"/>
      <c r="Q880" s="71"/>
      <c r="R880" s="71"/>
      <c r="S880" s="71"/>
      <c r="T880" s="105"/>
      <c r="U880" s="71"/>
      <c r="V880" s="71"/>
      <c r="W880" s="71"/>
      <c r="X880" s="71"/>
      <c r="Y880" s="71"/>
      <c r="Z880" s="71"/>
      <c r="AA880" s="71"/>
      <c r="AB880" s="71"/>
      <c r="AC880" s="71"/>
      <c r="AD880" s="71"/>
      <c r="AE880" s="71"/>
      <c r="AF880" s="71"/>
      <c r="AG880" s="71"/>
      <c r="AH880" s="71"/>
      <c r="AI880" s="71"/>
      <c r="AJ880" s="71"/>
      <c r="AK880" s="71"/>
    </row>
    <row r="881" spans="1:37" ht="12.75" customHeight="1" x14ac:dyDescent="0.2">
      <c r="A881" s="71"/>
      <c r="B881" s="71"/>
      <c r="C881" s="71"/>
      <c r="D881" s="71"/>
      <c r="E881" s="71"/>
      <c r="F881" s="71"/>
      <c r="G881" s="71"/>
      <c r="H881" s="71"/>
      <c r="I881" s="71"/>
      <c r="J881" s="71"/>
      <c r="K881" s="71"/>
      <c r="L881" s="71"/>
      <c r="M881" s="71"/>
      <c r="N881" s="71"/>
      <c r="O881" s="71"/>
      <c r="P881" s="71"/>
      <c r="Q881" s="71"/>
      <c r="R881" s="71"/>
      <c r="S881" s="71"/>
      <c r="T881" s="105"/>
      <c r="U881" s="71"/>
      <c r="V881" s="71"/>
      <c r="W881" s="71"/>
      <c r="X881" s="71"/>
      <c r="Y881" s="71"/>
      <c r="Z881" s="71"/>
      <c r="AA881" s="71"/>
      <c r="AB881" s="71"/>
      <c r="AC881" s="71"/>
      <c r="AD881" s="71"/>
      <c r="AE881" s="71"/>
      <c r="AF881" s="71"/>
      <c r="AG881" s="71"/>
      <c r="AH881" s="71"/>
      <c r="AI881" s="71"/>
      <c r="AJ881" s="71"/>
      <c r="AK881" s="71"/>
    </row>
    <row r="882" spans="1:37" ht="12.75" customHeight="1" x14ac:dyDescent="0.2">
      <c r="A882" s="71"/>
      <c r="B882" s="71"/>
      <c r="C882" s="71"/>
      <c r="D882" s="71"/>
      <c r="E882" s="71"/>
      <c r="F882" s="71"/>
      <c r="G882" s="71"/>
      <c r="H882" s="71"/>
      <c r="I882" s="71"/>
      <c r="J882" s="71"/>
      <c r="K882" s="71"/>
      <c r="L882" s="71"/>
      <c r="M882" s="71"/>
      <c r="N882" s="71"/>
      <c r="O882" s="71"/>
      <c r="P882" s="71"/>
      <c r="Q882" s="71"/>
      <c r="R882" s="71"/>
      <c r="S882" s="71"/>
      <c r="T882" s="105"/>
      <c r="U882" s="71"/>
      <c r="V882" s="71"/>
      <c r="W882" s="71"/>
      <c r="X882" s="71"/>
      <c r="Y882" s="71"/>
      <c r="Z882" s="71"/>
      <c r="AA882" s="71"/>
      <c r="AB882" s="71"/>
      <c r="AC882" s="71"/>
      <c r="AD882" s="71"/>
      <c r="AE882" s="71"/>
      <c r="AF882" s="71"/>
      <c r="AG882" s="71"/>
      <c r="AH882" s="71"/>
      <c r="AI882" s="71"/>
      <c r="AJ882" s="71"/>
      <c r="AK882" s="71"/>
    </row>
    <row r="883" spans="1:37" ht="12.75" customHeight="1" x14ac:dyDescent="0.2">
      <c r="A883" s="71"/>
      <c r="B883" s="71"/>
      <c r="C883" s="71"/>
      <c r="D883" s="71"/>
      <c r="E883" s="71"/>
      <c r="F883" s="71"/>
      <c r="G883" s="71"/>
      <c r="H883" s="71"/>
      <c r="I883" s="71"/>
      <c r="J883" s="71"/>
      <c r="K883" s="71"/>
      <c r="L883" s="71"/>
      <c r="M883" s="71"/>
      <c r="N883" s="71"/>
      <c r="O883" s="71"/>
      <c r="P883" s="71"/>
      <c r="Q883" s="71"/>
      <c r="R883" s="71"/>
      <c r="S883" s="71"/>
      <c r="T883" s="105"/>
      <c r="U883" s="71"/>
      <c r="V883" s="71"/>
      <c r="W883" s="71"/>
      <c r="X883" s="71"/>
      <c r="Y883" s="71"/>
      <c r="Z883" s="71"/>
      <c r="AA883" s="71"/>
      <c r="AB883" s="71"/>
      <c r="AC883" s="71"/>
      <c r="AD883" s="71"/>
      <c r="AE883" s="71"/>
      <c r="AF883" s="71"/>
      <c r="AG883" s="71"/>
      <c r="AH883" s="71"/>
      <c r="AI883" s="71"/>
      <c r="AJ883" s="71"/>
      <c r="AK883" s="71"/>
    </row>
    <row r="884" spans="1:37" ht="12.75" customHeight="1" x14ac:dyDescent="0.2">
      <c r="A884" s="71"/>
      <c r="B884" s="71"/>
      <c r="C884" s="71"/>
      <c r="D884" s="71"/>
      <c r="E884" s="71"/>
      <c r="F884" s="71"/>
      <c r="G884" s="71"/>
      <c r="H884" s="71"/>
      <c r="I884" s="71"/>
      <c r="J884" s="71"/>
      <c r="K884" s="71"/>
      <c r="L884" s="71"/>
      <c r="M884" s="71"/>
      <c r="N884" s="71"/>
      <c r="O884" s="71"/>
      <c r="P884" s="71"/>
      <c r="Q884" s="71"/>
      <c r="R884" s="71"/>
      <c r="S884" s="71"/>
      <c r="T884" s="105"/>
      <c r="U884" s="71"/>
      <c r="V884" s="71"/>
      <c r="W884" s="71"/>
      <c r="X884" s="71"/>
      <c r="Y884" s="71"/>
      <c r="Z884" s="71"/>
      <c r="AA884" s="71"/>
      <c r="AB884" s="71"/>
      <c r="AC884" s="71"/>
      <c r="AD884" s="71"/>
      <c r="AE884" s="71"/>
      <c r="AF884" s="71"/>
      <c r="AG884" s="71"/>
      <c r="AH884" s="71"/>
      <c r="AI884" s="71"/>
      <c r="AJ884" s="71"/>
      <c r="AK884" s="71"/>
    </row>
    <row r="885" spans="1:37" ht="12.75" customHeight="1" x14ac:dyDescent="0.2">
      <c r="A885" s="71"/>
      <c r="B885" s="71"/>
      <c r="C885" s="71"/>
      <c r="D885" s="71"/>
      <c r="E885" s="71"/>
      <c r="F885" s="71"/>
      <c r="G885" s="71"/>
      <c r="H885" s="71"/>
      <c r="I885" s="71"/>
      <c r="J885" s="71"/>
      <c r="K885" s="71"/>
      <c r="L885" s="71"/>
      <c r="M885" s="71"/>
      <c r="N885" s="71"/>
      <c r="O885" s="71"/>
      <c r="P885" s="71"/>
      <c r="Q885" s="71"/>
      <c r="R885" s="71"/>
      <c r="S885" s="71"/>
      <c r="T885" s="105"/>
      <c r="U885" s="71"/>
      <c r="V885" s="71"/>
      <c r="W885" s="71"/>
      <c r="X885" s="71"/>
      <c r="Y885" s="71"/>
      <c r="Z885" s="71"/>
      <c r="AA885" s="71"/>
      <c r="AB885" s="71"/>
      <c r="AC885" s="71"/>
      <c r="AD885" s="71"/>
      <c r="AE885" s="71"/>
      <c r="AF885" s="71"/>
      <c r="AG885" s="71"/>
      <c r="AH885" s="71"/>
      <c r="AI885" s="71"/>
      <c r="AJ885" s="71"/>
      <c r="AK885" s="71"/>
    </row>
    <row r="886" spans="1:37" ht="12.75" customHeight="1" x14ac:dyDescent="0.2">
      <c r="A886" s="71"/>
      <c r="B886" s="71"/>
      <c r="C886" s="71"/>
      <c r="D886" s="71"/>
      <c r="E886" s="71"/>
      <c r="F886" s="71"/>
      <c r="G886" s="71"/>
      <c r="H886" s="71"/>
      <c r="I886" s="71"/>
      <c r="J886" s="71"/>
      <c r="K886" s="71"/>
      <c r="L886" s="71"/>
      <c r="M886" s="71"/>
      <c r="N886" s="71"/>
      <c r="O886" s="71"/>
      <c r="P886" s="71"/>
      <c r="Q886" s="71"/>
      <c r="R886" s="71"/>
      <c r="S886" s="71"/>
      <c r="T886" s="105"/>
      <c r="U886" s="71"/>
      <c r="V886" s="71"/>
      <c r="W886" s="71"/>
      <c r="X886" s="71"/>
      <c r="Y886" s="71"/>
      <c r="Z886" s="71"/>
      <c r="AA886" s="71"/>
      <c r="AB886" s="71"/>
      <c r="AC886" s="71"/>
      <c r="AD886" s="71"/>
      <c r="AE886" s="71"/>
      <c r="AF886" s="71"/>
      <c r="AG886" s="71"/>
      <c r="AH886" s="71"/>
      <c r="AI886" s="71"/>
      <c r="AJ886" s="71"/>
      <c r="AK886" s="71"/>
    </row>
    <row r="887" spans="1:37" ht="12.75" customHeight="1" x14ac:dyDescent="0.2">
      <c r="A887" s="71"/>
      <c r="B887" s="71"/>
      <c r="C887" s="71"/>
      <c r="D887" s="71"/>
      <c r="E887" s="71"/>
      <c r="F887" s="71"/>
      <c r="G887" s="71"/>
      <c r="H887" s="71"/>
      <c r="I887" s="71"/>
      <c r="J887" s="71"/>
      <c r="K887" s="71"/>
      <c r="L887" s="71"/>
      <c r="M887" s="71"/>
      <c r="N887" s="71"/>
      <c r="O887" s="71"/>
      <c r="P887" s="71"/>
      <c r="Q887" s="71"/>
      <c r="R887" s="71"/>
      <c r="S887" s="71"/>
      <c r="T887" s="105"/>
      <c r="U887" s="71"/>
      <c r="V887" s="71"/>
      <c r="W887" s="71"/>
      <c r="X887" s="71"/>
      <c r="Y887" s="71"/>
      <c r="Z887" s="71"/>
      <c r="AA887" s="71"/>
      <c r="AB887" s="71"/>
      <c r="AC887" s="71"/>
      <c r="AD887" s="71"/>
      <c r="AE887" s="71"/>
      <c r="AF887" s="71"/>
      <c r="AG887" s="71"/>
      <c r="AH887" s="71"/>
      <c r="AI887" s="71"/>
      <c r="AJ887" s="71"/>
      <c r="AK887" s="71"/>
    </row>
    <row r="888" spans="1:37" ht="12.75" customHeight="1" x14ac:dyDescent="0.2">
      <c r="A888" s="71"/>
      <c r="B888" s="71"/>
      <c r="C888" s="71"/>
      <c r="D888" s="71"/>
      <c r="E888" s="71"/>
      <c r="F888" s="71"/>
      <c r="G888" s="71"/>
      <c r="H888" s="71"/>
      <c r="I888" s="71"/>
      <c r="J888" s="71"/>
      <c r="K888" s="71"/>
      <c r="L888" s="71"/>
      <c r="M888" s="71"/>
      <c r="N888" s="71"/>
      <c r="O888" s="71"/>
      <c r="P888" s="71"/>
      <c r="Q888" s="71"/>
      <c r="R888" s="71"/>
      <c r="S888" s="71"/>
      <c r="T888" s="105"/>
      <c r="U888" s="71"/>
      <c r="V888" s="71"/>
      <c r="W888" s="71"/>
      <c r="X888" s="71"/>
      <c r="Y888" s="71"/>
      <c r="Z888" s="71"/>
      <c r="AA888" s="71"/>
      <c r="AB888" s="71"/>
      <c r="AC888" s="71"/>
      <c r="AD888" s="71"/>
      <c r="AE888" s="71"/>
      <c r="AF888" s="71"/>
      <c r="AG888" s="71"/>
      <c r="AH888" s="71"/>
      <c r="AI888" s="71"/>
      <c r="AJ888" s="71"/>
      <c r="AK888" s="71"/>
    </row>
    <row r="889" spans="1:37" ht="12.75" customHeight="1" x14ac:dyDescent="0.2">
      <c r="A889" s="71"/>
      <c r="B889" s="71"/>
      <c r="C889" s="71"/>
      <c r="D889" s="71"/>
      <c r="E889" s="71"/>
      <c r="F889" s="71"/>
      <c r="G889" s="71"/>
      <c r="H889" s="71"/>
      <c r="I889" s="71"/>
      <c r="J889" s="71"/>
      <c r="K889" s="71"/>
      <c r="L889" s="71"/>
      <c r="M889" s="71"/>
      <c r="N889" s="71"/>
      <c r="O889" s="71"/>
      <c r="P889" s="71"/>
      <c r="Q889" s="71"/>
      <c r="R889" s="71"/>
      <c r="S889" s="71"/>
      <c r="T889" s="105"/>
      <c r="U889" s="71"/>
      <c r="V889" s="71"/>
      <c r="W889" s="71"/>
      <c r="X889" s="71"/>
      <c r="Y889" s="71"/>
      <c r="Z889" s="71"/>
      <c r="AA889" s="71"/>
      <c r="AB889" s="71"/>
      <c r="AC889" s="71"/>
      <c r="AD889" s="71"/>
      <c r="AE889" s="71"/>
      <c r="AF889" s="71"/>
      <c r="AG889" s="71"/>
      <c r="AH889" s="71"/>
      <c r="AI889" s="71"/>
      <c r="AJ889" s="71"/>
      <c r="AK889" s="71"/>
    </row>
    <row r="890" spans="1:37" ht="12.75" customHeight="1" x14ac:dyDescent="0.2">
      <c r="A890" s="71"/>
      <c r="B890" s="71"/>
      <c r="C890" s="71"/>
      <c r="D890" s="71"/>
      <c r="E890" s="71"/>
      <c r="F890" s="71"/>
      <c r="G890" s="71"/>
      <c r="H890" s="71"/>
      <c r="I890" s="71"/>
      <c r="J890" s="71"/>
      <c r="K890" s="71"/>
      <c r="L890" s="71"/>
      <c r="M890" s="71"/>
      <c r="N890" s="71"/>
      <c r="O890" s="71"/>
      <c r="P890" s="71"/>
      <c r="Q890" s="71"/>
      <c r="R890" s="71"/>
      <c r="S890" s="71"/>
      <c r="T890" s="105"/>
      <c r="U890" s="71"/>
      <c r="V890" s="71"/>
      <c r="W890" s="71"/>
      <c r="X890" s="71"/>
      <c r="Y890" s="71"/>
      <c r="Z890" s="71"/>
      <c r="AA890" s="71"/>
      <c r="AB890" s="71"/>
      <c r="AC890" s="71"/>
      <c r="AD890" s="71"/>
      <c r="AE890" s="71"/>
      <c r="AF890" s="71"/>
      <c r="AG890" s="71"/>
      <c r="AH890" s="71"/>
      <c r="AI890" s="71"/>
      <c r="AJ890" s="71"/>
      <c r="AK890" s="71"/>
    </row>
    <row r="891" spans="1:37" ht="12.75" customHeight="1" x14ac:dyDescent="0.2">
      <c r="A891" s="71"/>
      <c r="B891" s="71"/>
      <c r="C891" s="71"/>
      <c r="D891" s="71"/>
      <c r="E891" s="71"/>
      <c r="F891" s="71"/>
      <c r="G891" s="71"/>
      <c r="H891" s="71"/>
      <c r="I891" s="71"/>
      <c r="J891" s="71"/>
      <c r="K891" s="71"/>
      <c r="L891" s="71"/>
      <c r="M891" s="71"/>
      <c r="N891" s="71"/>
      <c r="O891" s="71"/>
      <c r="P891" s="71"/>
      <c r="Q891" s="71"/>
      <c r="R891" s="71"/>
      <c r="S891" s="71"/>
      <c r="T891" s="105"/>
      <c r="U891" s="71"/>
      <c r="V891" s="71"/>
      <c r="W891" s="71"/>
      <c r="X891" s="71"/>
      <c r="Y891" s="71"/>
      <c r="Z891" s="71"/>
      <c r="AA891" s="71"/>
      <c r="AB891" s="71"/>
      <c r="AC891" s="71"/>
      <c r="AD891" s="71"/>
      <c r="AE891" s="71"/>
      <c r="AF891" s="71"/>
      <c r="AG891" s="71"/>
      <c r="AH891" s="71"/>
      <c r="AI891" s="71"/>
      <c r="AJ891" s="71"/>
      <c r="AK891" s="71"/>
    </row>
    <row r="892" spans="1:37" ht="12.75" customHeight="1" x14ac:dyDescent="0.2">
      <c r="A892" s="71"/>
      <c r="B892" s="71"/>
      <c r="C892" s="71"/>
      <c r="D892" s="71"/>
      <c r="E892" s="71"/>
      <c r="F892" s="71"/>
      <c r="G892" s="71"/>
      <c r="H892" s="71"/>
      <c r="I892" s="71"/>
      <c r="J892" s="71"/>
      <c r="K892" s="71"/>
      <c r="L892" s="71"/>
      <c r="M892" s="71"/>
      <c r="N892" s="71"/>
      <c r="O892" s="71"/>
      <c r="P892" s="71"/>
      <c r="Q892" s="71"/>
      <c r="R892" s="71"/>
      <c r="S892" s="71"/>
      <c r="T892" s="105"/>
      <c r="U892" s="71"/>
      <c r="V892" s="71"/>
      <c r="W892" s="71"/>
      <c r="X892" s="71"/>
      <c r="Y892" s="71"/>
      <c r="Z892" s="71"/>
      <c r="AA892" s="71"/>
      <c r="AB892" s="71"/>
      <c r="AC892" s="71"/>
      <c r="AD892" s="71"/>
      <c r="AE892" s="71"/>
      <c r="AF892" s="71"/>
      <c r="AG892" s="71"/>
      <c r="AH892" s="71"/>
      <c r="AI892" s="71"/>
      <c r="AJ892" s="71"/>
      <c r="AK892" s="71"/>
    </row>
    <row r="893" spans="1:37" ht="12.75" customHeight="1" x14ac:dyDescent="0.2">
      <c r="A893" s="71"/>
      <c r="B893" s="71"/>
      <c r="C893" s="71"/>
      <c r="D893" s="71"/>
      <c r="E893" s="71"/>
      <c r="F893" s="71"/>
      <c r="G893" s="71"/>
      <c r="H893" s="71"/>
      <c r="I893" s="71"/>
      <c r="J893" s="71"/>
      <c r="K893" s="71"/>
      <c r="L893" s="71"/>
      <c r="M893" s="71"/>
      <c r="N893" s="71"/>
      <c r="O893" s="71"/>
      <c r="P893" s="71"/>
      <c r="Q893" s="71"/>
      <c r="R893" s="71"/>
      <c r="S893" s="71"/>
      <c r="T893" s="105"/>
      <c r="U893" s="71"/>
      <c r="V893" s="71"/>
      <c r="W893" s="71"/>
      <c r="X893" s="71"/>
      <c r="Y893" s="71"/>
      <c r="Z893" s="71"/>
      <c r="AA893" s="71"/>
      <c r="AB893" s="71"/>
      <c r="AC893" s="71"/>
      <c r="AD893" s="71"/>
      <c r="AE893" s="71"/>
      <c r="AF893" s="71"/>
      <c r="AG893" s="71"/>
      <c r="AH893" s="71"/>
      <c r="AI893" s="71"/>
      <c r="AJ893" s="71"/>
      <c r="AK893" s="71"/>
    </row>
    <row r="894" spans="1:37" ht="12.75" customHeight="1" x14ac:dyDescent="0.2">
      <c r="A894" s="71"/>
      <c r="B894" s="71"/>
      <c r="C894" s="71"/>
      <c r="D894" s="71"/>
      <c r="E894" s="71"/>
      <c r="F894" s="71"/>
      <c r="G894" s="71"/>
      <c r="H894" s="71"/>
      <c r="I894" s="71"/>
      <c r="J894" s="71"/>
      <c r="K894" s="71"/>
      <c r="L894" s="71"/>
      <c r="M894" s="71"/>
      <c r="N894" s="71"/>
      <c r="O894" s="71"/>
      <c r="P894" s="71"/>
      <c r="Q894" s="71"/>
      <c r="R894" s="71"/>
      <c r="S894" s="71"/>
      <c r="T894" s="105"/>
      <c r="U894" s="71"/>
      <c r="V894" s="71"/>
      <c r="W894" s="71"/>
      <c r="X894" s="71"/>
      <c r="Y894" s="71"/>
      <c r="Z894" s="71"/>
      <c r="AA894" s="71"/>
      <c r="AB894" s="71"/>
      <c r="AC894" s="71"/>
      <c r="AD894" s="71"/>
      <c r="AE894" s="71"/>
      <c r="AF894" s="71"/>
      <c r="AG894" s="71"/>
      <c r="AH894" s="71"/>
      <c r="AI894" s="71"/>
      <c r="AJ894" s="71"/>
      <c r="AK894" s="71"/>
    </row>
    <row r="895" spans="1:37" ht="12.75" customHeight="1" x14ac:dyDescent="0.2">
      <c r="A895" s="71"/>
      <c r="B895" s="71"/>
      <c r="C895" s="71"/>
      <c r="D895" s="71"/>
      <c r="E895" s="71"/>
      <c r="F895" s="71"/>
      <c r="G895" s="71"/>
      <c r="H895" s="71"/>
      <c r="I895" s="71"/>
      <c r="J895" s="71"/>
      <c r="K895" s="71"/>
      <c r="L895" s="71"/>
      <c r="M895" s="71"/>
      <c r="N895" s="71"/>
      <c r="O895" s="71"/>
      <c r="P895" s="71"/>
      <c r="Q895" s="71"/>
      <c r="R895" s="71"/>
      <c r="S895" s="71"/>
      <c r="T895" s="105"/>
      <c r="U895" s="71"/>
      <c r="V895" s="71"/>
      <c r="W895" s="71"/>
      <c r="X895" s="71"/>
      <c r="Y895" s="71"/>
      <c r="Z895" s="71"/>
      <c r="AA895" s="71"/>
      <c r="AB895" s="71"/>
      <c r="AC895" s="71"/>
      <c r="AD895" s="71"/>
      <c r="AE895" s="71"/>
      <c r="AF895" s="71"/>
      <c r="AG895" s="71"/>
      <c r="AH895" s="71"/>
      <c r="AI895" s="71"/>
      <c r="AJ895" s="71"/>
      <c r="AK895" s="71"/>
    </row>
    <row r="896" spans="1:37" ht="12.75" customHeight="1" x14ac:dyDescent="0.2">
      <c r="A896" s="71"/>
      <c r="B896" s="71"/>
      <c r="C896" s="71"/>
      <c r="D896" s="71"/>
      <c r="E896" s="71"/>
      <c r="F896" s="71"/>
      <c r="G896" s="71"/>
      <c r="H896" s="71"/>
      <c r="I896" s="71"/>
      <c r="J896" s="71"/>
      <c r="K896" s="71"/>
      <c r="L896" s="71"/>
      <c r="M896" s="71"/>
      <c r="N896" s="71"/>
      <c r="O896" s="71"/>
      <c r="P896" s="71"/>
      <c r="Q896" s="71"/>
      <c r="R896" s="71"/>
      <c r="S896" s="71"/>
      <c r="T896" s="105"/>
      <c r="U896" s="71"/>
      <c r="V896" s="71"/>
      <c r="W896" s="71"/>
      <c r="X896" s="71"/>
      <c r="Y896" s="71"/>
      <c r="Z896" s="71"/>
      <c r="AA896" s="71"/>
      <c r="AB896" s="71"/>
      <c r="AC896" s="71"/>
      <c r="AD896" s="71"/>
      <c r="AE896" s="71"/>
      <c r="AF896" s="71"/>
      <c r="AG896" s="71"/>
      <c r="AH896" s="71"/>
      <c r="AI896" s="71"/>
      <c r="AJ896" s="71"/>
      <c r="AK896" s="71"/>
    </row>
    <row r="897" spans="1:37" ht="12.75" customHeight="1" x14ac:dyDescent="0.2">
      <c r="A897" s="71"/>
      <c r="B897" s="71"/>
      <c r="C897" s="71"/>
      <c r="D897" s="71"/>
      <c r="E897" s="71"/>
      <c r="F897" s="71"/>
      <c r="G897" s="71"/>
      <c r="H897" s="71"/>
      <c r="I897" s="71"/>
      <c r="J897" s="71"/>
      <c r="K897" s="71"/>
      <c r="L897" s="71"/>
      <c r="M897" s="71"/>
      <c r="N897" s="71"/>
      <c r="O897" s="71"/>
      <c r="P897" s="71"/>
      <c r="Q897" s="71"/>
      <c r="R897" s="71"/>
      <c r="S897" s="71"/>
      <c r="T897" s="105"/>
      <c r="U897" s="71"/>
      <c r="V897" s="71"/>
      <c r="W897" s="71"/>
      <c r="X897" s="71"/>
      <c r="Y897" s="71"/>
      <c r="Z897" s="71"/>
      <c r="AA897" s="71"/>
      <c r="AB897" s="71"/>
      <c r="AC897" s="71"/>
      <c r="AD897" s="71"/>
      <c r="AE897" s="71"/>
      <c r="AF897" s="71"/>
      <c r="AG897" s="71"/>
      <c r="AH897" s="71"/>
      <c r="AI897" s="71"/>
      <c r="AJ897" s="71"/>
      <c r="AK897" s="71"/>
    </row>
    <row r="898" spans="1:37" ht="12.75" customHeight="1" x14ac:dyDescent="0.2">
      <c r="A898" s="71"/>
      <c r="B898" s="71"/>
      <c r="C898" s="71"/>
      <c r="D898" s="71"/>
      <c r="E898" s="71"/>
      <c r="F898" s="71"/>
      <c r="G898" s="71"/>
      <c r="H898" s="71"/>
      <c r="I898" s="71"/>
      <c r="J898" s="71"/>
      <c r="K898" s="71"/>
      <c r="L898" s="71"/>
      <c r="M898" s="71"/>
      <c r="N898" s="71"/>
      <c r="O898" s="71"/>
      <c r="P898" s="71"/>
      <c r="Q898" s="71"/>
      <c r="R898" s="71"/>
      <c r="S898" s="71"/>
      <c r="T898" s="105"/>
      <c r="U898" s="71"/>
      <c r="V898" s="71"/>
      <c r="W898" s="71"/>
      <c r="X898" s="71"/>
      <c r="Y898" s="71"/>
      <c r="Z898" s="71"/>
      <c r="AA898" s="71"/>
      <c r="AB898" s="71"/>
      <c r="AC898" s="71"/>
      <c r="AD898" s="71"/>
      <c r="AE898" s="71"/>
      <c r="AF898" s="71"/>
      <c r="AG898" s="71"/>
      <c r="AH898" s="71"/>
      <c r="AI898" s="71"/>
      <c r="AJ898" s="71"/>
      <c r="AK898" s="71"/>
    </row>
    <row r="899" spans="1:37" ht="12.75" customHeight="1" x14ac:dyDescent="0.2">
      <c r="A899" s="71"/>
      <c r="B899" s="71"/>
      <c r="C899" s="71"/>
      <c r="D899" s="71"/>
      <c r="E899" s="71"/>
      <c r="F899" s="71"/>
      <c r="G899" s="71"/>
      <c r="H899" s="71"/>
      <c r="I899" s="71"/>
      <c r="J899" s="71"/>
      <c r="K899" s="71"/>
      <c r="L899" s="71"/>
      <c r="M899" s="71"/>
      <c r="N899" s="71"/>
      <c r="O899" s="71"/>
      <c r="P899" s="71"/>
      <c r="Q899" s="71"/>
      <c r="R899" s="71"/>
      <c r="S899" s="71"/>
      <c r="T899" s="105"/>
      <c r="U899" s="71"/>
      <c r="V899" s="71"/>
      <c r="W899" s="71"/>
      <c r="X899" s="71"/>
      <c r="Y899" s="71"/>
      <c r="Z899" s="71"/>
      <c r="AA899" s="71"/>
      <c r="AB899" s="71"/>
      <c r="AC899" s="71"/>
      <c r="AD899" s="71"/>
      <c r="AE899" s="71"/>
      <c r="AF899" s="71"/>
      <c r="AG899" s="71"/>
      <c r="AH899" s="71"/>
      <c r="AI899" s="71"/>
      <c r="AJ899" s="71"/>
      <c r="AK899" s="71"/>
    </row>
    <row r="900" spans="1:37" ht="12.75" customHeight="1" x14ac:dyDescent="0.2">
      <c r="A900" s="71"/>
      <c r="B900" s="71"/>
      <c r="C900" s="71"/>
      <c r="D900" s="71"/>
      <c r="E900" s="71"/>
      <c r="F900" s="71"/>
      <c r="G900" s="71"/>
      <c r="H900" s="71"/>
      <c r="I900" s="71"/>
      <c r="J900" s="71"/>
      <c r="K900" s="71"/>
      <c r="L900" s="71"/>
      <c r="M900" s="71"/>
      <c r="N900" s="71"/>
      <c r="O900" s="71"/>
      <c r="P900" s="71"/>
      <c r="Q900" s="71"/>
      <c r="R900" s="71"/>
      <c r="S900" s="71"/>
      <c r="T900" s="105"/>
      <c r="U900" s="71"/>
      <c r="V900" s="71"/>
      <c r="W900" s="71"/>
      <c r="X900" s="71"/>
      <c r="Y900" s="71"/>
      <c r="Z900" s="71"/>
      <c r="AA900" s="71"/>
      <c r="AB900" s="71"/>
      <c r="AC900" s="71"/>
      <c r="AD900" s="71"/>
      <c r="AE900" s="71"/>
      <c r="AF900" s="71"/>
      <c r="AG900" s="71"/>
      <c r="AH900" s="71"/>
      <c r="AI900" s="71"/>
      <c r="AJ900" s="71"/>
      <c r="AK900" s="71"/>
    </row>
    <row r="901" spans="1:37" ht="12.75" customHeight="1" x14ac:dyDescent="0.2">
      <c r="A901" s="71"/>
      <c r="B901" s="71"/>
      <c r="C901" s="71"/>
      <c r="D901" s="71"/>
      <c r="E901" s="71"/>
      <c r="F901" s="71"/>
      <c r="G901" s="71"/>
      <c r="H901" s="71"/>
      <c r="I901" s="71"/>
      <c r="J901" s="71"/>
      <c r="K901" s="71"/>
      <c r="L901" s="71"/>
      <c r="M901" s="71"/>
      <c r="N901" s="71"/>
      <c r="O901" s="71"/>
      <c r="P901" s="71"/>
      <c r="Q901" s="71"/>
      <c r="R901" s="71"/>
      <c r="S901" s="71"/>
      <c r="T901" s="105"/>
      <c r="U901" s="71"/>
      <c r="V901" s="71"/>
      <c r="W901" s="71"/>
      <c r="X901" s="71"/>
      <c r="Y901" s="71"/>
      <c r="Z901" s="71"/>
      <c r="AA901" s="71"/>
      <c r="AB901" s="71"/>
      <c r="AC901" s="71"/>
      <c r="AD901" s="71"/>
      <c r="AE901" s="71"/>
      <c r="AF901" s="71"/>
      <c r="AG901" s="71"/>
      <c r="AH901" s="71"/>
      <c r="AI901" s="71"/>
      <c r="AJ901" s="71"/>
      <c r="AK901" s="71"/>
    </row>
    <row r="902" spans="1:37" ht="12.75" customHeight="1" x14ac:dyDescent="0.2">
      <c r="A902" s="71"/>
      <c r="B902" s="71"/>
      <c r="C902" s="71"/>
      <c r="D902" s="71"/>
      <c r="E902" s="71"/>
      <c r="F902" s="71"/>
      <c r="G902" s="71"/>
      <c r="H902" s="71"/>
      <c r="I902" s="71"/>
      <c r="J902" s="71"/>
      <c r="K902" s="71"/>
      <c r="L902" s="71"/>
      <c r="M902" s="71"/>
      <c r="N902" s="71"/>
      <c r="O902" s="71"/>
      <c r="P902" s="71"/>
      <c r="Q902" s="71"/>
      <c r="R902" s="71"/>
      <c r="S902" s="71"/>
      <c r="T902" s="105"/>
      <c r="U902" s="71"/>
      <c r="V902" s="71"/>
      <c r="W902" s="71"/>
      <c r="X902" s="71"/>
      <c r="Y902" s="71"/>
      <c r="Z902" s="71"/>
      <c r="AA902" s="71"/>
      <c r="AB902" s="71"/>
      <c r="AC902" s="71"/>
      <c r="AD902" s="71"/>
      <c r="AE902" s="71"/>
      <c r="AF902" s="71"/>
      <c r="AG902" s="71"/>
      <c r="AH902" s="71"/>
      <c r="AI902" s="71"/>
      <c r="AJ902" s="71"/>
      <c r="AK902" s="71"/>
    </row>
    <row r="903" spans="1:37" ht="12.75" customHeight="1" x14ac:dyDescent="0.2">
      <c r="A903" s="71"/>
      <c r="B903" s="71"/>
      <c r="C903" s="71"/>
      <c r="D903" s="71"/>
      <c r="E903" s="71"/>
      <c r="F903" s="71"/>
      <c r="G903" s="71"/>
      <c r="H903" s="71"/>
      <c r="I903" s="71"/>
      <c r="J903" s="71"/>
      <c r="K903" s="71"/>
      <c r="L903" s="71"/>
      <c r="M903" s="71"/>
      <c r="N903" s="71"/>
      <c r="O903" s="71"/>
      <c r="P903" s="71"/>
      <c r="Q903" s="71"/>
      <c r="R903" s="71"/>
      <c r="S903" s="71"/>
      <c r="T903" s="105"/>
      <c r="U903" s="71"/>
      <c r="V903" s="71"/>
      <c r="W903" s="71"/>
      <c r="X903" s="71"/>
      <c r="Y903" s="71"/>
      <c r="Z903" s="71"/>
      <c r="AA903" s="71"/>
      <c r="AB903" s="71"/>
      <c r="AC903" s="71"/>
      <c r="AD903" s="71"/>
      <c r="AE903" s="71"/>
      <c r="AF903" s="71"/>
      <c r="AG903" s="71"/>
      <c r="AH903" s="71"/>
      <c r="AI903" s="71"/>
      <c r="AJ903" s="71"/>
      <c r="AK903" s="71"/>
    </row>
    <row r="904" spans="1:37" ht="12.75" customHeight="1" x14ac:dyDescent="0.2">
      <c r="A904" s="71"/>
      <c r="B904" s="71"/>
      <c r="C904" s="71"/>
      <c r="D904" s="71"/>
      <c r="E904" s="71"/>
      <c r="F904" s="71"/>
      <c r="G904" s="71"/>
      <c r="H904" s="71"/>
      <c r="I904" s="71"/>
      <c r="J904" s="71"/>
      <c r="K904" s="71"/>
      <c r="L904" s="71"/>
      <c r="M904" s="71"/>
      <c r="N904" s="71"/>
      <c r="O904" s="71"/>
      <c r="P904" s="71"/>
      <c r="Q904" s="71"/>
      <c r="R904" s="71"/>
      <c r="S904" s="71"/>
      <c r="T904" s="105"/>
      <c r="U904" s="71"/>
      <c r="V904" s="71"/>
      <c r="W904" s="71"/>
      <c r="X904" s="71"/>
      <c r="Y904" s="71"/>
      <c r="Z904" s="71"/>
      <c r="AA904" s="71"/>
      <c r="AB904" s="71"/>
      <c r="AC904" s="71"/>
      <c r="AD904" s="71"/>
      <c r="AE904" s="71"/>
      <c r="AF904" s="71"/>
      <c r="AG904" s="71"/>
      <c r="AH904" s="71"/>
      <c r="AI904" s="71"/>
      <c r="AJ904" s="71"/>
      <c r="AK904" s="71"/>
    </row>
    <row r="905" spans="1:37" ht="12.75" customHeight="1" x14ac:dyDescent="0.2">
      <c r="A905" s="71"/>
      <c r="B905" s="71"/>
      <c r="C905" s="71"/>
      <c r="D905" s="71"/>
      <c r="E905" s="71"/>
      <c r="F905" s="71"/>
      <c r="G905" s="71"/>
      <c r="H905" s="71"/>
      <c r="I905" s="71"/>
      <c r="J905" s="71"/>
      <c r="K905" s="71"/>
      <c r="L905" s="71"/>
      <c r="M905" s="71"/>
      <c r="N905" s="71"/>
      <c r="O905" s="71"/>
      <c r="P905" s="71"/>
      <c r="Q905" s="71"/>
      <c r="R905" s="71"/>
      <c r="S905" s="71"/>
      <c r="T905" s="105"/>
      <c r="U905" s="71"/>
      <c r="V905" s="71"/>
      <c r="W905" s="71"/>
      <c r="X905" s="71"/>
      <c r="Y905" s="71"/>
      <c r="Z905" s="71"/>
      <c r="AA905" s="71"/>
      <c r="AB905" s="71"/>
      <c r="AC905" s="71"/>
      <c r="AD905" s="71"/>
      <c r="AE905" s="71"/>
      <c r="AF905" s="71"/>
      <c r="AG905" s="71"/>
      <c r="AH905" s="71"/>
      <c r="AI905" s="71"/>
      <c r="AJ905" s="71"/>
      <c r="AK905" s="71"/>
    </row>
    <row r="906" spans="1:37" ht="12.75" customHeight="1" x14ac:dyDescent="0.2">
      <c r="A906" s="71"/>
      <c r="B906" s="71"/>
      <c r="C906" s="71"/>
      <c r="D906" s="71"/>
      <c r="E906" s="71"/>
      <c r="F906" s="71"/>
      <c r="G906" s="71"/>
      <c r="H906" s="71"/>
      <c r="I906" s="71"/>
      <c r="J906" s="71"/>
      <c r="K906" s="71"/>
      <c r="L906" s="71"/>
      <c r="M906" s="71"/>
      <c r="N906" s="71"/>
      <c r="O906" s="71"/>
      <c r="P906" s="71"/>
      <c r="Q906" s="71"/>
      <c r="R906" s="71"/>
      <c r="S906" s="71"/>
      <c r="T906" s="105"/>
      <c r="U906" s="71"/>
      <c r="V906" s="71"/>
      <c r="W906" s="71"/>
      <c r="X906" s="71"/>
      <c r="Y906" s="71"/>
      <c r="Z906" s="71"/>
      <c r="AA906" s="71"/>
      <c r="AB906" s="71"/>
      <c r="AC906" s="71"/>
      <c r="AD906" s="71"/>
      <c r="AE906" s="71"/>
      <c r="AF906" s="71"/>
      <c r="AG906" s="71"/>
      <c r="AH906" s="71"/>
      <c r="AI906" s="71"/>
      <c r="AJ906" s="71"/>
      <c r="AK906" s="71"/>
    </row>
    <row r="907" spans="1:37" ht="12.75" customHeight="1" x14ac:dyDescent="0.2">
      <c r="A907" s="71"/>
      <c r="B907" s="71"/>
      <c r="C907" s="71"/>
      <c r="D907" s="71"/>
      <c r="E907" s="71"/>
      <c r="F907" s="71"/>
      <c r="G907" s="71"/>
      <c r="H907" s="71"/>
      <c r="I907" s="71"/>
      <c r="J907" s="71"/>
      <c r="K907" s="71"/>
      <c r="L907" s="71"/>
      <c r="M907" s="71"/>
      <c r="N907" s="71"/>
      <c r="O907" s="71"/>
      <c r="P907" s="71"/>
      <c r="Q907" s="71"/>
      <c r="R907" s="71"/>
      <c r="S907" s="71"/>
      <c r="T907" s="105"/>
      <c r="U907" s="71"/>
      <c r="V907" s="71"/>
      <c r="W907" s="71"/>
      <c r="X907" s="71"/>
      <c r="Y907" s="71"/>
      <c r="Z907" s="71"/>
      <c r="AA907" s="71"/>
      <c r="AB907" s="71"/>
      <c r="AC907" s="71"/>
      <c r="AD907" s="71"/>
      <c r="AE907" s="71"/>
      <c r="AF907" s="71"/>
      <c r="AG907" s="71"/>
      <c r="AH907" s="71"/>
      <c r="AI907" s="71"/>
      <c r="AJ907" s="71"/>
      <c r="AK907" s="71"/>
    </row>
    <row r="908" spans="1:37" ht="12.75" customHeight="1" x14ac:dyDescent="0.2">
      <c r="A908" s="71"/>
      <c r="B908" s="71"/>
      <c r="C908" s="71"/>
      <c r="D908" s="71"/>
      <c r="E908" s="71"/>
      <c r="F908" s="71"/>
      <c r="G908" s="71"/>
      <c r="H908" s="71"/>
      <c r="I908" s="71"/>
      <c r="J908" s="71"/>
      <c r="K908" s="71"/>
      <c r="L908" s="71"/>
      <c r="M908" s="71"/>
      <c r="N908" s="71"/>
      <c r="O908" s="71"/>
      <c r="P908" s="71"/>
      <c r="Q908" s="71"/>
      <c r="R908" s="71"/>
      <c r="S908" s="71"/>
      <c r="T908" s="105"/>
      <c r="U908" s="71"/>
      <c r="V908" s="71"/>
      <c r="W908" s="71"/>
      <c r="X908" s="71"/>
      <c r="Y908" s="71"/>
      <c r="Z908" s="71"/>
      <c r="AA908" s="71"/>
      <c r="AB908" s="71"/>
      <c r="AC908" s="71"/>
      <c r="AD908" s="71"/>
      <c r="AE908" s="71"/>
      <c r="AF908" s="71"/>
      <c r="AG908" s="71"/>
      <c r="AH908" s="71"/>
      <c r="AI908" s="71"/>
      <c r="AJ908" s="71"/>
      <c r="AK908" s="71"/>
    </row>
    <row r="909" spans="1:37" ht="12.75" customHeight="1" x14ac:dyDescent="0.2">
      <c r="A909" s="71"/>
      <c r="B909" s="71"/>
      <c r="C909" s="71"/>
      <c r="D909" s="71"/>
      <c r="E909" s="71"/>
      <c r="F909" s="71"/>
      <c r="G909" s="71"/>
      <c r="H909" s="71"/>
      <c r="I909" s="71"/>
      <c r="J909" s="71"/>
      <c r="K909" s="71"/>
      <c r="L909" s="71"/>
      <c r="M909" s="71"/>
      <c r="N909" s="71"/>
      <c r="O909" s="71"/>
      <c r="P909" s="71"/>
      <c r="Q909" s="71"/>
      <c r="R909" s="71"/>
      <c r="S909" s="71"/>
      <c r="T909" s="105"/>
      <c r="U909" s="71"/>
      <c r="V909" s="71"/>
      <c r="W909" s="71"/>
      <c r="X909" s="71"/>
      <c r="Y909" s="71"/>
      <c r="Z909" s="71"/>
      <c r="AA909" s="71"/>
      <c r="AB909" s="71"/>
      <c r="AC909" s="71"/>
      <c r="AD909" s="71"/>
      <c r="AE909" s="71"/>
      <c r="AF909" s="71"/>
      <c r="AG909" s="71"/>
      <c r="AH909" s="71"/>
      <c r="AI909" s="71"/>
      <c r="AJ909" s="71"/>
      <c r="AK909" s="71"/>
    </row>
    <row r="910" spans="1:37" ht="12.75" customHeight="1" x14ac:dyDescent="0.2">
      <c r="A910" s="71"/>
      <c r="B910" s="71"/>
      <c r="C910" s="71"/>
      <c r="D910" s="71"/>
      <c r="E910" s="71"/>
      <c r="F910" s="71"/>
      <c r="G910" s="71"/>
      <c r="H910" s="71"/>
      <c r="I910" s="71"/>
      <c r="J910" s="71"/>
      <c r="K910" s="71"/>
      <c r="L910" s="71"/>
      <c r="M910" s="71"/>
      <c r="N910" s="71"/>
      <c r="O910" s="71"/>
      <c r="P910" s="71"/>
      <c r="Q910" s="71"/>
      <c r="R910" s="71"/>
      <c r="S910" s="71"/>
      <c r="T910" s="105"/>
      <c r="U910" s="71"/>
      <c r="V910" s="71"/>
      <c r="W910" s="71"/>
      <c r="X910" s="71"/>
      <c r="Y910" s="71"/>
      <c r="Z910" s="71"/>
      <c r="AA910" s="71"/>
      <c r="AB910" s="71"/>
      <c r="AC910" s="71"/>
      <c r="AD910" s="71"/>
      <c r="AE910" s="71"/>
      <c r="AF910" s="71"/>
      <c r="AG910" s="71"/>
      <c r="AH910" s="71"/>
      <c r="AI910" s="71"/>
      <c r="AJ910" s="71"/>
      <c r="AK910" s="71"/>
    </row>
    <row r="911" spans="1:37" ht="12.75" customHeight="1" x14ac:dyDescent="0.2">
      <c r="A911" s="71"/>
      <c r="B911" s="71"/>
      <c r="C911" s="71"/>
      <c r="D911" s="71"/>
      <c r="E911" s="71"/>
      <c r="F911" s="71"/>
      <c r="G911" s="71"/>
      <c r="H911" s="71"/>
      <c r="I911" s="71"/>
      <c r="J911" s="71"/>
      <c r="K911" s="71"/>
      <c r="L911" s="71"/>
      <c r="M911" s="71"/>
      <c r="N911" s="71"/>
      <c r="O911" s="71"/>
      <c r="P911" s="71"/>
      <c r="Q911" s="71"/>
      <c r="R911" s="71"/>
      <c r="S911" s="71"/>
      <c r="T911" s="105"/>
      <c r="U911" s="71"/>
      <c r="V911" s="71"/>
      <c r="W911" s="71"/>
      <c r="X911" s="71"/>
      <c r="Y911" s="71"/>
      <c r="Z911" s="71"/>
      <c r="AA911" s="71"/>
      <c r="AB911" s="71"/>
      <c r="AC911" s="71"/>
      <c r="AD911" s="71"/>
      <c r="AE911" s="71"/>
      <c r="AF911" s="71"/>
      <c r="AG911" s="71"/>
      <c r="AH911" s="71"/>
      <c r="AI911" s="71"/>
      <c r="AJ911" s="71"/>
      <c r="AK911" s="71"/>
    </row>
    <row r="912" spans="1:37" ht="12.75" customHeight="1" x14ac:dyDescent="0.2">
      <c r="A912" s="71"/>
      <c r="B912" s="71"/>
      <c r="C912" s="71"/>
      <c r="D912" s="71"/>
      <c r="E912" s="71"/>
      <c r="F912" s="71"/>
      <c r="G912" s="71"/>
      <c r="H912" s="71"/>
      <c r="I912" s="71"/>
      <c r="J912" s="71"/>
      <c r="K912" s="71"/>
      <c r="L912" s="71"/>
      <c r="M912" s="71"/>
      <c r="N912" s="71"/>
      <c r="O912" s="71"/>
      <c r="P912" s="71"/>
      <c r="Q912" s="71"/>
      <c r="R912" s="71"/>
      <c r="S912" s="71"/>
      <c r="T912" s="105"/>
      <c r="U912" s="71"/>
      <c r="V912" s="71"/>
      <c r="W912" s="71"/>
      <c r="X912" s="71"/>
      <c r="Y912" s="71"/>
      <c r="Z912" s="71"/>
      <c r="AA912" s="71"/>
      <c r="AB912" s="71"/>
      <c r="AC912" s="71"/>
      <c r="AD912" s="71"/>
      <c r="AE912" s="71"/>
      <c r="AF912" s="71"/>
      <c r="AG912" s="71"/>
      <c r="AH912" s="71"/>
      <c r="AI912" s="71"/>
      <c r="AJ912" s="71"/>
      <c r="AK912" s="71"/>
    </row>
    <row r="913" spans="1:37" ht="12.75" customHeight="1" x14ac:dyDescent="0.2">
      <c r="A913" s="71"/>
      <c r="B913" s="71"/>
      <c r="C913" s="71"/>
      <c r="D913" s="71"/>
      <c r="E913" s="71"/>
      <c r="F913" s="71"/>
      <c r="G913" s="71"/>
      <c r="H913" s="71"/>
      <c r="I913" s="71"/>
      <c r="J913" s="71"/>
      <c r="K913" s="71"/>
      <c r="L913" s="71"/>
      <c r="M913" s="71"/>
      <c r="N913" s="71"/>
      <c r="O913" s="71"/>
      <c r="P913" s="71"/>
      <c r="Q913" s="71"/>
      <c r="R913" s="71"/>
      <c r="S913" s="71"/>
      <c r="T913" s="105"/>
      <c r="U913" s="71"/>
      <c r="V913" s="71"/>
      <c r="W913" s="71"/>
      <c r="X913" s="71"/>
      <c r="Y913" s="71"/>
      <c r="Z913" s="71"/>
      <c r="AA913" s="71"/>
      <c r="AB913" s="71"/>
      <c r="AC913" s="71"/>
      <c r="AD913" s="71"/>
      <c r="AE913" s="71"/>
      <c r="AF913" s="71"/>
      <c r="AG913" s="71"/>
      <c r="AH913" s="71"/>
      <c r="AI913" s="71"/>
      <c r="AJ913" s="71"/>
      <c r="AK913" s="71"/>
    </row>
    <row r="914" spans="1:37" ht="12.75" customHeight="1" x14ac:dyDescent="0.2">
      <c r="A914" s="71"/>
      <c r="B914" s="71"/>
      <c r="C914" s="71"/>
      <c r="D914" s="71"/>
      <c r="E914" s="71"/>
      <c r="F914" s="71"/>
      <c r="G914" s="71"/>
      <c r="H914" s="71"/>
      <c r="I914" s="71"/>
      <c r="J914" s="71"/>
      <c r="K914" s="71"/>
      <c r="L914" s="71"/>
      <c r="M914" s="71"/>
      <c r="N914" s="71"/>
      <c r="O914" s="71"/>
      <c r="P914" s="71"/>
      <c r="Q914" s="71"/>
      <c r="R914" s="71"/>
      <c r="S914" s="71"/>
      <c r="T914" s="105"/>
      <c r="U914" s="71"/>
      <c r="V914" s="71"/>
      <c r="W914" s="71"/>
      <c r="X914" s="71"/>
      <c r="Y914" s="71"/>
      <c r="Z914" s="71"/>
      <c r="AA914" s="71"/>
      <c r="AB914" s="71"/>
      <c r="AC914" s="71"/>
      <c r="AD914" s="71"/>
      <c r="AE914" s="71"/>
      <c r="AF914" s="71"/>
      <c r="AG914" s="71"/>
      <c r="AH914" s="71"/>
      <c r="AI914" s="71"/>
      <c r="AJ914" s="71"/>
      <c r="AK914" s="71"/>
    </row>
    <row r="915" spans="1:37" ht="12.75" customHeight="1" x14ac:dyDescent="0.2">
      <c r="A915" s="71"/>
      <c r="B915" s="71"/>
      <c r="C915" s="71"/>
      <c r="D915" s="71"/>
      <c r="E915" s="71"/>
      <c r="F915" s="71"/>
      <c r="G915" s="71"/>
      <c r="H915" s="71"/>
      <c r="I915" s="71"/>
      <c r="J915" s="71"/>
      <c r="K915" s="71"/>
      <c r="L915" s="71"/>
      <c r="M915" s="71"/>
      <c r="N915" s="71"/>
      <c r="O915" s="71"/>
      <c r="P915" s="71"/>
      <c r="Q915" s="71"/>
      <c r="R915" s="71"/>
      <c r="S915" s="71"/>
      <c r="T915" s="105"/>
      <c r="U915" s="71"/>
      <c r="V915" s="71"/>
      <c r="W915" s="71"/>
      <c r="X915" s="71"/>
      <c r="Y915" s="71"/>
      <c r="Z915" s="71"/>
      <c r="AA915" s="71"/>
      <c r="AB915" s="71"/>
      <c r="AC915" s="71"/>
      <c r="AD915" s="71"/>
      <c r="AE915" s="71"/>
      <c r="AF915" s="71"/>
      <c r="AG915" s="71"/>
      <c r="AH915" s="71"/>
      <c r="AI915" s="71"/>
      <c r="AJ915" s="71"/>
      <c r="AK915" s="71"/>
    </row>
    <row r="916" spans="1:37" ht="12.75" customHeight="1" x14ac:dyDescent="0.2">
      <c r="A916" s="71"/>
      <c r="B916" s="71"/>
      <c r="C916" s="71"/>
      <c r="D916" s="71"/>
      <c r="E916" s="71"/>
      <c r="F916" s="71"/>
      <c r="G916" s="71"/>
      <c r="H916" s="71"/>
      <c r="I916" s="71"/>
      <c r="J916" s="71"/>
      <c r="K916" s="71"/>
      <c r="L916" s="71"/>
      <c r="M916" s="71"/>
      <c r="N916" s="71"/>
      <c r="O916" s="71"/>
      <c r="P916" s="71"/>
      <c r="Q916" s="71"/>
      <c r="R916" s="71"/>
      <c r="S916" s="71"/>
      <c r="T916" s="105"/>
      <c r="U916" s="71"/>
      <c r="V916" s="71"/>
      <c r="W916" s="71"/>
      <c r="X916" s="71"/>
      <c r="Y916" s="71"/>
      <c r="Z916" s="71"/>
      <c r="AA916" s="71"/>
      <c r="AB916" s="71"/>
      <c r="AC916" s="71"/>
      <c r="AD916" s="71"/>
      <c r="AE916" s="71"/>
      <c r="AF916" s="71"/>
      <c r="AG916" s="71"/>
      <c r="AH916" s="71"/>
      <c r="AI916" s="71"/>
      <c r="AJ916" s="71"/>
      <c r="AK916" s="71"/>
    </row>
    <row r="917" spans="1:37" ht="12.75" customHeight="1" x14ac:dyDescent="0.2">
      <c r="A917" s="71"/>
      <c r="B917" s="71"/>
      <c r="C917" s="71"/>
      <c r="D917" s="71"/>
      <c r="E917" s="71"/>
      <c r="F917" s="71"/>
      <c r="G917" s="71"/>
      <c r="H917" s="71"/>
      <c r="I917" s="71"/>
      <c r="J917" s="71"/>
      <c r="K917" s="71"/>
      <c r="L917" s="71"/>
      <c r="M917" s="71"/>
      <c r="N917" s="71"/>
      <c r="O917" s="71"/>
      <c r="P917" s="71"/>
      <c r="Q917" s="71"/>
      <c r="R917" s="71"/>
      <c r="S917" s="71"/>
      <c r="T917" s="105"/>
      <c r="U917" s="71"/>
      <c r="V917" s="71"/>
      <c r="W917" s="71"/>
      <c r="X917" s="71"/>
      <c r="Y917" s="71"/>
      <c r="Z917" s="71"/>
      <c r="AA917" s="71"/>
      <c r="AB917" s="71"/>
      <c r="AC917" s="71"/>
      <c r="AD917" s="71"/>
      <c r="AE917" s="71"/>
      <c r="AF917" s="71"/>
      <c r="AG917" s="71"/>
      <c r="AH917" s="71"/>
      <c r="AI917" s="71"/>
      <c r="AJ917" s="71"/>
      <c r="AK917" s="71"/>
    </row>
    <row r="918" spans="1:37" ht="12.75" customHeight="1" x14ac:dyDescent="0.2">
      <c r="A918" s="71"/>
      <c r="B918" s="71"/>
      <c r="C918" s="71"/>
      <c r="D918" s="71"/>
      <c r="E918" s="71"/>
      <c r="F918" s="71"/>
      <c r="G918" s="71"/>
      <c r="H918" s="71"/>
      <c r="I918" s="71"/>
      <c r="J918" s="71"/>
      <c r="K918" s="71"/>
      <c r="L918" s="71"/>
      <c r="M918" s="71"/>
      <c r="N918" s="71"/>
      <c r="O918" s="71"/>
      <c r="P918" s="71"/>
      <c r="Q918" s="71"/>
      <c r="R918" s="71"/>
      <c r="S918" s="71"/>
      <c r="T918" s="105"/>
      <c r="U918" s="71"/>
      <c r="V918" s="71"/>
      <c r="W918" s="71"/>
      <c r="X918" s="71"/>
      <c r="Y918" s="71"/>
      <c r="Z918" s="71"/>
      <c r="AA918" s="71"/>
      <c r="AB918" s="71"/>
      <c r="AC918" s="71"/>
      <c r="AD918" s="71"/>
      <c r="AE918" s="71"/>
      <c r="AF918" s="71"/>
      <c r="AG918" s="71"/>
      <c r="AH918" s="71"/>
      <c r="AI918" s="71"/>
      <c r="AJ918" s="71"/>
      <c r="AK918" s="71"/>
    </row>
    <row r="919" spans="1:37" ht="12.75" customHeight="1" x14ac:dyDescent="0.2">
      <c r="A919" s="71"/>
      <c r="B919" s="71"/>
      <c r="C919" s="71"/>
      <c r="D919" s="71"/>
      <c r="E919" s="71"/>
      <c r="F919" s="71"/>
      <c r="G919" s="71"/>
      <c r="H919" s="71"/>
      <c r="I919" s="71"/>
      <c r="J919" s="71"/>
      <c r="K919" s="71"/>
      <c r="L919" s="71"/>
      <c r="M919" s="71"/>
      <c r="N919" s="71"/>
      <c r="O919" s="71"/>
      <c r="P919" s="71"/>
      <c r="Q919" s="71"/>
      <c r="R919" s="71"/>
      <c r="S919" s="71"/>
      <c r="T919" s="105"/>
      <c r="U919" s="71"/>
      <c r="V919" s="71"/>
      <c r="W919" s="71"/>
      <c r="X919" s="71"/>
      <c r="Y919" s="71"/>
      <c r="Z919" s="71"/>
      <c r="AA919" s="71"/>
      <c r="AB919" s="71"/>
      <c r="AC919" s="71"/>
      <c r="AD919" s="71"/>
      <c r="AE919" s="71"/>
      <c r="AF919" s="71"/>
      <c r="AG919" s="71"/>
      <c r="AH919" s="71"/>
      <c r="AI919" s="71"/>
      <c r="AJ919" s="71"/>
      <c r="AK919" s="71"/>
    </row>
    <row r="920" spans="1:37" ht="12.75" customHeight="1" x14ac:dyDescent="0.2">
      <c r="A920" s="71"/>
      <c r="B920" s="71"/>
      <c r="C920" s="71"/>
      <c r="D920" s="71"/>
      <c r="E920" s="71"/>
      <c r="F920" s="71"/>
      <c r="G920" s="71"/>
      <c r="H920" s="71"/>
      <c r="I920" s="71"/>
      <c r="J920" s="71"/>
      <c r="K920" s="71"/>
      <c r="L920" s="71"/>
      <c r="M920" s="71"/>
      <c r="N920" s="71"/>
      <c r="O920" s="71"/>
      <c r="P920" s="71"/>
      <c r="Q920" s="71"/>
      <c r="R920" s="71"/>
      <c r="S920" s="71"/>
      <c r="T920" s="105"/>
      <c r="U920" s="71"/>
      <c r="V920" s="71"/>
      <c r="W920" s="71"/>
      <c r="X920" s="71"/>
      <c r="Y920" s="71"/>
      <c r="Z920" s="71"/>
      <c r="AA920" s="71"/>
      <c r="AB920" s="71"/>
      <c r="AC920" s="71"/>
      <c r="AD920" s="71"/>
      <c r="AE920" s="71"/>
      <c r="AF920" s="71"/>
      <c r="AG920" s="71"/>
      <c r="AH920" s="71"/>
      <c r="AI920" s="71"/>
      <c r="AJ920" s="71"/>
      <c r="AK920" s="71"/>
    </row>
    <row r="921" spans="1:37" ht="12.75" customHeight="1" x14ac:dyDescent="0.2">
      <c r="A921" s="71"/>
      <c r="B921" s="71"/>
      <c r="C921" s="71"/>
      <c r="D921" s="71"/>
      <c r="E921" s="71"/>
      <c r="F921" s="71"/>
      <c r="G921" s="71"/>
      <c r="H921" s="71"/>
      <c r="I921" s="71"/>
      <c r="J921" s="71"/>
      <c r="K921" s="71"/>
      <c r="L921" s="71"/>
      <c r="M921" s="71"/>
      <c r="N921" s="71"/>
      <c r="O921" s="71"/>
      <c r="P921" s="71"/>
      <c r="Q921" s="71"/>
      <c r="R921" s="71"/>
      <c r="S921" s="71"/>
      <c r="T921" s="105"/>
      <c r="U921" s="71"/>
      <c r="V921" s="71"/>
      <c r="W921" s="71"/>
      <c r="X921" s="71"/>
      <c r="Y921" s="71"/>
      <c r="Z921" s="71"/>
      <c r="AA921" s="71"/>
      <c r="AB921" s="71"/>
      <c r="AC921" s="71"/>
      <c r="AD921" s="71"/>
      <c r="AE921" s="71"/>
      <c r="AF921" s="71"/>
      <c r="AG921" s="71"/>
      <c r="AH921" s="71"/>
      <c r="AI921" s="71"/>
      <c r="AJ921" s="71"/>
      <c r="AK921" s="71"/>
    </row>
    <row r="922" spans="1:37" ht="12.75" customHeight="1" x14ac:dyDescent="0.2">
      <c r="A922" s="71"/>
      <c r="B922" s="71"/>
      <c r="C922" s="71"/>
      <c r="D922" s="71"/>
      <c r="E922" s="71"/>
      <c r="F922" s="71"/>
      <c r="G922" s="71"/>
      <c r="H922" s="71"/>
      <c r="I922" s="71"/>
      <c r="J922" s="71"/>
      <c r="K922" s="71"/>
      <c r="L922" s="71"/>
      <c r="M922" s="71"/>
      <c r="N922" s="71"/>
      <c r="O922" s="71"/>
      <c r="P922" s="71"/>
      <c r="Q922" s="71"/>
      <c r="R922" s="71"/>
      <c r="S922" s="71"/>
      <c r="T922" s="105"/>
      <c r="U922" s="71"/>
      <c r="V922" s="71"/>
      <c r="W922" s="71"/>
      <c r="X922" s="71"/>
      <c r="Y922" s="71"/>
      <c r="Z922" s="71"/>
      <c r="AA922" s="71"/>
      <c r="AB922" s="71"/>
      <c r="AC922" s="71"/>
      <c r="AD922" s="71"/>
      <c r="AE922" s="71"/>
      <c r="AF922" s="71"/>
      <c r="AG922" s="71"/>
      <c r="AH922" s="71"/>
      <c r="AI922" s="71"/>
      <c r="AJ922" s="71"/>
      <c r="AK922" s="71"/>
    </row>
    <row r="923" spans="1:37" ht="12.75" customHeight="1" x14ac:dyDescent="0.2">
      <c r="A923" s="71"/>
      <c r="B923" s="71"/>
      <c r="C923" s="71"/>
      <c r="D923" s="71"/>
      <c r="E923" s="71"/>
      <c r="F923" s="71"/>
      <c r="G923" s="71"/>
      <c r="H923" s="71"/>
      <c r="I923" s="71"/>
      <c r="J923" s="71"/>
      <c r="K923" s="71"/>
      <c r="L923" s="71"/>
      <c r="M923" s="71"/>
      <c r="N923" s="71"/>
      <c r="O923" s="71"/>
      <c r="P923" s="71"/>
      <c r="Q923" s="71"/>
      <c r="R923" s="71"/>
      <c r="S923" s="71"/>
      <c r="T923" s="105"/>
      <c r="U923" s="71"/>
      <c r="V923" s="71"/>
      <c r="W923" s="71"/>
      <c r="X923" s="71"/>
      <c r="Y923" s="71"/>
      <c r="Z923" s="71"/>
      <c r="AA923" s="71"/>
      <c r="AB923" s="71"/>
      <c r="AC923" s="71"/>
      <c r="AD923" s="71"/>
      <c r="AE923" s="71"/>
      <c r="AF923" s="71"/>
      <c r="AG923" s="71"/>
      <c r="AH923" s="71"/>
      <c r="AI923" s="71"/>
      <c r="AJ923" s="71"/>
      <c r="AK923" s="71"/>
    </row>
    <row r="924" spans="1:37" ht="12.75" customHeight="1" x14ac:dyDescent="0.2">
      <c r="A924" s="71"/>
      <c r="B924" s="71"/>
      <c r="C924" s="71"/>
      <c r="D924" s="71"/>
      <c r="E924" s="71"/>
      <c r="F924" s="71"/>
      <c r="G924" s="71"/>
      <c r="H924" s="71"/>
      <c r="I924" s="71"/>
      <c r="J924" s="71"/>
      <c r="K924" s="71"/>
      <c r="L924" s="71"/>
      <c r="M924" s="71"/>
      <c r="N924" s="71"/>
      <c r="O924" s="71"/>
      <c r="P924" s="71"/>
      <c r="Q924" s="71"/>
      <c r="R924" s="71"/>
      <c r="S924" s="71"/>
      <c r="T924" s="105"/>
      <c r="U924" s="71"/>
      <c r="V924" s="71"/>
      <c r="W924" s="71"/>
      <c r="X924" s="71"/>
      <c r="Y924" s="71"/>
      <c r="Z924" s="71"/>
      <c r="AA924" s="71"/>
      <c r="AB924" s="71"/>
      <c r="AC924" s="71"/>
      <c r="AD924" s="71"/>
      <c r="AE924" s="71"/>
      <c r="AF924" s="71"/>
      <c r="AG924" s="71"/>
      <c r="AH924" s="71"/>
      <c r="AI924" s="71"/>
      <c r="AJ924" s="71"/>
      <c r="AK924" s="71"/>
    </row>
    <row r="925" spans="1:37" ht="12.75" customHeight="1" x14ac:dyDescent="0.2">
      <c r="A925" s="71"/>
      <c r="B925" s="71"/>
      <c r="C925" s="71"/>
      <c r="D925" s="71"/>
      <c r="E925" s="71"/>
      <c r="F925" s="71"/>
      <c r="G925" s="71"/>
      <c r="H925" s="71"/>
      <c r="I925" s="71"/>
      <c r="J925" s="71"/>
      <c r="K925" s="71"/>
      <c r="L925" s="71"/>
      <c r="M925" s="71"/>
      <c r="N925" s="71"/>
      <c r="O925" s="71"/>
      <c r="P925" s="71"/>
      <c r="Q925" s="71"/>
      <c r="R925" s="71"/>
      <c r="S925" s="71"/>
      <c r="T925" s="105"/>
      <c r="U925" s="71"/>
      <c r="V925" s="71"/>
      <c r="W925" s="71"/>
      <c r="X925" s="71"/>
      <c r="Y925" s="71"/>
      <c r="Z925" s="71"/>
      <c r="AA925" s="71"/>
      <c r="AB925" s="71"/>
      <c r="AC925" s="71"/>
      <c r="AD925" s="71"/>
      <c r="AE925" s="71"/>
      <c r="AF925" s="71"/>
      <c r="AG925" s="71"/>
      <c r="AH925" s="71"/>
      <c r="AI925" s="71"/>
      <c r="AJ925" s="71"/>
      <c r="AK925" s="71"/>
    </row>
    <row r="926" spans="1:37" ht="12.75" customHeight="1" x14ac:dyDescent="0.2">
      <c r="A926" s="71"/>
      <c r="B926" s="71"/>
      <c r="C926" s="71"/>
      <c r="D926" s="71"/>
      <c r="E926" s="71"/>
      <c r="F926" s="71"/>
      <c r="G926" s="71"/>
      <c r="H926" s="71"/>
      <c r="I926" s="71"/>
      <c r="J926" s="71"/>
      <c r="K926" s="71"/>
      <c r="L926" s="71"/>
      <c r="M926" s="71"/>
      <c r="N926" s="71"/>
      <c r="O926" s="71"/>
      <c r="P926" s="71"/>
      <c r="Q926" s="71"/>
      <c r="R926" s="71"/>
      <c r="S926" s="71"/>
      <c r="T926" s="105"/>
      <c r="U926" s="71"/>
      <c r="V926" s="71"/>
      <c r="W926" s="71"/>
      <c r="X926" s="71"/>
      <c r="Y926" s="71"/>
      <c r="Z926" s="71"/>
      <c r="AA926" s="71"/>
      <c r="AB926" s="71"/>
      <c r="AC926" s="71"/>
      <c r="AD926" s="71"/>
      <c r="AE926" s="71"/>
      <c r="AF926" s="71"/>
      <c r="AG926" s="71"/>
      <c r="AH926" s="71"/>
      <c r="AI926" s="71"/>
      <c r="AJ926" s="71"/>
      <c r="AK926" s="71"/>
    </row>
    <row r="927" spans="1:37" ht="12.75" customHeight="1" x14ac:dyDescent="0.2">
      <c r="A927" s="71"/>
      <c r="B927" s="71"/>
      <c r="C927" s="71"/>
      <c r="D927" s="71"/>
      <c r="E927" s="71"/>
      <c r="F927" s="71"/>
      <c r="G927" s="71"/>
      <c r="H927" s="71"/>
      <c r="I927" s="71"/>
      <c r="J927" s="71"/>
      <c r="K927" s="71"/>
      <c r="L927" s="71"/>
      <c r="M927" s="71"/>
      <c r="N927" s="71"/>
      <c r="O927" s="71"/>
      <c r="P927" s="71"/>
      <c r="Q927" s="71"/>
      <c r="R927" s="71"/>
      <c r="S927" s="71"/>
      <c r="T927" s="105"/>
      <c r="U927" s="71"/>
      <c r="V927" s="71"/>
      <c r="W927" s="71"/>
      <c r="X927" s="71"/>
      <c r="Y927" s="71"/>
      <c r="Z927" s="71"/>
      <c r="AA927" s="71"/>
      <c r="AB927" s="71"/>
      <c r="AC927" s="71"/>
      <c r="AD927" s="71"/>
      <c r="AE927" s="71"/>
      <c r="AF927" s="71"/>
      <c r="AG927" s="71"/>
      <c r="AH927" s="71"/>
      <c r="AI927" s="71"/>
      <c r="AJ927" s="71"/>
      <c r="AK927" s="71"/>
    </row>
    <row r="928" spans="1:37" ht="12.75" customHeight="1" x14ac:dyDescent="0.2">
      <c r="A928" s="71"/>
      <c r="B928" s="71"/>
      <c r="C928" s="71"/>
      <c r="D928" s="71"/>
      <c r="E928" s="71"/>
      <c r="F928" s="71"/>
      <c r="G928" s="71"/>
      <c r="H928" s="71"/>
      <c r="I928" s="71"/>
      <c r="J928" s="71"/>
      <c r="K928" s="71"/>
      <c r="L928" s="71"/>
      <c r="M928" s="71"/>
      <c r="N928" s="71"/>
      <c r="O928" s="71"/>
      <c r="P928" s="71"/>
      <c r="Q928" s="71"/>
      <c r="R928" s="71"/>
      <c r="S928" s="71"/>
      <c r="T928" s="105"/>
      <c r="U928" s="71"/>
      <c r="V928" s="71"/>
      <c r="W928" s="71"/>
      <c r="X928" s="71"/>
      <c r="Y928" s="71"/>
      <c r="Z928" s="71"/>
      <c r="AA928" s="71"/>
      <c r="AB928" s="71"/>
      <c r="AC928" s="71"/>
      <c r="AD928" s="71"/>
      <c r="AE928" s="71"/>
      <c r="AF928" s="71"/>
      <c r="AG928" s="71"/>
      <c r="AH928" s="71"/>
      <c r="AI928" s="71"/>
      <c r="AJ928" s="71"/>
      <c r="AK928" s="71"/>
    </row>
    <row r="929" spans="1:37" ht="12.75" customHeight="1" x14ac:dyDescent="0.2">
      <c r="A929" s="71"/>
      <c r="B929" s="71"/>
      <c r="C929" s="71"/>
      <c r="D929" s="71"/>
      <c r="E929" s="71"/>
      <c r="F929" s="71"/>
      <c r="G929" s="71"/>
      <c r="H929" s="71"/>
      <c r="I929" s="71"/>
      <c r="J929" s="71"/>
      <c r="K929" s="71"/>
      <c r="L929" s="71"/>
      <c r="M929" s="71"/>
      <c r="N929" s="71"/>
      <c r="O929" s="71"/>
      <c r="P929" s="71"/>
      <c r="Q929" s="71"/>
      <c r="R929" s="71"/>
      <c r="S929" s="71"/>
      <c r="T929" s="105"/>
      <c r="U929" s="71"/>
      <c r="V929" s="71"/>
      <c r="W929" s="71"/>
      <c r="X929" s="71"/>
      <c r="Y929" s="71"/>
      <c r="Z929" s="71"/>
      <c r="AA929" s="71"/>
      <c r="AB929" s="71"/>
      <c r="AC929" s="71"/>
      <c r="AD929" s="71"/>
      <c r="AE929" s="71"/>
      <c r="AF929" s="71"/>
      <c r="AG929" s="71"/>
      <c r="AH929" s="71"/>
      <c r="AI929" s="71"/>
      <c r="AJ929" s="71"/>
      <c r="AK929" s="71"/>
    </row>
    <row r="930" spans="1:37" ht="12.75" customHeight="1" x14ac:dyDescent="0.2">
      <c r="A930" s="71"/>
      <c r="B930" s="71"/>
      <c r="C930" s="71"/>
      <c r="D930" s="71"/>
      <c r="E930" s="71"/>
      <c r="F930" s="71"/>
      <c r="G930" s="71"/>
      <c r="H930" s="71"/>
      <c r="I930" s="71"/>
      <c r="J930" s="71"/>
      <c r="K930" s="71"/>
      <c r="L930" s="71"/>
      <c r="M930" s="71"/>
      <c r="N930" s="71"/>
      <c r="O930" s="71"/>
      <c r="P930" s="71"/>
      <c r="Q930" s="71"/>
      <c r="R930" s="71"/>
      <c r="S930" s="71"/>
      <c r="T930" s="105"/>
      <c r="U930" s="71"/>
      <c r="V930" s="71"/>
      <c r="W930" s="71"/>
      <c r="X930" s="71"/>
      <c r="Y930" s="71"/>
      <c r="Z930" s="71"/>
      <c r="AA930" s="71"/>
      <c r="AB930" s="71"/>
      <c r="AC930" s="71"/>
      <c r="AD930" s="71"/>
      <c r="AE930" s="71"/>
      <c r="AF930" s="71"/>
      <c r="AG930" s="71"/>
      <c r="AH930" s="71"/>
      <c r="AI930" s="71"/>
      <c r="AJ930" s="71"/>
      <c r="AK930" s="71"/>
    </row>
    <row r="931" spans="1:37" ht="12.75" customHeight="1" x14ac:dyDescent="0.2">
      <c r="A931" s="71"/>
      <c r="B931" s="71"/>
      <c r="C931" s="71"/>
      <c r="D931" s="71"/>
      <c r="E931" s="71"/>
      <c r="F931" s="71"/>
      <c r="G931" s="71"/>
      <c r="H931" s="71"/>
      <c r="I931" s="71"/>
      <c r="J931" s="71"/>
      <c r="K931" s="71"/>
      <c r="L931" s="71"/>
      <c r="M931" s="71"/>
      <c r="N931" s="71"/>
      <c r="O931" s="71"/>
      <c r="P931" s="71"/>
      <c r="Q931" s="71"/>
      <c r="R931" s="71"/>
      <c r="S931" s="71"/>
      <c r="T931" s="105"/>
      <c r="U931" s="71"/>
      <c r="V931" s="71"/>
      <c r="W931" s="71"/>
      <c r="X931" s="71"/>
      <c r="Y931" s="71"/>
      <c r="Z931" s="71"/>
      <c r="AA931" s="71"/>
      <c r="AB931" s="71"/>
      <c r="AC931" s="71"/>
      <c r="AD931" s="71"/>
      <c r="AE931" s="71"/>
      <c r="AF931" s="71"/>
      <c r="AG931" s="71"/>
      <c r="AH931" s="71"/>
      <c r="AI931" s="71"/>
      <c r="AJ931" s="71"/>
      <c r="AK931" s="71"/>
    </row>
    <row r="932" spans="1:37" ht="12.75" customHeight="1" x14ac:dyDescent="0.2">
      <c r="A932" s="71"/>
      <c r="B932" s="71"/>
      <c r="C932" s="71"/>
      <c r="D932" s="71"/>
      <c r="E932" s="71"/>
      <c r="F932" s="71"/>
      <c r="G932" s="71"/>
      <c r="H932" s="71"/>
      <c r="I932" s="71"/>
      <c r="J932" s="71"/>
      <c r="K932" s="71"/>
      <c r="L932" s="71"/>
      <c r="M932" s="71"/>
      <c r="N932" s="71"/>
      <c r="O932" s="71"/>
      <c r="P932" s="71"/>
      <c r="Q932" s="71"/>
      <c r="R932" s="71"/>
      <c r="S932" s="71"/>
      <c r="T932" s="105"/>
      <c r="U932" s="71"/>
      <c r="V932" s="71"/>
      <c r="W932" s="71"/>
      <c r="X932" s="71"/>
      <c r="Y932" s="71"/>
      <c r="Z932" s="71"/>
      <c r="AA932" s="71"/>
      <c r="AB932" s="71"/>
      <c r="AC932" s="71"/>
      <c r="AD932" s="71"/>
      <c r="AE932" s="71"/>
      <c r="AF932" s="71"/>
      <c r="AG932" s="71"/>
      <c r="AH932" s="71"/>
      <c r="AI932" s="71"/>
      <c r="AJ932" s="71"/>
      <c r="AK932" s="71"/>
    </row>
    <row r="933" spans="1:37" ht="12.75" customHeight="1" x14ac:dyDescent="0.2">
      <c r="A933" s="71"/>
      <c r="B933" s="71"/>
      <c r="C933" s="71"/>
      <c r="D933" s="71"/>
      <c r="E933" s="71"/>
      <c r="F933" s="71"/>
      <c r="G933" s="71"/>
      <c r="H933" s="71"/>
      <c r="I933" s="71"/>
      <c r="J933" s="71"/>
      <c r="K933" s="71"/>
      <c r="L933" s="71"/>
      <c r="M933" s="71"/>
      <c r="N933" s="71"/>
      <c r="O933" s="71"/>
      <c r="P933" s="71"/>
      <c r="Q933" s="71"/>
      <c r="R933" s="71"/>
      <c r="S933" s="71"/>
      <c r="T933" s="105"/>
      <c r="U933" s="71"/>
      <c r="V933" s="71"/>
      <c r="W933" s="71"/>
      <c r="X933" s="71"/>
      <c r="Y933" s="71"/>
      <c r="Z933" s="71"/>
      <c r="AA933" s="71"/>
      <c r="AB933" s="71"/>
      <c r="AC933" s="71"/>
      <c r="AD933" s="71"/>
      <c r="AE933" s="71"/>
      <c r="AF933" s="71"/>
      <c r="AG933" s="71"/>
      <c r="AH933" s="71"/>
      <c r="AI933" s="71"/>
      <c r="AJ933" s="71"/>
      <c r="AK933" s="71"/>
    </row>
    <row r="934" spans="1:37" ht="12.75" customHeight="1" x14ac:dyDescent="0.2">
      <c r="A934" s="71"/>
      <c r="B934" s="71"/>
      <c r="C934" s="71"/>
      <c r="D934" s="71"/>
      <c r="E934" s="71"/>
      <c r="F934" s="71"/>
      <c r="G934" s="71"/>
      <c r="H934" s="71"/>
      <c r="I934" s="71"/>
      <c r="J934" s="71"/>
      <c r="K934" s="71"/>
      <c r="L934" s="71"/>
      <c r="M934" s="71"/>
      <c r="N934" s="71"/>
      <c r="O934" s="71"/>
      <c r="P934" s="71"/>
      <c r="Q934" s="71"/>
      <c r="R934" s="71"/>
      <c r="S934" s="71"/>
      <c r="T934" s="105"/>
      <c r="U934" s="71"/>
      <c r="V934" s="71"/>
      <c r="W934" s="71"/>
      <c r="X934" s="71"/>
      <c r="Y934" s="71"/>
      <c r="Z934" s="71"/>
      <c r="AA934" s="71"/>
      <c r="AB934" s="71"/>
      <c r="AC934" s="71"/>
      <c r="AD934" s="71"/>
      <c r="AE934" s="71"/>
      <c r="AF934" s="71"/>
      <c r="AG934" s="71"/>
      <c r="AH934" s="71"/>
      <c r="AI934" s="71"/>
      <c r="AJ934" s="71"/>
      <c r="AK934" s="71"/>
    </row>
    <row r="935" spans="1:37" ht="12.75" customHeight="1" x14ac:dyDescent="0.2">
      <c r="A935" s="71"/>
      <c r="B935" s="71"/>
      <c r="C935" s="71"/>
      <c r="D935" s="71"/>
      <c r="E935" s="71"/>
      <c r="F935" s="71"/>
      <c r="G935" s="71"/>
      <c r="H935" s="71"/>
      <c r="I935" s="71"/>
      <c r="J935" s="71"/>
      <c r="K935" s="71"/>
      <c r="L935" s="71"/>
      <c r="M935" s="71"/>
      <c r="N935" s="71"/>
      <c r="O935" s="71"/>
      <c r="P935" s="71"/>
      <c r="Q935" s="71"/>
      <c r="R935" s="71"/>
      <c r="S935" s="71"/>
      <c r="T935" s="105"/>
      <c r="U935" s="71"/>
      <c r="V935" s="71"/>
      <c r="W935" s="71"/>
      <c r="X935" s="71"/>
      <c r="Y935" s="71"/>
      <c r="Z935" s="71"/>
      <c r="AA935" s="71"/>
      <c r="AB935" s="71"/>
      <c r="AC935" s="71"/>
      <c r="AD935" s="71"/>
      <c r="AE935" s="71"/>
      <c r="AF935" s="71"/>
      <c r="AG935" s="71"/>
      <c r="AH935" s="71"/>
      <c r="AI935" s="71"/>
      <c r="AJ935" s="71"/>
      <c r="AK935" s="71"/>
    </row>
    <row r="936" spans="1:37" ht="12.75" customHeight="1" x14ac:dyDescent="0.2">
      <c r="A936" s="71"/>
      <c r="B936" s="71"/>
      <c r="C936" s="71"/>
      <c r="D936" s="71"/>
      <c r="E936" s="71"/>
      <c r="F936" s="71"/>
      <c r="G936" s="71"/>
      <c r="H936" s="71"/>
      <c r="I936" s="71"/>
      <c r="J936" s="71"/>
      <c r="K936" s="71"/>
      <c r="L936" s="71"/>
      <c r="M936" s="71"/>
      <c r="N936" s="71"/>
      <c r="O936" s="71"/>
      <c r="P936" s="71"/>
      <c r="Q936" s="71"/>
      <c r="R936" s="71"/>
      <c r="S936" s="71"/>
      <c r="T936" s="105"/>
      <c r="U936" s="71"/>
      <c r="V936" s="71"/>
      <c r="W936" s="71"/>
      <c r="X936" s="71"/>
      <c r="Y936" s="71"/>
      <c r="Z936" s="71"/>
      <c r="AA936" s="71"/>
      <c r="AB936" s="71"/>
      <c r="AC936" s="71"/>
      <c r="AD936" s="71"/>
      <c r="AE936" s="71"/>
      <c r="AF936" s="71"/>
      <c r="AG936" s="71"/>
      <c r="AH936" s="71"/>
      <c r="AI936" s="71"/>
      <c r="AJ936" s="71"/>
      <c r="AK936" s="71"/>
    </row>
    <row r="937" spans="1:37" ht="12.75" customHeight="1" x14ac:dyDescent="0.2">
      <c r="A937" s="71"/>
      <c r="B937" s="71"/>
      <c r="C937" s="71"/>
      <c r="D937" s="71"/>
      <c r="E937" s="71"/>
      <c r="F937" s="71"/>
      <c r="G937" s="71"/>
      <c r="H937" s="71"/>
      <c r="I937" s="71"/>
      <c r="J937" s="71"/>
      <c r="K937" s="71"/>
      <c r="L937" s="71"/>
      <c r="M937" s="71"/>
      <c r="N937" s="71"/>
      <c r="O937" s="71"/>
      <c r="P937" s="71"/>
      <c r="Q937" s="71"/>
      <c r="R937" s="71"/>
      <c r="S937" s="71"/>
      <c r="T937" s="105"/>
      <c r="U937" s="71"/>
      <c r="V937" s="71"/>
      <c r="W937" s="71"/>
      <c r="X937" s="71"/>
      <c r="Y937" s="71"/>
      <c r="Z937" s="71"/>
      <c r="AA937" s="71"/>
      <c r="AB937" s="71"/>
      <c r="AC937" s="71"/>
      <c r="AD937" s="71"/>
      <c r="AE937" s="71"/>
      <c r="AF937" s="71"/>
      <c r="AG937" s="71"/>
      <c r="AH937" s="71"/>
      <c r="AI937" s="71"/>
      <c r="AJ937" s="71"/>
      <c r="AK937" s="71"/>
    </row>
    <row r="938" spans="1:37" ht="12.75" customHeight="1" x14ac:dyDescent="0.2">
      <c r="A938" s="71"/>
      <c r="B938" s="71"/>
      <c r="C938" s="71"/>
      <c r="D938" s="71"/>
      <c r="E938" s="71"/>
      <c r="F938" s="71"/>
      <c r="G938" s="71"/>
      <c r="H938" s="71"/>
      <c r="I938" s="71"/>
      <c r="J938" s="71"/>
      <c r="K938" s="71"/>
      <c r="L938" s="71"/>
      <c r="M938" s="71"/>
      <c r="N938" s="71"/>
      <c r="O938" s="71"/>
      <c r="P938" s="71"/>
      <c r="Q938" s="71"/>
      <c r="R938" s="71"/>
      <c r="S938" s="71"/>
      <c r="T938" s="105"/>
      <c r="U938" s="71"/>
      <c r="V938" s="71"/>
      <c r="W938" s="71"/>
      <c r="X938" s="71"/>
      <c r="Y938" s="71"/>
      <c r="Z938" s="71"/>
      <c r="AA938" s="71"/>
      <c r="AB938" s="71"/>
      <c r="AC938" s="71"/>
      <c r="AD938" s="71"/>
      <c r="AE938" s="71"/>
      <c r="AF938" s="71"/>
      <c r="AG938" s="71"/>
      <c r="AH938" s="71"/>
      <c r="AI938" s="71"/>
      <c r="AJ938" s="71"/>
      <c r="AK938" s="71"/>
    </row>
    <row r="939" spans="1:37" ht="12.75" customHeight="1" x14ac:dyDescent="0.2">
      <c r="A939" s="71"/>
      <c r="B939" s="71"/>
      <c r="C939" s="71"/>
      <c r="D939" s="71"/>
      <c r="E939" s="71"/>
      <c r="F939" s="71"/>
      <c r="G939" s="71"/>
      <c r="H939" s="71"/>
      <c r="I939" s="71"/>
      <c r="J939" s="71"/>
      <c r="K939" s="71"/>
      <c r="L939" s="71"/>
      <c r="M939" s="71"/>
      <c r="N939" s="71"/>
      <c r="O939" s="71"/>
      <c r="P939" s="71"/>
      <c r="Q939" s="71"/>
      <c r="R939" s="71"/>
      <c r="S939" s="71"/>
      <c r="T939" s="105"/>
      <c r="U939" s="71"/>
      <c r="V939" s="71"/>
      <c r="W939" s="71"/>
      <c r="X939" s="71"/>
      <c r="Y939" s="71"/>
      <c r="Z939" s="71"/>
      <c r="AA939" s="71"/>
      <c r="AB939" s="71"/>
      <c r="AC939" s="71"/>
      <c r="AD939" s="71"/>
      <c r="AE939" s="71"/>
      <c r="AF939" s="71"/>
      <c r="AG939" s="71"/>
      <c r="AH939" s="71"/>
      <c r="AI939" s="71"/>
      <c r="AJ939" s="71"/>
      <c r="AK939" s="71"/>
    </row>
    <row r="940" spans="1:37" ht="12.75" customHeight="1" x14ac:dyDescent="0.2">
      <c r="A940" s="71"/>
      <c r="B940" s="71"/>
      <c r="C940" s="71"/>
      <c r="D940" s="71"/>
      <c r="E940" s="71"/>
      <c r="F940" s="71"/>
      <c r="G940" s="71"/>
      <c r="H940" s="71"/>
      <c r="I940" s="71"/>
      <c r="J940" s="71"/>
      <c r="K940" s="71"/>
      <c r="L940" s="71"/>
      <c r="M940" s="71"/>
      <c r="N940" s="71"/>
      <c r="O940" s="71"/>
      <c r="P940" s="71"/>
      <c r="Q940" s="71"/>
      <c r="R940" s="71"/>
      <c r="S940" s="71"/>
      <c r="T940" s="105"/>
      <c r="U940" s="71"/>
      <c r="V940" s="71"/>
      <c r="W940" s="71"/>
      <c r="X940" s="71"/>
      <c r="Y940" s="71"/>
      <c r="Z940" s="71"/>
      <c r="AA940" s="71"/>
      <c r="AB940" s="71"/>
      <c r="AC940" s="71"/>
      <c r="AD940" s="71"/>
      <c r="AE940" s="71"/>
      <c r="AF940" s="71"/>
      <c r="AG940" s="71"/>
      <c r="AH940" s="71"/>
      <c r="AI940" s="71"/>
      <c r="AJ940" s="71"/>
      <c r="AK940" s="71"/>
    </row>
    <row r="941" spans="1:37" ht="12.75" customHeight="1" x14ac:dyDescent="0.2">
      <c r="A941" s="71"/>
      <c r="B941" s="71"/>
      <c r="C941" s="71"/>
      <c r="D941" s="71"/>
      <c r="E941" s="71"/>
      <c r="F941" s="71"/>
      <c r="G941" s="71"/>
      <c r="H941" s="71"/>
      <c r="I941" s="71"/>
      <c r="J941" s="71"/>
      <c r="K941" s="71"/>
      <c r="L941" s="71"/>
      <c r="M941" s="71"/>
      <c r="N941" s="71"/>
      <c r="O941" s="71"/>
      <c r="P941" s="71"/>
      <c r="Q941" s="71"/>
      <c r="R941" s="71"/>
      <c r="S941" s="71"/>
      <c r="T941" s="105"/>
      <c r="U941" s="71"/>
      <c r="V941" s="71"/>
      <c r="W941" s="71"/>
      <c r="X941" s="71"/>
      <c r="Y941" s="71"/>
      <c r="Z941" s="71"/>
      <c r="AA941" s="71"/>
      <c r="AB941" s="71"/>
      <c r="AC941" s="71"/>
      <c r="AD941" s="71"/>
      <c r="AE941" s="71"/>
      <c r="AF941" s="71"/>
      <c r="AG941" s="71"/>
      <c r="AH941" s="71"/>
      <c r="AI941" s="71"/>
      <c r="AJ941" s="71"/>
      <c r="AK941" s="71"/>
    </row>
    <row r="942" spans="1:37" ht="12.75" customHeight="1" x14ac:dyDescent="0.2">
      <c r="A942" s="71"/>
      <c r="B942" s="71"/>
      <c r="C942" s="71"/>
      <c r="D942" s="71"/>
      <c r="E942" s="71"/>
      <c r="F942" s="71"/>
      <c r="G942" s="71"/>
      <c r="H942" s="71"/>
      <c r="I942" s="71"/>
      <c r="J942" s="71"/>
      <c r="K942" s="71"/>
      <c r="L942" s="71"/>
      <c r="M942" s="71"/>
      <c r="N942" s="71"/>
      <c r="O942" s="71"/>
      <c r="P942" s="71"/>
      <c r="Q942" s="71"/>
      <c r="R942" s="71"/>
      <c r="S942" s="71"/>
      <c r="T942" s="105"/>
      <c r="U942" s="71"/>
      <c r="V942" s="71"/>
      <c r="W942" s="71"/>
      <c r="X942" s="71"/>
      <c r="Y942" s="71"/>
      <c r="Z942" s="71"/>
      <c r="AA942" s="71"/>
      <c r="AB942" s="71"/>
      <c r="AC942" s="71"/>
      <c r="AD942" s="71"/>
      <c r="AE942" s="71"/>
      <c r="AF942" s="71"/>
      <c r="AG942" s="71"/>
      <c r="AH942" s="71"/>
      <c r="AI942" s="71"/>
      <c r="AJ942" s="71"/>
      <c r="AK942" s="71"/>
    </row>
    <row r="943" spans="1:37" ht="12.75" customHeight="1" x14ac:dyDescent="0.2">
      <c r="A943" s="71"/>
      <c r="B943" s="71"/>
      <c r="C943" s="71"/>
      <c r="D943" s="71"/>
      <c r="E943" s="71"/>
      <c r="F943" s="71"/>
      <c r="G943" s="71"/>
      <c r="H943" s="71"/>
      <c r="I943" s="71"/>
      <c r="J943" s="71"/>
      <c r="K943" s="71"/>
      <c r="L943" s="71"/>
      <c r="M943" s="71"/>
      <c r="N943" s="71"/>
      <c r="O943" s="71"/>
      <c r="P943" s="71"/>
      <c r="Q943" s="71"/>
      <c r="R943" s="71"/>
      <c r="S943" s="71"/>
      <c r="T943" s="105"/>
      <c r="U943" s="71"/>
      <c r="V943" s="71"/>
      <c r="W943" s="71"/>
      <c r="X943" s="71"/>
      <c r="Y943" s="71"/>
      <c r="Z943" s="71"/>
      <c r="AA943" s="71"/>
      <c r="AB943" s="71"/>
      <c r="AC943" s="71"/>
      <c r="AD943" s="71"/>
      <c r="AE943" s="71"/>
      <c r="AF943" s="71"/>
      <c r="AG943" s="71"/>
      <c r="AH943" s="71"/>
      <c r="AI943" s="71"/>
      <c r="AJ943" s="71"/>
      <c r="AK943" s="71"/>
    </row>
    <row r="944" spans="1:37" ht="12.75" customHeight="1" x14ac:dyDescent="0.2">
      <c r="A944" s="71"/>
      <c r="B944" s="71"/>
      <c r="C944" s="71"/>
      <c r="D944" s="71"/>
      <c r="E944" s="71"/>
      <c r="F944" s="71"/>
      <c r="G944" s="71"/>
      <c r="H944" s="71"/>
      <c r="I944" s="71"/>
      <c r="J944" s="71"/>
      <c r="K944" s="71"/>
      <c r="L944" s="71"/>
      <c r="M944" s="71"/>
      <c r="N944" s="71"/>
      <c r="O944" s="71"/>
      <c r="P944" s="71"/>
      <c r="Q944" s="71"/>
      <c r="R944" s="71"/>
      <c r="S944" s="71"/>
      <c r="T944" s="105"/>
      <c r="U944" s="71"/>
      <c r="V944" s="71"/>
      <c r="W944" s="71"/>
      <c r="X944" s="71"/>
      <c r="Y944" s="71"/>
      <c r="Z944" s="71"/>
      <c r="AA944" s="71"/>
      <c r="AB944" s="71"/>
      <c r="AC944" s="71"/>
      <c r="AD944" s="71"/>
      <c r="AE944" s="71"/>
      <c r="AF944" s="71"/>
      <c r="AG944" s="71"/>
      <c r="AH944" s="71"/>
      <c r="AI944" s="71"/>
      <c r="AJ944" s="71"/>
      <c r="AK944" s="71"/>
    </row>
    <row r="945" spans="1:37" ht="12.75" customHeight="1" x14ac:dyDescent="0.2">
      <c r="A945" s="71"/>
      <c r="B945" s="71"/>
      <c r="C945" s="71"/>
      <c r="D945" s="71"/>
      <c r="E945" s="71"/>
      <c r="F945" s="71"/>
      <c r="G945" s="71"/>
      <c r="H945" s="71"/>
      <c r="I945" s="71"/>
      <c r="J945" s="71"/>
      <c r="K945" s="71"/>
      <c r="L945" s="71"/>
      <c r="M945" s="71"/>
      <c r="N945" s="71"/>
      <c r="O945" s="71"/>
      <c r="P945" s="71"/>
      <c r="Q945" s="71"/>
      <c r="R945" s="71"/>
      <c r="S945" s="71"/>
      <c r="T945" s="105"/>
      <c r="U945" s="71"/>
      <c r="V945" s="71"/>
      <c r="W945" s="71"/>
      <c r="X945" s="71"/>
      <c r="Y945" s="71"/>
      <c r="Z945" s="71"/>
      <c r="AA945" s="71"/>
      <c r="AB945" s="71"/>
      <c r="AC945" s="71"/>
      <c r="AD945" s="71"/>
      <c r="AE945" s="71"/>
      <c r="AF945" s="71"/>
      <c r="AG945" s="71"/>
      <c r="AH945" s="71"/>
      <c r="AI945" s="71"/>
      <c r="AJ945" s="71"/>
      <c r="AK945" s="71"/>
    </row>
    <row r="946" spans="1:37" ht="12.75" customHeight="1" x14ac:dyDescent="0.2">
      <c r="A946" s="71"/>
      <c r="B946" s="71"/>
      <c r="C946" s="71"/>
      <c r="D946" s="71"/>
      <c r="E946" s="71"/>
      <c r="F946" s="71"/>
      <c r="G946" s="71"/>
      <c r="H946" s="71"/>
      <c r="I946" s="71"/>
      <c r="J946" s="71"/>
      <c r="K946" s="71"/>
      <c r="L946" s="71"/>
      <c r="M946" s="71"/>
      <c r="N946" s="71"/>
      <c r="O946" s="71"/>
      <c r="P946" s="71"/>
      <c r="Q946" s="71"/>
      <c r="R946" s="71"/>
      <c r="S946" s="71"/>
      <c r="T946" s="105"/>
      <c r="U946" s="71"/>
      <c r="V946" s="71"/>
      <c r="W946" s="71"/>
      <c r="X946" s="71"/>
      <c r="Y946" s="71"/>
      <c r="Z946" s="71"/>
      <c r="AA946" s="71"/>
      <c r="AB946" s="71"/>
      <c r="AC946" s="71"/>
      <c r="AD946" s="71"/>
      <c r="AE946" s="71"/>
      <c r="AF946" s="71"/>
      <c r="AG946" s="71"/>
      <c r="AH946" s="71"/>
      <c r="AI946" s="71"/>
      <c r="AJ946" s="71"/>
      <c r="AK946" s="71"/>
    </row>
    <row r="947" spans="1:37" ht="12.75" customHeight="1" x14ac:dyDescent="0.2">
      <c r="A947" s="71"/>
      <c r="B947" s="71"/>
      <c r="C947" s="71"/>
      <c r="D947" s="71"/>
      <c r="E947" s="71"/>
      <c r="F947" s="71"/>
      <c r="G947" s="71"/>
      <c r="H947" s="71"/>
      <c r="I947" s="71"/>
      <c r="J947" s="71"/>
      <c r="K947" s="71"/>
      <c r="L947" s="71"/>
      <c r="M947" s="71"/>
      <c r="N947" s="71"/>
      <c r="O947" s="71"/>
      <c r="P947" s="71"/>
      <c r="Q947" s="71"/>
      <c r="R947" s="71"/>
      <c r="S947" s="71"/>
      <c r="T947" s="105"/>
      <c r="U947" s="71"/>
      <c r="V947" s="71"/>
      <c r="W947" s="71"/>
      <c r="X947" s="71"/>
      <c r="Y947" s="71"/>
      <c r="Z947" s="71"/>
      <c r="AA947" s="71"/>
      <c r="AB947" s="71"/>
      <c r="AC947" s="71"/>
      <c r="AD947" s="71"/>
      <c r="AE947" s="71"/>
      <c r="AF947" s="71"/>
      <c r="AG947" s="71"/>
      <c r="AH947" s="71"/>
      <c r="AI947" s="71"/>
      <c r="AJ947" s="71"/>
      <c r="AK947" s="71"/>
    </row>
    <row r="948" spans="1:37" ht="12.75" customHeight="1" x14ac:dyDescent="0.2">
      <c r="A948" s="71"/>
      <c r="B948" s="71"/>
      <c r="C948" s="71"/>
      <c r="D948" s="71"/>
      <c r="E948" s="71"/>
      <c r="F948" s="71"/>
      <c r="G948" s="71"/>
      <c r="H948" s="71"/>
      <c r="I948" s="71"/>
      <c r="J948" s="71"/>
      <c r="K948" s="71"/>
      <c r="L948" s="71"/>
      <c r="M948" s="71"/>
      <c r="N948" s="71"/>
      <c r="O948" s="71"/>
      <c r="P948" s="71"/>
      <c r="Q948" s="71"/>
      <c r="R948" s="71"/>
      <c r="S948" s="71"/>
      <c r="T948" s="105"/>
      <c r="U948" s="71"/>
      <c r="V948" s="71"/>
      <c r="W948" s="71"/>
      <c r="X948" s="71"/>
      <c r="Y948" s="71"/>
      <c r="Z948" s="71"/>
      <c r="AA948" s="71"/>
      <c r="AB948" s="71"/>
      <c r="AC948" s="71"/>
      <c r="AD948" s="71"/>
      <c r="AE948" s="71"/>
      <c r="AF948" s="71"/>
      <c r="AG948" s="71"/>
      <c r="AH948" s="71"/>
      <c r="AI948" s="71"/>
      <c r="AJ948" s="71"/>
      <c r="AK948" s="71"/>
    </row>
    <row r="949" spans="1:37" ht="12.75" customHeight="1" x14ac:dyDescent="0.2">
      <c r="A949" s="71"/>
      <c r="B949" s="71"/>
      <c r="C949" s="71"/>
      <c r="D949" s="71"/>
      <c r="E949" s="71"/>
      <c r="F949" s="71"/>
      <c r="G949" s="71"/>
      <c r="H949" s="71"/>
      <c r="I949" s="71"/>
      <c r="J949" s="71"/>
      <c r="K949" s="71"/>
      <c r="L949" s="71"/>
      <c r="M949" s="71"/>
      <c r="N949" s="71"/>
      <c r="O949" s="71"/>
      <c r="P949" s="71"/>
      <c r="Q949" s="71"/>
      <c r="R949" s="71"/>
      <c r="S949" s="71"/>
      <c r="T949" s="105"/>
      <c r="U949" s="71"/>
      <c r="V949" s="71"/>
      <c r="W949" s="71"/>
      <c r="X949" s="71"/>
      <c r="Y949" s="71"/>
      <c r="Z949" s="71"/>
      <c r="AA949" s="71"/>
      <c r="AB949" s="71"/>
      <c r="AC949" s="71"/>
      <c r="AD949" s="71"/>
      <c r="AE949" s="71"/>
      <c r="AF949" s="71"/>
      <c r="AG949" s="71"/>
      <c r="AH949" s="71"/>
      <c r="AI949" s="71"/>
      <c r="AJ949" s="71"/>
      <c r="AK949" s="71"/>
    </row>
    <row r="950" spans="1:37" ht="12.75" customHeight="1" x14ac:dyDescent="0.2">
      <c r="A950" s="71"/>
      <c r="B950" s="71"/>
      <c r="C950" s="71"/>
      <c r="D950" s="71"/>
      <c r="E950" s="71"/>
      <c r="F950" s="71"/>
      <c r="G950" s="71"/>
      <c r="H950" s="71"/>
      <c r="I950" s="71"/>
      <c r="J950" s="71"/>
      <c r="K950" s="71"/>
      <c r="L950" s="71"/>
      <c r="M950" s="71"/>
      <c r="N950" s="71"/>
      <c r="O950" s="71"/>
      <c r="P950" s="71"/>
      <c r="Q950" s="71"/>
      <c r="R950" s="71"/>
      <c r="S950" s="71"/>
      <c r="T950" s="105"/>
      <c r="U950" s="71"/>
      <c r="V950" s="71"/>
      <c r="W950" s="71"/>
      <c r="X950" s="71"/>
      <c r="Y950" s="71"/>
      <c r="Z950" s="71"/>
      <c r="AA950" s="71"/>
      <c r="AB950" s="71"/>
      <c r="AC950" s="71"/>
      <c r="AD950" s="71"/>
      <c r="AE950" s="71"/>
      <c r="AF950" s="71"/>
      <c r="AG950" s="71"/>
      <c r="AH950" s="71"/>
      <c r="AI950" s="71"/>
      <c r="AJ950" s="71"/>
      <c r="AK950" s="71"/>
    </row>
    <row r="951" spans="1:37" ht="12.75" customHeight="1" x14ac:dyDescent="0.2">
      <c r="A951" s="71"/>
      <c r="B951" s="71"/>
      <c r="C951" s="71"/>
      <c r="D951" s="71"/>
      <c r="E951" s="71"/>
      <c r="F951" s="71"/>
      <c r="G951" s="71"/>
      <c r="H951" s="71"/>
      <c r="I951" s="71"/>
      <c r="J951" s="71"/>
      <c r="K951" s="71"/>
      <c r="L951" s="71"/>
      <c r="M951" s="71"/>
      <c r="N951" s="71"/>
      <c r="O951" s="71"/>
      <c r="P951" s="71"/>
      <c r="Q951" s="71"/>
      <c r="R951" s="71"/>
      <c r="S951" s="71"/>
      <c r="T951" s="105"/>
      <c r="U951" s="71"/>
      <c r="V951" s="71"/>
      <c r="W951" s="71"/>
      <c r="X951" s="71"/>
      <c r="Y951" s="71"/>
      <c r="Z951" s="71"/>
      <c r="AA951" s="71"/>
      <c r="AB951" s="71"/>
      <c r="AC951" s="71"/>
      <c r="AD951" s="71"/>
      <c r="AE951" s="71"/>
      <c r="AF951" s="71"/>
      <c r="AG951" s="71"/>
      <c r="AH951" s="71"/>
      <c r="AI951" s="71"/>
      <c r="AJ951" s="71"/>
      <c r="AK951" s="71"/>
    </row>
    <row r="952" spans="1:37" ht="12.75" customHeight="1" x14ac:dyDescent="0.2">
      <c r="A952" s="71"/>
      <c r="B952" s="71"/>
      <c r="C952" s="71"/>
      <c r="D952" s="71"/>
      <c r="E952" s="71"/>
      <c r="F952" s="71"/>
      <c r="G952" s="71"/>
      <c r="H952" s="71"/>
      <c r="I952" s="71"/>
      <c r="J952" s="71"/>
      <c r="K952" s="71"/>
      <c r="L952" s="71"/>
      <c r="M952" s="71"/>
      <c r="N952" s="71"/>
      <c r="O952" s="71"/>
      <c r="P952" s="71"/>
      <c r="Q952" s="71"/>
      <c r="R952" s="71"/>
      <c r="S952" s="71"/>
      <c r="T952" s="105"/>
      <c r="U952" s="71"/>
      <c r="V952" s="71"/>
      <c r="W952" s="71"/>
      <c r="X952" s="71"/>
      <c r="Y952" s="71"/>
      <c r="Z952" s="71"/>
      <c r="AA952" s="71"/>
      <c r="AB952" s="71"/>
      <c r="AC952" s="71"/>
      <c r="AD952" s="71"/>
      <c r="AE952" s="71"/>
      <c r="AF952" s="71"/>
      <c r="AG952" s="71"/>
      <c r="AH952" s="71"/>
      <c r="AI952" s="71"/>
      <c r="AJ952" s="71"/>
      <c r="AK952" s="71"/>
    </row>
    <row r="953" spans="1:37" ht="12.75" customHeight="1" x14ac:dyDescent="0.2">
      <c r="A953" s="71"/>
      <c r="B953" s="71"/>
      <c r="C953" s="71"/>
      <c r="D953" s="71"/>
      <c r="E953" s="71"/>
      <c r="F953" s="71"/>
      <c r="G953" s="71"/>
      <c r="H953" s="71"/>
      <c r="I953" s="71"/>
      <c r="J953" s="71"/>
      <c r="K953" s="71"/>
      <c r="L953" s="71"/>
      <c r="M953" s="71"/>
      <c r="N953" s="71"/>
      <c r="O953" s="71"/>
      <c r="P953" s="71"/>
      <c r="Q953" s="71"/>
      <c r="R953" s="71"/>
      <c r="S953" s="71"/>
      <c r="T953" s="105"/>
      <c r="U953" s="71"/>
      <c r="V953" s="71"/>
      <c r="W953" s="71"/>
      <c r="X953" s="71"/>
      <c r="Y953" s="71"/>
      <c r="Z953" s="71"/>
      <c r="AA953" s="71"/>
      <c r="AB953" s="71"/>
      <c r="AC953" s="71"/>
      <c r="AD953" s="71"/>
      <c r="AE953" s="71"/>
      <c r="AF953" s="71"/>
      <c r="AG953" s="71"/>
      <c r="AH953" s="71"/>
      <c r="AI953" s="71"/>
      <c r="AJ953" s="71"/>
      <c r="AK953" s="71"/>
    </row>
    <row r="954" spans="1:37" ht="12.75" customHeight="1" x14ac:dyDescent="0.2">
      <c r="A954" s="71"/>
      <c r="B954" s="71"/>
      <c r="C954" s="71"/>
      <c r="D954" s="71"/>
      <c r="E954" s="71"/>
      <c r="F954" s="71"/>
      <c r="G954" s="71"/>
      <c r="H954" s="71"/>
      <c r="I954" s="71"/>
      <c r="J954" s="71"/>
      <c r="K954" s="71"/>
      <c r="L954" s="71"/>
      <c r="M954" s="71"/>
      <c r="N954" s="71"/>
      <c r="O954" s="71"/>
      <c r="P954" s="71"/>
      <c r="Q954" s="71"/>
      <c r="R954" s="71"/>
      <c r="S954" s="71"/>
      <c r="T954" s="105"/>
      <c r="U954" s="71"/>
      <c r="V954" s="71"/>
      <c r="W954" s="71"/>
      <c r="X954" s="71"/>
      <c r="Y954" s="71"/>
      <c r="Z954" s="71"/>
      <c r="AA954" s="71"/>
      <c r="AB954" s="71"/>
      <c r="AC954" s="71"/>
      <c r="AD954" s="71"/>
      <c r="AE954" s="71"/>
      <c r="AF954" s="71"/>
      <c r="AG954" s="71"/>
      <c r="AH954" s="71"/>
      <c r="AI954" s="71"/>
      <c r="AJ954" s="71"/>
      <c r="AK954" s="71"/>
    </row>
    <row r="955" spans="1:37" ht="12.75" customHeight="1" x14ac:dyDescent="0.2">
      <c r="A955" s="71"/>
      <c r="B955" s="71"/>
      <c r="C955" s="71"/>
      <c r="D955" s="71"/>
      <c r="E955" s="71"/>
      <c r="F955" s="71"/>
      <c r="G955" s="71"/>
      <c r="H955" s="71"/>
      <c r="I955" s="71"/>
      <c r="J955" s="71"/>
      <c r="K955" s="71"/>
      <c r="L955" s="71"/>
      <c r="M955" s="71"/>
      <c r="N955" s="71"/>
      <c r="O955" s="71"/>
      <c r="P955" s="71"/>
      <c r="Q955" s="71"/>
      <c r="R955" s="71"/>
      <c r="S955" s="71"/>
      <c r="T955" s="105"/>
      <c r="U955" s="71"/>
      <c r="V955" s="71"/>
      <c r="W955" s="71"/>
      <c r="X955" s="71"/>
      <c r="Y955" s="71"/>
      <c r="Z955" s="71"/>
      <c r="AA955" s="71"/>
      <c r="AB955" s="71"/>
      <c r="AC955" s="71"/>
      <c r="AD955" s="71"/>
      <c r="AE955" s="71"/>
      <c r="AF955" s="71"/>
      <c r="AG955" s="71"/>
      <c r="AH955" s="71"/>
      <c r="AI955" s="71"/>
      <c r="AJ955" s="71"/>
      <c r="AK955" s="71"/>
    </row>
    <row r="956" spans="1:37" ht="12.75" customHeight="1" x14ac:dyDescent="0.2">
      <c r="A956" s="71"/>
      <c r="B956" s="71"/>
      <c r="C956" s="71"/>
      <c r="D956" s="71"/>
      <c r="E956" s="71"/>
      <c r="F956" s="71"/>
      <c r="G956" s="71"/>
      <c r="H956" s="71"/>
      <c r="I956" s="71"/>
      <c r="J956" s="71"/>
      <c r="K956" s="71"/>
      <c r="L956" s="71"/>
      <c r="M956" s="71"/>
      <c r="N956" s="71"/>
      <c r="O956" s="71"/>
      <c r="P956" s="71"/>
      <c r="Q956" s="71"/>
      <c r="R956" s="71"/>
      <c r="S956" s="71"/>
      <c r="T956" s="105"/>
      <c r="U956" s="71"/>
      <c r="V956" s="71"/>
      <c r="W956" s="71"/>
      <c r="X956" s="71"/>
      <c r="Y956" s="71"/>
      <c r="Z956" s="71"/>
      <c r="AA956" s="71"/>
      <c r="AB956" s="71"/>
      <c r="AC956" s="71"/>
      <c r="AD956" s="71"/>
      <c r="AE956" s="71"/>
      <c r="AF956" s="71"/>
      <c r="AG956" s="71"/>
      <c r="AH956" s="71"/>
      <c r="AI956" s="71"/>
      <c r="AJ956" s="71"/>
      <c r="AK956" s="71"/>
    </row>
    <row r="957" spans="1:37" ht="12.75" customHeight="1" x14ac:dyDescent="0.2">
      <c r="A957" s="71"/>
      <c r="B957" s="71"/>
      <c r="C957" s="71"/>
      <c r="D957" s="71"/>
      <c r="E957" s="71"/>
      <c r="F957" s="71"/>
      <c r="G957" s="71"/>
      <c r="H957" s="71"/>
      <c r="I957" s="71"/>
      <c r="J957" s="71"/>
      <c r="K957" s="71"/>
      <c r="L957" s="71"/>
      <c r="M957" s="71"/>
      <c r="N957" s="71"/>
      <c r="O957" s="71"/>
      <c r="P957" s="71"/>
      <c r="Q957" s="71"/>
      <c r="R957" s="71"/>
      <c r="S957" s="71"/>
      <c r="T957" s="105"/>
      <c r="U957" s="71"/>
      <c r="V957" s="71"/>
      <c r="W957" s="71"/>
      <c r="X957" s="71"/>
      <c r="Y957" s="71"/>
      <c r="Z957" s="71"/>
      <c r="AA957" s="71"/>
      <c r="AB957" s="71"/>
      <c r="AC957" s="71"/>
      <c r="AD957" s="71"/>
      <c r="AE957" s="71"/>
      <c r="AF957" s="71"/>
      <c r="AG957" s="71"/>
      <c r="AH957" s="71"/>
      <c r="AI957" s="71"/>
      <c r="AJ957" s="71"/>
      <c r="AK957" s="71"/>
    </row>
    <row r="958" spans="1:37" ht="12.75" customHeight="1" x14ac:dyDescent="0.2">
      <c r="A958" s="71"/>
      <c r="B958" s="71"/>
      <c r="C958" s="71"/>
      <c r="D958" s="71"/>
      <c r="E958" s="71"/>
      <c r="F958" s="71"/>
      <c r="G958" s="71"/>
      <c r="H958" s="71"/>
      <c r="I958" s="71"/>
      <c r="J958" s="71"/>
      <c r="K958" s="71"/>
      <c r="L958" s="71"/>
      <c r="M958" s="71"/>
      <c r="N958" s="71"/>
      <c r="O958" s="71"/>
      <c r="P958" s="71"/>
      <c r="Q958" s="71"/>
      <c r="R958" s="71"/>
      <c r="S958" s="71"/>
      <c r="T958" s="105"/>
      <c r="U958" s="71"/>
      <c r="V958" s="71"/>
      <c r="W958" s="71"/>
      <c r="X958" s="71"/>
      <c r="Y958" s="71"/>
      <c r="Z958" s="71"/>
      <c r="AA958" s="71"/>
      <c r="AB958" s="71"/>
      <c r="AC958" s="71"/>
      <c r="AD958" s="71"/>
      <c r="AE958" s="71"/>
      <c r="AF958" s="71"/>
      <c r="AG958" s="71"/>
      <c r="AH958" s="71"/>
      <c r="AI958" s="71"/>
      <c r="AJ958" s="71"/>
      <c r="AK958" s="71"/>
    </row>
    <row r="959" spans="1:37" ht="12.75" customHeight="1" x14ac:dyDescent="0.2">
      <c r="A959" s="71"/>
      <c r="B959" s="71"/>
      <c r="C959" s="71"/>
      <c r="D959" s="71"/>
      <c r="E959" s="71"/>
      <c r="F959" s="71"/>
      <c r="G959" s="71"/>
      <c r="H959" s="71"/>
      <c r="I959" s="71"/>
      <c r="J959" s="71"/>
      <c r="K959" s="71"/>
      <c r="L959" s="71"/>
      <c r="M959" s="71"/>
      <c r="N959" s="71"/>
      <c r="O959" s="71"/>
      <c r="P959" s="71"/>
      <c r="Q959" s="71"/>
      <c r="R959" s="71"/>
      <c r="S959" s="71"/>
      <c r="T959" s="105"/>
      <c r="U959" s="71"/>
      <c r="V959" s="71"/>
      <c r="W959" s="71"/>
      <c r="X959" s="71"/>
      <c r="Y959" s="71"/>
      <c r="Z959" s="71"/>
      <c r="AA959" s="71"/>
      <c r="AB959" s="71"/>
      <c r="AC959" s="71"/>
      <c r="AD959" s="71"/>
      <c r="AE959" s="71"/>
      <c r="AF959" s="71"/>
      <c r="AG959" s="71"/>
      <c r="AH959" s="71"/>
      <c r="AI959" s="71"/>
      <c r="AJ959" s="71"/>
      <c r="AK959" s="71"/>
    </row>
    <row r="960" spans="1:37" ht="12.75" customHeight="1" x14ac:dyDescent="0.2">
      <c r="A960" s="71"/>
      <c r="B960" s="71"/>
      <c r="C960" s="71"/>
      <c r="D960" s="71"/>
      <c r="E960" s="71"/>
      <c r="F960" s="71"/>
      <c r="G960" s="71"/>
      <c r="H960" s="71"/>
      <c r="I960" s="71"/>
      <c r="J960" s="71"/>
      <c r="K960" s="71"/>
      <c r="L960" s="71"/>
      <c r="M960" s="71"/>
      <c r="N960" s="71"/>
      <c r="O960" s="71"/>
      <c r="P960" s="71"/>
      <c r="Q960" s="71"/>
      <c r="R960" s="71"/>
      <c r="S960" s="71"/>
      <c r="T960" s="105"/>
      <c r="U960" s="71"/>
      <c r="V960" s="71"/>
      <c r="W960" s="71"/>
      <c r="X960" s="71"/>
      <c r="Y960" s="71"/>
      <c r="Z960" s="71"/>
      <c r="AA960" s="71"/>
      <c r="AB960" s="71"/>
      <c r="AC960" s="71"/>
      <c r="AD960" s="71"/>
      <c r="AE960" s="71"/>
      <c r="AF960" s="71"/>
      <c r="AG960" s="71"/>
      <c r="AH960" s="71"/>
      <c r="AI960" s="71"/>
      <c r="AJ960" s="71"/>
      <c r="AK960" s="71"/>
    </row>
    <row r="961" spans="1:37" ht="12.75" customHeight="1" x14ac:dyDescent="0.2">
      <c r="A961" s="71"/>
      <c r="B961" s="71"/>
      <c r="C961" s="71"/>
      <c r="D961" s="71"/>
      <c r="E961" s="71"/>
      <c r="F961" s="71"/>
      <c r="G961" s="71"/>
      <c r="H961" s="71"/>
      <c r="I961" s="71"/>
      <c r="J961" s="71"/>
      <c r="K961" s="71"/>
      <c r="L961" s="71"/>
      <c r="M961" s="71"/>
      <c r="N961" s="71"/>
      <c r="O961" s="71"/>
      <c r="P961" s="71"/>
      <c r="Q961" s="71"/>
      <c r="R961" s="71"/>
      <c r="S961" s="71"/>
      <c r="T961" s="105"/>
      <c r="U961" s="71"/>
      <c r="V961" s="71"/>
      <c r="W961" s="71"/>
      <c r="X961" s="71"/>
      <c r="Y961" s="71"/>
      <c r="Z961" s="71"/>
      <c r="AA961" s="71"/>
      <c r="AB961" s="71"/>
      <c r="AC961" s="71"/>
      <c r="AD961" s="71"/>
      <c r="AE961" s="71"/>
      <c r="AF961" s="71"/>
      <c r="AG961" s="71"/>
      <c r="AH961" s="71"/>
      <c r="AI961" s="71"/>
      <c r="AJ961" s="71"/>
      <c r="AK961" s="71"/>
    </row>
    <row r="962" spans="1:37" ht="12.75" customHeight="1" x14ac:dyDescent="0.2">
      <c r="A962" s="71"/>
      <c r="B962" s="71"/>
      <c r="C962" s="71"/>
      <c r="D962" s="71"/>
      <c r="E962" s="71"/>
      <c r="F962" s="71"/>
      <c r="G962" s="71"/>
      <c r="H962" s="71"/>
      <c r="I962" s="71"/>
      <c r="J962" s="71"/>
      <c r="K962" s="71"/>
      <c r="L962" s="71"/>
      <c r="M962" s="71"/>
      <c r="N962" s="71"/>
      <c r="O962" s="71"/>
      <c r="P962" s="71"/>
      <c r="Q962" s="71"/>
      <c r="R962" s="71"/>
      <c r="S962" s="71"/>
      <c r="T962" s="105"/>
      <c r="U962" s="71"/>
      <c r="V962" s="71"/>
      <c r="W962" s="71"/>
      <c r="X962" s="71"/>
      <c r="Y962" s="71"/>
      <c r="Z962" s="71"/>
      <c r="AA962" s="71"/>
      <c r="AB962" s="71"/>
      <c r="AC962" s="71"/>
      <c r="AD962" s="71"/>
      <c r="AE962" s="71"/>
      <c r="AF962" s="71"/>
      <c r="AG962" s="71"/>
      <c r="AH962" s="71"/>
      <c r="AI962" s="71"/>
      <c r="AJ962" s="71"/>
      <c r="AK962" s="71"/>
    </row>
    <row r="963" spans="1:37" ht="12.75" customHeight="1" x14ac:dyDescent="0.2">
      <c r="A963" s="71"/>
      <c r="B963" s="71"/>
      <c r="C963" s="71"/>
      <c r="D963" s="71"/>
      <c r="E963" s="71"/>
      <c r="F963" s="71"/>
      <c r="G963" s="71"/>
      <c r="H963" s="71"/>
      <c r="I963" s="71"/>
      <c r="J963" s="71"/>
      <c r="K963" s="71"/>
      <c r="L963" s="71"/>
      <c r="M963" s="71"/>
      <c r="N963" s="71"/>
      <c r="O963" s="71"/>
      <c r="P963" s="71"/>
      <c r="Q963" s="71"/>
      <c r="R963" s="71"/>
      <c r="S963" s="71"/>
      <c r="T963" s="105"/>
      <c r="U963" s="71"/>
      <c r="V963" s="71"/>
      <c r="W963" s="71"/>
      <c r="X963" s="71"/>
      <c r="Y963" s="71"/>
      <c r="Z963" s="71"/>
      <c r="AA963" s="71"/>
      <c r="AB963" s="71"/>
      <c r="AC963" s="71"/>
      <c r="AD963" s="71"/>
      <c r="AE963" s="71"/>
      <c r="AF963" s="71"/>
      <c r="AG963" s="71"/>
      <c r="AH963" s="71"/>
      <c r="AI963" s="71"/>
      <c r="AJ963" s="71"/>
      <c r="AK963" s="71"/>
    </row>
    <row r="964" spans="1:37" ht="12.75" customHeight="1" x14ac:dyDescent="0.2">
      <c r="A964" s="71"/>
      <c r="B964" s="71"/>
      <c r="C964" s="71"/>
      <c r="D964" s="71"/>
      <c r="E964" s="71"/>
      <c r="F964" s="71"/>
      <c r="G964" s="71"/>
      <c r="H964" s="71"/>
      <c r="I964" s="71"/>
      <c r="J964" s="71"/>
      <c r="K964" s="71"/>
      <c r="L964" s="71"/>
      <c r="M964" s="71"/>
      <c r="N964" s="71"/>
      <c r="O964" s="71"/>
      <c r="P964" s="71"/>
      <c r="Q964" s="71"/>
      <c r="R964" s="71"/>
      <c r="S964" s="71"/>
      <c r="T964" s="105"/>
      <c r="U964" s="71"/>
      <c r="V964" s="71"/>
      <c r="W964" s="71"/>
      <c r="X964" s="71"/>
      <c r="Y964" s="71"/>
      <c r="Z964" s="71"/>
      <c r="AA964" s="71"/>
      <c r="AB964" s="71"/>
      <c r="AC964" s="71"/>
      <c r="AD964" s="71"/>
      <c r="AE964" s="71"/>
      <c r="AF964" s="71"/>
      <c r="AG964" s="71"/>
      <c r="AH964" s="71"/>
      <c r="AI964" s="71"/>
      <c r="AJ964" s="71"/>
      <c r="AK964" s="71"/>
    </row>
    <row r="965" spans="1:37" ht="12.75" customHeight="1" x14ac:dyDescent="0.2">
      <c r="A965" s="71"/>
      <c r="B965" s="71"/>
      <c r="C965" s="71"/>
      <c r="D965" s="71"/>
      <c r="E965" s="71"/>
      <c r="F965" s="71"/>
      <c r="G965" s="71"/>
      <c r="H965" s="71"/>
      <c r="I965" s="71"/>
      <c r="J965" s="71"/>
      <c r="K965" s="71"/>
      <c r="L965" s="71"/>
      <c r="M965" s="71"/>
      <c r="N965" s="71"/>
      <c r="O965" s="71"/>
      <c r="P965" s="71"/>
      <c r="Q965" s="71"/>
      <c r="R965" s="71"/>
      <c r="S965" s="71"/>
      <c r="T965" s="105"/>
      <c r="U965" s="71"/>
      <c r="V965" s="71"/>
      <c r="W965" s="71"/>
      <c r="X965" s="71"/>
      <c r="Y965" s="71"/>
      <c r="Z965" s="71"/>
      <c r="AA965" s="71"/>
      <c r="AB965" s="71"/>
      <c r="AC965" s="71"/>
      <c r="AD965" s="71"/>
      <c r="AE965" s="71"/>
      <c r="AF965" s="71"/>
      <c r="AG965" s="71"/>
      <c r="AH965" s="71"/>
      <c r="AI965" s="71"/>
      <c r="AJ965" s="71"/>
      <c r="AK965" s="71"/>
    </row>
    <row r="966" spans="1:37" ht="12.75" customHeight="1" x14ac:dyDescent="0.2">
      <c r="A966" s="71"/>
      <c r="B966" s="71"/>
      <c r="C966" s="71"/>
      <c r="D966" s="71"/>
      <c r="E966" s="71"/>
      <c r="F966" s="71"/>
      <c r="G966" s="71"/>
      <c r="H966" s="71"/>
      <c r="I966" s="71"/>
      <c r="J966" s="71"/>
      <c r="K966" s="71"/>
      <c r="L966" s="71"/>
      <c r="M966" s="71"/>
      <c r="N966" s="71"/>
      <c r="O966" s="71"/>
      <c r="P966" s="71"/>
      <c r="Q966" s="71"/>
      <c r="R966" s="71"/>
      <c r="S966" s="71"/>
      <c r="T966" s="105"/>
      <c r="U966" s="71"/>
      <c r="V966" s="71"/>
      <c r="W966" s="71"/>
      <c r="X966" s="71"/>
      <c r="Y966" s="71"/>
      <c r="Z966" s="71"/>
      <c r="AA966" s="71"/>
      <c r="AB966" s="71"/>
      <c r="AC966" s="71"/>
      <c r="AD966" s="71"/>
      <c r="AE966" s="71"/>
      <c r="AF966" s="71"/>
      <c r="AG966" s="71"/>
      <c r="AH966" s="71"/>
      <c r="AI966" s="71"/>
      <c r="AJ966" s="71"/>
      <c r="AK966" s="71"/>
    </row>
    <row r="967" spans="1:37" ht="12.75" customHeight="1" x14ac:dyDescent="0.2">
      <c r="A967" s="71"/>
      <c r="B967" s="71"/>
      <c r="C967" s="71"/>
      <c r="D967" s="71"/>
      <c r="E967" s="71"/>
      <c r="F967" s="71"/>
      <c r="G967" s="71"/>
      <c r="H967" s="71"/>
      <c r="I967" s="71"/>
      <c r="J967" s="71"/>
      <c r="K967" s="71"/>
      <c r="L967" s="71"/>
      <c r="M967" s="71"/>
      <c r="N967" s="71"/>
      <c r="O967" s="71"/>
      <c r="P967" s="71"/>
      <c r="Q967" s="71"/>
      <c r="R967" s="71"/>
      <c r="S967" s="71"/>
      <c r="T967" s="105"/>
      <c r="U967" s="71"/>
      <c r="V967" s="71"/>
      <c r="W967" s="71"/>
      <c r="X967" s="71"/>
      <c r="Y967" s="71"/>
      <c r="Z967" s="71"/>
      <c r="AA967" s="71"/>
      <c r="AB967" s="71"/>
      <c r="AC967" s="71"/>
      <c r="AD967" s="71"/>
      <c r="AE967" s="71"/>
      <c r="AF967" s="71"/>
      <c r="AG967" s="71"/>
      <c r="AH967" s="71"/>
      <c r="AI967" s="71"/>
      <c r="AJ967" s="71"/>
      <c r="AK967" s="71"/>
    </row>
    <row r="968" spans="1:37" ht="12.75" customHeight="1" x14ac:dyDescent="0.2">
      <c r="A968" s="71"/>
      <c r="B968" s="71"/>
      <c r="C968" s="71"/>
      <c r="D968" s="71"/>
      <c r="E968" s="71"/>
      <c r="F968" s="71"/>
      <c r="G968" s="71"/>
      <c r="H968" s="71"/>
      <c r="I968" s="71"/>
      <c r="J968" s="71"/>
      <c r="K968" s="71"/>
      <c r="L968" s="71"/>
      <c r="M968" s="71"/>
      <c r="N968" s="71"/>
      <c r="O968" s="71"/>
      <c r="P968" s="71"/>
      <c r="Q968" s="71"/>
      <c r="R968" s="71"/>
      <c r="S968" s="71"/>
      <c r="T968" s="105"/>
      <c r="U968" s="71"/>
      <c r="V968" s="71"/>
      <c r="W968" s="71"/>
      <c r="X968" s="71"/>
      <c r="Y968" s="71"/>
      <c r="Z968" s="71"/>
      <c r="AA968" s="71"/>
      <c r="AB968" s="71"/>
      <c r="AC968" s="71"/>
      <c r="AD968" s="71"/>
      <c r="AE968" s="71"/>
      <c r="AF968" s="71"/>
      <c r="AG968" s="71"/>
      <c r="AH968" s="71"/>
      <c r="AI968" s="71"/>
      <c r="AJ968" s="71"/>
      <c r="AK968" s="71"/>
    </row>
    <row r="969" spans="1:37" ht="12.75" customHeight="1" x14ac:dyDescent="0.2">
      <c r="A969" s="71"/>
      <c r="B969" s="71"/>
      <c r="C969" s="71"/>
      <c r="D969" s="71"/>
      <c r="E969" s="71"/>
      <c r="F969" s="71"/>
      <c r="G969" s="71"/>
      <c r="H969" s="71"/>
      <c r="I969" s="71"/>
      <c r="J969" s="71"/>
      <c r="K969" s="71"/>
      <c r="L969" s="71"/>
      <c r="M969" s="71"/>
      <c r="N969" s="71"/>
      <c r="O969" s="71"/>
      <c r="P969" s="71"/>
      <c r="Q969" s="71"/>
      <c r="R969" s="71"/>
      <c r="S969" s="71"/>
      <c r="T969" s="105"/>
      <c r="U969" s="71"/>
      <c r="V969" s="71"/>
      <c r="W969" s="71"/>
      <c r="X969" s="71"/>
      <c r="Y969" s="71"/>
      <c r="Z969" s="71"/>
      <c r="AA969" s="71"/>
      <c r="AB969" s="71"/>
      <c r="AC969" s="71"/>
      <c r="AD969" s="71"/>
      <c r="AE969" s="71"/>
      <c r="AF969" s="71"/>
      <c r="AG969" s="71"/>
      <c r="AH969" s="71"/>
      <c r="AI969" s="71"/>
      <c r="AJ969" s="71"/>
      <c r="AK969" s="71"/>
    </row>
    <row r="970" spans="1:37" ht="12.75" customHeight="1" x14ac:dyDescent="0.2">
      <c r="A970" s="71"/>
      <c r="B970" s="71"/>
      <c r="C970" s="71"/>
      <c r="D970" s="71"/>
      <c r="E970" s="71"/>
      <c r="F970" s="71"/>
      <c r="G970" s="71"/>
      <c r="H970" s="71"/>
      <c r="I970" s="71"/>
      <c r="J970" s="71"/>
      <c r="K970" s="71"/>
      <c r="L970" s="71"/>
      <c r="M970" s="71"/>
      <c r="N970" s="71"/>
      <c r="O970" s="71"/>
      <c r="P970" s="71"/>
      <c r="Q970" s="71"/>
      <c r="R970" s="71"/>
      <c r="S970" s="71"/>
      <c r="T970" s="105"/>
      <c r="U970" s="71"/>
      <c r="V970" s="71"/>
      <c r="W970" s="71"/>
      <c r="X970" s="71"/>
      <c r="Y970" s="71"/>
      <c r="Z970" s="71"/>
      <c r="AA970" s="71"/>
      <c r="AB970" s="71"/>
      <c r="AC970" s="71"/>
      <c r="AD970" s="71"/>
      <c r="AE970" s="71"/>
      <c r="AF970" s="71"/>
      <c r="AG970" s="71"/>
      <c r="AH970" s="71"/>
      <c r="AI970" s="71"/>
      <c r="AJ970" s="71"/>
      <c r="AK970" s="71"/>
    </row>
    <row r="971" spans="1:37" ht="12.75" customHeight="1" x14ac:dyDescent="0.2">
      <c r="A971" s="71"/>
      <c r="B971" s="71"/>
      <c r="C971" s="71"/>
      <c r="D971" s="71"/>
      <c r="E971" s="71"/>
      <c r="F971" s="71"/>
      <c r="G971" s="71"/>
      <c r="H971" s="71"/>
      <c r="I971" s="71"/>
      <c r="J971" s="71"/>
      <c r="K971" s="71"/>
      <c r="L971" s="71"/>
      <c r="M971" s="71"/>
      <c r="N971" s="71"/>
      <c r="O971" s="71"/>
      <c r="P971" s="71"/>
      <c r="Q971" s="71"/>
      <c r="R971" s="71"/>
      <c r="S971" s="71"/>
      <c r="T971" s="105"/>
      <c r="U971" s="71"/>
      <c r="V971" s="71"/>
      <c r="W971" s="71"/>
      <c r="X971" s="71"/>
      <c r="Y971" s="71"/>
      <c r="Z971" s="71"/>
      <c r="AA971" s="71"/>
      <c r="AB971" s="71"/>
      <c r="AC971" s="71"/>
      <c r="AD971" s="71"/>
      <c r="AE971" s="71"/>
      <c r="AF971" s="71"/>
      <c r="AG971" s="71"/>
      <c r="AH971" s="71"/>
      <c r="AI971" s="71"/>
      <c r="AJ971" s="71"/>
      <c r="AK971" s="71"/>
    </row>
    <row r="972" spans="1:37" ht="12.75" customHeight="1" x14ac:dyDescent="0.2">
      <c r="A972" s="71"/>
      <c r="B972" s="71"/>
      <c r="C972" s="71"/>
      <c r="D972" s="71"/>
      <c r="E972" s="71"/>
      <c r="F972" s="71"/>
      <c r="G972" s="71"/>
      <c r="H972" s="71"/>
      <c r="I972" s="71"/>
      <c r="J972" s="71"/>
      <c r="K972" s="71"/>
      <c r="L972" s="71"/>
      <c r="M972" s="71"/>
      <c r="N972" s="71"/>
      <c r="O972" s="71"/>
      <c r="P972" s="71"/>
      <c r="Q972" s="71"/>
      <c r="R972" s="71"/>
      <c r="S972" s="71"/>
      <c r="T972" s="105"/>
      <c r="U972" s="71"/>
      <c r="V972" s="71"/>
      <c r="W972" s="71"/>
      <c r="X972" s="71"/>
      <c r="Y972" s="71"/>
      <c r="Z972" s="71"/>
      <c r="AA972" s="71"/>
      <c r="AB972" s="71"/>
      <c r="AC972" s="71"/>
      <c r="AD972" s="71"/>
      <c r="AE972" s="71"/>
      <c r="AF972" s="71"/>
      <c r="AG972" s="71"/>
      <c r="AH972" s="71"/>
      <c r="AI972" s="71"/>
      <c r="AJ972" s="71"/>
      <c r="AK972" s="71"/>
    </row>
    <row r="973" spans="1:37" ht="12.75" customHeight="1" x14ac:dyDescent="0.2">
      <c r="A973" s="71"/>
      <c r="B973" s="71"/>
      <c r="C973" s="71"/>
      <c r="D973" s="71"/>
      <c r="E973" s="71"/>
      <c r="F973" s="71"/>
      <c r="G973" s="71"/>
      <c r="H973" s="71"/>
      <c r="I973" s="71"/>
      <c r="J973" s="71"/>
      <c r="K973" s="71"/>
      <c r="L973" s="71"/>
      <c r="M973" s="71"/>
      <c r="N973" s="71"/>
      <c r="O973" s="71"/>
      <c r="P973" s="71"/>
      <c r="Q973" s="71"/>
      <c r="R973" s="71"/>
      <c r="S973" s="71"/>
      <c r="T973" s="105"/>
      <c r="U973" s="71"/>
      <c r="V973" s="71"/>
      <c r="W973" s="71"/>
      <c r="X973" s="71"/>
      <c r="Y973" s="71"/>
      <c r="Z973" s="71"/>
      <c r="AA973" s="71"/>
      <c r="AB973" s="71"/>
      <c r="AC973" s="71"/>
      <c r="AD973" s="71"/>
      <c r="AE973" s="71"/>
      <c r="AF973" s="71"/>
      <c r="AG973" s="71"/>
      <c r="AH973" s="71"/>
      <c r="AI973" s="71"/>
      <c r="AJ973" s="71"/>
      <c r="AK973" s="71"/>
    </row>
    <row r="974" spans="1:37" ht="12.75" customHeight="1" x14ac:dyDescent="0.2">
      <c r="A974" s="71"/>
      <c r="B974" s="71"/>
      <c r="C974" s="71"/>
      <c r="D974" s="71"/>
      <c r="E974" s="71"/>
      <c r="F974" s="71"/>
      <c r="G974" s="71"/>
      <c r="H974" s="71"/>
      <c r="I974" s="71"/>
      <c r="J974" s="71"/>
      <c r="K974" s="71"/>
      <c r="L974" s="71"/>
      <c r="M974" s="71"/>
      <c r="N974" s="71"/>
      <c r="O974" s="71"/>
      <c r="P974" s="71"/>
      <c r="Q974" s="71"/>
      <c r="R974" s="71"/>
      <c r="S974" s="71"/>
      <c r="T974" s="105"/>
      <c r="U974" s="71"/>
      <c r="V974" s="71"/>
      <c r="W974" s="71"/>
      <c r="X974" s="71"/>
      <c r="Y974" s="71"/>
      <c r="Z974" s="71"/>
      <c r="AA974" s="71"/>
      <c r="AB974" s="71"/>
      <c r="AC974" s="71"/>
      <c r="AD974" s="71"/>
      <c r="AE974" s="71"/>
      <c r="AF974" s="71"/>
      <c r="AG974" s="71"/>
      <c r="AH974" s="71"/>
      <c r="AI974" s="71"/>
      <c r="AJ974" s="71"/>
      <c r="AK974" s="71"/>
    </row>
    <row r="975" spans="1:37" ht="12.75" customHeight="1" x14ac:dyDescent="0.2">
      <c r="A975" s="71"/>
      <c r="B975" s="71"/>
      <c r="C975" s="71"/>
      <c r="D975" s="71"/>
      <c r="E975" s="71"/>
      <c r="F975" s="71"/>
      <c r="G975" s="71"/>
      <c r="H975" s="71"/>
      <c r="I975" s="71"/>
      <c r="J975" s="71"/>
      <c r="K975" s="71"/>
      <c r="L975" s="71"/>
      <c r="M975" s="71"/>
      <c r="N975" s="71"/>
      <c r="O975" s="71"/>
      <c r="P975" s="71"/>
      <c r="Q975" s="71"/>
      <c r="R975" s="71"/>
      <c r="S975" s="71"/>
      <c r="T975" s="105"/>
      <c r="U975" s="71"/>
      <c r="V975" s="71"/>
      <c r="W975" s="71"/>
      <c r="X975" s="71"/>
      <c r="Y975" s="71"/>
      <c r="Z975" s="71"/>
      <c r="AA975" s="71"/>
      <c r="AB975" s="71"/>
      <c r="AC975" s="71"/>
      <c r="AD975" s="71"/>
      <c r="AE975" s="71"/>
      <c r="AF975" s="71"/>
      <c r="AG975" s="71"/>
      <c r="AH975" s="71"/>
      <c r="AI975" s="71"/>
      <c r="AJ975" s="71"/>
      <c r="AK975" s="71"/>
    </row>
    <row r="976" spans="1:37" ht="12.75" customHeight="1" x14ac:dyDescent="0.2">
      <c r="A976" s="71"/>
      <c r="B976" s="71"/>
      <c r="C976" s="71"/>
      <c r="D976" s="71"/>
      <c r="E976" s="71"/>
      <c r="F976" s="71"/>
      <c r="G976" s="71"/>
      <c r="H976" s="71"/>
      <c r="I976" s="71"/>
      <c r="J976" s="71"/>
      <c r="K976" s="71"/>
      <c r="L976" s="71"/>
      <c r="M976" s="71"/>
      <c r="N976" s="71"/>
      <c r="O976" s="71"/>
      <c r="P976" s="71"/>
      <c r="Q976" s="71"/>
      <c r="R976" s="71"/>
      <c r="S976" s="71"/>
      <c r="T976" s="105"/>
      <c r="U976" s="71"/>
      <c r="V976" s="71"/>
      <c r="W976" s="71"/>
      <c r="X976" s="71"/>
      <c r="Y976" s="71"/>
      <c r="Z976" s="71"/>
      <c r="AA976" s="71"/>
      <c r="AB976" s="71"/>
      <c r="AC976" s="71"/>
      <c r="AD976" s="71"/>
      <c r="AE976" s="71"/>
      <c r="AF976" s="71"/>
      <c r="AG976" s="71"/>
      <c r="AH976" s="71"/>
      <c r="AI976" s="71"/>
      <c r="AJ976" s="71"/>
      <c r="AK976" s="71"/>
    </row>
    <row r="977" spans="1:37" ht="12.75" customHeight="1" x14ac:dyDescent="0.2">
      <c r="A977" s="71"/>
      <c r="B977" s="71"/>
      <c r="C977" s="71"/>
      <c r="D977" s="71"/>
      <c r="E977" s="71"/>
      <c r="F977" s="71"/>
      <c r="G977" s="71"/>
      <c r="H977" s="71"/>
      <c r="I977" s="71"/>
      <c r="J977" s="71"/>
      <c r="K977" s="71"/>
      <c r="L977" s="71"/>
      <c r="M977" s="71"/>
      <c r="N977" s="71"/>
      <c r="O977" s="71"/>
      <c r="P977" s="71"/>
      <c r="Q977" s="71"/>
      <c r="R977" s="71"/>
      <c r="S977" s="71"/>
      <c r="T977" s="105"/>
      <c r="U977" s="71"/>
      <c r="V977" s="71"/>
      <c r="W977" s="71"/>
      <c r="X977" s="71"/>
      <c r="Y977" s="71"/>
      <c r="Z977" s="71"/>
      <c r="AA977" s="71"/>
      <c r="AB977" s="71"/>
      <c r="AC977" s="71"/>
      <c r="AD977" s="71"/>
      <c r="AE977" s="71"/>
      <c r="AF977" s="71"/>
      <c r="AG977" s="71"/>
      <c r="AH977" s="71"/>
      <c r="AI977" s="71"/>
      <c r="AJ977" s="71"/>
      <c r="AK977" s="71"/>
    </row>
    <row r="978" spans="1:37" ht="12.75" customHeight="1" x14ac:dyDescent="0.2">
      <c r="A978" s="71"/>
      <c r="B978" s="71"/>
      <c r="C978" s="71"/>
      <c r="D978" s="71"/>
      <c r="E978" s="71"/>
      <c r="F978" s="71"/>
      <c r="G978" s="71"/>
      <c r="H978" s="71"/>
      <c r="I978" s="71"/>
      <c r="J978" s="71"/>
      <c r="K978" s="71"/>
      <c r="L978" s="71"/>
      <c r="M978" s="71"/>
      <c r="N978" s="71"/>
      <c r="O978" s="71"/>
      <c r="P978" s="71"/>
      <c r="Q978" s="71"/>
      <c r="R978" s="71"/>
      <c r="S978" s="71"/>
      <c r="T978" s="105"/>
      <c r="U978" s="71"/>
      <c r="V978" s="71"/>
      <c r="W978" s="71"/>
      <c r="X978" s="71"/>
      <c r="Y978" s="71"/>
      <c r="Z978" s="71"/>
      <c r="AA978" s="71"/>
      <c r="AB978" s="71"/>
      <c r="AC978" s="71"/>
      <c r="AD978" s="71"/>
      <c r="AE978" s="71"/>
      <c r="AF978" s="71"/>
      <c r="AG978" s="71"/>
      <c r="AH978" s="71"/>
      <c r="AI978" s="71"/>
      <c r="AJ978" s="71"/>
      <c r="AK978" s="71"/>
    </row>
    <row r="979" spans="1:37" ht="12.75" customHeight="1" x14ac:dyDescent="0.2">
      <c r="A979" s="71"/>
      <c r="B979" s="71"/>
      <c r="C979" s="71"/>
      <c r="D979" s="71"/>
      <c r="E979" s="71"/>
      <c r="F979" s="71"/>
      <c r="G979" s="71"/>
      <c r="H979" s="71"/>
      <c r="I979" s="71"/>
      <c r="J979" s="71"/>
      <c r="K979" s="71"/>
      <c r="L979" s="71"/>
      <c r="M979" s="71"/>
      <c r="N979" s="71"/>
      <c r="O979" s="71"/>
      <c r="P979" s="71"/>
      <c r="Q979" s="71"/>
      <c r="R979" s="71"/>
      <c r="S979" s="71"/>
      <c r="T979" s="105"/>
      <c r="U979" s="71"/>
      <c r="V979" s="71"/>
      <c r="W979" s="71"/>
      <c r="X979" s="71"/>
      <c r="Y979" s="71"/>
      <c r="Z979" s="71"/>
      <c r="AA979" s="71"/>
      <c r="AB979" s="71"/>
      <c r="AC979" s="71"/>
      <c r="AD979" s="71"/>
      <c r="AE979" s="71"/>
      <c r="AF979" s="71"/>
      <c r="AG979" s="71"/>
      <c r="AH979" s="71"/>
      <c r="AI979" s="71"/>
      <c r="AJ979" s="71"/>
      <c r="AK979" s="71"/>
    </row>
    <row r="980" spans="1:37" ht="12.75" customHeight="1" x14ac:dyDescent="0.2">
      <c r="A980" s="71"/>
      <c r="B980" s="71"/>
      <c r="C980" s="71"/>
      <c r="D980" s="71"/>
      <c r="E980" s="71"/>
      <c r="F980" s="71"/>
      <c r="G980" s="71"/>
      <c r="H980" s="71"/>
      <c r="I980" s="71"/>
      <c r="J980" s="71"/>
      <c r="K980" s="71"/>
      <c r="L980" s="71"/>
      <c r="M980" s="71"/>
      <c r="N980" s="71"/>
      <c r="O980" s="71"/>
      <c r="P980" s="71"/>
      <c r="Q980" s="71"/>
      <c r="R980" s="71"/>
      <c r="S980" s="71"/>
      <c r="T980" s="105"/>
      <c r="U980" s="71"/>
      <c r="V980" s="71"/>
      <c r="W980" s="71"/>
      <c r="X980" s="71"/>
      <c r="Y980" s="71"/>
      <c r="Z980" s="71"/>
      <c r="AA980" s="71"/>
      <c r="AB980" s="71"/>
      <c r="AC980" s="71"/>
      <c r="AD980" s="71"/>
      <c r="AE980" s="71"/>
      <c r="AF980" s="71"/>
      <c r="AG980" s="71"/>
      <c r="AH980" s="71"/>
      <c r="AI980" s="71"/>
      <c r="AJ980" s="71"/>
      <c r="AK980" s="71"/>
    </row>
    <row r="981" spans="1:37" ht="12.75" customHeight="1" x14ac:dyDescent="0.2">
      <c r="A981" s="71"/>
      <c r="B981" s="71"/>
      <c r="C981" s="71"/>
      <c r="D981" s="71"/>
      <c r="E981" s="71"/>
      <c r="F981" s="71"/>
      <c r="G981" s="71"/>
      <c r="H981" s="71"/>
      <c r="I981" s="71"/>
      <c r="J981" s="71"/>
      <c r="K981" s="71"/>
      <c r="L981" s="71"/>
      <c r="M981" s="71"/>
      <c r="N981" s="71"/>
      <c r="O981" s="71"/>
      <c r="P981" s="71"/>
      <c r="Q981" s="71"/>
      <c r="R981" s="71"/>
      <c r="S981" s="71"/>
      <c r="T981" s="105"/>
      <c r="U981" s="71"/>
      <c r="V981" s="71"/>
      <c r="W981" s="71"/>
      <c r="X981" s="71"/>
      <c r="Y981" s="71"/>
      <c r="Z981" s="71"/>
      <c r="AA981" s="71"/>
      <c r="AB981" s="71"/>
      <c r="AC981" s="71"/>
      <c r="AD981" s="71"/>
      <c r="AE981" s="71"/>
      <c r="AF981" s="71"/>
      <c r="AG981" s="71"/>
      <c r="AH981" s="71"/>
      <c r="AI981" s="71"/>
      <c r="AJ981" s="71"/>
      <c r="AK981" s="71"/>
    </row>
    <row r="982" spans="1:37" ht="12.75" customHeight="1" x14ac:dyDescent="0.2">
      <c r="A982" s="71"/>
      <c r="B982" s="71"/>
      <c r="C982" s="71"/>
      <c r="D982" s="71"/>
      <c r="E982" s="71"/>
      <c r="F982" s="71"/>
      <c r="G982" s="71"/>
      <c r="H982" s="71"/>
      <c r="I982" s="71"/>
      <c r="J982" s="71"/>
      <c r="K982" s="71"/>
      <c r="L982" s="71"/>
      <c r="M982" s="71"/>
      <c r="N982" s="71"/>
      <c r="O982" s="71"/>
      <c r="P982" s="71"/>
      <c r="Q982" s="71"/>
      <c r="R982" s="71"/>
      <c r="S982" s="71"/>
      <c r="T982" s="105"/>
      <c r="U982" s="71"/>
      <c r="V982" s="71"/>
      <c r="W982" s="71"/>
      <c r="X982" s="71"/>
      <c r="Y982" s="71"/>
      <c r="Z982" s="71"/>
      <c r="AA982" s="71"/>
      <c r="AB982" s="71"/>
      <c r="AC982" s="71"/>
      <c r="AD982" s="71"/>
      <c r="AE982" s="71"/>
      <c r="AF982" s="71"/>
      <c r="AG982" s="71"/>
      <c r="AH982" s="71"/>
      <c r="AI982" s="71"/>
      <c r="AJ982" s="71"/>
      <c r="AK982" s="71"/>
    </row>
    <row r="983" spans="1:37" ht="12.75" customHeight="1" x14ac:dyDescent="0.2">
      <c r="A983" s="71"/>
      <c r="B983" s="71"/>
      <c r="C983" s="71"/>
      <c r="D983" s="71"/>
      <c r="E983" s="71"/>
      <c r="F983" s="71"/>
      <c r="G983" s="71"/>
      <c r="H983" s="71"/>
      <c r="I983" s="71"/>
      <c r="J983" s="71"/>
      <c r="K983" s="71"/>
      <c r="L983" s="71"/>
      <c r="M983" s="71"/>
      <c r="N983" s="71"/>
      <c r="O983" s="71"/>
      <c r="P983" s="71"/>
      <c r="Q983" s="71"/>
      <c r="R983" s="71"/>
      <c r="S983" s="71"/>
      <c r="T983" s="105"/>
      <c r="U983" s="71"/>
      <c r="V983" s="71"/>
      <c r="W983" s="71"/>
      <c r="X983" s="71"/>
      <c r="Y983" s="71"/>
      <c r="Z983" s="71"/>
      <c r="AA983" s="71"/>
      <c r="AB983" s="71"/>
      <c r="AC983" s="71"/>
      <c r="AD983" s="71"/>
      <c r="AE983" s="71"/>
      <c r="AF983" s="71"/>
      <c r="AG983" s="71"/>
      <c r="AH983" s="71"/>
      <c r="AI983" s="71"/>
      <c r="AJ983" s="71"/>
      <c r="AK983" s="71"/>
    </row>
    <row r="984" spans="1:37" ht="12.75" customHeight="1" x14ac:dyDescent="0.2">
      <c r="A984" s="71"/>
      <c r="B984" s="71"/>
      <c r="C984" s="71"/>
      <c r="D984" s="71"/>
      <c r="E984" s="71"/>
      <c r="F984" s="71"/>
      <c r="G984" s="71"/>
      <c r="H984" s="71"/>
      <c r="I984" s="71"/>
      <c r="J984" s="71"/>
      <c r="K984" s="71"/>
      <c r="L984" s="71"/>
      <c r="M984" s="71"/>
      <c r="N984" s="71"/>
      <c r="O984" s="71"/>
      <c r="P984" s="71"/>
      <c r="Q984" s="71"/>
      <c r="R984" s="71"/>
      <c r="S984" s="71"/>
      <c r="T984" s="105"/>
      <c r="U984" s="71"/>
      <c r="V984" s="71"/>
      <c r="W984" s="71"/>
      <c r="X984" s="71"/>
      <c r="Y984" s="71"/>
      <c r="Z984" s="71"/>
      <c r="AA984" s="71"/>
      <c r="AB984" s="71"/>
      <c r="AC984" s="71"/>
      <c r="AD984" s="71"/>
      <c r="AE984" s="71"/>
      <c r="AF984" s="71"/>
      <c r="AG984" s="71"/>
      <c r="AH984" s="71"/>
      <c r="AI984" s="71"/>
      <c r="AJ984" s="71"/>
      <c r="AK984" s="71"/>
    </row>
    <row r="985" spans="1:37" ht="12.75" customHeight="1" x14ac:dyDescent="0.2">
      <c r="A985" s="71"/>
      <c r="B985" s="71"/>
      <c r="C985" s="71"/>
      <c r="D985" s="71"/>
      <c r="E985" s="71"/>
      <c r="F985" s="71"/>
      <c r="G985" s="71"/>
      <c r="H985" s="71"/>
      <c r="I985" s="71"/>
      <c r="J985" s="71"/>
      <c r="K985" s="71"/>
      <c r="L985" s="71"/>
      <c r="M985" s="71"/>
      <c r="N985" s="71"/>
      <c r="O985" s="71"/>
      <c r="P985" s="71"/>
      <c r="Q985" s="71"/>
      <c r="R985" s="71"/>
      <c r="S985" s="71"/>
      <c r="T985" s="105"/>
      <c r="U985" s="71"/>
      <c r="V985" s="71"/>
      <c r="W985" s="71"/>
      <c r="X985" s="71"/>
      <c r="Y985" s="71"/>
      <c r="Z985" s="71"/>
      <c r="AA985" s="71"/>
      <c r="AB985" s="71"/>
      <c r="AC985" s="71"/>
      <c r="AD985" s="71"/>
      <c r="AE985" s="71"/>
      <c r="AF985" s="71"/>
      <c r="AG985" s="71"/>
      <c r="AH985" s="71"/>
      <c r="AI985" s="71"/>
      <c r="AJ985" s="71"/>
      <c r="AK985" s="71"/>
    </row>
    <row r="986" spans="1:37" ht="12.75" customHeight="1" x14ac:dyDescent="0.2">
      <c r="A986" s="71"/>
      <c r="B986" s="71"/>
      <c r="C986" s="71"/>
      <c r="D986" s="71"/>
      <c r="E986" s="71"/>
      <c r="F986" s="71"/>
      <c r="G986" s="71"/>
      <c r="H986" s="71"/>
      <c r="I986" s="71"/>
      <c r="J986" s="71"/>
      <c r="K986" s="71"/>
      <c r="L986" s="71"/>
      <c r="M986" s="71"/>
      <c r="N986" s="71"/>
      <c r="O986" s="71"/>
      <c r="P986" s="71"/>
      <c r="Q986" s="71"/>
      <c r="R986" s="71"/>
      <c r="S986" s="71"/>
      <c r="T986" s="105"/>
      <c r="U986" s="71"/>
      <c r="V986" s="71"/>
      <c r="W986" s="71"/>
      <c r="X986" s="71"/>
      <c r="Y986" s="71"/>
      <c r="Z986" s="71"/>
      <c r="AA986" s="71"/>
      <c r="AB986" s="71"/>
      <c r="AC986" s="71"/>
      <c r="AD986" s="71"/>
      <c r="AE986" s="71"/>
      <c r="AF986" s="71"/>
      <c r="AG986" s="71"/>
      <c r="AH986" s="71"/>
      <c r="AI986" s="71"/>
      <c r="AJ986" s="71"/>
      <c r="AK986" s="71"/>
    </row>
    <row r="987" spans="1:37" ht="12.75" customHeight="1" x14ac:dyDescent="0.2">
      <c r="A987" s="71"/>
      <c r="B987" s="71"/>
      <c r="C987" s="71"/>
      <c r="D987" s="71"/>
      <c r="E987" s="71"/>
      <c r="F987" s="71"/>
      <c r="G987" s="71"/>
      <c r="H987" s="71"/>
      <c r="I987" s="71"/>
      <c r="J987" s="71"/>
      <c r="K987" s="71"/>
      <c r="L987" s="71"/>
      <c r="M987" s="71"/>
      <c r="N987" s="71"/>
      <c r="O987" s="71"/>
      <c r="P987" s="71"/>
      <c r="Q987" s="71"/>
      <c r="R987" s="71"/>
      <c r="S987" s="71"/>
      <c r="T987" s="105"/>
      <c r="U987" s="71"/>
      <c r="V987" s="71"/>
      <c r="W987" s="71"/>
      <c r="X987" s="71"/>
      <c r="Y987" s="71"/>
      <c r="Z987" s="71"/>
      <c r="AA987" s="71"/>
      <c r="AB987" s="71"/>
      <c r="AC987" s="71"/>
      <c r="AD987" s="71"/>
      <c r="AE987" s="71"/>
      <c r="AF987" s="71"/>
      <c r="AG987" s="71"/>
      <c r="AH987" s="71"/>
      <c r="AI987" s="71"/>
      <c r="AJ987" s="71"/>
      <c r="AK987" s="71"/>
    </row>
    <row r="988" spans="1:37" ht="12.75" customHeight="1" x14ac:dyDescent="0.2">
      <c r="A988" s="71"/>
      <c r="B988" s="71"/>
      <c r="C988" s="71"/>
      <c r="D988" s="71"/>
      <c r="E988" s="71"/>
      <c r="F988" s="71"/>
      <c r="G988" s="71"/>
      <c r="H988" s="71"/>
      <c r="I988" s="71"/>
      <c r="J988" s="71"/>
      <c r="K988" s="71"/>
      <c r="L988" s="71"/>
      <c r="M988" s="71"/>
      <c r="N988" s="71"/>
      <c r="O988" s="71"/>
      <c r="P988" s="71"/>
      <c r="Q988" s="71"/>
      <c r="R988" s="71"/>
      <c r="S988" s="71"/>
      <c r="T988" s="105"/>
      <c r="U988" s="71"/>
      <c r="V988" s="71"/>
      <c r="W988" s="71"/>
      <c r="X988" s="71"/>
      <c r="Y988" s="71"/>
      <c r="Z988" s="71"/>
      <c r="AA988" s="71"/>
      <c r="AB988" s="71"/>
      <c r="AC988" s="71"/>
      <c r="AD988" s="71"/>
      <c r="AE988" s="71"/>
      <c r="AF988" s="71"/>
      <c r="AG988" s="71"/>
      <c r="AH988" s="71"/>
      <c r="AI988" s="71"/>
      <c r="AJ988" s="71"/>
      <c r="AK988" s="71"/>
    </row>
    <row r="989" spans="1:37" ht="12.75" customHeight="1" x14ac:dyDescent="0.2">
      <c r="A989" s="71"/>
      <c r="B989" s="71"/>
      <c r="C989" s="71"/>
      <c r="D989" s="71"/>
      <c r="E989" s="71"/>
      <c r="F989" s="71"/>
      <c r="G989" s="71"/>
      <c r="H989" s="71"/>
      <c r="I989" s="71"/>
      <c r="J989" s="71"/>
      <c r="K989" s="71"/>
      <c r="L989" s="71"/>
      <c r="M989" s="71"/>
      <c r="N989" s="71"/>
      <c r="O989" s="71"/>
      <c r="P989" s="71"/>
      <c r="Q989" s="71"/>
      <c r="R989" s="71"/>
      <c r="S989" s="71"/>
      <c r="T989" s="105"/>
      <c r="U989" s="71"/>
      <c r="V989" s="71"/>
      <c r="W989" s="71"/>
      <c r="X989" s="71"/>
      <c r="Y989" s="71"/>
      <c r="Z989" s="71"/>
      <c r="AA989" s="71"/>
      <c r="AB989" s="71"/>
      <c r="AC989" s="71"/>
      <c r="AD989" s="71"/>
      <c r="AE989" s="71"/>
      <c r="AF989" s="71"/>
      <c r="AG989" s="71"/>
      <c r="AH989" s="71"/>
      <c r="AI989" s="71"/>
      <c r="AJ989" s="71"/>
      <c r="AK989" s="71"/>
    </row>
    <row r="990" spans="1:37" ht="12.75" customHeight="1" x14ac:dyDescent="0.2">
      <c r="A990" s="71"/>
      <c r="B990" s="71"/>
      <c r="C990" s="71"/>
      <c r="D990" s="71"/>
      <c r="E990" s="71"/>
      <c r="F990" s="71"/>
      <c r="G990" s="71"/>
      <c r="H990" s="71"/>
      <c r="I990" s="71"/>
      <c r="J990" s="71"/>
      <c r="K990" s="71"/>
      <c r="L990" s="71"/>
      <c r="M990" s="71"/>
      <c r="N990" s="71"/>
      <c r="O990" s="71"/>
      <c r="P990" s="71"/>
      <c r="Q990" s="71"/>
      <c r="R990" s="71"/>
      <c r="S990" s="71"/>
      <c r="T990" s="105"/>
      <c r="U990" s="71"/>
      <c r="V990" s="71"/>
      <c r="W990" s="71"/>
      <c r="X990" s="71"/>
      <c r="Y990" s="71"/>
      <c r="Z990" s="71"/>
      <c r="AA990" s="71"/>
      <c r="AB990" s="71"/>
      <c r="AC990" s="71"/>
      <c r="AD990" s="71"/>
      <c r="AE990" s="71"/>
      <c r="AF990" s="71"/>
      <c r="AG990" s="71"/>
      <c r="AH990" s="71"/>
      <c r="AI990" s="71"/>
      <c r="AJ990" s="71"/>
      <c r="AK990" s="71"/>
    </row>
    <row r="991" spans="1:37" ht="12.75" customHeight="1" x14ac:dyDescent="0.2">
      <c r="A991" s="71"/>
      <c r="B991" s="71"/>
      <c r="C991" s="71"/>
      <c r="D991" s="71"/>
      <c r="E991" s="71"/>
      <c r="F991" s="71"/>
      <c r="G991" s="71"/>
      <c r="H991" s="71"/>
      <c r="I991" s="71"/>
      <c r="J991" s="71"/>
      <c r="K991" s="71"/>
      <c r="L991" s="71"/>
      <c r="M991" s="71"/>
      <c r="N991" s="71"/>
      <c r="O991" s="71"/>
      <c r="P991" s="71"/>
      <c r="Q991" s="71"/>
      <c r="R991" s="71"/>
      <c r="S991" s="71"/>
      <c r="T991" s="105"/>
      <c r="U991" s="71"/>
      <c r="V991" s="71"/>
      <c r="W991" s="71"/>
      <c r="X991" s="71"/>
      <c r="Y991" s="71"/>
      <c r="Z991" s="71"/>
      <c r="AA991" s="71"/>
      <c r="AB991" s="71"/>
      <c r="AC991" s="71"/>
      <c r="AD991" s="71"/>
      <c r="AE991" s="71"/>
      <c r="AF991" s="71"/>
      <c r="AG991" s="71"/>
      <c r="AH991" s="71"/>
      <c r="AI991" s="71"/>
      <c r="AJ991" s="71"/>
      <c r="AK991" s="71"/>
    </row>
    <row r="992" spans="1:37" ht="12.75" customHeight="1" x14ac:dyDescent="0.2">
      <c r="A992" s="71"/>
      <c r="B992" s="71"/>
      <c r="C992" s="71"/>
      <c r="D992" s="71"/>
      <c r="E992" s="71"/>
      <c r="F992" s="71"/>
      <c r="G992" s="71"/>
      <c r="H992" s="71"/>
      <c r="I992" s="71"/>
      <c r="J992" s="71"/>
      <c r="K992" s="71"/>
      <c r="L992" s="71"/>
      <c r="M992" s="71"/>
      <c r="N992" s="71"/>
      <c r="O992" s="71"/>
      <c r="P992" s="71"/>
      <c r="Q992" s="71"/>
      <c r="R992" s="71"/>
      <c r="S992" s="71"/>
      <c r="T992" s="105"/>
      <c r="U992" s="71"/>
      <c r="V992" s="71"/>
      <c r="W992" s="71"/>
      <c r="X992" s="71"/>
      <c r="Y992" s="71"/>
      <c r="Z992" s="71"/>
      <c r="AA992" s="71"/>
      <c r="AB992" s="71"/>
      <c r="AC992" s="71"/>
      <c r="AD992" s="71"/>
      <c r="AE992" s="71"/>
      <c r="AF992" s="71"/>
      <c r="AG992" s="71"/>
      <c r="AH992" s="71"/>
      <c r="AI992" s="71"/>
      <c r="AJ992" s="71"/>
      <c r="AK992" s="71"/>
    </row>
    <row r="993" spans="1:37" ht="12.75" customHeight="1" x14ac:dyDescent="0.2">
      <c r="A993" s="71"/>
      <c r="B993" s="71"/>
      <c r="C993" s="71"/>
      <c r="D993" s="71"/>
      <c r="E993" s="71"/>
      <c r="F993" s="71"/>
      <c r="G993" s="71"/>
      <c r="H993" s="71"/>
      <c r="I993" s="71"/>
      <c r="J993" s="71"/>
      <c r="K993" s="71"/>
      <c r="L993" s="71"/>
      <c r="M993" s="71"/>
      <c r="N993" s="71"/>
      <c r="O993" s="71"/>
      <c r="P993" s="71"/>
      <c r="Q993" s="71"/>
      <c r="R993" s="71"/>
      <c r="S993" s="71"/>
      <c r="T993" s="105"/>
      <c r="U993" s="71"/>
      <c r="V993" s="71"/>
      <c r="W993" s="71"/>
      <c r="X993" s="71"/>
      <c r="Y993" s="71"/>
      <c r="Z993" s="71"/>
      <c r="AA993" s="71"/>
      <c r="AB993" s="71"/>
      <c r="AC993" s="71"/>
      <c r="AD993" s="71"/>
      <c r="AE993" s="71"/>
      <c r="AF993" s="71"/>
      <c r="AG993" s="71"/>
      <c r="AH993" s="71"/>
      <c r="AI993" s="71"/>
      <c r="AJ993" s="71"/>
      <c r="AK993" s="71"/>
    </row>
    <row r="994" spans="1:37" ht="12.75" customHeight="1" x14ac:dyDescent="0.2">
      <c r="A994" s="71"/>
      <c r="B994" s="71"/>
      <c r="C994" s="71"/>
      <c r="D994" s="71"/>
      <c r="E994" s="71"/>
      <c r="F994" s="71"/>
      <c r="G994" s="71"/>
      <c r="H994" s="71"/>
      <c r="I994" s="71"/>
      <c r="J994" s="71"/>
      <c r="K994" s="71"/>
      <c r="L994" s="71"/>
      <c r="M994" s="71"/>
      <c r="N994" s="71"/>
      <c r="O994" s="71"/>
      <c r="P994" s="71"/>
      <c r="Q994" s="71"/>
      <c r="R994" s="71"/>
      <c r="S994" s="71"/>
      <c r="T994" s="105"/>
      <c r="U994" s="71"/>
      <c r="V994" s="71"/>
      <c r="W994" s="71"/>
      <c r="X994" s="71"/>
      <c r="Y994" s="71"/>
      <c r="Z994" s="71"/>
      <c r="AA994" s="71"/>
      <c r="AB994" s="71"/>
      <c r="AC994" s="71"/>
      <c r="AD994" s="71"/>
      <c r="AE994" s="71"/>
      <c r="AF994" s="71"/>
      <c r="AG994" s="71"/>
      <c r="AH994" s="71"/>
      <c r="AI994" s="71"/>
      <c r="AJ994" s="71"/>
      <c r="AK994" s="71"/>
    </row>
    <row r="995" spans="1:37" ht="12.75" customHeight="1" x14ac:dyDescent="0.2">
      <c r="A995" s="71"/>
      <c r="B995" s="71"/>
      <c r="C995" s="71"/>
      <c r="D995" s="71"/>
      <c r="E995" s="71"/>
      <c r="F995" s="71"/>
      <c r="G995" s="71"/>
      <c r="H995" s="71"/>
      <c r="I995" s="71"/>
      <c r="J995" s="71"/>
      <c r="K995" s="71"/>
      <c r="L995" s="71"/>
      <c r="M995" s="71"/>
      <c r="N995" s="71"/>
      <c r="O995" s="71"/>
      <c r="P995" s="71"/>
      <c r="Q995" s="71"/>
      <c r="R995" s="71"/>
      <c r="S995" s="71"/>
      <c r="T995" s="105"/>
      <c r="U995" s="71"/>
      <c r="V995" s="71"/>
      <c r="W995" s="71"/>
      <c r="X995" s="71"/>
      <c r="Y995" s="71"/>
      <c r="Z995" s="71"/>
      <c r="AA995" s="71"/>
      <c r="AB995" s="71"/>
      <c r="AC995" s="71"/>
      <c r="AD995" s="71"/>
      <c r="AE995" s="71"/>
      <c r="AF995" s="71"/>
      <c r="AG995" s="71"/>
      <c r="AH995" s="71"/>
      <c r="AI995" s="71"/>
      <c r="AJ995" s="71"/>
      <c r="AK995" s="71"/>
    </row>
    <row r="996" spans="1:37" ht="12.75" customHeight="1" x14ac:dyDescent="0.2">
      <c r="A996" s="71"/>
      <c r="B996" s="71"/>
      <c r="C996" s="71"/>
      <c r="D996" s="71"/>
      <c r="E996" s="71"/>
      <c r="F996" s="71"/>
      <c r="G996" s="71"/>
      <c r="H996" s="71"/>
      <c r="I996" s="71"/>
      <c r="J996" s="71"/>
      <c r="K996" s="71"/>
      <c r="L996" s="71"/>
      <c r="M996" s="71"/>
      <c r="N996" s="71"/>
      <c r="O996" s="71"/>
      <c r="P996" s="71"/>
      <c r="Q996" s="71"/>
      <c r="R996" s="71"/>
      <c r="S996" s="71"/>
      <c r="T996" s="105"/>
      <c r="U996" s="71"/>
      <c r="V996" s="71"/>
      <c r="W996" s="71"/>
      <c r="X996" s="71"/>
      <c r="Y996" s="71"/>
      <c r="Z996" s="71"/>
      <c r="AA996" s="71"/>
      <c r="AB996" s="71"/>
      <c r="AC996" s="71"/>
      <c r="AD996" s="71"/>
      <c r="AE996" s="71"/>
      <c r="AF996" s="71"/>
      <c r="AG996" s="71"/>
      <c r="AH996" s="71"/>
      <c r="AI996" s="71"/>
      <c r="AJ996" s="71"/>
      <c r="AK996" s="71"/>
    </row>
    <row r="997" spans="1:37" ht="12.75" customHeight="1" x14ac:dyDescent="0.2">
      <c r="A997" s="71"/>
      <c r="B997" s="71"/>
      <c r="C997" s="71"/>
      <c r="D997" s="71"/>
      <c r="E997" s="71"/>
      <c r="F997" s="71"/>
      <c r="G997" s="71"/>
      <c r="H997" s="71"/>
      <c r="I997" s="71"/>
      <c r="J997" s="71"/>
      <c r="K997" s="71"/>
      <c r="L997" s="71"/>
      <c r="M997" s="71"/>
      <c r="N997" s="71"/>
      <c r="O997" s="71"/>
      <c r="P997" s="71"/>
      <c r="Q997" s="71"/>
      <c r="R997" s="71"/>
      <c r="S997" s="71"/>
      <c r="T997" s="105"/>
      <c r="U997" s="71"/>
      <c r="V997" s="71"/>
      <c r="W997" s="71"/>
      <c r="X997" s="71"/>
      <c r="Y997" s="71"/>
      <c r="Z997" s="71"/>
      <c r="AA997" s="71"/>
      <c r="AB997" s="71"/>
      <c r="AC997" s="71"/>
      <c r="AD997" s="71"/>
      <c r="AE997" s="71"/>
      <c r="AF997" s="71"/>
      <c r="AG997" s="71"/>
      <c r="AH997" s="71"/>
      <c r="AI997" s="71"/>
      <c r="AJ997" s="71"/>
      <c r="AK997" s="71"/>
    </row>
    <row r="998" spans="1:37" ht="12.75" customHeight="1" x14ac:dyDescent="0.2">
      <c r="A998" s="71"/>
      <c r="B998" s="71"/>
      <c r="C998" s="71"/>
      <c r="D998" s="71"/>
      <c r="E998" s="71"/>
      <c r="F998" s="71"/>
      <c r="G998" s="71"/>
      <c r="H998" s="71"/>
      <c r="I998" s="71"/>
      <c r="J998" s="71"/>
      <c r="K998" s="71"/>
      <c r="L998" s="71"/>
      <c r="M998" s="71"/>
      <c r="N998" s="71"/>
      <c r="O998" s="71"/>
      <c r="P998" s="71"/>
      <c r="Q998" s="71"/>
      <c r="R998" s="71"/>
      <c r="S998" s="71"/>
      <c r="T998" s="105"/>
      <c r="U998" s="71"/>
      <c r="V998" s="71"/>
      <c r="W998" s="71"/>
      <c r="X998" s="71"/>
      <c r="Y998" s="71"/>
      <c r="Z998" s="71"/>
      <c r="AA998" s="71"/>
      <c r="AB998" s="71"/>
      <c r="AC998" s="71"/>
      <c r="AD998" s="71"/>
      <c r="AE998" s="71"/>
      <c r="AF998" s="71"/>
      <c r="AG998" s="71"/>
      <c r="AH998" s="71"/>
      <c r="AI998" s="71"/>
      <c r="AJ998" s="71"/>
      <c r="AK998" s="71"/>
    </row>
    <row r="999" spans="1:37" ht="12.75" customHeight="1" x14ac:dyDescent="0.2">
      <c r="A999" s="71"/>
      <c r="B999" s="71"/>
      <c r="C999" s="71"/>
      <c r="D999" s="71"/>
      <c r="E999" s="71"/>
      <c r="F999" s="71"/>
      <c r="G999" s="71"/>
      <c r="H999" s="71"/>
      <c r="I999" s="71"/>
      <c r="J999" s="71"/>
      <c r="K999" s="71"/>
      <c r="L999" s="71"/>
      <c r="M999" s="71"/>
      <c r="N999" s="71"/>
      <c r="O999" s="71"/>
      <c r="P999" s="71"/>
      <c r="Q999" s="71"/>
      <c r="R999" s="71"/>
      <c r="S999" s="71"/>
      <c r="T999" s="105"/>
      <c r="U999" s="71"/>
      <c r="V999" s="71"/>
      <c r="W999" s="71"/>
      <c r="X999" s="71"/>
      <c r="Y999" s="71"/>
      <c r="Z999" s="71"/>
      <c r="AA999" s="71"/>
      <c r="AB999" s="71"/>
      <c r="AC999" s="71"/>
      <c r="AD999" s="71"/>
      <c r="AE999" s="71"/>
      <c r="AF999" s="71"/>
      <c r="AG999" s="71"/>
      <c r="AH999" s="71"/>
      <c r="AI999" s="71"/>
      <c r="AJ999" s="71"/>
      <c r="AK999" s="71"/>
    </row>
    <row r="1000" spans="1:37" ht="12.75" customHeight="1" x14ac:dyDescent="0.2">
      <c r="A1000" s="71"/>
      <c r="B1000" s="71"/>
      <c r="C1000" s="71"/>
      <c r="D1000" s="71"/>
      <c r="E1000" s="71"/>
      <c r="F1000" s="71"/>
      <c r="G1000" s="71"/>
      <c r="H1000" s="71"/>
      <c r="I1000" s="71"/>
      <c r="J1000" s="71"/>
      <c r="K1000" s="71"/>
      <c r="L1000" s="71"/>
      <c r="M1000" s="71"/>
      <c r="N1000" s="71"/>
      <c r="O1000" s="71"/>
      <c r="P1000" s="71"/>
      <c r="Q1000" s="71"/>
      <c r="R1000" s="71"/>
      <c r="S1000" s="71"/>
      <c r="T1000" s="105"/>
      <c r="U1000" s="71"/>
      <c r="V1000" s="71"/>
      <c r="W1000" s="71"/>
      <c r="X1000" s="71"/>
      <c r="Y1000" s="71"/>
      <c r="Z1000" s="71"/>
      <c r="AA1000" s="71"/>
      <c r="AB1000" s="71"/>
      <c r="AC1000" s="71"/>
      <c r="AD1000" s="71"/>
      <c r="AE1000" s="71"/>
      <c r="AF1000" s="71"/>
      <c r="AG1000" s="71"/>
      <c r="AH1000" s="71"/>
      <c r="AI1000" s="71"/>
      <c r="AJ1000" s="71"/>
      <c r="AK1000" s="71"/>
    </row>
  </sheetData>
  <mergeCells count="78">
    <mergeCell ref="A83:P83"/>
    <mergeCell ref="A84:P84"/>
    <mergeCell ref="A85:P85"/>
    <mergeCell ref="A86:P86"/>
    <mergeCell ref="A87:P87"/>
    <mergeCell ref="A88:P88"/>
    <mergeCell ref="A89:P89"/>
    <mergeCell ref="A90:P90"/>
    <mergeCell ref="A91:P91"/>
    <mergeCell ref="A92:P92"/>
    <mergeCell ref="A93:P93"/>
    <mergeCell ref="A94:P94"/>
    <mergeCell ref="A95:P95"/>
    <mergeCell ref="A96:P96"/>
    <mergeCell ref="A104:P104"/>
    <mergeCell ref="A110:P110"/>
    <mergeCell ref="A111:P111"/>
    <mergeCell ref="A97:P97"/>
    <mergeCell ref="A98:P98"/>
    <mergeCell ref="A99:P99"/>
    <mergeCell ref="A100:P100"/>
    <mergeCell ref="A101:P101"/>
    <mergeCell ref="A102:P102"/>
    <mergeCell ref="A103:P103"/>
    <mergeCell ref="A105:P105"/>
    <mergeCell ref="A106:P106"/>
    <mergeCell ref="A107:P107"/>
    <mergeCell ref="A108:P108"/>
    <mergeCell ref="A109:P109"/>
    <mergeCell ref="A1:AI1"/>
    <mergeCell ref="A35:R35"/>
    <mergeCell ref="A36:R36"/>
    <mergeCell ref="A37:R37"/>
    <mergeCell ref="A38:R38"/>
    <mergeCell ref="A39:R39"/>
    <mergeCell ref="A40:R40"/>
    <mergeCell ref="A41:R41"/>
    <mergeCell ref="A42:R42"/>
    <mergeCell ref="A43:R43"/>
    <mergeCell ref="A44:R44"/>
    <mergeCell ref="A45:R45"/>
    <mergeCell ref="A46:R46"/>
    <mergeCell ref="A47:R47"/>
    <mergeCell ref="A48:R48"/>
    <mergeCell ref="A49:R49"/>
    <mergeCell ref="A50:P50"/>
    <mergeCell ref="A51:P51"/>
    <mergeCell ref="A52:P52"/>
    <mergeCell ref="A53:P53"/>
    <mergeCell ref="A54:P54"/>
    <mergeCell ref="A55:P55"/>
    <mergeCell ref="A56:P56"/>
    <mergeCell ref="A57:P57"/>
    <mergeCell ref="A58:P58"/>
    <mergeCell ref="A59:P59"/>
    <mergeCell ref="A60:P60"/>
    <mergeCell ref="A61:P61"/>
    <mergeCell ref="A62:P62"/>
    <mergeCell ref="A63:P63"/>
    <mergeCell ref="A64:P64"/>
    <mergeCell ref="A65:P65"/>
    <mergeCell ref="A66:P66"/>
    <mergeCell ref="A67:P67"/>
    <mergeCell ref="A68:P68"/>
    <mergeCell ref="A69:P69"/>
    <mergeCell ref="A70:P70"/>
    <mergeCell ref="A71:P71"/>
    <mergeCell ref="A72:P72"/>
    <mergeCell ref="A73:P73"/>
    <mergeCell ref="A79:P79"/>
    <mergeCell ref="A80:P80"/>
    <mergeCell ref="A81:P81"/>
    <mergeCell ref="A82:P82"/>
    <mergeCell ref="A74:P74"/>
    <mergeCell ref="A75:P75"/>
    <mergeCell ref="A76:P76"/>
    <mergeCell ref="A77:P77"/>
    <mergeCell ref="A78:P78"/>
  </mergeCells>
  <pageMargins left="0.25" right="0.25" top="0.75" bottom="0.75" header="0" footer="0"/>
  <pageSetup fitToHeight="0"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G1000"/>
  <sheetViews>
    <sheetView workbookViewId="0"/>
  </sheetViews>
  <sheetFormatPr baseColWidth="10" defaultColWidth="14.5" defaultRowHeight="15" customHeight="1" x14ac:dyDescent="0.2"/>
  <cols>
    <col min="1" max="1" width="26.83203125" customWidth="1"/>
    <col min="2" max="2" width="16.6640625" customWidth="1"/>
    <col min="3" max="3" width="12.5" customWidth="1"/>
    <col min="4" max="4" width="14.1640625" customWidth="1"/>
    <col min="5" max="5" width="16.6640625" customWidth="1"/>
    <col min="6" max="6" width="16.33203125" customWidth="1"/>
    <col min="7" max="7" width="15.83203125" customWidth="1"/>
    <col min="8" max="26" width="8.6640625" customWidth="1"/>
  </cols>
  <sheetData>
    <row r="1" spans="1:7" ht="14.25" customHeight="1" x14ac:dyDescent="0.2">
      <c r="A1" s="1" t="s">
        <v>1272</v>
      </c>
    </row>
    <row r="2" spans="1:7" ht="14.25" customHeight="1" x14ac:dyDescent="0.2">
      <c r="A2" s="1"/>
    </row>
    <row r="3" spans="1:7" ht="14.25" customHeight="1" x14ac:dyDescent="0.2">
      <c r="A3" s="49" t="s">
        <v>1273</v>
      </c>
      <c r="B3" s="49" t="s">
        <v>1274</v>
      </c>
      <c r="C3" s="49" t="s">
        <v>1275</v>
      </c>
      <c r="D3" s="49" t="s">
        <v>1276</v>
      </c>
      <c r="E3" s="49" t="s">
        <v>1277</v>
      </c>
      <c r="F3" s="49" t="s">
        <v>1278</v>
      </c>
      <c r="G3" s="49" t="s">
        <v>1279</v>
      </c>
    </row>
    <row r="4" spans="1:7" ht="14.25" customHeight="1" x14ac:dyDescent="0.2">
      <c r="A4" s="3" t="s">
        <v>1280</v>
      </c>
      <c r="B4" s="106">
        <v>21611</v>
      </c>
      <c r="C4" s="106">
        <v>244203</v>
      </c>
      <c r="D4" s="106">
        <v>3584</v>
      </c>
      <c r="E4" s="3">
        <v>11.3</v>
      </c>
      <c r="F4" s="3">
        <v>5.7</v>
      </c>
      <c r="G4" s="3">
        <v>2.4</v>
      </c>
    </row>
    <row r="5" spans="1:7" ht="14.25" customHeight="1" x14ac:dyDescent="0.2">
      <c r="A5" s="3" t="s">
        <v>1281</v>
      </c>
      <c r="B5" s="106">
        <v>10147</v>
      </c>
      <c r="C5" s="106">
        <v>121865</v>
      </c>
      <c r="D5" s="106">
        <v>2035</v>
      </c>
      <c r="E5" s="3">
        <v>12</v>
      </c>
      <c r="F5" s="3">
        <v>6</v>
      </c>
      <c r="G5" s="3">
        <v>2.7</v>
      </c>
    </row>
    <row r="6" spans="1:7" ht="14.25" customHeight="1" x14ac:dyDescent="0.2">
      <c r="A6" s="3" t="s">
        <v>1282</v>
      </c>
      <c r="B6" s="3">
        <v>735</v>
      </c>
      <c r="C6" s="106">
        <v>8137</v>
      </c>
      <c r="D6" s="3">
        <v>154</v>
      </c>
      <c r="E6" s="3">
        <v>11.1</v>
      </c>
      <c r="F6" s="3">
        <v>7.8</v>
      </c>
      <c r="G6" s="3">
        <v>2.4</v>
      </c>
    </row>
    <row r="7" spans="1:7" ht="14.25" customHeight="1" x14ac:dyDescent="0.2">
      <c r="A7" s="3" t="s">
        <v>1283</v>
      </c>
      <c r="B7" s="3">
        <v>854</v>
      </c>
      <c r="C7" s="106">
        <v>12694</v>
      </c>
      <c r="D7" s="3">
        <v>220</v>
      </c>
      <c r="E7" s="3">
        <v>14.9</v>
      </c>
      <c r="F7" s="3">
        <v>4.0999999999999996</v>
      </c>
      <c r="G7" s="3">
        <v>3.8</v>
      </c>
    </row>
    <row r="8" spans="1:7" ht="14.25" customHeight="1" x14ac:dyDescent="0.2">
      <c r="A8" s="3" t="s">
        <v>1284</v>
      </c>
      <c r="B8" s="106">
        <v>1704</v>
      </c>
      <c r="C8" s="106">
        <v>18728</v>
      </c>
      <c r="D8" s="3">
        <v>212</v>
      </c>
      <c r="E8" s="3">
        <v>11</v>
      </c>
      <c r="F8" s="3">
        <v>4.7</v>
      </c>
      <c r="G8" s="3">
        <v>2.2999999999999998</v>
      </c>
    </row>
    <row r="9" spans="1:7" ht="14.25" customHeight="1" x14ac:dyDescent="0.2">
      <c r="A9" s="3" t="s">
        <v>1285</v>
      </c>
      <c r="B9" s="106">
        <v>2508</v>
      </c>
      <c r="C9" s="106">
        <v>21580</v>
      </c>
      <c r="D9" s="3">
        <v>362</v>
      </c>
      <c r="E9" s="3">
        <v>8.6</v>
      </c>
      <c r="F9" s="3">
        <v>6.3</v>
      </c>
      <c r="G9" s="3">
        <v>2.2999999999999998</v>
      </c>
    </row>
    <row r="10" spans="1:7" ht="14.25" customHeight="1" x14ac:dyDescent="0.2">
      <c r="A10" s="3" t="s">
        <v>1286</v>
      </c>
      <c r="B10" s="106">
        <v>3916</v>
      </c>
      <c r="C10" s="106">
        <v>43741</v>
      </c>
      <c r="D10" s="3">
        <v>280</v>
      </c>
      <c r="E10" s="3">
        <v>11.2</v>
      </c>
      <c r="F10" s="3">
        <v>4.5999999999999996</v>
      </c>
      <c r="G10" s="3">
        <v>1.3</v>
      </c>
    </row>
    <row r="11" spans="1:7" ht="14.25" customHeight="1" x14ac:dyDescent="0.2">
      <c r="A11" s="3" t="s">
        <v>1287</v>
      </c>
      <c r="B11" s="106">
        <v>1747</v>
      </c>
      <c r="C11" s="106">
        <v>17458</v>
      </c>
      <c r="D11" s="3">
        <v>322</v>
      </c>
      <c r="E11" s="3">
        <v>10</v>
      </c>
      <c r="F11" s="3">
        <v>6.8</v>
      </c>
      <c r="G11" s="3">
        <v>2.4</v>
      </c>
    </row>
    <row r="12" spans="1:7" ht="14.25" customHeight="1" x14ac:dyDescent="0.2"/>
    <row r="13" spans="1:7" ht="14.25" customHeight="1" x14ac:dyDescent="0.2"/>
    <row r="14" spans="1:7" ht="14.25" customHeight="1" x14ac:dyDescent="0.2"/>
    <row r="15" spans="1:7" ht="14.25" customHeight="1" x14ac:dyDescent="0.2"/>
    <row r="16" spans="1:7" ht="14.25" customHeight="1" x14ac:dyDescent="0.2"/>
    <row r="17" ht="14.25" customHeight="1" x14ac:dyDescent="0.2"/>
    <row r="18" ht="14.25" customHeight="1" x14ac:dyDescent="0.2"/>
    <row r="19" ht="14.25" customHeight="1" x14ac:dyDescent="0.2"/>
    <row r="20" ht="14.25" customHeight="1" x14ac:dyDescent="0.2"/>
    <row r="21" ht="14.25" customHeight="1" x14ac:dyDescent="0.2"/>
    <row r="22" ht="14.25" customHeight="1" x14ac:dyDescent="0.2"/>
    <row r="23" ht="14.25" customHeight="1" x14ac:dyDescent="0.2"/>
    <row r="24" ht="14.25" customHeight="1" x14ac:dyDescent="0.2"/>
    <row r="25" ht="14.25" customHeight="1" x14ac:dyDescent="0.2"/>
    <row r="26" ht="14.25" customHeight="1" x14ac:dyDescent="0.2"/>
    <row r="27" ht="14.25" customHeight="1" x14ac:dyDescent="0.2"/>
    <row r="28" ht="14.25" customHeight="1" x14ac:dyDescent="0.2"/>
    <row r="29" ht="14.25" customHeight="1" x14ac:dyDescent="0.2"/>
    <row r="30" ht="14.25" customHeight="1" x14ac:dyDescent="0.2"/>
    <row r="31" ht="14.25" customHeight="1" x14ac:dyDescent="0.2"/>
    <row r="32"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 footer="0"/>
  <pageSetup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E1000"/>
  <sheetViews>
    <sheetView workbookViewId="0"/>
  </sheetViews>
  <sheetFormatPr baseColWidth="10" defaultColWidth="14.5" defaultRowHeight="15" customHeight="1" x14ac:dyDescent="0.2"/>
  <cols>
    <col min="1" max="1" width="16.83203125" customWidth="1"/>
    <col min="2" max="2" width="24.5" customWidth="1"/>
    <col min="3" max="5" width="16.83203125" customWidth="1"/>
    <col min="6" max="26" width="8.6640625" customWidth="1"/>
  </cols>
  <sheetData>
    <row r="1" spans="1:5" ht="14.25" customHeight="1" x14ac:dyDescent="0.2">
      <c r="A1" s="1" t="s">
        <v>1288</v>
      </c>
      <c r="B1" s="50" t="s">
        <v>1289</v>
      </c>
      <c r="C1" s="50" t="s">
        <v>1290</v>
      </c>
      <c r="D1" s="50" t="s">
        <v>1291</v>
      </c>
      <c r="E1" s="50" t="s">
        <v>1292</v>
      </c>
    </row>
    <row r="2" spans="1:5" ht="14.25" customHeight="1" x14ac:dyDescent="0.2">
      <c r="A2" s="3" t="s">
        <v>1293</v>
      </c>
      <c r="B2" s="3">
        <v>7</v>
      </c>
      <c r="C2" s="3">
        <v>95264</v>
      </c>
      <c r="D2" s="3">
        <v>163464</v>
      </c>
      <c r="E2" s="3">
        <v>67.599999999999994</v>
      </c>
    </row>
    <row r="3" spans="1:5" ht="14.25" customHeight="1" x14ac:dyDescent="0.2">
      <c r="A3" s="3" t="s">
        <v>1294</v>
      </c>
      <c r="B3" s="3">
        <v>21</v>
      </c>
      <c r="C3" s="3">
        <v>10355</v>
      </c>
      <c r="D3" s="3">
        <v>5507</v>
      </c>
      <c r="E3" s="3">
        <v>1.4</v>
      </c>
    </row>
    <row r="4" spans="1:5" ht="14.25" customHeight="1" x14ac:dyDescent="0.2">
      <c r="A4" s="3" t="s">
        <v>1295</v>
      </c>
      <c r="B4" s="3">
        <v>546</v>
      </c>
      <c r="C4" s="3">
        <v>32858</v>
      </c>
      <c r="D4" s="3">
        <v>12293</v>
      </c>
      <c r="E4" s="3">
        <v>2.6</v>
      </c>
    </row>
    <row r="5" spans="1:5" ht="14.25" customHeight="1" x14ac:dyDescent="0.2"/>
    <row r="6" spans="1:5" ht="14.25" customHeight="1" x14ac:dyDescent="0.2"/>
    <row r="7" spans="1:5" ht="14.25" customHeight="1" x14ac:dyDescent="0.2"/>
    <row r="8" spans="1:5" ht="14.25" customHeight="1" x14ac:dyDescent="0.2"/>
    <row r="9" spans="1:5" ht="14.25" customHeight="1" x14ac:dyDescent="0.2"/>
    <row r="10" spans="1:5" ht="14.25" customHeight="1" x14ac:dyDescent="0.2"/>
    <row r="11" spans="1:5" ht="14.25" customHeight="1" x14ac:dyDescent="0.2"/>
    <row r="12" spans="1:5" ht="14.25" customHeight="1" x14ac:dyDescent="0.2"/>
    <row r="13" spans="1:5" ht="14.25" customHeight="1" x14ac:dyDescent="0.2"/>
    <row r="14" spans="1:5" ht="14.25" customHeight="1" x14ac:dyDescent="0.2"/>
    <row r="15" spans="1:5" ht="14.25" customHeight="1" x14ac:dyDescent="0.2"/>
    <row r="16" spans="1:5" ht="14.25" customHeight="1" x14ac:dyDescent="0.2"/>
    <row r="17" ht="14.25" customHeight="1" x14ac:dyDescent="0.2"/>
    <row r="18" ht="14.25" customHeight="1" x14ac:dyDescent="0.2"/>
    <row r="19" ht="14.25" customHeight="1" x14ac:dyDescent="0.2"/>
    <row r="20" ht="14.25" customHeight="1" x14ac:dyDescent="0.2"/>
    <row r="21" ht="14.25" customHeight="1" x14ac:dyDescent="0.2"/>
    <row r="22" ht="14.25" customHeight="1" x14ac:dyDescent="0.2"/>
    <row r="23" ht="14.25" customHeight="1" x14ac:dyDescent="0.2"/>
    <row r="24" ht="14.25" customHeight="1" x14ac:dyDescent="0.2"/>
    <row r="25" ht="14.25" customHeight="1" x14ac:dyDescent="0.2"/>
    <row r="26" ht="14.25" customHeight="1" x14ac:dyDescent="0.2"/>
    <row r="27" ht="14.25" customHeight="1" x14ac:dyDescent="0.2"/>
    <row r="28" ht="14.25" customHeight="1" x14ac:dyDescent="0.2"/>
    <row r="29" ht="14.25" customHeight="1" x14ac:dyDescent="0.2"/>
    <row r="30" ht="14.25" customHeight="1" x14ac:dyDescent="0.2"/>
    <row r="31" ht="14.25" customHeight="1" x14ac:dyDescent="0.2"/>
    <row r="32"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 footer="0"/>
  <pageSetup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G1000"/>
  <sheetViews>
    <sheetView workbookViewId="0"/>
  </sheetViews>
  <sheetFormatPr baseColWidth="10" defaultColWidth="14.5" defaultRowHeight="15" customHeight="1" x14ac:dyDescent="0.2"/>
  <cols>
    <col min="1" max="1" width="23" customWidth="1"/>
    <col min="2" max="2" width="32.6640625" customWidth="1"/>
    <col min="3" max="33" width="8.6640625" customWidth="1"/>
  </cols>
  <sheetData>
    <row r="1" spans="1:33" ht="14.25" customHeight="1" x14ac:dyDescent="0.2">
      <c r="A1" s="3">
        <v>10</v>
      </c>
      <c r="B1" s="3" t="s">
        <v>1296</v>
      </c>
    </row>
    <row r="2" spans="1:33" ht="14.25" customHeight="1" x14ac:dyDescent="0.2"/>
    <row r="3" spans="1:33" ht="14.25" customHeight="1" x14ac:dyDescent="0.2">
      <c r="A3" s="3">
        <v>300</v>
      </c>
      <c r="B3" s="3" t="s">
        <v>1297</v>
      </c>
    </row>
    <row r="4" spans="1:33" ht="14.25" customHeight="1" x14ac:dyDescent="0.2"/>
    <row r="5" spans="1:33" ht="14.25" customHeight="1" x14ac:dyDescent="0.2">
      <c r="A5" s="3">
        <f>B14/SUM(B14:B15)</f>
        <v>0.75216927859794647</v>
      </c>
      <c r="B5" s="3" t="s">
        <v>1298</v>
      </c>
    </row>
    <row r="6" spans="1:33" ht="14.25" customHeight="1" x14ac:dyDescent="0.2">
      <c r="A6" s="3">
        <f>1-A5</f>
        <v>0.24783072140205353</v>
      </c>
      <c r="B6" s="3" t="s">
        <v>1299</v>
      </c>
    </row>
    <row r="7" spans="1:33" ht="14.25" customHeight="1" x14ac:dyDescent="0.2"/>
    <row r="8" spans="1:33" ht="14.25" customHeight="1" x14ac:dyDescent="0.2">
      <c r="A8" s="3" t="e">
        <f t="array" ref="A8">SUM(INDEX('AEO 37'!$110:$110,MATCH(About!$B$133,'AEO 37'!$1:$1,0)))/INDEX('AEO 37'!$109:$109,MATCH(About!$B$133,'AEO 37'!$1:$1,0))</f>
        <v>#N/A</v>
      </c>
      <c r="B8" s="3" t="s">
        <v>1300</v>
      </c>
    </row>
    <row r="9" spans="1:33" ht="14.25" customHeight="1" x14ac:dyDescent="0.2">
      <c r="A9" s="3" t="e">
        <f t="array" ref="A9">SUM(INDEX('AEO 37'!$111:$111,MATCH(About!$B$133,'AEO 37'!$1:$1,0)))/INDEX('AEO 37'!$109:$109,MATCH(About!$B$133,'AEO 37'!$1:$1,0))</f>
        <v>#N/A</v>
      </c>
      <c r="B9" s="3" t="s">
        <v>1301</v>
      </c>
    </row>
    <row r="10" spans="1:33" ht="14.25" customHeight="1" x14ac:dyDescent="0.2">
      <c r="A10" s="107"/>
    </row>
    <row r="11" spans="1:33" ht="14.25" customHeight="1" x14ac:dyDescent="0.2">
      <c r="A11" s="3" t="s">
        <v>1302</v>
      </c>
      <c r="B11" s="3">
        <v>0.32500000000000001</v>
      </c>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row>
    <row r="12" spans="1:33" ht="14.25" customHeight="1" x14ac:dyDescent="0.2">
      <c r="A12" s="3" t="s">
        <v>1303</v>
      </c>
      <c r="B12" s="3">
        <v>0.95</v>
      </c>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row>
    <row r="13" spans="1:33" ht="14.25" customHeight="1" x14ac:dyDescent="0.2"/>
    <row r="14" spans="1:33" ht="14.25" customHeight="1" x14ac:dyDescent="0.2">
      <c r="A14" s="3" t="s">
        <v>1304</v>
      </c>
      <c r="B14" s="3">
        <v>23772624250000</v>
      </c>
      <c r="C14" s="3">
        <v>24047863950000</v>
      </c>
      <c r="D14" s="3">
        <v>24311497500000</v>
      </c>
      <c r="E14" s="3">
        <v>24540287900000</v>
      </c>
      <c r="F14" s="3">
        <v>24755604450000</v>
      </c>
      <c r="G14" s="3">
        <v>25001480600000</v>
      </c>
      <c r="H14" s="3">
        <v>25237832050000</v>
      </c>
      <c r="I14" s="3">
        <v>25472413650000</v>
      </c>
      <c r="J14" s="3">
        <v>25707567150000</v>
      </c>
      <c r="K14" s="3">
        <v>25945570650000</v>
      </c>
      <c r="L14" s="3">
        <v>26183748950000</v>
      </c>
      <c r="M14" s="3">
        <v>26400119050000</v>
      </c>
      <c r="N14" s="3">
        <v>26621834800000</v>
      </c>
      <c r="O14" s="3">
        <v>26843989450000</v>
      </c>
      <c r="P14" s="3">
        <v>27059580550000.004</v>
      </c>
      <c r="Q14" s="3">
        <v>27266110550000</v>
      </c>
      <c r="R14" s="3">
        <v>27465376850000</v>
      </c>
      <c r="S14" s="3">
        <v>27656835100000</v>
      </c>
      <c r="T14" s="3">
        <v>27848192650000</v>
      </c>
      <c r="U14" s="3">
        <v>28027393050000</v>
      </c>
      <c r="V14" s="3">
        <v>28200800350000</v>
      </c>
      <c r="W14" s="3">
        <v>28377071900000</v>
      </c>
      <c r="X14" s="3">
        <v>28541799050000</v>
      </c>
      <c r="Y14" s="3">
        <v>28696612000000.004</v>
      </c>
      <c r="Z14" s="3">
        <v>28851625400000</v>
      </c>
      <c r="AA14" s="3">
        <v>29000824800000</v>
      </c>
      <c r="AB14" s="3">
        <v>29146531050000</v>
      </c>
      <c r="AC14" s="3">
        <v>29301301249999.996</v>
      </c>
      <c r="AD14" s="3">
        <v>29458844500000</v>
      </c>
      <c r="AE14" s="3">
        <v>29624205300000</v>
      </c>
      <c r="AF14" s="3">
        <v>29799374850000.004</v>
      </c>
      <c r="AG14" s="3">
        <v>29981629500000</v>
      </c>
    </row>
    <row r="15" spans="1:33" ht="14.25" customHeight="1" x14ac:dyDescent="0.2">
      <c r="A15" s="3" t="s">
        <v>1305</v>
      </c>
      <c r="B15" s="3">
        <v>7832793475000</v>
      </c>
      <c r="C15" s="3">
        <v>7976624175000</v>
      </c>
      <c r="D15" s="3">
        <v>8108632025000.002</v>
      </c>
      <c r="E15" s="3">
        <v>8220850950000</v>
      </c>
      <c r="F15" s="3">
        <v>8327773350000.002</v>
      </c>
      <c r="G15" s="3">
        <v>8456120400000</v>
      </c>
      <c r="H15" s="3">
        <v>8573548100000</v>
      </c>
      <c r="I15" s="3">
        <v>8689932549999.999</v>
      </c>
      <c r="J15" s="3">
        <v>8807058325000</v>
      </c>
      <c r="K15" s="3">
        <v>8929529375000.002</v>
      </c>
      <c r="L15" s="3">
        <v>9050899650000</v>
      </c>
      <c r="M15" s="3">
        <v>9140914250000</v>
      </c>
      <c r="N15" s="3">
        <v>9266734100000</v>
      </c>
      <c r="O15" s="3">
        <v>9393687550000</v>
      </c>
      <c r="P15" s="3">
        <v>9509812000000</v>
      </c>
      <c r="Q15" s="3">
        <v>9627574125000.002</v>
      </c>
      <c r="R15" s="3">
        <v>9747785775000</v>
      </c>
      <c r="S15" s="3">
        <v>9866314900000</v>
      </c>
      <c r="T15" s="3">
        <v>9992742825000</v>
      </c>
      <c r="U15" s="3">
        <v>10112273600000</v>
      </c>
      <c r="V15" s="3">
        <v>10232965600000</v>
      </c>
      <c r="W15" s="3">
        <v>10364983525000</v>
      </c>
      <c r="X15" s="3">
        <v>10493954250000</v>
      </c>
      <c r="Y15" s="3">
        <v>10615863375000</v>
      </c>
      <c r="Z15" s="3">
        <v>10746239075000</v>
      </c>
      <c r="AA15" s="3">
        <v>10875760675000</v>
      </c>
      <c r="AB15" s="3">
        <v>11001281525000</v>
      </c>
      <c r="AC15" s="3">
        <v>11133462925000</v>
      </c>
      <c r="AD15" s="3">
        <v>11252006350000</v>
      </c>
      <c r="AE15" s="3">
        <v>11366518150000.002</v>
      </c>
      <c r="AF15" s="3">
        <v>11475964175000</v>
      </c>
      <c r="AG15" s="3">
        <v>11576012825000</v>
      </c>
    </row>
    <row r="16" spans="1:33" ht="14.25" customHeight="1" x14ac:dyDescent="0.2"/>
    <row r="17" ht="14.25" customHeight="1" x14ac:dyDescent="0.2"/>
    <row r="18" ht="14.25" customHeight="1" x14ac:dyDescent="0.2"/>
    <row r="19" ht="14.25" customHeight="1" x14ac:dyDescent="0.2"/>
    <row r="20" ht="14.25" customHeight="1" x14ac:dyDescent="0.2"/>
    <row r="21" ht="14.25" customHeight="1" x14ac:dyDescent="0.2"/>
    <row r="22" ht="14.25" customHeight="1" x14ac:dyDescent="0.2"/>
    <row r="23" ht="14.25" customHeight="1" x14ac:dyDescent="0.2"/>
    <row r="24" ht="14.25" customHeight="1" x14ac:dyDescent="0.2"/>
    <row r="25" ht="14.25" customHeight="1" x14ac:dyDescent="0.2"/>
    <row r="26" ht="14.25" customHeight="1" x14ac:dyDescent="0.2"/>
    <row r="27" ht="14.25" customHeight="1" x14ac:dyDescent="0.2"/>
    <row r="28" ht="14.25" customHeight="1" x14ac:dyDescent="0.2"/>
    <row r="29" ht="14.25" customHeight="1" x14ac:dyDescent="0.2"/>
    <row r="30" ht="14.25" customHeight="1" x14ac:dyDescent="0.2"/>
    <row r="31" ht="14.25" customHeight="1" x14ac:dyDescent="0.2"/>
    <row r="32"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18</vt:i4>
      </vt:variant>
    </vt:vector>
  </HeadingPairs>
  <TitlesOfParts>
    <vt:vector size="18" baseType="lpstr">
      <vt:lpstr>About</vt:lpstr>
      <vt:lpstr>BPS LTS 2019</vt:lpstr>
      <vt:lpstr>KCI Annual Report 2018</vt:lpstr>
      <vt:lpstr>Transjakarta Statistics</vt:lpstr>
      <vt:lpstr>EV</vt:lpstr>
      <vt:lpstr>BUKU IT 2019 &amp; Statistik Transp</vt:lpstr>
      <vt:lpstr>SYVbT-passenger</vt:lpstr>
      <vt:lpstr>SYVbT-freight</vt:lpstr>
      <vt:lpstr>AEO 7</vt:lpstr>
      <vt:lpstr>AEO 37</vt:lpstr>
      <vt:lpstr>AEO 40</vt:lpstr>
      <vt:lpstr>AEO 46</vt:lpstr>
      <vt:lpstr>AEO 49</vt:lpstr>
      <vt:lpstr>AEO 50</vt:lpstr>
      <vt:lpstr>NTS 1-11</vt:lpstr>
      <vt:lpstr>NRBS 40</vt:lpstr>
      <vt:lpstr>FRA</vt:lpstr>
      <vt:lpstr>Misc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Sy, Saidou Abdoulaye</cp:lastModifiedBy>
  <dcterms:created xsi:type="dcterms:W3CDTF">2017-06-22T21:46:10Z</dcterms:created>
  <dcterms:modified xsi:type="dcterms:W3CDTF">2025-01-08T16:19:34Z</dcterms:modified>
</cp:coreProperties>
</file>