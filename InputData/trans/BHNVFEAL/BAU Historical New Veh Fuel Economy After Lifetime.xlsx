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defaultThemeVersion="124226"/>
  <mc:AlternateContent xmlns:mc="http://schemas.openxmlformats.org/markup-compatibility/2006">
    <mc:Choice Requires="x15">
      <x15ac:absPath xmlns:x15ac="http://schemas.microsoft.com/office/spreadsheetml/2010/11/ac" url="https://energyinnovation-my.sharepoint.com/personal/maryfrancis_energyinnovation_org/Documents/"/>
    </mc:Choice>
  </mc:AlternateContent>
  <xr:revisionPtr revIDLastSave="0" documentId="8_{99174B59-336B-426E-945C-F63DF5535EE7}" xr6:coauthVersionLast="47" xr6:coauthVersionMax="47" xr10:uidLastSave="{00000000-0000-0000-0000-000000000000}"/>
  <bookViews>
    <workbookView xWindow="3570" yWindow="3450" windowWidth="16785" windowHeight="11250" xr2:uid="{00000000-000D-0000-FFFF-FFFF00000000}"/>
  </bookViews>
  <sheets>
    <sheet name="About" sheetId="1" r:id="rId1"/>
    <sheet name="BNVFE" sheetId="25" r:id="rId2"/>
    <sheet name="SYFAFE" sheetId="27" r:id="rId3"/>
    <sheet name="Other Values" sheetId="18" r:id="rId4"/>
    <sheet name="Calculations" sheetId="26" r:id="rId5"/>
    <sheet name="Extrapolations" sheetId="24" r:id="rId6"/>
    <sheet name="BHNVFEAL-LDVs-psgr" sheetId="2" r:id="rId7"/>
    <sheet name="BHNVFEAL-LDVs-frgt" sheetId="5" r:id="rId8"/>
    <sheet name="BHNVFEAL-HDVs-psgr" sheetId="6" r:id="rId9"/>
    <sheet name="BHNVFEAL-HDVs-frgt" sheetId="7" r:id="rId10"/>
    <sheet name="BHNVFEAL-aircraft-psgr" sheetId="8" r:id="rId11"/>
    <sheet name="BHNVFEAL-aircraft-frgt" sheetId="9" r:id="rId12"/>
    <sheet name="BHNVFEAL-rail-psgr" sheetId="10" r:id="rId13"/>
    <sheet name="BHNVFEAL-rail-frgt" sheetId="11" r:id="rId14"/>
    <sheet name="BHNVFEAL-ships-psgr" sheetId="12" r:id="rId15"/>
    <sheet name="BHNVFEAL-ships-frgt" sheetId="13" r:id="rId16"/>
    <sheet name="BHNVFEAL-motorbikes-psgr" sheetId="14" r:id="rId17"/>
    <sheet name="BHNVFEAL-motorbikes-frgt" sheetId="15" r:id="rId18"/>
  </sheets>
  <externalReferences>
    <externalReference r:id="rId19"/>
  </externalReferences>
  <definedNames>
    <definedName name="Eno_TM">'[1]1997  Table 1a Modified'!#REF!</definedName>
    <definedName name="Eno_Tons">'[1]1997  Table 1a Modified'!#REF!</definedName>
    <definedName name="Sum_T2">'[1]1997  Table 1a Modified'!#REF!</definedName>
    <definedName name="Sum_TTM">'[1]1997  Table 1a Modified'!#REF!</definedName>
    <definedName name="ti_tbl_50">#REF!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2" i="2" l="1"/>
  <c r="D2" i="2"/>
  <c r="E2" i="2"/>
  <c r="F2" i="2"/>
  <c r="G2" i="2"/>
  <c r="H2" i="2"/>
  <c r="I2" i="2"/>
  <c r="J2" i="2"/>
  <c r="K2" i="2"/>
  <c r="L2" i="2"/>
  <c r="M2" i="2"/>
  <c r="N2" i="2"/>
  <c r="O2" i="2"/>
  <c r="P2" i="2"/>
  <c r="Q2" i="2"/>
  <c r="R2" i="2"/>
  <c r="S2" i="2"/>
  <c r="T2" i="2"/>
  <c r="U2" i="2"/>
  <c r="V2" i="2"/>
  <c r="W2" i="2"/>
  <c r="X2" i="2"/>
  <c r="Y2" i="2"/>
  <c r="Z2" i="2"/>
  <c r="AA2" i="2"/>
  <c r="AB2" i="2"/>
  <c r="AC2" i="2"/>
  <c r="AD2" i="2"/>
  <c r="AE2" i="2"/>
  <c r="AF2" i="2"/>
  <c r="B8" i="2"/>
  <c r="C8" i="2" s="1"/>
  <c r="D8" i="2" s="1"/>
  <c r="E8" i="2" s="1"/>
  <c r="F8" i="2" s="1"/>
  <c r="G8" i="2" s="1"/>
  <c r="H8" i="2" s="1"/>
  <c r="I8" i="2" s="1"/>
  <c r="J8" i="2" s="1"/>
  <c r="K8" i="2" s="1"/>
  <c r="L8" i="2" s="1"/>
  <c r="M8" i="2" s="1"/>
  <c r="N8" i="2" s="1"/>
  <c r="O8" i="2" s="1"/>
  <c r="P8" i="2" s="1"/>
  <c r="Q8" i="2" s="1"/>
  <c r="R8" i="2" s="1"/>
  <c r="S8" i="2" s="1"/>
  <c r="T8" i="2" s="1"/>
  <c r="U8" i="2" s="1"/>
  <c r="V8" i="2" s="1"/>
  <c r="W8" i="2" s="1"/>
  <c r="X8" i="2" s="1"/>
  <c r="Y8" i="2" s="1"/>
  <c r="Z8" i="2" s="1"/>
  <c r="AA8" i="2" s="1"/>
  <c r="AB8" i="2" s="1"/>
  <c r="AC8" i="2" s="1"/>
  <c r="AD8" i="2" s="1"/>
  <c r="AE8" i="2" s="1"/>
  <c r="AF8" i="2" s="1"/>
  <c r="B2" i="2"/>
  <c r="B2" i="14" a="1"/>
  <c r="B3" i="14" s="1"/>
  <c r="C3" i="14" s="1"/>
  <c r="D3" i="14" s="1"/>
  <c r="E3" i="14" s="1"/>
  <c r="F3" i="14" s="1"/>
  <c r="G3" i="14" s="1"/>
  <c r="H3" i="14" s="1"/>
  <c r="I3" i="14" s="1"/>
  <c r="J3" i="14" s="1"/>
  <c r="K3" i="14" s="1"/>
  <c r="L3" i="14" s="1"/>
  <c r="M3" i="14" s="1"/>
  <c r="N3" i="14" s="1"/>
  <c r="O3" i="14" s="1"/>
  <c r="P3" i="14" s="1"/>
  <c r="Q3" i="14" s="1"/>
  <c r="R3" i="14" s="1"/>
  <c r="S3" i="14" s="1"/>
  <c r="T3" i="14" s="1"/>
  <c r="U3" i="14" s="1"/>
  <c r="V3" i="14" s="1"/>
  <c r="W3" i="14" s="1"/>
  <c r="X3" i="14" s="1"/>
  <c r="Y3" i="14" s="1"/>
  <c r="Z3" i="14" s="1"/>
  <c r="AA3" i="14" s="1"/>
  <c r="AB3" i="14" s="1"/>
  <c r="AC3" i="14" s="1"/>
  <c r="AD3" i="14" s="1"/>
  <c r="AE3" i="14" s="1"/>
  <c r="AF3" i="14" s="1"/>
  <c r="B2" i="12" a="1"/>
  <c r="B2" i="12" s="1"/>
  <c r="C2" i="12" s="1"/>
  <c r="D2" i="12" s="1"/>
  <c r="E2" i="12" s="1"/>
  <c r="F2" i="12" s="1"/>
  <c r="G2" i="12" s="1"/>
  <c r="H2" i="12" s="1"/>
  <c r="I2" i="12" s="1"/>
  <c r="J2" i="12" s="1"/>
  <c r="K2" i="12" s="1"/>
  <c r="L2" i="12" s="1"/>
  <c r="M2" i="12" s="1"/>
  <c r="N2" i="12" s="1"/>
  <c r="O2" i="12" s="1"/>
  <c r="P2" i="12" s="1"/>
  <c r="Q2" i="12" s="1"/>
  <c r="R2" i="12" s="1"/>
  <c r="S2" i="12" s="1"/>
  <c r="T2" i="12" s="1"/>
  <c r="U2" i="12" s="1"/>
  <c r="V2" i="12" s="1"/>
  <c r="W2" i="12" s="1"/>
  <c r="X2" i="12" s="1"/>
  <c r="Y2" i="12" s="1"/>
  <c r="Z2" i="12" s="1"/>
  <c r="AA2" i="12" s="1"/>
  <c r="AB2" i="12" s="1"/>
  <c r="AC2" i="12" s="1"/>
  <c r="AD2" i="12" s="1"/>
  <c r="AE2" i="12" s="1"/>
  <c r="AF2" i="12" s="1"/>
  <c r="B2" i="6" a="1"/>
  <c r="B3" i="6" s="1"/>
  <c r="B2" i="14" l="1"/>
  <c r="C2" i="14" s="1"/>
  <c r="D2" i="14" s="1"/>
  <c r="E2" i="14" s="1"/>
  <c r="F2" i="14" s="1"/>
  <c r="G2" i="14" s="1"/>
  <c r="H2" i="14" s="1"/>
  <c r="I2" i="14" s="1"/>
  <c r="J2" i="14" s="1"/>
  <c r="K2" i="14" s="1"/>
  <c r="L2" i="14" s="1"/>
  <c r="M2" i="14" s="1"/>
  <c r="N2" i="14" s="1"/>
  <c r="O2" i="14" s="1"/>
  <c r="P2" i="14" s="1"/>
  <c r="Q2" i="14" s="1"/>
  <c r="R2" i="14" s="1"/>
  <c r="S2" i="14" s="1"/>
  <c r="T2" i="14" s="1"/>
  <c r="U2" i="14" s="1"/>
  <c r="V2" i="14" s="1"/>
  <c r="W2" i="14" s="1"/>
  <c r="X2" i="14" s="1"/>
  <c r="Y2" i="14" s="1"/>
  <c r="Z2" i="14" s="1"/>
  <c r="AA2" i="14" s="1"/>
  <c r="AB2" i="14" s="1"/>
  <c r="AC2" i="14" s="1"/>
  <c r="AD2" i="14" s="1"/>
  <c r="AE2" i="14" s="1"/>
  <c r="AF2" i="14" s="1"/>
  <c r="B8" i="14"/>
  <c r="C8" i="14" s="1"/>
  <c r="D8" i="14" s="1"/>
  <c r="E8" i="14" s="1"/>
  <c r="F8" i="14" s="1"/>
  <c r="G8" i="14" s="1"/>
  <c r="H8" i="14" s="1"/>
  <c r="I8" i="14" s="1"/>
  <c r="J8" i="14" s="1"/>
  <c r="K8" i="14" s="1"/>
  <c r="L8" i="14" s="1"/>
  <c r="M8" i="14" s="1"/>
  <c r="N8" i="14" s="1"/>
  <c r="O8" i="14" s="1"/>
  <c r="P8" i="14" s="1"/>
  <c r="Q8" i="14" s="1"/>
  <c r="R8" i="14" s="1"/>
  <c r="S8" i="14" s="1"/>
  <c r="T8" i="14" s="1"/>
  <c r="U8" i="14" s="1"/>
  <c r="V8" i="14" s="1"/>
  <c r="W8" i="14" s="1"/>
  <c r="X8" i="14" s="1"/>
  <c r="Y8" i="14" s="1"/>
  <c r="Z8" i="14" s="1"/>
  <c r="AA8" i="14" s="1"/>
  <c r="AB8" i="14" s="1"/>
  <c r="AC8" i="14" s="1"/>
  <c r="AD8" i="14" s="1"/>
  <c r="AE8" i="14" s="1"/>
  <c r="AF8" i="14" s="1"/>
  <c r="B7" i="14"/>
  <c r="C7" i="14" s="1"/>
  <c r="D7" i="14" s="1"/>
  <c r="E7" i="14" s="1"/>
  <c r="F7" i="14" s="1"/>
  <c r="G7" i="14" s="1"/>
  <c r="H7" i="14" s="1"/>
  <c r="I7" i="14" s="1"/>
  <c r="J7" i="14" s="1"/>
  <c r="K7" i="14" s="1"/>
  <c r="L7" i="14" s="1"/>
  <c r="M7" i="14" s="1"/>
  <c r="N7" i="14" s="1"/>
  <c r="O7" i="14" s="1"/>
  <c r="P7" i="14" s="1"/>
  <c r="Q7" i="14" s="1"/>
  <c r="R7" i="14" s="1"/>
  <c r="S7" i="14" s="1"/>
  <c r="T7" i="14" s="1"/>
  <c r="U7" i="14" s="1"/>
  <c r="V7" i="14" s="1"/>
  <c r="W7" i="14" s="1"/>
  <c r="X7" i="14" s="1"/>
  <c r="Y7" i="14" s="1"/>
  <c r="Z7" i="14" s="1"/>
  <c r="AA7" i="14" s="1"/>
  <c r="AB7" i="14" s="1"/>
  <c r="AC7" i="14" s="1"/>
  <c r="AD7" i="14" s="1"/>
  <c r="AE7" i="14" s="1"/>
  <c r="AF7" i="14" s="1"/>
  <c r="B6" i="14"/>
  <c r="C6" i="14" s="1"/>
  <c r="D6" i="14" s="1"/>
  <c r="E6" i="14" s="1"/>
  <c r="F6" i="14" s="1"/>
  <c r="G6" i="14" s="1"/>
  <c r="H6" i="14" s="1"/>
  <c r="I6" i="14" s="1"/>
  <c r="J6" i="14" s="1"/>
  <c r="K6" i="14" s="1"/>
  <c r="L6" i="14" s="1"/>
  <c r="M6" i="14" s="1"/>
  <c r="N6" i="14" s="1"/>
  <c r="O6" i="14" s="1"/>
  <c r="P6" i="14" s="1"/>
  <c r="Q6" i="14" s="1"/>
  <c r="R6" i="14" s="1"/>
  <c r="S6" i="14" s="1"/>
  <c r="T6" i="14" s="1"/>
  <c r="U6" i="14" s="1"/>
  <c r="V6" i="14" s="1"/>
  <c r="W6" i="14" s="1"/>
  <c r="X6" i="14" s="1"/>
  <c r="Y6" i="14" s="1"/>
  <c r="Z6" i="14" s="1"/>
  <c r="AA6" i="14" s="1"/>
  <c r="AB6" i="14" s="1"/>
  <c r="AC6" i="14" s="1"/>
  <c r="AD6" i="14" s="1"/>
  <c r="AE6" i="14" s="1"/>
  <c r="AF6" i="14" s="1"/>
  <c r="B5" i="14"/>
  <c r="C5" i="14" s="1"/>
  <c r="D5" i="14" s="1"/>
  <c r="E5" i="14" s="1"/>
  <c r="F5" i="14" s="1"/>
  <c r="G5" i="14" s="1"/>
  <c r="H5" i="14" s="1"/>
  <c r="I5" i="14" s="1"/>
  <c r="J5" i="14" s="1"/>
  <c r="K5" i="14" s="1"/>
  <c r="L5" i="14" s="1"/>
  <c r="M5" i="14" s="1"/>
  <c r="N5" i="14" s="1"/>
  <c r="O5" i="14" s="1"/>
  <c r="P5" i="14" s="1"/>
  <c r="Q5" i="14" s="1"/>
  <c r="R5" i="14" s="1"/>
  <c r="S5" i="14" s="1"/>
  <c r="T5" i="14" s="1"/>
  <c r="U5" i="14" s="1"/>
  <c r="V5" i="14" s="1"/>
  <c r="W5" i="14" s="1"/>
  <c r="X5" i="14" s="1"/>
  <c r="Y5" i="14" s="1"/>
  <c r="Z5" i="14" s="1"/>
  <c r="AA5" i="14" s="1"/>
  <c r="AB5" i="14" s="1"/>
  <c r="AC5" i="14" s="1"/>
  <c r="AD5" i="14" s="1"/>
  <c r="AE5" i="14" s="1"/>
  <c r="AF5" i="14" s="1"/>
  <c r="B4" i="14"/>
  <c r="C4" i="14" s="1"/>
  <c r="D4" i="14" s="1"/>
  <c r="E4" i="14" s="1"/>
  <c r="F4" i="14" s="1"/>
  <c r="G4" i="14" s="1"/>
  <c r="H4" i="14" s="1"/>
  <c r="I4" i="14" s="1"/>
  <c r="J4" i="14" s="1"/>
  <c r="K4" i="14" s="1"/>
  <c r="L4" i="14" s="1"/>
  <c r="M4" i="14" s="1"/>
  <c r="N4" i="14" s="1"/>
  <c r="O4" i="14" s="1"/>
  <c r="P4" i="14" s="1"/>
  <c r="Q4" i="14" s="1"/>
  <c r="R4" i="14" s="1"/>
  <c r="S4" i="14" s="1"/>
  <c r="T4" i="14" s="1"/>
  <c r="U4" i="14" s="1"/>
  <c r="V4" i="14" s="1"/>
  <c r="W4" i="14" s="1"/>
  <c r="X4" i="14" s="1"/>
  <c r="Y4" i="14" s="1"/>
  <c r="Z4" i="14" s="1"/>
  <c r="AA4" i="14" s="1"/>
  <c r="AB4" i="14" s="1"/>
  <c r="AC4" i="14" s="1"/>
  <c r="AD4" i="14" s="1"/>
  <c r="AE4" i="14" s="1"/>
  <c r="AF4" i="14" s="1"/>
  <c r="B8" i="12"/>
  <c r="C8" i="12" s="1"/>
  <c r="D8" i="12" s="1"/>
  <c r="E8" i="12" s="1"/>
  <c r="F8" i="12" s="1"/>
  <c r="G8" i="12" s="1"/>
  <c r="H8" i="12" s="1"/>
  <c r="I8" i="12" s="1"/>
  <c r="J8" i="12" s="1"/>
  <c r="K8" i="12" s="1"/>
  <c r="L8" i="12" s="1"/>
  <c r="M8" i="12" s="1"/>
  <c r="N8" i="12" s="1"/>
  <c r="O8" i="12" s="1"/>
  <c r="P8" i="12" s="1"/>
  <c r="Q8" i="12" s="1"/>
  <c r="R8" i="12" s="1"/>
  <c r="S8" i="12" s="1"/>
  <c r="T8" i="12" s="1"/>
  <c r="U8" i="12" s="1"/>
  <c r="V8" i="12" s="1"/>
  <c r="W8" i="12" s="1"/>
  <c r="X8" i="12" s="1"/>
  <c r="Y8" i="12" s="1"/>
  <c r="Z8" i="12" s="1"/>
  <c r="AA8" i="12" s="1"/>
  <c r="AB8" i="12" s="1"/>
  <c r="AC8" i="12" s="1"/>
  <c r="AD8" i="12" s="1"/>
  <c r="AE8" i="12" s="1"/>
  <c r="AF8" i="12" s="1"/>
  <c r="B7" i="12"/>
  <c r="C7" i="12" s="1"/>
  <c r="D7" i="12" s="1"/>
  <c r="E7" i="12" s="1"/>
  <c r="F7" i="12" s="1"/>
  <c r="G7" i="12" s="1"/>
  <c r="H7" i="12" s="1"/>
  <c r="I7" i="12" s="1"/>
  <c r="J7" i="12" s="1"/>
  <c r="K7" i="12" s="1"/>
  <c r="L7" i="12" s="1"/>
  <c r="M7" i="12" s="1"/>
  <c r="N7" i="12" s="1"/>
  <c r="O7" i="12" s="1"/>
  <c r="P7" i="12" s="1"/>
  <c r="Q7" i="12" s="1"/>
  <c r="R7" i="12" s="1"/>
  <c r="S7" i="12" s="1"/>
  <c r="T7" i="12" s="1"/>
  <c r="U7" i="12" s="1"/>
  <c r="V7" i="12" s="1"/>
  <c r="W7" i="12" s="1"/>
  <c r="X7" i="12" s="1"/>
  <c r="Y7" i="12" s="1"/>
  <c r="Z7" i="12" s="1"/>
  <c r="AA7" i="12" s="1"/>
  <c r="AB7" i="12" s="1"/>
  <c r="AC7" i="12" s="1"/>
  <c r="AD7" i="12" s="1"/>
  <c r="AE7" i="12" s="1"/>
  <c r="AF7" i="12" s="1"/>
  <c r="B6" i="12"/>
  <c r="C6" i="12" s="1"/>
  <c r="D6" i="12" s="1"/>
  <c r="E6" i="12" s="1"/>
  <c r="F6" i="12" s="1"/>
  <c r="G6" i="12" s="1"/>
  <c r="H6" i="12" s="1"/>
  <c r="I6" i="12" s="1"/>
  <c r="J6" i="12" s="1"/>
  <c r="K6" i="12" s="1"/>
  <c r="L6" i="12" s="1"/>
  <c r="M6" i="12" s="1"/>
  <c r="N6" i="12" s="1"/>
  <c r="O6" i="12" s="1"/>
  <c r="P6" i="12" s="1"/>
  <c r="Q6" i="12" s="1"/>
  <c r="R6" i="12" s="1"/>
  <c r="S6" i="12" s="1"/>
  <c r="T6" i="12" s="1"/>
  <c r="U6" i="12" s="1"/>
  <c r="V6" i="12" s="1"/>
  <c r="W6" i="12" s="1"/>
  <c r="X6" i="12" s="1"/>
  <c r="Y6" i="12" s="1"/>
  <c r="Z6" i="12" s="1"/>
  <c r="AA6" i="12" s="1"/>
  <c r="AB6" i="12" s="1"/>
  <c r="AC6" i="12" s="1"/>
  <c r="AD6" i="12" s="1"/>
  <c r="AE6" i="12" s="1"/>
  <c r="AF6" i="12" s="1"/>
  <c r="B5" i="12"/>
  <c r="C5" i="12" s="1"/>
  <c r="D5" i="12" s="1"/>
  <c r="E5" i="12" s="1"/>
  <c r="F5" i="12" s="1"/>
  <c r="G5" i="12" s="1"/>
  <c r="H5" i="12" s="1"/>
  <c r="I5" i="12" s="1"/>
  <c r="J5" i="12" s="1"/>
  <c r="K5" i="12" s="1"/>
  <c r="L5" i="12" s="1"/>
  <c r="M5" i="12" s="1"/>
  <c r="N5" i="12" s="1"/>
  <c r="O5" i="12" s="1"/>
  <c r="P5" i="12" s="1"/>
  <c r="Q5" i="12" s="1"/>
  <c r="R5" i="12" s="1"/>
  <c r="S5" i="12" s="1"/>
  <c r="T5" i="12" s="1"/>
  <c r="U5" i="12" s="1"/>
  <c r="V5" i="12" s="1"/>
  <c r="W5" i="12" s="1"/>
  <c r="X5" i="12" s="1"/>
  <c r="Y5" i="12" s="1"/>
  <c r="Z5" i="12" s="1"/>
  <c r="AA5" i="12" s="1"/>
  <c r="AB5" i="12" s="1"/>
  <c r="AC5" i="12" s="1"/>
  <c r="AD5" i="12" s="1"/>
  <c r="AE5" i="12" s="1"/>
  <c r="AF5" i="12" s="1"/>
  <c r="B4" i="12"/>
  <c r="C4" i="12" s="1"/>
  <c r="D4" i="12" s="1"/>
  <c r="E4" i="12" s="1"/>
  <c r="F4" i="12" s="1"/>
  <c r="G4" i="12" s="1"/>
  <c r="H4" i="12" s="1"/>
  <c r="I4" i="12" s="1"/>
  <c r="J4" i="12" s="1"/>
  <c r="K4" i="12" s="1"/>
  <c r="L4" i="12" s="1"/>
  <c r="M4" i="12" s="1"/>
  <c r="N4" i="12" s="1"/>
  <c r="O4" i="12" s="1"/>
  <c r="P4" i="12" s="1"/>
  <c r="Q4" i="12" s="1"/>
  <c r="R4" i="12" s="1"/>
  <c r="S4" i="12" s="1"/>
  <c r="T4" i="12" s="1"/>
  <c r="U4" i="12" s="1"/>
  <c r="V4" i="12" s="1"/>
  <c r="W4" i="12" s="1"/>
  <c r="X4" i="12" s="1"/>
  <c r="Y4" i="12" s="1"/>
  <c r="Z4" i="12" s="1"/>
  <c r="AA4" i="12" s="1"/>
  <c r="AB4" i="12" s="1"/>
  <c r="AC4" i="12" s="1"/>
  <c r="AD4" i="12" s="1"/>
  <c r="AE4" i="12" s="1"/>
  <c r="AF4" i="12" s="1"/>
  <c r="B3" i="12"/>
  <c r="C3" i="12" s="1"/>
  <c r="D3" i="12" s="1"/>
  <c r="E3" i="12" s="1"/>
  <c r="F3" i="12" s="1"/>
  <c r="G3" i="12" s="1"/>
  <c r="H3" i="12" s="1"/>
  <c r="I3" i="12" s="1"/>
  <c r="J3" i="12" s="1"/>
  <c r="K3" i="12" s="1"/>
  <c r="L3" i="12" s="1"/>
  <c r="M3" i="12" s="1"/>
  <c r="N3" i="12" s="1"/>
  <c r="O3" i="12" s="1"/>
  <c r="P3" i="12" s="1"/>
  <c r="Q3" i="12" s="1"/>
  <c r="R3" i="12" s="1"/>
  <c r="S3" i="12" s="1"/>
  <c r="T3" i="12" s="1"/>
  <c r="U3" i="12" s="1"/>
  <c r="V3" i="12" s="1"/>
  <c r="W3" i="12" s="1"/>
  <c r="X3" i="12" s="1"/>
  <c r="Y3" i="12" s="1"/>
  <c r="Z3" i="12" s="1"/>
  <c r="AA3" i="12" s="1"/>
  <c r="AB3" i="12" s="1"/>
  <c r="AC3" i="12" s="1"/>
  <c r="AD3" i="12" s="1"/>
  <c r="AE3" i="12" s="1"/>
  <c r="AF3" i="12" s="1"/>
  <c r="B5" i="6"/>
  <c r="B4" i="6"/>
  <c r="B2" i="6"/>
  <c r="B8" i="6"/>
  <c r="B7" i="6"/>
  <c r="B6" i="6"/>
  <c r="B2" i="7" l="1" a="1"/>
  <c r="B3" i="7" s="1"/>
  <c r="C3" i="7" s="1"/>
  <c r="D3" i="7" s="1"/>
  <c r="E3" i="7" s="1"/>
  <c r="F3" i="7" s="1"/>
  <c r="G3" i="7" s="1"/>
  <c r="H3" i="7" s="1"/>
  <c r="I3" i="7" s="1"/>
  <c r="J3" i="7" s="1"/>
  <c r="K3" i="7" s="1"/>
  <c r="L3" i="7" s="1"/>
  <c r="M3" i="7" s="1"/>
  <c r="N3" i="7" s="1"/>
  <c r="O3" i="7" s="1"/>
  <c r="P3" i="7" s="1"/>
  <c r="Q3" i="7" s="1"/>
  <c r="R3" i="7" s="1"/>
  <c r="S3" i="7" s="1"/>
  <c r="T3" i="7" s="1"/>
  <c r="U3" i="7" s="1"/>
  <c r="V3" i="7" s="1"/>
  <c r="W3" i="7" s="1"/>
  <c r="X3" i="7" s="1"/>
  <c r="Y3" i="7" s="1"/>
  <c r="Z3" i="7" s="1"/>
  <c r="AA3" i="7" s="1"/>
  <c r="AB3" i="7" s="1"/>
  <c r="AC3" i="7" s="1"/>
  <c r="AD3" i="7" s="1"/>
  <c r="AE3" i="7" s="1"/>
  <c r="AF3" i="7" s="1"/>
  <c r="C3" i="6"/>
  <c r="D3" i="6" s="1"/>
  <c r="E3" i="6" s="1"/>
  <c r="F3" i="6" s="1"/>
  <c r="G3" i="6" s="1"/>
  <c r="H3" i="6" s="1"/>
  <c r="I3" i="6" s="1"/>
  <c r="J3" i="6" s="1"/>
  <c r="K3" i="6" s="1"/>
  <c r="L3" i="6" s="1"/>
  <c r="M3" i="6" s="1"/>
  <c r="N3" i="6" s="1"/>
  <c r="O3" i="6" s="1"/>
  <c r="P3" i="6" s="1"/>
  <c r="Q3" i="6" s="1"/>
  <c r="R3" i="6" s="1"/>
  <c r="S3" i="6" s="1"/>
  <c r="T3" i="6" s="1"/>
  <c r="U3" i="6" s="1"/>
  <c r="V3" i="6" s="1"/>
  <c r="W3" i="6" s="1"/>
  <c r="X3" i="6" s="1"/>
  <c r="Y3" i="6" s="1"/>
  <c r="Z3" i="6" s="1"/>
  <c r="AA3" i="6" s="1"/>
  <c r="AB3" i="6" s="1"/>
  <c r="AC3" i="6" s="1"/>
  <c r="AD3" i="6" s="1"/>
  <c r="AE3" i="6" s="1"/>
  <c r="AF3" i="6" s="1"/>
  <c r="B2" i="5" a="1"/>
  <c r="B3" i="5" s="1"/>
  <c r="C3" i="5" s="1"/>
  <c r="D3" i="5" s="1"/>
  <c r="E3" i="5" s="1"/>
  <c r="F3" i="5" s="1"/>
  <c r="G3" i="5" s="1"/>
  <c r="H3" i="5" s="1"/>
  <c r="I3" i="5" s="1"/>
  <c r="J3" i="5" s="1"/>
  <c r="K3" i="5" s="1"/>
  <c r="L3" i="5" s="1"/>
  <c r="M3" i="5" s="1"/>
  <c r="N3" i="5" s="1"/>
  <c r="O3" i="5" s="1"/>
  <c r="P3" i="5" s="1"/>
  <c r="Q3" i="5" s="1"/>
  <c r="R3" i="5" s="1"/>
  <c r="S3" i="5" s="1"/>
  <c r="T3" i="5" s="1"/>
  <c r="U3" i="5" s="1"/>
  <c r="V3" i="5" s="1"/>
  <c r="W3" i="5" s="1"/>
  <c r="X3" i="5" s="1"/>
  <c r="Y3" i="5" s="1"/>
  <c r="Z3" i="5" s="1"/>
  <c r="AA3" i="5" s="1"/>
  <c r="AB3" i="5" s="1"/>
  <c r="AC3" i="5" s="1"/>
  <c r="AD3" i="5" s="1"/>
  <c r="AE3" i="5" s="1"/>
  <c r="AF3" i="5" s="1"/>
  <c r="B2" i="7" l="1"/>
  <c r="C2" i="7" s="1"/>
  <c r="D2" i="7" s="1"/>
  <c r="E2" i="7" s="1"/>
  <c r="F2" i="7" s="1"/>
  <c r="G2" i="7" s="1"/>
  <c r="H2" i="7" s="1"/>
  <c r="I2" i="7" s="1"/>
  <c r="J2" i="7" s="1"/>
  <c r="K2" i="7" s="1"/>
  <c r="L2" i="7" s="1"/>
  <c r="M2" i="7" s="1"/>
  <c r="N2" i="7" s="1"/>
  <c r="O2" i="7" s="1"/>
  <c r="P2" i="7" s="1"/>
  <c r="Q2" i="7" s="1"/>
  <c r="R2" i="7" s="1"/>
  <c r="S2" i="7" s="1"/>
  <c r="T2" i="7" s="1"/>
  <c r="U2" i="7" s="1"/>
  <c r="V2" i="7" s="1"/>
  <c r="W2" i="7" s="1"/>
  <c r="X2" i="7" s="1"/>
  <c r="Y2" i="7" s="1"/>
  <c r="Z2" i="7" s="1"/>
  <c r="AA2" i="7" s="1"/>
  <c r="AB2" i="7" s="1"/>
  <c r="AC2" i="7" s="1"/>
  <c r="AD2" i="7" s="1"/>
  <c r="AE2" i="7" s="1"/>
  <c r="AF2" i="7" s="1"/>
  <c r="C2" i="6"/>
  <c r="D2" i="6" s="1"/>
  <c r="E2" i="6" s="1"/>
  <c r="F2" i="6" s="1"/>
  <c r="G2" i="6" s="1"/>
  <c r="H2" i="6" s="1"/>
  <c r="I2" i="6" s="1"/>
  <c r="J2" i="6" s="1"/>
  <c r="K2" i="6" s="1"/>
  <c r="L2" i="6" s="1"/>
  <c r="M2" i="6" s="1"/>
  <c r="N2" i="6" s="1"/>
  <c r="O2" i="6" s="1"/>
  <c r="P2" i="6" s="1"/>
  <c r="Q2" i="6" s="1"/>
  <c r="R2" i="6" s="1"/>
  <c r="S2" i="6" s="1"/>
  <c r="T2" i="6" s="1"/>
  <c r="U2" i="6" s="1"/>
  <c r="V2" i="6" s="1"/>
  <c r="W2" i="6" s="1"/>
  <c r="X2" i="6" s="1"/>
  <c r="Y2" i="6" s="1"/>
  <c r="Z2" i="6" s="1"/>
  <c r="AA2" i="6" s="1"/>
  <c r="AB2" i="6" s="1"/>
  <c r="AC2" i="6" s="1"/>
  <c r="AD2" i="6" s="1"/>
  <c r="AE2" i="6" s="1"/>
  <c r="AF2" i="6" s="1"/>
  <c r="B6" i="7"/>
  <c r="C6" i="7" s="1"/>
  <c r="D6" i="7" s="1"/>
  <c r="E6" i="7" s="1"/>
  <c r="F6" i="7" s="1"/>
  <c r="G6" i="7" s="1"/>
  <c r="H6" i="7" s="1"/>
  <c r="I6" i="7" s="1"/>
  <c r="J6" i="7" s="1"/>
  <c r="K6" i="7" s="1"/>
  <c r="L6" i="7" s="1"/>
  <c r="M6" i="7" s="1"/>
  <c r="N6" i="7" s="1"/>
  <c r="O6" i="7" s="1"/>
  <c r="P6" i="7" s="1"/>
  <c r="Q6" i="7" s="1"/>
  <c r="R6" i="7" s="1"/>
  <c r="S6" i="7" s="1"/>
  <c r="T6" i="7" s="1"/>
  <c r="U6" i="7" s="1"/>
  <c r="V6" i="7" s="1"/>
  <c r="W6" i="7" s="1"/>
  <c r="X6" i="7" s="1"/>
  <c r="Y6" i="7" s="1"/>
  <c r="Z6" i="7" s="1"/>
  <c r="AA6" i="7" s="1"/>
  <c r="AB6" i="7" s="1"/>
  <c r="AC6" i="7" s="1"/>
  <c r="AD6" i="7" s="1"/>
  <c r="AE6" i="7" s="1"/>
  <c r="AF6" i="7" s="1"/>
  <c r="B5" i="7"/>
  <c r="C5" i="7" s="1"/>
  <c r="D5" i="7" s="1"/>
  <c r="E5" i="7" s="1"/>
  <c r="F5" i="7" s="1"/>
  <c r="G5" i="7" s="1"/>
  <c r="H5" i="7" s="1"/>
  <c r="I5" i="7" s="1"/>
  <c r="J5" i="7" s="1"/>
  <c r="K5" i="7" s="1"/>
  <c r="L5" i="7" s="1"/>
  <c r="M5" i="7" s="1"/>
  <c r="N5" i="7" s="1"/>
  <c r="O5" i="7" s="1"/>
  <c r="P5" i="7" s="1"/>
  <c r="Q5" i="7" s="1"/>
  <c r="R5" i="7" s="1"/>
  <c r="S5" i="7" s="1"/>
  <c r="T5" i="7" s="1"/>
  <c r="U5" i="7" s="1"/>
  <c r="V5" i="7" s="1"/>
  <c r="W5" i="7" s="1"/>
  <c r="X5" i="7" s="1"/>
  <c r="Y5" i="7" s="1"/>
  <c r="Z5" i="7" s="1"/>
  <c r="AA5" i="7" s="1"/>
  <c r="AB5" i="7" s="1"/>
  <c r="AC5" i="7" s="1"/>
  <c r="AD5" i="7" s="1"/>
  <c r="AE5" i="7" s="1"/>
  <c r="AF5" i="7" s="1"/>
  <c r="B4" i="7"/>
  <c r="C4" i="7" s="1"/>
  <c r="D4" i="7" s="1"/>
  <c r="E4" i="7" s="1"/>
  <c r="F4" i="7" s="1"/>
  <c r="G4" i="7" s="1"/>
  <c r="H4" i="7" s="1"/>
  <c r="I4" i="7" s="1"/>
  <c r="J4" i="7" s="1"/>
  <c r="K4" i="7" s="1"/>
  <c r="L4" i="7" s="1"/>
  <c r="M4" i="7" s="1"/>
  <c r="N4" i="7" s="1"/>
  <c r="O4" i="7" s="1"/>
  <c r="P4" i="7" s="1"/>
  <c r="Q4" i="7" s="1"/>
  <c r="R4" i="7" s="1"/>
  <c r="S4" i="7" s="1"/>
  <c r="T4" i="7" s="1"/>
  <c r="U4" i="7" s="1"/>
  <c r="V4" i="7" s="1"/>
  <c r="W4" i="7" s="1"/>
  <c r="X4" i="7" s="1"/>
  <c r="Y4" i="7" s="1"/>
  <c r="Z4" i="7" s="1"/>
  <c r="AA4" i="7" s="1"/>
  <c r="AB4" i="7" s="1"/>
  <c r="AC4" i="7" s="1"/>
  <c r="AD4" i="7" s="1"/>
  <c r="AE4" i="7" s="1"/>
  <c r="AF4" i="7" s="1"/>
  <c r="B8" i="7"/>
  <c r="C8" i="7" s="1"/>
  <c r="D8" i="7" s="1"/>
  <c r="E8" i="7" s="1"/>
  <c r="F8" i="7" s="1"/>
  <c r="G8" i="7" s="1"/>
  <c r="H8" i="7" s="1"/>
  <c r="I8" i="7" s="1"/>
  <c r="J8" i="7" s="1"/>
  <c r="K8" i="7" s="1"/>
  <c r="L8" i="7" s="1"/>
  <c r="M8" i="7" s="1"/>
  <c r="N8" i="7" s="1"/>
  <c r="O8" i="7" s="1"/>
  <c r="P8" i="7" s="1"/>
  <c r="Q8" i="7" s="1"/>
  <c r="R8" i="7" s="1"/>
  <c r="S8" i="7" s="1"/>
  <c r="T8" i="7" s="1"/>
  <c r="U8" i="7" s="1"/>
  <c r="V8" i="7" s="1"/>
  <c r="W8" i="7" s="1"/>
  <c r="X8" i="7" s="1"/>
  <c r="Y8" i="7" s="1"/>
  <c r="Z8" i="7" s="1"/>
  <c r="AA8" i="7" s="1"/>
  <c r="AB8" i="7" s="1"/>
  <c r="AC8" i="7" s="1"/>
  <c r="AD8" i="7" s="1"/>
  <c r="AE8" i="7" s="1"/>
  <c r="AF8" i="7" s="1"/>
  <c r="B7" i="7"/>
  <c r="C7" i="7" s="1"/>
  <c r="D7" i="7" s="1"/>
  <c r="E7" i="7" s="1"/>
  <c r="F7" i="7" s="1"/>
  <c r="G7" i="7" s="1"/>
  <c r="H7" i="7" s="1"/>
  <c r="I7" i="7" s="1"/>
  <c r="J7" i="7" s="1"/>
  <c r="K7" i="7" s="1"/>
  <c r="L7" i="7" s="1"/>
  <c r="M7" i="7" s="1"/>
  <c r="N7" i="7" s="1"/>
  <c r="O7" i="7" s="1"/>
  <c r="P7" i="7" s="1"/>
  <c r="Q7" i="7" s="1"/>
  <c r="R7" i="7" s="1"/>
  <c r="S7" i="7" s="1"/>
  <c r="T7" i="7" s="1"/>
  <c r="U7" i="7" s="1"/>
  <c r="V7" i="7" s="1"/>
  <c r="W7" i="7" s="1"/>
  <c r="X7" i="7" s="1"/>
  <c r="Y7" i="7" s="1"/>
  <c r="Z7" i="7" s="1"/>
  <c r="AA7" i="7" s="1"/>
  <c r="AB7" i="7" s="1"/>
  <c r="AC7" i="7" s="1"/>
  <c r="AD7" i="7" s="1"/>
  <c r="AE7" i="7" s="1"/>
  <c r="AF7" i="7" s="1"/>
  <c r="C7" i="6"/>
  <c r="D7" i="6" s="1"/>
  <c r="E7" i="6" s="1"/>
  <c r="F7" i="6" s="1"/>
  <c r="G7" i="6" s="1"/>
  <c r="H7" i="6" s="1"/>
  <c r="I7" i="6" s="1"/>
  <c r="J7" i="6" s="1"/>
  <c r="K7" i="6" s="1"/>
  <c r="L7" i="6" s="1"/>
  <c r="M7" i="6" s="1"/>
  <c r="N7" i="6" s="1"/>
  <c r="O7" i="6" s="1"/>
  <c r="P7" i="6" s="1"/>
  <c r="Q7" i="6" s="1"/>
  <c r="R7" i="6" s="1"/>
  <c r="S7" i="6" s="1"/>
  <c r="T7" i="6" s="1"/>
  <c r="U7" i="6" s="1"/>
  <c r="V7" i="6" s="1"/>
  <c r="W7" i="6" s="1"/>
  <c r="X7" i="6" s="1"/>
  <c r="Y7" i="6" s="1"/>
  <c r="Z7" i="6" s="1"/>
  <c r="AA7" i="6" s="1"/>
  <c r="AB7" i="6" s="1"/>
  <c r="AC7" i="6" s="1"/>
  <c r="AD7" i="6" s="1"/>
  <c r="AE7" i="6" s="1"/>
  <c r="AF7" i="6" s="1"/>
  <c r="C6" i="6"/>
  <c r="D6" i="6" s="1"/>
  <c r="E6" i="6" s="1"/>
  <c r="F6" i="6" s="1"/>
  <c r="G6" i="6" s="1"/>
  <c r="H6" i="6" s="1"/>
  <c r="I6" i="6" s="1"/>
  <c r="J6" i="6" s="1"/>
  <c r="K6" i="6" s="1"/>
  <c r="L6" i="6" s="1"/>
  <c r="M6" i="6" s="1"/>
  <c r="N6" i="6" s="1"/>
  <c r="O6" i="6" s="1"/>
  <c r="P6" i="6" s="1"/>
  <c r="Q6" i="6" s="1"/>
  <c r="R6" i="6" s="1"/>
  <c r="S6" i="6" s="1"/>
  <c r="T6" i="6" s="1"/>
  <c r="U6" i="6" s="1"/>
  <c r="V6" i="6" s="1"/>
  <c r="W6" i="6" s="1"/>
  <c r="X6" i="6" s="1"/>
  <c r="Y6" i="6" s="1"/>
  <c r="Z6" i="6" s="1"/>
  <c r="AA6" i="6" s="1"/>
  <c r="AB6" i="6" s="1"/>
  <c r="AC6" i="6" s="1"/>
  <c r="AD6" i="6" s="1"/>
  <c r="AE6" i="6" s="1"/>
  <c r="AF6" i="6" s="1"/>
  <c r="C5" i="6"/>
  <c r="D5" i="6" s="1"/>
  <c r="E5" i="6" s="1"/>
  <c r="F5" i="6" s="1"/>
  <c r="G5" i="6" s="1"/>
  <c r="H5" i="6" s="1"/>
  <c r="I5" i="6" s="1"/>
  <c r="J5" i="6" s="1"/>
  <c r="K5" i="6" s="1"/>
  <c r="L5" i="6" s="1"/>
  <c r="M5" i="6" s="1"/>
  <c r="N5" i="6" s="1"/>
  <c r="O5" i="6" s="1"/>
  <c r="P5" i="6" s="1"/>
  <c r="Q5" i="6" s="1"/>
  <c r="R5" i="6" s="1"/>
  <c r="S5" i="6" s="1"/>
  <c r="T5" i="6" s="1"/>
  <c r="U5" i="6" s="1"/>
  <c r="V5" i="6" s="1"/>
  <c r="W5" i="6" s="1"/>
  <c r="X5" i="6" s="1"/>
  <c r="Y5" i="6" s="1"/>
  <c r="Z5" i="6" s="1"/>
  <c r="AA5" i="6" s="1"/>
  <c r="AB5" i="6" s="1"/>
  <c r="AC5" i="6" s="1"/>
  <c r="AD5" i="6" s="1"/>
  <c r="AE5" i="6" s="1"/>
  <c r="AF5" i="6" s="1"/>
  <c r="C8" i="6"/>
  <c r="D8" i="6" s="1"/>
  <c r="E8" i="6" s="1"/>
  <c r="F8" i="6" s="1"/>
  <c r="G8" i="6" s="1"/>
  <c r="H8" i="6" s="1"/>
  <c r="I8" i="6" s="1"/>
  <c r="J8" i="6" s="1"/>
  <c r="K8" i="6" s="1"/>
  <c r="L8" i="6" s="1"/>
  <c r="M8" i="6" s="1"/>
  <c r="N8" i="6" s="1"/>
  <c r="O8" i="6" s="1"/>
  <c r="P8" i="6" s="1"/>
  <c r="Q8" i="6" s="1"/>
  <c r="R8" i="6" s="1"/>
  <c r="S8" i="6" s="1"/>
  <c r="T8" i="6" s="1"/>
  <c r="U8" i="6" s="1"/>
  <c r="V8" i="6" s="1"/>
  <c r="W8" i="6" s="1"/>
  <c r="X8" i="6" s="1"/>
  <c r="Y8" i="6" s="1"/>
  <c r="Z8" i="6" s="1"/>
  <c r="AA8" i="6" s="1"/>
  <c r="AB8" i="6" s="1"/>
  <c r="AC8" i="6" s="1"/>
  <c r="AD8" i="6" s="1"/>
  <c r="AE8" i="6" s="1"/>
  <c r="AF8" i="6" s="1"/>
  <c r="C4" i="6"/>
  <c r="D4" i="6" s="1"/>
  <c r="E4" i="6" s="1"/>
  <c r="F4" i="6" s="1"/>
  <c r="G4" i="6" s="1"/>
  <c r="H4" i="6" s="1"/>
  <c r="I4" i="6" s="1"/>
  <c r="J4" i="6" s="1"/>
  <c r="K4" i="6" s="1"/>
  <c r="L4" i="6" s="1"/>
  <c r="M4" i="6" s="1"/>
  <c r="N4" i="6" s="1"/>
  <c r="O4" i="6" s="1"/>
  <c r="P4" i="6" s="1"/>
  <c r="Q4" i="6" s="1"/>
  <c r="R4" i="6" s="1"/>
  <c r="S4" i="6" s="1"/>
  <c r="T4" i="6" s="1"/>
  <c r="U4" i="6" s="1"/>
  <c r="V4" i="6" s="1"/>
  <c r="W4" i="6" s="1"/>
  <c r="X4" i="6" s="1"/>
  <c r="Y4" i="6" s="1"/>
  <c r="Z4" i="6" s="1"/>
  <c r="AA4" i="6" s="1"/>
  <c r="AB4" i="6" s="1"/>
  <c r="AC4" i="6" s="1"/>
  <c r="AD4" i="6" s="1"/>
  <c r="AE4" i="6" s="1"/>
  <c r="AF4" i="6" s="1"/>
  <c r="B2" i="5"/>
  <c r="C2" i="5" s="1"/>
  <c r="D2" i="5" s="1"/>
  <c r="E2" i="5" s="1"/>
  <c r="F2" i="5" s="1"/>
  <c r="G2" i="5" s="1"/>
  <c r="H2" i="5" s="1"/>
  <c r="I2" i="5" s="1"/>
  <c r="J2" i="5" s="1"/>
  <c r="K2" i="5" s="1"/>
  <c r="L2" i="5" s="1"/>
  <c r="M2" i="5" s="1"/>
  <c r="N2" i="5" s="1"/>
  <c r="O2" i="5" s="1"/>
  <c r="P2" i="5" s="1"/>
  <c r="Q2" i="5" s="1"/>
  <c r="R2" i="5" s="1"/>
  <c r="S2" i="5" s="1"/>
  <c r="T2" i="5" s="1"/>
  <c r="U2" i="5" s="1"/>
  <c r="V2" i="5" s="1"/>
  <c r="W2" i="5" s="1"/>
  <c r="X2" i="5" s="1"/>
  <c r="Y2" i="5" s="1"/>
  <c r="Z2" i="5" s="1"/>
  <c r="AA2" i="5" s="1"/>
  <c r="AB2" i="5" s="1"/>
  <c r="AC2" i="5" s="1"/>
  <c r="AD2" i="5" s="1"/>
  <c r="AE2" i="5" s="1"/>
  <c r="AF2" i="5" s="1"/>
  <c r="B8" i="5"/>
  <c r="C8" i="5" s="1"/>
  <c r="D8" i="5" s="1"/>
  <c r="E8" i="5" s="1"/>
  <c r="F8" i="5" s="1"/>
  <c r="G8" i="5" s="1"/>
  <c r="H8" i="5" s="1"/>
  <c r="I8" i="5" s="1"/>
  <c r="J8" i="5" s="1"/>
  <c r="K8" i="5" s="1"/>
  <c r="L8" i="5" s="1"/>
  <c r="M8" i="5" s="1"/>
  <c r="N8" i="5" s="1"/>
  <c r="O8" i="5" s="1"/>
  <c r="P8" i="5" s="1"/>
  <c r="Q8" i="5" s="1"/>
  <c r="R8" i="5" s="1"/>
  <c r="S8" i="5" s="1"/>
  <c r="T8" i="5" s="1"/>
  <c r="U8" i="5" s="1"/>
  <c r="V8" i="5" s="1"/>
  <c r="W8" i="5" s="1"/>
  <c r="X8" i="5" s="1"/>
  <c r="Y8" i="5" s="1"/>
  <c r="Z8" i="5" s="1"/>
  <c r="AA8" i="5" s="1"/>
  <c r="AB8" i="5" s="1"/>
  <c r="AC8" i="5" s="1"/>
  <c r="AD8" i="5" s="1"/>
  <c r="AE8" i="5" s="1"/>
  <c r="AF8" i="5" s="1"/>
  <c r="B7" i="5"/>
  <c r="C7" i="5" s="1"/>
  <c r="D7" i="5" s="1"/>
  <c r="E7" i="5" s="1"/>
  <c r="F7" i="5" s="1"/>
  <c r="G7" i="5" s="1"/>
  <c r="H7" i="5" s="1"/>
  <c r="I7" i="5" s="1"/>
  <c r="J7" i="5" s="1"/>
  <c r="K7" i="5" s="1"/>
  <c r="L7" i="5" s="1"/>
  <c r="M7" i="5" s="1"/>
  <c r="N7" i="5" s="1"/>
  <c r="O7" i="5" s="1"/>
  <c r="P7" i="5" s="1"/>
  <c r="Q7" i="5" s="1"/>
  <c r="R7" i="5" s="1"/>
  <c r="S7" i="5" s="1"/>
  <c r="T7" i="5" s="1"/>
  <c r="U7" i="5" s="1"/>
  <c r="V7" i="5" s="1"/>
  <c r="W7" i="5" s="1"/>
  <c r="X7" i="5" s="1"/>
  <c r="Y7" i="5" s="1"/>
  <c r="Z7" i="5" s="1"/>
  <c r="AA7" i="5" s="1"/>
  <c r="AB7" i="5" s="1"/>
  <c r="AC7" i="5" s="1"/>
  <c r="AD7" i="5" s="1"/>
  <c r="AE7" i="5" s="1"/>
  <c r="AF7" i="5" s="1"/>
  <c r="B6" i="5"/>
  <c r="C6" i="5" s="1"/>
  <c r="D6" i="5" s="1"/>
  <c r="E6" i="5" s="1"/>
  <c r="F6" i="5" s="1"/>
  <c r="G6" i="5" s="1"/>
  <c r="H6" i="5" s="1"/>
  <c r="I6" i="5" s="1"/>
  <c r="J6" i="5" s="1"/>
  <c r="K6" i="5" s="1"/>
  <c r="L6" i="5" s="1"/>
  <c r="M6" i="5" s="1"/>
  <c r="N6" i="5" s="1"/>
  <c r="O6" i="5" s="1"/>
  <c r="P6" i="5" s="1"/>
  <c r="Q6" i="5" s="1"/>
  <c r="R6" i="5" s="1"/>
  <c r="S6" i="5" s="1"/>
  <c r="T6" i="5" s="1"/>
  <c r="U6" i="5" s="1"/>
  <c r="V6" i="5" s="1"/>
  <c r="W6" i="5" s="1"/>
  <c r="X6" i="5" s="1"/>
  <c r="Y6" i="5" s="1"/>
  <c r="Z6" i="5" s="1"/>
  <c r="AA6" i="5" s="1"/>
  <c r="AB6" i="5" s="1"/>
  <c r="AC6" i="5" s="1"/>
  <c r="AD6" i="5" s="1"/>
  <c r="AE6" i="5" s="1"/>
  <c r="AF6" i="5" s="1"/>
  <c r="B5" i="5"/>
  <c r="C5" i="5" s="1"/>
  <c r="D5" i="5" s="1"/>
  <c r="E5" i="5" s="1"/>
  <c r="F5" i="5" s="1"/>
  <c r="G5" i="5" s="1"/>
  <c r="H5" i="5" s="1"/>
  <c r="I5" i="5" s="1"/>
  <c r="J5" i="5" s="1"/>
  <c r="K5" i="5" s="1"/>
  <c r="L5" i="5" s="1"/>
  <c r="M5" i="5" s="1"/>
  <c r="N5" i="5" s="1"/>
  <c r="O5" i="5" s="1"/>
  <c r="P5" i="5" s="1"/>
  <c r="Q5" i="5" s="1"/>
  <c r="R5" i="5" s="1"/>
  <c r="S5" i="5" s="1"/>
  <c r="T5" i="5" s="1"/>
  <c r="U5" i="5" s="1"/>
  <c r="V5" i="5" s="1"/>
  <c r="W5" i="5" s="1"/>
  <c r="X5" i="5" s="1"/>
  <c r="Y5" i="5" s="1"/>
  <c r="Z5" i="5" s="1"/>
  <c r="AA5" i="5" s="1"/>
  <c r="AB5" i="5" s="1"/>
  <c r="AC5" i="5" s="1"/>
  <c r="AD5" i="5" s="1"/>
  <c r="AE5" i="5" s="1"/>
  <c r="AF5" i="5" s="1"/>
  <c r="B4" i="5"/>
  <c r="C4" i="5" s="1"/>
  <c r="D4" i="5" s="1"/>
  <c r="E4" i="5" s="1"/>
  <c r="F4" i="5" s="1"/>
  <c r="G4" i="5" s="1"/>
  <c r="H4" i="5" s="1"/>
  <c r="I4" i="5" s="1"/>
  <c r="J4" i="5" s="1"/>
  <c r="K4" i="5" s="1"/>
  <c r="L4" i="5" s="1"/>
  <c r="M4" i="5" s="1"/>
  <c r="N4" i="5" s="1"/>
  <c r="O4" i="5" s="1"/>
  <c r="P4" i="5" s="1"/>
  <c r="Q4" i="5" s="1"/>
  <c r="R4" i="5" s="1"/>
  <c r="S4" i="5" s="1"/>
  <c r="T4" i="5" s="1"/>
  <c r="U4" i="5" s="1"/>
  <c r="V4" i="5" s="1"/>
  <c r="W4" i="5" s="1"/>
  <c r="X4" i="5" s="1"/>
  <c r="Y4" i="5" s="1"/>
  <c r="Z4" i="5" s="1"/>
  <c r="AA4" i="5" s="1"/>
  <c r="AB4" i="5" s="1"/>
  <c r="AC4" i="5" s="1"/>
  <c r="AD4" i="5" s="1"/>
  <c r="AE4" i="5" s="1"/>
  <c r="AF4" i="5" s="1"/>
  <c r="AO2" i="24" l="1"/>
  <c r="P4" i="2" s="1"/>
  <c r="AP2" i="24"/>
  <c r="Q4" i="2" s="1"/>
  <c r="AQ2" i="24"/>
  <c r="R4" i="2" s="1"/>
  <c r="AR2" i="24"/>
  <c r="S4" i="2" s="1"/>
  <c r="AS2" i="24"/>
  <c r="T4" i="2" s="1"/>
  <c r="AT2" i="24"/>
  <c r="U4" i="2" s="1"/>
  <c r="AU2" i="24"/>
  <c r="V4" i="2" s="1"/>
  <c r="AV2" i="24"/>
  <c r="W4" i="2" s="1"/>
  <c r="AW2" i="24"/>
  <c r="X4" i="2" s="1"/>
  <c r="AX2" i="24"/>
  <c r="Y4" i="2" s="1"/>
  <c r="AY2" i="24"/>
  <c r="Z4" i="2" s="1"/>
  <c r="AZ2" i="24"/>
  <c r="AA4" i="2" s="1"/>
  <c r="BA2" i="24"/>
  <c r="AB4" i="2" s="1"/>
  <c r="BB2" i="24"/>
  <c r="AC4" i="2" s="1"/>
  <c r="BC2" i="24"/>
  <c r="AD4" i="2" s="1"/>
  <c r="BD2" i="24"/>
  <c r="AE4" i="2" s="1"/>
  <c r="BE2" i="24"/>
  <c r="AF4" i="2" s="1"/>
  <c r="BF2" i="24"/>
  <c r="BG2" i="24"/>
  <c r="BH2" i="24"/>
  <c r="BI2" i="24"/>
  <c r="BJ2" i="24"/>
  <c r="BK2" i="24"/>
  <c r="BL2" i="24"/>
  <c r="BM2" i="24"/>
  <c r="BN2" i="24"/>
  <c r="BO2" i="24"/>
  <c r="BP2" i="24"/>
  <c r="BQ2" i="24"/>
  <c r="BR2" i="24"/>
  <c r="AO3" i="24"/>
  <c r="AP3" i="24"/>
  <c r="AQ3" i="24"/>
  <c r="AR3" i="24"/>
  <c r="AS3" i="24"/>
  <c r="AT3" i="24"/>
  <c r="AU3" i="24"/>
  <c r="AV3" i="24"/>
  <c r="AW3" i="24"/>
  <c r="AX3" i="24"/>
  <c r="AY3" i="24"/>
  <c r="AZ3" i="24"/>
  <c r="BA3" i="24"/>
  <c r="BB3" i="24"/>
  <c r="BC3" i="24"/>
  <c r="BD3" i="24"/>
  <c r="BE3" i="24"/>
  <c r="BF3" i="24"/>
  <c r="BG3" i="24"/>
  <c r="BH3" i="24"/>
  <c r="BI3" i="24"/>
  <c r="BJ3" i="24"/>
  <c r="BK3" i="24"/>
  <c r="BL3" i="24"/>
  <c r="BM3" i="24"/>
  <c r="BN3" i="24"/>
  <c r="BO3" i="24"/>
  <c r="BP3" i="24"/>
  <c r="BQ3" i="24"/>
  <c r="BR3" i="24"/>
  <c r="AO4" i="24"/>
  <c r="AP4" i="24"/>
  <c r="AQ4" i="24"/>
  <c r="AR4" i="24"/>
  <c r="AS4" i="24"/>
  <c r="AT4" i="24"/>
  <c r="AU4" i="24"/>
  <c r="AV4" i="24"/>
  <c r="AW4" i="24"/>
  <c r="AX4" i="24"/>
  <c r="AY4" i="24"/>
  <c r="AZ4" i="24"/>
  <c r="BA4" i="24"/>
  <c r="BB4" i="24"/>
  <c r="BC4" i="24"/>
  <c r="BD4" i="24"/>
  <c r="BE4" i="24"/>
  <c r="BF4" i="24"/>
  <c r="BG4" i="24"/>
  <c r="BH4" i="24"/>
  <c r="BI4" i="24"/>
  <c r="BJ4" i="24"/>
  <c r="BK4" i="24"/>
  <c r="BL4" i="24"/>
  <c r="BM4" i="24"/>
  <c r="BN4" i="24"/>
  <c r="BO4" i="24"/>
  <c r="BP4" i="24"/>
  <c r="BQ4" i="24"/>
  <c r="BR4" i="24"/>
  <c r="AO5" i="24"/>
  <c r="AP5" i="24"/>
  <c r="AQ5" i="24"/>
  <c r="AR5" i="24"/>
  <c r="AS5" i="24"/>
  <c r="AT5" i="24"/>
  <c r="AU5" i="24"/>
  <c r="AV5" i="24"/>
  <c r="AW5" i="24"/>
  <c r="AX5" i="24"/>
  <c r="AY5" i="24"/>
  <c r="AZ5" i="24"/>
  <c r="BA5" i="24"/>
  <c r="BB5" i="24"/>
  <c r="BC5" i="24"/>
  <c r="BD5" i="24"/>
  <c r="BE5" i="24"/>
  <c r="BF5" i="24"/>
  <c r="BG5" i="24"/>
  <c r="BH5" i="24"/>
  <c r="BI5" i="24"/>
  <c r="BJ5" i="24"/>
  <c r="BK5" i="24"/>
  <c r="BL5" i="24"/>
  <c r="BM5" i="24"/>
  <c r="BN5" i="24"/>
  <c r="BO5" i="24"/>
  <c r="BP5" i="24"/>
  <c r="BQ5" i="24"/>
  <c r="BR5" i="24"/>
  <c r="AO6" i="24"/>
  <c r="AP6" i="24"/>
  <c r="AQ6" i="24"/>
  <c r="AR6" i="24"/>
  <c r="AS6" i="24"/>
  <c r="AT6" i="24"/>
  <c r="AU6" i="24"/>
  <c r="AV6" i="24"/>
  <c r="AW6" i="24"/>
  <c r="AX6" i="24"/>
  <c r="AY6" i="24"/>
  <c r="AZ6" i="24"/>
  <c r="BA6" i="24"/>
  <c r="BB6" i="24"/>
  <c r="BC6" i="24"/>
  <c r="BD6" i="24"/>
  <c r="BE6" i="24"/>
  <c r="BF6" i="24"/>
  <c r="BG6" i="24"/>
  <c r="BH6" i="24"/>
  <c r="BI6" i="24"/>
  <c r="BJ6" i="24"/>
  <c r="BK6" i="24"/>
  <c r="BL6" i="24"/>
  <c r="BM6" i="24"/>
  <c r="BN6" i="24"/>
  <c r="BO6" i="24"/>
  <c r="BP6" i="24"/>
  <c r="BQ6" i="24"/>
  <c r="BR6" i="24"/>
  <c r="AO7" i="24"/>
  <c r="AP7" i="24"/>
  <c r="AQ7" i="24"/>
  <c r="AR7" i="24"/>
  <c r="AS7" i="24"/>
  <c r="AT7" i="24"/>
  <c r="AU7" i="24"/>
  <c r="AV7" i="24"/>
  <c r="AW7" i="24"/>
  <c r="AX7" i="24"/>
  <c r="AY7" i="24"/>
  <c r="AZ7" i="24"/>
  <c r="BA7" i="24"/>
  <c r="BB7" i="24"/>
  <c r="BC7" i="24"/>
  <c r="BD7" i="24"/>
  <c r="BE7" i="24"/>
  <c r="BF7" i="24"/>
  <c r="BG7" i="24"/>
  <c r="BH7" i="24"/>
  <c r="BI7" i="24"/>
  <c r="BJ7" i="24"/>
  <c r="BK7" i="24"/>
  <c r="BL7" i="24"/>
  <c r="BM7" i="24"/>
  <c r="BN7" i="24"/>
  <c r="BO7" i="24"/>
  <c r="BP7" i="24"/>
  <c r="BQ7" i="24"/>
  <c r="BR7" i="24"/>
  <c r="AO8" i="24"/>
  <c r="AP8" i="24"/>
  <c r="AQ8" i="24"/>
  <c r="AR8" i="24"/>
  <c r="AS8" i="24"/>
  <c r="AT8" i="24"/>
  <c r="AU8" i="24"/>
  <c r="AV8" i="24"/>
  <c r="AW8" i="24"/>
  <c r="AX8" i="24"/>
  <c r="AY8" i="24"/>
  <c r="AZ8" i="24"/>
  <c r="BA8" i="24"/>
  <c r="BB8" i="24"/>
  <c r="BC8" i="24"/>
  <c r="BD8" i="24"/>
  <c r="BE8" i="24"/>
  <c r="BF8" i="24"/>
  <c r="BG8" i="24"/>
  <c r="BH8" i="24"/>
  <c r="BI8" i="24"/>
  <c r="BJ8" i="24"/>
  <c r="BK8" i="24"/>
  <c r="BL8" i="24"/>
  <c r="BM8" i="24"/>
  <c r="BN8" i="24"/>
  <c r="BO8" i="24"/>
  <c r="BP8" i="24"/>
  <c r="BQ8" i="24"/>
  <c r="BR8" i="24"/>
  <c r="AO9" i="24"/>
  <c r="AP9" i="24"/>
  <c r="AQ9" i="24"/>
  <c r="AR9" i="24"/>
  <c r="AS9" i="24"/>
  <c r="AT9" i="24"/>
  <c r="AU9" i="24"/>
  <c r="AV9" i="24"/>
  <c r="AW9" i="24"/>
  <c r="AX9" i="24"/>
  <c r="AY9" i="24"/>
  <c r="AZ9" i="24"/>
  <c r="BA9" i="24"/>
  <c r="BB9" i="24"/>
  <c r="BC9" i="24"/>
  <c r="BD9" i="24"/>
  <c r="BE9" i="24"/>
  <c r="BF9" i="24"/>
  <c r="BG9" i="24"/>
  <c r="BH9" i="24"/>
  <c r="BI9" i="24"/>
  <c r="BJ9" i="24"/>
  <c r="BK9" i="24"/>
  <c r="BL9" i="24"/>
  <c r="BM9" i="24"/>
  <c r="BN9" i="24"/>
  <c r="BO9" i="24"/>
  <c r="BP9" i="24"/>
  <c r="BQ9" i="24"/>
  <c r="BR9" i="24"/>
  <c r="AO10" i="24"/>
  <c r="AP10" i="24"/>
  <c r="AQ10" i="24"/>
  <c r="AR10" i="24"/>
  <c r="AS10" i="24"/>
  <c r="AT10" i="24"/>
  <c r="AU10" i="24"/>
  <c r="AV10" i="24"/>
  <c r="AW10" i="24"/>
  <c r="AX10" i="24"/>
  <c r="AY10" i="24"/>
  <c r="AZ10" i="24"/>
  <c r="BA10" i="24"/>
  <c r="BB10" i="24"/>
  <c r="BC10" i="24"/>
  <c r="BD10" i="24"/>
  <c r="BE10" i="24"/>
  <c r="BF10" i="24"/>
  <c r="BG10" i="24"/>
  <c r="BH10" i="24"/>
  <c r="BI10" i="24"/>
  <c r="BJ10" i="24"/>
  <c r="BK10" i="24"/>
  <c r="BL10" i="24"/>
  <c r="BM10" i="24"/>
  <c r="BN10" i="24"/>
  <c r="BO10" i="24"/>
  <c r="BP10" i="24"/>
  <c r="BQ10" i="24"/>
  <c r="BR10" i="24"/>
  <c r="AO11" i="24"/>
  <c r="AP11" i="24"/>
  <c r="AQ11" i="24"/>
  <c r="AR11" i="24"/>
  <c r="AS11" i="24"/>
  <c r="AT11" i="24"/>
  <c r="AU11" i="24"/>
  <c r="AV11" i="24"/>
  <c r="AW11" i="24"/>
  <c r="AX11" i="24"/>
  <c r="AY11" i="24"/>
  <c r="AZ11" i="24"/>
  <c r="BA11" i="24"/>
  <c r="BB11" i="24"/>
  <c r="BC11" i="24"/>
  <c r="BD11" i="24"/>
  <c r="BE11" i="24"/>
  <c r="BF11" i="24"/>
  <c r="BG11" i="24"/>
  <c r="BH11" i="24"/>
  <c r="BI11" i="24"/>
  <c r="BJ11" i="24"/>
  <c r="BK11" i="24"/>
  <c r="BL11" i="24"/>
  <c r="BM11" i="24"/>
  <c r="BN11" i="24"/>
  <c r="BO11" i="24"/>
  <c r="BP11" i="24"/>
  <c r="BQ11" i="24"/>
  <c r="BR11" i="24"/>
  <c r="AO12" i="24"/>
  <c r="AP12" i="24"/>
  <c r="AQ12" i="24"/>
  <c r="AR12" i="24"/>
  <c r="AS12" i="24"/>
  <c r="AT12" i="24"/>
  <c r="AU12" i="24"/>
  <c r="AV12" i="24"/>
  <c r="AW12" i="24"/>
  <c r="AX12" i="24"/>
  <c r="AY12" i="24"/>
  <c r="AZ12" i="24"/>
  <c r="BA12" i="24"/>
  <c r="BB12" i="24"/>
  <c r="BC12" i="24"/>
  <c r="BD12" i="24"/>
  <c r="BE12" i="24"/>
  <c r="BF12" i="24"/>
  <c r="BG12" i="24"/>
  <c r="BH12" i="24"/>
  <c r="BI12" i="24"/>
  <c r="BJ12" i="24"/>
  <c r="BK12" i="24"/>
  <c r="BL12" i="24"/>
  <c r="BM12" i="24"/>
  <c r="BN12" i="24"/>
  <c r="BO12" i="24"/>
  <c r="BP12" i="24"/>
  <c r="BQ12" i="24"/>
  <c r="BR12" i="24"/>
  <c r="AO13" i="24"/>
  <c r="AP13" i="24"/>
  <c r="AQ13" i="24"/>
  <c r="AR13" i="24"/>
  <c r="AS13" i="24"/>
  <c r="AT13" i="24"/>
  <c r="AU13" i="24"/>
  <c r="AV13" i="24"/>
  <c r="AW13" i="24"/>
  <c r="AX13" i="24"/>
  <c r="AY13" i="24"/>
  <c r="AZ13" i="24"/>
  <c r="BA13" i="24"/>
  <c r="BB13" i="24"/>
  <c r="BC13" i="24"/>
  <c r="BD13" i="24"/>
  <c r="BE13" i="24"/>
  <c r="BF13" i="24"/>
  <c r="BG13" i="24"/>
  <c r="BH13" i="24"/>
  <c r="BI13" i="24"/>
  <c r="BJ13" i="24"/>
  <c r="BK13" i="24"/>
  <c r="BL13" i="24"/>
  <c r="BM13" i="24"/>
  <c r="BN13" i="24"/>
  <c r="BO13" i="24"/>
  <c r="BP13" i="24"/>
  <c r="BQ13" i="24"/>
  <c r="BR13" i="24"/>
  <c r="AO14" i="24"/>
  <c r="AP14" i="24"/>
  <c r="AQ14" i="24"/>
  <c r="AR14" i="24"/>
  <c r="AS14" i="24"/>
  <c r="AT14" i="24"/>
  <c r="AU14" i="24"/>
  <c r="AV14" i="24"/>
  <c r="AW14" i="24"/>
  <c r="AX14" i="24"/>
  <c r="AY14" i="24"/>
  <c r="AZ14" i="24"/>
  <c r="BA14" i="24"/>
  <c r="BB14" i="24"/>
  <c r="BC14" i="24"/>
  <c r="BD14" i="24"/>
  <c r="BE14" i="24"/>
  <c r="BF14" i="24"/>
  <c r="BG14" i="24"/>
  <c r="BH14" i="24"/>
  <c r="BI14" i="24"/>
  <c r="BJ14" i="24"/>
  <c r="BK14" i="24"/>
  <c r="BL14" i="24"/>
  <c r="BM14" i="24"/>
  <c r="BN14" i="24"/>
  <c r="BO14" i="24"/>
  <c r="BP14" i="24"/>
  <c r="BQ14" i="24"/>
  <c r="BR14" i="24"/>
  <c r="Q5" i="2" l="1"/>
  <c r="Q3" i="2"/>
  <c r="Q6" i="2"/>
  <c r="Q7" i="2"/>
  <c r="AF7" i="2"/>
  <c r="AF6" i="2"/>
  <c r="AF3" i="2"/>
  <c r="AF5" i="2"/>
  <c r="X5" i="2"/>
  <c r="X7" i="2"/>
  <c r="X3" i="2"/>
  <c r="X6" i="2"/>
  <c r="AD7" i="2"/>
  <c r="AD3" i="2"/>
  <c r="AD5" i="2"/>
  <c r="AD6" i="2"/>
  <c r="V7" i="2"/>
  <c r="V5" i="2"/>
  <c r="V3" i="2"/>
  <c r="V6" i="2"/>
  <c r="U7" i="2"/>
  <c r="U3" i="2"/>
  <c r="U6" i="2"/>
  <c r="U5" i="2"/>
  <c r="AB3" i="2"/>
  <c r="AB6" i="2"/>
  <c r="AB5" i="2"/>
  <c r="AB7" i="2"/>
  <c r="AA6" i="2"/>
  <c r="AA5" i="2"/>
  <c r="AA3" i="2"/>
  <c r="AA7" i="2"/>
  <c r="S6" i="2"/>
  <c r="S5" i="2"/>
  <c r="S7" i="2"/>
  <c r="S3" i="2"/>
  <c r="AC7" i="2"/>
  <c r="AC3" i="2"/>
  <c r="AC6" i="2"/>
  <c r="AC5" i="2"/>
  <c r="T3" i="2"/>
  <c r="T6" i="2"/>
  <c r="T5" i="2"/>
  <c r="T7" i="2"/>
  <c r="Z5" i="2"/>
  <c r="Z3" i="2"/>
  <c r="Z6" i="2"/>
  <c r="Z7" i="2"/>
  <c r="R5" i="2"/>
  <c r="R3" i="2"/>
  <c r="R6" i="2"/>
  <c r="R7" i="2"/>
  <c r="Y5" i="2"/>
  <c r="Y7" i="2"/>
  <c r="Y3" i="2"/>
  <c r="Y6" i="2"/>
  <c r="P6" i="2"/>
  <c r="P7" i="2"/>
  <c r="P5" i="2"/>
  <c r="P3" i="2"/>
  <c r="AE7" i="2"/>
  <c r="AE5" i="2"/>
  <c r="AE3" i="2"/>
  <c r="AE6" i="2"/>
  <c r="W7" i="2"/>
  <c r="W3" i="2"/>
  <c r="W5" i="2"/>
  <c r="W6" i="2"/>
  <c r="AN2" i="24"/>
  <c r="AN14" i="24"/>
  <c r="AN13" i="24"/>
  <c r="AN12" i="24"/>
  <c r="AN11" i="24"/>
  <c r="AN10" i="24"/>
  <c r="AN9" i="24"/>
  <c r="AN8" i="24"/>
  <c r="AN7" i="24"/>
  <c r="AN6" i="24"/>
  <c r="AN5" i="24"/>
  <c r="AN4" i="24"/>
  <c r="AN3" i="24"/>
  <c r="L10" i="24" l="1"/>
  <c r="T10" i="24"/>
  <c r="AB10" i="24"/>
  <c r="AJ10" i="24"/>
  <c r="M10" i="24"/>
  <c r="U10" i="24"/>
  <c r="AC10" i="24"/>
  <c r="AK10" i="24"/>
  <c r="AI10" i="24"/>
  <c r="AM10" i="24"/>
  <c r="N10" i="24"/>
  <c r="V10" i="24"/>
  <c r="AD10" i="24"/>
  <c r="AL10" i="24"/>
  <c r="G10" i="24"/>
  <c r="O10" i="24"/>
  <c r="W10" i="24"/>
  <c r="AE10" i="24"/>
  <c r="F10" i="24"/>
  <c r="S10" i="24"/>
  <c r="H10" i="24"/>
  <c r="P10" i="24"/>
  <c r="X10" i="24"/>
  <c r="AF10" i="24"/>
  <c r="K10" i="24"/>
  <c r="I10" i="24"/>
  <c r="Q10" i="24"/>
  <c r="Y10" i="24"/>
  <c r="AG10" i="24"/>
  <c r="J10" i="24"/>
  <c r="R10" i="24"/>
  <c r="Z10" i="24"/>
  <c r="AH10" i="24"/>
  <c r="AA10" i="24"/>
  <c r="Y13" i="24"/>
  <c r="AG13" i="24"/>
  <c r="AF13" i="24"/>
  <c r="Z13" i="24"/>
  <c r="AH13" i="24"/>
  <c r="AA13" i="24"/>
  <c r="AI13" i="24"/>
  <c r="X13" i="24"/>
  <c r="AB13" i="24"/>
  <c r="AJ13" i="24"/>
  <c r="W13" i="24"/>
  <c r="AC13" i="24"/>
  <c r="AK13" i="24"/>
  <c r="AD13" i="24"/>
  <c r="AL13" i="24"/>
  <c r="AE13" i="24"/>
  <c r="AM13" i="24"/>
  <c r="K9" i="24"/>
  <c r="S9" i="24"/>
  <c r="AA9" i="24"/>
  <c r="AI9" i="24"/>
  <c r="AH9" i="24"/>
  <c r="L9" i="24"/>
  <c r="T9" i="24"/>
  <c r="AB9" i="24"/>
  <c r="AJ9" i="24"/>
  <c r="M9" i="24"/>
  <c r="U9" i="24"/>
  <c r="AC9" i="24"/>
  <c r="AK9" i="24"/>
  <c r="Z9" i="24"/>
  <c r="N9" i="24"/>
  <c r="V9" i="24"/>
  <c r="AD9" i="24"/>
  <c r="AL9" i="24"/>
  <c r="G9" i="24"/>
  <c r="O9" i="24"/>
  <c r="W9" i="24"/>
  <c r="AE9" i="24"/>
  <c r="AM9" i="24"/>
  <c r="H9" i="24"/>
  <c r="P9" i="24"/>
  <c r="X9" i="24"/>
  <c r="AF9" i="24"/>
  <c r="F9" i="24"/>
  <c r="J9" i="24"/>
  <c r="R9" i="24"/>
  <c r="I9" i="24"/>
  <c r="Q9" i="24"/>
  <c r="Y9" i="24"/>
  <c r="AG9" i="24"/>
  <c r="O11" i="24"/>
  <c r="W11" i="24"/>
  <c r="AE11" i="24"/>
  <c r="AM11" i="24"/>
  <c r="AL11" i="24"/>
  <c r="H11" i="24"/>
  <c r="P11" i="24"/>
  <c r="X11" i="24"/>
  <c r="AF11" i="24"/>
  <c r="G11" i="24"/>
  <c r="N11" i="24"/>
  <c r="I11" i="24"/>
  <c r="Q11" i="24"/>
  <c r="Y11" i="24"/>
  <c r="AG11" i="24"/>
  <c r="AD11" i="24"/>
  <c r="J11" i="24"/>
  <c r="R11" i="24"/>
  <c r="Z11" i="24"/>
  <c r="AH11" i="24"/>
  <c r="K11" i="24"/>
  <c r="S11" i="24"/>
  <c r="AA11" i="24"/>
  <c r="AI11" i="24"/>
  <c r="L11" i="24"/>
  <c r="T11" i="24"/>
  <c r="AB11" i="24"/>
  <c r="AJ11" i="24"/>
  <c r="V11" i="24"/>
  <c r="M11" i="24"/>
  <c r="U11" i="24"/>
  <c r="AC11" i="24"/>
  <c r="AK11" i="24"/>
  <c r="Q6" i="24"/>
  <c r="Y6" i="24"/>
  <c r="AG6" i="24"/>
  <c r="R6" i="24"/>
  <c r="Z6" i="24"/>
  <c r="AH6" i="24"/>
  <c r="S6" i="24"/>
  <c r="AA6" i="24"/>
  <c r="AI6" i="24"/>
  <c r="T6" i="24"/>
  <c r="AB6" i="24"/>
  <c r="AJ6" i="24"/>
  <c r="U6" i="24"/>
  <c r="AC6" i="24"/>
  <c r="AK6" i="24"/>
  <c r="X6" i="24"/>
  <c r="V6" i="24"/>
  <c r="AD6" i="24"/>
  <c r="AL6" i="24"/>
  <c r="P6" i="24"/>
  <c r="W6" i="24"/>
  <c r="AE6" i="24"/>
  <c r="AM6" i="24"/>
  <c r="AF6" i="24"/>
  <c r="AG3" i="24" a="1"/>
  <c r="AG3" i="24" s="1"/>
  <c r="AL3" i="24" a="1"/>
  <c r="AL3" i="24" s="1"/>
  <c r="AK3" i="24" a="1"/>
  <c r="AK3" i="24" s="1"/>
  <c r="AC3" i="24" a="1"/>
  <c r="AC3" i="24" s="1"/>
  <c r="AH3" i="24" a="1"/>
  <c r="AH3" i="24" s="1"/>
  <c r="AM3" i="24" a="1"/>
  <c r="AM3" i="24" s="1"/>
  <c r="AD3" i="24" a="1"/>
  <c r="AD3" i="24" s="1"/>
  <c r="AB3" i="24" a="1"/>
  <c r="AB3" i="24" s="1"/>
  <c r="AI3" i="24" a="1"/>
  <c r="AI3" i="24" s="1"/>
  <c r="AA3" i="24" a="1"/>
  <c r="AA3" i="24" s="1"/>
  <c r="AE3" i="24" a="1"/>
  <c r="AE3" i="24" s="1"/>
  <c r="AJ3" i="24" a="1"/>
  <c r="AJ3" i="24" s="1"/>
  <c r="AF3" i="24" a="1"/>
  <c r="AF3" i="24" s="1"/>
  <c r="H12" i="24"/>
  <c r="P12" i="24"/>
  <c r="X12" i="24"/>
  <c r="AF12" i="24"/>
  <c r="G12" i="24"/>
  <c r="I12" i="24"/>
  <c r="Q12" i="24"/>
  <c r="Y12" i="24"/>
  <c r="AG12" i="24"/>
  <c r="O12" i="24"/>
  <c r="J12" i="24"/>
  <c r="R12" i="24"/>
  <c r="Z12" i="24"/>
  <c r="AH12" i="24"/>
  <c r="K12" i="24"/>
  <c r="S12" i="24"/>
  <c r="AA12" i="24"/>
  <c r="AI12" i="24"/>
  <c r="L12" i="24"/>
  <c r="T12" i="24"/>
  <c r="AB12" i="24"/>
  <c r="AJ12" i="24"/>
  <c r="AE12" i="24"/>
  <c r="M12" i="24"/>
  <c r="U12" i="24"/>
  <c r="AC12" i="24"/>
  <c r="AK12" i="24"/>
  <c r="W12" i="24"/>
  <c r="N12" i="24"/>
  <c r="V12" i="24"/>
  <c r="AD12" i="24"/>
  <c r="AL12" i="24"/>
  <c r="AM12" i="24"/>
  <c r="AM7" i="24"/>
  <c r="W7" i="24"/>
  <c r="AE7" i="24"/>
  <c r="V7" i="24"/>
  <c r="P7" i="24"/>
  <c r="X7" i="24"/>
  <c r="AF7" i="24"/>
  <c r="AD7" i="24"/>
  <c r="Q7" i="24"/>
  <c r="Y7" i="24"/>
  <c r="AG7" i="24"/>
  <c r="AL7" i="24"/>
  <c r="R7" i="24"/>
  <c r="Z7" i="24"/>
  <c r="AH7" i="24"/>
  <c r="S7" i="24"/>
  <c r="AA7" i="24"/>
  <c r="AI7" i="24"/>
  <c r="T7" i="24"/>
  <c r="AB7" i="24"/>
  <c r="AJ7" i="24"/>
  <c r="U7" i="24"/>
  <c r="AC7" i="24"/>
  <c r="AK7" i="24"/>
  <c r="O4" i="2"/>
  <c r="I8" i="24"/>
  <c r="Q8" i="24"/>
  <c r="Y8" i="24"/>
  <c r="AG8" i="24"/>
  <c r="J8" i="24"/>
  <c r="R8" i="24"/>
  <c r="Z8" i="24"/>
  <c r="AH8" i="24"/>
  <c r="X8" i="24"/>
  <c r="K8" i="24"/>
  <c r="S8" i="24"/>
  <c r="AA8" i="24"/>
  <c r="AI8" i="24"/>
  <c r="L8" i="24"/>
  <c r="T8" i="24"/>
  <c r="AB8" i="24"/>
  <c r="AJ8" i="24"/>
  <c r="AF8" i="24"/>
  <c r="M8" i="24"/>
  <c r="U8" i="24"/>
  <c r="AC8" i="24"/>
  <c r="AK8" i="24"/>
  <c r="H8" i="24"/>
  <c r="N8" i="24"/>
  <c r="V8" i="24"/>
  <c r="AD8" i="24"/>
  <c r="AL8" i="24"/>
  <c r="F8" i="24"/>
  <c r="G8" i="24"/>
  <c r="O8" i="24"/>
  <c r="W8" i="24"/>
  <c r="AE8" i="24"/>
  <c r="AM8" i="24"/>
  <c r="P8" i="24"/>
  <c r="D16" i="26"/>
  <c r="B16" i="26" s="1"/>
  <c r="C16" i="26"/>
  <c r="AA2" i="24" s="1"/>
  <c r="B4" i="2" s="1"/>
  <c r="AB2" i="24" l="1"/>
  <c r="C4" i="2" s="1"/>
  <c r="C6" i="2" s="1"/>
  <c r="B6" i="2"/>
  <c r="B7" i="2"/>
  <c r="B5" i="2"/>
  <c r="B3" i="2"/>
  <c r="O7" i="2"/>
  <c r="O3" i="2"/>
  <c r="O6" i="2"/>
  <c r="O5" i="2"/>
  <c r="Y5" i="10"/>
  <c r="AM14" i="24"/>
  <c r="W14" i="24" s="1"/>
  <c r="AC2" i="24" l="1"/>
  <c r="AD2" i="24" s="1"/>
  <c r="AE2" i="24" s="1"/>
  <c r="C7" i="2"/>
  <c r="C5" i="2"/>
  <c r="C3" i="2"/>
  <c r="AD14" i="24"/>
  <c r="AL14" i="24"/>
  <c r="Y5" i="8"/>
  <c r="AK14" i="24"/>
  <c r="AC14" i="24"/>
  <c r="AA14" i="24"/>
  <c r="AJ14" i="24"/>
  <c r="AB14" i="24"/>
  <c r="AI14" i="24"/>
  <c r="AH14" i="24"/>
  <c r="Z14" i="24"/>
  <c r="AG14" i="24"/>
  <c r="Y14" i="24"/>
  <c r="AF14" i="24"/>
  <c r="X14" i="24"/>
  <c r="AE14" i="24"/>
  <c r="E4" i="2" l="1"/>
  <c r="E7" i="2" s="1"/>
  <c r="D4" i="2"/>
  <c r="E6" i="2"/>
  <c r="E5" i="2"/>
  <c r="D3" i="2"/>
  <c r="D6" i="2"/>
  <c r="D5" i="2"/>
  <c r="D7" i="2"/>
  <c r="AF2" i="24"/>
  <c r="F4" i="2"/>
  <c r="Z5" i="10"/>
  <c r="Z5" i="9"/>
  <c r="AA5" i="9"/>
  <c r="AB5" i="9"/>
  <c r="AD5" i="9"/>
  <c r="AE5" i="9"/>
  <c r="AF5" i="9"/>
  <c r="E3" i="2" l="1"/>
  <c r="F7" i="2"/>
  <c r="F3" i="2"/>
  <c r="F6" i="2"/>
  <c r="F5" i="2"/>
  <c r="AG2" i="24"/>
  <c r="G4" i="2"/>
  <c r="AC5" i="8"/>
  <c r="AC5" i="10"/>
  <c r="AB5" i="8"/>
  <c r="AB5" i="10"/>
  <c r="AF5" i="8"/>
  <c r="AF5" i="10"/>
  <c r="AE5" i="8"/>
  <c r="AE5" i="10"/>
  <c r="AA5" i="8"/>
  <c r="AA5" i="10"/>
  <c r="AD5" i="8"/>
  <c r="AD5" i="10"/>
  <c r="AC5" i="9"/>
  <c r="Z5" i="8"/>
  <c r="B31" i="26"/>
  <c r="B27" i="26"/>
  <c r="G7" i="2" l="1"/>
  <c r="G5" i="2"/>
  <c r="G3" i="2"/>
  <c r="G6" i="2"/>
  <c r="AH2" i="24"/>
  <c r="H4" i="2"/>
  <c r="M5" i="8"/>
  <c r="M5" i="10"/>
  <c r="S5" i="8"/>
  <c r="S5" i="10"/>
  <c r="Q5" i="8"/>
  <c r="Q5" i="10"/>
  <c r="C5" i="8"/>
  <c r="C5" i="10"/>
  <c r="U5" i="8"/>
  <c r="U5" i="10"/>
  <c r="N5" i="8"/>
  <c r="N5" i="10"/>
  <c r="D5" i="8"/>
  <c r="D5" i="10"/>
  <c r="L5" i="8"/>
  <c r="L5" i="10"/>
  <c r="R5" i="8"/>
  <c r="R5" i="10"/>
  <c r="G5" i="8"/>
  <c r="G5" i="10"/>
  <c r="W5" i="8"/>
  <c r="W5" i="10"/>
  <c r="H5" i="8"/>
  <c r="H5" i="10"/>
  <c r="P5" i="8"/>
  <c r="P5" i="10"/>
  <c r="B5" i="8"/>
  <c r="B5" i="10"/>
  <c r="T5" i="8"/>
  <c r="T5" i="10"/>
  <c r="V5" i="8"/>
  <c r="V5" i="10"/>
  <c r="E5" i="8"/>
  <c r="E5" i="10"/>
  <c r="I5" i="8"/>
  <c r="I5" i="10"/>
  <c r="F5" i="8"/>
  <c r="F5" i="10"/>
  <c r="O5" i="8"/>
  <c r="O5" i="10"/>
  <c r="J5" i="8"/>
  <c r="J5" i="10"/>
  <c r="X5" i="8"/>
  <c r="X5" i="10"/>
  <c r="K5" i="8"/>
  <c r="K5" i="10"/>
  <c r="B20" i="26"/>
  <c r="H5" i="2" l="1"/>
  <c r="H7" i="2"/>
  <c r="H3" i="2"/>
  <c r="H6" i="2"/>
  <c r="AI2" i="24"/>
  <c r="I4" i="2"/>
  <c r="B21" i="26"/>
  <c r="B22" i="26" s="1"/>
  <c r="V5" i="24" s="1"/>
  <c r="W5" i="24" s="1"/>
  <c r="X5" i="24" s="1"/>
  <c r="Y5" i="24" s="1"/>
  <c r="Z5" i="24" s="1"/>
  <c r="AA5" i="24" s="1"/>
  <c r="AB5" i="24" s="1"/>
  <c r="AC5" i="24" s="1"/>
  <c r="AD5" i="24" s="1"/>
  <c r="AE5" i="24" s="1"/>
  <c r="AF5" i="24" s="1"/>
  <c r="AG5" i="24" s="1"/>
  <c r="AH5" i="24" s="1"/>
  <c r="AI5" i="24" s="1"/>
  <c r="AJ5" i="24" s="1"/>
  <c r="AK5" i="24" s="1"/>
  <c r="AL5" i="24" s="1"/>
  <c r="AM5" i="24" s="1"/>
  <c r="AM4" i="24" s="1"/>
  <c r="I5" i="2" l="1"/>
  <c r="I3" i="2"/>
  <c r="I6" i="2"/>
  <c r="I7" i="2"/>
  <c r="AJ2" i="24"/>
  <c r="J4" i="2"/>
  <c r="U5" i="24"/>
  <c r="J5" i="2" l="1"/>
  <c r="J3" i="2"/>
  <c r="J6" i="2"/>
  <c r="J7" i="2"/>
  <c r="AK2" i="24"/>
  <c r="K4" i="2"/>
  <c r="T5" i="24"/>
  <c r="K6" i="2" l="1"/>
  <c r="K7" i="2"/>
  <c r="K5" i="2"/>
  <c r="K3" i="2"/>
  <c r="AL2" i="24"/>
  <c r="L4" i="2"/>
  <c r="S5" i="24"/>
  <c r="Z2" i="8"/>
  <c r="Z8" i="8"/>
  <c r="AC2" i="9"/>
  <c r="AC8" i="9"/>
  <c r="AF2" i="8"/>
  <c r="AF8" i="8"/>
  <c r="Y8" i="8"/>
  <c r="Y2" i="8"/>
  <c r="AB2" i="9"/>
  <c r="AB8" i="9"/>
  <c r="AE8" i="8"/>
  <c r="AE2" i="8"/>
  <c r="AA2" i="9"/>
  <c r="AA8" i="9"/>
  <c r="AD2" i="8"/>
  <c r="AD8" i="8"/>
  <c r="AC8" i="8"/>
  <c r="AC2" i="8"/>
  <c r="AF2" i="9"/>
  <c r="AF8" i="9"/>
  <c r="AA8" i="8"/>
  <c r="AA2" i="8"/>
  <c r="AE2" i="9"/>
  <c r="AE8" i="9"/>
  <c r="AD8" i="9"/>
  <c r="AD2" i="9"/>
  <c r="L3" i="2" l="1"/>
  <c r="L6" i="2"/>
  <c r="L7" i="2"/>
  <c r="L5" i="2"/>
  <c r="AM2" i="24"/>
  <c r="N4" i="2" s="1"/>
  <c r="M4" i="2"/>
  <c r="R5" i="24"/>
  <c r="I8" i="8"/>
  <c r="I2" i="8"/>
  <c r="L8" i="8"/>
  <c r="L2" i="8"/>
  <c r="D8" i="10"/>
  <c r="W8" i="8"/>
  <c r="W2" i="8"/>
  <c r="M8" i="8"/>
  <c r="M2" i="8"/>
  <c r="J2" i="8"/>
  <c r="J8" i="8"/>
  <c r="AA8" i="10"/>
  <c r="T8" i="10"/>
  <c r="K8" i="10"/>
  <c r="B8" i="10"/>
  <c r="K8" i="8"/>
  <c r="K2" i="8"/>
  <c r="I8" i="10"/>
  <c r="T8" i="8"/>
  <c r="T2" i="8"/>
  <c r="G8" i="8"/>
  <c r="G2" i="8"/>
  <c r="E8" i="8"/>
  <c r="E2" i="8"/>
  <c r="S8" i="10"/>
  <c r="AE8" i="10"/>
  <c r="C8" i="10"/>
  <c r="P2" i="8"/>
  <c r="P8" i="8"/>
  <c r="AD8" i="10"/>
  <c r="U8" i="8"/>
  <c r="U2" i="8"/>
  <c r="V2" i="8"/>
  <c r="V8" i="8"/>
  <c r="H8" i="8"/>
  <c r="H2" i="8"/>
  <c r="R8" i="10"/>
  <c r="Z8" i="10"/>
  <c r="G8" i="10"/>
  <c r="W8" i="10"/>
  <c r="J8" i="10"/>
  <c r="E8" i="10"/>
  <c r="AB8" i="8"/>
  <c r="AB2" i="8"/>
  <c r="N2" i="8"/>
  <c r="N8" i="8"/>
  <c r="D8" i="8"/>
  <c r="D2" i="8"/>
  <c r="X2" i="8"/>
  <c r="X8" i="8"/>
  <c r="AF8" i="10"/>
  <c r="B2" i="8"/>
  <c r="B8" i="8"/>
  <c r="F8" i="8"/>
  <c r="F2" i="8"/>
  <c r="C8" i="8"/>
  <c r="C2" i="8"/>
  <c r="Q8" i="8"/>
  <c r="Q2" i="8"/>
  <c r="X8" i="10"/>
  <c r="V8" i="10"/>
  <c r="AC8" i="10"/>
  <c r="Y8" i="10"/>
  <c r="N8" i="10"/>
  <c r="U8" i="10"/>
  <c r="AB8" i="10"/>
  <c r="R2" i="8"/>
  <c r="R8" i="8"/>
  <c r="O8" i="8"/>
  <c r="O2" i="8"/>
  <c r="S8" i="8"/>
  <c r="S2" i="8"/>
  <c r="Q8" i="10"/>
  <c r="H8" i="10"/>
  <c r="F8" i="10"/>
  <c r="M8" i="10"/>
  <c r="P8" i="10"/>
  <c r="Z2" i="9"/>
  <c r="Z8" i="9"/>
  <c r="O8" i="10"/>
  <c r="L8" i="10"/>
  <c r="M7" i="2" l="1"/>
  <c r="M3" i="2"/>
  <c r="M6" i="2"/>
  <c r="M5" i="2"/>
  <c r="N7" i="2"/>
  <c r="N3" i="2"/>
  <c r="N6" i="2"/>
  <c r="N5" i="2"/>
  <c r="Q5" i="24"/>
  <c r="P5" i="24" l="1"/>
  <c r="O5" i="24" l="1"/>
  <c r="N5" i="24" l="1"/>
  <c r="M5" i="24" l="1"/>
  <c r="L5" i="24" s="1"/>
  <c r="AL4" i="24" l="1"/>
  <c r="AK4" i="24" l="1"/>
  <c r="AJ4" i="24" l="1"/>
  <c r="AI4" i="24" l="1"/>
  <c r="AH4" i="24" l="1"/>
  <c r="AG4" i="24" l="1"/>
  <c r="AF4" i="24" l="1"/>
  <c r="AE4" i="24" l="1"/>
  <c r="AD4" i="24" l="1"/>
  <c r="AC4" i="24" l="1"/>
  <c r="AB4" i="24" l="1"/>
  <c r="AA4" i="24" l="1"/>
  <c r="Z4" i="24" l="1"/>
  <c r="Y4" i="24" l="1"/>
  <c r="X4" i="24" l="1"/>
  <c r="W4" i="24" l="1"/>
  <c r="V4" i="24" l="1"/>
  <c r="U4" i="24" l="1"/>
  <c r="T4" i="24" l="1"/>
  <c r="S4" i="24" l="1"/>
  <c r="R4" i="24" l="1"/>
  <c r="Q4" i="24" l="1"/>
  <c r="P4" i="24" l="1"/>
  <c r="O4" i="24" l="1"/>
  <c r="N4" i="24" l="1"/>
  <c r="M4" i="24" l="1"/>
  <c r="L4" i="24" s="1"/>
  <c r="B5" i="9" l="1"/>
  <c r="B2" i="9" s="1"/>
  <c r="C5" i="9"/>
  <c r="C2" i="9" s="1"/>
  <c r="D5" i="9"/>
  <c r="D2" i="9" s="1"/>
  <c r="E5" i="9"/>
  <c r="E2" i="9" s="1"/>
  <c r="F5" i="9"/>
  <c r="F2" i="9" s="1"/>
  <c r="G5" i="9"/>
  <c r="G2" i="9" s="1"/>
  <c r="H5" i="9"/>
  <c r="I5" i="9"/>
  <c r="I2" i="9" s="1"/>
  <c r="J5" i="9"/>
  <c r="J2" i="9" s="1"/>
  <c r="K5" i="9"/>
  <c r="K2" i="9" s="1"/>
  <c r="L5" i="9"/>
  <c r="L2" i="9" s="1"/>
  <c r="M5" i="9"/>
  <c r="M2" i="9" s="1"/>
  <c r="N5" i="9"/>
  <c r="N2" i="9" s="1"/>
  <c r="O5" i="9"/>
  <c r="O2" i="9" s="1"/>
  <c r="P5" i="9"/>
  <c r="Q5" i="9"/>
  <c r="Q2" i="9" s="1"/>
  <c r="R5" i="9"/>
  <c r="R2" i="9" s="1"/>
  <c r="S5" i="9"/>
  <c r="S2" i="9" s="1"/>
  <c r="T5" i="9"/>
  <c r="T2" i="9" s="1"/>
  <c r="U5" i="9"/>
  <c r="U2" i="9" s="1"/>
  <c r="V5" i="9"/>
  <c r="V2" i="9" s="1"/>
  <c r="W5" i="9"/>
  <c r="W2" i="9" s="1"/>
  <c r="X5" i="9"/>
  <c r="Y5" i="9"/>
  <c r="Y2" i="9" s="1"/>
  <c r="T8" i="9" l="1"/>
  <c r="S8" i="9"/>
  <c r="L8" i="9"/>
  <c r="U8" i="9"/>
  <c r="M8" i="9"/>
  <c r="E8" i="9"/>
  <c r="R8" i="9"/>
  <c r="J8" i="9"/>
  <c r="K8" i="9"/>
  <c r="C8" i="9"/>
  <c r="G8" i="9"/>
  <c r="D8" i="9"/>
  <c r="W8" i="9"/>
  <c r="I8" i="9"/>
  <c r="Q8" i="9"/>
  <c r="O8" i="9"/>
  <c r="F8" i="9"/>
  <c r="N8" i="9"/>
  <c r="V8" i="9"/>
  <c r="Y8" i="9"/>
  <c r="B8" i="9"/>
  <c r="X2" i="9"/>
  <c r="X8" i="9"/>
  <c r="P2" i="9"/>
  <c r="P8" i="9"/>
  <c r="H2" i="9"/>
  <c r="H8" i="9"/>
  <c r="B2" i="10"/>
  <c r="C2" i="10"/>
  <c r="D2" i="10"/>
  <c r="E2" i="10"/>
  <c r="F2" i="10"/>
  <c r="G2" i="10"/>
  <c r="H2" i="10"/>
  <c r="I2" i="10"/>
  <c r="J2" i="10"/>
  <c r="K2" i="10"/>
  <c r="L2" i="10"/>
  <c r="M2" i="10"/>
  <c r="N2" i="10"/>
  <c r="O2" i="10"/>
  <c r="P2" i="10"/>
  <c r="Q2" i="10"/>
  <c r="R2" i="10"/>
  <c r="S2" i="10"/>
  <c r="T2" i="10"/>
  <c r="U2" i="10"/>
  <c r="V2" i="10"/>
  <c r="W2" i="10"/>
  <c r="X2" i="10"/>
  <c r="Y2" i="10"/>
  <c r="Z2" i="10"/>
  <c r="AA2" i="10"/>
  <c r="AB2" i="10"/>
  <c r="AC2" i="10"/>
  <c r="AD2" i="10"/>
  <c r="AE2" i="10"/>
  <c r="AF2" i="10"/>
  <c r="B5" i="11"/>
  <c r="B2" i="11" s="1"/>
  <c r="B8" i="11" l="1"/>
  <c r="C5" i="11"/>
  <c r="C2" i="11" s="1"/>
  <c r="D5" i="11"/>
  <c r="D2" i="11" s="1"/>
  <c r="E5" i="11"/>
  <c r="E2" i="11" s="1"/>
  <c r="F5" i="11"/>
  <c r="F2" i="11" s="1"/>
  <c r="G5" i="11"/>
  <c r="G2" i="11" s="1"/>
  <c r="H5" i="11"/>
  <c r="H2" i="11" s="1"/>
  <c r="I5" i="11"/>
  <c r="I2" i="11" s="1"/>
  <c r="J5" i="11"/>
  <c r="J2" i="11" s="1"/>
  <c r="K5" i="11"/>
  <c r="K2" i="11" s="1"/>
  <c r="L5" i="11"/>
  <c r="L2" i="11" s="1"/>
  <c r="M5" i="11"/>
  <c r="M2" i="11" s="1"/>
  <c r="N5" i="11"/>
  <c r="N2" i="11" s="1"/>
  <c r="O5" i="11"/>
  <c r="O2" i="11" s="1"/>
  <c r="P5" i="11"/>
  <c r="P2" i="11" s="1"/>
  <c r="Q5" i="11"/>
  <c r="Q2" i="11" s="1"/>
  <c r="R5" i="11"/>
  <c r="R2" i="11" s="1"/>
  <c r="S5" i="11"/>
  <c r="S2" i="11" s="1"/>
  <c r="T5" i="11"/>
  <c r="T2" i="11" s="1"/>
  <c r="U5" i="11"/>
  <c r="U2" i="11" s="1"/>
  <c r="V5" i="11"/>
  <c r="V2" i="11" s="1"/>
  <c r="W5" i="11"/>
  <c r="W2" i="11" s="1"/>
  <c r="X5" i="11"/>
  <c r="X2" i="11" s="1"/>
  <c r="Y5" i="11"/>
  <c r="Y2" i="11" s="1"/>
  <c r="Z5" i="11"/>
  <c r="Z2" i="11" s="1"/>
  <c r="AA5" i="11"/>
  <c r="AA2" i="11" s="1"/>
  <c r="AB5" i="11"/>
  <c r="AB2" i="11" s="1"/>
  <c r="AC5" i="11"/>
  <c r="AC2" i="11" s="1"/>
  <c r="AD5" i="11"/>
  <c r="AD2" i="11" s="1"/>
  <c r="AE5" i="11"/>
  <c r="AE2" i="11" s="1"/>
  <c r="AF5" i="11"/>
  <c r="AF2" i="11" s="1"/>
  <c r="L8" i="11"/>
  <c r="B5" i="13"/>
  <c r="B2" i="13" s="1"/>
  <c r="C5" i="13"/>
  <c r="C2" i="13" s="1"/>
  <c r="D5" i="13"/>
  <c r="D2" i="13" s="1"/>
  <c r="E5" i="13"/>
  <c r="E2" i="13" s="1"/>
  <c r="F5" i="13"/>
  <c r="F2" i="13" s="1"/>
  <c r="G5" i="13"/>
  <c r="G2" i="13" s="1"/>
  <c r="H5" i="13"/>
  <c r="H2" i="13" s="1"/>
  <c r="I5" i="13"/>
  <c r="I2" i="13" s="1"/>
  <c r="J5" i="13"/>
  <c r="J2" i="13" s="1"/>
  <c r="K5" i="13"/>
  <c r="K2" i="13" s="1"/>
  <c r="L5" i="13"/>
  <c r="L2" i="13" s="1"/>
  <c r="M5" i="13"/>
  <c r="M2" i="13" s="1"/>
  <c r="N5" i="13"/>
  <c r="N2" i="13" s="1"/>
  <c r="O5" i="13"/>
  <c r="O2" i="13" s="1"/>
  <c r="P5" i="13"/>
  <c r="P2" i="13" s="1"/>
  <c r="Q5" i="13"/>
  <c r="Q2" i="13" s="1"/>
  <c r="R5" i="13"/>
  <c r="R2" i="13" s="1"/>
  <c r="S5" i="13"/>
  <c r="S2" i="13" s="1"/>
  <c r="T5" i="13"/>
  <c r="T2" i="13" s="1"/>
  <c r="U5" i="13"/>
  <c r="U2" i="13" s="1"/>
  <c r="V5" i="13"/>
  <c r="V2" i="13" s="1"/>
  <c r="W5" i="13"/>
  <c r="W2" i="13" s="1"/>
  <c r="X5" i="13"/>
  <c r="X2" i="13" s="1"/>
  <c r="Y5" i="13"/>
  <c r="Y2" i="13" s="1"/>
  <c r="Z5" i="13"/>
  <c r="Z2" i="13" s="1"/>
  <c r="AA5" i="13"/>
  <c r="AA2" i="13" s="1"/>
  <c r="AB5" i="13"/>
  <c r="AB2" i="13" s="1"/>
  <c r="AC5" i="13"/>
  <c r="AC2" i="13" s="1"/>
  <c r="AD5" i="13"/>
  <c r="AD2" i="13" s="1"/>
  <c r="AE5" i="13"/>
  <c r="AE2" i="13" s="1"/>
  <c r="AF5" i="13"/>
  <c r="AF2" i="13" s="1"/>
  <c r="V8" i="13" l="1"/>
  <c r="F8" i="13"/>
  <c r="AC8" i="11"/>
  <c r="J8" i="11"/>
  <c r="AB8" i="11"/>
  <c r="Z8" i="11"/>
  <c r="R8" i="11"/>
  <c r="Y8" i="13"/>
  <c r="P8" i="13"/>
  <c r="H8" i="13"/>
  <c r="V8" i="11"/>
  <c r="Q8" i="13"/>
  <c r="N8" i="13"/>
  <c r="AD8" i="13"/>
  <c r="G8" i="13"/>
  <c r="W8" i="13"/>
  <c r="K8" i="11"/>
  <c r="S8" i="13"/>
  <c r="C8" i="13"/>
  <c r="AA8" i="11"/>
  <c r="C8" i="11"/>
  <c r="AE8" i="13"/>
  <c r="O8" i="13"/>
  <c r="S8" i="11"/>
  <c r="AB8" i="13"/>
  <c r="AA8" i="13"/>
  <c r="D8" i="13"/>
  <c r="L8" i="13"/>
  <c r="G8" i="11"/>
  <c r="U8" i="11"/>
  <c r="E8" i="11"/>
  <c r="K8" i="13"/>
  <c r="AF8" i="13"/>
  <c r="T8" i="13"/>
  <c r="I8" i="13"/>
  <c r="T8" i="11"/>
  <c r="D8" i="11"/>
  <c r="J8" i="13"/>
  <c r="I8" i="11"/>
  <c r="R8" i="13"/>
  <c r="Q8" i="11"/>
  <c r="F8" i="11"/>
  <c r="Z8" i="13"/>
  <c r="Y8" i="11"/>
  <c r="O8" i="11"/>
  <c r="W8" i="11"/>
  <c r="N8" i="11"/>
  <c r="X8" i="13"/>
  <c r="B8" i="13"/>
  <c r="AF8" i="11"/>
  <c r="X8" i="11"/>
  <c r="P8" i="11"/>
  <c r="H8" i="11"/>
  <c r="AE8" i="11"/>
  <c r="AD8" i="11"/>
  <c r="M8" i="11"/>
  <c r="AC8" i="13"/>
  <c r="U8" i="13"/>
  <c r="M8" i="13"/>
  <c r="E8"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<sst xmlns="http://schemas.openxmlformats.org/spreadsheetml/2006/main" count="297" uniqueCount="104">
  <si>
    <t>Sources:</t>
  </si>
  <si>
    <t>Notes</t>
  </si>
  <si>
    <t>battery electric vehicle</t>
  </si>
  <si>
    <t>natural gas vehicle</t>
  </si>
  <si>
    <t>gasoline vehicle</t>
  </si>
  <si>
    <t>diesel vehicle</t>
  </si>
  <si>
    <t>plugin hybrid vehicle</t>
  </si>
  <si>
    <t>aircraft</t>
  </si>
  <si>
    <t>HDVs</t>
  </si>
  <si>
    <t>Perc Reduction in Fuel Use for Electricity</t>
  </si>
  <si>
    <t>Perc of Electricity Use for Plug-In Hybrid Vehicles</t>
  </si>
  <si>
    <t>electricity share</t>
  </si>
  <si>
    <t>For source, see the variable BPoEFUbVT.</t>
  </si>
  <si>
    <t>LDVs and motorbikes</t>
  </si>
  <si>
    <t>BHNVFEAL BAU Historical New Vehicle Fuel Economy After Lifetime</t>
  </si>
  <si>
    <t>LDVs</t>
  </si>
  <si>
    <t>rail</t>
  </si>
  <si>
    <t>ships</t>
  </si>
  <si>
    <t>motorbikes</t>
  </si>
  <si>
    <t>Vehicle Lifetimes (years)</t>
  </si>
  <si>
    <t>For sources and calculations, see the variable AVL.</t>
  </si>
  <si>
    <t>psgr</t>
  </si>
  <si>
    <t>frgt</t>
  </si>
  <si>
    <t>This tab contains BAU New Vehicle Fuel Economy (BNVFE) data for the primary</t>
  </si>
  <si>
    <t>vehicle technology for each vehicle/cargo combination.  This is the technology</t>
  </si>
  <si>
    <t>from which the BAU new vehicle fuel economies of the other technologies</t>
  </si>
  <si>
    <t>are calculated.</t>
  </si>
  <si>
    <t>BAU New Vehicle Fuel Economy (from BNVFE variable)</t>
  </si>
  <si>
    <t>vehicle type</t>
  </si>
  <si>
    <t>cargo type</t>
  </si>
  <si>
    <t>BAU New Vehicle Fuel Economy</t>
  </si>
  <si>
    <t>Vehicle Lifetimes</t>
  </si>
  <si>
    <t>For sources and calculations, see the variable BNVFE.</t>
  </si>
  <si>
    <t>To estimate the BAU New Vehicle Fuel Economy in historical years (up to one</t>
  </si>
  <si>
    <t>vehicle lifetime before the first simulated year of the model run), we use</t>
  </si>
  <si>
    <t>a somewhat simplified approach.  We linearly extrapolate backwards from</t>
  </si>
  <si>
    <t>the future year values in BNVFE, using the entire period (2016-2050) as the</t>
  </si>
  <si>
    <t>over to using data from retiring vehicles that were added during the</t>
  </si>
  <si>
    <t>Historical fuel economies are estimated for vehicle type / technology</t>
  </si>
  <si>
    <t>combinations that did not exist in those years, such as battery</t>
  </si>
  <si>
    <t>electric HDVs in 1988.  This is simply for consistency of formulas</t>
  </si>
  <si>
    <t>and will not cause any problems, as there are no such vehicles to</t>
  </si>
  <si>
    <t>be retired during the model run.</t>
  </si>
  <si>
    <t>More than one vehicle lifetime into</t>
  </si>
  <si>
    <t>the model run, the model will have switched</t>
  </si>
  <si>
    <t>model run itself and no longer needs to reference the historical input data</t>
  </si>
  <si>
    <t>in this variable.  However, we include values in this variable out to</t>
  </si>
  <si>
    <t>2050 to make the process of updating the model's start year</t>
  </si>
  <si>
    <t>simpler (since no updates to this variable will be needed).</t>
  </si>
  <si>
    <t>Vehicle Loadings (in people or freight tons / vehicle)</t>
  </si>
  <si>
    <t>Source:</t>
  </si>
  <si>
    <t>passenger LDVs</t>
  </si>
  <si>
    <t>For sources and calculations, see the variable AVLo.</t>
  </si>
  <si>
    <t>freight LDVs</t>
  </si>
  <si>
    <t>passenger HDVs</t>
  </si>
  <si>
    <t>freight HDVs</t>
  </si>
  <si>
    <t>passenger rail</t>
  </si>
  <si>
    <t>BTU per Gallon Liquid Fuels</t>
  </si>
  <si>
    <t>gasoline</t>
  </si>
  <si>
    <t>EIA</t>
  </si>
  <si>
    <t>Energy Explained: Units and Calculators</t>
  </si>
  <si>
    <t>diesel</t>
  </si>
  <si>
    <t>https://www.eia.gov/energyexplained/index.cfm/index.cfm?page=about_energy_units</t>
  </si>
  <si>
    <t>Historical AEO fuel economy - passenger LDVs</t>
  </si>
  <si>
    <t>Source</t>
  </si>
  <si>
    <t>MPG</t>
  </si>
  <si>
    <t>thing-miles/BTU</t>
  </si>
  <si>
    <t>2002 diesel heavy-duty vehicles</t>
  </si>
  <si>
    <t>Ratio of 2019 AEO overall freight efficiency to "heavy" freight efficiency, AEO 2019</t>
  </si>
  <si>
    <t>2002 Average Freight HDV efficiency (MPG)</t>
  </si>
  <si>
    <t>2002 Average Freight HDV efficiency (thing-miles/BTU)</t>
  </si>
  <si>
    <t>Historical fuel economy - freight HDV</t>
  </si>
  <si>
    <t>Annual Energy Outlook 2008</t>
  </si>
  <si>
    <t>https://www.eia.gov/outlooks/archive/aeo08/index.html</t>
  </si>
  <si>
    <t>Tables 35, 49, 55</t>
  </si>
  <si>
    <t>Hydrogen vs. Gasoline Efficiency</t>
  </si>
  <si>
    <t>gasoline car efficiency</t>
  </si>
  <si>
    <t>hydrogen FCV efficiency</t>
  </si>
  <si>
    <t>distance multiplier for hydrogen vehicles</t>
  </si>
  <si>
    <t>Propane (LPG) vs. Gasoline Efficiency</t>
  </si>
  <si>
    <t>reduction in efficiency for propane</t>
  </si>
  <si>
    <t>distance multiplier for propane vehicles</t>
  </si>
  <si>
    <t>See the variable BNVFE</t>
  </si>
  <si>
    <t>Efficiency modifiers for LPG and hydrogen vehicles</t>
  </si>
  <si>
    <t>LPG vehicle</t>
  </si>
  <si>
    <t>hydrogen vehicle</t>
  </si>
  <si>
    <t>For sources and calculations, see the variable PTFURfE.</t>
  </si>
  <si>
    <t>Fuel Economy ((thing*miles)/BTU)</t>
  </si>
  <si>
    <t>AEO 2010 Table 7</t>
  </si>
  <si>
    <t>psgr - diesel</t>
  </si>
  <si>
    <t>psgr - electric</t>
  </si>
  <si>
    <t>Fuel Economy (passenger*miles/BTU)</t>
  </si>
  <si>
    <t>Fuel Economy (freight ton*miles/BTU)</t>
  </si>
  <si>
    <t>All passenger LDVs</t>
  </si>
  <si>
    <t>Fuel Economy (thing*miles/BTU)</t>
  </si>
  <si>
    <t>line when needed to avoid any discontinuity.</t>
  </si>
  <si>
    <t>basis for extrapolation. We adjust the Y-intercept of the extrapolated</t>
  </si>
  <si>
    <t xml:space="preserve">For the following vehicle types, we instead use values directly from SYFAFE, which results in </t>
  </si>
  <si>
    <t>energy consumption that more closely matches EIA's AEO trajectory: freight LDVs, passenger HDVs, freight HDVs, passenger ships, passenger motorbikes.</t>
  </si>
  <si>
    <t>SYFAFE Start Year Fleet Avg Fuel Economy</t>
  </si>
  <si>
    <t>IESR (2024)</t>
  </si>
  <si>
    <t>https://iesr.or.id/en/</t>
  </si>
  <si>
    <t>Comments</t>
  </si>
  <si>
    <t>These data come from the LEAP (Long-range Energy Alternatives Planning) Indonesia model and represent BAU (Business As Usual) scenarios projected for the country. The BAU scenarios assume no significant changes to current energy policies or interventions, providing a baseline for analyzing future energy consumption, emissions, and sectoral growth under existing conditions. This model helps evaluate long-term trends in Indonesia's energy use and environmental impacts, serving as a foundation for comparing potential outcomes from alternative policy scenarios aimed at sustainable development and climate goals.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</si>
</sst>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_)"/>
    <numFmt numFmtId="165" formatCode="#,##0_)"/>
    <numFmt numFmtId="166" formatCode="0.000"/>
    <numFmt numFmtId="167" formatCode="0.0%"/>
    <numFmt numFmtId="168" formatCode="_(* #,##0.000000_);_(* \(#,##0.000000\);_(* &quot;-&quot;??_);_(@_)"/>
  </numFmts>
  <fonts count="46">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11"/>
      <color theme="1" tint="0.499984740745262"/>
      <name val="Calibri"/>
      <family val="2"/>
      <scheme val="minor"/>
    </font>
    <font>
      <u/>
      <sz val="11"/>
      <color theme="10"/>
      <name val="Calibri"/>
      <family val="2"/>
      <scheme val="minor"/>
    </font>
    <font>
      <sz val="11"/>
      <name val="Calibri"/>
      <family val="2"/>
      <scheme val="minor"/>
    </font>
    <font>
      <b/>
      <sz val="12"/>
      <color theme="1"/>
      <name val="Calibri"/>
      <family val="2"/>
      <scheme val="minor"/>
    </font>
    <font>
      <b/>
      <sz val="11"/>
      <color theme="1"/>
      <name val="Calibri"/>
      <family val="2"/>
    </font>
  </fonts>
  <fills count="30">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499984740745262"/>
        <bgColor indexed="64"/>
      </patternFill>
    </fill>
    <fill>
      <patternFill patternType="solid">
        <fgColor theme="0" tint="-4.9989318521683403E-2"/>
        <bgColor indexed="64"/>
      </patternFill>
    </fill>
  </fills>
  <borders count="20">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style="thick">
        <color indexed="64"/>
      </right>
      <top/>
      <bottom/>
      <diagonal/>
    </border>
  </borders>
  <cellStyleXfs count="156">
    <xf numFmtId="0" fontId="0" fillId="0" borderId="0"/>
    <xf numFmtId="0" fontId="3" fillId="0" borderId="0"/>
    <xf numFmtId="0" fontId="3" fillId="0" borderId="2" applyNumberFormat="0" applyProtection="0">
      <alignment wrapText="1"/>
    </xf>
    <xf numFmtId="0" fontId="4" fillId="0" borderId="3" applyNumberFormat="0" applyProtection="0">
      <alignment wrapText="1"/>
    </xf>
    <xf numFmtId="0" fontId="3" fillId="0" borderId="4" applyNumberFormat="0" applyFont="0" applyProtection="0">
      <alignment wrapText="1"/>
    </xf>
    <xf numFmtId="0" fontId="4" fillId="0" borderId="5" applyNumberFormat="0" applyProtection="0">
      <alignment wrapText="1"/>
    </xf>
    <xf numFmtId="0" fontId="3" fillId="0" borderId="0" applyNumberFormat="0" applyFill="0" applyBorder="0" applyAlignment="0" applyProtection="0"/>
    <xf numFmtId="0" fontId="5" fillId="0" borderId="0" applyNumberFormat="0" applyProtection="0">
      <alignment horizontal="left"/>
    </xf>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7"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7" fillId="14"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21" borderId="0" applyNumberFormat="0" applyBorder="0" applyAlignment="0" applyProtection="0"/>
    <xf numFmtId="0" fontId="8" fillId="5" borderId="0" applyNumberFormat="0" applyBorder="0" applyAlignment="0" applyProtection="0"/>
    <xf numFmtId="0" fontId="3" fillId="0" borderId="4" applyNumberFormat="0" applyFont="0" applyProtection="0">
      <alignment wrapText="1"/>
    </xf>
    <xf numFmtId="0" fontId="9" fillId="22" borderId="6" applyNumberFormat="0" applyAlignment="0" applyProtection="0"/>
    <xf numFmtId="0" fontId="10" fillId="23" borderId="7" applyNumberFormat="0" applyAlignment="0" applyProtection="0"/>
    <xf numFmtId="0" fontId="11" fillId="0" borderId="0">
      <alignment horizontal="center" vertical="center" wrapText="1"/>
    </xf>
    <xf numFmtId="43" fontId="12"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3"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2" fillId="0" borderId="0" applyFont="0" applyFill="0" applyBorder="0" applyAlignment="0" applyProtection="0"/>
    <xf numFmtId="164" fontId="14" fillId="0" borderId="8" applyNumberFormat="0" applyFill="0">
      <alignment horizontal="right"/>
    </xf>
    <xf numFmtId="164" fontId="15" fillId="0" borderId="8" applyNumberFormat="0" applyFill="0">
      <alignment horizontal="right"/>
    </xf>
    <xf numFmtId="165" fontId="16" fillId="0" borderId="8">
      <alignment horizontal="right" vertical="center"/>
    </xf>
    <xf numFmtId="49" fontId="17" fillId="0" borderId="8">
      <alignment horizontal="left" vertical="center"/>
    </xf>
    <xf numFmtId="164" fontId="14" fillId="0" borderId="8" applyNumberFormat="0" applyFill="0">
      <alignment horizontal="right"/>
    </xf>
    <xf numFmtId="0" fontId="18"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19" fillId="6" borderId="0" applyNumberFormat="0" applyBorder="0" applyAlignment="0" applyProtection="0"/>
    <xf numFmtId="0" fontId="4" fillId="0" borderId="5" applyNumberFormat="0" applyProtection="0">
      <alignment wrapText="1"/>
    </xf>
    <xf numFmtId="0" fontId="20" fillId="0" borderId="9" applyNumberFormat="0" applyFill="0" applyAlignment="0" applyProtection="0"/>
    <xf numFmtId="0" fontId="21" fillId="0" borderId="10" applyNumberFormat="0" applyFill="0" applyAlignment="0" applyProtection="0"/>
    <xf numFmtId="0" fontId="22" fillId="0" borderId="11" applyNumberFormat="0" applyFill="0" applyAlignment="0" applyProtection="0"/>
    <xf numFmtId="0" fontId="22" fillId="0" borderId="0" applyNumberFormat="0" applyFill="0" applyBorder="0" applyAlignment="0" applyProtection="0"/>
    <xf numFmtId="0" fontId="23" fillId="0" borderId="8">
      <alignment horizontal="left"/>
    </xf>
    <xf numFmtId="0" fontId="24" fillId="0" borderId="8">
      <alignment horizontal="left"/>
    </xf>
    <xf numFmtId="0" fontId="25" fillId="0" borderId="12">
      <alignment horizontal="right" vertical="center"/>
    </xf>
    <xf numFmtId="0" fontId="26" fillId="0" borderId="8">
      <alignment horizontal="left" vertical="center"/>
    </xf>
    <xf numFmtId="0" fontId="14" fillId="0" borderId="8">
      <alignment horizontal="left" vertical="center"/>
    </xf>
    <xf numFmtId="0" fontId="23" fillId="0" borderId="8">
      <alignment horizontal="left"/>
    </xf>
    <xf numFmtId="0" fontId="23" fillId="24" borderId="0">
      <alignment horizontal="centerContinuous" wrapText="1"/>
    </xf>
    <xf numFmtId="49" fontId="23" fillId="24" borderId="13">
      <alignment horizontal="left" vertical="center"/>
    </xf>
    <xf numFmtId="0" fontId="23" fillId="24" borderId="0">
      <alignment horizontal="centerContinuous" vertical="center" wrapText="1"/>
    </xf>
    <xf numFmtId="0" fontId="27" fillId="0" borderId="0" applyNumberFormat="0" applyFill="0" applyBorder="0" applyAlignment="0" applyProtection="0">
      <alignment vertical="top"/>
      <protection locked="0"/>
    </xf>
    <xf numFmtId="0" fontId="28" fillId="9" borderId="6" applyNumberFormat="0" applyAlignment="0" applyProtection="0"/>
    <xf numFmtId="0" fontId="29" fillId="0" borderId="14" applyNumberFormat="0" applyFill="0" applyAlignment="0" applyProtection="0"/>
    <xf numFmtId="0" fontId="30" fillId="25" borderId="0" applyNumberFormat="0" applyBorder="0" applyAlignment="0" applyProtection="0"/>
    <xf numFmtId="0" fontId="1" fillId="0" borderId="0"/>
    <xf numFmtId="0" fontId="1" fillId="0" borderId="0"/>
    <xf numFmtId="0" fontId="12" fillId="0" borderId="0"/>
    <xf numFmtId="0" fontId="31"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 fillId="0" borderId="0"/>
    <xf numFmtId="0" fontId="1" fillId="0" borderId="0"/>
    <xf numFmtId="0" fontId="1" fillId="0" borderId="0"/>
    <xf numFmtId="0" fontId="12" fillId="0" borderId="0"/>
    <xf numFmtId="0" fontId="1" fillId="2" borderId="1" applyNumberFormat="0" applyFont="0" applyAlignment="0" applyProtection="0"/>
    <xf numFmtId="0" fontId="12" fillId="26" borderId="15" applyNumberFormat="0" applyFont="0" applyAlignment="0" applyProtection="0"/>
    <xf numFmtId="0" fontId="32" fillId="22" borderId="16" applyNumberFormat="0" applyAlignment="0" applyProtection="0"/>
    <xf numFmtId="0" fontId="4"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3" fontId="16" fillId="0" borderId="0">
      <alignment horizontal="left" vertical="center"/>
    </xf>
    <xf numFmtId="0" fontId="11" fillId="0" borderId="0">
      <alignment horizontal="left" vertical="center"/>
    </xf>
    <xf numFmtId="0" fontId="33" fillId="0" borderId="0">
      <alignment horizontal="right"/>
    </xf>
    <xf numFmtId="49" fontId="33" fillId="0" borderId="0">
      <alignment horizontal="center"/>
    </xf>
    <xf numFmtId="0" fontId="17" fillId="0" borderId="0">
      <alignment horizontal="right"/>
    </xf>
    <xf numFmtId="0" fontId="34" fillId="0" borderId="0">
      <alignment horizontal="right"/>
    </xf>
    <xf numFmtId="0" fontId="33" fillId="0" borderId="0">
      <alignment horizontal="left"/>
    </xf>
    <xf numFmtId="0" fontId="35" fillId="0" borderId="0">
      <alignment horizontal="left"/>
    </xf>
    <xf numFmtId="49" fontId="16" fillId="0" borderId="0">
      <alignment horizontal="left" vertical="center"/>
    </xf>
    <xf numFmtId="49" fontId="17" fillId="0" borderId="8">
      <alignment horizontal="left"/>
    </xf>
    <xf numFmtId="164" fontId="16" fillId="0" borderId="0" applyNumberFormat="0">
      <alignment horizontal="right"/>
    </xf>
    <xf numFmtId="0" fontId="25" fillId="27" borderId="0">
      <alignment horizontal="centerContinuous" vertical="center" wrapText="1"/>
    </xf>
    <xf numFmtId="0" fontId="25" fillId="0" borderId="17">
      <alignment horizontal="left" vertical="center"/>
    </xf>
    <xf numFmtId="0" fontId="5" fillId="0" borderId="0" applyNumberFormat="0" applyProtection="0">
      <alignment horizontal="left"/>
    </xf>
    <xf numFmtId="0" fontId="36" fillId="0" borderId="0" applyNumberFormat="0" applyFill="0" applyBorder="0" applyAlignment="0" applyProtection="0"/>
    <xf numFmtId="0" fontId="23" fillId="0" borderId="0">
      <alignment horizontal="left"/>
    </xf>
    <xf numFmtId="0" fontId="13" fillId="0" borderId="0">
      <alignment horizontal="left"/>
    </xf>
    <xf numFmtId="0" fontId="14" fillId="0" borderId="0">
      <alignment horizontal="left"/>
    </xf>
    <xf numFmtId="0" fontId="37" fillId="0" borderId="0">
      <alignment horizontal="left" vertical="top"/>
    </xf>
    <xf numFmtId="0" fontId="13" fillId="0" borderId="0">
      <alignment horizontal="left"/>
    </xf>
    <xf numFmtId="0" fontId="14" fillId="0" borderId="0">
      <alignment horizontal="left"/>
    </xf>
    <xf numFmtId="0" fontId="38" fillId="0" borderId="18" applyNumberFormat="0" applyFill="0" applyAlignment="0" applyProtection="0"/>
    <xf numFmtId="0" fontId="39" fillId="0" borderId="0" applyNumberFormat="0" applyFill="0" applyBorder="0" applyAlignment="0" applyProtection="0"/>
    <xf numFmtId="49" fontId="16" fillId="0" borderId="8">
      <alignment horizontal="left"/>
    </xf>
    <xf numFmtId="0" fontId="25" fillId="0" borderId="12">
      <alignment horizontal="left"/>
    </xf>
    <xf numFmtId="0" fontId="23" fillId="0" borderId="0">
      <alignment horizontal="left" vertical="center"/>
    </xf>
    <xf numFmtId="49" fontId="33" fillId="0" borderId="8">
      <alignment horizontal="left"/>
    </xf>
    <xf numFmtId="0" fontId="42" fillId="0" borderId="0" applyNumberForma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35">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40" fillId="0" borderId="0" xfId="0" applyFont="1"/>
    <xf numFmtId="1" fontId="0" fillId="0" borderId="0" xfId="0" applyNumberFormat="1"/>
    <xf numFmtId="11" fontId="0" fillId="28" borderId="0" xfId="0" applyNumberFormat="1" applyFill="1"/>
    <xf numFmtId="0" fontId="0" fillId="28" borderId="0" xfId="0" applyFill="1"/>
    <xf numFmtId="0" fontId="0" fillId="0" borderId="19" xfId="0" applyBorder="1"/>
    <xf numFmtId="11" fontId="41" fillId="0" borderId="0" xfId="0" applyNumberFormat="1" applyFont="1"/>
    <xf numFmtId="0" fontId="41" fillId="0" borderId="0" xfId="0" applyFont="1"/>
    <xf numFmtId="166" fontId="0" fillId="0" borderId="0" xfId="0" applyNumberFormat="1"/>
    <xf numFmtId="0" fontId="0" fillId="0" borderId="0" xfId="0" applyAlignment="1">
      <alignment wrapText="1"/>
    </xf>
    <xf numFmtId="0" fontId="2" fillId="3" borderId="0" xfId="0" applyFont="1" applyFill="1" applyAlignment="1">
      <alignment horizontal="left"/>
    </xf>
    <xf numFmtId="9" fontId="0" fillId="0" borderId="0" xfId="0" applyNumberFormat="1"/>
    <xf numFmtId="167" fontId="0" fillId="0" borderId="0" xfId="0" applyNumberFormat="1"/>
    <xf numFmtId="0" fontId="42" fillId="0" borderId="0" xfId="153"/>
    <xf numFmtId="0" fontId="2" fillId="0" borderId="0" xfId="0" applyFont="1" applyAlignment="1">
      <alignment wrapText="1"/>
    </xf>
    <xf numFmtId="11" fontId="43" fillId="0" borderId="0" xfId="0" applyNumberFormat="1" applyFont="1"/>
    <xf numFmtId="11" fontId="43" fillId="0" borderId="19" xfId="0" applyNumberFormat="1" applyFont="1" applyBorder="1"/>
    <xf numFmtId="0" fontId="43" fillId="0" borderId="0" xfId="0" applyFont="1"/>
    <xf numFmtId="0" fontId="43" fillId="0" borderId="19" xfId="0" applyFont="1" applyBorder="1"/>
    <xf numFmtId="0" fontId="0" fillId="0" borderId="0" xfId="0" applyAlignment="1">
      <alignment horizontal="right" wrapText="1"/>
    </xf>
    <xf numFmtId="168" fontId="0" fillId="0" borderId="0" xfId="154" applyNumberFormat="1" applyFont="1"/>
    <xf numFmtId="9" fontId="0" fillId="0" borderId="0" xfId="155" applyFont="1"/>
    <xf numFmtId="167" fontId="0" fillId="0" borderId="0" xfId="155" applyNumberFormat="1" applyFont="1"/>
    <xf numFmtId="11" fontId="0" fillId="29" borderId="0" xfId="0" applyNumberFormat="1" applyFill="1"/>
    <xf numFmtId="11" fontId="0" fillId="0" borderId="19" xfId="0" applyNumberFormat="1" applyBorder="1"/>
    <xf numFmtId="11" fontId="0" fillId="0" borderId="0" xfId="0" applyNumberFormat="1" applyAlignment="1">
      <alignment horizontal="left"/>
    </xf>
    <xf numFmtId="0" fontId="45" fillId="0" borderId="0" xfId="0" applyFont="1"/>
    <xf numFmtId="0" fontId="44" fillId="0" borderId="0" xfId="0" applyFont="1"/>
    <xf numFmtId="0" fontId="44" fillId="0" borderId="0" xfId="0" applyFont="1" applyAlignment="1">
      <alignment vertical="top" wrapText="1"/>
    </xf>
    <xf numFmtId="0" fontId="0" fillId="0" borderId="0" xfId="0" applyAlignment="1">
      <alignment vertical="top" wrapText="1"/>
    </xf>
  </cellXfs>
  <cellStyles count="156">
    <cellStyle name="20% - Accent1 2" xfId="8" xr:uid="{00000000-0005-0000-0000-000000000000}"/>
    <cellStyle name="20% - Accent2 2" xfId="9" xr:uid="{00000000-0005-0000-0000-000001000000}"/>
    <cellStyle name="20% - Accent3 2" xfId="10" xr:uid="{00000000-0005-0000-0000-000002000000}"/>
    <cellStyle name="20% - Accent4 2" xfId="11" xr:uid="{00000000-0005-0000-0000-000003000000}"/>
    <cellStyle name="20% - Accent5 2" xfId="12" xr:uid="{00000000-0005-0000-0000-000004000000}"/>
    <cellStyle name="20% - Accent6 2" xfId="13" xr:uid="{00000000-0005-0000-0000-000005000000}"/>
    <cellStyle name="40% - Accent1 2" xfId="14" xr:uid="{00000000-0005-0000-0000-000006000000}"/>
    <cellStyle name="40% - Accent2 2" xfId="15" xr:uid="{00000000-0005-0000-0000-000007000000}"/>
    <cellStyle name="40% - Accent3 2" xfId="16" xr:uid="{00000000-0005-0000-0000-000008000000}"/>
    <cellStyle name="40% - Accent4 2" xfId="17" xr:uid="{00000000-0005-0000-0000-000009000000}"/>
    <cellStyle name="40% - Accent5 2" xfId="18" xr:uid="{00000000-0005-0000-0000-00000A000000}"/>
    <cellStyle name="40% - Accent6 2" xfId="19" xr:uid="{00000000-0005-0000-0000-00000B000000}"/>
    <cellStyle name="60% - Accent1 2" xfId="20" xr:uid="{00000000-0005-0000-0000-00000C000000}"/>
    <cellStyle name="60% - Accent2 2" xfId="21" xr:uid="{00000000-0005-0000-0000-00000D000000}"/>
    <cellStyle name="60% - Accent3 2" xfId="22" xr:uid="{00000000-0005-0000-0000-00000E000000}"/>
    <cellStyle name="60% - Accent4 2" xfId="23" xr:uid="{00000000-0005-0000-0000-00000F000000}"/>
    <cellStyle name="60% - Accent5 2" xfId="24" xr:uid="{00000000-0005-0000-0000-000010000000}"/>
    <cellStyle name="60% - Accent6 2" xfId="25" xr:uid="{00000000-0005-0000-0000-000011000000}"/>
    <cellStyle name="Accent1 2" xfId="26" xr:uid="{00000000-0005-0000-0000-000012000000}"/>
    <cellStyle name="Accent2 2" xfId="27" xr:uid="{00000000-0005-0000-0000-000013000000}"/>
    <cellStyle name="Accent3 2" xfId="28" xr:uid="{00000000-0005-0000-0000-000014000000}"/>
    <cellStyle name="Accent4 2" xfId="29" xr:uid="{00000000-0005-0000-0000-000015000000}"/>
    <cellStyle name="Accent5 2" xfId="30" xr:uid="{00000000-0005-0000-0000-000016000000}"/>
    <cellStyle name="Accent6 2" xfId="31" xr:uid="{00000000-0005-0000-0000-000017000000}"/>
    <cellStyle name="Bad 2" xfId="32" xr:uid="{00000000-0005-0000-0000-000018000000}"/>
    <cellStyle name="Body: normal cell" xfId="4" xr:uid="{00000000-0005-0000-0000-000019000000}"/>
    <cellStyle name="Body: normal cell 2" xfId="33" xr:uid="{00000000-0005-0000-0000-00001A000000}"/>
    <cellStyle name="Calculation 2" xfId="34" xr:uid="{00000000-0005-0000-0000-00001B000000}"/>
    <cellStyle name="Check Cell 2" xfId="35" xr:uid="{00000000-0005-0000-0000-00001C000000}"/>
    <cellStyle name="Column heading" xfId="36" xr:uid="{00000000-0005-0000-0000-00001D000000}"/>
    <cellStyle name="Comma" xfId="154" builtinId="3"/>
    <cellStyle name="Comma 2" xfId="37" xr:uid="{00000000-0005-0000-0000-00001F000000}"/>
    <cellStyle name="Comma 2 2" xfId="38" xr:uid="{00000000-0005-0000-0000-000020000000}"/>
    <cellStyle name="Comma 3" xfId="39" xr:uid="{00000000-0005-0000-0000-000021000000}"/>
    <cellStyle name="Comma 4" xfId="40" xr:uid="{00000000-0005-0000-0000-000022000000}"/>
    <cellStyle name="Comma 5" xfId="41" xr:uid="{00000000-0005-0000-0000-000023000000}"/>
    <cellStyle name="Comma 6" xfId="42" xr:uid="{00000000-0005-0000-0000-000024000000}"/>
    <cellStyle name="Comma 7" xfId="43" xr:uid="{00000000-0005-0000-0000-000025000000}"/>
    <cellStyle name="Comma 8" xfId="44" xr:uid="{00000000-0005-0000-0000-000026000000}"/>
    <cellStyle name="Corner heading" xfId="45" xr:uid="{00000000-0005-0000-0000-000027000000}"/>
    <cellStyle name="Currency 2" xfId="46" xr:uid="{00000000-0005-0000-0000-000028000000}"/>
    <cellStyle name="Currency 3" xfId="47" xr:uid="{00000000-0005-0000-0000-000029000000}"/>
    <cellStyle name="Currency 3 2" xfId="48" xr:uid="{00000000-0005-0000-0000-00002A000000}"/>
    <cellStyle name="Data" xfId="49" xr:uid="{00000000-0005-0000-0000-00002B000000}"/>
    <cellStyle name="Data 2" xfId="50" xr:uid="{00000000-0005-0000-0000-00002C000000}"/>
    <cellStyle name="Data no deci" xfId="51" xr:uid="{00000000-0005-0000-0000-00002D000000}"/>
    <cellStyle name="Data Superscript" xfId="52" xr:uid="{00000000-0005-0000-0000-00002E000000}"/>
    <cellStyle name="Data_1-1A-Regular" xfId="53" xr:uid="{00000000-0005-0000-0000-00002F000000}"/>
    <cellStyle name="Explanatory Text 2" xfId="54" xr:uid="{00000000-0005-0000-0000-000030000000}"/>
    <cellStyle name="Font: Calibri, 9pt regular" xfId="6" xr:uid="{00000000-0005-0000-0000-000031000000}"/>
    <cellStyle name="Font: Calibri, 9pt regular 2" xfId="55" xr:uid="{00000000-0005-0000-0000-000032000000}"/>
    <cellStyle name="Footnotes: top row" xfId="2" xr:uid="{00000000-0005-0000-0000-000033000000}"/>
    <cellStyle name="Footnotes: top row 2" xfId="56" xr:uid="{00000000-0005-0000-0000-000034000000}"/>
    <cellStyle name="Good 2" xfId="57" xr:uid="{00000000-0005-0000-0000-000035000000}"/>
    <cellStyle name="Header: bottom row" xfId="5" xr:uid="{00000000-0005-0000-0000-000036000000}"/>
    <cellStyle name="Header: bottom row 2" xfId="58" xr:uid="{00000000-0005-0000-0000-000037000000}"/>
    <cellStyle name="Heading 1 2" xfId="59" xr:uid="{00000000-0005-0000-0000-000038000000}"/>
    <cellStyle name="Heading 2 2" xfId="60" xr:uid="{00000000-0005-0000-0000-000039000000}"/>
    <cellStyle name="Heading 3 2" xfId="61" xr:uid="{00000000-0005-0000-0000-00003A000000}"/>
    <cellStyle name="Heading 4 2" xfId="62" xr:uid="{00000000-0005-0000-0000-00003B000000}"/>
    <cellStyle name="Hed Side" xfId="63" xr:uid="{00000000-0005-0000-0000-00003C000000}"/>
    <cellStyle name="Hed Side 2" xfId="64" xr:uid="{00000000-0005-0000-0000-00003D000000}"/>
    <cellStyle name="Hed Side bold" xfId="65" xr:uid="{00000000-0005-0000-0000-00003E000000}"/>
    <cellStyle name="Hed Side Indent" xfId="66" xr:uid="{00000000-0005-0000-0000-00003F000000}"/>
    <cellStyle name="Hed Side Regular" xfId="67" xr:uid="{00000000-0005-0000-0000-000040000000}"/>
    <cellStyle name="Hed Side_1-1A-Regular" xfId="68" xr:uid="{00000000-0005-0000-0000-000041000000}"/>
    <cellStyle name="Hed Top" xfId="69" xr:uid="{00000000-0005-0000-0000-000042000000}"/>
    <cellStyle name="Hed Top - SECTION" xfId="70" xr:uid="{00000000-0005-0000-0000-000043000000}"/>
    <cellStyle name="Hed Top_3-new4" xfId="71" xr:uid="{00000000-0005-0000-0000-000044000000}"/>
    <cellStyle name="Hyperlink" xfId="153" builtinId="8"/>
    <cellStyle name="Hyperlink 2" xfId="72" xr:uid="{00000000-0005-0000-0000-000046000000}"/>
    <cellStyle name="Input 2" xfId="73" xr:uid="{00000000-0005-0000-0000-000047000000}"/>
    <cellStyle name="Linked Cell 2" xfId="74" xr:uid="{00000000-0005-0000-0000-000048000000}"/>
    <cellStyle name="Neutral 2" xfId="75" xr:uid="{00000000-0005-0000-0000-000049000000}"/>
    <cellStyle name="Normal" xfId="0" builtinId="0"/>
    <cellStyle name="Normal 10" xfId="76" xr:uid="{00000000-0005-0000-0000-00004B000000}"/>
    <cellStyle name="Normal 11" xfId="77" xr:uid="{00000000-0005-0000-0000-00004C000000}"/>
    <cellStyle name="Normal 2" xfId="1"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78000000}"/>
    <cellStyle name="Parent row 2" xfId="120" xr:uid="{00000000-0005-0000-0000-000079000000}"/>
    <cellStyle name="Percent" xfId="155" builtinId="5"/>
    <cellStyle name="Percent 2" xfId="121" xr:uid="{00000000-0005-0000-0000-00007B000000}"/>
    <cellStyle name="Percent 2 2" xfId="122" xr:uid="{00000000-0005-0000-0000-00007C000000}"/>
    <cellStyle name="Percent 3" xfId="123" xr:uid="{00000000-0005-0000-0000-00007D000000}"/>
    <cellStyle name="Percent 3 2" xfId="124" xr:uid="{00000000-0005-0000-0000-00007E000000}"/>
    <cellStyle name="Percent 4" xfId="125" xr:uid="{00000000-0005-0000-0000-00007F000000}"/>
    <cellStyle name="Reference" xfId="126" xr:uid="{00000000-0005-0000-0000-000080000000}"/>
    <cellStyle name="Row heading" xfId="127" xr:uid="{00000000-0005-0000-0000-000081000000}"/>
    <cellStyle name="Source Hed" xfId="128" xr:uid="{00000000-0005-0000-0000-000082000000}"/>
    <cellStyle name="Source Letter" xfId="129" xr:uid="{00000000-0005-0000-0000-000083000000}"/>
    <cellStyle name="Source Superscript" xfId="130" xr:uid="{00000000-0005-0000-0000-000084000000}"/>
    <cellStyle name="Source Superscript 2" xfId="131" xr:uid="{00000000-0005-0000-0000-000085000000}"/>
    <cellStyle name="Source Text" xfId="132" xr:uid="{00000000-0005-0000-0000-000086000000}"/>
    <cellStyle name="Source Text 2" xfId="133" xr:uid="{00000000-0005-0000-0000-000087000000}"/>
    <cellStyle name="State" xfId="134" xr:uid="{00000000-0005-0000-0000-000088000000}"/>
    <cellStyle name="Superscript" xfId="135" xr:uid="{00000000-0005-0000-0000-000089000000}"/>
    <cellStyle name="Table Data" xfId="136" xr:uid="{00000000-0005-0000-0000-00008A000000}"/>
    <cellStyle name="Table Head Top" xfId="137" xr:uid="{00000000-0005-0000-0000-00008B000000}"/>
    <cellStyle name="Table Hed Side" xfId="138" xr:uid="{00000000-0005-0000-0000-00008C000000}"/>
    <cellStyle name="Table title" xfId="7" xr:uid="{00000000-0005-0000-0000-00008D000000}"/>
    <cellStyle name="Table title 2" xfId="139" xr:uid="{00000000-0005-0000-0000-00008E000000}"/>
    <cellStyle name="Title 2" xfId="140" xr:uid="{00000000-0005-0000-0000-00008F000000}"/>
    <cellStyle name="Title Text" xfId="141" xr:uid="{00000000-0005-0000-0000-000090000000}"/>
    <cellStyle name="Title Text 1" xfId="142" xr:uid="{00000000-0005-0000-0000-000091000000}"/>
    <cellStyle name="Title Text 2" xfId="143" xr:uid="{00000000-0005-0000-0000-000092000000}"/>
    <cellStyle name="Title-1" xfId="144" xr:uid="{00000000-0005-0000-0000-000093000000}"/>
    <cellStyle name="Title-2" xfId="145" xr:uid="{00000000-0005-0000-0000-000094000000}"/>
    <cellStyle name="Title-3" xfId="146" xr:uid="{00000000-0005-0000-0000-000095000000}"/>
    <cellStyle name="Total 2" xfId="147" xr:uid="{00000000-0005-0000-0000-000096000000}"/>
    <cellStyle name="Warning Text 2" xfId="148" xr:uid="{00000000-0005-0000-0000-000097000000}"/>
    <cellStyle name="Wrap" xfId="149" xr:uid="{00000000-0005-0000-0000-000098000000}"/>
    <cellStyle name="Wrap Bold" xfId="150" xr:uid="{00000000-0005-0000-0000-000099000000}"/>
    <cellStyle name="Wrap Title" xfId="151" xr:uid="{00000000-0005-0000-0000-00009A000000}"/>
    <cellStyle name="Wrap_NTS99-~11" xfId="152" xr:uid="{00000000-0005-0000-0000-00009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Extrapolations!$A$2:$B$2</c:f>
              <c:strCache>
                <c:ptCount val="2"/>
                <c:pt idx="0">
                  <c:v>LDVs</c:v>
                </c:pt>
                <c:pt idx="1">
                  <c:v>psgr</c:v>
                </c:pt>
              </c:strCache>
            </c:strRef>
          </c:tx>
          <c:marker>
            <c:symbol val="none"/>
          </c:marker>
          <c:cat>
            <c:numRef>
              <c:f>Extrapolations!$C$1:$BR$1</c:f>
              <c:numCache>
                <c:formatCode>General</c:formatCode>
                <c:ptCount val="68"/>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pt idx="34">
                  <c:v>2017</c:v>
                </c:pt>
                <c:pt idx="35">
                  <c:v>2018</c:v>
                </c:pt>
                <c:pt idx="36">
                  <c:v>2019</c:v>
                </c:pt>
                <c:pt idx="37">
                  <c:v>2020</c:v>
                </c:pt>
                <c:pt idx="38">
                  <c:v>2021</c:v>
                </c:pt>
                <c:pt idx="39">
                  <c:v>2022</c:v>
                </c:pt>
                <c:pt idx="40">
                  <c:v>2023</c:v>
                </c:pt>
                <c:pt idx="41">
                  <c:v>2024</c:v>
                </c:pt>
                <c:pt idx="42">
                  <c:v>2025</c:v>
                </c:pt>
                <c:pt idx="43">
                  <c:v>2026</c:v>
                </c:pt>
                <c:pt idx="44">
                  <c:v>2027</c:v>
                </c:pt>
                <c:pt idx="45">
                  <c:v>2028</c:v>
                </c:pt>
                <c:pt idx="46">
                  <c:v>2029</c:v>
                </c:pt>
                <c:pt idx="47">
                  <c:v>2030</c:v>
                </c:pt>
                <c:pt idx="48">
                  <c:v>2031</c:v>
                </c:pt>
                <c:pt idx="49">
                  <c:v>2032</c:v>
                </c:pt>
                <c:pt idx="50">
                  <c:v>2033</c:v>
                </c:pt>
                <c:pt idx="51">
                  <c:v>2034</c:v>
                </c:pt>
                <c:pt idx="52">
                  <c:v>2035</c:v>
                </c:pt>
                <c:pt idx="53">
                  <c:v>2036</c:v>
                </c:pt>
                <c:pt idx="54">
                  <c:v>2037</c:v>
                </c:pt>
                <c:pt idx="55">
                  <c:v>2038</c:v>
                </c:pt>
                <c:pt idx="56">
                  <c:v>2039</c:v>
                </c:pt>
                <c:pt idx="57">
                  <c:v>2040</c:v>
                </c:pt>
                <c:pt idx="58">
                  <c:v>2041</c:v>
                </c:pt>
                <c:pt idx="59">
                  <c:v>2042</c:v>
                </c:pt>
                <c:pt idx="60">
                  <c:v>2043</c:v>
                </c:pt>
                <c:pt idx="61">
                  <c:v>2044</c:v>
                </c:pt>
                <c:pt idx="62">
                  <c:v>2045</c:v>
                </c:pt>
                <c:pt idx="63">
                  <c:v>2046</c:v>
                </c:pt>
                <c:pt idx="64">
                  <c:v>2047</c:v>
                </c:pt>
                <c:pt idx="65">
                  <c:v>2048</c:v>
                </c:pt>
                <c:pt idx="66">
                  <c:v>2049</c:v>
                </c:pt>
                <c:pt idx="67">
                  <c:v>2050</c:v>
                </c:pt>
              </c:numCache>
            </c:numRef>
          </c:cat>
          <c:val>
            <c:numRef>
              <c:f>Extrapolations!$C$2:$BT$2</c:f>
              <c:numCache>
                <c:formatCode>General</c:formatCode>
                <c:ptCount val="70"/>
                <c:pt idx="24" formatCode="0.00E+00">
                  <c:v>3.142498616321923E-4</c:v>
                </c:pt>
                <c:pt idx="25" formatCode="0.00E+00">
                  <c:v>3.1859095271137485E-4</c:v>
                </c:pt>
                <c:pt idx="26" formatCode="0.00E+00">
                  <c:v>3.2293204379055739E-4</c:v>
                </c:pt>
                <c:pt idx="27" formatCode="0.00E+00">
                  <c:v>3.2727313486973994E-4</c:v>
                </c:pt>
                <c:pt idx="28" formatCode="0.00E+00">
                  <c:v>3.3161422594892248E-4</c:v>
                </c:pt>
                <c:pt idx="29" formatCode="0.00E+00">
                  <c:v>3.3595531702810503E-4</c:v>
                </c:pt>
                <c:pt idx="30" formatCode="0.00E+00">
                  <c:v>3.4029640810728757E-4</c:v>
                </c:pt>
                <c:pt idx="31" formatCode="0.00E+00">
                  <c:v>3.4463749918647011E-4</c:v>
                </c:pt>
                <c:pt idx="32" formatCode="0.00E+00">
                  <c:v>3.4897859026565266E-4</c:v>
                </c:pt>
                <c:pt idx="33" formatCode="0.00E+00">
                  <c:v>3.533196813448352E-4</c:v>
                </c:pt>
                <c:pt idx="34" formatCode="0.00E+00">
                  <c:v>3.5766077242401775E-4</c:v>
                </c:pt>
                <c:pt idx="35" formatCode="0.00E+00">
                  <c:v>3.6200186350320029E-4</c:v>
                </c:pt>
                <c:pt idx="36" formatCode="0.00E+00">
                  <c:v>3.6634295458238284E-4</c:v>
                </c:pt>
                <c:pt idx="37" formatCode="0.00E+00">
                  <c:v>3.7068404566156505E-4</c:v>
                </c:pt>
                <c:pt idx="38" formatCode="0.00E+00">
                  <c:v>3.8286968063361244E-4</c:v>
                </c:pt>
                <c:pt idx="39" formatCode="0.00E+00">
                  <c:v>3.8999540362380768E-4</c:v>
                </c:pt>
                <c:pt idx="40" formatCode="0.00E+00">
                  <c:v>3.9439145706872869E-4</c:v>
                </c:pt>
                <c:pt idx="41" formatCode="0.00E+00">
                  <c:v>3.9758791642567675E-4</c:v>
                </c:pt>
                <c:pt idx="42" formatCode="0.00E+00">
                  <c:v>4.1670440259151796E-4</c:v>
                </c:pt>
                <c:pt idx="43" formatCode="0.00E+00">
                  <c:v>4.5449874343080136E-4</c:v>
                </c:pt>
                <c:pt idx="44" formatCode="0.00E+00">
                  <c:v>4.5571840174311271E-4</c:v>
                </c:pt>
                <c:pt idx="45" formatCode="0.00E+00">
                  <c:v>4.5632492494806224E-4</c:v>
                </c:pt>
                <c:pt idx="46" formatCode="0.00E+00">
                  <c:v>4.5682343934192723E-4</c:v>
                </c:pt>
                <c:pt idx="47" formatCode="0.00E+00">
                  <c:v>4.5864796428233097E-4</c:v>
                </c:pt>
                <c:pt idx="48" formatCode="0.00E+00">
                  <c:v>4.5942511490356416E-4</c:v>
                </c:pt>
                <c:pt idx="49" formatCode="0.00E+00">
                  <c:v>4.6038567019040524E-4</c:v>
                </c:pt>
                <c:pt idx="50" formatCode="0.00E+00">
                  <c:v>4.6137990440500237E-4</c:v>
                </c:pt>
                <c:pt idx="51" formatCode="0.00E+00">
                  <c:v>4.627584500454361E-4</c:v>
                </c:pt>
                <c:pt idx="52" formatCode="0.00E+00">
                  <c:v>4.6332164296180965E-4</c:v>
                </c:pt>
                <c:pt idx="53" formatCode="0.00E+00">
                  <c:v>4.6388593065941057E-4</c:v>
                </c:pt>
                <c:pt idx="54" formatCode="0.00E+00">
                  <c:v>4.6479081055883617E-4</c:v>
                </c:pt>
                <c:pt idx="55" formatCode="0.00E+00">
                  <c:v>4.6598088096797761E-4</c:v>
                </c:pt>
                <c:pt idx="56" formatCode="0.00E+00">
                  <c:v>4.6672534660756901E-4</c:v>
                </c:pt>
                <c:pt idx="57" formatCode="0.00E+00">
                  <c:v>4.6768413007742366E-4</c:v>
                </c:pt>
                <c:pt idx="58" formatCode="0.00E+00">
                  <c:v>4.6835837126328925E-4</c:v>
                </c:pt>
                <c:pt idx="59" formatCode="0.00E+00">
                  <c:v>4.6888408232764332E-4</c:v>
                </c:pt>
                <c:pt idx="60" formatCode="0.00E+00">
                  <c:v>4.6949898925199146E-4</c:v>
                </c:pt>
                <c:pt idx="61" formatCode="0.00E+00">
                  <c:v>4.7032072339820558E-4</c:v>
                </c:pt>
                <c:pt idx="62" formatCode="0.00E+00">
                  <c:v>4.7135545011319722E-4</c:v>
                </c:pt>
                <c:pt idx="63" formatCode="0.00E+00">
                  <c:v>4.7215508696463892E-4</c:v>
                </c:pt>
                <c:pt idx="64" formatCode="0.00E+00">
                  <c:v>4.730119981602886E-4</c:v>
                </c:pt>
                <c:pt idx="65" formatCode="0.00E+00">
                  <c:v>4.737905892831368E-4</c:v>
                </c:pt>
                <c:pt idx="66" formatCode="0.00E+00">
                  <c:v>4.7491927991846777E-4</c:v>
                </c:pt>
                <c:pt idx="67" formatCode="0.00E+00">
                  <c:v>4.7615242132589445E-4</c:v>
                </c:pt>
              </c:numCache>
            </c:numRef>
          </c:val>
          <c:smooth val="0"/>
          <c:extLst>
            <c:ext xmlns:c16="http://schemas.microsoft.com/office/drawing/2014/chart" uri="{C3380CC4-5D6E-409C-BE32-E72D297353CC}">
              <c16:uniqueId val="{00000000-D103-40F3-B705-D06D6F55F31D}"/>
            </c:ext>
          </c:extLst>
        </c:ser>
        <c:dLbls>
          <c:showLegendKey val="0"/>
          <c:showVal val="0"/>
          <c:showCatName val="0"/>
          <c:showSerName val="0"/>
          <c:showPercent val="0"/>
          <c:showBubbleSize val="0"/>
        </c:dLbls>
        <c:smooth val="0"/>
        <c:axId val="135763456"/>
        <c:axId val="138105216"/>
      </c:lineChart>
      <c:catAx>
        <c:axId val="135763456"/>
        <c:scaling>
          <c:orientation val="minMax"/>
        </c:scaling>
        <c:delete val="0"/>
        <c:axPos val="b"/>
        <c:numFmt formatCode="General" sourceLinked="1"/>
        <c:majorTickMark val="out"/>
        <c:minorTickMark val="none"/>
        <c:tickLblPos val="nextTo"/>
        <c:crossAx val="138105216"/>
        <c:crosses val="autoZero"/>
        <c:auto val="1"/>
        <c:lblAlgn val="ctr"/>
        <c:lblOffset val="100"/>
        <c:noMultiLvlLbl val="0"/>
      </c:catAx>
      <c:valAx>
        <c:axId val="138105216"/>
        <c:scaling>
          <c:orientation val="minMax"/>
        </c:scaling>
        <c:delete val="0"/>
        <c:axPos val="l"/>
        <c:majorGridlines/>
        <c:numFmt formatCode="General" sourceLinked="1"/>
        <c:majorTickMark val="out"/>
        <c:minorTickMark val="none"/>
        <c:tickLblPos val="nextTo"/>
        <c:crossAx val="135763456"/>
        <c:crossesAt val="35"/>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Extrapolations!$A$3:$B$3</c:f>
              <c:strCache>
                <c:ptCount val="2"/>
                <c:pt idx="0">
                  <c:v>LDVs</c:v>
                </c:pt>
                <c:pt idx="1">
                  <c:v>frgt</c:v>
                </c:pt>
              </c:strCache>
            </c:strRef>
          </c:tx>
          <c:marker>
            <c:symbol val="none"/>
          </c:marker>
          <c:cat>
            <c:numRef>
              <c:f>Extrapolations!$C$1:$BR$1</c:f>
              <c:numCache>
                <c:formatCode>General</c:formatCode>
                <c:ptCount val="68"/>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pt idx="34">
                  <c:v>2017</c:v>
                </c:pt>
                <c:pt idx="35">
                  <c:v>2018</c:v>
                </c:pt>
                <c:pt idx="36">
                  <c:v>2019</c:v>
                </c:pt>
                <c:pt idx="37">
                  <c:v>2020</c:v>
                </c:pt>
                <c:pt idx="38">
                  <c:v>2021</c:v>
                </c:pt>
                <c:pt idx="39">
                  <c:v>2022</c:v>
                </c:pt>
                <c:pt idx="40">
                  <c:v>2023</c:v>
                </c:pt>
                <c:pt idx="41">
                  <c:v>2024</c:v>
                </c:pt>
                <c:pt idx="42">
                  <c:v>2025</c:v>
                </c:pt>
                <c:pt idx="43">
                  <c:v>2026</c:v>
                </c:pt>
                <c:pt idx="44">
                  <c:v>2027</c:v>
                </c:pt>
                <c:pt idx="45">
                  <c:v>2028</c:v>
                </c:pt>
                <c:pt idx="46">
                  <c:v>2029</c:v>
                </c:pt>
                <c:pt idx="47">
                  <c:v>2030</c:v>
                </c:pt>
                <c:pt idx="48">
                  <c:v>2031</c:v>
                </c:pt>
                <c:pt idx="49">
                  <c:v>2032</c:v>
                </c:pt>
                <c:pt idx="50">
                  <c:v>2033</c:v>
                </c:pt>
                <c:pt idx="51">
                  <c:v>2034</c:v>
                </c:pt>
                <c:pt idx="52">
                  <c:v>2035</c:v>
                </c:pt>
                <c:pt idx="53">
                  <c:v>2036</c:v>
                </c:pt>
                <c:pt idx="54">
                  <c:v>2037</c:v>
                </c:pt>
                <c:pt idx="55">
                  <c:v>2038</c:v>
                </c:pt>
                <c:pt idx="56">
                  <c:v>2039</c:v>
                </c:pt>
                <c:pt idx="57">
                  <c:v>2040</c:v>
                </c:pt>
                <c:pt idx="58">
                  <c:v>2041</c:v>
                </c:pt>
                <c:pt idx="59">
                  <c:v>2042</c:v>
                </c:pt>
                <c:pt idx="60">
                  <c:v>2043</c:v>
                </c:pt>
                <c:pt idx="61">
                  <c:v>2044</c:v>
                </c:pt>
                <c:pt idx="62">
                  <c:v>2045</c:v>
                </c:pt>
                <c:pt idx="63">
                  <c:v>2046</c:v>
                </c:pt>
                <c:pt idx="64">
                  <c:v>2047</c:v>
                </c:pt>
                <c:pt idx="65">
                  <c:v>2048</c:v>
                </c:pt>
                <c:pt idx="66">
                  <c:v>2049</c:v>
                </c:pt>
                <c:pt idx="67">
                  <c:v>2050</c:v>
                </c:pt>
              </c:numCache>
            </c:numRef>
          </c:cat>
          <c:val>
            <c:numRef>
              <c:f>Extrapolations!$C$3:$BT$3</c:f>
              <c:numCache>
                <c:formatCode>General</c:formatCode>
                <c:ptCount val="70"/>
                <c:pt idx="24" formatCode="0.00E+00">
                  <c:v>1.1709920537385831E-4</c:v>
                </c:pt>
                <c:pt idx="25" formatCode="0.00E+00">
                  <c:v>1.1699905164334643E-4</c:v>
                </c:pt>
                <c:pt idx="26" formatCode="0.00E+00">
                  <c:v>1.1689889791283454E-4</c:v>
                </c:pt>
                <c:pt idx="27" formatCode="0.00E+00">
                  <c:v>1.1679874418232269E-4</c:v>
                </c:pt>
                <c:pt idx="28" formatCode="0.00E+00">
                  <c:v>1.166985904518108E-4</c:v>
                </c:pt>
                <c:pt idx="29" formatCode="0.00E+00">
                  <c:v>1.1659843672129892E-4</c:v>
                </c:pt>
                <c:pt idx="30" formatCode="0.00E+00">
                  <c:v>1.1649828299078704E-4</c:v>
                </c:pt>
                <c:pt idx="31" formatCode="0.00E+00">
                  <c:v>1.1639812926027518E-4</c:v>
                </c:pt>
                <c:pt idx="32" formatCode="0.00E+00">
                  <c:v>1.1629797552976329E-4</c:v>
                </c:pt>
                <c:pt idx="33" formatCode="0.00E+00">
                  <c:v>1.1619782179925141E-4</c:v>
                </c:pt>
                <c:pt idx="34" formatCode="0.00E+00">
                  <c:v>1.1609766806873955E-4</c:v>
                </c:pt>
                <c:pt idx="35" formatCode="0.00E+00">
                  <c:v>1.1599751433822767E-4</c:v>
                </c:pt>
                <c:pt idx="36" formatCode="0.00E+00">
                  <c:v>1.1589736060771579E-4</c:v>
                </c:pt>
                <c:pt idx="37" formatCode="0.00E+00">
                  <c:v>1.157863591831631E-4</c:v>
                </c:pt>
                <c:pt idx="38" formatCode="0.00E+00">
                  <c:v>1.1589922337335911E-4</c:v>
                </c:pt>
                <c:pt idx="39" formatCode="0.00E+00">
                  <c:v>1.1538533736033749E-4</c:v>
                </c:pt>
                <c:pt idx="40" formatCode="0.00E+00">
                  <c:v>1.1535674989351573E-4</c:v>
                </c:pt>
                <c:pt idx="41" formatCode="0.00E+00">
                  <c:v>1.1555682727052541E-4</c:v>
                </c:pt>
                <c:pt idx="42" formatCode="0.00E+00">
                  <c:v>1.1619447640903485E-4</c:v>
                </c:pt>
                <c:pt idx="43" formatCode="0.00E+00">
                  <c:v>1.1675875263243092E-4</c:v>
                </c:pt>
                <c:pt idx="44" formatCode="0.00E+00">
                  <c:v>1.170886675606406E-4</c:v>
                </c:pt>
                <c:pt idx="45" formatCode="0.00E+00">
                  <c:v>1.1617580985063572E-4</c:v>
                </c:pt>
                <c:pt idx="46" formatCode="0.00E+00">
                  <c:v>1.1591329821118029E-4</c:v>
                </c:pt>
                <c:pt idx="47" formatCode="0.00E+00">
                  <c:v>1.1553838100461461E-4</c:v>
                </c:pt>
                <c:pt idx="48" formatCode="0.00E+00">
                  <c:v>1.1496830903628264E-4</c:v>
                </c:pt>
                <c:pt idx="49" formatCode="0.00E+00">
                  <c:v>1.1417779457660161E-4</c:v>
                </c:pt>
                <c:pt idx="50" formatCode="0.00E+00">
                  <c:v>1.1321126528769265E-4</c:v>
                </c:pt>
                <c:pt idx="51" formatCode="0.00E+00">
                  <c:v>1.1235905420307894E-4</c:v>
                </c:pt>
                <c:pt idx="52" formatCode="0.00E+00">
                  <c:v>1.113973304748738E-4</c:v>
                </c:pt>
                <c:pt idx="53" formatCode="0.00E+00">
                  <c:v>1.1073582017040977E-4</c:v>
                </c:pt>
                <c:pt idx="54" formatCode="0.00E+00">
                  <c:v>1.099531339020346E-4</c:v>
                </c:pt>
                <c:pt idx="55" formatCode="0.00E+00">
                  <c:v>1.0948773622007766E-4</c:v>
                </c:pt>
                <c:pt idx="56" formatCode="0.00E+00">
                  <c:v>1.0913516582552083E-4</c:v>
                </c:pt>
                <c:pt idx="57" formatCode="0.00E+00">
                  <c:v>1.0884247723484658E-4</c:v>
                </c:pt>
                <c:pt idx="58" formatCode="0.00E+00">
                  <c:v>1.085933825763662E-4</c:v>
                </c:pt>
                <c:pt idx="59" formatCode="0.00E+00">
                  <c:v>1.083443267474224E-4</c:v>
                </c:pt>
                <c:pt idx="60" formatCode="0.00E+00">
                  <c:v>1.0815629409531245E-4</c:v>
                </c:pt>
                <c:pt idx="61" formatCode="0.00E+00">
                  <c:v>1.0799885128162017E-4</c:v>
                </c:pt>
                <c:pt idx="62" formatCode="0.00E+00">
                  <c:v>1.078432358858381E-4</c:v>
                </c:pt>
                <c:pt idx="63" formatCode="0.00E+00">
                  <c:v>1.0772424981274788E-4</c:v>
                </c:pt>
                <c:pt idx="64" formatCode="0.00E+00">
                  <c:v>1.0749204222981193E-4</c:v>
                </c:pt>
                <c:pt idx="65" formatCode="0.00E+00">
                  <c:v>1.0725768900406794E-4</c:v>
                </c:pt>
                <c:pt idx="66" formatCode="0.00E+00">
                  <c:v>1.0704107117361582E-4</c:v>
                </c:pt>
                <c:pt idx="67" formatCode="0.00E+00">
                  <c:v>1.0682755170917861E-4</c:v>
                </c:pt>
              </c:numCache>
            </c:numRef>
          </c:val>
          <c:smooth val="0"/>
          <c:extLst>
            <c:ext xmlns:c16="http://schemas.microsoft.com/office/drawing/2014/chart" uri="{C3380CC4-5D6E-409C-BE32-E72D297353CC}">
              <c16:uniqueId val="{00000000-56FE-45BE-91CB-AD70E79DC418}"/>
            </c:ext>
          </c:extLst>
        </c:ser>
        <c:dLbls>
          <c:showLegendKey val="0"/>
          <c:showVal val="0"/>
          <c:showCatName val="0"/>
          <c:showSerName val="0"/>
          <c:showPercent val="0"/>
          <c:showBubbleSize val="0"/>
        </c:dLbls>
        <c:smooth val="0"/>
        <c:axId val="245729152"/>
        <c:axId val="134701824"/>
      </c:lineChart>
      <c:catAx>
        <c:axId val="245729152"/>
        <c:scaling>
          <c:orientation val="minMax"/>
        </c:scaling>
        <c:delete val="0"/>
        <c:axPos val="b"/>
        <c:numFmt formatCode="General" sourceLinked="1"/>
        <c:majorTickMark val="out"/>
        <c:minorTickMark val="none"/>
        <c:tickLblPos val="nextTo"/>
        <c:crossAx val="134701824"/>
        <c:crosses val="autoZero"/>
        <c:auto val="1"/>
        <c:lblAlgn val="ctr"/>
        <c:lblOffset val="100"/>
        <c:noMultiLvlLbl val="0"/>
      </c:catAx>
      <c:valAx>
        <c:axId val="134701824"/>
        <c:scaling>
          <c:orientation val="minMax"/>
        </c:scaling>
        <c:delete val="0"/>
        <c:axPos val="l"/>
        <c:majorGridlines/>
        <c:numFmt formatCode="General" sourceLinked="1"/>
        <c:majorTickMark val="out"/>
        <c:minorTickMark val="none"/>
        <c:tickLblPos val="nextTo"/>
        <c:crossAx val="245729152"/>
        <c:crossesAt val="35"/>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Extrapolations!$A$4:$B$4</c:f>
              <c:strCache>
                <c:ptCount val="2"/>
                <c:pt idx="0">
                  <c:v>HDVs</c:v>
                </c:pt>
                <c:pt idx="1">
                  <c:v>psgr</c:v>
                </c:pt>
              </c:strCache>
            </c:strRef>
          </c:tx>
          <c:marker>
            <c:symbol val="none"/>
          </c:marker>
          <c:cat>
            <c:numRef>
              <c:f>Extrapolations!$C$1:$BR$1</c:f>
              <c:numCache>
                <c:formatCode>General</c:formatCode>
                <c:ptCount val="68"/>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pt idx="34">
                  <c:v>2017</c:v>
                </c:pt>
                <c:pt idx="35">
                  <c:v>2018</c:v>
                </c:pt>
                <c:pt idx="36">
                  <c:v>2019</c:v>
                </c:pt>
                <c:pt idx="37">
                  <c:v>2020</c:v>
                </c:pt>
                <c:pt idx="38">
                  <c:v>2021</c:v>
                </c:pt>
                <c:pt idx="39">
                  <c:v>2022</c:v>
                </c:pt>
                <c:pt idx="40">
                  <c:v>2023</c:v>
                </c:pt>
                <c:pt idx="41">
                  <c:v>2024</c:v>
                </c:pt>
                <c:pt idx="42">
                  <c:v>2025</c:v>
                </c:pt>
                <c:pt idx="43">
                  <c:v>2026</c:v>
                </c:pt>
                <c:pt idx="44">
                  <c:v>2027</c:v>
                </c:pt>
                <c:pt idx="45">
                  <c:v>2028</c:v>
                </c:pt>
                <c:pt idx="46">
                  <c:v>2029</c:v>
                </c:pt>
                <c:pt idx="47">
                  <c:v>2030</c:v>
                </c:pt>
                <c:pt idx="48">
                  <c:v>2031</c:v>
                </c:pt>
                <c:pt idx="49">
                  <c:v>2032</c:v>
                </c:pt>
                <c:pt idx="50">
                  <c:v>2033</c:v>
                </c:pt>
                <c:pt idx="51">
                  <c:v>2034</c:v>
                </c:pt>
                <c:pt idx="52">
                  <c:v>2035</c:v>
                </c:pt>
                <c:pt idx="53">
                  <c:v>2036</c:v>
                </c:pt>
                <c:pt idx="54">
                  <c:v>2037</c:v>
                </c:pt>
                <c:pt idx="55">
                  <c:v>2038</c:v>
                </c:pt>
                <c:pt idx="56">
                  <c:v>2039</c:v>
                </c:pt>
                <c:pt idx="57">
                  <c:v>2040</c:v>
                </c:pt>
                <c:pt idx="58">
                  <c:v>2041</c:v>
                </c:pt>
                <c:pt idx="59">
                  <c:v>2042</c:v>
                </c:pt>
                <c:pt idx="60">
                  <c:v>2043</c:v>
                </c:pt>
                <c:pt idx="61">
                  <c:v>2044</c:v>
                </c:pt>
                <c:pt idx="62">
                  <c:v>2045</c:v>
                </c:pt>
                <c:pt idx="63">
                  <c:v>2046</c:v>
                </c:pt>
                <c:pt idx="64">
                  <c:v>2047</c:v>
                </c:pt>
                <c:pt idx="65">
                  <c:v>2048</c:v>
                </c:pt>
                <c:pt idx="66">
                  <c:v>2049</c:v>
                </c:pt>
                <c:pt idx="67">
                  <c:v>2050</c:v>
                </c:pt>
              </c:numCache>
            </c:numRef>
          </c:cat>
          <c:val>
            <c:numRef>
              <c:f>Extrapolations!$C$4:$BT$4</c:f>
              <c:numCache>
                <c:formatCode>General</c:formatCode>
                <c:ptCount val="70"/>
                <c:pt idx="9" formatCode="0.00E+00">
                  <c:v>1.0544082239246518E-3</c:v>
                </c:pt>
                <c:pt idx="10" formatCode="0.00E+00">
                  <c:v>1.0544082239246518E-3</c:v>
                </c:pt>
                <c:pt idx="11" formatCode="0.00E+00">
                  <c:v>1.0544082239246518E-3</c:v>
                </c:pt>
                <c:pt idx="12" formatCode="0.00E+00">
                  <c:v>1.0544082239246518E-3</c:v>
                </c:pt>
                <c:pt idx="13" formatCode="0.00E+00">
                  <c:v>1.0544082239246518E-3</c:v>
                </c:pt>
                <c:pt idx="14" formatCode="0.00E+00">
                  <c:v>1.0544082239246518E-3</c:v>
                </c:pt>
                <c:pt idx="15" formatCode="0.00E+00">
                  <c:v>1.0544082239246518E-3</c:v>
                </c:pt>
                <c:pt idx="16" formatCode="0.00E+00">
                  <c:v>1.0544082239246518E-3</c:v>
                </c:pt>
                <c:pt idx="17" formatCode="0.00E+00">
                  <c:v>1.0544082239246518E-3</c:v>
                </c:pt>
                <c:pt idx="18" formatCode="0.00E+00">
                  <c:v>1.0544082239246518E-3</c:v>
                </c:pt>
                <c:pt idx="19" formatCode="0.00E+00">
                  <c:v>1.0544082239246518E-3</c:v>
                </c:pt>
                <c:pt idx="20" formatCode="0.00E+00">
                  <c:v>1.0507727694715886E-3</c:v>
                </c:pt>
                <c:pt idx="21" formatCode="0.00E+00">
                  <c:v>1.0471373150185254E-3</c:v>
                </c:pt>
                <c:pt idx="22" formatCode="0.00E+00">
                  <c:v>1.0435018605654625E-3</c:v>
                </c:pt>
                <c:pt idx="23" formatCode="0.00E+00">
                  <c:v>1.0398664061123993E-3</c:v>
                </c:pt>
                <c:pt idx="24" formatCode="0.00E+00">
                  <c:v>1.0362309516593362E-3</c:v>
                </c:pt>
                <c:pt idx="25" formatCode="0.00E+00">
                  <c:v>1.032595497206273E-3</c:v>
                </c:pt>
                <c:pt idx="26" formatCode="0.00E+00">
                  <c:v>1.0289600427532098E-3</c:v>
                </c:pt>
                <c:pt idx="27" formatCode="0.00E+00">
                  <c:v>1.0253245883001466E-3</c:v>
                </c:pt>
                <c:pt idx="28" formatCode="0.00E+00">
                  <c:v>1.0216891338470835E-3</c:v>
                </c:pt>
                <c:pt idx="29" formatCode="0.00E+00">
                  <c:v>1.0180536793940205E-3</c:v>
                </c:pt>
                <c:pt idx="30" formatCode="0.00E+00">
                  <c:v>1.0144182249409574E-3</c:v>
                </c:pt>
                <c:pt idx="31" formatCode="0.00E+00">
                  <c:v>1.0107827704878942E-3</c:v>
                </c:pt>
                <c:pt idx="32" formatCode="0.00E+00">
                  <c:v>1.0071473160348312E-3</c:v>
                </c:pt>
                <c:pt idx="33" formatCode="0.00E+00">
                  <c:v>1.0035118615817681E-3</c:v>
                </c:pt>
                <c:pt idx="34" formatCode="0.00E+00">
                  <c:v>9.998764071287049E-4</c:v>
                </c:pt>
                <c:pt idx="35" formatCode="0.00E+00">
                  <c:v>9.9624095267564173E-4</c:v>
                </c:pt>
                <c:pt idx="36" formatCode="0.00E+00">
                  <c:v>9.9260549822257856E-4</c:v>
                </c:pt>
                <c:pt idx="37" formatCode="0.00E+00">
                  <c:v>9.8533458931645266E-4</c:v>
                </c:pt>
                <c:pt idx="38" formatCode="0.00E+00">
                  <c:v>9.988021364476826E-4</c:v>
                </c:pt>
                <c:pt idx="39" formatCode="0.00E+00">
                  <c:v>1.0144915989479513E-3</c:v>
                </c:pt>
                <c:pt idx="40" formatCode="0.00E+00">
                  <c:v>1.0338641499362739E-3</c:v>
                </c:pt>
                <c:pt idx="41" formatCode="0.00E+00">
                  <c:v>1.0578483957153595E-3</c:v>
                </c:pt>
                <c:pt idx="42" formatCode="0.00E+00">
                  <c:v>1.0855563574924357E-3</c:v>
                </c:pt>
                <c:pt idx="43" formatCode="0.00E+00">
                  <c:v>1.1154933208321449E-3</c:v>
                </c:pt>
                <c:pt idx="44" formatCode="0.00E+00">
                  <c:v>1.146433059300843E-3</c:v>
                </c:pt>
                <c:pt idx="45" formatCode="0.00E+00">
                  <c:v>1.162195430859642E-3</c:v>
                </c:pt>
                <c:pt idx="46" formatCode="0.00E+00">
                  <c:v>1.1852372128907688E-3</c:v>
                </c:pt>
                <c:pt idx="47" formatCode="0.00E+00">
                  <c:v>1.2047747934543398E-3</c:v>
                </c:pt>
                <c:pt idx="48" formatCode="0.00E+00">
                  <c:v>1.2221312436297778E-3</c:v>
                </c:pt>
                <c:pt idx="49" formatCode="0.00E+00">
                  <c:v>1.2324377185343545E-3</c:v>
                </c:pt>
                <c:pt idx="50" formatCode="0.00E+00">
                  <c:v>1.2337189023360906E-3</c:v>
                </c:pt>
                <c:pt idx="51" formatCode="0.00E+00">
                  <c:v>1.2346974269358923E-3</c:v>
                </c:pt>
                <c:pt idx="52" formatCode="0.00E+00">
                  <c:v>1.2348004129494538E-3</c:v>
                </c:pt>
                <c:pt idx="53" formatCode="0.00E+00">
                  <c:v>1.2352948717913239E-3</c:v>
                </c:pt>
                <c:pt idx="54" formatCode="0.00E+00">
                  <c:v>1.2357035089552255E-3</c:v>
                </c:pt>
                <c:pt idx="55" formatCode="0.00E+00">
                  <c:v>1.2358091719752555E-3</c:v>
                </c:pt>
                <c:pt idx="56" formatCode="0.00E+00">
                  <c:v>1.2356633538581946E-3</c:v>
                </c:pt>
                <c:pt idx="57" formatCode="0.00E+00">
                  <c:v>1.2356553228387885E-3</c:v>
                </c:pt>
                <c:pt idx="58" formatCode="0.00E+00">
                  <c:v>1.2356638262711007E-3</c:v>
                </c:pt>
                <c:pt idx="59" formatCode="0.00E+00">
                  <c:v>1.2356742193550382E-3</c:v>
                </c:pt>
                <c:pt idx="60" formatCode="0.00E+00">
                  <c:v>1.2356002079997265E-3</c:v>
                </c:pt>
                <c:pt idx="61" formatCode="0.00E+00">
                  <c:v>1.2356762664776318E-3</c:v>
                </c:pt>
                <c:pt idx="62" formatCode="0.00E+00">
                  <c:v>1.2358724753046924E-3</c:v>
                </c:pt>
                <c:pt idx="63" formatCode="0.00E+00">
                  <c:v>1.2358611373949426E-3</c:v>
                </c:pt>
                <c:pt idx="64" formatCode="0.00E+00">
                  <c:v>1.236194345964814E-3</c:v>
                </c:pt>
                <c:pt idx="65" formatCode="0.00E+00">
                  <c:v>1.2367163622262144E-3</c:v>
                </c:pt>
                <c:pt idx="66" formatCode="0.00E+00">
                  <c:v>1.2373051461783645E-3</c:v>
                </c:pt>
                <c:pt idx="67" formatCode="0.00E+00">
                  <c:v>1.2379718782600448E-3</c:v>
                </c:pt>
              </c:numCache>
            </c:numRef>
          </c:val>
          <c:smooth val="0"/>
          <c:extLst>
            <c:ext xmlns:c16="http://schemas.microsoft.com/office/drawing/2014/chart" uri="{C3380CC4-5D6E-409C-BE32-E72D297353CC}">
              <c16:uniqueId val="{00000000-5F25-4EBA-BDE8-170EF0E8E35F}"/>
            </c:ext>
          </c:extLst>
        </c:ser>
        <c:dLbls>
          <c:showLegendKey val="0"/>
          <c:showVal val="0"/>
          <c:showCatName val="0"/>
          <c:showSerName val="0"/>
          <c:showPercent val="0"/>
          <c:showBubbleSize val="0"/>
        </c:dLbls>
        <c:smooth val="0"/>
        <c:axId val="134714112"/>
        <c:axId val="134715648"/>
      </c:lineChart>
      <c:catAx>
        <c:axId val="134714112"/>
        <c:scaling>
          <c:orientation val="minMax"/>
        </c:scaling>
        <c:delete val="0"/>
        <c:axPos val="b"/>
        <c:numFmt formatCode="General" sourceLinked="1"/>
        <c:majorTickMark val="out"/>
        <c:minorTickMark val="none"/>
        <c:tickLblPos val="nextTo"/>
        <c:crossAx val="134715648"/>
        <c:crosses val="autoZero"/>
        <c:auto val="1"/>
        <c:lblAlgn val="ctr"/>
        <c:lblOffset val="100"/>
        <c:noMultiLvlLbl val="0"/>
      </c:catAx>
      <c:valAx>
        <c:axId val="134715648"/>
        <c:scaling>
          <c:orientation val="minMax"/>
        </c:scaling>
        <c:delete val="0"/>
        <c:axPos val="l"/>
        <c:majorGridlines/>
        <c:numFmt formatCode="General" sourceLinked="1"/>
        <c:majorTickMark val="out"/>
        <c:minorTickMark val="none"/>
        <c:tickLblPos val="nextTo"/>
        <c:crossAx val="134714112"/>
        <c:crossesAt val="35"/>
        <c:crossBetween val="between"/>
      </c:valAx>
    </c:plotArea>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Extrapolations!$A$5:$B$5</c:f>
              <c:strCache>
                <c:ptCount val="2"/>
                <c:pt idx="0">
                  <c:v>HDVs</c:v>
                </c:pt>
                <c:pt idx="1">
                  <c:v>frgt</c:v>
                </c:pt>
              </c:strCache>
            </c:strRef>
          </c:tx>
          <c:marker>
            <c:symbol val="none"/>
          </c:marker>
          <c:cat>
            <c:numRef>
              <c:f>Extrapolations!$C$1:$BR$1</c:f>
              <c:numCache>
                <c:formatCode>General</c:formatCode>
                <c:ptCount val="68"/>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pt idx="34">
                  <c:v>2017</c:v>
                </c:pt>
                <c:pt idx="35">
                  <c:v>2018</c:v>
                </c:pt>
                <c:pt idx="36">
                  <c:v>2019</c:v>
                </c:pt>
                <c:pt idx="37">
                  <c:v>2020</c:v>
                </c:pt>
                <c:pt idx="38">
                  <c:v>2021</c:v>
                </c:pt>
                <c:pt idx="39">
                  <c:v>2022</c:v>
                </c:pt>
                <c:pt idx="40">
                  <c:v>2023</c:v>
                </c:pt>
                <c:pt idx="41">
                  <c:v>2024</c:v>
                </c:pt>
                <c:pt idx="42">
                  <c:v>2025</c:v>
                </c:pt>
                <c:pt idx="43">
                  <c:v>2026</c:v>
                </c:pt>
                <c:pt idx="44">
                  <c:v>2027</c:v>
                </c:pt>
                <c:pt idx="45">
                  <c:v>2028</c:v>
                </c:pt>
                <c:pt idx="46">
                  <c:v>2029</c:v>
                </c:pt>
                <c:pt idx="47">
                  <c:v>2030</c:v>
                </c:pt>
                <c:pt idx="48">
                  <c:v>2031</c:v>
                </c:pt>
                <c:pt idx="49">
                  <c:v>2032</c:v>
                </c:pt>
                <c:pt idx="50">
                  <c:v>2033</c:v>
                </c:pt>
                <c:pt idx="51">
                  <c:v>2034</c:v>
                </c:pt>
                <c:pt idx="52">
                  <c:v>2035</c:v>
                </c:pt>
                <c:pt idx="53">
                  <c:v>2036</c:v>
                </c:pt>
                <c:pt idx="54">
                  <c:v>2037</c:v>
                </c:pt>
                <c:pt idx="55">
                  <c:v>2038</c:v>
                </c:pt>
                <c:pt idx="56">
                  <c:v>2039</c:v>
                </c:pt>
                <c:pt idx="57">
                  <c:v>2040</c:v>
                </c:pt>
                <c:pt idx="58">
                  <c:v>2041</c:v>
                </c:pt>
                <c:pt idx="59">
                  <c:v>2042</c:v>
                </c:pt>
                <c:pt idx="60">
                  <c:v>2043</c:v>
                </c:pt>
                <c:pt idx="61">
                  <c:v>2044</c:v>
                </c:pt>
                <c:pt idx="62">
                  <c:v>2045</c:v>
                </c:pt>
                <c:pt idx="63">
                  <c:v>2046</c:v>
                </c:pt>
                <c:pt idx="64">
                  <c:v>2047</c:v>
                </c:pt>
                <c:pt idx="65">
                  <c:v>2048</c:v>
                </c:pt>
                <c:pt idx="66">
                  <c:v>2049</c:v>
                </c:pt>
                <c:pt idx="67">
                  <c:v>2050</c:v>
                </c:pt>
              </c:numCache>
            </c:numRef>
          </c:cat>
          <c:val>
            <c:numRef>
              <c:f>Extrapolations!$C$5:$BT$5</c:f>
              <c:numCache>
                <c:formatCode>General</c:formatCode>
                <c:ptCount val="70"/>
                <c:pt idx="9" formatCode="0.00E+00">
                  <c:v>7.8040477200267344E-4</c:v>
                </c:pt>
                <c:pt idx="10" formatCode="0.00E+00">
                  <c:v>7.8040477200267344E-4</c:v>
                </c:pt>
                <c:pt idx="11" formatCode="0.00E+00">
                  <c:v>7.8040477200267344E-4</c:v>
                </c:pt>
                <c:pt idx="12" formatCode="0.00E+00">
                  <c:v>7.8040477200267344E-4</c:v>
                </c:pt>
                <c:pt idx="13" formatCode="0.00E+00">
                  <c:v>7.8040477200267344E-4</c:v>
                </c:pt>
                <c:pt idx="14" formatCode="0.00E+00">
                  <c:v>7.8040477200267344E-4</c:v>
                </c:pt>
                <c:pt idx="15" formatCode="0.00E+00">
                  <c:v>7.8040477200267344E-4</c:v>
                </c:pt>
                <c:pt idx="16" formatCode="0.00E+00">
                  <c:v>7.8040477200267344E-4</c:v>
                </c:pt>
                <c:pt idx="17" formatCode="0.00E+00">
                  <c:v>7.8040477200267344E-4</c:v>
                </c:pt>
                <c:pt idx="18" formatCode="0.00E+00">
                  <c:v>7.8040477200267344E-4</c:v>
                </c:pt>
                <c:pt idx="19" formatCode="0.00E+00">
                  <c:v>7.8040477200267344E-4</c:v>
                </c:pt>
                <c:pt idx="20" formatCode="0.00E+00">
                  <c:v>7.777140437446856E-4</c:v>
                </c:pt>
                <c:pt idx="21" formatCode="0.00E+00">
                  <c:v>7.7502331548669776E-4</c:v>
                </c:pt>
                <c:pt idx="22" formatCode="0.00E+00">
                  <c:v>7.7233258722870992E-4</c:v>
                </c:pt>
                <c:pt idx="23" formatCode="0.00E+00">
                  <c:v>7.6964185897072208E-4</c:v>
                </c:pt>
                <c:pt idx="24" formatCode="0.00E+00">
                  <c:v>7.6695113071273424E-4</c:v>
                </c:pt>
                <c:pt idx="25" formatCode="0.00E+00">
                  <c:v>7.642604024547464E-4</c:v>
                </c:pt>
                <c:pt idx="26" formatCode="0.00E+00">
                  <c:v>7.6156967419675856E-4</c:v>
                </c:pt>
                <c:pt idx="27" formatCode="0.00E+00">
                  <c:v>7.5887894593877072E-4</c:v>
                </c:pt>
                <c:pt idx="28" formatCode="0.00E+00">
                  <c:v>7.5618821768078288E-4</c:v>
                </c:pt>
                <c:pt idx="29" formatCode="0.00E+00">
                  <c:v>7.5349748942279504E-4</c:v>
                </c:pt>
                <c:pt idx="30" formatCode="0.00E+00">
                  <c:v>7.508067611648072E-4</c:v>
                </c:pt>
                <c:pt idx="31" formatCode="0.00E+00">
                  <c:v>7.4811603290681936E-4</c:v>
                </c:pt>
                <c:pt idx="32" formatCode="0.00E+00">
                  <c:v>7.4542530464883152E-4</c:v>
                </c:pt>
                <c:pt idx="33" formatCode="0.00E+00">
                  <c:v>7.4273457639084369E-4</c:v>
                </c:pt>
                <c:pt idx="34" formatCode="0.00E+00">
                  <c:v>7.4004384813285585E-4</c:v>
                </c:pt>
                <c:pt idx="35" formatCode="0.00E+00">
                  <c:v>7.3735311987486801E-4</c:v>
                </c:pt>
                <c:pt idx="36" formatCode="0.00E+00">
                  <c:v>7.3466239161688017E-4</c:v>
                </c:pt>
                <c:pt idx="37" formatCode="0.00E+00">
                  <c:v>7.2928093510090471E-4</c:v>
                </c:pt>
                <c:pt idx="38" formatCode="0.00E+00">
                  <c:v>7.3924874245474208E-4</c:v>
                </c:pt>
                <c:pt idx="39" formatCode="0.00E+00">
                  <c:v>7.508610678592162E-4</c:v>
                </c:pt>
                <c:pt idx="40" formatCode="0.00E+00">
                  <c:v>7.6519937715357957E-4</c:v>
                </c:pt>
                <c:pt idx="41" formatCode="0.00E+00">
                  <c:v>7.8295096466416878E-4</c:v>
                </c:pt>
                <c:pt idx="42" formatCode="0.00E+00">
                  <c:v>8.0345860591986078E-4</c:v>
                </c:pt>
                <c:pt idx="43" formatCode="0.00E+00">
                  <c:v>8.2561600996837806E-4</c:v>
                </c:pt>
                <c:pt idx="44" formatCode="0.00E+00">
                  <c:v>8.4851560331147032E-4</c:v>
                </c:pt>
                <c:pt idx="45" formatCode="0.00E+00">
                  <c:v>8.6018189128557194E-4</c:v>
                </c:pt>
                <c:pt idx="46" formatCode="0.00E+00">
                  <c:v>8.7723592808510082E-4</c:v>
                </c:pt>
                <c:pt idx="47" formatCode="0.00E+00">
                  <c:v>8.9169638159754131E-4</c:v>
                </c:pt>
                <c:pt idx="48" formatCode="0.00E+00">
                  <c:v>9.0454250346438524E-4</c:v>
                </c:pt>
                <c:pt idx="49" formatCode="0.00E+00">
                  <c:v>9.1217068960288046E-4</c:v>
                </c:pt>
                <c:pt idx="50" formatCode="0.00E+00">
                  <c:v>9.1311893899054719E-4</c:v>
                </c:pt>
                <c:pt idx="51" formatCode="0.00E+00">
                  <c:v>9.1384317961185513E-4</c:v>
                </c:pt>
                <c:pt idx="52" formatCode="0.00E+00">
                  <c:v>9.1391940319832696E-4</c:v>
                </c:pt>
                <c:pt idx="53" formatCode="0.00E+00">
                  <c:v>9.1428536965325259E-4</c:v>
                </c:pt>
                <c:pt idx="54" formatCode="0.00E+00">
                  <c:v>9.1458781645278495E-4</c:v>
                </c:pt>
                <c:pt idx="55" formatCode="0.00E+00">
                  <c:v>9.1466602138630556E-4</c:v>
                </c:pt>
                <c:pt idx="56" formatCode="0.00E+00">
                  <c:v>9.1455809624705047E-4</c:v>
                </c:pt>
                <c:pt idx="57" formatCode="0.00E+00">
                  <c:v>9.145521522059036E-4</c:v>
                </c:pt>
                <c:pt idx="58" formatCode="0.00E+00">
                  <c:v>9.1455844589652965E-4</c:v>
                </c:pt>
                <c:pt idx="59" formatCode="0.00E+00">
                  <c:v>9.1456613818507277E-4</c:v>
                </c:pt>
                <c:pt idx="60" formatCode="0.00E+00">
                  <c:v>9.1451135976666027E-4</c:v>
                </c:pt>
                <c:pt idx="61" formatCode="0.00E+00">
                  <c:v>9.1456765333281604E-4</c:v>
                </c:pt>
                <c:pt idx="62" formatCode="0.00E+00">
                  <c:v>9.1471287441652219E-4</c:v>
                </c:pt>
                <c:pt idx="63" formatCode="0.00E+00">
                  <c:v>9.147044828290207E-4</c:v>
                </c:pt>
                <c:pt idx="64" formatCode="0.00E+00">
                  <c:v>9.1495110226170301E-4</c:v>
                </c:pt>
                <c:pt idx="65" formatCode="0.00E+00">
                  <c:v>9.153374649362501E-4</c:v>
                </c:pt>
                <c:pt idx="66" formatCode="0.00E+00">
                  <c:v>9.1577324473719485E-4</c:v>
                </c:pt>
                <c:pt idx="67" formatCode="0.00E+00">
                  <c:v>9.1626671670221223E-4</c:v>
                </c:pt>
              </c:numCache>
            </c:numRef>
          </c:val>
          <c:smooth val="0"/>
          <c:extLst>
            <c:ext xmlns:c16="http://schemas.microsoft.com/office/drawing/2014/chart" uri="{C3380CC4-5D6E-409C-BE32-E72D297353CC}">
              <c16:uniqueId val="{00000000-799E-47F4-8644-3A040F3A9B27}"/>
            </c:ext>
          </c:extLst>
        </c:ser>
        <c:dLbls>
          <c:showLegendKey val="0"/>
          <c:showVal val="0"/>
          <c:showCatName val="0"/>
          <c:showSerName val="0"/>
          <c:showPercent val="0"/>
          <c:showBubbleSize val="0"/>
        </c:dLbls>
        <c:smooth val="0"/>
        <c:axId val="134732032"/>
        <c:axId val="134807552"/>
      </c:lineChart>
      <c:catAx>
        <c:axId val="134732032"/>
        <c:scaling>
          <c:orientation val="minMax"/>
        </c:scaling>
        <c:delete val="0"/>
        <c:axPos val="b"/>
        <c:numFmt formatCode="General" sourceLinked="1"/>
        <c:majorTickMark val="out"/>
        <c:minorTickMark val="none"/>
        <c:tickLblPos val="nextTo"/>
        <c:crossAx val="134807552"/>
        <c:crosses val="autoZero"/>
        <c:auto val="1"/>
        <c:lblAlgn val="ctr"/>
        <c:lblOffset val="100"/>
        <c:noMultiLvlLbl val="0"/>
      </c:catAx>
      <c:valAx>
        <c:axId val="134807552"/>
        <c:scaling>
          <c:orientation val="minMax"/>
        </c:scaling>
        <c:delete val="0"/>
        <c:axPos val="l"/>
        <c:majorGridlines/>
        <c:numFmt formatCode="General" sourceLinked="1"/>
        <c:majorTickMark val="out"/>
        <c:minorTickMark val="none"/>
        <c:tickLblPos val="nextTo"/>
        <c:crossAx val="134732032"/>
        <c:crossesAt val="35"/>
        <c:crossBetween val="between"/>
      </c:valAx>
    </c:plotArea>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Extrapolations!$A$6:$B$6</c:f>
              <c:strCache>
                <c:ptCount val="2"/>
                <c:pt idx="0">
                  <c:v>aircraft</c:v>
                </c:pt>
                <c:pt idx="1">
                  <c:v>psgr</c:v>
                </c:pt>
              </c:strCache>
            </c:strRef>
          </c:tx>
          <c:marker>
            <c:symbol val="none"/>
          </c:marker>
          <c:cat>
            <c:numRef>
              <c:f>Extrapolations!$C$1:$BR$1</c:f>
              <c:numCache>
                <c:formatCode>General</c:formatCode>
                <c:ptCount val="68"/>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pt idx="34">
                  <c:v>2017</c:v>
                </c:pt>
                <c:pt idx="35">
                  <c:v>2018</c:v>
                </c:pt>
                <c:pt idx="36">
                  <c:v>2019</c:v>
                </c:pt>
                <c:pt idx="37">
                  <c:v>2020</c:v>
                </c:pt>
                <c:pt idx="38">
                  <c:v>2021</c:v>
                </c:pt>
                <c:pt idx="39">
                  <c:v>2022</c:v>
                </c:pt>
                <c:pt idx="40">
                  <c:v>2023</c:v>
                </c:pt>
                <c:pt idx="41">
                  <c:v>2024</c:v>
                </c:pt>
                <c:pt idx="42">
                  <c:v>2025</c:v>
                </c:pt>
                <c:pt idx="43">
                  <c:v>2026</c:v>
                </c:pt>
                <c:pt idx="44">
                  <c:v>2027</c:v>
                </c:pt>
                <c:pt idx="45">
                  <c:v>2028</c:v>
                </c:pt>
                <c:pt idx="46">
                  <c:v>2029</c:v>
                </c:pt>
                <c:pt idx="47">
                  <c:v>2030</c:v>
                </c:pt>
                <c:pt idx="48">
                  <c:v>2031</c:v>
                </c:pt>
                <c:pt idx="49">
                  <c:v>2032</c:v>
                </c:pt>
                <c:pt idx="50">
                  <c:v>2033</c:v>
                </c:pt>
                <c:pt idx="51">
                  <c:v>2034</c:v>
                </c:pt>
                <c:pt idx="52">
                  <c:v>2035</c:v>
                </c:pt>
                <c:pt idx="53">
                  <c:v>2036</c:v>
                </c:pt>
                <c:pt idx="54">
                  <c:v>2037</c:v>
                </c:pt>
                <c:pt idx="55">
                  <c:v>2038</c:v>
                </c:pt>
                <c:pt idx="56">
                  <c:v>2039</c:v>
                </c:pt>
                <c:pt idx="57">
                  <c:v>2040</c:v>
                </c:pt>
                <c:pt idx="58">
                  <c:v>2041</c:v>
                </c:pt>
                <c:pt idx="59">
                  <c:v>2042</c:v>
                </c:pt>
                <c:pt idx="60">
                  <c:v>2043</c:v>
                </c:pt>
                <c:pt idx="61">
                  <c:v>2044</c:v>
                </c:pt>
                <c:pt idx="62">
                  <c:v>2045</c:v>
                </c:pt>
                <c:pt idx="63">
                  <c:v>2046</c:v>
                </c:pt>
                <c:pt idx="64">
                  <c:v>2047</c:v>
                </c:pt>
                <c:pt idx="65">
                  <c:v>2048</c:v>
                </c:pt>
                <c:pt idx="66">
                  <c:v>2049</c:v>
                </c:pt>
                <c:pt idx="67">
                  <c:v>2050</c:v>
                </c:pt>
              </c:numCache>
            </c:numRef>
          </c:cat>
          <c:val>
            <c:numRef>
              <c:f>Extrapolations!$C$6:$BT$6</c:f>
              <c:numCache>
                <c:formatCode>General</c:formatCode>
                <c:ptCount val="70"/>
                <c:pt idx="13" formatCode="0.00E+00">
                  <c:v>3.7813606358617479E-4</c:v>
                </c:pt>
                <c:pt idx="14" formatCode="0.00E+00">
                  <c:v>3.8189121028656993E-4</c:v>
                </c:pt>
                <c:pt idx="15" formatCode="0.00E+00">
                  <c:v>3.8564635698696507E-4</c:v>
                </c:pt>
                <c:pt idx="16" formatCode="0.00E+00">
                  <c:v>3.8940150368736021E-4</c:v>
                </c:pt>
                <c:pt idx="17" formatCode="0.00E+00">
                  <c:v>3.9315665038775535E-4</c:v>
                </c:pt>
                <c:pt idx="18" formatCode="0.00E+00">
                  <c:v>3.9691179708815135E-4</c:v>
                </c:pt>
                <c:pt idx="19" formatCode="0.00E+00">
                  <c:v>4.0066694378854649E-4</c:v>
                </c:pt>
                <c:pt idx="20" formatCode="0.00E+00">
                  <c:v>4.0442209048894163E-4</c:v>
                </c:pt>
                <c:pt idx="21" formatCode="0.00E+00">
                  <c:v>4.0817723718933677E-4</c:v>
                </c:pt>
                <c:pt idx="22" formatCode="0.00E+00">
                  <c:v>4.1193238388973191E-4</c:v>
                </c:pt>
                <c:pt idx="23" formatCode="0.00E+00">
                  <c:v>4.1568753059012791E-4</c:v>
                </c:pt>
                <c:pt idx="24" formatCode="0.00E+00">
                  <c:v>4.1944267729052305E-4</c:v>
                </c:pt>
                <c:pt idx="25" formatCode="0.00E+00">
                  <c:v>4.2319782399091819E-4</c:v>
                </c:pt>
                <c:pt idx="26" formatCode="0.00E+00">
                  <c:v>4.2695297069131333E-4</c:v>
                </c:pt>
                <c:pt idx="27" formatCode="0.00E+00">
                  <c:v>4.3070811739170847E-4</c:v>
                </c:pt>
                <c:pt idx="28" formatCode="0.00E+00">
                  <c:v>4.344632640921036E-4</c:v>
                </c:pt>
                <c:pt idx="29" formatCode="0.00E+00">
                  <c:v>4.3821841079249961E-4</c:v>
                </c:pt>
                <c:pt idx="30" formatCode="0.00E+00">
                  <c:v>4.4197355749289475E-4</c:v>
                </c:pt>
                <c:pt idx="31" formatCode="0.00E+00">
                  <c:v>4.4572870419328989E-4</c:v>
                </c:pt>
                <c:pt idx="32" formatCode="0.00E+00">
                  <c:v>4.4948385089368503E-4</c:v>
                </c:pt>
                <c:pt idx="33" formatCode="0.00E+00">
                  <c:v>4.5323899759408016E-4</c:v>
                </c:pt>
                <c:pt idx="34" formatCode="0.00E+00">
                  <c:v>4.569941442944753E-4</c:v>
                </c:pt>
                <c:pt idx="35" formatCode="0.00E+00">
                  <c:v>4.6074929099487131E-4</c:v>
                </c:pt>
                <c:pt idx="36" formatCode="0.00E+00">
                  <c:v>4.6450443769526645E-4</c:v>
                </c:pt>
                <c:pt idx="37" formatCode="0.00E+00">
                  <c:v>4.6616941125958422E-4</c:v>
                </c:pt>
                <c:pt idx="38" formatCode="0.00E+00">
                  <c:v>4.7399299019600609E-4</c:v>
                </c:pt>
                <c:pt idx="39" formatCode="0.00E+00">
                  <c:v>4.7625318028902199E-4</c:v>
                </c:pt>
                <c:pt idx="40" formatCode="0.00E+00">
                  <c:v>4.7962763511951036E-4</c:v>
                </c:pt>
                <c:pt idx="41" formatCode="0.00E+00">
                  <c:v>4.8472425299335046E-4</c:v>
                </c:pt>
                <c:pt idx="42" formatCode="0.00E+00">
                  <c:v>4.8856488811023198E-4</c:v>
                </c:pt>
                <c:pt idx="43" formatCode="0.00E+00">
                  <c:v>4.9188761878420821E-4</c:v>
                </c:pt>
                <c:pt idx="44" formatCode="0.00E+00">
                  <c:v>4.9507465640706257E-4</c:v>
                </c:pt>
                <c:pt idx="45" formatCode="0.00E+00">
                  <c:v>4.9827927013588579E-4</c:v>
                </c:pt>
                <c:pt idx="46" formatCode="0.00E+00">
                  <c:v>5.0141938782536798E-4</c:v>
                </c:pt>
                <c:pt idx="47" formatCode="0.00E+00">
                  <c:v>5.0473115148176617E-4</c:v>
                </c:pt>
                <c:pt idx="48" formatCode="0.00E+00">
                  <c:v>5.0816899974300608E-4</c:v>
                </c:pt>
                <c:pt idx="49" formatCode="0.00E+00">
                  <c:v>5.1181801067543291E-4</c:v>
                </c:pt>
                <c:pt idx="50" formatCode="0.00E+00">
                  <c:v>5.1566570773780435E-4</c:v>
                </c:pt>
                <c:pt idx="51" formatCode="0.00E+00">
                  <c:v>5.1961420160206843E-4</c:v>
                </c:pt>
                <c:pt idx="52" formatCode="0.00E+00">
                  <c:v>5.2372057195217224E-4</c:v>
                </c:pt>
                <c:pt idx="53" formatCode="0.00E+00">
                  <c:v>5.2782108797571725E-4</c:v>
                </c:pt>
                <c:pt idx="54" formatCode="0.00E+00">
                  <c:v>5.3191930033488766E-4</c:v>
                </c:pt>
                <c:pt idx="55" formatCode="0.00E+00">
                  <c:v>5.3596468592895642E-4</c:v>
                </c:pt>
                <c:pt idx="56" formatCode="0.00E+00">
                  <c:v>5.3988919149325191E-4</c:v>
                </c:pt>
                <c:pt idx="57" formatCode="0.00E+00">
                  <c:v>5.4375065803669985E-4</c:v>
                </c:pt>
                <c:pt idx="58" formatCode="0.00E+00">
                  <c:v>5.4758253135318239E-4</c:v>
                </c:pt>
                <c:pt idx="59" formatCode="0.00E+00">
                  <c:v>5.5141485752676429E-4</c:v>
                </c:pt>
                <c:pt idx="60" formatCode="0.00E+00">
                  <c:v>5.5528893843752823E-4</c:v>
                </c:pt>
                <c:pt idx="61" formatCode="0.00E+00">
                  <c:v>5.5903874617184749E-4</c:v>
                </c:pt>
                <c:pt idx="62" formatCode="0.00E+00">
                  <c:v>5.6267984194975651E-4</c:v>
                </c:pt>
                <c:pt idx="63" formatCode="0.00E+00">
                  <c:v>5.6625804309603806E-4</c:v>
                </c:pt>
                <c:pt idx="64" formatCode="0.00E+00">
                  <c:v>5.6976670114342325E-4</c:v>
                </c:pt>
                <c:pt idx="65" formatCode="0.00E+00">
                  <c:v>5.7342146795521316E-4</c:v>
                </c:pt>
                <c:pt idx="66" formatCode="0.00E+00">
                  <c:v>5.770408790975283E-4</c:v>
                </c:pt>
                <c:pt idx="67" formatCode="0.00E+00">
                  <c:v>5.8064146713606509E-4</c:v>
                </c:pt>
              </c:numCache>
            </c:numRef>
          </c:val>
          <c:smooth val="0"/>
          <c:extLst>
            <c:ext xmlns:c16="http://schemas.microsoft.com/office/drawing/2014/chart" uri="{C3380CC4-5D6E-409C-BE32-E72D297353CC}">
              <c16:uniqueId val="{00000000-F6B2-4B86-967E-8CB150C67796}"/>
            </c:ext>
          </c:extLst>
        </c:ser>
        <c:dLbls>
          <c:showLegendKey val="0"/>
          <c:showVal val="0"/>
          <c:showCatName val="0"/>
          <c:showSerName val="0"/>
          <c:showPercent val="0"/>
          <c:showBubbleSize val="0"/>
        </c:dLbls>
        <c:smooth val="0"/>
        <c:axId val="134829568"/>
        <c:axId val="134831104"/>
      </c:lineChart>
      <c:catAx>
        <c:axId val="134829568"/>
        <c:scaling>
          <c:orientation val="minMax"/>
        </c:scaling>
        <c:delete val="0"/>
        <c:axPos val="b"/>
        <c:numFmt formatCode="General" sourceLinked="1"/>
        <c:majorTickMark val="out"/>
        <c:minorTickMark val="none"/>
        <c:tickLblPos val="nextTo"/>
        <c:crossAx val="134831104"/>
        <c:crosses val="autoZero"/>
        <c:auto val="1"/>
        <c:lblAlgn val="ctr"/>
        <c:lblOffset val="100"/>
        <c:noMultiLvlLbl val="0"/>
      </c:catAx>
      <c:valAx>
        <c:axId val="134831104"/>
        <c:scaling>
          <c:orientation val="minMax"/>
        </c:scaling>
        <c:delete val="0"/>
        <c:axPos val="l"/>
        <c:majorGridlines/>
        <c:numFmt formatCode="General" sourceLinked="1"/>
        <c:majorTickMark val="out"/>
        <c:minorTickMark val="none"/>
        <c:tickLblPos val="nextTo"/>
        <c:crossAx val="134829568"/>
        <c:crossesAt val="35"/>
        <c:crossBetween val="between"/>
      </c:valAx>
    </c:plotArea>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Extrapolations!$A$7:$B$7</c:f>
              <c:strCache>
                <c:ptCount val="2"/>
                <c:pt idx="0">
                  <c:v>aircraft</c:v>
                </c:pt>
                <c:pt idx="1">
                  <c:v>frgt</c:v>
                </c:pt>
              </c:strCache>
            </c:strRef>
          </c:tx>
          <c:marker>
            <c:symbol val="none"/>
          </c:marker>
          <c:cat>
            <c:numRef>
              <c:f>Extrapolations!$C$1:$BR$1</c:f>
              <c:numCache>
                <c:formatCode>General</c:formatCode>
                <c:ptCount val="68"/>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pt idx="34">
                  <c:v>2017</c:v>
                </c:pt>
                <c:pt idx="35">
                  <c:v>2018</c:v>
                </c:pt>
                <c:pt idx="36">
                  <c:v>2019</c:v>
                </c:pt>
                <c:pt idx="37">
                  <c:v>2020</c:v>
                </c:pt>
                <c:pt idx="38">
                  <c:v>2021</c:v>
                </c:pt>
                <c:pt idx="39">
                  <c:v>2022</c:v>
                </c:pt>
                <c:pt idx="40">
                  <c:v>2023</c:v>
                </c:pt>
                <c:pt idx="41">
                  <c:v>2024</c:v>
                </c:pt>
                <c:pt idx="42">
                  <c:v>2025</c:v>
                </c:pt>
                <c:pt idx="43">
                  <c:v>2026</c:v>
                </c:pt>
                <c:pt idx="44">
                  <c:v>2027</c:v>
                </c:pt>
                <c:pt idx="45">
                  <c:v>2028</c:v>
                </c:pt>
                <c:pt idx="46">
                  <c:v>2029</c:v>
                </c:pt>
                <c:pt idx="47">
                  <c:v>2030</c:v>
                </c:pt>
                <c:pt idx="48">
                  <c:v>2031</c:v>
                </c:pt>
                <c:pt idx="49">
                  <c:v>2032</c:v>
                </c:pt>
                <c:pt idx="50">
                  <c:v>2033</c:v>
                </c:pt>
                <c:pt idx="51">
                  <c:v>2034</c:v>
                </c:pt>
                <c:pt idx="52">
                  <c:v>2035</c:v>
                </c:pt>
                <c:pt idx="53">
                  <c:v>2036</c:v>
                </c:pt>
                <c:pt idx="54">
                  <c:v>2037</c:v>
                </c:pt>
                <c:pt idx="55">
                  <c:v>2038</c:v>
                </c:pt>
                <c:pt idx="56">
                  <c:v>2039</c:v>
                </c:pt>
                <c:pt idx="57">
                  <c:v>2040</c:v>
                </c:pt>
                <c:pt idx="58">
                  <c:v>2041</c:v>
                </c:pt>
                <c:pt idx="59">
                  <c:v>2042</c:v>
                </c:pt>
                <c:pt idx="60">
                  <c:v>2043</c:v>
                </c:pt>
                <c:pt idx="61">
                  <c:v>2044</c:v>
                </c:pt>
                <c:pt idx="62">
                  <c:v>2045</c:v>
                </c:pt>
                <c:pt idx="63">
                  <c:v>2046</c:v>
                </c:pt>
                <c:pt idx="64">
                  <c:v>2047</c:v>
                </c:pt>
                <c:pt idx="65">
                  <c:v>2048</c:v>
                </c:pt>
                <c:pt idx="66">
                  <c:v>2049</c:v>
                </c:pt>
                <c:pt idx="67">
                  <c:v>2050</c:v>
                </c:pt>
              </c:numCache>
            </c:numRef>
          </c:cat>
          <c:val>
            <c:numRef>
              <c:f>Extrapolations!$C$7:$BT$7</c:f>
              <c:numCache>
                <c:formatCode>General</c:formatCode>
                <c:ptCount val="70"/>
                <c:pt idx="13" formatCode="0.00E+00">
                  <c:v>9.258175624649735E-5</c:v>
                </c:pt>
                <c:pt idx="14" formatCode="0.00E+00">
                  <c:v>9.3548597825973844E-5</c:v>
                </c:pt>
                <c:pt idx="15" formatCode="0.00E+00">
                  <c:v>9.4515439405450121E-5</c:v>
                </c:pt>
                <c:pt idx="16" formatCode="0.00E+00">
                  <c:v>9.5482280984926615E-5</c:v>
                </c:pt>
                <c:pt idx="17" formatCode="0.00E+00">
                  <c:v>9.6449122564402893E-5</c:v>
                </c:pt>
                <c:pt idx="18" formatCode="0.00E+00">
                  <c:v>9.7415964143879387E-5</c:v>
                </c:pt>
                <c:pt idx="19" formatCode="0.00E+00">
                  <c:v>9.8382805723355664E-5</c:v>
                </c:pt>
                <c:pt idx="20" formatCode="0.00E+00">
                  <c:v>9.9349647302832158E-5</c:v>
                </c:pt>
                <c:pt idx="21" formatCode="0.00E+00">
                  <c:v>1.0031648888230865E-4</c:v>
                </c:pt>
                <c:pt idx="22" formatCode="0.00E+00">
                  <c:v>1.0128333046178493E-4</c:v>
                </c:pt>
                <c:pt idx="23" formatCode="0.00E+00">
                  <c:v>1.0225017204126142E-4</c:v>
                </c:pt>
                <c:pt idx="24" formatCode="0.00E+00">
                  <c:v>1.032170136207377E-4</c:v>
                </c:pt>
                <c:pt idx="25" formatCode="0.00E+00">
                  <c:v>1.0418385520021419E-4</c:v>
                </c:pt>
                <c:pt idx="26" formatCode="0.00E+00">
                  <c:v>1.0515069677969047E-4</c:v>
                </c:pt>
                <c:pt idx="27" formatCode="0.00E+00">
                  <c:v>1.0611753835916697E-4</c:v>
                </c:pt>
                <c:pt idx="28" formatCode="0.00E+00">
                  <c:v>1.0708437993864324E-4</c:v>
                </c:pt>
                <c:pt idx="29" formatCode="0.00E+00">
                  <c:v>1.0805122151811974E-4</c:v>
                </c:pt>
                <c:pt idx="30" formatCode="0.00E+00">
                  <c:v>1.0901806309759623E-4</c:v>
                </c:pt>
                <c:pt idx="31" formatCode="0.00E+00">
                  <c:v>1.0998490467707251E-4</c:v>
                </c:pt>
                <c:pt idx="32" formatCode="0.00E+00">
                  <c:v>1.10951746256549E-4</c:v>
                </c:pt>
                <c:pt idx="33" formatCode="0.00E+00">
                  <c:v>1.1191858783602528E-4</c:v>
                </c:pt>
                <c:pt idx="34" formatCode="0.00E+00">
                  <c:v>1.1288542941550177E-4</c:v>
                </c:pt>
                <c:pt idx="35" formatCode="0.00E+00">
                  <c:v>1.1385227099497805E-4</c:v>
                </c:pt>
                <c:pt idx="36" formatCode="0.00E+00">
                  <c:v>1.1481911257445455E-4</c:v>
                </c:pt>
                <c:pt idx="37" formatCode="0.00E+00">
                  <c:v>1.2002512973417359E-4</c:v>
                </c:pt>
                <c:pt idx="38" formatCode="0.00E+00">
                  <c:v>1.2203947485023846E-4</c:v>
                </c:pt>
                <c:pt idx="39" formatCode="0.00E+00">
                  <c:v>1.2262140837608938E-4</c:v>
                </c:pt>
                <c:pt idx="40" formatCode="0.00E+00">
                  <c:v>1.2349023281851067E-4</c:v>
                </c:pt>
                <c:pt idx="41" formatCode="0.00E+00">
                  <c:v>1.2480246439513921E-4</c:v>
                </c:pt>
                <c:pt idx="42" formatCode="0.00E+00">
                  <c:v>1.2579131676732679E-4</c:v>
                </c:pt>
                <c:pt idx="43" formatCode="0.00E+00">
                  <c:v>1.2664682373664536E-4</c:v>
                </c:pt>
                <c:pt idx="44" formatCode="0.00E+00">
                  <c:v>1.2746739367304943E-4</c:v>
                </c:pt>
                <c:pt idx="45" formatCode="0.00E+00">
                  <c:v>1.282924889479853E-4</c:v>
                </c:pt>
                <c:pt idx="46" formatCode="0.00E+00">
                  <c:v>1.2910097835968289E-4</c:v>
                </c:pt>
                <c:pt idx="47" formatCode="0.00E+00">
                  <c:v>1.2995366163942465E-4</c:v>
                </c:pt>
                <c:pt idx="48" formatCode="0.00E+00">
                  <c:v>1.3083880805528838E-4</c:v>
                </c:pt>
                <c:pt idx="49" formatCode="0.00E+00">
                  <c:v>1.3177832274670185E-4</c:v>
                </c:pt>
                <c:pt idx="50" formatCode="0.00E+00">
                  <c:v>1.3276899336543915E-4</c:v>
                </c:pt>
                <c:pt idx="51" formatCode="0.00E+00">
                  <c:v>1.3378561624301569E-4</c:v>
                </c:pt>
                <c:pt idx="52" formatCode="0.00E+00">
                  <c:v>1.3484288774582846E-4</c:v>
                </c:pt>
                <c:pt idx="53" formatCode="0.00E+00">
                  <c:v>1.3589865192901079E-4</c:v>
                </c:pt>
                <c:pt idx="54" formatCode="0.00E+00">
                  <c:v>1.3695382298529812E-4</c:v>
                </c:pt>
                <c:pt idx="55" formatCode="0.00E+00">
                  <c:v>1.3799539267868687E-4</c:v>
                </c:pt>
                <c:pt idx="56" formatCode="0.00E+00">
                  <c:v>1.3900583926338301E-4</c:v>
                </c:pt>
                <c:pt idx="57" formatCode="0.00E+00">
                  <c:v>1.4000005512492829E-4</c:v>
                </c:pt>
                <c:pt idx="58" formatCode="0.00E+00">
                  <c:v>1.409866515871308E-4</c:v>
                </c:pt>
                <c:pt idx="59" formatCode="0.00E+00">
                  <c:v>1.4197336464692809E-4</c:v>
                </c:pt>
                <c:pt idx="60" formatCode="0.00E+00">
                  <c:v>1.4297082834292379E-4</c:v>
                </c:pt>
                <c:pt idx="61" formatCode="0.00E+00">
                  <c:v>1.4393629529317647E-4</c:v>
                </c:pt>
                <c:pt idx="62" formatCode="0.00E+00">
                  <c:v>1.4487377206141239E-4</c:v>
                </c:pt>
                <c:pt idx="63" formatCode="0.00E+00">
                  <c:v>1.4579505528254221E-4</c:v>
                </c:pt>
                <c:pt idx="64" formatCode="0.00E+00">
                  <c:v>1.4669843316868957E-4</c:v>
                </c:pt>
                <c:pt idx="65" formatCode="0.00E+00">
                  <c:v>1.4763942983243028E-4</c:v>
                </c:pt>
                <c:pt idx="66" formatCode="0.00E+00">
                  <c:v>1.4857132343468077E-4</c:v>
                </c:pt>
                <c:pt idx="67" formatCode="0.00E+00">
                  <c:v>1.494983706325589E-4</c:v>
                </c:pt>
              </c:numCache>
            </c:numRef>
          </c:val>
          <c:smooth val="0"/>
          <c:extLst>
            <c:ext xmlns:c16="http://schemas.microsoft.com/office/drawing/2014/chart" uri="{C3380CC4-5D6E-409C-BE32-E72D297353CC}">
              <c16:uniqueId val="{00000000-3AC6-4868-B118-F1A6BB173FC8}"/>
            </c:ext>
          </c:extLst>
        </c:ser>
        <c:dLbls>
          <c:showLegendKey val="0"/>
          <c:showVal val="0"/>
          <c:showCatName val="0"/>
          <c:showSerName val="0"/>
          <c:showPercent val="0"/>
          <c:showBubbleSize val="0"/>
        </c:dLbls>
        <c:smooth val="0"/>
        <c:axId val="134839680"/>
        <c:axId val="134845568"/>
      </c:lineChart>
      <c:catAx>
        <c:axId val="134839680"/>
        <c:scaling>
          <c:orientation val="minMax"/>
        </c:scaling>
        <c:delete val="0"/>
        <c:axPos val="b"/>
        <c:numFmt formatCode="General" sourceLinked="1"/>
        <c:majorTickMark val="out"/>
        <c:minorTickMark val="none"/>
        <c:tickLblPos val="nextTo"/>
        <c:crossAx val="134845568"/>
        <c:crosses val="autoZero"/>
        <c:auto val="1"/>
        <c:lblAlgn val="ctr"/>
        <c:lblOffset val="100"/>
        <c:noMultiLvlLbl val="0"/>
      </c:catAx>
      <c:valAx>
        <c:axId val="134845568"/>
        <c:scaling>
          <c:orientation val="minMax"/>
        </c:scaling>
        <c:delete val="0"/>
        <c:axPos val="l"/>
        <c:majorGridlines/>
        <c:numFmt formatCode="General" sourceLinked="1"/>
        <c:majorTickMark val="out"/>
        <c:minorTickMark val="none"/>
        <c:tickLblPos val="nextTo"/>
        <c:crossAx val="134839680"/>
        <c:crossesAt val="35"/>
        <c:crossBetween val="between"/>
      </c:valAx>
    </c:plotArea>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Extrapolations!$A$8:$B$8</c:f>
              <c:strCache>
                <c:ptCount val="2"/>
                <c:pt idx="0">
                  <c:v>rail</c:v>
                </c:pt>
                <c:pt idx="1">
                  <c:v>psgr - diesel</c:v>
                </c:pt>
              </c:strCache>
            </c:strRef>
          </c:tx>
          <c:marker>
            <c:symbol val="none"/>
          </c:marker>
          <c:cat>
            <c:numRef>
              <c:f>Extrapolations!$C$1:$BR$1</c:f>
              <c:numCache>
                <c:formatCode>General</c:formatCode>
                <c:ptCount val="68"/>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pt idx="34">
                  <c:v>2017</c:v>
                </c:pt>
                <c:pt idx="35">
                  <c:v>2018</c:v>
                </c:pt>
                <c:pt idx="36">
                  <c:v>2019</c:v>
                </c:pt>
                <c:pt idx="37">
                  <c:v>2020</c:v>
                </c:pt>
                <c:pt idx="38">
                  <c:v>2021</c:v>
                </c:pt>
                <c:pt idx="39">
                  <c:v>2022</c:v>
                </c:pt>
                <c:pt idx="40">
                  <c:v>2023</c:v>
                </c:pt>
                <c:pt idx="41">
                  <c:v>2024</c:v>
                </c:pt>
                <c:pt idx="42">
                  <c:v>2025</c:v>
                </c:pt>
                <c:pt idx="43">
                  <c:v>2026</c:v>
                </c:pt>
                <c:pt idx="44">
                  <c:v>2027</c:v>
                </c:pt>
                <c:pt idx="45">
                  <c:v>2028</c:v>
                </c:pt>
                <c:pt idx="46">
                  <c:v>2029</c:v>
                </c:pt>
                <c:pt idx="47">
                  <c:v>2030</c:v>
                </c:pt>
                <c:pt idx="48">
                  <c:v>2031</c:v>
                </c:pt>
                <c:pt idx="49">
                  <c:v>2032</c:v>
                </c:pt>
                <c:pt idx="50">
                  <c:v>2033</c:v>
                </c:pt>
                <c:pt idx="51">
                  <c:v>2034</c:v>
                </c:pt>
                <c:pt idx="52">
                  <c:v>2035</c:v>
                </c:pt>
                <c:pt idx="53">
                  <c:v>2036</c:v>
                </c:pt>
                <c:pt idx="54">
                  <c:v>2037</c:v>
                </c:pt>
                <c:pt idx="55">
                  <c:v>2038</c:v>
                </c:pt>
                <c:pt idx="56">
                  <c:v>2039</c:v>
                </c:pt>
                <c:pt idx="57">
                  <c:v>2040</c:v>
                </c:pt>
                <c:pt idx="58">
                  <c:v>2041</c:v>
                </c:pt>
                <c:pt idx="59">
                  <c:v>2042</c:v>
                </c:pt>
                <c:pt idx="60">
                  <c:v>2043</c:v>
                </c:pt>
                <c:pt idx="61">
                  <c:v>2044</c:v>
                </c:pt>
                <c:pt idx="62">
                  <c:v>2045</c:v>
                </c:pt>
                <c:pt idx="63">
                  <c:v>2046</c:v>
                </c:pt>
                <c:pt idx="64">
                  <c:v>2047</c:v>
                </c:pt>
                <c:pt idx="65">
                  <c:v>2048</c:v>
                </c:pt>
                <c:pt idx="66">
                  <c:v>2049</c:v>
                </c:pt>
                <c:pt idx="67">
                  <c:v>2050</c:v>
                </c:pt>
              </c:numCache>
            </c:numRef>
          </c:cat>
          <c:val>
            <c:numRef>
              <c:f>Extrapolations!$C$8:$BT$8</c:f>
              <c:numCache>
                <c:formatCode>General</c:formatCode>
                <c:ptCount val="70"/>
                <c:pt idx="3" formatCode="0.00E+00">
                  <c:v>3.952522554130269E-4</c:v>
                </c:pt>
                <c:pt idx="4" formatCode="0.00E+00">
                  <c:v>3.9505622007027588E-4</c:v>
                </c:pt>
                <c:pt idx="5" formatCode="0.00E+00">
                  <c:v>3.9486018472752486E-4</c:v>
                </c:pt>
                <c:pt idx="6" formatCode="0.00E+00">
                  <c:v>3.9466414938477384E-4</c:v>
                </c:pt>
                <c:pt idx="7" formatCode="0.00E+00">
                  <c:v>3.9446811404202282E-4</c:v>
                </c:pt>
                <c:pt idx="8" formatCode="0.00E+00">
                  <c:v>3.942720786992718E-4</c:v>
                </c:pt>
                <c:pt idx="9" formatCode="0.00E+00">
                  <c:v>3.9407604335652078E-4</c:v>
                </c:pt>
                <c:pt idx="10" formatCode="0.00E+00">
                  <c:v>3.9388000801376976E-4</c:v>
                </c:pt>
                <c:pt idx="11" formatCode="0.00E+00">
                  <c:v>3.9368397267101874E-4</c:v>
                </c:pt>
                <c:pt idx="12" formatCode="0.00E+00">
                  <c:v>3.9348793732826772E-4</c:v>
                </c:pt>
                <c:pt idx="13" formatCode="0.00E+00">
                  <c:v>3.9329190198551675E-4</c:v>
                </c:pt>
                <c:pt idx="14" formatCode="0.00E+00">
                  <c:v>3.9309586664276573E-4</c:v>
                </c:pt>
                <c:pt idx="15" formatCode="0.00E+00">
                  <c:v>3.9289983130001471E-4</c:v>
                </c:pt>
                <c:pt idx="16" formatCode="0.00E+00">
                  <c:v>3.9270379595726369E-4</c:v>
                </c:pt>
                <c:pt idx="17" formatCode="0.00E+00">
                  <c:v>3.9250776061451267E-4</c:v>
                </c:pt>
                <c:pt idx="18" formatCode="0.00E+00">
                  <c:v>3.9231172527176165E-4</c:v>
                </c:pt>
                <c:pt idx="19" formatCode="0.00E+00">
                  <c:v>3.9211568992901063E-4</c:v>
                </c:pt>
                <c:pt idx="20" formatCode="0.00E+00">
                  <c:v>3.9191965458625961E-4</c:v>
                </c:pt>
                <c:pt idx="21" formatCode="0.00E+00">
                  <c:v>3.9172361924350859E-4</c:v>
                </c:pt>
                <c:pt idx="22" formatCode="0.00E+00">
                  <c:v>3.9152758390075757E-4</c:v>
                </c:pt>
                <c:pt idx="23" formatCode="0.00E+00">
                  <c:v>3.9133154855800655E-4</c:v>
                </c:pt>
                <c:pt idx="24" formatCode="0.00E+00">
                  <c:v>3.9113551321525553E-4</c:v>
                </c:pt>
                <c:pt idx="25" formatCode="0.00E+00">
                  <c:v>3.9093947787250451E-4</c:v>
                </c:pt>
                <c:pt idx="26" formatCode="0.00E+00">
                  <c:v>3.9074344252975349E-4</c:v>
                </c:pt>
                <c:pt idx="27" formatCode="0.00E+00">
                  <c:v>3.9054740718700247E-4</c:v>
                </c:pt>
                <c:pt idx="28" formatCode="0.00E+00">
                  <c:v>3.9035137184425145E-4</c:v>
                </c:pt>
                <c:pt idx="29" formatCode="0.00E+00">
                  <c:v>3.9015533650150043E-4</c:v>
                </c:pt>
                <c:pt idx="30" formatCode="0.00E+00">
                  <c:v>3.8995930115874941E-4</c:v>
                </c:pt>
                <c:pt idx="31" formatCode="0.00E+00">
                  <c:v>3.8976326581599839E-4</c:v>
                </c:pt>
                <c:pt idx="32" formatCode="0.00E+00">
                  <c:v>3.8956723047324737E-4</c:v>
                </c:pt>
                <c:pt idx="33" formatCode="0.00E+00">
                  <c:v>3.8937119513049635E-4</c:v>
                </c:pt>
                <c:pt idx="34" formatCode="0.00E+00">
                  <c:v>3.8917515978774533E-4</c:v>
                </c:pt>
                <c:pt idx="35" formatCode="0.00E+00">
                  <c:v>3.8897912444499431E-4</c:v>
                </c:pt>
                <c:pt idx="36" formatCode="0.00E+00">
                  <c:v>3.8878308910224329E-4</c:v>
                </c:pt>
                <c:pt idx="37" formatCode="0.00E+00">
                  <c:v>3.8868922094850749E-4</c:v>
                </c:pt>
                <c:pt idx="38" formatCode="0.00E+00">
                  <c:v>3.8835964956971156E-4</c:v>
                </c:pt>
                <c:pt idx="39" formatCode="0.00E+00">
                  <c:v>3.8810530909215343E-4</c:v>
                </c:pt>
                <c:pt idx="40" formatCode="0.00E+00">
                  <c:v>3.8794345419032003E-4</c:v>
                </c:pt>
                <c:pt idx="41" formatCode="0.00E+00">
                  <c:v>3.8779756085887974E-4</c:v>
                </c:pt>
                <c:pt idx="42" formatCode="0.00E+00">
                  <c:v>3.8768659775611613E-4</c:v>
                </c:pt>
                <c:pt idx="43" formatCode="0.00E+00">
                  <c:v>3.8756372155893972E-4</c:v>
                </c:pt>
                <c:pt idx="44" formatCode="0.00E+00">
                  <c:v>3.8743413448561116E-4</c:v>
                </c:pt>
                <c:pt idx="45" formatCode="0.00E+00">
                  <c:v>3.8741625203614658E-4</c:v>
                </c:pt>
                <c:pt idx="46" formatCode="0.00E+00">
                  <c:v>3.8738694289951122E-4</c:v>
                </c:pt>
                <c:pt idx="47" formatCode="0.00E+00">
                  <c:v>3.8727323156960051E-4</c:v>
                </c:pt>
                <c:pt idx="48" formatCode="0.00E+00">
                  <c:v>3.872801832305252E-4</c:v>
                </c:pt>
                <c:pt idx="49" formatCode="0.00E+00">
                  <c:v>3.8723285633958973E-4</c:v>
                </c:pt>
                <c:pt idx="50" formatCode="0.00E+00">
                  <c:v>3.8719654146009873E-4</c:v>
                </c:pt>
                <c:pt idx="51" formatCode="0.00E+00">
                  <c:v>3.8712836957078314E-4</c:v>
                </c:pt>
                <c:pt idx="52" formatCode="0.00E+00">
                  <c:v>3.8710174375942578E-4</c:v>
                </c:pt>
                <c:pt idx="53" formatCode="0.00E+00">
                  <c:v>3.8701959513390749E-4</c:v>
                </c:pt>
                <c:pt idx="54" formatCode="0.00E+00">
                  <c:v>3.8693459130790495E-4</c:v>
                </c:pt>
                <c:pt idx="55" formatCode="0.00E+00">
                  <c:v>3.8684314096127021E-4</c:v>
                </c:pt>
                <c:pt idx="56" formatCode="0.00E+00">
                  <c:v>3.8675224209457141E-4</c:v>
                </c:pt>
                <c:pt idx="57" formatCode="0.00E+00">
                  <c:v>3.8662639724460569E-4</c:v>
                </c:pt>
                <c:pt idx="58" formatCode="0.00E+00">
                  <c:v>3.8650753548999096E-4</c:v>
                </c:pt>
                <c:pt idx="59" formatCode="0.00E+00">
                  <c:v>3.8637937383671609E-4</c:v>
                </c:pt>
                <c:pt idx="60" formatCode="0.00E+00">
                  <c:v>3.8623677194928995E-4</c:v>
                </c:pt>
                <c:pt idx="61" formatCode="0.00E+00">
                  <c:v>3.8608334518532407E-4</c:v>
                </c:pt>
                <c:pt idx="62" formatCode="0.00E+00">
                  <c:v>3.8590701122559256E-4</c:v>
                </c:pt>
                <c:pt idx="63" formatCode="0.00E+00">
                  <c:v>3.8573556454320505E-4</c:v>
                </c:pt>
                <c:pt idx="64" formatCode="0.00E+00">
                  <c:v>3.8555651429608934E-4</c:v>
                </c:pt>
                <c:pt idx="65" formatCode="0.00E+00">
                  <c:v>3.8536129241038667E-4</c:v>
                </c:pt>
                <c:pt idx="66" formatCode="0.00E+00">
                  <c:v>3.8512787391125356E-4</c:v>
                </c:pt>
                <c:pt idx="67" formatCode="0.00E+00">
                  <c:v>3.8487689875144672E-4</c:v>
                </c:pt>
              </c:numCache>
            </c:numRef>
          </c:val>
          <c:smooth val="0"/>
          <c:extLst>
            <c:ext xmlns:c16="http://schemas.microsoft.com/office/drawing/2014/chart" uri="{C3380CC4-5D6E-409C-BE32-E72D297353CC}">
              <c16:uniqueId val="{00000000-A01B-46D7-9971-4B60B612738C}"/>
            </c:ext>
          </c:extLst>
        </c:ser>
        <c:dLbls>
          <c:showLegendKey val="0"/>
          <c:showVal val="0"/>
          <c:showCatName val="0"/>
          <c:showSerName val="0"/>
          <c:showPercent val="0"/>
          <c:showBubbleSize val="0"/>
        </c:dLbls>
        <c:smooth val="0"/>
        <c:axId val="135070848"/>
        <c:axId val="135072384"/>
      </c:lineChart>
      <c:catAx>
        <c:axId val="135070848"/>
        <c:scaling>
          <c:orientation val="minMax"/>
        </c:scaling>
        <c:delete val="0"/>
        <c:axPos val="b"/>
        <c:numFmt formatCode="General" sourceLinked="1"/>
        <c:majorTickMark val="out"/>
        <c:minorTickMark val="none"/>
        <c:tickLblPos val="nextTo"/>
        <c:crossAx val="135072384"/>
        <c:crosses val="autoZero"/>
        <c:auto val="1"/>
        <c:lblAlgn val="ctr"/>
        <c:lblOffset val="100"/>
        <c:noMultiLvlLbl val="0"/>
      </c:catAx>
      <c:valAx>
        <c:axId val="135072384"/>
        <c:scaling>
          <c:orientation val="minMax"/>
          <c:min val="0"/>
        </c:scaling>
        <c:delete val="0"/>
        <c:axPos val="l"/>
        <c:majorGridlines/>
        <c:numFmt formatCode="General" sourceLinked="1"/>
        <c:majorTickMark val="out"/>
        <c:minorTickMark val="none"/>
        <c:tickLblPos val="nextTo"/>
        <c:crossAx val="135070848"/>
        <c:crossesAt val="35"/>
        <c:crossBetween val="between"/>
      </c:valAx>
    </c:plotArea>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Extrapolations!$A$10:$B$10</c:f>
              <c:strCache>
                <c:ptCount val="2"/>
                <c:pt idx="0">
                  <c:v>rail</c:v>
                </c:pt>
                <c:pt idx="1">
                  <c:v>frgt</c:v>
                </c:pt>
              </c:strCache>
            </c:strRef>
          </c:tx>
          <c:marker>
            <c:symbol val="none"/>
          </c:marker>
          <c:cat>
            <c:numRef>
              <c:f>Extrapolations!$C$1:$BR$1</c:f>
              <c:numCache>
                <c:formatCode>General</c:formatCode>
                <c:ptCount val="68"/>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pt idx="34">
                  <c:v>2017</c:v>
                </c:pt>
                <c:pt idx="35">
                  <c:v>2018</c:v>
                </c:pt>
                <c:pt idx="36">
                  <c:v>2019</c:v>
                </c:pt>
                <c:pt idx="37">
                  <c:v>2020</c:v>
                </c:pt>
                <c:pt idx="38">
                  <c:v>2021</c:v>
                </c:pt>
                <c:pt idx="39">
                  <c:v>2022</c:v>
                </c:pt>
                <c:pt idx="40">
                  <c:v>2023</c:v>
                </c:pt>
                <c:pt idx="41">
                  <c:v>2024</c:v>
                </c:pt>
                <c:pt idx="42">
                  <c:v>2025</c:v>
                </c:pt>
                <c:pt idx="43">
                  <c:v>2026</c:v>
                </c:pt>
                <c:pt idx="44">
                  <c:v>2027</c:v>
                </c:pt>
                <c:pt idx="45">
                  <c:v>2028</c:v>
                </c:pt>
                <c:pt idx="46">
                  <c:v>2029</c:v>
                </c:pt>
                <c:pt idx="47">
                  <c:v>2030</c:v>
                </c:pt>
                <c:pt idx="48">
                  <c:v>2031</c:v>
                </c:pt>
                <c:pt idx="49">
                  <c:v>2032</c:v>
                </c:pt>
                <c:pt idx="50">
                  <c:v>2033</c:v>
                </c:pt>
                <c:pt idx="51">
                  <c:v>2034</c:v>
                </c:pt>
                <c:pt idx="52">
                  <c:v>2035</c:v>
                </c:pt>
                <c:pt idx="53">
                  <c:v>2036</c:v>
                </c:pt>
                <c:pt idx="54">
                  <c:v>2037</c:v>
                </c:pt>
                <c:pt idx="55">
                  <c:v>2038</c:v>
                </c:pt>
                <c:pt idx="56">
                  <c:v>2039</c:v>
                </c:pt>
                <c:pt idx="57">
                  <c:v>2040</c:v>
                </c:pt>
                <c:pt idx="58">
                  <c:v>2041</c:v>
                </c:pt>
                <c:pt idx="59">
                  <c:v>2042</c:v>
                </c:pt>
                <c:pt idx="60">
                  <c:v>2043</c:v>
                </c:pt>
                <c:pt idx="61">
                  <c:v>2044</c:v>
                </c:pt>
                <c:pt idx="62">
                  <c:v>2045</c:v>
                </c:pt>
                <c:pt idx="63">
                  <c:v>2046</c:v>
                </c:pt>
                <c:pt idx="64">
                  <c:v>2047</c:v>
                </c:pt>
                <c:pt idx="65">
                  <c:v>2048</c:v>
                </c:pt>
                <c:pt idx="66">
                  <c:v>2049</c:v>
                </c:pt>
                <c:pt idx="67">
                  <c:v>2050</c:v>
                </c:pt>
              </c:numCache>
            </c:numRef>
          </c:cat>
          <c:val>
            <c:numRef>
              <c:f>Extrapolations!$C$10:$BT$10</c:f>
              <c:numCache>
                <c:formatCode>General</c:formatCode>
                <c:ptCount val="70"/>
                <c:pt idx="3" formatCode="0.00E+00">
                  <c:v>2.6319489092741927E-3</c:v>
                </c:pt>
                <c:pt idx="4" formatCode="0.00E+00">
                  <c:v>2.6568304193548414E-3</c:v>
                </c:pt>
                <c:pt idx="5" formatCode="0.00E+00">
                  <c:v>2.6817119294354833E-3</c:v>
                </c:pt>
                <c:pt idx="6" formatCode="0.00E+00">
                  <c:v>2.706593439516132E-3</c:v>
                </c:pt>
                <c:pt idx="7" formatCode="0.00E+00">
                  <c:v>2.7314749495967738E-3</c:v>
                </c:pt>
                <c:pt idx="8" formatCode="0.00E+00">
                  <c:v>2.7563564596774226E-3</c:v>
                </c:pt>
                <c:pt idx="9" formatCode="0.00E+00">
                  <c:v>2.7812379697580644E-3</c:v>
                </c:pt>
                <c:pt idx="10" formatCode="0.00E+00">
                  <c:v>2.8061194798387132E-3</c:v>
                </c:pt>
                <c:pt idx="11" formatCode="0.00E+00">
                  <c:v>2.831000989919355E-3</c:v>
                </c:pt>
                <c:pt idx="12" formatCode="0.00E+00">
                  <c:v>2.8558824999999968E-3</c:v>
                </c:pt>
                <c:pt idx="13" formatCode="0.00E+00">
                  <c:v>2.8807640100806456E-3</c:v>
                </c:pt>
                <c:pt idx="14" formatCode="0.00E+00">
                  <c:v>2.9056455201612874E-3</c:v>
                </c:pt>
                <c:pt idx="15" formatCode="0.00E+00">
                  <c:v>2.9305270302419362E-3</c:v>
                </c:pt>
                <c:pt idx="16" formatCode="0.00E+00">
                  <c:v>2.955408540322578E-3</c:v>
                </c:pt>
                <c:pt idx="17" formatCode="0.00E+00">
                  <c:v>2.9802900504032268E-3</c:v>
                </c:pt>
                <c:pt idx="18" formatCode="0.00E+00">
                  <c:v>3.0051715604838686E-3</c:v>
                </c:pt>
                <c:pt idx="19" formatCode="0.00E+00">
                  <c:v>3.0300530705645173E-3</c:v>
                </c:pt>
                <c:pt idx="20" formatCode="0.00E+00">
                  <c:v>3.0549345806451592E-3</c:v>
                </c:pt>
                <c:pt idx="21" formatCode="0.00E+00">
                  <c:v>3.0798160907258079E-3</c:v>
                </c:pt>
                <c:pt idx="22" formatCode="0.00E+00">
                  <c:v>3.1046976008064497E-3</c:v>
                </c:pt>
                <c:pt idx="23" formatCode="0.00E+00">
                  <c:v>3.1295791108870985E-3</c:v>
                </c:pt>
                <c:pt idx="24" formatCode="0.00E+00">
                  <c:v>3.1544606209677403E-3</c:v>
                </c:pt>
                <c:pt idx="25" formatCode="0.00E+00">
                  <c:v>3.1793421310483891E-3</c:v>
                </c:pt>
                <c:pt idx="26" formatCode="0.00E+00">
                  <c:v>3.2042236411290309E-3</c:v>
                </c:pt>
                <c:pt idx="27" formatCode="0.00E+00">
                  <c:v>3.2291051512096797E-3</c:v>
                </c:pt>
                <c:pt idx="28" formatCode="0.00E+00">
                  <c:v>3.2539866612903215E-3</c:v>
                </c:pt>
                <c:pt idx="29" formatCode="0.00E+00">
                  <c:v>3.2788681713709703E-3</c:v>
                </c:pt>
                <c:pt idx="30" formatCode="0.00E+00">
                  <c:v>3.3037496814516121E-3</c:v>
                </c:pt>
                <c:pt idx="31" formatCode="0.00E+00">
                  <c:v>3.3286311915322608E-3</c:v>
                </c:pt>
                <c:pt idx="32" formatCode="0.00E+00">
                  <c:v>3.3535127016129027E-3</c:v>
                </c:pt>
                <c:pt idx="33" formatCode="0.00E+00">
                  <c:v>3.3783942116935514E-3</c:v>
                </c:pt>
                <c:pt idx="34" formatCode="0.00E+00">
                  <c:v>3.4032757217741932E-3</c:v>
                </c:pt>
                <c:pt idx="35" formatCode="0.00E+00">
                  <c:v>3.428157231854842E-3</c:v>
                </c:pt>
                <c:pt idx="36" formatCode="0.00E+00">
                  <c:v>3.4530387419354838E-3</c:v>
                </c:pt>
                <c:pt idx="37" formatCode="0.00E+00">
                  <c:v>3.4893709999999998E-3</c:v>
                </c:pt>
                <c:pt idx="38" formatCode="0.00E+00">
                  <c:v>3.5120030000000001E-3</c:v>
                </c:pt>
                <c:pt idx="39" formatCode="0.00E+00">
                  <c:v>3.5347819999999998E-3</c:v>
                </c:pt>
                <c:pt idx="40" formatCode="0.00E+00">
                  <c:v>3.55771E-3</c:v>
                </c:pt>
                <c:pt idx="41" formatCode="0.00E+00">
                  <c:v>3.580785E-3</c:v>
                </c:pt>
                <c:pt idx="42" formatCode="0.00E+00">
                  <c:v>3.6040100000000004E-3</c:v>
                </c:pt>
                <c:pt idx="43" formatCode="0.00E+00">
                  <c:v>3.6273859999999998E-3</c:v>
                </c:pt>
                <c:pt idx="44" formatCode="0.00E+00">
                  <c:v>3.6509140000000003E-3</c:v>
                </c:pt>
                <c:pt idx="45" formatCode="0.00E+00">
                  <c:v>3.6745939999999998E-3</c:v>
                </c:pt>
                <c:pt idx="46" formatCode="0.00E+00">
                  <c:v>3.6984279999999997E-3</c:v>
                </c:pt>
                <c:pt idx="47" formatCode="0.00E+00">
                  <c:v>3.7224160000000001E-3</c:v>
                </c:pt>
                <c:pt idx="48" formatCode="0.00E+00">
                  <c:v>3.7465599999999999E-3</c:v>
                </c:pt>
                <c:pt idx="49" formatCode="0.00E+00">
                  <c:v>3.77086E-3</c:v>
                </c:pt>
                <c:pt idx="50" formatCode="0.00E+00">
                  <c:v>3.7953179999999998E-3</c:v>
                </c:pt>
                <c:pt idx="51" formatCode="0.00E+00">
                  <c:v>3.819935E-3</c:v>
                </c:pt>
                <c:pt idx="52" formatCode="0.00E+00">
                  <c:v>3.8447119999999997E-3</c:v>
                </c:pt>
                <c:pt idx="53" formatCode="0.00E+00">
                  <c:v>3.8696489999999997E-3</c:v>
                </c:pt>
                <c:pt idx="54" formatCode="0.00E+00">
                  <c:v>3.894748E-3</c:v>
                </c:pt>
                <c:pt idx="55" formatCode="0.00E+00">
                  <c:v>3.9200089999999995E-3</c:v>
                </c:pt>
                <c:pt idx="56" formatCode="0.00E+00">
                  <c:v>3.9454349999999997E-3</c:v>
                </c:pt>
                <c:pt idx="57" formatCode="0.00E+00">
                  <c:v>3.9710250000000004E-3</c:v>
                </c:pt>
                <c:pt idx="58" formatCode="0.00E+00">
                  <c:v>3.9967819999999999E-3</c:v>
                </c:pt>
                <c:pt idx="59" formatCode="0.00E+00">
                  <c:v>4.0227050000000006E-3</c:v>
                </c:pt>
                <c:pt idx="60" formatCode="0.00E+00">
                  <c:v>4.0487970000000007E-3</c:v>
                </c:pt>
                <c:pt idx="61" formatCode="0.00E+00">
                  <c:v>4.0750580000000003E-3</c:v>
                </c:pt>
                <c:pt idx="62" formatCode="0.00E+00">
                  <c:v>4.1014889999999998E-3</c:v>
                </c:pt>
                <c:pt idx="63" formatCode="0.00E+00">
                  <c:v>4.1280910000000004E-3</c:v>
                </c:pt>
                <c:pt idx="64" formatCode="0.00E+00">
                  <c:v>4.1548660000000001E-3</c:v>
                </c:pt>
                <c:pt idx="65" formatCode="0.00E+00">
                  <c:v>4.1818150000000002E-3</c:v>
                </c:pt>
                <c:pt idx="66" formatCode="0.00E+00">
                  <c:v>4.2089390000000001E-3</c:v>
                </c:pt>
                <c:pt idx="67" formatCode="0.00E+00">
                  <c:v>4.2362379999999998E-3</c:v>
                </c:pt>
              </c:numCache>
            </c:numRef>
          </c:val>
          <c:smooth val="0"/>
          <c:extLst>
            <c:ext xmlns:c16="http://schemas.microsoft.com/office/drawing/2014/chart" uri="{C3380CC4-5D6E-409C-BE32-E72D297353CC}">
              <c16:uniqueId val="{00000000-9D55-451A-B673-5FFCCFCC454B}"/>
            </c:ext>
          </c:extLst>
        </c:ser>
        <c:dLbls>
          <c:showLegendKey val="0"/>
          <c:showVal val="0"/>
          <c:showCatName val="0"/>
          <c:showSerName val="0"/>
          <c:showPercent val="0"/>
          <c:showBubbleSize val="0"/>
        </c:dLbls>
        <c:smooth val="0"/>
        <c:axId val="135096960"/>
        <c:axId val="135098752"/>
      </c:lineChart>
      <c:catAx>
        <c:axId val="135096960"/>
        <c:scaling>
          <c:orientation val="minMax"/>
        </c:scaling>
        <c:delete val="0"/>
        <c:axPos val="b"/>
        <c:numFmt formatCode="General" sourceLinked="1"/>
        <c:majorTickMark val="out"/>
        <c:minorTickMark val="none"/>
        <c:tickLblPos val="nextTo"/>
        <c:crossAx val="135098752"/>
        <c:crosses val="autoZero"/>
        <c:auto val="1"/>
        <c:lblAlgn val="ctr"/>
        <c:lblOffset val="100"/>
        <c:noMultiLvlLbl val="0"/>
      </c:catAx>
      <c:valAx>
        <c:axId val="135098752"/>
        <c:scaling>
          <c:orientation val="minMax"/>
        </c:scaling>
        <c:delete val="0"/>
        <c:axPos val="l"/>
        <c:majorGridlines/>
        <c:numFmt formatCode="General" sourceLinked="1"/>
        <c:majorTickMark val="out"/>
        <c:minorTickMark val="none"/>
        <c:tickLblPos val="nextTo"/>
        <c:crossAx val="135096960"/>
        <c:crossesAt val="35"/>
        <c:crossBetween val="between"/>
      </c:valAx>
    </c:plotArea>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Extrapolations!$A$11:$B$11</c:f>
              <c:strCache>
                <c:ptCount val="2"/>
                <c:pt idx="0">
                  <c:v>ships</c:v>
                </c:pt>
                <c:pt idx="1">
                  <c:v>psgr</c:v>
                </c:pt>
              </c:strCache>
            </c:strRef>
          </c:tx>
          <c:marker>
            <c:symbol val="none"/>
          </c:marker>
          <c:cat>
            <c:numRef>
              <c:f>Extrapolations!$C$1:$BR$1</c:f>
              <c:numCache>
                <c:formatCode>General</c:formatCode>
                <c:ptCount val="68"/>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pt idx="34">
                  <c:v>2017</c:v>
                </c:pt>
                <c:pt idx="35">
                  <c:v>2018</c:v>
                </c:pt>
                <c:pt idx="36">
                  <c:v>2019</c:v>
                </c:pt>
                <c:pt idx="37">
                  <c:v>2020</c:v>
                </c:pt>
                <c:pt idx="38">
                  <c:v>2021</c:v>
                </c:pt>
                <c:pt idx="39">
                  <c:v>2022</c:v>
                </c:pt>
                <c:pt idx="40">
                  <c:v>2023</c:v>
                </c:pt>
                <c:pt idx="41">
                  <c:v>2024</c:v>
                </c:pt>
                <c:pt idx="42">
                  <c:v>2025</c:v>
                </c:pt>
                <c:pt idx="43">
                  <c:v>2026</c:v>
                </c:pt>
                <c:pt idx="44">
                  <c:v>2027</c:v>
                </c:pt>
                <c:pt idx="45">
                  <c:v>2028</c:v>
                </c:pt>
                <c:pt idx="46">
                  <c:v>2029</c:v>
                </c:pt>
                <c:pt idx="47">
                  <c:v>2030</c:v>
                </c:pt>
                <c:pt idx="48">
                  <c:v>2031</c:v>
                </c:pt>
                <c:pt idx="49">
                  <c:v>2032</c:v>
                </c:pt>
                <c:pt idx="50">
                  <c:v>2033</c:v>
                </c:pt>
                <c:pt idx="51">
                  <c:v>2034</c:v>
                </c:pt>
                <c:pt idx="52">
                  <c:v>2035</c:v>
                </c:pt>
                <c:pt idx="53">
                  <c:v>2036</c:v>
                </c:pt>
                <c:pt idx="54">
                  <c:v>2037</c:v>
                </c:pt>
                <c:pt idx="55">
                  <c:v>2038</c:v>
                </c:pt>
                <c:pt idx="56">
                  <c:v>2039</c:v>
                </c:pt>
                <c:pt idx="57">
                  <c:v>2040</c:v>
                </c:pt>
                <c:pt idx="58">
                  <c:v>2041</c:v>
                </c:pt>
                <c:pt idx="59">
                  <c:v>2042</c:v>
                </c:pt>
                <c:pt idx="60">
                  <c:v>2043</c:v>
                </c:pt>
                <c:pt idx="61">
                  <c:v>2044</c:v>
                </c:pt>
                <c:pt idx="62">
                  <c:v>2045</c:v>
                </c:pt>
                <c:pt idx="63">
                  <c:v>2046</c:v>
                </c:pt>
                <c:pt idx="64">
                  <c:v>2047</c:v>
                </c:pt>
                <c:pt idx="65">
                  <c:v>2048</c:v>
                </c:pt>
                <c:pt idx="66">
                  <c:v>2049</c:v>
                </c:pt>
                <c:pt idx="67">
                  <c:v>2050</c:v>
                </c:pt>
              </c:numCache>
            </c:numRef>
          </c:cat>
          <c:val>
            <c:numRef>
              <c:f>Extrapolations!$C$11:$BT$11</c:f>
              <c:numCache>
                <c:formatCode>General</c:formatCode>
                <c:ptCount val="70"/>
                <c:pt idx="4" formatCode="0.00E+00">
                  <c:v>1.0049397002369564E-5</c:v>
                </c:pt>
                <c:pt idx="5" formatCode="0.00E+00">
                  <c:v>1.0049397002369564E-5</c:v>
                </c:pt>
                <c:pt idx="6" formatCode="0.00E+00">
                  <c:v>1.0049397002369564E-5</c:v>
                </c:pt>
                <c:pt idx="7" formatCode="0.00E+00">
                  <c:v>1.0049397002369564E-5</c:v>
                </c:pt>
                <c:pt idx="8" formatCode="0.00E+00">
                  <c:v>1.0049397002369564E-5</c:v>
                </c:pt>
                <c:pt idx="9" formatCode="0.00E+00">
                  <c:v>1.0049397002369564E-5</c:v>
                </c:pt>
                <c:pt idx="10" formatCode="0.00E+00">
                  <c:v>1.0049397002369564E-5</c:v>
                </c:pt>
                <c:pt idx="11" formatCode="0.00E+00">
                  <c:v>1.0049397002369564E-5</c:v>
                </c:pt>
                <c:pt idx="12" formatCode="0.00E+00">
                  <c:v>1.0049397002369564E-5</c:v>
                </c:pt>
                <c:pt idx="13" formatCode="0.00E+00">
                  <c:v>1.0049397002369564E-5</c:v>
                </c:pt>
                <c:pt idx="14" formatCode="0.00E+00">
                  <c:v>1.0049397002369564E-5</c:v>
                </c:pt>
                <c:pt idx="15" formatCode="0.00E+00">
                  <c:v>1.0049397002369564E-5</c:v>
                </c:pt>
                <c:pt idx="16" formatCode="0.00E+00">
                  <c:v>1.0049397002369564E-5</c:v>
                </c:pt>
                <c:pt idx="17" formatCode="0.00E+00">
                  <c:v>1.0049397002369564E-5</c:v>
                </c:pt>
                <c:pt idx="18" formatCode="0.00E+00">
                  <c:v>1.0049397002369564E-5</c:v>
                </c:pt>
                <c:pt idx="19" formatCode="0.00E+00">
                  <c:v>1.0049397002369564E-5</c:v>
                </c:pt>
                <c:pt idx="20" formatCode="0.00E+00">
                  <c:v>1.0049397002369564E-5</c:v>
                </c:pt>
                <c:pt idx="21" formatCode="0.00E+00">
                  <c:v>1.0049397002369564E-5</c:v>
                </c:pt>
                <c:pt idx="22" formatCode="0.00E+00">
                  <c:v>1.0049397002369564E-5</c:v>
                </c:pt>
                <c:pt idx="23" formatCode="0.00E+00">
                  <c:v>1.0049397002369564E-5</c:v>
                </c:pt>
                <c:pt idx="24" formatCode="0.00E+00">
                  <c:v>1.0049397002369564E-5</c:v>
                </c:pt>
                <c:pt idx="25" formatCode="0.00E+00">
                  <c:v>1.0049397002369564E-5</c:v>
                </c:pt>
                <c:pt idx="26" formatCode="0.00E+00">
                  <c:v>1.0049397002369564E-5</c:v>
                </c:pt>
                <c:pt idx="27" formatCode="0.00E+00">
                  <c:v>1.0049397002369564E-5</c:v>
                </c:pt>
                <c:pt idx="28" formatCode="0.00E+00">
                  <c:v>1.0049397002369564E-5</c:v>
                </c:pt>
                <c:pt idx="29" formatCode="0.00E+00">
                  <c:v>1.0049397002369564E-5</c:v>
                </c:pt>
                <c:pt idx="30" formatCode="0.00E+00">
                  <c:v>1.0049397002369564E-5</c:v>
                </c:pt>
                <c:pt idx="31" formatCode="0.00E+00">
                  <c:v>1.0049397002369564E-5</c:v>
                </c:pt>
                <c:pt idx="32" formatCode="0.00E+00">
                  <c:v>1.0049397002369564E-5</c:v>
                </c:pt>
                <c:pt idx="33" formatCode="0.00E+00">
                  <c:v>1.0049397002369564E-5</c:v>
                </c:pt>
                <c:pt idx="34" formatCode="0.00E+00">
                  <c:v>1.0049397002369564E-5</c:v>
                </c:pt>
                <c:pt idx="35" formatCode="0.00E+00">
                  <c:v>1.0049397002369564E-5</c:v>
                </c:pt>
                <c:pt idx="36" formatCode="0.00E+00">
                  <c:v>1.0049397002369564E-5</c:v>
                </c:pt>
                <c:pt idx="37" formatCode="0.00E+00">
                  <c:v>1.0049397002369565E-5</c:v>
                </c:pt>
                <c:pt idx="38" formatCode="0.00E+00">
                  <c:v>1.0049397002369565E-5</c:v>
                </c:pt>
                <c:pt idx="39" formatCode="0.00E+00">
                  <c:v>1.0049397002369565E-5</c:v>
                </c:pt>
                <c:pt idx="40" formatCode="0.00E+00">
                  <c:v>1.0049397002369565E-5</c:v>
                </c:pt>
                <c:pt idx="41" formatCode="0.00E+00">
                  <c:v>1.0049397002369565E-5</c:v>
                </c:pt>
                <c:pt idx="42" formatCode="0.00E+00">
                  <c:v>1.0049397002369565E-5</c:v>
                </c:pt>
                <c:pt idx="43" formatCode="0.00E+00">
                  <c:v>1.0049397002369565E-5</c:v>
                </c:pt>
                <c:pt idx="44" formatCode="0.00E+00">
                  <c:v>1.0049397002369565E-5</c:v>
                </c:pt>
                <c:pt idx="45" formatCode="0.00E+00">
                  <c:v>1.0049397002369565E-5</c:v>
                </c:pt>
                <c:pt idx="46" formatCode="0.00E+00">
                  <c:v>1.0049397002369565E-5</c:v>
                </c:pt>
                <c:pt idx="47" formatCode="0.00E+00">
                  <c:v>1.0049397002369565E-5</c:v>
                </c:pt>
                <c:pt idx="48" formatCode="0.00E+00">
                  <c:v>1.0049397002369565E-5</c:v>
                </c:pt>
                <c:pt idx="49" formatCode="0.00E+00">
                  <c:v>1.0049397002369565E-5</c:v>
                </c:pt>
                <c:pt idx="50" formatCode="0.00E+00">
                  <c:v>1.0049397002369565E-5</c:v>
                </c:pt>
                <c:pt idx="51" formatCode="0.00E+00">
                  <c:v>1.0049397002369565E-5</c:v>
                </c:pt>
                <c:pt idx="52" formatCode="0.00E+00">
                  <c:v>1.0049397002369565E-5</c:v>
                </c:pt>
                <c:pt idx="53" formatCode="0.00E+00">
                  <c:v>1.0049397002369565E-5</c:v>
                </c:pt>
                <c:pt idx="54" formatCode="0.00E+00">
                  <c:v>1.0049397002369565E-5</c:v>
                </c:pt>
                <c:pt idx="55" formatCode="0.00E+00">
                  <c:v>1.0049397002369565E-5</c:v>
                </c:pt>
                <c:pt idx="56" formatCode="0.00E+00">
                  <c:v>1.0049397002369565E-5</c:v>
                </c:pt>
                <c:pt idx="57" formatCode="0.00E+00">
                  <c:v>1.0049397002369565E-5</c:v>
                </c:pt>
                <c:pt idx="58" formatCode="0.00E+00">
                  <c:v>1.0049397002369565E-5</c:v>
                </c:pt>
                <c:pt idx="59" formatCode="0.00E+00">
                  <c:v>1.0049397002369565E-5</c:v>
                </c:pt>
                <c:pt idx="60" formatCode="0.00E+00">
                  <c:v>1.0049397002369565E-5</c:v>
                </c:pt>
                <c:pt idx="61" formatCode="0.00E+00">
                  <c:v>1.0049397002369565E-5</c:v>
                </c:pt>
                <c:pt idx="62" formatCode="0.00E+00">
                  <c:v>1.0049397002369565E-5</c:v>
                </c:pt>
                <c:pt idx="63" formatCode="0.00E+00">
                  <c:v>1.0049397002369565E-5</c:v>
                </c:pt>
                <c:pt idx="64" formatCode="0.00E+00">
                  <c:v>1.0049397002369565E-5</c:v>
                </c:pt>
                <c:pt idx="65" formatCode="0.00E+00">
                  <c:v>1.0049397002369565E-5</c:v>
                </c:pt>
                <c:pt idx="66" formatCode="0.00E+00">
                  <c:v>1.0049397002369565E-5</c:v>
                </c:pt>
                <c:pt idx="67" formatCode="0.00E+00">
                  <c:v>1.0049397002369565E-5</c:v>
                </c:pt>
              </c:numCache>
            </c:numRef>
          </c:val>
          <c:smooth val="0"/>
          <c:extLst>
            <c:ext xmlns:c16="http://schemas.microsoft.com/office/drawing/2014/chart" uri="{C3380CC4-5D6E-409C-BE32-E72D297353CC}">
              <c16:uniqueId val="{00000000-5D80-4FCE-BFFD-1E700362E2B8}"/>
            </c:ext>
          </c:extLst>
        </c:ser>
        <c:dLbls>
          <c:showLegendKey val="0"/>
          <c:showVal val="0"/>
          <c:showCatName val="0"/>
          <c:showSerName val="0"/>
          <c:showPercent val="0"/>
          <c:showBubbleSize val="0"/>
        </c:dLbls>
        <c:smooth val="0"/>
        <c:axId val="135110656"/>
        <c:axId val="135112192"/>
      </c:lineChart>
      <c:catAx>
        <c:axId val="135110656"/>
        <c:scaling>
          <c:orientation val="minMax"/>
        </c:scaling>
        <c:delete val="0"/>
        <c:axPos val="b"/>
        <c:numFmt formatCode="General" sourceLinked="1"/>
        <c:majorTickMark val="out"/>
        <c:minorTickMark val="none"/>
        <c:tickLblPos val="nextTo"/>
        <c:crossAx val="135112192"/>
        <c:crosses val="autoZero"/>
        <c:auto val="1"/>
        <c:lblAlgn val="ctr"/>
        <c:lblOffset val="100"/>
        <c:noMultiLvlLbl val="0"/>
      </c:catAx>
      <c:valAx>
        <c:axId val="135112192"/>
        <c:scaling>
          <c:orientation val="minMax"/>
        </c:scaling>
        <c:delete val="0"/>
        <c:axPos val="l"/>
        <c:majorGridlines/>
        <c:numFmt formatCode="General" sourceLinked="1"/>
        <c:majorTickMark val="out"/>
        <c:minorTickMark val="none"/>
        <c:tickLblPos val="nextTo"/>
        <c:crossAx val="135110656"/>
        <c:crossesAt val="35"/>
        <c:crossBetween val="between"/>
      </c:valAx>
    </c:plotArea>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Extrapolations!$A$12:$B$12</c:f>
              <c:strCache>
                <c:ptCount val="2"/>
                <c:pt idx="0">
                  <c:v>ships</c:v>
                </c:pt>
                <c:pt idx="1">
                  <c:v>frgt</c:v>
                </c:pt>
              </c:strCache>
            </c:strRef>
          </c:tx>
          <c:marker>
            <c:symbol val="none"/>
          </c:marker>
          <c:cat>
            <c:numRef>
              <c:f>Extrapolations!$C$1:$BR$1</c:f>
              <c:numCache>
                <c:formatCode>General</c:formatCode>
                <c:ptCount val="68"/>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pt idx="34">
                  <c:v>2017</c:v>
                </c:pt>
                <c:pt idx="35">
                  <c:v>2018</c:v>
                </c:pt>
                <c:pt idx="36">
                  <c:v>2019</c:v>
                </c:pt>
                <c:pt idx="37">
                  <c:v>2020</c:v>
                </c:pt>
                <c:pt idx="38">
                  <c:v>2021</c:v>
                </c:pt>
                <c:pt idx="39">
                  <c:v>2022</c:v>
                </c:pt>
                <c:pt idx="40">
                  <c:v>2023</c:v>
                </c:pt>
                <c:pt idx="41">
                  <c:v>2024</c:v>
                </c:pt>
                <c:pt idx="42">
                  <c:v>2025</c:v>
                </c:pt>
                <c:pt idx="43">
                  <c:v>2026</c:v>
                </c:pt>
                <c:pt idx="44">
                  <c:v>2027</c:v>
                </c:pt>
                <c:pt idx="45">
                  <c:v>2028</c:v>
                </c:pt>
                <c:pt idx="46">
                  <c:v>2029</c:v>
                </c:pt>
                <c:pt idx="47">
                  <c:v>2030</c:v>
                </c:pt>
                <c:pt idx="48">
                  <c:v>2031</c:v>
                </c:pt>
                <c:pt idx="49">
                  <c:v>2032</c:v>
                </c:pt>
                <c:pt idx="50">
                  <c:v>2033</c:v>
                </c:pt>
                <c:pt idx="51">
                  <c:v>2034</c:v>
                </c:pt>
                <c:pt idx="52">
                  <c:v>2035</c:v>
                </c:pt>
                <c:pt idx="53">
                  <c:v>2036</c:v>
                </c:pt>
                <c:pt idx="54">
                  <c:v>2037</c:v>
                </c:pt>
                <c:pt idx="55">
                  <c:v>2038</c:v>
                </c:pt>
                <c:pt idx="56">
                  <c:v>2039</c:v>
                </c:pt>
                <c:pt idx="57">
                  <c:v>2040</c:v>
                </c:pt>
                <c:pt idx="58">
                  <c:v>2041</c:v>
                </c:pt>
                <c:pt idx="59">
                  <c:v>2042</c:v>
                </c:pt>
                <c:pt idx="60">
                  <c:v>2043</c:v>
                </c:pt>
                <c:pt idx="61">
                  <c:v>2044</c:v>
                </c:pt>
                <c:pt idx="62">
                  <c:v>2045</c:v>
                </c:pt>
                <c:pt idx="63">
                  <c:v>2046</c:v>
                </c:pt>
                <c:pt idx="64">
                  <c:v>2047</c:v>
                </c:pt>
                <c:pt idx="65">
                  <c:v>2048</c:v>
                </c:pt>
                <c:pt idx="66">
                  <c:v>2049</c:v>
                </c:pt>
                <c:pt idx="67">
                  <c:v>2050</c:v>
                </c:pt>
              </c:numCache>
            </c:numRef>
          </c:cat>
          <c:val>
            <c:numRef>
              <c:f>Extrapolations!$C$12:$BT$12</c:f>
              <c:numCache>
                <c:formatCode>General</c:formatCode>
                <c:ptCount val="70"/>
                <c:pt idx="4" formatCode="0.00E+00">
                  <c:v>4.971525705626559E-3</c:v>
                </c:pt>
                <c:pt idx="5" formatCode="0.00E+00">
                  <c:v>4.971525705626559E-3</c:v>
                </c:pt>
                <c:pt idx="6" formatCode="0.00E+00">
                  <c:v>4.971525705626559E-3</c:v>
                </c:pt>
                <c:pt idx="7" formatCode="0.00E+00">
                  <c:v>4.971525705626559E-3</c:v>
                </c:pt>
                <c:pt idx="8" formatCode="0.00E+00">
                  <c:v>4.971525705626559E-3</c:v>
                </c:pt>
                <c:pt idx="9" formatCode="0.00E+00">
                  <c:v>4.971525705626559E-3</c:v>
                </c:pt>
                <c:pt idx="10" formatCode="0.00E+00">
                  <c:v>4.971525705626559E-3</c:v>
                </c:pt>
                <c:pt idx="11" formatCode="0.00E+00">
                  <c:v>4.971525705626559E-3</c:v>
                </c:pt>
                <c:pt idx="12" formatCode="0.00E+00">
                  <c:v>4.971525705626559E-3</c:v>
                </c:pt>
                <c:pt idx="13" formatCode="0.00E+00">
                  <c:v>4.971525705626559E-3</c:v>
                </c:pt>
                <c:pt idx="14" formatCode="0.00E+00">
                  <c:v>4.971525705626559E-3</c:v>
                </c:pt>
                <c:pt idx="15" formatCode="0.00E+00">
                  <c:v>4.971525705626559E-3</c:v>
                </c:pt>
                <c:pt idx="16" formatCode="0.00E+00">
                  <c:v>4.971525705626559E-3</c:v>
                </c:pt>
                <c:pt idx="17" formatCode="0.00E+00">
                  <c:v>4.971525705626559E-3</c:v>
                </c:pt>
                <c:pt idx="18" formatCode="0.00E+00">
                  <c:v>4.971525705626559E-3</c:v>
                </c:pt>
                <c:pt idx="19" formatCode="0.00E+00">
                  <c:v>4.971525705626559E-3</c:v>
                </c:pt>
                <c:pt idx="20" formatCode="0.00E+00">
                  <c:v>4.971525705626559E-3</c:v>
                </c:pt>
                <c:pt idx="21" formatCode="0.00E+00">
                  <c:v>4.971525705626559E-3</c:v>
                </c:pt>
                <c:pt idx="22" formatCode="0.00E+00">
                  <c:v>4.971525705626559E-3</c:v>
                </c:pt>
                <c:pt idx="23" formatCode="0.00E+00">
                  <c:v>4.971525705626559E-3</c:v>
                </c:pt>
                <c:pt idx="24" formatCode="0.00E+00">
                  <c:v>4.971525705626559E-3</c:v>
                </c:pt>
                <c:pt idx="25" formatCode="0.00E+00">
                  <c:v>4.971525705626559E-3</c:v>
                </c:pt>
                <c:pt idx="26" formatCode="0.00E+00">
                  <c:v>4.971525705626559E-3</c:v>
                </c:pt>
                <c:pt idx="27" formatCode="0.00E+00">
                  <c:v>4.971525705626559E-3</c:v>
                </c:pt>
                <c:pt idx="28" formatCode="0.00E+00">
                  <c:v>4.971525705626559E-3</c:v>
                </c:pt>
                <c:pt idx="29" formatCode="0.00E+00">
                  <c:v>4.971525705626559E-3</c:v>
                </c:pt>
                <c:pt idx="30" formatCode="0.00E+00">
                  <c:v>4.971525705626559E-3</c:v>
                </c:pt>
                <c:pt idx="31" formatCode="0.00E+00">
                  <c:v>4.971525705626559E-3</c:v>
                </c:pt>
                <c:pt idx="32" formatCode="0.00E+00">
                  <c:v>4.971525705626559E-3</c:v>
                </c:pt>
                <c:pt idx="33" formatCode="0.00E+00">
                  <c:v>4.971525705626559E-3</c:v>
                </c:pt>
                <c:pt idx="34" formatCode="0.00E+00">
                  <c:v>4.971525705626559E-3</c:v>
                </c:pt>
                <c:pt idx="35" formatCode="0.00E+00">
                  <c:v>4.971525705626559E-3</c:v>
                </c:pt>
                <c:pt idx="36" formatCode="0.00E+00">
                  <c:v>4.971525705626559E-3</c:v>
                </c:pt>
                <c:pt idx="37" formatCode="0.00E+00">
                  <c:v>4.9715257056265547E-3</c:v>
                </c:pt>
                <c:pt idx="38" formatCode="0.00E+00">
                  <c:v>4.9715257056265547E-3</c:v>
                </c:pt>
                <c:pt idx="39" formatCode="0.00E+00">
                  <c:v>4.9715257056265547E-3</c:v>
                </c:pt>
                <c:pt idx="40" formatCode="0.00E+00">
                  <c:v>4.9715257056265547E-3</c:v>
                </c:pt>
                <c:pt idx="41" formatCode="0.00E+00">
                  <c:v>4.9715257056265547E-3</c:v>
                </c:pt>
                <c:pt idx="42" formatCode="0.00E+00">
                  <c:v>4.9715257056265547E-3</c:v>
                </c:pt>
                <c:pt idx="43" formatCode="0.00E+00">
                  <c:v>4.9715257056265547E-3</c:v>
                </c:pt>
                <c:pt idx="44" formatCode="0.00E+00">
                  <c:v>4.9715257056265547E-3</c:v>
                </c:pt>
                <c:pt idx="45" formatCode="0.00E+00">
                  <c:v>4.9715257056265547E-3</c:v>
                </c:pt>
                <c:pt idx="46" formatCode="0.00E+00">
                  <c:v>4.9715257056265547E-3</c:v>
                </c:pt>
                <c:pt idx="47" formatCode="0.00E+00">
                  <c:v>4.9715257056265547E-3</c:v>
                </c:pt>
                <c:pt idx="48" formatCode="0.00E+00">
                  <c:v>4.9715257056265547E-3</c:v>
                </c:pt>
                <c:pt idx="49" formatCode="0.00E+00">
                  <c:v>4.9715257056265547E-3</c:v>
                </c:pt>
                <c:pt idx="50" formatCode="0.00E+00">
                  <c:v>4.9715257056265547E-3</c:v>
                </c:pt>
                <c:pt idx="51" formatCode="0.00E+00">
                  <c:v>4.9715257056265547E-3</c:v>
                </c:pt>
                <c:pt idx="52" formatCode="0.00E+00">
                  <c:v>4.9715257056265547E-3</c:v>
                </c:pt>
                <c:pt idx="53" formatCode="0.00E+00">
                  <c:v>4.9715257056265547E-3</c:v>
                </c:pt>
                <c:pt idx="54" formatCode="0.00E+00">
                  <c:v>4.9715257056265547E-3</c:v>
                </c:pt>
                <c:pt idx="55" formatCode="0.00E+00">
                  <c:v>4.9715257056265547E-3</c:v>
                </c:pt>
                <c:pt idx="56" formatCode="0.00E+00">
                  <c:v>4.9715257056265547E-3</c:v>
                </c:pt>
                <c:pt idx="57" formatCode="0.00E+00">
                  <c:v>4.9715257056265547E-3</c:v>
                </c:pt>
                <c:pt idx="58" formatCode="0.00E+00">
                  <c:v>4.9715257056265547E-3</c:v>
                </c:pt>
                <c:pt idx="59" formatCode="0.00E+00">
                  <c:v>4.9715257056265547E-3</c:v>
                </c:pt>
                <c:pt idx="60" formatCode="0.00E+00">
                  <c:v>4.9715257056265547E-3</c:v>
                </c:pt>
                <c:pt idx="61" formatCode="0.00E+00">
                  <c:v>4.9715257056265547E-3</c:v>
                </c:pt>
                <c:pt idx="62" formatCode="0.00E+00">
                  <c:v>4.9715257056265547E-3</c:v>
                </c:pt>
                <c:pt idx="63" formatCode="0.00E+00">
                  <c:v>4.9715257056265547E-3</c:v>
                </c:pt>
                <c:pt idx="64" formatCode="0.00E+00">
                  <c:v>4.9715257056265547E-3</c:v>
                </c:pt>
                <c:pt idx="65" formatCode="0.00E+00">
                  <c:v>4.9715257056265547E-3</c:v>
                </c:pt>
                <c:pt idx="66" formatCode="0.00E+00">
                  <c:v>4.9715257056265547E-3</c:v>
                </c:pt>
                <c:pt idx="67" formatCode="0.00E+00">
                  <c:v>4.9715257056265547E-3</c:v>
                </c:pt>
              </c:numCache>
            </c:numRef>
          </c:val>
          <c:smooth val="0"/>
          <c:extLst>
            <c:ext xmlns:c16="http://schemas.microsoft.com/office/drawing/2014/chart" uri="{C3380CC4-5D6E-409C-BE32-E72D297353CC}">
              <c16:uniqueId val="{00000000-9D85-457C-979A-2B83C354C3CD}"/>
            </c:ext>
          </c:extLst>
        </c:ser>
        <c:dLbls>
          <c:showLegendKey val="0"/>
          <c:showVal val="0"/>
          <c:showCatName val="0"/>
          <c:showSerName val="0"/>
          <c:showPercent val="0"/>
          <c:showBubbleSize val="0"/>
        </c:dLbls>
        <c:smooth val="0"/>
        <c:axId val="135143424"/>
        <c:axId val="135144960"/>
      </c:lineChart>
      <c:catAx>
        <c:axId val="135143424"/>
        <c:scaling>
          <c:orientation val="minMax"/>
        </c:scaling>
        <c:delete val="0"/>
        <c:axPos val="b"/>
        <c:numFmt formatCode="General" sourceLinked="1"/>
        <c:majorTickMark val="out"/>
        <c:minorTickMark val="none"/>
        <c:tickLblPos val="nextTo"/>
        <c:crossAx val="135144960"/>
        <c:crosses val="autoZero"/>
        <c:auto val="1"/>
        <c:lblAlgn val="ctr"/>
        <c:lblOffset val="100"/>
        <c:noMultiLvlLbl val="0"/>
      </c:catAx>
      <c:valAx>
        <c:axId val="135144960"/>
        <c:scaling>
          <c:orientation val="minMax"/>
        </c:scaling>
        <c:delete val="0"/>
        <c:axPos val="l"/>
        <c:majorGridlines/>
        <c:numFmt formatCode="General" sourceLinked="1"/>
        <c:majorTickMark val="out"/>
        <c:minorTickMark val="none"/>
        <c:tickLblPos val="nextTo"/>
        <c:crossAx val="135143424"/>
        <c:crossesAt val="35"/>
        <c:crossBetween val="between"/>
      </c:valAx>
    </c:plotArea>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Extrapolations!$A$13:$B$13</c:f>
              <c:strCache>
                <c:ptCount val="2"/>
                <c:pt idx="0">
                  <c:v>motorbikes</c:v>
                </c:pt>
                <c:pt idx="1">
                  <c:v>psgr</c:v>
                </c:pt>
              </c:strCache>
            </c:strRef>
          </c:tx>
          <c:marker>
            <c:symbol val="none"/>
          </c:marker>
          <c:cat>
            <c:numRef>
              <c:f>Extrapolations!$C$1:$BR$1</c:f>
              <c:numCache>
                <c:formatCode>General</c:formatCode>
                <c:ptCount val="68"/>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pt idx="34">
                  <c:v>2017</c:v>
                </c:pt>
                <c:pt idx="35">
                  <c:v>2018</c:v>
                </c:pt>
                <c:pt idx="36">
                  <c:v>2019</c:v>
                </c:pt>
                <c:pt idx="37">
                  <c:v>2020</c:v>
                </c:pt>
                <c:pt idx="38">
                  <c:v>2021</c:v>
                </c:pt>
                <c:pt idx="39">
                  <c:v>2022</c:v>
                </c:pt>
                <c:pt idx="40">
                  <c:v>2023</c:v>
                </c:pt>
                <c:pt idx="41">
                  <c:v>2024</c:v>
                </c:pt>
                <c:pt idx="42">
                  <c:v>2025</c:v>
                </c:pt>
                <c:pt idx="43">
                  <c:v>2026</c:v>
                </c:pt>
                <c:pt idx="44">
                  <c:v>2027</c:v>
                </c:pt>
                <c:pt idx="45">
                  <c:v>2028</c:v>
                </c:pt>
                <c:pt idx="46">
                  <c:v>2029</c:v>
                </c:pt>
                <c:pt idx="47">
                  <c:v>2030</c:v>
                </c:pt>
                <c:pt idx="48">
                  <c:v>2031</c:v>
                </c:pt>
                <c:pt idx="49">
                  <c:v>2032</c:v>
                </c:pt>
                <c:pt idx="50">
                  <c:v>2033</c:v>
                </c:pt>
                <c:pt idx="51">
                  <c:v>2034</c:v>
                </c:pt>
                <c:pt idx="52">
                  <c:v>2035</c:v>
                </c:pt>
                <c:pt idx="53">
                  <c:v>2036</c:v>
                </c:pt>
                <c:pt idx="54">
                  <c:v>2037</c:v>
                </c:pt>
                <c:pt idx="55">
                  <c:v>2038</c:v>
                </c:pt>
                <c:pt idx="56">
                  <c:v>2039</c:v>
                </c:pt>
                <c:pt idx="57">
                  <c:v>2040</c:v>
                </c:pt>
                <c:pt idx="58">
                  <c:v>2041</c:v>
                </c:pt>
                <c:pt idx="59">
                  <c:v>2042</c:v>
                </c:pt>
                <c:pt idx="60">
                  <c:v>2043</c:v>
                </c:pt>
                <c:pt idx="61">
                  <c:v>2044</c:v>
                </c:pt>
                <c:pt idx="62">
                  <c:v>2045</c:v>
                </c:pt>
                <c:pt idx="63">
                  <c:v>2046</c:v>
                </c:pt>
                <c:pt idx="64">
                  <c:v>2047</c:v>
                </c:pt>
                <c:pt idx="65">
                  <c:v>2048</c:v>
                </c:pt>
                <c:pt idx="66">
                  <c:v>2049</c:v>
                </c:pt>
                <c:pt idx="67">
                  <c:v>2050</c:v>
                </c:pt>
              </c:numCache>
            </c:numRef>
          </c:cat>
          <c:val>
            <c:numRef>
              <c:f>Extrapolations!$C$13:$BT$13</c:f>
              <c:numCache>
                <c:formatCode>0.00E+00</c:formatCode>
                <c:ptCount val="70"/>
                <c:pt idx="20">
                  <c:v>1.1107106252376128E-3</c:v>
                </c:pt>
                <c:pt idx="21">
                  <c:v>1.1107106252376128E-3</c:v>
                </c:pt>
                <c:pt idx="22">
                  <c:v>1.1107106252376128E-3</c:v>
                </c:pt>
                <c:pt idx="23">
                  <c:v>1.1107106252376128E-3</c:v>
                </c:pt>
                <c:pt idx="24">
                  <c:v>1.1107106252376128E-3</c:v>
                </c:pt>
                <c:pt idx="25">
                  <c:v>1.1107106252376128E-3</c:v>
                </c:pt>
                <c:pt idx="26">
                  <c:v>1.1107106252376128E-3</c:v>
                </c:pt>
                <c:pt idx="27">
                  <c:v>1.1107106252376128E-3</c:v>
                </c:pt>
                <c:pt idx="28">
                  <c:v>1.1107106252376128E-3</c:v>
                </c:pt>
                <c:pt idx="29">
                  <c:v>1.1107106252376128E-3</c:v>
                </c:pt>
                <c:pt idx="30">
                  <c:v>1.1107106252376128E-3</c:v>
                </c:pt>
                <c:pt idx="31">
                  <c:v>1.1107106252376128E-3</c:v>
                </c:pt>
                <c:pt idx="32">
                  <c:v>1.1107106252376128E-3</c:v>
                </c:pt>
                <c:pt idx="33">
                  <c:v>1.1107106252376128E-3</c:v>
                </c:pt>
                <c:pt idx="34">
                  <c:v>1.1107106252376128E-3</c:v>
                </c:pt>
                <c:pt idx="35">
                  <c:v>1.1107106252376128E-3</c:v>
                </c:pt>
                <c:pt idx="36">
                  <c:v>1.1107106252376128E-3</c:v>
                </c:pt>
                <c:pt idx="37">
                  <c:v>1.110710625237613E-3</c:v>
                </c:pt>
                <c:pt idx="38">
                  <c:v>1.110710625237613E-3</c:v>
                </c:pt>
                <c:pt idx="39">
                  <c:v>1.110710625237613E-3</c:v>
                </c:pt>
                <c:pt idx="40">
                  <c:v>1.110710625237613E-3</c:v>
                </c:pt>
                <c:pt idx="41">
                  <c:v>1.110710625237613E-3</c:v>
                </c:pt>
                <c:pt idx="42">
                  <c:v>1.110710625237613E-3</c:v>
                </c:pt>
                <c:pt idx="43">
                  <c:v>1.110710625237613E-3</c:v>
                </c:pt>
                <c:pt idx="44">
                  <c:v>1.110710625237613E-3</c:v>
                </c:pt>
                <c:pt idx="45">
                  <c:v>1.110710625237613E-3</c:v>
                </c:pt>
                <c:pt idx="46">
                  <c:v>1.110710625237613E-3</c:v>
                </c:pt>
                <c:pt idx="47">
                  <c:v>1.110710625237613E-3</c:v>
                </c:pt>
                <c:pt idx="48">
                  <c:v>1.110710625237613E-3</c:v>
                </c:pt>
                <c:pt idx="49">
                  <c:v>1.110710625237613E-3</c:v>
                </c:pt>
                <c:pt idx="50">
                  <c:v>1.110710625237613E-3</c:v>
                </c:pt>
                <c:pt idx="51">
                  <c:v>1.110710625237613E-3</c:v>
                </c:pt>
                <c:pt idx="52">
                  <c:v>1.110710625237613E-3</c:v>
                </c:pt>
                <c:pt idx="53">
                  <c:v>1.110710625237613E-3</c:v>
                </c:pt>
                <c:pt idx="54">
                  <c:v>1.110710625237613E-3</c:v>
                </c:pt>
                <c:pt idx="55">
                  <c:v>1.110710625237613E-3</c:v>
                </c:pt>
                <c:pt idx="56">
                  <c:v>1.110710625237613E-3</c:v>
                </c:pt>
                <c:pt idx="57">
                  <c:v>1.110710625237613E-3</c:v>
                </c:pt>
                <c:pt idx="58">
                  <c:v>1.110710625237613E-3</c:v>
                </c:pt>
                <c:pt idx="59">
                  <c:v>1.110710625237613E-3</c:v>
                </c:pt>
                <c:pt idx="60">
                  <c:v>1.110710625237613E-3</c:v>
                </c:pt>
                <c:pt idx="61">
                  <c:v>1.110710625237613E-3</c:v>
                </c:pt>
                <c:pt idx="62">
                  <c:v>1.110710625237613E-3</c:v>
                </c:pt>
                <c:pt idx="63">
                  <c:v>1.110710625237613E-3</c:v>
                </c:pt>
                <c:pt idx="64">
                  <c:v>1.110710625237613E-3</c:v>
                </c:pt>
                <c:pt idx="65">
                  <c:v>1.110710625237613E-3</c:v>
                </c:pt>
                <c:pt idx="66">
                  <c:v>1.110710625237613E-3</c:v>
                </c:pt>
                <c:pt idx="67">
                  <c:v>1.110710625237613E-3</c:v>
                </c:pt>
              </c:numCache>
            </c:numRef>
          </c:val>
          <c:smooth val="0"/>
          <c:extLst>
            <c:ext xmlns:c16="http://schemas.microsoft.com/office/drawing/2014/chart" uri="{C3380CC4-5D6E-409C-BE32-E72D297353CC}">
              <c16:uniqueId val="{00000000-D589-495D-B209-DBE27AA2BDA2}"/>
            </c:ext>
          </c:extLst>
        </c:ser>
        <c:dLbls>
          <c:showLegendKey val="0"/>
          <c:showVal val="0"/>
          <c:showCatName val="0"/>
          <c:showSerName val="0"/>
          <c:showPercent val="0"/>
          <c:showBubbleSize val="0"/>
        </c:dLbls>
        <c:smooth val="0"/>
        <c:axId val="135181824"/>
        <c:axId val="135183360"/>
      </c:lineChart>
      <c:catAx>
        <c:axId val="135181824"/>
        <c:scaling>
          <c:orientation val="minMax"/>
        </c:scaling>
        <c:delete val="0"/>
        <c:axPos val="b"/>
        <c:numFmt formatCode="General" sourceLinked="1"/>
        <c:majorTickMark val="out"/>
        <c:minorTickMark val="none"/>
        <c:tickLblPos val="nextTo"/>
        <c:crossAx val="135183360"/>
        <c:crosses val="autoZero"/>
        <c:auto val="1"/>
        <c:lblAlgn val="ctr"/>
        <c:lblOffset val="100"/>
        <c:noMultiLvlLbl val="0"/>
      </c:catAx>
      <c:valAx>
        <c:axId val="135183360"/>
        <c:scaling>
          <c:orientation val="minMax"/>
          <c:min val="0"/>
        </c:scaling>
        <c:delete val="0"/>
        <c:axPos val="l"/>
        <c:majorGridlines/>
        <c:numFmt formatCode="0.00E+00" sourceLinked="1"/>
        <c:majorTickMark val="out"/>
        <c:minorTickMark val="none"/>
        <c:tickLblPos val="nextTo"/>
        <c:crossAx val="135181824"/>
        <c:crossesAt val="35"/>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9525</xdr:colOff>
      <xdr:row>15</xdr:row>
      <xdr:rowOff>0</xdr:rowOff>
    </xdr:from>
    <xdr:to>
      <xdr:col>9</xdr:col>
      <xdr:colOff>314325</xdr:colOff>
      <xdr:row>29</xdr:row>
      <xdr:rowOff>76200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9525</xdr:colOff>
      <xdr:row>30</xdr:row>
      <xdr:rowOff>19050</xdr:rowOff>
    </xdr:from>
    <xdr:to>
      <xdr:col>9</xdr:col>
      <xdr:colOff>314325</xdr:colOff>
      <xdr:row>44</xdr:row>
      <xdr:rowOff>95250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600075</xdr:colOff>
      <xdr:row>14</xdr:row>
      <xdr:rowOff>161925</xdr:rowOff>
    </xdr:from>
    <xdr:to>
      <xdr:col>17</xdr:col>
      <xdr:colOff>295275</xdr:colOff>
      <xdr:row>29</xdr:row>
      <xdr:rowOff>47625</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30</xdr:row>
      <xdr:rowOff>0</xdr:rowOff>
    </xdr:from>
    <xdr:to>
      <xdr:col>17</xdr:col>
      <xdr:colOff>304800</xdr:colOff>
      <xdr:row>44</xdr:row>
      <xdr:rowOff>76200</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0</xdr:colOff>
      <xdr:row>14</xdr:row>
      <xdr:rowOff>180975</xdr:rowOff>
    </xdr:from>
    <xdr:to>
      <xdr:col>25</xdr:col>
      <xdr:colOff>304800</xdr:colOff>
      <xdr:row>29</xdr:row>
      <xdr:rowOff>66675</xdr:rowOff>
    </xdr:to>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19050</xdr:colOff>
      <xdr:row>30</xdr:row>
      <xdr:rowOff>9525</xdr:rowOff>
    </xdr:from>
    <xdr:to>
      <xdr:col>25</xdr:col>
      <xdr:colOff>323850</xdr:colOff>
      <xdr:row>44</xdr:row>
      <xdr:rowOff>85725</xdr:rowOff>
    </xdr:to>
    <xdr:graphicFrame macro="">
      <xdr:nvGraphicFramePr>
        <xdr:cNvPr id="8" name="Chart 7">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0</xdr:colOff>
      <xdr:row>15</xdr:row>
      <xdr:rowOff>9525</xdr:rowOff>
    </xdr:from>
    <xdr:to>
      <xdr:col>33</xdr:col>
      <xdr:colOff>304800</xdr:colOff>
      <xdr:row>29</xdr:row>
      <xdr:rowOff>85725</xdr:rowOff>
    </xdr:to>
    <xdr:graphicFrame macro="">
      <xdr:nvGraphicFramePr>
        <xdr:cNvPr id="9" name="Chart 8">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28575</xdr:colOff>
      <xdr:row>30</xdr:row>
      <xdr:rowOff>9525</xdr:rowOff>
    </xdr:from>
    <xdr:to>
      <xdr:col>33</xdr:col>
      <xdr:colOff>333375</xdr:colOff>
      <xdr:row>44</xdr:row>
      <xdr:rowOff>85725</xdr:rowOff>
    </xdr:to>
    <xdr:graphicFrame macro="">
      <xdr:nvGraphicFramePr>
        <xdr:cNvPr id="10" name="Chart 9">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34</xdr:col>
      <xdr:colOff>0</xdr:colOff>
      <xdr:row>15</xdr:row>
      <xdr:rowOff>9525</xdr:rowOff>
    </xdr:from>
    <xdr:to>
      <xdr:col>42</xdr:col>
      <xdr:colOff>304800</xdr:colOff>
      <xdr:row>29</xdr:row>
      <xdr:rowOff>85725</xdr:rowOff>
    </xdr:to>
    <xdr:graphicFrame macro="">
      <xdr:nvGraphicFramePr>
        <xdr:cNvPr id="11" name="Chart 10">
          <a:extLst>
            <a:ext uri="{FF2B5EF4-FFF2-40B4-BE49-F238E27FC236}">
              <a16:creationId xmlns:a16="http://schemas.microsoft.com/office/drawing/2014/main" id="{00000000-0008-0000-04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34</xdr:col>
      <xdr:colOff>9525</xdr:colOff>
      <xdr:row>30</xdr:row>
      <xdr:rowOff>0</xdr:rowOff>
    </xdr:from>
    <xdr:to>
      <xdr:col>42</xdr:col>
      <xdr:colOff>314325</xdr:colOff>
      <xdr:row>44</xdr:row>
      <xdr:rowOff>76200</xdr:rowOff>
    </xdr:to>
    <xdr:graphicFrame macro="">
      <xdr:nvGraphicFramePr>
        <xdr:cNvPr id="12" name="Chart 11">
          <a:extLst>
            <a:ext uri="{FF2B5EF4-FFF2-40B4-BE49-F238E27FC236}">
              <a16:creationId xmlns:a16="http://schemas.microsoft.com/office/drawing/2014/main" id="{00000000-0008-0000-04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43</xdr:col>
      <xdr:colOff>0</xdr:colOff>
      <xdr:row>15</xdr:row>
      <xdr:rowOff>9525</xdr:rowOff>
    </xdr:from>
    <xdr:to>
      <xdr:col>50</xdr:col>
      <xdr:colOff>304800</xdr:colOff>
      <xdr:row>29</xdr:row>
      <xdr:rowOff>85725</xdr:rowOff>
    </xdr:to>
    <xdr:graphicFrame macro="">
      <xdr:nvGraphicFramePr>
        <xdr:cNvPr id="13" name="Chart 12">
          <a:extLst>
            <a:ext uri="{FF2B5EF4-FFF2-40B4-BE49-F238E27FC236}">
              <a16:creationId xmlns:a16="http://schemas.microsoft.com/office/drawing/2014/main" id="{00000000-0008-0000-04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iesr.or.id/en/" TargetMode="External"/><Relationship Id="rId1" Type="http://schemas.openxmlformats.org/officeDocument/2006/relationships/hyperlink" Target="https://www.eia.gov/outlooks/archive/aeo08/index.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8"/>
  <sheetViews>
    <sheetView tabSelected="1" workbookViewId="0"/>
  </sheetViews>
  <sheetFormatPr defaultColWidth="8.81640625" defaultRowHeight="14.5"/>
  <cols>
    <col min="1" max="1" width="13.36328125" customWidth="1"/>
    <col min="2" max="2" width="107.36328125" customWidth="1"/>
  </cols>
  <sheetData>
    <row r="1" spans="1:2">
      <c r="A1" s="1" t="s">
        <v>14</v>
      </c>
    </row>
    <row r="3" spans="1:2">
      <c r="A3" s="1" t="s">
        <v>0</v>
      </c>
      <c r="B3" s="2" t="s">
        <v>30</v>
      </c>
    </row>
    <row r="4" spans="1:2">
      <c r="B4" s="6" t="s">
        <v>32</v>
      </c>
    </row>
    <row r="5" spans="1:2">
      <c r="B5" s="5"/>
    </row>
    <row r="6" spans="1:2">
      <c r="B6" s="15" t="s">
        <v>15</v>
      </c>
    </row>
    <row r="7" spans="1:2">
      <c r="B7" s="5" t="s">
        <v>59</v>
      </c>
    </row>
    <row r="8" spans="1:2">
      <c r="B8" s="5">
        <v>2008</v>
      </c>
    </row>
    <row r="9" spans="1:2">
      <c r="B9" s="5" t="s">
        <v>72</v>
      </c>
    </row>
    <row r="10" spans="1:2">
      <c r="B10" s="5" t="s">
        <v>73</v>
      </c>
    </row>
    <row r="11" spans="1:2">
      <c r="B11" s="5" t="s">
        <v>74</v>
      </c>
    </row>
    <row r="12" spans="1:2">
      <c r="B12" s="5"/>
    </row>
    <row r="13" spans="1:2">
      <c r="B13" s="2" t="s">
        <v>9</v>
      </c>
    </row>
    <row r="14" spans="1:2">
      <c r="B14" s="6" t="s">
        <v>86</v>
      </c>
    </row>
    <row r="16" spans="1:2">
      <c r="B16" s="2" t="s">
        <v>10</v>
      </c>
    </row>
    <row r="17" spans="1:2">
      <c r="B17" s="6" t="s">
        <v>12</v>
      </c>
    </row>
    <row r="18" spans="1:2">
      <c r="B18" s="5"/>
    </row>
    <row r="19" spans="1:2">
      <c r="B19" s="2" t="s">
        <v>31</v>
      </c>
    </row>
    <row r="20" spans="1:2">
      <c r="B20" s="6" t="s">
        <v>20</v>
      </c>
    </row>
    <row r="21" spans="1:2">
      <c r="B21" s="6"/>
    </row>
    <row r="22" spans="1:2">
      <c r="B22" s="2" t="s">
        <v>83</v>
      </c>
    </row>
    <row r="23" spans="1:2">
      <c r="B23" s="6" t="s">
        <v>82</v>
      </c>
    </row>
    <row r="24" spans="1:2">
      <c r="B24" s="6"/>
    </row>
    <row r="25" spans="1:2">
      <c r="A25" s="31" t="s">
        <v>99</v>
      </c>
    </row>
    <row r="27" spans="1:2" ht="15.5">
      <c r="A27" s="32" t="s">
        <v>64</v>
      </c>
      <c r="B27" t="s">
        <v>100</v>
      </c>
    </row>
    <row r="28" spans="1:2">
      <c r="B28" s="18" t="s">
        <v>101</v>
      </c>
    </row>
    <row r="34" spans="1:2" ht="87">
      <c r="A34" s="33" t="s">
        <v>102</v>
      </c>
      <c r="B34" s="34" t="s">
        <v>103</v>
      </c>
    </row>
    <row r="35" spans="1:2">
      <c r="B35" s="6"/>
    </row>
    <row r="36" spans="1:2">
      <c r="B36" s="6"/>
    </row>
    <row r="37" spans="1:2">
      <c r="B37" s="6"/>
    </row>
    <row r="38" spans="1:2">
      <c r="B38" s="6"/>
    </row>
    <row r="39" spans="1:2">
      <c r="B39" s="6"/>
    </row>
    <row r="40" spans="1:2">
      <c r="B40" s="6"/>
    </row>
    <row r="41" spans="1:2">
      <c r="B41" s="6"/>
    </row>
    <row r="42" spans="1:2">
      <c r="B42" s="6"/>
    </row>
    <row r="43" spans="1:2">
      <c r="B43" s="6"/>
    </row>
    <row r="45" spans="1:2">
      <c r="A45" s="1" t="s">
        <v>1</v>
      </c>
    </row>
    <row r="46" spans="1:2">
      <c r="A46" t="s">
        <v>33</v>
      </c>
    </row>
    <row r="47" spans="1:2">
      <c r="A47" t="s">
        <v>34</v>
      </c>
    </row>
    <row r="48" spans="1:2">
      <c r="A48" t="s">
        <v>35</v>
      </c>
    </row>
    <row r="49" spans="1:1">
      <c r="A49" t="s">
        <v>36</v>
      </c>
    </row>
    <row r="50" spans="1:1">
      <c r="A50" t="s">
        <v>96</v>
      </c>
    </row>
    <row r="51" spans="1:1">
      <c r="A51" t="s">
        <v>95</v>
      </c>
    </row>
    <row r="53" spans="1:1">
      <c r="A53" t="s">
        <v>43</v>
      </c>
    </row>
    <row r="54" spans="1:1">
      <c r="A54" t="s">
        <v>44</v>
      </c>
    </row>
    <row r="55" spans="1:1">
      <c r="A55" t="s">
        <v>37</v>
      </c>
    </row>
    <row r="56" spans="1:1">
      <c r="A56" t="s">
        <v>45</v>
      </c>
    </row>
    <row r="57" spans="1:1">
      <c r="A57" t="s">
        <v>46</v>
      </c>
    </row>
    <row r="58" spans="1:1">
      <c r="A58" t="s">
        <v>47</v>
      </c>
    </row>
    <row r="59" spans="1:1">
      <c r="A59" t="s">
        <v>48</v>
      </c>
    </row>
    <row r="61" spans="1:1">
      <c r="A61" t="s">
        <v>38</v>
      </c>
    </row>
    <row r="62" spans="1:1">
      <c r="A62" t="s">
        <v>39</v>
      </c>
    </row>
    <row r="63" spans="1:1">
      <c r="A63" t="s">
        <v>40</v>
      </c>
    </row>
    <row r="64" spans="1:1">
      <c r="A64" t="s">
        <v>41</v>
      </c>
    </row>
    <row r="65" spans="1:1">
      <c r="A65" t="s">
        <v>42</v>
      </c>
    </row>
    <row r="67" spans="1:1">
      <c r="A67" t="s">
        <v>97</v>
      </c>
    </row>
    <row r="68" spans="1:1">
      <c r="A68" t="s">
        <v>98</v>
      </c>
    </row>
  </sheetData>
  <hyperlinks>
    <hyperlink ref="B10" r:id="rId1" xr:uid="{00000000-0004-0000-0000-000000000000}"/>
    <hyperlink ref="B28" r:id="rId2" xr:uid="{A8A7CEFE-53E7-4745-AA1A-01ECB307144F}"/>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30"/>
  <sheetViews>
    <sheetView workbookViewId="0">
      <selection activeCell="B37" sqref="B37"/>
    </sheetView>
  </sheetViews>
  <sheetFormatPr defaultColWidth="8.81640625" defaultRowHeight="14.5"/>
  <cols>
    <col min="1" max="1" width="18.36328125" customWidth="1"/>
    <col min="2" max="2" width="16.36328125" customWidth="1"/>
    <col min="3" max="3" width="30.6328125" customWidth="1"/>
  </cols>
  <sheetData>
    <row r="1" spans="1:38">
      <c r="A1" t="s">
        <v>23</v>
      </c>
    </row>
    <row r="2" spans="1:38">
      <c r="A2" t="s">
        <v>24</v>
      </c>
    </row>
    <row r="3" spans="1:38">
      <c r="A3" t="s">
        <v>25</v>
      </c>
    </row>
    <row r="4" spans="1:38">
      <c r="A4" t="s">
        <v>26</v>
      </c>
    </row>
    <row r="6" spans="1:38">
      <c r="A6" s="2" t="s">
        <v>27</v>
      </c>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row>
    <row r="7" spans="1:38">
      <c r="A7" s="1" t="s">
        <v>28</v>
      </c>
      <c r="B7" s="1" t="s">
        <v>29</v>
      </c>
      <c r="C7" s="1"/>
      <c r="D7">
        <v>2020</v>
      </c>
      <c r="E7">
        <v>2021</v>
      </c>
      <c r="F7">
        <v>2022</v>
      </c>
      <c r="G7">
        <v>2023</v>
      </c>
      <c r="H7">
        <v>2024</v>
      </c>
      <c r="I7">
        <v>2025</v>
      </c>
      <c r="J7">
        <v>2026</v>
      </c>
      <c r="K7">
        <v>2027</v>
      </c>
      <c r="L7">
        <v>2028</v>
      </c>
      <c r="M7">
        <v>2029</v>
      </c>
      <c r="N7">
        <v>2030</v>
      </c>
      <c r="O7">
        <v>2031</v>
      </c>
      <c r="P7">
        <v>2032</v>
      </c>
      <c r="Q7">
        <v>2033</v>
      </c>
      <c r="R7">
        <v>2034</v>
      </c>
      <c r="S7">
        <v>2035</v>
      </c>
      <c r="T7">
        <v>2036</v>
      </c>
      <c r="U7">
        <v>2037</v>
      </c>
      <c r="V7">
        <v>2038</v>
      </c>
      <c r="W7">
        <v>2039</v>
      </c>
      <c r="X7">
        <v>2040</v>
      </c>
      <c r="Y7">
        <v>2041</v>
      </c>
      <c r="Z7">
        <v>2042</v>
      </c>
      <c r="AA7">
        <v>2043</v>
      </c>
      <c r="AB7">
        <v>2044</v>
      </c>
      <c r="AC7">
        <v>2045</v>
      </c>
      <c r="AD7">
        <v>2046</v>
      </c>
      <c r="AE7">
        <v>2047</v>
      </c>
      <c r="AF7">
        <v>2048</v>
      </c>
      <c r="AG7">
        <v>2049</v>
      </c>
      <c r="AH7">
        <v>2050</v>
      </c>
    </row>
    <row r="8" spans="1:38">
      <c r="A8" t="s">
        <v>15</v>
      </c>
      <c r="B8" t="s">
        <v>21</v>
      </c>
      <c r="C8" t="s">
        <v>4</v>
      </c>
      <c r="D8" s="4">
        <v>3.7068404566156505E-4</v>
      </c>
      <c r="E8" s="4">
        <v>3.8286968063361244E-4</v>
      </c>
      <c r="F8" s="4">
        <v>3.8999540362380768E-4</v>
      </c>
      <c r="G8" s="4">
        <v>3.9439145706872869E-4</v>
      </c>
      <c r="H8" s="4">
        <v>3.9758791642567675E-4</v>
      </c>
      <c r="I8" s="4">
        <v>4.1670440259151796E-4</v>
      </c>
      <c r="J8" s="4">
        <v>4.5449874343080136E-4</v>
      </c>
      <c r="K8" s="4">
        <v>4.5571840174311271E-4</v>
      </c>
      <c r="L8" s="4">
        <v>4.5632492494806224E-4</v>
      </c>
      <c r="M8" s="4">
        <v>4.5682343934192723E-4</v>
      </c>
      <c r="N8" s="4">
        <v>4.5864796428233097E-4</v>
      </c>
      <c r="O8" s="4">
        <v>4.5942511490356416E-4</v>
      </c>
      <c r="P8" s="4">
        <v>4.6038567019040524E-4</v>
      </c>
      <c r="Q8" s="4">
        <v>4.6137990440500237E-4</v>
      </c>
      <c r="R8" s="4">
        <v>4.627584500454361E-4</v>
      </c>
      <c r="S8" s="4">
        <v>4.6332164296180965E-4</v>
      </c>
      <c r="T8" s="4">
        <v>4.6388593065941057E-4</v>
      </c>
      <c r="U8" s="4">
        <v>4.6479081055883617E-4</v>
      </c>
      <c r="V8" s="4">
        <v>4.6598088096797761E-4</v>
      </c>
      <c r="W8" s="4">
        <v>4.6672534660756901E-4</v>
      </c>
      <c r="X8" s="4">
        <v>4.6768413007742366E-4</v>
      </c>
      <c r="Y8" s="4">
        <v>4.6835837126328925E-4</v>
      </c>
      <c r="Z8" s="4">
        <v>4.6888408232764332E-4</v>
      </c>
      <c r="AA8" s="4">
        <v>4.6949898925199146E-4</v>
      </c>
      <c r="AB8" s="4">
        <v>4.7032072339820558E-4</v>
      </c>
      <c r="AC8" s="4">
        <v>4.7135545011319722E-4</v>
      </c>
      <c r="AD8" s="4">
        <v>4.7215508696463892E-4</v>
      </c>
      <c r="AE8" s="4">
        <v>4.730119981602886E-4</v>
      </c>
      <c r="AF8" s="4">
        <v>4.737905892831368E-4</v>
      </c>
      <c r="AG8" s="4">
        <v>4.7491927991846777E-4</v>
      </c>
      <c r="AH8" s="4">
        <v>4.7615242132589445E-4</v>
      </c>
      <c r="AI8" s="4"/>
      <c r="AJ8" s="4"/>
      <c r="AK8" s="4"/>
      <c r="AL8" s="4"/>
    </row>
    <row r="9" spans="1:38">
      <c r="A9" t="s">
        <v>15</v>
      </c>
      <c r="B9" t="s">
        <v>22</v>
      </c>
      <c r="C9" t="s">
        <v>4</v>
      </c>
      <c r="D9" s="4">
        <v>1.157863591831631E-4</v>
      </c>
      <c r="E9" s="4">
        <v>1.1589922337335911E-4</v>
      </c>
      <c r="F9" s="4">
        <v>1.1538533736033749E-4</v>
      </c>
      <c r="G9" s="4">
        <v>1.1535674989351573E-4</v>
      </c>
      <c r="H9" s="4">
        <v>1.1555682727052541E-4</v>
      </c>
      <c r="I9" s="4">
        <v>1.1619447640903485E-4</v>
      </c>
      <c r="J9" s="4">
        <v>1.1675875263243092E-4</v>
      </c>
      <c r="K9" s="4">
        <v>1.170886675606406E-4</v>
      </c>
      <c r="L9" s="4">
        <v>1.1617580985063572E-4</v>
      </c>
      <c r="M9" s="4">
        <v>1.1591329821118029E-4</v>
      </c>
      <c r="N9" s="4">
        <v>1.1553838100461461E-4</v>
      </c>
      <c r="O9" s="4">
        <v>1.1496830903628264E-4</v>
      </c>
      <c r="P9" s="4">
        <v>1.1417779457660161E-4</v>
      </c>
      <c r="Q9" s="4">
        <v>1.1321126528769265E-4</v>
      </c>
      <c r="R9" s="4">
        <v>1.1235905420307894E-4</v>
      </c>
      <c r="S9" s="4">
        <v>1.113973304748738E-4</v>
      </c>
      <c r="T9" s="4">
        <v>1.1073582017040977E-4</v>
      </c>
      <c r="U9" s="4">
        <v>1.099531339020346E-4</v>
      </c>
      <c r="V9" s="4">
        <v>1.0948773622007766E-4</v>
      </c>
      <c r="W9" s="4">
        <v>1.0913516582552083E-4</v>
      </c>
      <c r="X9" s="4">
        <v>1.0884247723484658E-4</v>
      </c>
      <c r="Y9" s="4">
        <v>1.085933825763662E-4</v>
      </c>
      <c r="Z9" s="4">
        <v>1.083443267474224E-4</v>
      </c>
      <c r="AA9" s="4">
        <v>1.0815629409531245E-4</v>
      </c>
      <c r="AB9" s="4">
        <v>1.0799885128162017E-4</v>
      </c>
      <c r="AC9" s="4">
        <v>1.078432358858381E-4</v>
      </c>
      <c r="AD9" s="4">
        <v>1.0772424981274788E-4</v>
      </c>
      <c r="AE9" s="4">
        <v>1.0749204222981193E-4</v>
      </c>
      <c r="AF9" s="4">
        <v>1.0725768900406794E-4</v>
      </c>
      <c r="AG9" s="4">
        <v>1.0704107117361582E-4</v>
      </c>
      <c r="AH9" s="4">
        <v>1.0682755170917861E-4</v>
      </c>
      <c r="AI9" s="4"/>
      <c r="AJ9" s="4"/>
      <c r="AK9" s="4"/>
      <c r="AL9" s="4"/>
    </row>
    <row r="10" spans="1:38">
      <c r="A10" t="s">
        <v>8</v>
      </c>
      <c r="B10" t="s">
        <v>21</v>
      </c>
      <c r="C10" t="s">
        <v>5</v>
      </c>
      <c r="D10" s="4">
        <v>9.8533458931645266E-4</v>
      </c>
      <c r="E10" s="4">
        <v>9.988021364476826E-4</v>
      </c>
      <c r="F10" s="4">
        <v>1.0144915989479513E-3</v>
      </c>
      <c r="G10" s="4">
        <v>1.0338641499362739E-3</v>
      </c>
      <c r="H10" s="4">
        <v>1.0578483957153595E-3</v>
      </c>
      <c r="I10" s="4">
        <v>1.0855563574924357E-3</v>
      </c>
      <c r="J10" s="4">
        <v>1.1154933208321449E-3</v>
      </c>
      <c r="K10" s="4">
        <v>1.146433059300843E-3</v>
      </c>
      <c r="L10" s="4">
        <v>1.162195430859642E-3</v>
      </c>
      <c r="M10" s="4">
        <v>1.1852372128907688E-3</v>
      </c>
      <c r="N10" s="4">
        <v>1.2047747934543398E-3</v>
      </c>
      <c r="O10" s="4">
        <v>1.2221312436297778E-3</v>
      </c>
      <c r="P10" s="4">
        <v>1.2324377185343545E-3</v>
      </c>
      <c r="Q10" s="4">
        <v>1.2337189023360906E-3</v>
      </c>
      <c r="R10" s="4">
        <v>1.2346974269358923E-3</v>
      </c>
      <c r="S10" s="4">
        <v>1.2348004129494538E-3</v>
      </c>
      <c r="T10" s="4">
        <v>1.2352948717913239E-3</v>
      </c>
      <c r="U10" s="4">
        <v>1.2357035089552255E-3</v>
      </c>
      <c r="V10" s="4">
        <v>1.2358091719752555E-3</v>
      </c>
      <c r="W10" s="4">
        <v>1.2356633538581946E-3</v>
      </c>
      <c r="X10" s="4">
        <v>1.2356553228387885E-3</v>
      </c>
      <c r="Y10" s="4">
        <v>1.2356638262711007E-3</v>
      </c>
      <c r="Z10" s="4">
        <v>1.2356742193550382E-3</v>
      </c>
      <c r="AA10" s="4">
        <v>1.2356002079997265E-3</v>
      </c>
      <c r="AB10" s="4">
        <v>1.2356762664776318E-3</v>
      </c>
      <c r="AC10" s="4">
        <v>1.2358724753046924E-3</v>
      </c>
      <c r="AD10" s="4">
        <v>1.2358611373949426E-3</v>
      </c>
      <c r="AE10" s="4">
        <v>1.236194345964814E-3</v>
      </c>
      <c r="AF10" s="4">
        <v>1.2367163622262144E-3</v>
      </c>
      <c r="AG10" s="4">
        <v>1.2373051461783645E-3</v>
      </c>
      <c r="AH10" s="4">
        <v>1.2379718782600448E-3</v>
      </c>
      <c r="AI10" s="4"/>
      <c r="AJ10" s="4"/>
      <c r="AK10" s="4"/>
      <c r="AL10" s="4"/>
    </row>
    <row r="11" spans="1:38">
      <c r="A11" t="s">
        <v>8</v>
      </c>
      <c r="B11" t="s">
        <v>22</v>
      </c>
      <c r="C11" t="s">
        <v>5</v>
      </c>
      <c r="D11" s="4">
        <v>7.2928093510090471E-4</v>
      </c>
      <c r="E11" s="4">
        <v>7.3924874245474208E-4</v>
      </c>
      <c r="F11" s="4">
        <v>7.508610678592162E-4</v>
      </c>
      <c r="G11" s="4">
        <v>7.6519937715357957E-4</v>
      </c>
      <c r="H11" s="4">
        <v>7.8295096466416878E-4</v>
      </c>
      <c r="I11" s="4">
        <v>8.0345860591986078E-4</v>
      </c>
      <c r="J11" s="4">
        <v>8.2561600996837806E-4</v>
      </c>
      <c r="K11" s="4">
        <v>8.4851560331147032E-4</v>
      </c>
      <c r="L11" s="4">
        <v>8.6018189128557194E-4</v>
      </c>
      <c r="M11" s="4">
        <v>8.7723592808510082E-4</v>
      </c>
      <c r="N11" s="4">
        <v>8.9169638159754131E-4</v>
      </c>
      <c r="O11" s="4">
        <v>9.0454250346438524E-4</v>
      </c>
      <c r="P11" s="4">
        <v>9.1217068960288046E-4</v>
      </c>
      <c r="Q11" s="4">
        <v>9.1311893899054719E-4</v>
      </c>
      <c r="R11" s="4">
        <v>9.1384317961185513E-4</v>
      </c>
      <c r="S11" s="4">
        <v>9.1391940319832696E-4</v>
      </c>
      <c r="T11" s="4">
        <v>9.1428536965325259E-4</v>
      </c>
      <c r="U11" s="4">
        <v>9.1458781645278495E-4</v>
      </c>
      <c r="V11" s="4">
        <v>9.1466602138630556E-4</v>
      </c>
      <c r="W11" s="4">
        <v>9.1455809624705047E-4</v>
      </c>
      <c r="X11" s="4">
        <v>9.145521522059036E-4</v>
      </c>
      <c r="Y11" s="4">
        <v>9.1455844589652965E-4</v>
      </c>
      <c r="Z11" s="4">
        <v>9.1456613818507277E-4</v>
      </c>
      <c r="AA11" s="4">
        <v>9.1451135976666027E-4</v>
      </c>
      <c r="AB11" s="4">
        <v>9.1456765333281604E-4</v>
      </c>
      <c r="AC11" s="4">
        <v>9.1471287441652219E-4</v>
      </c>
      <c r="AD11" s="4">
        <v>9.147044828290207E-4</v>
      </c>
      <c r="AE11" s="4">
        <v>9.1495110226170301E-4</v>
      </c>
      <c r="AF11" s="4">
        <v>9.153374649362501E-4</v>
      </c>
      <c r="AG11" s="4">
        <v>9.1577324473719485E-4</v>
      </c>
      <c r="AH11" s="4">
        <v>9.1626671670221223E-4</v>
      </c>
      <c r="AI11" s="4"/>
      <c r="AJ11" s="4"/>
      <c r="AK11" s="4"/>
      <c r="AL11" s="4"/>
    </row>
    <row r="12" spans="1:38">
      <c r="A12" t="s">
        <v>7</v>
      </c>
      <c r="B12" t="s">
        <v>21</v>
      </c>
      <c r="C12" t="s">
        <v>5</v>
      </c>
      <c r="D12" s="4">
        <v>4.6616941125958422E-4</v>
      </c>
      <c r="E12" s="4">
        <v>4.7399299019600609E-4</v>
      </c>
      <c r="F12" s="4">
        <v>4.7625318028902199E-4</v>
      </c>
      <c r="G12" s="4">
        <v>4.7962763511951036E-4</v>
      </c>
      <c r="H12" s="4">
        <v>4.8472425299335046E-4</v>
      </c>
      <c r="I12" s="4">
        <v>4.8856488811023198E-4</v>
      </c>
      <c r="J12" s="4">
        <v>4.9188761878420821E-4</v>
      </c>
      <c r="K12" s="4">
        <v>4.9507465640706257E-4</v>
      </c>
      <c r="L12" s="4">
        <v>4.9827927013588579E-4</v>
      </c>
      <c r="M12" s="4">
        <v>5.0141938782536798E-4</v>
      </c>
      <c r="N12" s="4">
        <v>5.0473115148176617E-4</v>
      </c>
      <c r="O12" s="4">
        <v>5.0816899974300608E-4</v>
      </c>
      <c r="P12" s="4">
        <v>5.1181801067543291E-4</v>
      </c>
      <c r="Q12" s="4">
        <v>5.1566570773780435E-4</v>
      </c>
      <c r="R12" s="4">
        <v>5.1961420160206843E-4</v>
      </c>
      <c r="S12" s="4">
        <v>5.2372057195217224E-4</v>
      </c>
      <c r="T12" s="4">
        <v>5.2782108797571725E-4</v>
      </c>
      <c r="U12" s="4">
        <v>5.3191930033488766E-4</v>
      </c>
      <c r="V12" s="4">
        <v>5.3596468592895642E-4</v>
      </c>
      <c r="W12" s="4">
        <v>5.3988919149325191E-4</v>
      </c>
      <c r="X12" s="4">
        <v>5.4375065803669985E-4</v>
      </c>
      <c r="Y12" s="4">
        <v>5.4758253135318239E-4</v>
      </c>
      <c r="Z12" s="4">
        <v>5.5141485752676429E-4</v>
      </c>
      <c r="AA12" s="4">
        <v>5.5528893843752823E-4</v>
      </c>
      <c r="AB12" s="4">
        <v>5.5903874617184749E-4</v>
      </c>
      <c r="AC12" s="4">
        <v>5.6267984194975651E-4</v>
      </c>
      <c r="AD12" s="4">
        <v>5.6625804309603806E-4</v>
      </c>
      <c r="AE12" s="4">
        <v>5.6976670114342325E-4</v>
      </c>
      <c r="AF12" s="4">
        <v>5.7342146795521316E-4</v>
      </c>
      <c r="AG12" s="4">
        <v>5.770408790975283E-4</v>
      </c>
      <c r="AH12" s="4">
        <v>5.8064146713606509E-4</v>
      </c>
      <c r="AI12" s="4"/>
      <c r="AJ12" s="4"/>
      <c r="AK12" s="4"/>
      <c r="AL12" s="4"/>
    </row>
    <row r="13" spans="1:38">
      <c r="A13" t="s">
        <v>7</v>
      </c>
      <c r="B13" t="s">
        <v>22</v>
      </c>
      <c r="C13" t="s">
        <v>5</v>
      </c>
      <c r="D13" s="4">
        <v>1.2002512973417359E-4</v>
      </c>
      <c r="E13" s="4">
        <v>1.2203947485023846E-4</v>
      </c>
      <c r="F13" s="4">
        <v>1.2262140837608938E-4</v>
      </c>
      <c r="G13" s="4">
        <v>1.2349023281851067E-4</v>
      </c>
      <c r="H13" s="4">
        <v>1.2480246439513921E-4</v>
      </c>
      <c r="I13" s="4">
        <v>1.2579131676732679E-4</v>
      </c>
      <c r="J13" s="4">
        <v>1.2664682373664536E-4</v>
      </c>
      <c r="K13" s="4">
        <v>1.2746739367304943E-4</v>
      </c>
      <c r="L13" s="4">
        <v>1.282924889479853E-4</v>
      </c>
      <c r="M13" s="4">
        <v>1.2910097835968289E-4</v>
      </c>
      <c r="N13" s="4">
        <v>1.2995366163942465E-4</v>
      </c>
      <c r="O13" s="4">
        <v>1.3083880805528838E-4</v>
      </c>
      <c r="P13" s="4">
        <v>1.3177832274670185E-4</v>
      </c>
      <c r="Q13" s="4">
        <v>1.3276899336543915E-4</v>
      </c>
      <c r="R13" s="4">
        <v>1.3378561624301569E-4</v>
      </c>
      <c r="S13" s="4">
        <v>1.3484288774582846E-4</v>
      </c>
      <c r="T13" s="4">
        <v>1.3589865192901079E-4</v>
      </c>
      <c r="U13" s="4">
        <v>1.3695382298529812E-4</v>
      </c>
      <c r="V13" s="4">
        <v>1.3799539267868687E-4</v>
      </c>
      <c r="W13" s="4">
        <v>1.3900583926338301E-4</v>
      </c>
      <c r="X13" s="4">
        <v>1.4000005512492829E-4</v>
      </c>
      <c r="Y13" s="4">
        <v>1.409866515871308E-4</v>
      </c>
      <c r="Z13" s="4">
        <v>1.4197336464692809E-4</v>
      </c>
      <c r="AA13" s="4">
        <v>1.4297082834292379E-4</v>
      </c>
      <c r="AB13" s="4">
        <v>1.4393629529317647E-4</v>
      </c>
      <c r="AC13" s="4">
        <v>1.4487377206141239E-4</v>
      </c>
      <c r="AD13" s="4">
        <v>1.4579505528254221E-4</v>
      </c>
      <c r="AE13" s="4">
        <v>1.4669843316868957E-4</v>
      </c>
      <c r="AF13" s="4">
        <v>1.4763942983243028E-4</v>
      </c>
      <c r="AG13" s="4">
        <v>1.4857132343468077E-4</v>
      </c>
      <c r="AH13" s="4">
        <v>1.494983706325589E-4</v>
      </c>
      <c r="AI13" s="4"/>
      <c r="AJ13" s="4"/>
      <c r="AK13" s="4"/>
      <c r="AL13" s="4"/>
    </row>
    <row r="14" spans="1:38">
      <c r="A14" t="s">
        <v>16</v>
      </c>
      <c r="B14" t="s">
        <v>21</v>
      </c>
      <c r="C14" t="s">
        <v>5</v>
      </c>
      <c r="D14" s="4">
        <v>3.8868922094850749E-4</v>
      </c>
      <c r="E14" s="4">
        <v>3.8835964956971156E-4</v>
      </c>
      <c r="F14" s="4">
        <v>3.8810530909215343E-4</v>
      </c>
      <c r="G14" s="4">
        <v>3.8794345419032003E-4</v>
      </c>
      <c r="H14" s="4">
        <v>3.8779756085887974E-4</v>
      </c>
      <c r="I14" s="4">
        <v>3.8768659775611613E-4</v>
      </c>
      <c r="J14" s="4">
        <v>3.8756372155893972E-4</v>
      </c>
      <c r="K14" s="4">
        <v>3.8743413448561116E-4</v>
      </c>
      <c r="L14" s="4">
        <v>3.8741625203614658E-4</v>
      </c>
      <c r="M14" s="4">
        <v>3.8738694289951122E-4</v>
      </c>
      <c r="N14" s="4">
        <v>3.8727323156960051E-4</v>
      </c>
      <c r="O14" s="4">
        <v>3.872801832305252E-4</v>
      </c>
      <c r="P14" s="4">
        <v>3.8723285633958973E-4</v>
      </c>
      <c r="Q14" s="4">
        <v>3.8719654146009873E-4</v>
      </c>
      <c r="R14" s="4">
        <v>3.8712836957078314E-4</v>
      </c>
      <c r="S14" s="4">
        <v>3.8710174375942578E-4</v>
      </c>
      <c r="T14" s="4">
        <v>3.8701959513390749E-4</v>
      </c>
      <c r="U14" s="4">
        <v>3.8693459130790495E-4</v>
      </c>
      <c r="V14" s="4">
        <v>3.8684314096127021E-4</v>
      </c>
      <c r="W14" s="4">
        <v>3.8675224209457141E-4</v>
      </c>
      <c r="X14" s="4">
        <v>3.8662639724460569E-4</v>
      </c>
      <c r="Y14" s="4">
        <v>3.8650753548999096E-4</v>
      </c>
      <c r="Z14" s="4">
        <v>3.8637937383671609E-4</v>
      </c>
      <c r="AA14" s="4">
        <v>3.8623677194928995E-4</v>
      </c>
      <c r="AB14" s="4">
        <v>3.8608334518532407E-4</v>
      </c>
      <c r="AC14" s="4">
        <v>3.8590701122559256E-4</v>
      </c>
      <c r="AD14" s="4">
        <v>3.8573556454320505E-4</v>
      </c>
      <c r="AE14" s="4">
        <v>3.8555651429608934E-4</v>
      </c>
      <c r="AF14" s="4">
        <v>3.8536129241038667E-4</v>
      </c>
      <c r="AG14" s="4">
        <v>3.8512787391125356E-4</v>
      </c>
      <c r="AH14" s="4">
        <v>3.8487689875144672E-4</v>
      </c>
      <c r="AI14" s="4"/>
      <c r="AJ14" s="4"/>
      <c r="AK14" s="4"/>
      <c r="AL14" s="4"/>
    </row>
    <row r="15" spans="1:38">
      <c r="A15" t="s">
        <v>16</v>
      </c>
      <c r="B15" t="s">
        <v>21</v>
      </c>
      <c r="C15" t="s">
        <v>2</v>
      </c>
      <c r="D15" s="4">
        <v>1.2490429545241593E-3</v>
      </c>
      <c r="E15" s="4">
        <v>1.2479838852561889E-3</v>
      </c>
      <c r="F15" s="4">
        <v>1.2471665685815224E-3</v>
      </c>
      <c r="G15" s="4">
        <v>1.2466464519590526E-3</v>
      </c>
      <c r="H15" s="4">
        <v>1.2461776274382624E-3</v>
      </c>
      <c r="I15" s="4">
        <v>1.2458210503215087E-3</v>
      </c>
      <c r="J15" s="4">
        <v>1.2454261907779705E-3</v>
      </c>
      <c r="K15" s="4">
        <v>1.2450097660041024E-3</v>
      </c>
      <c r="L15" s="4">
        <v>1.2449523012062393E-3</v>
      </c>
      <c r="M15" s="4">
        <v>1.2448581170389291E-3</v>
      </c>
      <c r="N15" s="4">
        <v>1.244492708563932E-3</v>
      </c>
      <c r="O15" s="4">
        <v>1.2445150475500222E-3</v>
      </c>
      <c r="P15" s="4">
        <v>1.244362963786191E-3</v>
      </c>
      <c r="Q15" s="4">
        <v>1.2442462668418766E-3</v>
      </c>
      <c r="R15" s="4">
        <v>1.2440271982043711E-3</v>
      </c>
      <c r="S15" s="4">
        <v>1.2439416368347936E-3</v>
      </c>
      <c r="T15" s="4">
        <v>1.2436776543099449E-3</v>
      </c>
      <c r="U15" s="4">
        <v>1.2434044966707469E-3</v>
      </c>
      <c r="V15" s="4">
        <v>1.2431106233009778E-3</v>
      </c>
      <c r="W15" s="4">
        <v>1.242818522097998E-3</v>
      </c>
      <c r="X15" s="4">
        <v>1.2424141228640053E-3</v>
      </c>
      <c r="Y15" s="4">
        <v>1.2420321636298346E-3</v>
      </c>
      <c r="Z15" s="4">
        <v>1.241620319407161E-3</v>
      </c>
      <c r="AA15" s="4">
        <v>1.2411620718582406E-3</v>
      </c>
      <c r="AB15" s="4">
        <v>1.240669038843074E-3</v>
      </c>
      <c r="AC15" s="4">
        <v>1.2401023941352315E-3</v>
      </c>
      <c r="AD15" s="4">
        <v>1.2395514545691941E-3</v>
      </c>
      <c r="AE15" s="4">
        <v>1.2389760811407262E-3</v>
      </c>
      <c r="AF15" s="4">
        <v>1.2383487405617649E-3</v>
      </c>
      <c r="AG15" s="4">
        <v>1.2375986561341948E-3</v>
      </c>
      <c r="AH15" s="4">
        <v>1.236792153822779E-3</v>
      </c>
      <c r="AI15" s="4"/>
      <c r="AJ15" s="4"/>
      <c r="AK15" s="4"/>
      <c r="AL15" s="4"/>
    </row>
    <row r="16" spans="1:38">
      <c r="A16" t="s">
        <v>16</v>
      </c>
      <c r="B16" t="s">
        <v>22</v>
      </c>
      <c r="C16" t="s">
        <v>5</v>
      </c>
      <c r="D16" s="4">
        <v>3.4893709999999998E-3</v>
      </c>
      <c r="E16" s="4">
        <v>3.5120030000000001E-3</v>
      </c>
      <c r="F16" s="4">
        <v>3.5347819999999998E-3</v>
      </c>
      <c r="G16" s="4">
        <v>3.55771E-3</v>
      </c>
      <c r="H16" s="4">
        <v>3.580785E-3</v>
      </c>
      <c r="I16" s="4">
        <v>3.6040100000000004E-3</v>
      </c>
      <c r="J16" s="4">
        <v>3.6273859999999998E-3</v>
      </c>
      <c r="K16" s="4">
        <v>3.6509140000000003E-3</v>
      </c>
      <c r="L16" s="4">
        <v>3.6745939999999998E-3</v>
      </c>
      <c r="M16" s="4">
        <v>3.6984279999999997E-3</v>
      </c>
      <c r="N16" s="4">
        <v>3.7224160000000001E-3</v>
      </c>
      <c r="O16" s="4">
        <v>3.7465599999999999E-3</v>
      </c>
      <c r="P16" s="4">
        <v>3.77086E-3</v>
      </c>
      <c r="Q16" s="4">
        <v>3.7953179999999998E-3</v>
      </c>
      <c r="R16" s="4">
        <v>3.819935E-3</v>
      </c>
      <c r="S16" s="4">
        <v>3.8447119999999997E-3</v>
      </c>
      <c r="T16" s="4">
        <v>3.8696489999999997E-3</v>
      </c>
      <c r="U16" s="4">
        <v>3.894748E-3</v>
      </c>
      <c r="V16" s="4">
        <v>3.9200089999999995E-3</v>
      </c>
      <c r="W16" s="4">
        <v>3.9454349999999997E-3</v>
      </c>
      <c r="X16" s="4">
        <v>3.9710250000000004E-3</v>
      </c>
      <c r="Y16" s="4">
        <v>3.9967819999999999E-3</v>
      </c>
      <c r="Z16" s="4">
        <v>4.0227050000000006E-3</v>
      </c>
      <c r="AA16" s="4">
        <v>4.0487970000000007E-3</v>
      </c>
      <c r="AB16" s="4">
        <v>4.0750580000000003E-3</v>
      </c>
      <c r="AC16" s="4">
        <v>4.1014889999999998E-3</v>
      </c>
      <c r="AD16" s="4">
        <v>4.1280910000000004E-3</v>
      </c>
      <c r="AE16" s="4">
        <v>4.1548660000000001E-3</v>
      </c>
      <c r="AF16" s="4">
        <v>4.1818150000000002E-3</v>
      </c>
      <c r="AG16" s="4">
        <v>4.2089390000000001E-3</v>
      </c>
      <c r="AH16" s="4">
        <v>4.2362379999999998E-3</v>
      </c>
      <c r="AI16" s="4"/>
      <c r="AJ16" s="4"/>
      <c r="AK16" s="4"/>
      <c r="AL16" s="4"/>
    </row>
    <row r="17" spans="1:38">
      <c r="A17" t="s">
        <v>17</v>
      </c>
      <c r="B17" t="s">
        <v>21</v>
      </c>
      <c r="C17" t="s">
        <v>5</v>
      </c>
      <c r="D17" s="4">
        <v>1.0049397002369565E-5</v>
      </c>
      <c r="E17" s="4">
        <v>1.0049397002369565E-5</v>
      </c>
      <c r="F17" s="4">
        <v>1.0049397002369565E-5</v>
      </c>
      <c r="G17" s="4">
        <v>1.0049397002369565E-5</v>
      </c>
      <c r="H17" s="4">
        <v>1.0049397002369565E-5</v>
      </c>
      <c r="I17" s="4">
        <v>1.0049397002369565E-5</v>
      </c>
      <c r="J17" s="4">
        <v>1.0049397002369565E-5</v>
      </c>
      <c r="K17" s="4">
        <v>1.0049397002369565E-5</v>
      </c>
      <c r="L17" s="4">
        <v>1.0049397002369565E-5</v>
      </c>
      <c r="M17" s="4">
        <v>1.0049397002369565E-5</v>
      </c>
      <c r="N17" s="4">
        <v>1.0049397002369565E-5</v>
      </c>
      <c r="O17" s="4">
        <v>1.0049397002369565E-5</v>
      </c>
      <c r="P17" s="4">
        <v>1.0049397002369565E-5</v>
      </c>
      <c r="Q17" s="4">
        <v>1.0049397002369565E-5</v>
      </c>
      <c r="R17" s="4">
        <v>1.0049397002369565E-5</v>
      </c>
      <c r="S17" s="4">
        <v>1.0049397002369565E-5</v>
      </c>
      <c r="T17" s="4">
        <v>1.0049397002369565E-5</v>
      </c>
      <c r="U17" s="4">
        <v>1.0049397002369565E-5</v>
      </c>
      <c r="V17" s="4">
        <v>1.0049397002369565E-5</v>
      </c>
      <c r="W17" s="4">
        <v>1.0049397002369565E-5</v>
      </c>
      <c r="X17" s="4">
        <v>1.0049397002369565E-5</v>
      </c>
      <c r="Y17" s="4">
        <v>1.0049397002369565E-5</v>
      </c>
      <c r="Z17" s="4">
        <v>1.0049397002369565E-5</v>
      </c>
      <c r="AA17" s="4">
        <v>1.0049397002369565E-5</v>
      </c>
      <c r="AB17" s="4">
        <v>1.0049397002369565E-5</v>
      </c>
      <c r="AC17" s="4">
        <v>1.0049397002369565E-5</v>
      </c>
      <c r="AD17" s="4">
        <v>1.0049397002369565E-5</v>
      </c>
      <c r="AE17" s="4">
        <v>1.0049397002369565E-5</v>
      </c>
      <c r="AF17" s="4">
        <v>1.0049397002369565E-5</v>
      </c>
      <c r="AG17" s="4">
        <v>1.0049397002369565E-5</v>
      </c>
      <c r="AH17" s="4">
        <v>1.0049397002369565E-5</v>
      </c>
      <c r="AI17" s="4"/>
      <c r="AJ17" s="4"/>
      <c r="AK17" s="4"/>
      <c r="AL17" s="4"/>
    </row>
    <row r="18" spans="1:38">
      <c r="A18" t="s">
        <v>17</v>
      </c>
      <c r="B18" t="s">
        <v>22</v>
      </c>
      <c r="C18" t="s">
        <v>5</v>
      </c>
      <c r="D18" s="4">
        <v>4.9715257056265547E-3</v>
      </c>
      <c r="E18" s="4">
        <v>4.9715257056265547E-3</v>
      </c>
      <c r="F18" s="4">
        <v>4.9715257056265547E-3</v>
      </c>
      <c r="G18" s="4">
        <v>4.9715257056265547E-3</v>
      </c>
      <c r="H18" s="4">
        <v>4.9715257056265547E-3</v>
      </c>
      <c r="I18" s="4">
        <v>4.9715257056265547E-3</v>
      </c>
      <c r="J18" s="4">
        <v>4.9715257056265547E-3</v>
      </c>
      <c r="K18" s="4">
        <v>4.9715257056265547E-3</v>
      </c>
      <c r="L18" s="4">
        <v>4.9715257056265547E-3</v>
      </c>
      <c r="M18" s="4">
        <v>4.9715257056265547E-3</v>
      </c>
      <c r="N18" s="4">
        <v>4.9715257056265547E-3</v>
      </c>
      <c r="O18" s="4">
        <v>4.9715257056265547E-3</v>
      </c>
      <c r="P18" s="4">
        <v>4.9715257056265547E-3</v>
      </c>
      <c r="Q18" s="4">
        <v>4.9715257056265547E-3</v>
      </c>
      <c r="R18" s="4">
        <v>4.9715257056265547E-3</v>
      </c>
      <c r="S18" s="4">
        <v>4.9715257056265547E-3</v>
      </c>
      <c r="T18" s="4">
        <v>4.9715257056265547E-3</v>
      </c>
      <c r="U18" s="4">
        <v>4.9715257056265547E-3</v>
      </c>
      <c r="V18" s="4">
        <v>4.9715257056265547E-3</v>
      </c>
      <c r="W18" s="4">
        <v>4.9715257056265547E-3</v>
      </c>
      <c r="X18" s="4">
        <v>4.9715257056265547E-3</v>
      </c>
      <c r="Y18" s="4">
        <v>4.9715257056265547E-3</v>
      </c>
      <c r="Z18" s="4">
        <v>4.9715257056265547E-3</v>
      </c>
      <c r="AA18" s="4">
        <v>4.9715257056265547E-3</v>
      </c>
      <c r="AB18" s="4">
        <v>4.9715257056265547E-3</v>
      </c>
      <c r="AC18" s="4">
        <v>4.9715257056265547E-3</v>
      </c>
      <c r="AD18" s="4">
        <v>4.9715257056265547E-3</v>
      </c>
      <c r="AE18" s="4">
        <v>4.9715257056265547E-3</v>
      </c>
      <c r="AF18" s="4">
        <v>4.9715257056265547E-3</v>
      </c>
      <c r="AG18" s="4">
        <v>4.9715257056265547E-3</v>
      </c>
      <c r="AH18" s="4">
        <v>4.9715257056265547E-3</v>
      </c>
      <c r="AI18" s="4"/>
      <c r="AJ18" s="4"/>
      <c r="AK18" s="4"/>
      <c r="AL18" s="4"/>
    </row>
    <row r="19" spans="1:38">
      <c r="A19" t="s">
        <v>18</v>
      </c>
      <c r="B19" t="s">
        <v>21</v>
      </c>
      <c r="C19" t="s">
        <v>4</v>
      </c>
      <c r="D19" s="4">
        <v>1.110710625237613E-3</v>
      </c>
      <c r="E19" s="4">
        <v>1.110710625237613E-3</v>
      </c>
      <c r="F19" s="4">
        <v>1.110710625237613E-3</v>
      </c>
      <c r="G19" s="4">
        <v>1.110710625237613E-3</v>
      </c>
      <c r="H19" s="4">
        <v>1.110710625237613E-3</v>
      </c>
      <c r="I19" s="4">
        <v>1.110710625237613E-3</v>
      </c>
      <c r="J19" s="4">
        <v>1.110710625237613E-3</v>
      </c>
      <c r="K19" s="4">
        <v>1.110710625237613E-3</v>
      </c>
      <c r="L19" s="4">
        <v>1.110710625237613E-3</v>
      </c>
      <c r="M19" s="4">
        <v>1.110710625237613E-3</v>
      </c>
      <c r="N19" s="4">
        <v>1.110710625237613E-3</v>
      </c>
      <c r="O19" s="4">
        <v>1.110710625237613E-3</v>
      </c>
      <c r="P19" s="4">
        <v>1.110710625237613E-3</v>
      </c>
      <c r="Q19" s="4">
        <v>1.110710625237613E-3</v>
      </c>
      <c r="R19" s="4">
        <v>1.110710625237613E-3</v>
      </c>
      <c r="S19" s="4">
        <v>1.110710625237613E-3</v>
      </c>
      <c r="T19" s="4">
        <v>1.110710625237613E-3</v>
      </c>
      <c r="U19" s="4">
        <v>1.110710625237613E-3</v>
      </c>
      <c r="V19" s="4">
        <v>1.110710625237613E-3</v>
      </c>
      <c r="W19" s="4">
        <v>1.110710625237613E-3</v>
      </c>
      <c r="X19" s="4">
        <v>1.110710625237613E-3</v>
      </c>
      <c r="Y19" s="4">
        <v>1.110710625237613E-3</v>
      </c>
      <c r="Z19" s="4">
        <v>1.110710625237613E-3</v>
      </c>
      <c r="AA19" s="4">
        <v>1.110710625237613E-3</v>
      </c>
      <c r="AB19" s="4">
        <v>1.110710625237613E-3</v>
      </c>
      <c r="AC19" s="4">
        <v>1.110710625237613E-3</v>
      </c>
      <c r="AD19" s="4">
        <v>1.110710625237613E-3</v>
      </c>
      <c r="AE19" s="4">
        <v>1.110710625237613E-3</v>
      </c>
      <c r="AF19" s="4">
        <v>1.110710625237613E-3</v>
      </c>
      <c r="AG19" s="4">
        <v>1.110710625237613E-3</v>
      </c>
      <c r="AH19" s="4">
        <v>1.110710625237613E-3</v>
      </c>
      <c r="AI19" s="4"/>
      <c r="AJ19" s="4"/>
      <c r="AK19" s="4"/>
      <c r="AL19" s="4"/>
    </row>
    <row r="20" spans="1:38">
      <c r="A20" t="s">
        <v>18</v>
      </c>
      <c r="B20" t="s">
        <v>22</v>
      </c>
      <c r="C20" t="s">
        <v>4</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row>
    <row r="22" spans="1:38">
      <c r="A22" s="1" t="s">
        <v>93</v>
      </c>
    </row>
    <row r="23" spans="1:38">
      <c r="A23" t="s">
        <v>94</v>
      </c>
      <c r="B23">
        <v>2020</v>
      </c>
      <c r="C23">
        <v>2021</v>
      </c>
      <c r="D23">
        <v>2022</v>
      </c>
      <c r="E23">
        <v>2023</v>
      </c>
      <c r="F23">
        <v>2024</v>
      </c>
      <c r="G23">
        <v>2025</v>
      </c>
      <c r="H23">
        <v>2026</v>
      </c>
      <c r="I23">
        <v>2027</v>
      </c>
      <c r="J23">
        <v>2028</v>
      </c>
      <c r="K23">
        <v>2029</v>
      </c>
      <c r="L23">
        <v>2030</v>
      </c>
      <c r="M23">
        <v>2031</v>
      </c>
      <c r="N23">
        <v>2032</v>
      </c>
      <c r="O23">
        <v>2033</v>
      </c>
      <c r="P23">
        <v>2034</v>
      </c>
      <c r="Q23">
        <v>2035</v>
      </c>
      <c r="R23">
        <v>2036</v>
      </c>
      <c r="S23">
        <v>2037</v>
      </c>
      <c r="T23">
        <v>2038</v>
      </c>
      <c r="U23">
        <v>2039</v>
      </c>
      <c r="V23">
        <v>2040</v>
      </c>
      <c r="W23">
        <v>2041</v>
      </c>
      <c r="X23">
        <v>2042</v>
      </c>
      <c r="Y23">
        <v>2043</v>
      </c>
      <c r="Z23">
        <v>2044</v>
      </c>
      <c r="AA23">
        <v>2045</v>
      </c>
      <c r="AB23">
        <v>2046</v>
      </c>
      <c r="AC23">
        <v>2047</v>
      </c>
      <c r="AD23">
        <v>2048</v>
      </c>
      <c r="AE23">
        <v>2049</v>
      </c>
      <c r="AF23">
        <v>2050</v>
      </c>
    </row>
    <row r="24" spans="1:38">
      <c r="A24" t="s">
        <v>2</v>
      </c>
      <c r="B24">
        <v>1.3016014821008825E-3</v>
      </c>
      <c r="C24">
        <v>1.2926576980307788E-3</v>
      </c>
      <c r="D24">
        <v>1.2869318658566659E-3</v>
      </c>
      <c r="E24">
        <v>1.2796983920849219E-3</v>
      </c>
      <c r="F24">
        <v>1.2723109001949813E-3</v>
      </c>
      <c r="G24">
        <v>1.2688722771223024E-3</v>
      </c>
      <c r="H24">
        <v>1.265614096179496E-3</v>
      </c>
      <c r="I24">
        <v>1.2602292006612041E-3</v>
      </c>
      <c r="J24">
        <v>1.2562225179555552E-3</v>
      </c>
      <c r="K24">
        <v>1.252664288663584E-3</v>
      </c>
      <c r="L24">
        <v>1.2501277882015535E-3</v>
      </c>
      <c r="M24">
        <v>1.2487082688849278E-3</v>
      </c>
      <c r="N24">
        <v>1.2467654435390108E-3</v>
      </c>
      <c r="O24">
        <v>1.2459379766549955E-3</v>
      </c>
      <c r="P24">
        <v>1.2454911060033728E-3</v>
      </c>
      <c r="Q24">
        <v>1.2451425075326549E-3</v>
      </c>
      <c r="R24">
        <v>1.2441678168462235E-3</v>
      </c>
      <c r="S24">
        <v>1.2437110831363233E-3</v>
      </c>
      <c r="T24">
        <v>1.2434472289246487E-3</v>
      </c>
      <c r="U24">
        <v>1.2431449346539255E-3</v>
      </c>
      <c r="V24">
        <v>1.242749474488683E-3</v>
      </c>
      <c r="W24">
        <v>1.2426414751633898E-3</v>
      </c>
      <c r="X24">
        <v>1.2425270452057901E-3</v>
      </c>
      <c r="Y24">
        <v>1.2423665768196443E-3</v>
      </c>
      <c r="Z24">
        <v>1.2423661582493899E-3</v>
      </c>
      <c r="AA24">
        <v>1.2424552878090294E-3</v>
      </c>
      <c r="AB24">
        <v>1.2425304264301077E-3</v>
      </c>
      <c r="AC24">
        <v>1.2424094170501326E-3</v>
      </c>
      <c r="AD24">
        <v>1.2423079259541866E-3</v>
      </c>
      <c r="AE24">
        <v>1.2421595174498235E-3</v>
      </c>
      <c r="AF24">
        <v>1.242184730573649E-3</v>
      </c>
    </row>
    <row r="25" spans="1:38">
      <c r="A25" t="s">
        <v>3</v>
      </c>
      <c r="B25">
        <v>3.8029529805498928E-4</v>
      </c>
      <c r="C25">
        <v>3.9476635103339935E-4</v>
      </c>
      <c r="D25">
        <v>4.0317709826518853E-4</v>
      </c>
      <c r="E25">
        <v>4.0861194678683542E-4</v>
      </c>
      <c r="F25">
        <v>4.1215478728194431E-4</v>
      </c>
      <c r="G25">
        <v>4.161380472574127E-4</v>
      </c>
      <c r="H25">
        <v>4.1864713672164384E-4</v>
      </c>
      <c r="I25">
        <v>4.1871977044755321E-4</v>
      </c>
      <c r="J25">
        <v>4.1845993448607482E-4</v>
      </c>
      <c r="K25">
        <v>4.1824574080425933E-4</v>
      </c>
      <c r="L25">
        <v>4.1892239620751885E-4</v>
      </c>
      <c r="M25">
        <v>4.1874050147763098E-4</v>
      </c>
      <c r="N25">
        <v>4.1850498686080801E-4</v>
      </c>
      <c r="O25">
        <v>4.1826480772119918E-4</v>
      </c>
      <c r="P25">
        <v>4.1829175912415644E-4</v>
      </c>
      <c r="Q25">
        <v>4.1761857347733379E-4</v>
      </c>
      <c r="R25">
        <v>4.1687945245925354E-4</v>
      </c>
      <c r="S25">
        <v>4.164113300533476E-4</v>
      </c>
      <c r="T25">
        <v>4.1613449901969674E-4</v>
      </c>
      <c r="U25">
        <v>4.1551323434343832E-4</v>
      </c>
      <c r="V25">
        <v>4.1503634236097445E-4</v>
      </c>
      <c r="W25">
        <v>4.1461933319641856E-4</v>
      </c>
      <c r="X25">
        <v>4.1413077690561246E-4</v>
      </c>
      <c r="Y25">
        <v>4.1366186353318095E-4</v>
      </c>
      <c r="Z25">
        <v>4.1331258589589651E-4</v>
      </c>
      <c r="AA25">
        <v>4.1306480490411649E-4</v>
      </c>
      <c r="AB25">
        <v>4.1264228513673742E-4</v>
      </c>
      <c r="AC25">
        <v>4.1222664654626295E-4</v>
      </c>
      <c r="AD25">
        <v>4.1170488758498282E-4</v>
      </c>
      <c r="AE25">
        <v>4.1134544874802168E-4</v>
      </c>
      <c r="AF25">
        <v>4.1101089728435994E-4</v>
      </c>
    </row>
    <row r="26" spans="1:38">
      <c r="A26" t="s">
        <v>4</v>
      </c>
      <c r="B26">
        <v>4.010435677007162E-4</v>
      </c>
      <c r="C26">
        <v>4.1543936179917892E-4</v>
      </c>
      <c r="D26">
        <v>4.232456921304615E-4</v>
      </c>
      <c r="E26">
        <v>4.284224989356039E-4</v>
      </c>
      <c r="F26">
        <v>4.3223887309206766E-4</v>
      </c>
      <c r="G26">
        <v>4.3661930301858122E-4</v>
      </c>
      <c r="H26">
        <v>4.4073837767711228E-4</v>
      </c>
      <c r="I26">
        <v>4.4130433819121803E-4</v>
      </c>
      <c r="J26">
        <v>4.4139330713525239E-4</v>
      </c>
      <c r="K26">
        <v>4.4143859386227608E-4</v>
      </c>
      <c r="L26">
        <v>4.4252278985937798E-4</v>
      </c>
      <c r="M26">
        <v>4.4258101673758966E-4</v>
      </c>
      <c r="N26">
        <v>4.4262644410952699E-4</v>
      </c>
      <c r="O26">
        <v>4.4263525674443374E-4</v>
      </c>
      <c r="P26">
        <v>4.428907913418545E-4</v>
      </c>
      <c r="Q26">
        <v>4.4235185104972023E-4</v>
      </c>
      <c r="R26">
        <v>4.4180682000362565E-4</v>
      </c>
      <c r="S26">
        <v>4.415169210975881E-4</v>
      </c>
      <c r="T26">
        <v>4.4141525513386555E-4</v>
      </c>
      <c r="U26">
        <v>4.4094858868260617E-4</v>
      </c>
      <c r="V26">
        <v>4.406528424788466E-4</v>
      </c>
      <c r="W26">
        <v>4.4046477188487546E-4</v>
      </c>
      <c r="X26">
        <v>4.4016736396697124E-4</v>
      </c>
      <c r="Y26">
        <v>4.3991921468742256E-4</v>
      </c>
      <c r="Z26">
        <v>4.3980677282836695E-4</v>
      </c>
      <c r="AA26">
        <v>4.3981133028276362E-4</v>
      </c>
      <c r="AB26">
        <v>4.3960459654073496E-4</v>
      </c>
      <c r="AC26">
        <v>4.3945697770705547E-4</v>
      </c>
      <c r="AD26">
        <v>4.3919624527100954E-4</v>
      </c>
      <c r="AE26">
        <v>4.3913823303573507E-4</v>
      </c>
      <c r="AF26">
        <v>4.3909651675542918E-4</v>
      </c>
    </row>
    <row r="27" spans="1:38">
      <c r="A27" t="s">
        <v>5</v>
      </c>
      <c r="B27">
        <v>4.2164836790723349E-4</v>
      </c>
      <c r="C27">
        <v>4.3038372468941308E-4</v>
      </c>
      <c r="D27">
        <v>4.3420465633630295E-4</v>
      </c>
      <c r="E27">
        <v>4.3755646869858035E-4</v>
      </c>
      <c r="F27">
        <v>4.3967943886681334E-4</v>
      </c>
      <c r="G27">
        <v>4.4460624002269991E-4</v>
      </c>
      <c r="H27">
        <v>4.4496012049244393E-4</v>
      </c>
      <c r="I27">
        <v>4.4386794465270786E-4</v>
      </c>
      <c r="J27">
        <v>4.4337540076502162E-4</v>
      </c>
      <c r="K27">
        <v>4.4271108702653624E-4</v>
      </c>
      <c r="L27">
        <v>4.4204868011526002E-4</v>
      </c>
      <c r="M27">
        <v>4.4134700384785902E-4</v>
      </c>
      <c r="N27">
        <v>4.4074150219218516E-4</v>
      </c>
      <c r="O27">
        <v>4.4004989920049426E-4</v>
      </c>
      <c r="P27">
        <v>4.3959873902550526E-4</v>
      </c>
      <c r="Q27">
        <v>4.3896791873294087E-4</v>
      </c>
      <c r="R27">
        <v>4.3853822206515422E-4</v>
      </c>
      <c r="S27">
        <v>4.380679289602619E-4</v>
      </c>
      <c r="T27">
        <v>4.3761382373608021E-4</v>
      </c>
      <c r="U27">
        <v>4.3728428606956427E-4</v>
      </c>
      <c r="V27">
        <v>4.3676208341619235E-4</v>
      </c>
      <c r="W27">
        <v>4.3641079058356913E-4</v>
      </c>
      <c r="X27">
        <v>4.3601813064876686E-4</v>
      </c>
      <c r="Y27">
        <v>4.3568341275915397E-4</v>
      </c>
      <c r="Z27">
        <v>4.3535955435881782E-4</v>
      </c>
      <c r="AA27">
        <v>4.3509879831850481E-4</v>
      </c>
      <c r="AB27">
        <v>4.3470212020737582E-4</v>
      </c>
      <c r="AC27">
        <v>4.3438066023618842E-4</v>
      </c>
      <c r="AD27">
        <v>4.3404466716966903E-4</v>
      </c>
      <c r="AE27">
        <v>4.3370047683290603E-4</v>
      </c>
      <c r="AF27">
        <v>4.3334687418764364E-4</v>
      </c>
    </row>
    <row r="28" spans="1:38">
      <c r="A28" t="s">
        <v>6</v>
      </c>
      <c r="B28">
        <v>6.5738318568648571E-4</v>
      </c>
      <c r="C28">
        <v>6.7868209237387732E-4</v>
      </c>
      <c r="D28">
        <v>6.8605104499600824E-4</v>
      </c>
      <c r="E28">
        <v>6.8995200477364748E-4</v>
      </c>
      <c r="F28">
        <v>7.0255070116778152E-4</v>
      </c>
      <c r="G28">
        <v>7.3075494105914415E-4</v>
      </c>
      <c r="H28">
        <v>7.6511494750975708E-4</v>
      </c>
      <c r="I28">
        <v>7.6729530817545215E-4</v>
      </c>
      <c r="J28">
        <v>7.6615763729175437E-4</v>
      </c>
      <c r="K28">
        <v>7.6497534983816374E-4</v>
      </c>
      <c r="L28">
        <v>7.6434508106930723E-4</v>
      </c>
      <c r="M28">
        <v>7.6297468642330408E-4</v>
      </c>
      <c r="N28">
        <v>7.6220701719009081E-4</v>
      </c>
      <c r="O28">
        <v>7.6135115263870209E-4</v>
      </c>
      <c r="P28">
        <v>7.6059039236971756E-4</v>
      </c>
      <c r="Q28">
        <v>7.5941521982376113E-4</v>
      </c>
      <c r="R28">
        <v>7.5865921051893645E-4</v>
      </c>
      <c r="S28">
        <v>7.5779553890121924E-4</v>
      </c>
      <c r="T28">
        <v>7.5675471415846706E-4</v>
      </c>
      <c r="U28">
        <v>7.5542246426100047E-4</v>
      </c>
      <c r="V28">
        <v>7.5410270573479155E-4</v>
      </c>
      <c r="W28">
        <v>7.5263393803100167E-4</v>
      </c>
      <c r="X28">
        <v>7.5087688624492623E-4</v>
      </c>
      <c r="Y28">
        <v>7.4906248631128583E-4</v>
      </c>
      <c r="Z28">
        <v>7.470071968170176E-4</v>
      </c>
      <c r="AA28">
        <v>7.4466971736164859E-4</v>
      </c>
      <c r="AB28">
        <v>7.4187742730834057E-4</v>
      </c>
      <c r="AC28">
        <v>7.3887113076972523E-4</v>
      </c>
      <c r="AD28">
        <v>7.3528955607294266E-4</v>
      </c>
      <c r="AE28">
        <v>7.3158063579575828E-4</v>
      </c>
      <c r="AF28">
        <v>7.2734242308217191E-4</v>
      </c>
    </row>
    <row r="29" spans="1:38">
      <c r="A29" t="s">
        <v>84</v>
      </c>
      <c r="B29">
        <v>3.6368321172053488E-4</v>
      </c>
      <c r="C29">
        <v>3.7519786349243767E-4</v>
      </c>
      <c r="D29">
        <v>3.8292342231539014E-4</v>
      </c>
      <c r="E29">
        <v>3.8737442480929154E-4</v>
      </c>
      <c r="F29">
        <v>3.9018162646122461E-4</v>
      </c>
      <c r="G29">
        <v>3.9393486543226201E-4</v>
      </c>
      <c r="H29">
        <v>3.958081254319439E-4</v>
      </c>
      <c r="I29">
        <v>3.958068662698271E-4</v>
      </c>
      <c r="J29">
        <v>3.9568870081904033E-4</v>
      </c>
      <c r="K29">
        <v>3.9552372368166668E-4</v>
      </c>
      <c r="L29">
        <v>3.9593709557582721E-4</v>
      </c>
      <c r="M29">
        <v>3.9597127514076109E-4</v>
      </c>
      <c r="N29">
        <v>3.9568311316840501E-4</v>
      </c>
      <c r="O29">
        <v>3.9545023752148126E-4</v>
      </c>
      <c r="P29">
        <v>3.9533735885442279E-4</v>
      </c>
      <c r="Q29">
        <v>3.9487850361981201E-4</v>
      </c>
      <c r="R29">
        <v>3.9428117062173101E-4</v>
      </c>
      <c r="S29">
        <v>3.9378231845382995E-4</v>
      </c>
      <c r="T29">
        <v>3.9349649872249946E-4</v>
      </c>
      <c r="U29">
        <v>3.9297415036491852E-4</v>
      </c>
      <c r="V29">
        <v>3.9250688719174123E-4</v>
      </c>
      <c r="W29">
        <v>3.9211185181415524E-4</v>
      </c>
      <c r="X29">
        <v>3.9168760952964436E-4</v>
      </c>
      <c r="Y29">
        <v>3.9122731880395569E-4</v>
      </c>
      <c r="Z29">
        <v>3.9085142797907205E-4</v>
      </c>
      <c r="AA29">
        <v>3.9051216876031034E-4</v>
      </c>
      <c r="AB29">
        <v>3.9011492927727893E-4</v>
      </c>
      <c r="AC29">
        <v>3.8968023550283847E-4</v>
      </c>
      <c r="AD29">
        <v>3.8920742031412479E-4</v>
      </c>
      <c r="AE29">
        <v>3.8876188063600889E-4</v>
      </c>
      <c r="AF29">
        <v>3.883715712735463E-4</v>
      </c>
    </row>
    <row r="30" spans="1:38">
      <c r="A30" t="s">
        <v>85</v>
      </c>
      <c r="B30">
        <v>5.8794415231938754E-4</v>
      </c>
      <c r="C30">
        <v>5.859697075889746E-4</v>
      </c>
      <c r="D30">
        <v>5.8487716230241557E-4</v>
      </c>
      <c r="E30">
        <v>5.8450715864569842E-4</v>
      </c>
      <c r="F30">
        <v>5.8509864619692446E-4</v>
      </c>
      <c r="G30">
        <v>5.8547838832553585E-4</v>
      </c>
      <c r="H30">
        <v>5.8677369900367977E-4</v>
      </c>
      <c r="I30">
        <v>5.8555189724455374E-4</v>
      </c>
      <c r="J30">
        <v>5.848624993596127E-4</v>
      </c>
      <c r="K30">
        <v>5.8392369578135807E-4</v>
      </c>
      <c r="L30">
        <v>5.8323582222320433E-4</v>
      </c>
      <c r="M30">
        <v>5.8232846507614633E-4</v>
      </c>
      <c r="N30">
        <v>5.8140476063791701E-4</v>
      </c>
      <c r="O30">
        <v>5.8053415348023238E-4</v>
      </c>
      <c r="P30">
        <v>5.7985999357189376E-4</v>
      </c>
      <c r="Q30">
        <v>5.790672010289583E-4</v>
      </c>
      <c r="R30">
        <v>5.783038784646057E-4</v>
      </c>
      <c r="S30">
        <v>5.7772941074558763E-4</v>
      </c>
      <c r="T30">
        <v>5.7728789584792482E-4</v>
      </c>
      <c r="U30">
        <v>5.7687866477931793E-4</v>
      </c>
      <c r="V30">
        <v>5.7657581365796442E-4</v>
      </c>
      <c r="W30">
        <v>5.7638685408458411E-4</v>
      </c>
      <c r="X30">
        <v>5.7622519119671751E-4</v>
      </c>
      <c r="Y30">
        <v>5.7612076801724784E-4</v>
      </c>
      <c r="Z30">
        <v>5.7610601336530144E-4</v>
      </c>
      <c r="AA30">
        <v>5.7616718513728532E-4</v>
      </c>
      <c r="AB30">
        <v>5.7619221096857649E-4</v>
      </c>
      <c r="AC30">
        <v>5.7620061572155568E-4</v>
      </c>
      <c r="AD30">
        <v>5.7622282038993897E-4</v>
      </c>
      <c r="AE30">
        <v>5.7625953419671364E-4</v>
      </c>
      <c r="AF30">
        <v>5.7635527402379559E-4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5"/>
  <sheetViews>
    <sheetView workbookViewId="0">
      <selection activeCell="B10" sqref="B10:H15"/>
    </sheetView>
  </sheetViews>
  <sheetFormatPr defaultColWidth="8.81640625" defaultRowHeight="14.5"/>
  <sheetData>
    <row r="1" spans="1:8">
      <c r="A1" t="s">
        <v>91</v>
      </c>
      <c r="B1" t="s">
        <v>2</v>
      </c>
      <c r="C1" t="s">
        <v>3</v>
      </c>
      <c r="D1" t="s">
        <v>4</v>
      </c>
      <c r="E1" t="s">
        <v>5</v>
      </c>
      <c r="F1" t="s">
        <v>6</v>
      </c>
      <c r="G1" t="s">
        <v>84</v>
      </c>
      <c r="H1" t="s">
        <v>85</v>
      </c>
    </row>
    <row r="2" spans="1:8">
      <c r="A2" t="s">
        <v>15</v>
      </c>
      <c r="B2" s="30">
        <v>3.8548169292405357E-3</v>
      </c>
      <c r="C2" s="30">
        <v>1.2015195607401124E-3</v>
      </c>
      <c r="D2" s="30">
        <v>5.3392525281148299E-4</v>
      </c>
      <c r="E2" s="30">
        <v>6.104155750858406E-4</v>
      </c>
      <c r="F2" s="30">
        <v>6.4059394957595732E-4</v>
      </c>
      <c r="G2" s="30">
        <v>0</v>
      </c>
      <c r="H2" s="30">
        <v>0</v>
      </c>
    </row>
    <row r="3" spans="1:8">
      <c r="A3" t="s">
        <v>8</v>
      </c>
      <c r="B3" s="30">
        <v>5.8893036418951787E-3</v>
      </c>
      <c r="C3" s="30">
        <v>1.2411171065195511E-3</v>
      </c>
      <c r="D3" s="30">
        <v>0</v>
      </c>
      <c r="E3" s="30">
        <v>1.0956176988720018E-3</v>
      </c>
      <c r="F3" s="30">
        <v>1.1497840120594071E-3</v>
      </c>
      <c r="G3" s="30">
        <v>0</v>
      </c>
      <c r="H3" s="30">
        <v>0</v>
      </c>
    </row>
    <row r="4" spans="1:8">
      <c r="A4" t="s">
        <v>7</v>
      </c>
      <c r="B4" s="30">
        <v>0</v>
      </c>
      <c r="C4" s="30">
        <v>0</v>
      </c>
      <c r="D4" s="30">
        <v>1.9867491393479732E-3</v>
      </c>
      <c r="E4" s="30">
        <v>0</v>
      </c>
      <c r="F4" s="30">
        <v>0</v>
      </c>
      <c r="G4" s="30">
        <v>0</v>
      </c>
      <c r="H4" s="30">
        <v>0</v>
      </c>
    </row>
    <row r="5" spans="1:8">
      <c r="A5" t="s">
        <v>16</v>
      </c>
      <c r="B5" s="30">
        <v>3.2433054379144774E-3</v>
      </c>
      <c r="C5" s="30">
        <v>0</v>
      </c>
      <c r="D5" s="30">
        <v>0</v>
      </c>
      <c r="E5" s="30">
        <v>9.6414357500737807E-4</v>
      </c>
      <c r="F5" s="30">
        <v>1.0095949100391856E-2</v>
      </c>
      <c r="G5" s="30">
        <v>0</v>
      </c>
      <c r="H5" s="30">
        <v>0</v>
      </c>
    </row>
    <row r="6" spans="1:8">
      <c r="A6" t="s">
        <v>17</v>
      </c>
      <c r="B6" s="30">
        <v>0</v>
      </c>
      <c r="C6" s="30">
        <v>0</v>
      </c>
      <c r="D6" s="30">
        <v>2.2779143897302514E-4</v>
      </c>
      <c r="E6" s="30">
        <v>8.5088222715209791E-8</v>
      </c>
      <c r="F6" s="30">
        <v>0</v>
      </c>
      <c r="G6" s="30">
        <v>0</v>
      </c>
      <c r="H6" s="30">
        <v>0</v>
      </c>
    </row>
    <row r="7" spans="1:8">
      <c r="A7" t="s">
        <v>18</v>
      </c>
      <c r="B7" s="30">
        <v>9.8648567589705791E-3</v>
      </c>
      <c r="C7" s="30">
        <v>1.2056566177618372E-3</v>
      </c>
      <c r="D7" s="30">
        <v>1.1311305355858213E-3</v>
      </c>
      <c r="E7" s="30">
        <v>0</v>
      </c>
      <c r="F7" s="30">
        <v>0</v>
      </c>
      <c r="G7" s="30">
        <v>0</v>
      </c>
      <c r="H7" s="30">
        <v>0</v>
      </c>
    </row>
    <row r="9" spans="1:8">
      <c r="A9" t="s">
        <v>92</v>
      </c>
      <c r="B9" t="s">
        <v>2</v>
      </c>
      <c r="C9" t="s">
        <v>3</v>
      </c>
      <c r="D9" t="s">
        <v>4</v>
      </c>
      <c r="E9" t="s">
        <v>5</v>
      </c>
      <c r="F9" t="s">
        <v>6</v>
      </c>
      <c r="G9" t="s">
        <v>84</v>
      </c>
      <c r="H9" t="s">
        <v>85</v>
      </c>
    </row>
    <row r="10" spans="1:8">
      <c r="A10" t="s">
        <v>15</v>
      </c>
      <c r="B10" s="30">
        <v>4.8694119949868023E-4</v>
      </c>
      <c r="C10" s="30">
        <v>0</v>
      </c>
      <c r="D10" s="30">
        <v>0</v>
      </c>
      <c r="E10" s="30">
        <v>5.110151164708477E-4</v>
      </c>
      <c r="F10" s="30">
        <v>0</v>
      </c>
      <c r="G10" s="30">
        <v>0</v>
      </c>
      <c r="H10" s="30">
        <v>0</v>
      </c>
    </row>
    <row r="11" spans="1:8">
      <c r="A11" t="s">
        <v>8</v>
      </c>
      <c r="B11" s="30">
        <v>3.3390253679910294E-3</v>
      </c>
      <c r="C11" s="30">
        <v>0</v>
      </c>
      <c r="D11" s="30">
        <v>0</v>
      </c>
      <c r="E11" s="30">
        <v>3.5041036558001674E-3</v>
      </c>
      <c r="F11" s="30">
        <v>0</v>
      </c>
      <c r="G11" s="30">
        <v>0</v>
      </c>
      <c r="H11" s="30">
        <v>0</v>
      </c>
    </row>
    <row r="12" spans="1:8">
      <c r="A12" t="s">
        <v>7</v>
      </c>
      <c r="B12" s="30">
        <v>0</v>
      </c>
      <c r="C12" s="30">
        <v>0</v>
      </c>
      <c r="D12" s="30">
        <v>1.1927310442054667E-4</v>
      </c>
      <c r="E12" s="30">
        <v>0</v>
      </c>
      <c r="F12" s="30">
        <v>0</v>
      </c>
      <c r="G12" s="30">
        <v>0</v>
      </c>
      <c r="H12" s="30">
        <v>0</v>
      </c>
    </row>
    <row r="13" spans="1:8">
      <c r="A13" t="s">
        <v>16</v>
      </c>
      <c r="B13" s="30">
        <v>0</v>
      </c>
      <c r="C13" s="30">
        <v>0</v>
      </c>
      <c r="D13" s="30">
        <v>6.0774297780281991E-5</v>
      </c>
      <c r="E13" s="30">
        <v>5.7911221226093917E-5</v>
      </c>
      <c r="F13" s="30">
        <v>0</v>
      </c>
      <c r="G13" s="30">
        <v>0</v>
      </c>
      <c r="H13" s="30">
        <v>0</v>
      </c>
    </row>
    <row r="14" spans="1:8">
      <c r="A14" t="s">
        <v>17</v>
      </c>
      <c r="B14" s="30">
        <v>0</v>
      </c>
      <c r="C14" s="30">
        <v>0</v>
      </c>
      <c r="D14" s="30">
        <v>3.7546380978695974E-5</v>
      </c>
      <c r="E14" s="30">
        <v>3.6868405104900458E-5</v>
      </c>
      <c r="F14" s="30">
        <v>0</v>
      </c>
      <c r="G14" s="30">
        <v>0</v>
      </c>
      <c r="H14" s="30">
        <v>0</v>
      </c>
    </row>
    <row r="15" spans="1:8">
      <c r="A15" t="s">
        <v>18</v>
      </c>
      <c r="B15" s="30">
        <v>0</v>
      </c>
      <c r="C15" s="30">
        <v>0</v>
      </c>
      <c r="D15" s="30">
        <v>0</v>
      </c>
      <c r="E15" s="30">
        <v>0</v>
      </c>
      <c r="F15" s="30">
        <v>0</v>
      </c>
      <c r="G15" s="30">
        <v>0</v>
      </c>
      <c r="H15" s="30">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4"/>
  <sheetViews>
    <sheetView workbookViewId="0"/>
  </sheetViews>
  <sheetFormatPr defaultColWidth="8.81640625" defaultRowHeight="14.5"/>
  <cols>
    <col min="1" max="1" width="50.36328125" customWidth="1"/>
  </cols>
  <sheetData>
    <row r="1" spans="1:2">
      <c r="A1" s="2" t="s">
        <v>9</v>
      </c>
      <c r="B1" s="3"/>
    </row>
    <row r="2" spans="1:2">
      <c r="A2" t="s">
        <v>13</v>
      </c>
      <c r="B2" s="13">
        <v>0.68595041322314043</v>
      </c>
    </row>
    <row r="3" spans="1:2">
      <c r="A3" t="s">
        <v>8</v>
      </c>
      <c r="B3" s="13">
        <v>0.68881036513545346</v>
      </c>
    </row>
    <row r="5" spans="1:2">
      <c r="A5" s="2" t="s">
        <v>10</v>
      </c>
      <c r="B5" s="3"/>
    </row>
    <row r="6" spans="1:2">
      <c r="A6" t="s">
        <v>11</v>
      </c>
      <c r="B6">
        <v>0.55000000000000004</v>
      </c>
    </row>
    <row r="8" spans="1:2">
      <c r="A8" s="2" t="s">
        <v>19</v>
      </c>
      <c r="B8" s="3"/>
    </row>
    <row r="9" spans="1:2">
      <c r="A9" t="s">
        <v>15</v>
      </c>
      <c r="B9" s="7">
        <v>13.378781688359696</v>
      </c>
    </row>
    <row r="10" spans="1:2">
      <c r="A10" t="s">
        <v>8</v>
      </c>
      <c r="B10">
        <v>28</v>
      </c>
    </row>
    <row r="11" spans="1:2">
      <c r="A11" t="s">
        <v>7</v>
      </c>
      <c r="B11">
        <v>24</v>
      </c>
    </row>
    <row r="12" spans="1:2">
      <c r="A12" t="s">
        <v>16</v>
      </c>
      <c r="B12">
        <v>34</v>
      </c>
    </row>
    <row r="13" spans="1:2">
      <c r="A13" t="s">
        <v>17</v>
      </c>
      <c r="B13">
        <v>33</v>
      </c>
    </row>
    <row r="14" spans="1:2">
      <c r="A14" t="s">
        <v>18</v>
      </c>
      <c r="B14" s="7">
        <v>17.22332068760786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L31"/>
  <sheetViews>
    <sheetView topLeftCell="A13" workbookViewId="0">
      <selection activeCell="D16" sqref="D16"/>
    </sheetView>
  </sheetViews>
  <sheetFormatPr defaultColWidth="8.81640625" defaultRowHeight="14.5"/>
  <cols>
    <col min="1" max="1" width="42.1796875" customWidth="1"/>
    <col min="2" max="2" width="26.36328125" customWidth="1"/>
    <col min="3" max="3" width="42.81640625" customWidth="1"/>
  </cols>
  <sheetData>
    <row r="1" spans="1:38">
      <c r="A1" s="2" t="s">
        <v>49</v>
      </c>
      <c r="B1" s="3"/>
      <c r="D1" s="2" t="s">
        <v>50</v>
      </c>
    </row>
    <row r="2" spans="1:38">
      <c r="A2" t="s">
        <v>51</v>
      </c>
      <c r="B2">
        <v>1.67</v>
      </c>
      <c r="D2" s="6" t="s">
        <v>52</v>
      </c>
    </row>
    <row r="3" spans="1:38">
      <c r="A3" t="s">
        <v>53</v>
      </c>
      <c r="B3">
        <v>1</v>
      </c>
    </row>
    <row r="4" spans="1:38">
      <c r="A4" t="s">
        <v>54</v>
      </c>
      <c r="B4">
        <v>21.2</v>
      </c>
    </row>
    <row r="5" spans="1:38">
      <c r="A5" t="s">
        <v>55</v>
      </c>
      <c r="B5">
        <v>16</v>
      </c>
    </row>
    <row r="6" spans="1:38">
      <c r="A6" t="s">
        <v>56</v>
      </c>
      <c r="B6">
        <v>48.656731685074099</v>
      </c>
    </row>
    <row r="8" spans="1:38">
      <c r="A8" s="2" t="s">
        <v>57</v>
      </c>
      <c r="B8" s="3"/>
      <c r="AK8" s="2" t="s">
        <v>50</v>
      </c>
    </row>
    <row r="9" spans="1:38">
      <c r="A9" t="s">
        <v>58</v>
      </c>
      <c r="B9">
        <v>120476</v>
      </c>
      <c r="AK9" t="s">
        <v>59</v>
      </c>
      <c r="AL9" t="s">
        <v>60</v>
      </c>
    </row>
    <row r="10" spans="1:38">
      <c r="A10" t="s">
        <v>61</v>
      </c>
      <c r="B10">
        <v>137452</v>
      </c>
      <c r="AK10" s="5">
        <v>2017</v>
      </c>
      <c r="AL10" t="s">
        <v>62</v>
      </c>
    </row>
    <row r="12" spans="1:38">
      <c r="A12" s="2" t="s">
        <v>63</v>
      </c>
      <c r="B12" s="2"/>
      <c r="C12" s="2"/>
      <c r="D12" s="2"/>
      <c r="E12" s="2"/>
      <c r="F12" s="2"/>
      <c r="G12" s="2"/>
      <c r="H12" s="2"/>
      <c r="I12" s="2"/>
      <c r="J12" s="2"/>
      <c r="K12" s="2"/>
      <c r="L12" s="2"/>
      <c r="M12" s="2"/>
      <c r="N12" s="2"/>
      <c r="O12" s="1"/>
    </row>
    <row r="13" spans="1:38">
      <c r="B13">
        <v>2007</v>
      </c>
      <c r="C13">
        <v>2007</v>
      </c>
      <c r="D13">
        <v>2020</v>
      </c>
    </row>
    <row r="14" spans="1:38" s="14" customFormat="1">
      <c r="A14" s="14" t="s">
        <v>64</v>
      </c>
      <c r="C14" s="24" t="s">
        <v>88</v>
      </c>
    </row>
    <row r="15" spans="1:38">
      <c r="A15" t="s">
        <v>65</v>
      </c>
      <c r="C15">
        <v>22.670399</v>
      </c>
    </row>
    <row r="16" spans="1:38">
      <c r="A16" t="s">
        <v>66</v>
      </c>
      <c r="B16">
        <f>TREND(C16:D16,C13:D13,B13)</f>
        <v>3.1424986163219176E-4</v>
      </c>
      <c r="C16">
        <f>C15*$B$2/$B$9</f>
        <v>3.142498616321923E-4</v>
      </c>
      <c r="D16" s="4">
        <f>BNVFE!D8</f>
        <v>3.7068404566156505E-4</v>
      </c>
    </row>
    <row r="18" spans="1:4">
      <c r="A18" s="2" t="s">
        <v>71</v>
      </c>
      <c r="B18" s="2"/>
      <c r="C18" s="2"/>
    </row>
    <row r="19" spans="1:4">
      <c r="A19" t="s">
        <v>67</v>
      </c>
      <c r="B19">
        <v>5.76</v>
      </c>
    </row>
    <row r="20" spans="1:4" ht="29">
      <c r="A20" s="14" t="s">
        <v>68</v>
      </c>
      <c r="B20">
        <f>7.1/6.1</f>
        <v>1.1639344262295082</v>
      </c>
    </row>
    <row r="21" spans="1:4">
      <c r="A21" s="14" t="s">
        <v>69</v>
      </c>
      <c r="B21">
        <f>B19*$B$20</f>
        <v>6.7042622950819668</v>
      </c>
    </row>
    <row r="22" spans="1:4" ht="29">
      <c r="A22" s="14" t="s">
        <v>70</v>
      </c>
      <c r="B22">
        <f>B21*$B$5/$B$10</f>
        <v>7.8040477200267344E-4</v>
      </c>
    </row>
    <row r="24" spans="1:4">
      <c r="A24" s="2" t="s">
        <v>75</v>
      </c>
      <c r="B24" s="3"/>
      <c r="D24" s="2" t="s">
        <v>50</v>
      </c>
    </row>
    <row r="25" spans="1:4">
      <c r="A25" t="s">
        <v>76</v>
      </c>
      <c r="B25" s="16">
        <v>0.2</v>
      </c>
      <c r="D25" s="6" t="s">
        <v>82</v>
      </c>
    </row>
    <row r="26" spans="1:4">
      <c r="A26" t="s">
        <v>77</v>
      </c>
      <c r="B26" s="16">
        <v>0.6</v>
      </c>
      <c r="D26" s="6"/>
    </row>
    <row r="27" spans="1:4">
      <c r="A27" t="s">
        <v>78</v>
      </c>
      <c r="B27">
        <f>B26/B25</f>
        <v>2.9999999999999996</v>
      </c>
    </row>
    <row r="29" spans="1:4">
      <c r="A29" s="2" t="s">
        <v>79</v>
      </c>
      <c r="B29" s="2"/>
      <c r="D29" s="2" t="s">
        <v>50</v>
      </c>
    </row>
    <row r="30" spans="1:4">
      <c r="A30" t="s">
        <v>80</v>
      </c>
      <c r="B30" s="17">
        <v>0.22500000000000001</v>
      </c>
      <c r="D30" s="6" t="s">
        <v>82</v>
      </c>
    </row>
    <row r="31" spans="1:4">
      <c r="A31" t="s">
        <v>81</v>
      </c>
      <c r="B31">
        <f>1-B30</f>
        <v>0.77500000000000002</v>
      </c>
      <c r="D31" s="18"/>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T15"/>
  <sheetViews>
    <sheetView topLeftCell="A4" zoomScale="90" zoomScaleNormal="90" workbookViewId="0">
      <pane xSplit="2" topLeftCell="T1" activePane="topRight" state="frozen"/>
      <selection pane="topRight" activeCell="V5" sqref="V5"/>
    </sheetView>
  </sheetViews>
  <sheetFormatPr defaultColWidth="8.81640625" defaultRowHeight="14.5"/>
  <cols>
    <col min="1" max="1" width="14" customWidth="1"/>
    <col min="15" max="15" width="11.36328125" customWidth="1"/>
    <col min="39" max="39" width="9.1796875" style="10"/>
  </cols>
  <sheetData>
    <row r="1" spans="1:72">
      <c r="C1">
        <v>1983</v>
      </c>
      <c r="D1">
        <v>1984</v>
      </c>
      <c r="E1">
        <v>1985</v>
      </c>
      <c r="F1">
        <v>1986</v>
      </c>
      <c r="G1">
        <v>1987</v>
      </c>
      <c r="H1">
        <v>1988</v>
      </c>
      <c r="I1">
        <v>1989</v>
      </c>
      <c r="J1">
        <v>1990</v>
      </c>
      <c r="K1">
        <v>1991</v>
      </c>
      <c r="L1">
        <v>1992</v>
      </c>
      <c r="M1">
        <v>1993</v>
      </c>
      <c r="N1">
        <v>1994</v>
      </c>
      <c r="O1">
        <v>1995</v>
      </c>
      <c r="P1">
        <v>1996</v>
      </c>
      <c r="Q1">
        <v>1997</v>
      </c>
      <c r="R1">
        <v>1998</v>
      </c>
      <c r="S1">
        <v>1999</v>
      </c>
      <c r="T1">
        <v>2000</v>
      </c>
      <c r="U1">
        <v>2001</v>
      </c>
      <c r="V1">
        <v>2002</v>
      </c>
      <c r="W1">
        <v>2003</v>
      </c>
      <c r="X1">
        <v>2004</v>
      </c>
      <c r="Y1">
        <v>2005</v>
      </c>
      <c r="Z1">
        <v>2006</v>
      </c>
      <c r="AA1">
        <v>2007</v>
      </c>
      <c r="AB1">
        <v>2008</v>
      </c>
      <c r="AC1">
        <v>2009</v>
      </c>
      <c r="AD1">
        <v>2010</v>
      </c>
      <c r="AE1">
        <v>2011</v>
      </c>
      <c r="AF1">
        <v>2012</v>
      </c>
      <c r="AG1">
        <v>2013</v>
      </c>
      <c r="AH1">
        <v>2014</v>
      </c>
      <c r="AI1">
        <v>2015</v>
      </c>
      <c r="AJ1">
        <v>2016</v>
      </c>
      <c r="AK1">
        <v>2017</v>
      </c>
      <c r="AL1">
        <v>2018</v>
      </c>
      <c r="AM1" s="10">
        <v>2019</v>
      </c>
      <c r="AN1">
        <v>2020</v>
      </c>
      <c r="AO1">
        <v>2021</v>
      </c>
      <c r="AP1">
        <v>2022</v>
      </c>
      <c r="AQ1">
        <v>2023</v>
      </c>
      <c r="AR1">
        <v>2024</v>
      </c>
      <c r="AS1">
        <v>2025</v>
      </c>
      <c r="AT1">
        <v>2026</v>
      </c>
      <c r="AU1">
        <v>2027</v>
      </c>
      <c r="AV1">
        <v>2028</v>
      </c>
      <c r="AW1">
        <v>2029</v>
      </c>
      <c r="AX1">
        <v>2030</v>
      </c>
      <c r="AY1">
        <v>2031</v>
      </c>
      <c r="AZ1">
        <v>2032</v>
      </c>
      <c r="BA1">
        <v>2033</v>
      </c>
      <c r="BB1">
        <v>2034</v>
      </c>
      <c r="BC1">
        <v>2035</v>
      </c>
      <c r="BD1">
        <v>2036</v>
      </c>
      <c r="BE1">
        <v>2037</v>
      </c>
      <c r="BF1">
        <v>2038</v>
      </c>
      <c r="BG1">
        <v>2039</v>
      </c>
      <c r="BH1">
        <v>2040</v>
      </c>
      <c r="BI1">
        <v>2041</v>
      </c>
      <c r="BJ1">
        <v>2042</v>
      </c>
      <c r="BK1">
        <v>2043</v>
      </c>
      <c r="BL1">
        <v>2044</v>
      </c>
      <c r="BM1">
        <v>2045</v>
      </c>
      <c r="BN1">
        <v>2046</v>
      </c>
      <c r="BO1">
        <v>2047</v>
      </c>
      <c r="BP1">
        <v>2048</v>
      </c>
      <c r="BQ1">
        <v>2049</v>
      </c>
      <c r="BR1">
        <v>2050</v>
      </c>
    </row>
    <row r="2" spans="1:72">
      <c r="A2" t="s">
        <v>15</v>
      </c>
      <c r="B2" t="s">
        <v>21</v>
      </c>
      <c r="C2" s="9"/>
      <c r="D2" s="9"/>
      <c r="E2" s="9"/>
      <c r="F2" s="9"/>
      <c r="G2" s="9"/>
      <c r="H2" s="9"/>
      <c r="I2" s="9"/>
      <c r="J2" s="9"/>
      <c r="K2" s="9"/>
      <c r="L2" s="9"/>
      <c r="M2" s="8"/>
      <c r="N2" s="9"/>
      <c r="O2" s="9"/>
      <c r="P2" s="9"/>
      <c r="Q2" s="9"/>
      <c r="R2" s="9"/>
      <c r="S2" s="9"/>
      <c r="T2" s="9"/>
      <c r="U2" s="9"/>
      <c r="V2" s="9"/>
      <c r="W2" s="9"/>
      <c r="X2" s="9"/>
      <c r="Y2" s="9"/>
      <c r="Z2" s="9"/>
      <c r="AA2" s="4">
        <f>Calculations!C16</f>
        <v>3.142498616321923E-4</v>
      </c>
      <c r="AB2" s="4">
        <f>($AN$2-$AA$2)/COUNT($AB$1:$AN$1)+AA2</f>
        <v>3.1859095271137485E-4</v>
      </c>
      <c r="AC2" s="4">
        <f t="shared" ref="AC2:AM2" si="0">($AN$2-$AA$2)/COUNT($AB$1:$AN$1)+AB2</f>
        <v>3.2293204379055739E-4</v>
      </c>
      <c r="AD2" s="4">
        <f t="shared" si="0"/>
        <v>3.2727313486973994E-4</v>
      </c>
      <c r="AE2" s="4">
        <f t="shared" si="0"/>
        <v>3.3161422594892248E-4</v>
      </c>
      <c r="AF2" s="4">
        <f t="shared" si="0"/>
        <v>3.3595531702810503E-4</v>
      </c>
      <c r="AG2" s="4">
        <f t="shared" si="0"/>
        <v>3.4029640810728757E-4</v>
      </c>
      <c r="AH2" s="4">
        <f t="shared" si="0"/>
        <v>3.4463749918647011E-4</v>
      </c>
      <c r="AI2" s="4">
        <f t="shared" si="0"/>
        <v>3.4897859026565266E-4</v>
      </c>
      <c r="AJ2" s="4">
        <f t="shared" si="0"/>
        <v>3.533196813448352E-4</v>
      </c>
      <c r="AK2" s="4">
        <f t="shared" si="0"/>
        <v>3.5766077242401775E-4</v>
      </c>
      <c r="AL2" s="4">
        <f t="shared" si="0"/>
        <v>3.6200186350320029E-4</v>
      </c>
      <c r="AM2" s="21">
        <f t="shared" si="0"/>
        <v>3.6634295458238284E-4</v>
      </c>
      <c r="AN2" s="11">
        <f>BNVFE!D8</f>
        <v>3.7068404566156505E-4</v>
      </c>
      <c r="AO2" s="11">
        <f>BNVFE!E8</f>
        <v>3.8286968063361244E-4</v>
      </c>
      <c r="AP2" s="11">
        <f>BNVFE!F8</f>
        <v>3.8999540362380768E-4</v>
      </c>
      <c r="AQ2" s="11">
        <f>BNVFE!G8</f>
        <v>3.9439145706872869E-4</v>
      </c>
      <c r="AR2" s="11">
        <f>BNVFE!H8</f>
        <v>3.9758791642567675E-4</v>
      </c>
      <c r="AS2" s="11">
        <f>BNVFE!I8</f>
        <v>4.1670440259151796E-4</v>
      </c>
      <c r="AT2" s="11">
        <f>BNVFE!J8</f>
        <v>4.5449874343080136E-4</v>
      </c>
      <c r="AU2" s="11">
        <f>BNVFE!K8</f>
        <v>4.5571840174311271E-4</v>
      </c>
      <c r="AV2" s="11">
        <f>BNVFE!L8</f>
        <v>4.5632492494806224E-4</v>
      </c>
      <c r="AW2" s="11">
        <f>BNVFE!M8</f>
        <v>4.5682343934192723E-4</v>
      </c>
      <c r="AX2" s="11">
        <f>BNVFE!N8</f>
        <v>4.5864796428233097E-4</v>
      </c>
      <c r="AY2" s="11">
        <f>BNVFE!O8</f>
        <v>4.5942511490356416E-4</v>
      </c>
      <c r="AZ2" s="11">
        <f>BNVFE!P8</f>
        <v>4.6038567019040524E-4</v>
      </c>
      <c r="BA2" s="11">
        <f>BNVFE!Q8</f>
        <v>4.6137990440500237E-4</v>
      </c>
      <c r="BB2" s="11">
        <f>BNVFE!R8</f>
        <v>4.627584500454361E-4</v>
      </c>
      <c r="BC2" s="11">
        <f>BNVFE!S8</f>
        <v>4.6332164296180965E-4</v>
      </c>
      <c r="BD2" s="11">
        <f>BNVFE!T8</f>
        <v>4.6388593065941057E-4</v>
      </c>
      <c r="BE2" s="11">
        <f>BNVFE!U8</f>
        <v>4.6479081055883617E-4</v>
      </c>
      <c r="BF2" s="11">
        <f>BNVFE!V8</f>
        <v>4.6598088096797761E-4</v>
      </c>
      <c r="BG2" s="11">
        <f>BNVFE!W8</f>
        <v>4.6672534660756901E-4</v>
      </c>
      <c r="BH2" s="11">
        <f>BNVFE!X8</f>
        <v>4.6768413007742366E-4</v>
      </c>
      <c r="BI2" s="11">
        <f>BNVFE!Y8</f>
        <v>4.6835837126328925E-4</v>
      </c>
      <c r="BJ2" s="11">
        <f>BNVFE!Z8</f>
        <v>4.6888408232764332E-4</v>
      </c>
      <c r="BK2" s="11">
        <f>BNVFE!AA8</f>
        <v>4.6949898925199146E-4</v>
      </c>
      <c r="BL2" s="11">
        <f>BNVFE!AB8</f>
        <v>4.7032072339820558E-4</v>
      </c>
      <c r="BM2" s="11">
        <f>BNVFE!AC8</f>
        <v>4.7135545011319722E-4</v>
      </c>
      <c r="BN2" s="11">
        <f>BNVFE!AD8</f>
        <v>4.7215508696463892E-4</v>
      </c>
      <c r="BO2" s="11">
        <f>BNVFE!AE8</f>
        <v>4.730119981602886E-4</v>
      </c>
      <c r="BP2" s="11">
        <f>BNVFE!AF8</f>
        <v>4.737905892831368E-4</v>
      </c>
      <c r="BQ2" s="11">
        <f>BNVFE!AG8</f>
        <v>4.7491927991846777E-4</v>
      </c>
      <c r="BR2" s="11">
        <f>BNVFE!AH8</f>
        <v>4.7615242132589445E-4</v>
      </c>
      <c r="BS2" s="11"/>
      <c r="BT2" s="4"/>
    </row>
    <row r="3" spans="1:72">
      <c r="A3" t="s">
        <v>15</v>
      </c>
      <c r="B3" t="s">
        <v>22</v>
      </c>
      <c r="C3" s="9"/>
      <c r="D3" s="9"/>
      <c r="E3" s="9"/>
      <c r="F3" s="9"/>
      <c r="G3" s="9"/>
      <c r="H3" s="9"/>
      <c r="I3" s="9"/>
      <c r="J3" s="9"/>
      <c r="K3" s="9"/>
      <c r="L3" s="9"/>
      <c r="M3" s="9"/>
      <c r="N3" s="9"/>
      <c r="O3" s="9"/>
      <c r="P3" s="9"/>
      <c r="Q3" s="9"/>
      <c r="R3" s="9"/>
      <c r="S3" s="9"/>
      <c r="T3" s="9"/>
      <c r="U3" s="9"/>
      <c r="V3" s="9"/>
      <c r="W3" s="9"/>
      <c r="X3" s="9"/>
      <c r="Y3" s="9"/>
      <c r="Z3" s="9"/>
      <c r="AA3" s="4" cm="1">
        <f t="array" ref="AA3">TREND($AN$3:$AR$3,$AN$1:$AR$1,AA1)</f>
        <v>1.1709920537385831E-4</v>
      </c>
      <c r="AB3" s="4" cm="1">
        <f t="array" ref="AB3">TREND($AN$3:$AR$3,$AN$1:$AR$1,AB1)</f>
        <v>1.1699905164334643E-4</v>
      </c>
      <c r="AC3" s="4" cm="1">
        <f t="array" ref="AC3">TREND($AN$3:$AR$3,$AN$1:$AR$1,AC1)</f>
        <v>1.1689889791283454E-4</v>
      </c>
      <c r="AD3" s="4" cm="1">
        <f t="array" ref="AD3">TREND($AN$3:$AR$3,$AN$1:$AR$1,AD1)</f>
        <v>1.1679874418232269E-4</v>
      </c>
      <c r="AE3" s="4" cm="1">
        <f t="array" ref="AE3">TREND($AN$3:$AR$3,$AN$1:$AR$1,AE1)</f>
        <v>1.166985904518108E-4</v>
      </c>
      <c r="AF3" s="4" cm="1">
        <f t="array" ref="AF3">TREND($AN$3:$AR$3,$AN$1:$AR$1,AF1)</f>
        <v>1.1659843672129892E-4</v>
      </c>
      <c r="AG3" s="4" cm="1">
        <f t="array" ref="AG3">TREND($AN$3:$AR$3,$AN$1:$AR$1,AG1)</f>
        <v>1.1649828299078704E-4</v>
      </c>
      <c r="AH3" s="4" cm="1">
        <f t="array" ref="AH3">TREND($AN$3:$AR$3,$AN$1:$AR$1,AH1)</f>
        <v>1.1639812926027518E-4</v>
      </c>
      <c r="AI3" s="4" cm="1">
        <f t="array" ref="AI3">TREND($AN$3:$AR$3,$AN$1:$AR$1,AI1)</f>
        <v>1.1629797552976329E-4</v>
      </c>
      <c r="AJ3" s="4" cm="1">
        <f t="array" ref="AJ3">TREND($AN$3:$AR$3,$AN$1:$AR$1,AJ1)</f>
        <v>1.1619782179925141E-4</v>
      </c>
      <c r="AK3" s="4" cm="1">
        <f t="array" ref="AK3">TREND($AN$3:$AR$3,$AN$1:$AR$1,AK1)</f>
        <v>1.1609766806873955E-4</v>
      </c>
      <c r="AL3" s="4" cm="1">
        <f t="array" ref="AL3">TREND($AN$3:$AR$3,$AN$1:$AR$1,AL1)</f>
        <v>1.1599751433822767E-4</v>
      </c>
      <c r="AM3" s="29" cm="1">
        <f t="array" ref="AM3">TREND($AN$3:$AR$3,$AN$1:$AR$1,AM1)</f>
        <v>1.1589736060771579E-4</v>
      </c>
      <c r="AN3" s="11">
        <f>BNVFE!D9</f>
        <v>1.157863591831631E-4</v>
      </c>
      <c r="AO3" s="11">
        <f>BNVFE!E9</f>
        <v>1.1589922337335911E-4</v>
      </c>
      <c r="AP3" s="11">
        <f>BNVFE!F9</f>
        <v>1.1538533736033749E-4</v>
      </c>
      <c r="AQ3" s="11">
        <f>BNVFE!G9</f>
        <v>1.1535674989351573E-4</v>
      </c>
      <c r="AR3" s="11">
        <f>BNVFE!H9</f>
        <v>1.1555682727052541E-4</v>
      </c>
      <c r="AS3" s="11">
        <f>BNVFE!I9</f>
        <v>1.1619447640903485E-4</v>
      </c>
      <c r="AT3" s="11">
        <f>BNVFE!J9</f>
        <v>1.1675875263243092E-4</v>
      </c>
      <c r="AU3" s="11">
        <f>BNVFE!K9</f>
        <v>1.170886675606406E-4</v>
      </c>
      <c r="AV3" s="11">
        <f>BNVFE!L9</f>
        <v>1.1617580985063572E-4</v>
      </c>
      <c r="AW3" s="11">
        <f>BNVFE!M9</f>
        <v>1.1591329821118029E-4</v>
      </c>
      <c r="AX3" s="11">
        <f>BNVFE!N9</f>
        <v>1.1553838100461461E-4</v>
      </c>
      <c r="AY3" s="11">
        <f>BNVFE!O9</f>
        <v>1.1496830903628264E-4</v>
      </c>
      <c r="AZ3" s="11">
        <f>BNVFE!P9</f>
        <v>1.1417779457660161E-4</v>
      </c>
      <c r="BA3" s="11">
        <f>BNVFE!Q9</f>
        <v>1.1321126528769265E-4</v>
      </c>
      <c r="BB3" s="11">
        <f>BNVFE!R9</f>
        <v>1.1235905420307894E-4</v>
      </c>
      <c r="BC3" s="11">
        <f>BNVFE!S9</f>
        <v>1.113973304748738E-4</v>
      </c>
      <c r="BD3" s="11">
        <f>BNVFE!T9</f>
        <v>1.1073582017040977E-4</v>
      </c>
      <c r="BE3" s="11">
        <f>BNVFE!U9</f>
        <v>1.099531339020346E-4</v>
      </c>
      <c r="BF3" s="11">
        <f>BNVFE!V9</f>
        <v>1.0948773622007766E-4</v>
      </c>
      <c r="BG3" s="11">
        <f>BNVFE!W9</f>
        <v>1.0913516582552083E-4</v>
      </c>
      <c r="BH3" s="11">
        <f>BNVFE!X9</f>
        <v>1.0884247723484658E-4</v>
      </c>
      <c r="BI3" s="11">
        <f>BNVFE!Y9</f>
        <v>1.085933825763662E-4</v>
      </c>
      <c r="BJ3" s="11">
        <f>BNVFE!Z9</f>
        <v>1.083443267474224E-4</v>
      </c>
      <c r="BK3" s="11">
        <f>BNVFE!AA9</f>
        <v>1.0815629409531245E-4</v>
      </c>
      <c r="BL3" s="11">
        <f>BNVFE!AB9</f>
        <v>1.0799885128162017E-4</v>
      </c>
      <c r="BM3" s="11">
        <f>BNVFE!AC9</f>
        <v>1.078432358858381E-4</v>
      </c>
      <c r="BN3" s="11">
        <f>BNVFE!AD9</f>
        <v>1.0772424981274788E-4</v>
      </c>
      <c r="BO3" s="11">
        <f>BNVFE!AE9</f>
        <v>1.0749204222981193E-4</v>
      </c>
      <c r="BP3" s="11">
        <f>BNVFE!AF9</f>
        <v>1.0725768900406794E-4</v>
      </c>
      <c r="BQ3" s="11">
        <f>BNVFE!AG9</f>
        <v>1.0704107117361582E-4</v>
      </c>
      <c r="BR3" s="11">
        <f>BNVFE!AH9</f>
        <v>1.0682755170917861E-4</v>
      </c>
      <c r="BS3" s="11"/>
      <c r="BT3" s="4"/>
    </row>
    <row r="4" spans="1:72">
      <c r="A4" t="s">
        <v>8</v>
      </c>
      <c r="B4" t="s">
        <v>21</v>
      </c>
      <c r="C4" s="9"/>
      <c r="D4" s="9"/>
      <c r="E4" s="9"/>
      <c r="F4" s="9"/>
      <c r="G4" s="9"/>
      <c r="H4" s="9"/>
      <c r="I4" s="9"/>
      <c r="J4" s="9"/>
      <c r="K4" s="9"/>
      <c r="L4" s="4">
        <f>L5/M5*M4</f>
        <v>1.0544082239246518E-3</v>
      </c>
      <c r="M4" s="4">
        <f t="shared" ref="M4:AI4" si="1">M5/N5*N4</f>
        <v>1.0544082239246518E-3</v>
      </c>
      <c r="N4" s="4">
        <f t="shared" si="1"/>
        <v>1.0544082239246518E-3</v>
      </c>
      <c r="O4" s="4">
        <f t="shared" si="1"/>
        <v>1.0544082239246518E-3</v>
      </c>
      <c r="P4" s="4">
        <f t="shared" si="1"/>
        <v>1.0544082239246518E-3</v>
      </c>
      <c r="Q4" s="4">
        <f t="shared" si="1"/>
        <v>1.0544082239246518E-3</v>
      </c>
      <c r="R4" s="4">
        <f t="shared" si="1"/>
        <v>1.0544082239246518E-3</v>
      </c>
      <c r="S4" s="4">
        <f t="shared" si="1"/>
        <v>1.0544082239246518E-3</v>
      </c>
      <c r="T4" s="4">
        <f t="shared" si="1"/>
        <v>1.0544082239246518E-3</v>
      </c>
      <c r="U4" s="4">
        <f t="shared" si="1"/>
        <v>1.0544082239246518E-3</v>
      </c>
      <c r="V4" s="4">
        <f t="shared" si="1"/>
        <v>1.0544082239246518E-3</v>
      </c>
      <c r="W4" s="4">
        <f t="shared" si="1"/>
        <v>1.0507727694715886E-3</v>
      </c>
      <c r="X4" s="4">
        <f t="shared" si="1"/>
        <v>1.0471373150185254E-3</v>
      </c>
      <c r="Y4" s="4">
        <f t="shared" si="1"/>
        <v>1.0435018605654625E-3</v>
      </c>
      <c r="Z4" s="4">
        <f t="shared" si="1"/>
        <v>1.0398664061123993E-3</v>
      </c>
      <c r="AA4" s="4">
        <f t="shared" si="1"/>
        <v>1.0362309516593362E-3</v>
      </c>
      <c r="AB4" s="4">
        <f t="shared" si="1"/>
        <v>1.032595497206273E-3</v>
      </c>
      <c r="AC4" s="4">
        <f t="shared" si="1"/>
        <v>1.0289600427532098E-3</v>
      </c>
      <c r="AD4" s="4">
        <f t="shared" si="1"/>
        <v>1.0253245883001466E-3</v>
      </c>
      <c r="AE4" s="4">
        <f t="shared" si="1"/>
        <v>1.0216891338470835E-3</v>
      </c>
      <c r="AF4" s="4">
        <f t="shared" si="1"/>
        <v>1.0180536793940205E-3</v>
      </c>
      <c r="AG4" s="4">
        <f>AG5/AH5*AH4</f>
        <v>1.0144182249409574E-3</v>
      </c>
      <c r="AH4" s="4">
        <f t="shared" si="1"/>
        <v>1.0107827704878942E-3</v>
      </c>
      <c r="AI4" s="4">
        <f t="shared" si="1"/>
        <v>1.0071473160348312E-3</v>
      </c>
      <c r="AJ4" s="4">
        <f>AJ5/AK5*AK4</f>
        <v>1.0035118615817681E-3</v>
      </c>
      <c r="AK4" s="20">
        <f>AK5/AL5*AL4</f>
        <v>9.998764071287049E-4</v>
      </c>
      <c r="AL4" s="20">
        <f>AL5/AM5*AM4</f>
        <v>9.9624095267564173E-4</v>
      </c>
      <c r="AM4" s="21">
        <f>AM5/AN5*AN4</f>
        <v>9.9260549822257856E-4</v>
      </c>
      <c r="AN4" s="11">
        <f>BNVFE!D10</f>
        <v>9.8533458931645266E-4</v>
      </c>
      <c r="AO4" s="11">
        <f>BNVFE!E10</f>
        <v>9.988021364476826E-4</v>
      </c>
      <c r="AP4" s="11">
        <f>BNVFE!F10</f>
        <v>1.0144915989479513E-3</v>
      </c>
      <c r="AQ4" s="11">
        <f>BNVFE!G10</f>
        <v>1.0338641499362739E-3</v>
      </c>
      <c r="AR4" s="11">
        <f>BNVFE!H10</f>
        <v>1.0578483957153595E-3</v>
      </c>
      <c r="AS4" s="11">
        <f>BNVFE!I10</f>
        <v>1.0855563574924357E-3</v>
      </c>
      <c r="AT4" s="11">
        <f>BNVFE!J10</f>
        <v>1.1154933208321449E-3</v>
      </c>
      <c r="AU4" s="11">
        <f>BNVFE!K10</f>
        <v>1.146433059300843E-3</v>
      </c>
      <c r="AV4" s="11">
        <f>BNVFE!L10</f>
        <v>1.162195430859642E-3</v>
      </c>
      <c r="AW4" s="11">
        <f>BNVFE!M10</f>
        <v>1.1852372128907688E-3</v>
      </c>
      <c r="AX4" s="11">
        <f>BNVFE!N10</f>
        <v>1.2047747934543398E-3</v>
      </c>
      <c r="AY4" s="11">
        <f>BNVFE!O10</f>
        <v>1.2221312436297778E-3</v>
      </c>
      <c r="AZ4" s="11">
        <f>BNVFE!P10</f>
        <v>1.2324377185343545E-3</v>
      </c>
      <c r="BA4" s="11">
        <f>BNVFE!Q10</f>
        <v>1.2337189023360906E-3</v>
      </c>
      <c r="BB4" s="11">
        <f>BNVFE!R10</f>
        <v>1.2346974269358923E-3</v>
      </c>
      <c r="BC4" s="11">
        <f>BNVFE!S10</f>
        <v>1.2348004129494538E-3</v>
      </c>
      <c r="BD4" s="11">
        <f>BNVFE!T10</f>
        <v>1.2352948717913239E-3</v>
      </c>
      <c r="BE4" s="11">
        <f>BNVFE!U10</f>
        <v>1.2357035089552255E-3</v>
      </c>
      <c r="BF4" s="11">
        <f>BNVFE!V10</f>
        <v>1.2358091719752555E-3</v>
      </c>
      <c r="BG4" s="11">
        <f>BNVFE!W10</f>
        <v>1.2356633538581946E-3</v>
      </c>
      <c r="BH4" s="11">
        <f>BNVFE!X10</f>
        <v>1.2356553228387885E-3</v>
      </c>
      <c r="BI4" s="11">
        <f>BNVFE!Y10</f>
        <v>1.2356638262711007E-3</v>
      </c>
      <c r="BJ4" s="11">
        <f>BNVFE!Z10</f>
        <v>1.2356742193550382E-3</v>
      </c>
      <c r="BK4" s="11">
        <f>BNVFE!AA10</f>
        <v>1.2356002079997265E-3</v>
      </c>
      <c r="BL4" s="11">
        <f>BNVFE!AB10</f>
        <v>1.2356762664776318E-3</v>
      </c>
      <c r="BM4" s="11">
        <f>BNVFE!AC10</f>
        <v>1.2358724753046924E-3</v>
      </c>
      <c r="BN4" s="11">
        <f>BNVFE!AD10</f>
        <v>1.2358611373949426E-3</v>
      </c>
      <c r="BO4" s="11">
        <f>BNVFE!AE10</f>
        <v>1.236194345964814E-3</v>
      </c>
      <c r="BP4" s="11">
        <f>BNVFE!AF10</f>
        <v>1.2367163622262144E-3</v>
      </c>
      <c r="BQ4" s="11">
        <f>BNVFE!AG10</f>
        <v>1.2373051461783645E-3</v>
      </c>
      <c r="BR4" s="11">
        <f>BNVFE!AH10</f>
        <v>1.2379718782600448E-3</v>
      </c>
      <c r="BS4" s="11"/>
      <c r="BT4" s="4"/>
    </row>
    <row r="5" spans="1:72">
      <c r="A5" t="s">
        <v>8</v>
      </c>
      <c r="B5" t="s">
        <v>22</v>
      </c>
      <c r="C5" s="9"/>
      <c r="D5" s="9"/>
      <c r="E5" s="9"/>
      <c r="F5" s="9"/>
      <c r="G5" s="9"/>
      <c r="H5" s="9"/>
      <c r="I5" s="9"/>
      <c r="J5" s="9"/>
      <c r="K5" s="9"/>
      <c r="L5" s="4">
        <f>M5</f>
        <v>7.8040477200267344E-4</v>
      </c>
      <c r="M5" s="4">
        <f t="shared" ref="M5:T5" si="2">N5</f>
        <v>7.8040477200267344E-4</v>
      </c>
      <c r="N5" s="4">
        <f t="shared" si="2"/>
        <v>7.8040477200267344E-4</v>
      </c>
      <c r="O5" s="4">
        <f t="shared" si="2"/>
        <v>7.8040477200267344E-4</v>
      </c>
      <c r="P5" s="4">
        <f t="shared" si="2"/>
        <v>7.8040477200267344E-4</v>
      </c>
      <c r="Q5" s="4">
        <f t="shared" si="2"/>
        <v>7.8040477200267344E-4</v>
      </c>
      <c r="R5" s="4">
        <f t="shared" si="2"/>
        <v>7.8040477200267344E-4</v>
      </c>
      <c r="S5" s="4">
        <f t="shared" si="2"/>
        <v>7.8040477200267344E-4</v>
      </c>
      <c r="T5" s="4">
        <f t="shared" si="2"/>
        <v>7.8040477200267344E-4</v>
      </c>
      <c r="U5" s="4">
        <f>V5</f>
        <v>7.8040477200267344E-4</v>
      </c>
      <c r="V5" s="28">
        <f>Calculations!B22</f>
        <v>7.8040477200267344E-4</v>
      </c>
      <c r="W5" s="4">
        <f>($AN$5-$V$5)/COUNT($V$1:$AN$1)+V5</f>
        <v>7.777140437446856E-4</v>
      </c>
      <c r="X5" s="4">
        <f t="shared" ref="X5:AM5" si="3">($AN$5-$V$5)/COUNT($V$1:$AN$1)+W5</f>
        <v>7.7502331548669776E-4</v>
      </c>
      <c r="Y5" s="4">
        <f t="shared" si="3"/>
        <v>7.7233258722870992E-4</v>
      </c>
      <c r="Z5" s="4">
        <f t="shared" si="3"/>
        <v>7.6964185897072208E-4</v>
      </c>
      <c r="AA5" s="4">
        <f t="shared" si="3"/>
        <v>7.6695113071273424E-4</v>
      </c>
      <c r="AB5" s="4">
        <f t="shared" si="3"/>
        <v>7.642604024547464E-4</v>
      </c>
      <c r="AC5" s="4">
        <f t="shared" si="3"/>
        <v>7.6156967419675856E-4</v>
      </c>
      <c r="AD5" s="4">
        <f t="shared" si="3"/>
        <v>7.5887894593877072E-4</v>
      </c>
      <c r="AE5" s="4">
        <f t="shared" si="3"/>
        <v>7.5618821768078288E-4</v>
      </c>
      <c r="AF5" s="4">
        <f t="shared" si="3"/>
        <v>7.5349748942279504E-4</v>
      </c>
      <c r="AG5" s="4">
        <f t="shared" si="3"/>
        <v>7.508067611648072E-4</v>
      </c>
      <c r="AH5" s="4">
        <f t="shared" si="3"/>
        <v>7.4811603290681936E-4</v>
      </c>
      <c r="AI5" s="4">
        <f t="shared" si="3"/>
        <v>7.4542530464883152E-4</v>
      </c>
      <c r="AJ5" s="4">
        <f t="shared" si="3"/>
        <v>7.4273457639084369E-4</v>
      </c>
      <c r="AK5" s="4">
        <f t="shared" si="3"/>
        <v>7.4004384813285585E-4</v>
      </c>
      <c r="AL5" s="4">
        <f t="shared" si="3"/>
        <v>7.3735311987486801E-4</v>
      </c>
      <c r="AM5" s="29">
        <f t="shared" si="3"/>
        <v>7.3466239161688017E-4</v>
      </c>
      <c r="AN5" s="11">
        <f>BNVFE!D11</f>
        <v>7.2928093510090471E-4</v>
      </c>
      <c r="AO5" s="11">
        <f>BNVFE!E11</f>
        <v>7.3924874245474208E-4</v>
      </c>
      <c r="AP5" s="11">
        <f>BNVFE!F11</f>
        <v>7.508610678592162E-4</v>
      </c>
      <c r="AQ5" s="11">
        <f>BNVFE!G11</f>
        <v>7.6519937715357957E-4</v>
      </c>
      <c r="AR5" s="11">
        <f>BNVFE!H11</f>
        <v>7.8295096466416878E-4</v>
      </c>
      <c r="AS5" s="11">
        <f>BNVFE!I11</f>
        <v>8.0345860591986078E-4</v>
      </c>
      <c r="AT5" s="11">
        <f>BNVFE!J11</f>
        <v>8.2561600996837806E-4</v>
      </c>
      <c r="AU5" s="11">
        <f>BNVFE!K11</f>
        <v>8.4851560331147032E-4</v>
      </c>
      <c r="AV5" s="11">
        <f>BNVFE!L11</f>
        <v>8.6018189128557194E-4</v>
      </c>
      <c r="AW5" s="11">
        <f>BNVFE!M11</f>
        <v>8.7723592808510082E-4</v>
      </c>
      <c r="AX5" s="11">
        <f>BNVFE!N11</f>
        <v>8.9169638159754131E-4</v>
      </c>
      <c r="AY5" s="11">
        <f>BNVFE!O11</f>
        <v>9.0454250346438524E-4</v>
      </c>
      <c r="AZ5" s="11">
        <f>BNVFE!P11</f>
        <v>9.1217068960288046E-4</v>
      </c>
      <c r="BA5" s="11">
        <f>BNVFE!Q11</f>
        <v>9.1311893899054719E-4</v>
      </c>
      <c r="BB5" s="11">
        <f>BNVFE!R11</f>
        <v>9.1384317961185513E-4</v>
      </c>
      <c r="BC5" s="11">
        <f>BNVFE!S11</f>
        <v>9.1391940319832696E-4</v>
      </c>
      <c r="BD5" s="11">
        <f>BNVFE!T11</f>
        <v>9.1428536965325259E-4</v>
      </c>
      <c r="BE5" s="11">
        <f>BNVFE!U11</f>
        <v>9.1458781645278495E-4</v>
      </c>
      <c r="BF5" s="11">
        <f>BNVFE!V11</f>
        <v>9.1466602138630556E-4</v>
      </c>
      <c r="BG5" s="11">
        <f>BNVFE!W11</f>
        <v>9.1455809624705047E-4</v>
      </c>
      <c r="BH5" s="11">
        <f>BNVFE!X11</f>
        <v>9.145521522059036E-4</v>
      </c>
      <c r="BI5" s="11">
        <f>BNVFE!Y11</f>
        <v>9.1455844589652965E-4</v>
      </c>
      <c r="BJ5" s="11">
        <f>BNVFE!Z11</f>
        <v>9.1456613818507277E-4</v>
      </c>
      <c r="BK5" s="11">
        <f>BNVFE!AA11</f>
        <v>9.1451135976666027E-4</v>
      </c>
      <c r="BL5" s="11">
        <f>BNVFE!AB11</f>
        <v>9.1456765333281604E-4</v>
      </c>
      <c r="BM5" s="11">
        <f>BNVFE!AC11</f>
        <v>9.1471287441652219E-4</v>
      </c>
      <c r="BN5" s="11">
        <f>BNVFE!AD11</f>
        <v>9.147044828290207E-4</v>
      </c>
      <c r="BO5" s="11">
        <f>BNVFE!AE11</f>
        <v>9.1495110226170301E-4</v>
      </c>
      <c r="BP5" s="11">
        <f>BNVFE!AF11</f>
        <v>9.153374649362501E-4</v>
      </c>
      <c r="BQ5" s="11">
        <f>BNVFE!AG11</f>
        <v>9.1577324473719485E-4</v>
      </c>
      <c r="BR5" s="11">
        <f>BNVFE!AH11</f>
        <v>9.1626671670221223E-4</v>
      </c>
      <c r="BS5" s="11"/>
      <c r="BT5" s="4"/>
    </row>
    <row r="6" spans="1:72">
      <c r="A6" t="s">
        <v>7</v>
      </c>
      <c r="B6" t="s">
        <v>21</v>
      </c>
      <c r="C6" s="9"/>
      <c r="D6" s="9"/>
      <c r="E6" s="9"/>
      <c r="F6" s="9"/>
      <c r="G6" s="9"/>
      <c r="H6" s="9"/>
      <c r="I6" s="9"/>
      <c r="J6" s="9"/>
      <c r="K6" s="9"/>
      <c r="L6" s="9"/>
      <c r="M6" s="9"/>
      <c r="N6" s="9"/>
      <c r="O6" s="9"/>
      <c r="P6" s="4">
        <f>TREND($AN6:$BR6,$AN$1:$BR$1,P$1)</f>
        <v>3.7813606358617479E-4</v>
      </c>
      <c r="Q6" s="4">
        <f t="shared" ref="Q6:AM6" si="4">TREND($AN6:$BR6,$AN$1:$BR$1,Q$1)</f>
        <v>3.8189121028656993E-4</v>
      </c>
      <c r="R6" s="4">
        <f t="shared" si="4"/>
        <v>3.8564635698696507E-4</v>
      </c>
      <c r="S6" s="4">
        <f t="shared" si="4"/>
        <v>3.8940150368736021E-4</v>
      </c>
      <c r="T6" s="4">
        <f t="shared" si="4"/>
        <v>3.9315665038775535E-4</v>
      </c>
      <c r="U6" s="4">
        <f t="shared" si="4"/>
        <v>3.9691179708815135E-4</v>
      </c>
      <c r="V6" s="4">
        <f t="shared" si="4"/>
        <v>4.0066694378854649E-4</v>
      </c>
      <c r="W6" s="4">
        <f t="shared" si="4"/>
        <v>4.0442209048894163E-4</v>
      </c>
      <c r="X6" s="4">
        <f t="shared" si="4"/>
        <v>4.0817723718933677E-4</v>
      </c>
      <c r="Y6" s="4">
        <f t="shared" si="4"/>
        <v>4.1193238388973191E-4</v>
      </c>
      <c r="Z6" s="4">
        <f t="shared" si="4"/>
        <v>4.1568753059012791E-4</v>
      </c>
      <c r="AA6" s="4">
        <f t="shared" si="4"/>
        <v>4.1944267729052305E-4</v>
      </c>
      <c r="AB6" s="4">
        <f t="shared" si="4"/>
        <v>4.2319782399091819E-4</v>
      </c>
      <c r="AC6" s="4">
        <f t="shared" si="4"/>
        <v>4.2695297069131333E-4</v>
      </c>
      <c r="AD6" s="4">
        <f t="shared" si="4"/>
        <v>4.3070811739170847E-4</v>
      </c>
      <c r="AE6" s="4">
        <f t="shared" si="4"/>
        <v>4.344632640921036E-4</v>
      </c>
      <c r="AF6" s="4">
        <f t="shared" si="4"/>
        <v>4.3821841079249961E-4</v>
      </c>
      <c r="AG6" s="4">
        <f t="shared" si="4"/>
        <v>4.4197355749289475E-4</v>
      </c>
      <c r="AH6" s="4">
        <f t="shared" si="4"/>
        <v>4.4572870419328989E-4</v>
      </c>
      <c r="AI6" s="4">
        <f t="shared" si="4"/>
        <v>4.4948385089368503E-4</v>
      </c>
      <c r="AJ6" s="4">
        <f t="shared" si="4"/>
        <v>4.5323899759408016E-4</v>
      </c>
      <c r="AK6" s="4">
        <f t="shared" si="4"/>
        <v>4.569941442944753E-4</v>
      </c>
      <c r="AL6" s="4">
        <f t="shared" si="4"/>
        <v>4.6074929099487131E-4</v>
      </c>
      <c r="AM6" s="29">
        <f t="shared" si="4"/>
        <v>4.6450443769526645E-4</v>
      </c>
      <c r="AN6" s="11">
        <f>BNVFE!D12</f>
        <v>4.6616941125958422E-4</v>
      </c>
      <c r="AO6" s="11">
        <f>BNVFE!E12</f>
        <v>4.7399299019600609E-4</v>
      </c>
      <c r="AP6" s="11">
        <f>BNVFE!F12</f>
        <v>4.7625318028902199E-4</v>
      </c>
      <c r="AQ6" s="11">
        <f>BNVFE!G12</f>
        <v>4.7962763511951036E-4</v>
      </c>
      <c r="AR6" s="11">
        <f>BNVFE!H12</f>
        <v>4.8472425299335046E-4</v>
      </c>
      <c r="AS6" s="11">
        <f>BNVFE!I12</f>
        <v>4.8856488811023198E-4</v>
      </c>
      <c r="AT6" s="11">
        <f>BNVFE!J12</f>
        <v>4.9188761878420821E-4</v>
      </c>
      <c r="AU6" s="11">
        <f>BNVFE!K12</f>
        <v>4.9507465640706257E-4</v>
      </c>
      <c r="AV6" s="11">
        <f>BNVFE!L12</f>
        <v>4.9827927013588579E-4</v>
      </c>
      <c r="AW6" s="11">
        <f>BNVFE!M12</f>
        <v>5.0141938782536798E-4</v>
      </c>
      <c r="AX6" s="11">
        <f>BNVFE!N12</f>
        <v>5.0473115148176617E-4</v>
      </c>
      <c r="AY6" s="11">
        <f>BNVFE!O12</f>
        <v>5.0816899974300608E-4</v>
      </c>
      <c r="AZ6" s="11">
        <f>BNVFE!P12</f>
        <v>5.1181801067543291E-4</v>
      </c>
      <c r="BA6" s="11">
        <f>BNVFE!Q12</f>
        <v>5.1566570773780435E-4</v>
      </c>
      <c r="BB6" s="11">
        <f>BNVFE!R12</f>
        <v>5.1961420160206843E-4</v>
      </c>
      <c r="BC6" s="11">
        <f>BNVFE!S12</f>
        <v>5.2372057195217224E-4</v>
      </c>
      <c r="BD6" s="11">
        <f>BNVFE!T12</f>
        <v>5.2782108797571725E-4</v>
      </c>
      <c r="BE6" s="11">
        <f>BNVFE!U12</f>
        <v>5.3191930033488766E-4</v>
      </c>
      <c r="BF6" s="11">
        <f>BNVFE!V12</f>
        <v>5.3596468592895642E-4</v>
      </c>
      <c r="BG6" s="11">
        <f>BNVFE!W12</f>
        <v>5.3988919149325191E-4</v>
      </c>
      <c r="BH6" s="11">
        <f>BNVFE!X12</f>
        <v>5.4375065803669985E-4</v>
      </c>
      <c r="BI6" s="11">
        <f>BNVFE!Y12</f>
        <v>5.4758253135318239E-4</v>
      </c>
      <c r="BJ6" s="11">
        <f>BNVFE!Z12</f>
        <v>5.5141485752676429E-4</v>
      </c>
      <c r="BK6" s="11">
        <f>BNVFE!AA12</f>
        <v>5.5528893843752823E-4</v>
      </c>
      <c r="BL6" s="11">
        <f>BNVFE!AB12</f>
        <v>5.5903874617184749E-4</v>
      </c>
      <c r="BM6" s="11">
        <f>BNVFE!AC12</f>
        <v>5.6267984194975651E-4</v>
      </c>
      <c r="BN6" s="11">
        <f>BNVFE!AD12</f>
        <v>5.6625804309603806E-4</v>
      </c>
      <c r="BO6" s="11">
        <f>BNVFE!AE12</f>
        <v>5.6976670114342325E-4</v>
      </c>
      <c r="BP6" s="11">
        <f>BNVFE!AF12</f>
        <v>5.7342146795521316E-4</v>
      </c>
      <c r="BQ6" s="11">
        <f>BNVFE!AG12</f>
        <v>5.770408790975283E-4</v>
      </c>
      <c r="BR6" s="11">
        <f>BNVFE!AH12</f>
        <v>5.8064146713606509E-4</v>
      </c>
      <c r="BS6" s="11"/>
      <c r="BT6" s="4"/>
    </row>
    <row r="7" spans="1:72">
      <c r="A7" t="s">
        <v>7</v>
      </c>
      <c r="B7" t="s">
        <v>22</v>
      </c>
      <c r="C7" s="9"/>
      <c r="D7" s="9"/>
      <c r="E7" s="9"/>
      <c r="F7" s="9"/>
      <c r="G7" s="9"/>
      <c r="H7" s="9"/>
      <c r="I7" s="9"/>
      <c r="J7" s="9"/>
      <c r="K7" s="9"/>
      <c r="L7" s="9"/>
      <c r="M7" s="9"/>
      <c r="N7" s="9"/>
      <c r="O7" s="9"/>
      <c r="P7" s="4">
        <f>TREND($AN7:$BR7,$AN$1:$BR$1,P$1)-($AR7-$AN7)</f>
        <v>9.258175624649735E-5</v>
      </c>
      <c r="Q7" s="4">
        <f t="shared" ref="Q7:AL7" si="5">TREND($AN7:$BR7,$AN$1:$BR$1,Q$1)-($AR7-$AN7)</f>
        <v>9.3548597825973844E-5</v>
      </c>
      <c r="R7" s="4">
        <f t="shared" si="5"/>
        <v>9.4515439405450121E-5</v>
      </c>
      <c r="S7" s="4">
        <f t="shared" si="5"/>
        <v>9.5482280984926615E-5</v>
      </c>
      <c r="T7" s="4">
        <f t="shared" si="5"/>
        <v>9.6449122564402893E-5</v>
      </c>
      <c r="U7" s="4">
        <f t="shared" si="5"/>
        <v>9.7415964143879387E-5</v>
      </c>
      <c r="V7" s="4">
        <f t="shared" si="5"/>
        <v>9.8382805723355664E-5</v>
      </c>
      <c r="W7" s="4">
        <f t="shared" si="5"/>
        <v>9.9349647302832158E-5</v>
      </c>
      <c r="X7" s="4">
        <f t="shared" si="5"/>
        <v>1.0031648888230865E-4</v>
      </c>
      <c r="Y7" s="4">
        <f t="shared" si="5"/>
        <v>1.0128333046178493E-4</v>
      </c>
      <c r="Z7" s="4">
        <f t="shared" si="5"/>
        <v>1.0225017204126142E-4</v>
      </c>
      <c r="AA7" s="4">
        <f t="shared" si="5"/>
        <v>1.032170136207377E-4</v>
      </c>
      <c r="AB7" s="4">
        <f t="shared" si="5"/>
        <v>1.0418385520021419E-4</v>
      </c>
      <c r="AC7" s="4">
        <f t="shared" si="5"/>
        <v>1.0515069677969047E-4</v>
      </c>
      <c r="AD7" s="4">
        <f t="shared" si="5"/>
        <v>1.0611753835916697E-4</v>
      </c>
      <c r="AE7" s="4">
        <f t="shared" si="5"/>
        <v>1.0708437993864324E-4</v>
      </c>
      <c r="AF7" s="4">
        <f t="shared" si="5"/>
        <v>1.0805122151811974E-4</v>
      </c>
      <c r="AG7" s="4">
        <f t="shared" si="5"/>
        <v>1.0901806309759623E-4</v>
      </c>
      <c r="AH7" s="4">
        <f t="shared" si="5"/>
        <v>1.0998490467707251E-4</v>
      </c>
      <c r="AI7" s="4">
        <f t="shared" si="5"/>
        <v>1.10951746256549E-4</v>
      </c>
      <c r="AJ7" s="4">
        <f t="shared" si="5"/>
        <v>1.1191858783602528E-4</v>
      </c>
      <c r="AK7" s="4">
        <f t="shared" si="5"/>
        <v>1.1288542941550177E-4</v>
      </c>
      <c r="AL7" s="4">
        <f t="shared" si="5"/>
        <v>1.1385227099497805E-4</v>
      </c>
      <c r="AM7" s="29">
        <f>TREND($AN7:$BR7,$AN$1:$BR$1,AM$1)-($AR7-$AN7)</f>
        <v>1.1481911257445455E-4</v>
      </c>
      <c r="AN7" s="11">
        <f>BNVFE!D13</f>
        <v>1.2002512973417359E-4</v>
      </c>
      <c r="AO7" s="11">
        <f>BNVFE!E13</f>
        <v>1.2203947485023846E-4</v>
      </c>
      <c r="AP7" s="11">
        <f>BNVFE!F13</f>
        <v>1.2262140837608938E-4</v>
      </c>
      <c r="AQ7" s="11">
        <f>BNVFE!G13</f>
        <v>1.2349023281851067E-4</v>
      </c>
      <c r="AR7" s="11">
        <f>BNVFE!H13</f>
        <v>1.2480246439513921E-4</v>
      </c>
      <c r="AS7" s="11">
        <f>BNVFE!I13</f>
        <v>1.2579131676732679E-4</v>
      </c>
      <c r="AT7" s="11">
        <f>BNVFE!J13</f>
        <v>1.2664682373664536E-4</v>
      </c>
      <c r="AU7" s="11">
        <f>BNVFE!K13</f>
        <v>1.2746739367304943E-4</v>
      </c>
      <c r="AV7" s="11">
        <f>BNVFE!L13</f>
        <v>1.282924889479853E-4</v>
      </c>
      <c r="AW7" s="11">
        <f>BNVFE!M13</f>
        <v>1.2910097835968289E-4</v>
      </c>
      <c r="AX7" s="11">
        <f>BNVFE!N13</f>
        <v>1.2995366163942465E-4</v>
      </c>
      <c r="AY7" s="11">
        <f>BNVFE!O13</f>
        <v>1.3083880805528838E-4</v>
      </c>
      <c r="AZ7" s="11">
        <f>BNVFE!P13</f>
        <v>1.3177832274670185E-4</v>
      </c>
      <c r="BA7" s="11">
        <f>BNVFE!Q13</f>
        <v>1.3276899336543915E-4</v>
      </c>
      <c r="BB7" s="11">
        <f>BNVFE!R13</f>
        <v>1.3378561624301569E-4</v>
      </c>
      <c r="BC7" s="11">
        <f>BNVFE!S13</f>
        <v>1.3484288774582846E-4</v>
      </c>
      <c r="BD7" s="11">
        <f>BNVFE!T13</f>
        <v>1.3589865192901079E-4</v>
      </c>
      <c r="BE7" s="11">
        <f>BNVFE!U13</f>
        <v>1.3695382298529812E-4</v>
      </c>
      <c r="BF7" s="11">
        <f>BNVFE!V13</f>
        <v>1.3799539267868687E-4</v>
      </c>
      <c r="BG7" s="11">
        <f>BNVFE!W13</f>
        <v>1.3900583926338301E-4</v>
      </c>
      <c r="BH7" s="11">
        <f>BNVFE!X13</f>
        <v>1.4000005512492829E-4</v>
      </c>
      <c r="BI7" s="11">
        <f>BNVFE!Y13</f>
        <v>1.409866515871308E-4</v>
      </c>
      <c r="BJ7" s="11">
        <f>BNVFE!Z13</f>
        <v>1.4197336464692809E-4</v>
      </c>
      <c r="BK7" s="11">
        <f>BNVFE!AA13</f>
        <v>1.4297082834292379E-4</v>
      </c>
      <c r="BL7" s="11">
        <f>BNVFE!AB13</f>
        <v>1.4393629529317647E-4</v>
      </c>
      <c r="BM7" s="11">
        <f>BNVFE!AC13</f>
        <v>1.4487377206141239E-4</v>
      </c>
      <c r="BN7" s="11">
        <f>BNVFE!AD13</f>
        <v>1.4579505528254221E-4</v>
      </c>
      <c r="BO7" s="11">
        <f>BNVFE!AE13</f>
        <v>1.4669843316868957E-4</v>
      </c>
      <c r="BP7" s="11">
        <f>BNVFE!AF13</f>
        <v>1.4763942983243028E-4</v>
      </c>
      <c r="BQ7" s="11">
        <f>BNVFE!AG13</f>
        <v>1.4857132343468077E-4</v>
      </c>
      <c r="BR7" s="11">
        <f>BNVFE!AH13</f>
        <v>1.494983706325589E-4</v>
      </c>
      <c r="BS7" s="11"/>
      <c r="BT7" s="4"/>
    </row>
    <row r="8" spans="1:72">
      <c r="A8" t="s">
        <v>16</v>
      </c>
      <c r="B8" t="s">
        <v>89</v>
      </c>
      <c r="C8" s="9"/>
      <c r="D8" s="9"/>
      <c r="E8" s="9"/>
      <c r="F8" s="4">
        <f>TREND($AN8:$AS8,$AN$1:$AS$1,F$1)</f>
        <v>3.952522554130269E-4</v>
      </c>
      <c r="G8" s="4">
        <f t="shared" ref="G8:AM9" si="6">TREND($AN8:$AS8,$AN$1:$AS$1,G$1)</f>
        <v>3.9505622007027588E-4</v>
      </c>
      <c r="H8" s="4">
        <f t="shared" si="6"/>
        <v>3.9486018472752486E-4</v>
      </c>
      <c r="I8" s="4">
        <f t="shared" si="6"/>
        <v>3.9466414938477384E-4</v>
      </c>
      <c r="J8" s="4">
        <f t="shared" si="6"/>
        <v>3.9446811404202282E-4</v>
      </c>
      <c r="K8" s="4">
        <f t="shared" si="6"/>
        <v>3.942720786992718E-4</v>
      </c>
      <c r="L8" s="4">
        <f t="shared" si="6"/>
        <v>3.9407604335652078E-4</v>
      </c>
      <c r="M8" s="4">
        <f t="shared" si="6"/>
        <v>3.9388000801376976E-4</v>
      </c>
      <c r="N8" s="4">
        <f t="shared" si="6"/>
        <v>3.9368397267101874E-4</v>
      </c>
      <c r="O8" s="4">
        <f t="shared" si="6"/>
        <v>3.9348793732826772E-4</v>
      </c>
      <c r="P8" s="4">
        <f t="shared" si="6"/>
        <v>3.9329190198551675E-4</v>
      </c>
      <c r="Q8" s="4">
        <f t="shared" si="6"/>
        <v>3.9309586664276573E-4</v>
      </c>
      <c r="R8" s="4">
        <f t="shared" si="6"/>
        <v>3.9289983130001471E-4</v>
      </c>
      <c r="S8" s="4">
        <f t="shared" si="6"/>
        <v>3.9270379595726369E-4</v>
      </c>
      <c r="T8" s="4">
        <f t="shared" si="6"/>
        <v>3.9250776061451267E-4</v>
      </c>
      <c r="U8" s="4">
        <f t="shared" si="6"/>
        <v>3.9231172527176165E-4</v>
      </c>
      <c r="V8" s="4">
        <f t="shared" si="6"/>
        <v>3.9211568992901063E-4</v>
      </c>
      <c r="W8" s="4">
        <f t="shared" si="6"/>
        <v>3.9191965458625961E-4</v>
      </c>
      <c r="X8" s="4">
        <f t="shared" si="6"/>
        <v>3.9172361924350859E-4</v>
      </c>
      <c r="Y8" s="4">
        <f t="shared" si="6"/>
        <v>3.9152758390075757E-4</v>
      </c>
      <c r="Z8" s="4">
        <f t="shared" si="6"/>
        <v>3.9133154855800655E-4</v>
      </c>
      <c r="AA8" s="4">
        <f t="shared" si="6"/>
        <v>3.9113551321525553E-4</v>
      </c>
      <c r="AB8" s="4">
        <f t="shared" si="6"/>
        <v>3.9093947787250451E-4</v>
      </c>
      <c r="AC8" s="4">
        <f t="shared" si="6"/>
        <v>3.9074344252975349E-4</v>
      </c>
      <c r="AD8" s="4">
        <f t="shared" si="6"/>
        <v>3.9054740718700247E-4</v>
      </c>
      <c r="AE8" s="4">
        <f t="shared" si="6"/>
        <v>3.9035137184425145E-4</v>
      </c>
      <c r="AF8" s="4">
        <f t="shared" si="6"/>
        <v>3.9015533650150043E-4</v>
      </c>
      <c r="AG8" s="4">
        <f t="shared" si="6"/>
        <v>3.8995930115874941E-4</v>
      </c>
      <c r="AH8" s="4">
        <f t="shared" si="6"/>
        <v>3.8976326581599839E-4</v>
      </c>
      <c r="AI8" s="4">
        <f t="shared" si="6"/>
        <v>3.8956723047324737E-4</v>
      </c>
      <c r="AJ8" s="4">
        <f t="shared" si="6"/>
        <v>3.8937119513049635E-4</v>
      </c>
      <c r="AK8" s="4">
        <f t="shared" si="6"/>
        <v>3.8917515978774533E-4</v>
      </c>
      <c r="AL8" s="4">
        <f t="shared" si="6"/>
        <v>3.8897912444499431E-4</v>
      </c>
      <c r="AM8" s="29">
        <f t="shared" si="6"/>
        <v>3.8878308910224329E-4</v>
      </c>
      <c r="AN8" s="11">
        <f>BNVFE!D14</f>
        <v>3.8868922094850749E-4</v>
      </c>
      <c r="AO8" s="11">
        <f>BNVFE!E14</f>
        <v>3.8835964956971156E-4</v>
      </c>
      <c r="AP8" s="11">
        <f>BNVFE!F14</f>
        <v>3.8810530909215343E-4</v>
      </c>
      <c r="AQ8" s="11">
        <f>BNVFE!G14</f>
        <v>3.8794345419032003E-4</v>
      </c>
      <c r="AR8" s="11">
        <f>BNVFE!H14</f>
        <v>3.8779756085887974E-4</v>
      </c>
      <c r="AS8" s="11">
        <f>BNVFE!I14</f>
        <v>3.8768659775611613E-4</v>
      </c>
      <c r="AT8" s="11">
        <f>BNVFE!J14</f>
        <v>3.8756372155893972E-4</v>
      </c>
      <c r="AU8" s="11">
        <f>BNVFE!K14</f>
        <v>3.8743413448561116E-4</v>
      </c>
      <c r="AV8" s="11">
        <f>BNVFE!L14</f>
        <v>3.8741625203614658E-4</v>
      </c>
      <c r="AW8" s="11">
        <f>BNVFE!M14</f>
        <v>3.8738694289951122E-4</v>
      </c>
      <c r="AX8" s="11">
        <f>BNVFE!N14</f>
        <v>3.8727323156960051E-4</v>
      </c>
      <c r="AY8" s="11">
        <f>BNVFE!O14</f>
        <v>3.872801832305252E-4</v>
      </c>
      <c r="AZ8" s="11">
        <f>BNVFE!P14</f>
        <v>3.8723285633958973E-4</v>
      </c>
      <c r="BA8" s="11">
        <f>BNVFE!Q14</f>
        <v>3.8719654146009873E-4</v>
      </c>
      <c r="BB8" s="11">
        <f>BNVFE!R14</f>
        <v>3.8712836957078314E-4</v>
      </c>
      <c r="BC8" s="11">
        <f>BNVFE!S14</f>
        <v>3.8710174375942578E-4</v>
      </c>
      <c r="BD8" s="11">
        <f>BNVFE!T14</f>
        <v>3.8701959513390749E-4</v>
      </c>
      <c r="BE8" s="11">
        <f>BNVFE!U14</f>
        <v>3.8693459130790495E-4</v>
      </c>
      <c r="BF8" s="11">
        <f>BNVFE!V14</f>
        <v>3.8684314096127021E-4</v>
      </c>
      <c r="BG8" s="11">
        <f>BNVFE!W14</f>
        <v>3.8675224209457141E-4</v>
      </c>
      <c r="BH8" s="11">
        <f>BNVFE!X14</f>
        <v>3.8662639724460569E-4</v>
      </c>
      <c r="BI8" s="11">
        <f>BNVFE!Y14</f>
        <v>3.8650753548999096E-4</v>
      </c>
      <c r="BJ8" s="11">
        <f>BNVFE!Z14</f>
        <v>3.8637937383671609E-4</v>
      </c>
      <c r="BK8" s="11">
        <f>BNVFE!AA14</f>
        <v>3.8623677194928995E-4</v>
      </c>
      <c r="BL8" s="11">
        <f>BNVFE!AB14</f>
        <v>3.8608334518532407E-4</v>
      </c>
      <c r="BM8" s="11">
        <f>BNVFE!AC14</f>
        <v>3.8590701122559256E-4</v>
      </c>
      <c r="BN8" s="11">
        <f>BNVFE!AD14</f>
        <v>3.8573556454320505E-4</v>
      </c>
      <c r="BO8" s="11">
        <f>BNVFE!AE14</f>
        <v>3.8555651429608934E-4</v>
      </c>
      <c r="BP8" s="11">
        <f>BNVFE!AF14</f>
        <v>3.8536129241038667E-4</v>
      </c>
      <c r="BQ8" s="11">
        <f>BNVFE!AG14</f>
        <v>3.8512787391125356E-4</v>
      </c>
      <c r="BR8" s="11">
        <f>BNVFE!AH14</f>
        <v>3.8487689875144672E-4</v>
      </c>
      <c r="BS8" s="11"/>
      <c r="BT8" s="4"/>
    </row>
    <row r="9" spans="1:72">
      <c r="A9" t="s">
        <v>16</v>
      </c>
      <c r="B9" t="s">
        <v>90</v>
      </c>
      <c r="C9" s="9"/>
      <c r="D9" s="9"/>
      <c r="E9" s="9"/>
      <c r="F9" s="20">
        <f>TREND($AN9:$AS9,$AN$1:$AS$1,F$1)</f>
        <v>1.2701330993401204E-3</v>
      </c>
      <c r="G9" s="20">
        <f t="shared" si="6"/>
        <v>1.2695031447375632E-3</v>
      </c>
      <c r="H9" s="20">
        <f t="shared" si="6"/>
        <v>1.2688731901350058E-3</v>
      </c>
      <c r="I9" s="20">
        <f t="shared" si="6"/>
        <v>1.2682432355324486E-3</v>
      </c>
      <c r="J9" s="20">
        <f t="shared" si="6"/>
        <v>1.2676132809298914E-3</v>
      </c>
      <c r="K9" s="20">
        <f t="shared" si="6"/>
        <v>1.2669833263273342E-3</v>
      </c>
      <c r="L9" s="20">
        <f t="shared" si="6"/>
        <v>1.2663533717247771E-3</v>
      </c>
      <c r="M9" s="20">
        <f t="shared" si="6"/>
        <v>1.2657234171222199E-3</v>
      </c>
      <c r="N9" s="20">
        <f t="shared" si="6"/>
        <v>1.2650934625196627E-3</v>
      </c>
      <c r="O9" s="20">
        <f t="shared" si="6"/>
        <v>1.2644635079171055E-3</v>
      </c>
      <c r="P9" s="20">
        <f t="shared" si="6"/>
        <v>1.2638335533145483E-3</v>
      </c>
      <c r="Q9" s="20">
        <f t="shared" si="6"/>
        <v>1.2632035987119911E-3</v>
      </c>
      <c r="R9" s="20">
        <f t="shared" si="6"/>
        <v>1.2625736441094339E-3</v>
      </c>
      <c r="S9" s="20">
        <f t="shared" si="6"/>
        <v>1.2619436895068767E-3</v>
      </c>
      <c r="T9" s="20">
        <f t="shared" si="6"/>
        <v>1.2613137349043195E-3</v>
      </c>
      <c r="U9" s="20">
        <f t="shared" si="6"/>
        <v>1.2606837803017623E-3</v>
      </c>
      <c r="V9" s="20">
        <f t="shared" si="6"/>
        <v>1.2600538256992051E-3</v>
      </c>
      <c r="W9" s="20">
        <f t="shared" si="6"/>
        <v>1.2594238710966479E-3</v>
      </c>
      <c r="X9" s="20">
        <f t="shared" si="6"/>
        <v>1.2587939164940907E-3</v>
      </c>
      <c r="Y9" s="20">
        <f t="shared" si="6"/>
        <v>1.2581639618915333E-3</v>
      </c>
      <c r="Z9" s="20">
        <f t="shared" si="6"/>
        <v>1.2575340072889761E-3</v>
      </c>
      <c r="AA9" s="20">
        <f t="shared" si="6"/>
        <v>1.2569040526864189E-3</v>
      </c>
      <c r="AB9" s="20">
        <f t="shared" si="6"/>
        <v>1.2562740980838617E-3</v>
      </c>
      <c r="AC9" s="20">
        <f t="shared" si="6"/>
        <v>1.2556441434813045E-3</v>
      </c>
      <c r="AD9" s="20">
        <f t="shared" si="6"/>
        <v>1.2550141888787473E-3</v>
      </c>
      <c r="AE9" s="20">
        <f t="shared" si="6"/>
        <v>1.2543842342761901E-3</v>
      </c>
      <c r="AF9" s="20">
        <f t="shared" si="6"/>
        <v>1.2537542796736329E-3</v>
      </c>
      <c r="AG9" s="20">
        <f t="shared" si="6"/>
        <v>1.2531243250710757E-3</v>
      </c>
      <c r="AH9" s="20">
        <f t="shared" si="6"/>
        <v>1.2524943704685185E-3</v>
      </c>
      <c r="AI9" s="20">
        <f t="shared" si="6"/>
        <v>1.2518644158659613E-3</v>
      </c>
      <c r="AJ9" s="20">
        <f t="shared" si="6"/>
        <v>1.2512344612634041E-3</v>
      </c>
      <c r="AK9" s="20">
        <f t="shared" si="6"/>
        <v>1.250604506660847E-3</v>
      </c>
      <c r="AL9" s="20">
        <f t="shared" si="6"/>
        <v>1.2499745520582898E-3</v>
      </c>
      <c r="AM9" s="21">
        <f t="shared" si="6"/>
        <v>1.2493445974557326E-3</v>
      </c>
      <c r="AN9" s="11">
        <f>BNVFE!D15</f>
        <v>1.2490429545241593E-3</v>
      </c>
      <c r="AO9" s="11">
        <f>BNVFE!E15</f>
        <v>1.2479838852561889E-3</v>
      </c>
      <c r="AP9" s="11">
        <f>BNVFE!F15</f>
        <v>1.2471665685815224E-3</v>
      </c>
      <c r="AQ9" s="11">
        <f>BNVFE!G15</f>
        <v>1.2466464519590526E-3</v>
      </c>
      <c r="AR9" s="11">
        <f>BNVFE!H15</f>
        <v>1.2461776274382624E-3</v>
      </c>
      <c r="AS9" s="11">
        <f>BNVFE!I15</f>
        <v>1.2458210503215087E-3</v>
      </c>
      <c r="AT9" s="11">
        <f>BNVFE!J15</f>
        <v>1.2454261907779705E-3</v>
      </c>
      <c r="AU9" s="11">
        <f>BNVFE!K15</f>
        <v>1.2450097660041024E-3</v>
      </c>
      <c r="AV9" s="11">
        <f>BNVFE!L15</f>
        <v>1.2449523012062393E-3</v>
      </c>
      <c r="AW9" s="11">
        <f>BNVFE!M15</f>
        <v>1.2448581170389291E-3</v>
      </c>
      <c r="AX9" s="11">
        <f>BNVFE!N15</f>
        <v>1.244492708563932E-3</v>
      </c>
      <c r="AY9" s="11">
        <f>BNVFE!O15</f>
        <v>1.2445150475500222E-3</v>
      </c>
      <c r="AZ9" s="11">
        <f>BNVFE!P15</f>
        <v>1.244362963786191E-3</v>
      </c>
      <c r="BA9" s="11">
        <f>BNVFE!Q15</f>
        <v>1.2442462668418766E-3</v>
      </c>
      <c r="BB9" s="11">
        <f>BNVFE!R15</f>
        <v>1.2440271982043711E-3</v>
      </c>
      <c r="BC9" s="11">
        <f>BNVFE!S15</f>
        <v>1.2439416368347936E-3</v>
      </c>
      <c r="BD9" s="11">
        <f>BNVFE!T15</f>
        <v>1.2436776543099449E-3</v>
      </c>
      <c r="BE9" s="11">
        <f>BNVFE!U15</f>
        <v>1.2434044966707469E-3</v>
      </c>
      <c r="BF9" s="11">
        <f>BNVFE!V15</f>
        <v>1.2431106233009778E-3</v>
      </c>
      <c r="BG9" s="11">
        <f>BNVFE!W15</f>
        <v>1.242818522097998E-3</v>
      </c>
      <c r="BH9" s="11">
        <f>BNVFE!X15</f>
        <v>1.2424141228640053E-3</v>
      </c>
      <c r="BI9" s="11">
        <f>BNVFE!Y15</f>
        <v>1.2420321636298346E-3</v>
      </c>
      <c r="BJ9" s="11">
        <f>BNVFE!Z15</f>
        <v>1.241620319407161E-3</v>
      </c>
      <c r="BK9" s="11">
        <f>BNVFE!AA15</f>
        <v>1.2411620718582406E-3</v>
      </c>
      <c r="BL9" s="11">
        <f>BNVFE!AB15</f>
        <v>1.240669038843074E-3</v>
      </c>
      <c r="BM9" s="11">
        <f>BNVFE!AC15</f>
        <v>1.2401023941352315E-3</v>
      </c>
      <c r="BN9" s="11">
        <f>BNVFE!AD15</f>
        <v>1.2395514545691941E-3</v>
      </c>
      <c r="BO9" s="11">
        <f>BNVFE!AE15</f>
        <v>1.2389760811407262E-3</v>
      </c>
      <c r="BP9" s="11">
        <f>BNVFE!AF15</f>
        <v>1.2383487405617649E-3</v>
      </c>
      <c r="BQ9" s="11">
        <f>BNVFE!AG15</f>
        <v>1.2375986561341948E-3</v>
      </c>
      <c r="BR9" s="11">
        <f>BNVFE!AH15</f>
        <v>1.236792153822779E-3</v>
      </c>
      <c r="BS9" s="11"/>
      <c r="BT9" s="4"/>
    </row>
    <row r="10" spans="1:72">
      <c r="A10" t="s">
        <v>16</v>
      </c>
      <c r="B10" t="s">
        <v>22</v>
      </c>
      <c r="C10" s="9"/>
      <c r="D10" s="9"/>
      <c r="E10" s="9"/>
      <c r="F10" s="4">
        <f>TREND($AN10:$BR10,$AN$1:$BR$1,F$1)</f>
        <v>2.6319489092741927E-3</v>
      </c>
      <c r="G10" s="4">
        <f t="shared" ref="G10:AM13" si="7">TREND($AN10:$BR10,$AN$1:$BR$1,G$1)</f>
        <v>2.6568304193548414E-3</v>
      </c>
      <c r="H10" s="4">
        <f t="shared" si="7"/>
        <v>2.6817119294354833E-3</v>
      </c>
      <c r="I10" s="4">
        <f t="shared" si="7"/>
        <v>2.706593439516132E-3</v>
      </c>
      <c r="J10" s="4">
        <f t="shared" si="7"/>
        <v>2.7314749495967738E-3</v>
      </c>
      <c r="K10" s="4">
        <f t="shared" si="7"/>
        <v>2.7563564596774226E-3</v>
      </c>
      <c r="L10" s="4">
        <f t="shared" si="7"/>
        <v>2.7812379697580644E-3</v>
      </c>
      <c r="M10" s="4">
        <f t="shared" si="7"/>
        <v>2.8061194798387132E-3</v>
      </c>
      <c r="N10" s="4">
        <f t="shared" si="7"/>
        <v>2.831000989919355E-3</v>
      </c>
      <c r="O10" s="4">
        <f t="shared" si="7"/>
        <v>2.8558824999999968E-3</v>
      </c>
      <c r="P10" s="4">
        <f t="shared" si="7"/>
        <v>2.8807640100806456E-3</v>
      </c>
      <c r="Q10" s="4">
        <f t="shared" si="7"/>
        <v>2.9056455201612874E-3</v>
      </c>
      <c r="R10" s="4">
        <f t="shared" si="7"/>
        <v>2.9305270302419362E-3</v>
      </c>
      <c r="S10" s="4">
        <f t="shared" si="7"/>
        <v>2.955408540322578E-3</v>
      </c>
      <c r="T10" s="4">
        <f t="shared" si="7"/>
        <v>2.9802900504032268E-3</v>
      </c>
      <c r="U10" s="4">
        <f t="shared" si="7"/>
        <v>3.0051715604838686E-3</v>
      </c>
      <c r="V10" s="4">
        <f t="shared" si="7"/>
        <v>3.0300530705645173E-3</v>
      </c>
      <c r="W10" s="4">
        <f t="shared" si="7"/>
        <v>3.0549345806451592E-3</v>
      </c>
      <c r="X10" s="4">
        <f t="shared" si="7"/>
        <v>3.0798160907258079E-3</v>
      </c>
      <c r="Y10" s="4">
        <f t="shared" si="7"/>
        <v>3.1046976008064497E-3</v>
      </c>
      <c r="Z10" s="4">
        <f t="shared" si="7"/>
        <v>3.1295791108870985E-3</v>
      </c>
      <c r="AA10" s="4">
        <f t="shared" si="7"/>
        <v>3.1544606209677403E-3</v>
      </c>
      <c r="AB10" s="4">
        <f t="shared" si="7"/>
        <v>3.1793421310483891E-3</v>
      </c>
      <c r="AC10" s="4">
        <f t="shared" si="7"/>
        <v>3.2042236411290309E-3</v>
      </c>
      <c r="AD10" s="4">
        <f t="shared" si="7"/>
        <v>3.2291051512096797E-3</v>
      </c>
      <c r="AE10" s="4">
        <f t="shared" si="7"/>
        <v>3.2539866612903215E-3</v>
      </c>
      <c r="AF10" s="4">
        <f t="shared" si="7"/>
        <v>3.2788681713709703E-3</v>
      </c>
      <c r="AG10" s="4">
        <f t="shared" si="7"/>
        <v>3.3037496814516121E-3</v>
      </c>
      <c r="AH10" s="4">
        <f t="shared" si="7"/>
        <v>3.3286311915322608E-3</v>
      </c>
      <c r="AI10" s="4">
        <f t="shared" si="7"/>
        <v>3.3535127016129027E-3</v>
      </c>
      <c r="AJ10" s="4">
        <f t="shared" si="7"/>
        <v>3.3783942116935514E-3</v>
      </c>
      <c r="AK10" s="4">
        <f t="shared" si="7"/>
        <v>3.4032757217741932E-3</v>
      </c>
      <c r="AL10" s="4">
        <f t="shared" si="7"/>
        <v>3.428157231854842E-3</v>
      </c>
      <c r="AM10" s="29">
        <f>TREND($AN10:$BR10,$AN$1:$BR$1,AM$1)</f>
        <v>3.4530387419354838E-3</v>
      </c>
      <c r="AN10" s="11">
        <f>BNVFE!D16</f>
        <v>3.4893709999999998E-3</v>
      </c>
      <c r="AO10" s="11">
        <f>BNVFE!E16</f>
        <v>3.5120030000000001E-3</v>
      </c>
      <c r="AP10" s="11">
        <f>BNVFE!F16</f>
        <v>3.5347819999999998E-3</v>
      </c>
      <c r="AQ10" s="11">
        <f>BNVFE!G16</f>
        <v>3.55771E-3</v>
      </c>
      <c r="AR10" s="11">
        <f>BNVFE!H16</f>
        <v>3.580785E-3</v>
      </c>
      <c r="AS10" s="11">
        <f>BNVFE!I16</f>
        <v>3.6040100000000004E-3</v>
      </c>
      <c r="AT10" s="11">
        <f>BNVFE!J16</f>
        <v>3.6273859999999998E-3</v>
      </c>
      <c r="AU10" s="11">
        <f>BNVFE!K16</f>
        <v>3.6509140000000003E-3</v>
      </c>
      <c r="AV10" s="11">
        <f>BNVFE!L16</f>
        <v>3.6745939999999998E-3</v>
      </c>
      <c r="AW10" s="11">
        <f>BNVFE!M16</f>
        <v>3.6984279999999997E-3</v>
      </c>
      <c r="AX10" s="11">
        <f>BNVFE!N16</f>
        <v>3.7224160000000001E-3</v>
      </c>
      <c r="AY10" s="11">
        <f>BNVFE!O16</f>
        <v>3.7465599999999999E-3</v>
      </c>
      <c r="AZ10" s="11">
        <f>BNVFE!P16</f>
        <v>3.77086E-3</v>
      </c>
      <c r="BA10" s="11">
        <f>BNVFE!Q16</f>
        <v>3.7953179999999998E-3</v>
      </c>
      <c r="BB10" s="11">
        <f>BNVFE!R16</f>
        <v>3.819935E-3</v>
      </c>
      <c r="BC10" s="11">
        <f>BNVFE!S16</f>
        <v>3.8447119999999997E-3</v>
      </c>
      <c r="BD10" s="11">
        <f>BNVFE!T16</f>
        <v>3.8696489999999997E-3</v>
      </c>
      <c r="BE10" s="11">
        <f>BNVFE!U16</f>
        <v>3.894748E-3</v>
      </c>
      <c r="BF10" s="11">
        <f>BNVFE!V16</f>
        <v>3.9200089999999995E-3</v>
      </c>
      <c r="BG10" s="11">
        <f>BNVFE!W16</f>
        <v>3.9454349999999997E-3</v>
      </c>
      <c r="BH10" s="11">
        <f>BNVFE!X16</f>
        <v>3.9710250000000004E-3</v>
      </c>
      <c r="BI10" s="11">
        <f>BNVFE!Y16</f>
        <v>3.9967819999999999E-3</v>
      </c>
      <c r="BJ10" s="11">
        <f>BNVFE!Z16</f>
        <v>4.0227050000000006E-3</v>
      </c>
      <c r="BK10" s="11">
        <f>BNVFE!AA16</f>
        <v>4.0487970000000007E-3</v>
      </c>
      <c r="BL10" s="11">
        <f>BNVFE!AB16</f>
        <v>4.0750580000000003E-3</v>
      </c>
      <c r="BM10" s="11">
        <f>BNVFE!AC16</f>
        <v>4.1014889999999998E-3</v>
      </c>
      <c r="BN10" s="11">
        <f>BNVFE!AD16</f>
        <v>4.1280910000000004E-3</v>
      </c>
      <c r="BO10" s="11">
        <f>BNVFE!AE16</f>
        <v>4.1548660000000001E-3</v>
      </c>
      <c r="BP10" s="11">
        <f>BNVFE!AF16</f>
        <v>4.1818150000000002E-3</v>
      </c>
      <c r="BQ10" s="11">
        <f>BNVFE!AG16</f>
        <v>4.2089390000000001E-3</v>
      </c>
      <c r="BR10" s="11">
        <f>BNVFE!AH16</f>
        <v>4.2362379999999998E-3</v>
      </c>
      <c r="BS10" s="11"/>
      <c r="BT10" s="4"/>
    </row>
    <row r="11" spans="1:72">
      <c r="A11" t="s">
        <v>17</v>
      </c>
      <c r="B11" t="s">
        <v>21</v>
      </c>
      <c r="C11" s="9"/>
      <c r="D11" s="9"/>
      <c r="E11" s="9"/>
      <c r="F11" s="9"/>
      <c r="G11" s="4">
        <f>TREND($AN11:$BR11,$AN$1:$BR$1,G$1)</f>
        <v>1.0049397002369564E-5</v>
      </c>
      <c r="H11" s="4">
        <f t="shared" si="7"/>
        <v>1.0049397002369564E-5</v>
      </c>
      <c r="I11" s="4">
        <f t="shared" si="7"/>
        <v>1.0049397002369564E-5</v>
      </c>
      <c r="J11" s="4">
        <f t="shared" si="7"/>
        <v>1.0049397002369564E-5</v>
      </c>
      <c r="K11" s="4">
        <f t="shared" si="7"/>
        <v>1.0049397002369564E-5</v>
      </c>
      <c r="L11" s="4">
        <f t="shared" si="7"/>
        <v>1.0049397002369564E-5</v>
      </c>
      <c r="M11" s="4">
        <f t="shared" si="7"/>
        <v>1.0049397002369564E-5</v>
      </c>
      <c r="N11" s="4">
        <f t="shared" si="7"/>
        <v>1.0049397002369564E-5</v>
      </c>
      <c r="O11" s="4">
        <f t="shared" si="7"/>
        <v>1.0049397002369564E-5</v>
      </c>
      <c r="P11" s="4">
        <f t="shared" si="7"/>
        <v>1.0049397002369564E-5</v>
      </c>
      <c r="Q11" s="4">
        <f t="shared" si="7"/>
        <v>1.0049397002369564E-5</v>
      </c>
      <c r="R11" s="4">
        <f t="shared" si="7"/>
        <v>1.0049397002369564E-5</v>
      </c>
      <c r="S11" s="4">
        <f t="shared" si="7"/>
        <v>1.0049397002369564E-5</v>
      </c>
      <c r="T11" s="4">
        <f t="shared" si="7"/>
        <v>1.0049397002369564E-5</v>
      </c>
      <c r="U11" s="4">
        <f t="shared" si="7"/>
        <v>1.0049397002369564E-5</v>
      </c>
      <c r="V11" s="4">
        <f t="shared" si="7"/>
        <v>1.0049397002369564E-5</v>
      </c>
      <c r="W11" s="4">
        <f t="shared" si="7"/>
        <v>1.0049397002369564E-5</v>
      </c>
      <c r="X11" s="4">
        <f t="shared" si="7"/>
        <v>1.0049397002369564E-5</v>
      </c>
      <c r="Y11" s="4">
        <f t="shared" si="7"/>
        <v>1.0049397002369564E-5</v>
      </c>
      <c r="Z11" s="4">
        <f t="shared" si="7"/>
        <v>1.0049397002369564E-5</v>
      </c>
      <c r="AA11" s="4">
        <f t="shared" si="7"/>
        <v>1.0049397002369564E-5</v>
      </c>
      <c r="AB11" s="4">
        <f t="shared" si="7"/>
        <v>1.0049397002369564E-5</v>
      </c>
      <c r="AC11" s="4">
        <f t="shared" si="7"/>
        <v>1.0049397002369564E-5</v>
      </c>
      <c r="AD11" s="4">
        <f t="shared" si="7"/>
        <v>1.0049397002369564E-5</v>
      </c>
      <c r="AE11" s="4">
        <f t="shared" si="7"/>
        <v>1.0049397002369564E-5</v>
      </c>
      <c r="AF11" s="4">
        <f t="shared" si="7"/>
        <v>1.0049397002369564E-5</v>
      </c>
      <c r="AG11" s="4">
        <f t="shared" si="7"/>
        <v>1.0049397002369564E-5</v>
      </c>
      <c r="AH11" s="4">
        <f t="shared" si="7"/>
        <v>1.0049397002369564E-5</v>
      </c>
      <c r="AI11" s="4">
        <f t="shared" si="7"/>
        <v>1.0049397002369564E-5</v>
      </c>
      <c r="AJ11" s="4">
        <f t="shared" si="7"/>
        <v>1.0049397002369564E-5</v>
      </c>
      <c r="AK11" s="4">
        <f t="shared" si="7"/>
        <v>1.0049397002369564E-5</v>
      </c>
      <c r="AL11" s="4">
        <f t="shared" si="7"/>
        <v>1.0049397002369564E-5</v>
      </c>
      <c r="AM11" s="29">
        <f t="shared" si="7"/>
        <v>1.0049397002369564E-5</v>
      </c>
      <c r="AN11" s="11">
        <f>BNVFE!D17</f>
        <v>1.0049397002369565E-5</v>
      </c>
      <c r="AO11" s="11">
        <f>BNVFE!E17</f>
        <v>1.0049397002369565E-5</v>
      </c>
      <c r="AP11" s="11">
        <f>BNVFE!F17</f>
        <v>1.0049397002369565E-5</v>
      </c>
      <c r="AQ11" s="11">
        <f>BNVFE!G17</f>
        <v>1.0049397002369565E-5</v>
      </c>
      <c r="AR11" s="11">
        <f>BNVFE!H17</f>
        <v>1.0049397002369565E-5</v>
      </c>
      <c r="AS11" s="11">
        <f>BNVFE!I17</f>
        <v>1.0049397002369565E-5</v>
      </c>
      <c r="AT11" s="11">
        <f>BNVFE!J17</f>
        <v>1.0049397002369565E-5</v>
      </c>
      <c r="AU11" s="11">
        <f>BNVFE!K17</f>
        <v>1.0049397002369565E-5</v>
      </c>
      <c r="AV11" s="11">
        <f>BNVFE!L17</f>
        <v>1.0049397002369565E-5</v>
      </c>
      <c r="AW11" s="11">
        <f>BNVFE!M17</f>
        <v>1.0049397002369565E-5</v>
      </c>
      <c r="AX11" s="11">
        <f>BNVFE!N17</f>
        <v>1.0049397002369565E-5</v>
      </c>
      <c r="AY11" s="11">
        <f>BNVFE!O17</f>
        <v>1.0049397002369565E-5</v>
      </c>
      <c r="AZ11" s="11">
        <f>BNVFE!P17</f>
        <v>1.0049397002369565E-5</v>
      </c>
      <c r="BA11" s="11">
        <f>BNVFE!Q17</f>
        <v>1.0049397002369565E-5</v>
      </c>
      <c r="BB11" s="11">
        <f>BNVFE!R17</f>
        <v>1.0049397002369565E-5</v>
      </c>
      <c r="BC11" s="11">
        <f>BNVFE!S17</f>
        <v>1.0049397002369565E-5</v>
      </c>
      <c r="BD11" s="11">
        <f>BNVFE!T17</f>
        <v>1.0049397002369565E-5</v>
      </c>
      <c r="BE11" s="11">
        <f>BNVFE!U17</f>
        <v>1.0049397002369565E-5</v>
      </c>
      <c r="BF11" s="11">
        <f>BNVFE!V17</f>
        <v>1.0049397002369565E-5</v>
      </c>
      <c r="BG11" s="11">
        <f>BNVFE!W17</f>
        <v>1.0049397002369565E-5</v>
      </c>
      <c r="BH11" s="11">
        <f>BNVFE!X17</f>
        <v>1.0049397002369565E-5</v>
      </c>
      <c r="BI11" s="11">
        <f>BNVFE!Y17</f>
        <v>1.0049397002369565E-5</v>
      </c>
      <c r="BJ11" s="11">
        <f>BNVFE!Z17</f>
        <v>1.0049397002369565E-5</v>
      </c>
      <c r="BK11" s="11">
        <f>BNVFE!AA17</f>
        <v>1.0049397002369565E-5</v>
      </c>
      <c r="BL11" s="11">
        <f>BNVFE!AB17</f>
        <v>1.0049397002369565E-5</v>
      </c>
      <c r="BM11" s="11">
        <f>BNVFE!AC17</f>
        <v>1.0049397002369565E-5</v>
      </c>
      <c r="BN11" s="11">
        <f>BNVFE!AD17</f>
        <v>1.0049397002369565E-5</v>
      </c>
      <c r="BO11" s="11">
        <f>BNVFE!AE17</f>
        <v>1.0049397002369565E-5</v>
      </c>
      <c r="BP11" s="11">
        <f>BNVFE!AF17</f>
        <v>1.0049397002369565E-5</v>
      </c>
      <c r="BQ11" s="11">
        <f>BNVFE!AG17</f>
        <v>1.0049397002369565E-5</v>
      </c>
      <c r="BR11" s="11">
        <f>BNVFE!AH17</f>
        <v>1.0049397002369565E-5</v>
      </c>
      <c r="BS11" s="11"/>
      <c r="BT11" s="4"/>
    </row>
    <row r="12" spans="1:72">
      <c r="A12" t="s">
        <v>17</v>
      </c>
      <c r="B12" t="s">
        <v>22</v>
      </c>
      <c r="C12" s="9"/>
      <c r="D12" s="9"/>
      <c r="E12" s="9"/>
      <c r="F12" s="9"/>
      <c r="G12" s="4">
        <f>TREND($AN12:$BR12,$AN$1:$BR$1,G$1)</f>
        <v>4.971525705626559E-3</v>
      </c>
      <c r="H12" s="4">
        <f t="shared" si="7"/>
        <v>4.971525705626559E-3</v>
      </c>
      <c r="I12" s="4">
        <f t="shared" si="7"/>
        <v>4.971525705626559E-3</v>
      </c>
      <c r="J12" s="4">
        <f t="shared" si="7"/>
        <v>4.971525705626559E-3</v>
      </c>
      <c r="K12" s="4">
        <f t="shared" si="7"/>
        <v>4.971525705626559E-3</v>
      </c>
      <c r="L12" s="4">
        <f t="shared" si="7"/>
        <v>4.971525705626559E-3</v>
      </c>
      <c r="M12" s="4">
        <f t="shared" si="7"/>
        <v>4.971525705626559E-3</v>
      </c>
      <c r="N12" s="4">
        <f t="shared" si="7"/>
        <v>4.971525705626559E-3</v>
      </c>
      <c r="O12" s="4">
        <f t="shared" si="7"/>
        <v>4.971525705626559E-3</v>
      </c>
      <c r="P12" s="4">
        <f t="shared" si="7"/>
        <v>4.971525705626559E-3</v>
      </c>
      <c r="Q12" s="4">
        <f t="shared" si="7"/>
        <v>4.971525705626559E-3</v>
      </c>
      <c r="R12" s="4">
        <f t="shared" si="7"/>
        <v>4.971525705626559E-3</v>
      </c>
      <c r="S12" s="4">
        <f t="shared" si="7"/>
        <v>4.971525705626559E-3</v>
      </c>
      <c r="T12" s="4">
        <f t="shared" si="7"/>
        <v>4.971525705626559E-3</v>
      </c>
      <c r="U12" s="4">
        <f t="shared" si="7"/>
        <v>4.971525705626559E-3</v>
      </c>
      <c r="V12" s="4">
        <f t="shared" si="7"/>
        <v>4.971525705626559E-3</v>
      </c>
      <c r="W12" s="4">
        <f t="shared" si="7"/>
        <v>4.971525705626559E-3</v>
      </c>
      <c r="X12" s="4">
        <f t="shared" si="7"/>
        <v>4.971525705626559E-3</v>
      </c>
      <c r="Y12" s="4">
        <f t="shared" si="7"/>
        <v>4.971525705626559E-3</v>
      </c>
      <c r="Z12" s="4">
        <f t="shared" si="7"/>
        <v>4.971525705626559E-3</v>
      </c>
      <c r="AA12" s="4">
        <f t="shared" si="7"/>
        <v>4.971525705626559E-3</v>
      </c>
      <c r="AB12" s="4">
        <f t="shared" si="7"/>
        <v>4.971525705626559E-3</v>
      </c>
      <c r="AC12" s="4">
        <f t="shared" si="7"/>
        <v>4.971525705626559E-3</v>
      </c>
      <c r="AD12" s="4">
        <f t="shared" si="7"/>
        <v>4.971525705626559E-3</v>
      </c>
      <c r="AE12" s="4">
        <f t="shared" si="7"/>
        <v>4.971525705626559E-3</v>
      </c>
      <c r="AF12" s="4">
        <f t="shared" si="7"/>
        <v>4.971525705626559E-3</v>
      </c>
      <c r="AG12" s="4">
        <f t="shared" si="7"/>
        <v>4.971525705626559E-3</v>
      </c>
      <c r="AH12" s="4">
        <f t="shared" si="7"/>
        <v>4.971525705626559E-3</v>
      </c>
      <c r="AI12" s="4">
        <f t="shared" si="7"/>
        <v>4.971525705626559E-3</v>
      </c>
      <c r="AJ12" s="4">
        <f t="shared" si="7"/>
        <v>4.971525705626559E-3</v>
      </c>
      <c r="AK12" s="4">
        <f t="shared" si="7"/>
        <v>4.971525705626559E-3</v>
      </c>
      <c r="AL12" s="4">
        <f t="shared" si="7"/>
        <v>4.971525705626559E-3</v>
      </c>
      <c r="AM12" s="29">
        <f t="shared" si="7"/>
        <v>4.971525705626559E-3</v>
      </c>
      <c r="AN12" s="11">
        <f>BNVFE!D18</f>
        <v>4.9715257056265547E-3</v>
      </c>
      <c r="AO12" s="11">
        <f>BNVFE!E18</f>
        <v>4.9715257056265547E-3</v>
      </c>
      <c r="AP12" s="11">
        <f>BNVFE!F18</f>
        <v>4.9715257056265547E-3</v>
      </c>
      <c r="AQ12" s="11">
        <f>BNVFE!G18</f>
        <v>4.9715257056265547E-3</v>
      </c>
      <c r="AR12" s="11">
        <f>BNVFE!H18</f>
        <v>4.9715257056265547E-3</v>
      </c>
      <c r="AS12" s="11">
        <f>BNVFE!I18</f>
        <v>4.9715257056265547E-3</v>
      </c>
      <c r="AT12" s="11">
        <f>BNVFE!J18</f>
        <v>4.9715257056265547E-3</v>
      </c>
      <c r="AU12" s="11">
        <f>BNVFE!K18</f>
        <v>4.9715257056265547E-3</v>
      </c>
      <c r="AV12" s="11">
        <f>BNVFE!L18</f>
        <v>4.9715257056265547E-3</v>
      </c>
      <c r="AW12" s="11">
        <f>BNVFE!M18</f>
        <v>4.9715257056265547E-3</v>
      </c>
      <c r="AX12" s="11">
        <f>BNVFE!N18</f>
        <v>4.9715257056265547E-3</v>
      </c>
      <c r="AY12" s="11">
        <f>BNVFE!O18</f>
        <v>4.9715257056265547E-3</v>
      </c>
      <c r="AZ12" s="11">
        <f>BNVFE!P18</f>
        <v>4.9715257056265547E-3</v>
      </c>
      <c r="BA12" s="11">
        <f>BNVFE!Q18</f>
        <v>4.9715257056265547E-3</v>
      </c>
      <c r="BB12" s="11">
        <f>BNVFE!R18</f>
        <v>4.9715257056265547E-3</v>
      </c>
      <c r="BC12" s="11">
        <f>BNVFE!S18</f>
        <v>4.9715257056265547E-3</v>
      </c>
      <c r="BD12" s="11">
        <f>BNVFE!T18</f>
        <v>4.9715257056265547E-3</v>
      </c>
      <c r="BE12" s="11">
        <f>BNVFE!U18</f>
        <v>4.9715257056265547E-3</v>
      </c>
      <c r="BF12" s="11">
        <f>BNVFE!V18</f>
        <v>4.9715257056265547E-3</v>
      </c>
      <c r="BG12" s="11">
        <f>BNVFE!W18</f>
        <v>4.9715257056265547E-3</v>
      </c>
      <c r="BH12" s="11">
        <f>BNVFE!X18</f>
        <v>4.9715257056265547E-3</v>
      </c>
      <c r="BI12" s="11">
        <f>BNVFE!Y18</f>
        <v>4.9715257056265547E-3</v>
      </c>
      <c r="BJ12" s="11">
        <f>BNVFE!Z18</f>
        <v>4.9715257056265547E-3</v>
      </c>
      <c r="BK12" s="11">
        <f>BNVFE!AA18</f>
        <v>4.9715257056265547E-3</v>
      </c>
      <c r="BL12" s="11">
        <f>BNVFE!AB18</f>
        <v>4.9715257056265547E-3</v>
      </c>
      <c r="BM12" s="11">
        <f>BNVFE!AC18</f>
        <v>4.9715257056265547E-3</v>
      </c>
      <c r="BN12" s="11">
        <f>BNVFE!AD18</f>
        <v>4.9715257056265547E-3</v>
      </c>
      <c r="BO12" s="11">
        <f>BNVFE!AE18</f>
        <v>4.9715257056265547E-3</v>
      </c>
      <c r="BP12" s="11">
        <f>BNVFE!AF18</f>
        <v>4.9715257056265547E-3</v>
      </c>
      <c r="BQ12" s="11">
        <f>BNVFE!AG18</f>
        <v>4.9715257056265547E-3</v>
      </c>
      <c r="BR12" s="11">
        <f>BNVFE!AH18</f>
        <v>4.9715257056265547E-3</v>
      </c>
      <c r="BS12" s="11"/>
      <c r="BT12" s="4"/>
    </row>
    <row r="13" spans="1:72">
      <c r="A13" t="s">
        <v>18</v>
      </c>
      <c r="B13" t="s">
        <v>21</v>
      </c>
      <c r="C13" s="8"/>
      <c r="D13" s="8"/>
      <c r="E13" s="8"/>
      <c r="F13" s="8"/>
      <c r="G13" s="8"/>
      <c r="H13" s="8"/>
      <c r="I13" s="8"/>
      <c r="J13" s="8"/>
      <c r="K13" s="8"/>
      <c r="L13" s="8"/>
      <c r="M13" s="8"/>
      <c r="N13" s="8"/>
      <c r="O13" s="8"/>
      <c r="P13" s="8"/>
      <c r="Q13" s="8"/>
      <c r="R13" s="8"/>
      <c r="S13" s="8"/>
      <c r="T13" s="8"/>
      <c r="U13" s="8"/>
      <c r="V13" s="8"/>
      <c r="W13" s="4">
        <f>TREND($AN13:$BR13,$AN$1:$BR$1,W$1)</f>
        <v>1.1107106252376128E-3</v>
      </c>
      <c r="X13" s="4">
        <f t="shared" si="7"/>
        <v>1.1107106252376128E-3</v>
      </c>
      <c r="Y13" s="4">
        <f t="shared" si="7"/>
        <v>1.1107106252376128E-3</v>
      </c>
      <c r="Z13" s="4">
        <f t="shared" si="7"/>
        <v>1.1107106252376128E-3</v>
      </c>
      <c r="AA13" s="4">
        <f t="shared" si="7"/>
        <v>1.1107106252376128E-3</v>
      </c>
      <c r="AB13" s="4">
        <f t="shared" si="7"/>
        <v>1.1107106252376128E-3</v>
      </c>
      <c r="AC13" s="4">
        <f t="shared" si="7"/>
        <v>1.1107106252376128E-3</v>
      </c>
      <c r="AD13" s="4">
        <f t="shared" si="7"/>
        <v>1.1107106252376128E-3</v>
      </c>
      <c r="AE13" s="4">
        <f t="shared" si="7"/>
        <v>1.1107106252376128E-3</v>
      </c>
      <c r="AF13" s="4">
        <f t="shared" si="7"/>
        <v>1.1107106252376128E-3</v>
      </c>
      <c r="AG13" s="4">
        <f t="shared" si="7"/>
        <v>1.1107106252376128E-3</v>
      </c>
      <c r="AH13" s="4">
        <f t="shared" si="7"/>
        <v>1.1107106252376128E-3</v>
      </c>
      <c r="AI13" s="4">
        <f t="shared" si="7"/>
        <v>1.1107106252376128E-3</v>
      </c>
      <c r="AJ13" s="4">
        <f t="shared" si="7"/>
        <v>1.1107106252376128E-3</v>
      </c>
      <c r="AK13" s="4">
        <f t="shared" si="7"/>
        <v>1.1107106252376128E-3</v>
      </c>
      <c r="AL13" s="4">
        <f t="shared" si="7"/>
        <v>1.1107106252376128E-3</v>
      </c>
      <c r="AM13" s="29">
        <f t="shared" si="7"/>
        <v>1.1107106252376128E-3</v>
      </c>
      <c r="AN13" s="11">
        <f>BNVFE!D19</f>
        <v>1.110710625237613E-3</v>
      </c>
      <c r="AO13" s="11">
        <f>BNVFE!E19</f>
        <v>1.110710625237613E-3</v>
      </c>
      <c r="AP13" s="11">
        <f>BNVFE!F19</f>
        <v>1.110710625237613E-3</v>
      </c>
      <c r="AQ13" s="11">
        <f>BNVFE!G19</f>
        <v>1.110710625237613E-3</v>
      </c>
      <c r="AR13" s="11">
        <f>BNVFE!H19</f>
        <v>1.110710625237613E-3</v>
      </c>
      <c r="AS13" s="11">
        <f>BNVFE!I19</f>
        <v>1.110710625237613E-3</v>
      </c>
      <c r="AT13" s="11">
        <f>BNVFE!J19</f>
        <v>1.110710625237613E-3</v>
      </c>
      <c r="AU13" s="11">
        <f>BNVFE!K19</f>
        <v>1.110710625237613E-3</v>
      </c>
      <c r="AV13" s="11">
        <f>BNVFE!L19</f>
        <v>1.110710625237613E-3</v>
      </c>
      <c r="AW13" s="11">
        <f>BNVFE!M19</f>
        <v>1.110710625237613E-3</v>
      </c>
      <c r="AX13" s="11">
        <f>BNVFE!N19</f>
        <v>1.110710625237613E-3</v>
      </c>
      <c r="AY13" s="11">
        <f>BNVFE!O19</f>
        <v>1.110710625237613E-3</v>
      </c>
      <c r="AZ13" s="11">
        <f>BNVFE!P19</f>
        <v>1.110710625237613E-3</v>
      </c>
      <c r="BA13" s="11">
        <f>BNVFE!Q19</f>
        <v>1.110710625237613E-3</v>
      </c>
      <c r="BB13" s="11">
        <f>BNVFE!R19</f>
        <v>1.110710625237613E-3</v>
      </c>
      <c r="BC13" s="11">
        <f>BNVFE!S19</f>
        <v>1.110710625237613E-3</v>
      </c>
      <c r="BD13" s="11">
        <f>BNVFE!T19</f>
        <v>1.110710625237613E-3</v>
      </c>
      <c r="BE13" s="11">
        <f>BNVFE!U19</f>
        <v>1.110710625237613E-3</v>
      </c>
      <c r="BF13" s="11">
        <f>BNVFE!V19</f>
        <v>1.110710625237613E-3</v>
      </c>
      <c r="BG13" s="11">
        <f>BNVFE!W19</f>
        <v>1.110710625237613E-3</v>
      </c>
      <c r="BH13" s="11">
        <f>BNVFE!X19</f>
        <v>1.110710625237613E-3</v>
      </c>
      <c r="BI13" s="11">
        <f>BNVFE!Y19</f>
        <v>1.110710625237613E-3</v>
      </c>
      <c r="BJ13" s="11">
        <f>BNVFE!Z19</f>
        <v>1.110710625237613E-3</v>
      </c>
      <c r="BK13" s="11">
        <f>BNVFE!AA19</f>
        <v>1.110710625237613E-3</v>
      </c>
      <c r="BL13" s="11">
        <f>BNVFE!AB19</f>
        <v>1.110710625237613E-3</v>
      </c>
      <c r="BM13" s="11">
        <f>BNVFE!AC19</f>
        <v>1.110710625237613E-3</v>
      </c>
      <c r="BN13" s="11">
        <f>BNVFE!AD19</f>
        <v>1.110710625237613E-3</v>
      </c>
      <c r="BO13" s="11">
        <f>BNVFE!AE19</f>
        <v>1.110710625237613E-3</v>
      </c>
      <c r="BP13" s="11">
        <f>BNVFE!AF19</f>
        <v>1.110710625237613E-3</v>
      </c>
      <c r="BQ13" s="11">
        <f>BNVFE!AG19</f>
        <v>1.110710625237613E-3</v>
      </c>
      <c r="BR13" s="11">
        <f>BNVFE!AH19</f>
        <v>1.110710625237613E-3</v>
      </c>
      <c r="BS13" s="11"/>
      <c r="BT13" s="4"/>
    </row>
    <row r="14" spans="1:72">
      <c r="A14" t="s">
        <v>18</v>
      </c>
      <c r="B14" t="s">
        <v>22</v>
      </c>
      <c r="C14" s="9"/>
      <c r="D14" s="9"/>
      <c r="E14" s="9"/>
      <c r="F14" s="9"/>
      <c r="G14" s="9"/>
      <c r="H14" s="9"/>
      <c r="I14" s="9"/>
      <c r="J14" s="9"/>
      <c r="K14" s="9"/>
      <c r="L14" s="9"/>
      <c r="M14" s="9"/>
      <c r="N14" s="9"/>
      <c r="O14" s="9"/>
      <c r="P14" s="9"/>
      <c r="Q14" s="9"/>
      <c r="R14" s="9"/>
      <c r="S14" s="9"/>
      <c r="T14" s="9"/>
      <c r="U14" s="9"/>
      <c r="V14" s="9"/>
      <c r="W14">
        <f t="shared" ref="W14:AL14" si="8">$AM14</f>
        <v>0</v>
      </c>
      <c r="X14">
        <f t="shared" si="8"/>
        <v>0</v>
      </c>
      <c r="Y14">
        <f t="shared" si="8"/>
        <v>0</v>
      </c>
      <c r="Z14">
        <f t="shared" si="8"/>
        <v>0</v>
      </c>
      <c r="AA14">
        <f t="shared" si="8"/>
        <v>0</v>
      </c>
      <c r="AB14">
        <f t="shared" si="8"/>
        <v>0</v>
      </c>
      <c r="AC14">
        <f t="shared" si="8"/>
        <v>0</v>
      </c>
      <c r="AD14">
        <f t="shared" si="8"/>
        <v>0</v>
      </c>
      <c r="AE14">
        <f t="shared" si="8"/>
        <v>0</v>
      </c>
      <c r="AF14">
        <f t="shared" si="8"/>
        <v>0</v>
      </c>
      <c r="AG14">
        <f t="shared" si="8"/>
        <v>0</v>
      </c>
      <c r="AH14">
        <f t="shared" si="8"/>
        <v>0</v>
      </c>
      <c r="AI14">
        <f t="shared" si="8"/>
        <v>0</v>
      </c>
      <c r="AJ14">
        <f t="shared" si="8"/>
        <v>0</v>
      </c>
      <c r="AK14" s="22">
        <f t="shared" si="8"/>
        <v>0</v>
      </c>
      <c r="AL14" s="22">
        <f t="shared" si="8"/>
        <v>0</v>
      </c>
      <c r="AM14" s="23">
        <f>BNVFE!D20</f>
        <v>0</v>
      </c>
      <c r="AN14" s="12">
        <f>BNVFE!D20</f>
        <v>0</v>
      </c>
      <c r="AO14" s="12">
        <f>BNVFE!E20</f>
        <v>0</v>
      </c>
      <c r="AP14" s="12">
        <f>BNVFE!F20</f>
        <v>0</v>
      </c>
      <c r="AQ14" s="12">
        <f>BNVFE!G20</f>
        <v>0</v>
      </c>
      <c r="AR14" s="12">
        <f>BNVFE!H20</f>
        <v>0</v>
      </c>
      <c r="AS14" s="12">
        <f>BNVFE!I20</f>
        <v>0</v>
      </c>
      <c r="AT14" s="12">
        <f>BNVFE!J20</f>
        <v>0</v>
      </c>
      <c r="AU14" s="12">
        <f>BNVFE!K20</f>
        <v>0</v>
      </c>
      <c r="AV14" s="12">
        <f>BNVFE!L20</f>
        <v>0</v>
      </c>
      <c r="AW14" s="12">
        <f>BNVFE!M20</f>
        <v>0</v>
      </c>
      <c r="AX14" s="12">
        <f>BNVFE!N20</f>
        <v>0</v>
      </c>
      <c r="AY14" s="12">
        <f>BNVFE!O20</f>
        <v>0</v>
      </c>
      <c r="AZ14" s="12">
        <f>BNVFE!P20</f>
        <v>0</v>
      </c>
      <c r="BA14" s="12">
        <f>BNVFE!Q20</f>
        <v>0</v>
      </c>
      <c r="BB14" s="12">
        <f>BNVFE!R20</f>
        <v>0</v>
      </c>
      <c r="BC14" s="12">
        <f>BNVFE!S20</f>
        <v>0</v>
      </c>
      <c r="BD14" s="12">
        <f>BNVFE!T20</f>
        <v>0</v>
      </c>
      <c r="BE14" s="12">
        <f>BNVFE!U20</f>
        <v>0</v>
      </c>
      <c r="BF14" s="12">
        <f>BNVFE!V20</f>
        <v>0</v>
      </c>
      <c r="BG14" s="12">
        <f>BNVFE!W20</f>
        <v>0</v>
      </c>
      <c r="BH14" s="12">
        <f>BNVFE!X20</f>
        <v>0</v>
      </c>
      <c r="BI14" s="12">
        <f>BNVFE!Y20</f>
        <v>0</v>
      </c>
      <c r="BJ14" s="12">
        <f>BNVFE!Z20</f>
        <v>0</v>
      </c>
      <c r="BK14" s="12">
        <f>BNVFE!AA20</f>
        <v>0</v>
      </c>
      <c r="BL14" s="12">
        <f>BNVFE!AB20</f>
        <v>0</v>
      </c>
      <c r="BM14" s="12">
        <f>BNVFE!AC20</f>
        <v>0</v>
      </c>
      <c r="BN14" s="12">
        <f>BNVFE!AD20</f>
        <v>0</v>
      </c>
      <c r="BO14" s="12">
        <f>BNVFE!AE20</f>
        <v>0</v>
      </c>
      <c r="BP14" s="12">
        <f>BNVFE!AF20</f>
        <v>0</v>
      </c>
      <c r="BQ14" s="12">
        <f>BNVFE!AG20</f>
        <v>0</v>
      </c>
      <c r="BR14" s="12">
        <f>BNVFE!AH20</f>
        <v>0</v>
      </c>
      <c r="BS14" s="12"/>
    </row>
    <row r="15" spans="1:72">
      <c r="E15" s="27"/>
      <c r="X15" s="4"/>
      <c r="AH15" s="4"/>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I10"/>
  <sheetViews>
    <sheetView workbookViewId="0">
      <selection activeCell="B7" sqref="B7"/>
    </sheetView>
  </sheetViews>
  <sheetFormatPr defaultColWidth="8.81640625" defaultRowHeight="14.5"/>
  <cols>
    <col min="1" max="1" width="31.1796875" customWidth="1"/>
  </cols>
  <sheetData>
    <row r="1" spans="1:35">
      <c r="A1" s="19" t="s">
        <v>87</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5">
      <c r="A2" t="s">
        <v>2</v>
      </c>
      <c r="B2" s="4">
        <f>SYFAFE!$B$2</f>
        <v>3.8548169292405357E-3</v>
      </c>
      <c r="C2" s="4">
        <f>SYFAFE!$B$2</f>
        <v>3.8548169292405357E-3</v>
      </c>
      <c r="D2" s="4">
        <f>SYFAFE!$B$2</f>
        <v>3.8548169292405357E-3</v>
      </c>
      <c r="E2" s="4">
        <f>SYFAFE!$B$2</f>
        <v>3.8548169292405357E-3</v>
      </c>
      <c r="F2" s="4">
        <f>SYFAFE!$B$2</f>
        <v>3.8548169292405357E-3</v>
      </c>
      <c r="G2" s="4">
        <f>SYFAFE!$B$2</f>
        <v>3.8548169292405357E-3</v>
      </c>
      <c r="H2" s="4">
        <f>SYFAFE!$B$2</f>
        <v>3.8548169292405357E-3</v>
      </c>
      <c r="I2" s="4">
        <f>SYFAFE!$B$2</f>
        <v>3.8548169292405357E-3</v>
      </c>
      <c r="J2" s="4">
        <f>SYFAFE!$B$2</f>
        <v>3.8548169292405357E-3</v>
      </c>
      <c r="K2" s="4">
        <f>SYFAFE!$B$2</f>
        <v>3.8548169292405357E-3</v>
      </c>
      <c r="L2" s="4">
        <f>SYFAFE!$B$2</f>
        <v>3.8548169292405357E-3</v>
      </c>
      <c r="M2" s="4">
        <f>SYFAFE!$B$2</f>
        <v>3.8548169292405357E-3</v>
      </c>
      <c r="N2" s="4">
        <f>SYFAFE!$B$2</f>
        <v>3.8548169292405357E-3</v>
      </c>
      <c r="O2" s="4">
        <f>SYFAFE!$B$2</f>
        <v>3.8548169292405357E-3</v>
      </c>
      <c r="P2" s="4">
        <f>SYFAFE!$B$2</f>
        <v>3.8548169292405357E-3</v>
      </c>
      <c r="Q2" s="4">
        <f>SYFAFE!$B$2</f>
        <v>3.8548169292405357E-3</v>
      </c>
      <c r="R2" s="4">
        <f>SYFAFE!$B$2</f>
        <v>3.8548169292405357E-3</v>
      </c>
      <c r="S2" s="4">
        <f>SYFAFE!$B$2</f>
        <v>3.8548169292405357E-3</v>
      </c>
      <c r="T2" s="4">
        <f>SYFAFE!$B$2</f>
        <v>3.8548169292405357E-3</v>
      </c>
      <c r="U2" s="4">
        <f>SYFAFE!$B$2</f>
        <v>3.8548169292405357E-3</v>
      </c>
      <c r="V2" s="4">
        <f>SYFAFE!$B$2</f>
        <v>3.8548169292405357E-3</v>
      </c>
      <c r="W2" s="4">
        <f>SYFAFE!$B$2</f>
        <v>3.8548169292405357E-3</v>
      </c>
      <c r="X2" s="4">
        <f>SYFAFE!$B$2</f>
        <v>3.8548169292405357E-3</v>
      </c>
      <c r="Y2" s="4">
        <f>SYFAFE!$B$2</f>
        <v>3.8548169292405357E-3</v>
      </c>
      <c r="Z2" s="4">
        <f>SYFAFE!$B$2</f>
        <v>3.8548169292405357E-3</v>
      </c>
      <c r="AA2" s="4">
        <f>SYFAFE!$B$2</f>
        <v>3.8548169292405357E-3</v>
      </c>
      <c r="AB2" s="4">
        <f>SYFAFE!$B$2</f>
        <v>3.8548169292405357E-3</v>
      </c>
      <c r="AC2" s="4">
        <f>SYFAFE!$B$2</f>
        <v>3.8548169292405357E-3</v>
      </c>
      <c r="AD2" s="4">
        <f>SYFAFE!$B$2</f>
        <v>3.8548169292405357E-3</v>
      </c>
      <c r="AE2" s="4">
        <f>SYFAFE!$B$2</f>
        <v>3.8548169292405357E-3</v>
      </c>
      <c r="AF2" s="4">
        <f>SYFAFE!$B$2</f>
        <v>3.8548169292405357E-3</v>
      </c>
      <c r="AH2" s="4"/>
      <c r="AI2" s="4"/>
    </row>
    <row r="3" spans="1:35">
      <c r="A3" t="s">
        <v>3</v>
      </c>
      <c r="B3" s="4">
        <f>BNVFE!B25*('BHNVFEAL-LDVs-psgr'!B$4/BNVFE!B$26)</f>
        <v>2.9799192511257997E-4</v>
      </c>
      <c r="C3" s="4">
        <f>BNVFE!C25*('BHNVFEAL-LDVs-psgr'!C$4/BNVFE!C$26)</f>
        <v>3.0273729318629119E-4</v>
      </c>
      <c r="D3" s="4">
        <f>BNVFE!D25*('BHNVFEAL-LDVs-psgr'!D$4/BNVFE!D$26)</f>
        <v>3.0761991621687003E-4</v>
      </c>
      <c r="E3" s="4">
        <f>BNVFE!E25*('BHNVFEAL-LDVs-psgr'!E$4/BNVFE!E$26)</f>
        <v>3.1213979915246134E-4</v>
      </c>
      <c r="F3" s="4">
        <f>BNVFE!F25*('BHNVFEAL-LDVs-psgr'!F$4/BNVFE!F$26)</f>
        <v>3.1620568917810511E-4</v>
      </c>
      <c r="G3" s="4">
        <f>BNVFE!G25*('BHNVFEAL-LDVs-psgr'!G$4/BNVFE!G$26)</f>
        <v>3.2019608072131204E-4</v>
      </c>
      <c r="H3" s="4">
        <f>BNVFE!H25*('BHNVFEAL-LDVs-psgr'!H$4/BNVFE!H$26)</f>
        <v>3.2323964534612426E-4</v>
      </c>
      <c r="I3" s="4">
        <f>BNVFE!I25*('BHNVFEAL-LDVs-psgr'!I$4/BNVFE!I$26)</f>
        <v>3.2700003616200409E-4</v>
      </c>
      <c r="J3" s="4">
        <f>BNVFE!J25*('BHNVFEAL-LDVs-psgr'!J$4/BNVFE!J$26)</f>
        <v>3.3084678824742565E-4</v>
      </c>
      <c r="K3" s="4">
        <f>BNVFE!K25*('BHNVFEAL-LDVs-psgr'!K$4/BNVFE!K$26)</f>
        <v>3.347565299442292E-4</v>
      </c>
      <c r="L3" s="4">
        <f>BNVFE!L25*('BHNVFEAL-LDVs-psgr'!L$4/BNVFE!L$26)</f>
        <v>3.3858619543846379E-4</v>
      </c>
      <c r="M3" s="4">
        <f>BNVFE!M25*('BHNVFEAL-LDVs-psgr'!M$4/BNVFE!M$26)</f>
        <v>3.4250190615166639E-4</v>
      </c>
      <c r="N3" s="4">
        <f>BNVFE!N25*('BHNVFEAL-LDVs-psgr'!N$4/BNVFE!N$26)</f>
        <v>3.4637865729529685E-4</v>
      </c>
      <c r="O3" s="4">
        <f>BNVFE!O25*('BHNVFEAL-LDVs-psgr'!O$4/BNVFE!O$26)</f>
        <v>3.5027505993149845E-4</v>
      </c>
      <c r="P3" s="4">
        <f>BNVFE!P25*('BHNVFEAL-LDVs-psgr'!P$4/BNVFE!P$26)</f>
        <v>3.6160433984711515E-4</v>
      </c>
      <c r="Q3" s="4">
        <f>BNVFE!Q25*('BHNVFEAL-LDVs-psgr'!Q$4/BNVFE!Q$26)</f>
        <v>3.6818953902328103E-4</v>
      </c>
      <c r="R3" s="4">
        <f>BNVFE!R25*('BHNVFEAL-LDVs-psgr'!R$4/BNVFE!R$26)</f>
        <v>3.7213933156593097E-4</v>
      </c>
      <c r="S3" s="4">
        <f>BNVFE!S25*('BHNVFEAL-LDVs-psgr'!S$4/BNVFE!S$26)</f>
        <v>3.7498022200458688E-4</v>
      </c>
      <c r="T3" s="4">
        <f>BNVFE!T25*('BHNVFEAL-LDVs-psgr'!T$4/BNVFE!T$26)</f>
        <v>3.9283888763458292E-4</v>
      </c>
      <c r="U3" s="4">
        <f>BNVFE!U25*('BHNVFEAL-LDVs-psgr'!U$4/BNVFE!U$26)</f>
        <v>4.2828177192306375E-4</v>
      </c>
      <c r="V3" s="4">
        <f>BNVFE!V25*('BHNVFEAL-LDVs-psgr'!V$4/BNVFE!V$26)</f>
        <v>4.2922609449666765E-4</v>
      </c>
      <c r="W3" s="4">
        <f>BNVFE!W25*('BHNVFEAL-LDVs-psgr'!W$4/BNVFE!W$26)</f>
        <v>4.2954884971441691E-4</v>
      </c>
      <c r="X3" s="4">
        <f>BNVFE!X25*('BHNVFEAL-LDVs-psgr'!X$4/BNVFE!X$26)</f>
        <v>4.2980161940757162E-4</v>
      </c>
      <c r="Y3" s="4">
        <f>BNVFE!Y25*('BHNVFEAL-LDVs-psgr'!Y$4/BNVFE!Y$26)</f>
        <v>4.3127275480689105E-4</v>
      </c>
      <c r="Z3" s="4">
        <f>BNVFE!Z25*('BHNVFEAL-LDVs-psgr'!Z$4/BNVFE!Z$26)</f>
        <v>4.3174910892155335E-4</v>
      </c>
      <c r="AA3" s="4">
        <f>BNVFE!AA25*('BHNVFEAL-LDVs-psgr'!AA$4/BNVFE!AA$26)</f>
        <v>4.3238794442968778E-4</v>
      </c>
      <c r="AB3" s="4">
        <f>BNVFE!AB25*('BHNVFEAL-LDVs-psgr'!AB$4/BNVFE!AB$26)</f>
        <v>4.3308204592944482E-4</v>
      </c>
      <c r="AC3" s="4">
        <f>BNVFE!AC25*('BHNVFEAL-LDVs-psgr'!AC$4/BNVFE!AC$26)</f>
        <v>4.3408427605020098E-4</v>
      </c>
      <c r="AD3" s="4">
        <f>BNVFE!AD25*('BHNVFEAL-LDVs-psgr'!AD$4/BNVFE!AD$26)</f>
        <v>4.3432016321901044E-4</v>
      </c>
      <c r="AE3" s="4">
        <f>BNVFE!AE25*('BHNVFEAL-LDVs-psgr'!AE$4/BNVFE!AE$26)</f>
        <v>4.3452688005751722E-4</v>
      </c>
      <c r="AF3" s="4">
        <f>BNVFE!AF25*('BHNVFEAL-LDVs-psgr'!AF$4/BNVFE!AF$26)</f>
        <v>4.3506172517354685E-4</v>
      </c>
      <c r="AH3" s="4"/>
      <c r="AI3" s="4"/>
    </row>
    <row r="4" spans="1:35">
      <c r="A4" t="s">
        <v>4</v>
      </c>
      <c r="B4" s="4">
        <f>Extrapolations!AA2</f>
        <v>3.142498616321923E-4</v>
      </c>
      <c r="C4" s="4">
        <f>Extrapolations!AB2</f>
        <v>3.1859095271137485E-4</v>
      </c>
      <c r="D4" s="4">
        <f>Extrapolations!AC2</f>
        <v>3.2293204379055739E-4</v>
      </c>
      <c r="E4" s="4">
        <f>Extrapolations!AD2</f>
        <v>3.2727313486973994E-4</v>
      </c>
      <c r="F4" s="4">
        <f>Extrapolations!AE2</f>
        <v>3.3161422594892248E-4</v>
      </c>
      <c r="G4" s="4">
        <f>Extrapolations!AF2</f>
        <v>3.3595531702810503E-4</v>
      </c>
      <c r="H4" s="4">
        <f>Extrapolations!AG2</f>
        <v>3.4029640810728757E-4</v>
      </c>
      <c r="I4" s="4">
        <f>Extrapolations!AH2</f>
        <v>3.4463749918647011E-4</v>
      </c>
      <c r="J4" s="4">
        <f>Extrapolations!AI2</f>
        <v>3.4897859026565266E-4</v>
      </c>
      <c r="K4" s="4">
        <f>Extrapolations!AJ2</f>
        <v>3.533196813448352E-4</v>
      </c>
      <c r="L4" s="4">
        <f>Extrapolations!AK2</f>
        <v>3.5766077242401775E-4</v>
      </c>
      <c r="M4" s="4">
        <f>Extrapolations!AL2</f>
        <v>3.6200186350320029E-4</v>
      </c>
      <c r="N4" s="4">
        <f>Extrapolations!AM2</f>
        <v>3.6634295458238284E-4</v>
      </c>
      <c r="O4" s="4">
        <f>Extrapolations!AN2</f>
        <v>3.7068404566156505E-4</v>
      </c>
      <c r="P4" s="4">
        <f>Extrapolations!AO2</f>
        <v>3.8286968063361244E-4</v>
      </c>
      <c r="Q4" s="4">
        <f>Extrapolations!AP2</f>
        <v>3.8999540362380768E-4</v>
      </c>
      <c r="R4" s="4">
        <f>Extrapolations!AQ2</f>
        <v>3.9439145706872869E-4</v>
      </c>
      <c r="S4" s="4">
        <f>Extrapolations!AR2</f>
        <v>3.9758791642567675E-4</v>
      </c>
      <c r="T4" s="4">
        <f>Extrapolations!AS2</f>
        <v>4.1670440259151796E-4</v>
      </c>
      <c r="U4" s="4">
        <f>Extrapolations!AT2</f>
        <v>4.5449874343080136E-4</v>
      </c>
      <c r="V4" s="4">
        <f>Extrapolations!AU2</f>
        <v>4.5571840174311271E-4</v>
      </c>
      <c r="W4" s="4">
        <f>Extrapolations!AV2</f>
        <v>4.5632492494806224E-4</v>
      </c>
      <c r="X4" s="4">
        <f>Extrapolations!AW2</f>
        <v>4.5682343934192723E-4</v>
      </c>
      <c r="Y4" s="4">
        <f>Extrapolations!AX2</f>
        <v>4.5864796428233097E-4</v>
      </c>
      <c r="Z4" s="4">
        <f>Extrapolations!AY2</f>
        <v>4.5942511490356416E-4</v>
      </c>
      <c r="AA4" s="4">
        <f>Extrapolations!AZ2</f>
        <v>4.6038567019040524E-4</v>
      </c>
      <c r="AB4" s="4">
        <f>Extrapolations!BA2</f>
        <v>4.6137990440500237E-4</v>
      </c>
      <c r="AC4" s="4">
        <f>Extrapolations!BB2</f>
        <v>4.627584500454361E-4</v>
      </c>
      <c r="AD4" s="4">
        <f>Extrapolations!BC2</f>
        <v>4.6332164296180965E-4</v>
      </c>
      <c r="AE4" s="4">
        <f>Extrapolations!BD2</f>
        <v>4.6388593065941057E-4</v>
      </c>
      <c r="AF4" s="4">
        <f>Extrapolations!BE2</f>
        <v>4.6479081055883617E-4</v>
      </c>
      <c r="AH4" s="4"/>
      <c r="AI4" s="4"/>
    </row>
    <row r="5" spans="1:35">
      <c r="A5" t="s">
        <v>5</v>
      </c>
      <c r="B5" s="4">
        <f>BNVFE!B27*('BHNVFEAL-LDVs-psgr'!B$4/BNVFE!B$26)</f>
        <v>3.3039537831752443E-4</v>
      </c>
      <c r="C5" s="4">
        <f>BNVFE!C27*('BHNVFEAL-LDVs-psgr'!C$4/BNVFE!C$26)</f>
        <v>3.3005144309496473E-4</v>
      </c>
      <c r="D5" s="4">
        <f>BNVFE!D27*('BHNVFEAL-LDVs-psgr'!D$4/BNVFE!D$26)</f>
        <v>3.3129361905197572E-4</v>
      </c>
      <c r="E5" s="4">
        <f>BNVFE!E27*('BHNVFEAL-LDVs-psgr'!E$4/BNVFE!E$26)</f>
        <v>3.3425059969841139E-4</v>
      </c>
      <c r="F5" s="4">
        <f>BNVFE!F27*('BHNVFEAL-LDVs-psgr'!F$4/BNVFE!F$26)</f>
        <v>3.3732263769440833E-4</v>
      </c>
      <c r="G5" s="4">
        <f>BNVFE!G27*('BHNVFEAL-LDVs-psgr'!G$4/BNVFE!G$26)</f>
        <v>3.4210083999227872E-4</v>
      </c>
      <c r="H5" s="4">
        <f>BNVFE!H27*('BHNVFEAL-LDVs-psgr'!H$4/BNVFE!H$26)</f>
        <v>3.4355603783043959E-4</v>
      </c>
      <c r="I5" s="4">
        <f>BNVFE!I27*('BHNVFEAL-LDVs-psgr'!I$4/BNVFE!I$26)</f>
        <v>3.4663955274299627E-4</v>
      </c>
      <c r="J5" s="4">
        <f>BNVFE!J27*('BHNVFEAL-LDVs-psgr'!J$4/BNVFE!J$26)</f>
        <v>3.5054569205335479E-4</v>
      </c>
      <c r="K5" s="4">
        <f>BNVFE!K27*('BHNVFEAL-LDVs-psgr'!K$4/BNVFE!K$26)</f>
        <v>3.5433816247802349E-4</v>
      </c>
      <c r="L5" s="4">
        <f>BNVFE!L27*('BHNVFEAL-LDVs-psgr'!L$4/BNVFE!L$26)</f>
        <v>3.5727758208629781E-4</v>
      </c>
      <c r="M5" s="4">
        <f>BNVFE!M27*('BHNVFEAL-LDVs-psgr'!M$4/BNVFE!M$26)</f>
        <v>3.6099252295587557E-4</v>
      </c>
      <c r="N5" s="4">
        <f>BNVFE!N27*('BHNVFEAL-LDVs-psgr'!N$4/BNVFE!N$26)</f>
        <v>3.6478286887036809E-4</v>
      </c>
      <c r="O5" s="4">
        <f>BNVFE!O27*('BHNVFEAL-LDVs-psgr'!O$4/BNVFE!O$26)</f>
        <v>3.6851894295167754E-4</v>
      </c>
      <c r="P5" s="4">
        <f>BNVFE!P27*('BHNVFEAL-LDVs-psgr'!P$4/BNVFE!P$26)</f>
        <v>3.8002377134032826E-4</v>
      </c>
      <c r="Q5" s="4">
        <f>BNVFE!Q27*('BHNVFEAL-LDVs-psgr'!Q$4/BNVFE!Q$26)</f>
        <v>3.8701199110595277E-4</v>
      </c>
      <c r="R5" s="4">
        <f>BNVFE!R27*('BHNVFEAL-LDVs-psgr'!R$4/BNVFE!R$26)</f>
        <v>3.9147364990695831E-4</v>
      </c>
      <c r="S5" s="4">
        <f>BNVFE!S27*('BHNVFEAL-LDVs-psgr'!S$4/BNVFE!S$26)</f>
        <v>3.9448208393744698E-4</v>
      </c>
      <c r="T5" s="4">
        <f>BNVFE!T27*('BHNVFEAL-LDVs-psgr'!T$4/BNVFE!T$26)</f>
        <v>4.1311577899687946E-4</v>
      </c>
      <c r="U5" s="4">
        <f>BNVFE!U27*('BHNVFEAL-LDVs-psgr'!U$4/BNVFE!U$26)</f>
        <v>4.5072183842209402E-4</v>
      </c>
      <c r="V5" s="4">
        <f>BNVFE!V27*('BHNVFEAL-LDVs-psgr'!V$4/BNVFE!V$26)</f>
        <v>4.5169462081927711E-4</v>
      </c>
      <c r="W5" s="4">
        <f>BNVFE!W27*('BHNVFEAL-LDVs-psgr'!W$4/BNVFE!W$26)</f>
        <v>4.521249688309292E-4</v>
      </c>
      <c r="X5" s="4">
        <f>BNVFE!X27*('BHNVFEAL-LDVs-psgr'!X$4/BNVFE!X$26)</f>
        <v>4.525171976933608E-4</v>
      </c>
      <c r="Y5" s="4">
        <f>BNVFE!Y27*('BHNVFEAL-LDVs-psgr'!Y$4/BNVFE!Y$26)</f>
        <v>4.542318308954683E-4</v>
      </c>
      <c r="Z5" s="4">
        <f>BNVFE!Z27*('BHNVFEAL-LDVs-psgr'!Z$4/BNVFE!Z$26)</f>
        <v>4.5477952055940612E-4</v>
      </c>
      <c r="AA5" s="4">
        <f>BNVFE!AA27*('BHNVFEAL-LDVs-psgr'!AA$4/BNVFE!AA$26)</f>
        <v>4.5545268634648259E-4</v>
      </c>
      <c r="AB5" s="4">
        <f>BNVFE!AB27*('BHNVFEAL-LDVs-psgr'!AB$4/BNVFE!AB$26)</f>
        <v>4.5623458954744165E-4</v>
      </c>
      <c r="AC5" s="4">
        <f>BNVFE!AC27*('BHNVFEAL-LDVs-psgr'!AC$4/BNVFE!AC$26)</f>
        <v>4.5741296931825801E-4</v>
      </c>
      <c r="AD5" s="4">
        <f>BNVFE!AD27*('BHNVFEAL-LDVs-psgr'!AD$4/BNVFE!AD$26)</f>
        <v>4.5788708459420266E-4</v>
      </c>
      <c r="AE5" s="4">
        <f>BNVFE!AE27*('BHNVFEAL-LDVs-psgr'!AE$4/BNVFE!AE$26)</f>
        <v>4.5814172893183499E-4</v>
      </c>
      <c r="AF5" s="4">
        <f>BNVFE!AF27*('BHNVFEAL-LDVs-psgr'!AF$4/BNVFE!AF$26)</f>
        <v>4.5870472030867576E-4</v>
      </c>
      <c r="AH5" s="4"/>
      <c r="AI5" s="4"/>
    </row>
    <row r="6" spans="1:35">
      <c r="A6" t="s">
        <v>6</v>
      </c>
      <c r="B6" s="4">
        <f>BNVFE!B28*('BHNVFEAL-LDVs-psgr'!B$4/BNVFE!B$26)</f>
        <v>5.1511255080264186E-4</v>
      </c>
      <c r="C6" s="4">
        <f>BNVFE!C28*('BHNVFEAL-LDVs-psgr'!C$4/BNVFE!C$26)</f>
        <v>5.2046578701914962E-4</v>
      </c>
      <c r="D6" s="4">
        <f>BNVFE!D28*('BHNVFEAL-LDVs-psgr'!D$4/BNVFE!D$26)</f>
        <v>5.2344978395413549E-4</v>
      </c>
      <c r="E6" s="4">
        <f>BNVFE!E28*('BHNVFEAL-LDVs-psgr'!E$4/BNVFE!E$26)</f>
        <v>5.2705624955022199E-4</v>
      </c>
      <c r="F6" s="4">
        <f>BNVFE!F28*('BHNVFEAL-LDVs-psgr'!F$4/BNVFE!F$26)</f>
        <v>5.3899781223055879E-4</v>
      </c>
      <c r="G6" s="4">
        <f>BNVFE!G28*('BHNVFEAL-LDVs-psgr'!G$4/BNVFE!G$26)</f>
        <v>5.6227703675971281E-4</v>
      </c>
      <c r="H6" s="4">
        <f>BNVFE!H28*('BHNVFEAL-LDVs-psgr'!H$4/BNVFE!H$26)</f>
        <v>5.9074925537233765E-4</v>
      </c>
      <c r="I6" s="4">
        <f>BNVFE!I28*('BHNVFEAL-LDVs-psgr'!I$4/BNVFE!I$26)</f>
        <v>5.992207944996859E-4</v>
      </c>
      <c r="J6" s="4">
        <f>BNVFE!J28*('BHNVFEAL-LDVs-psgr'!J$4/BNVFE!J$26)</f>
        <v>6.0574686534929938E-4</v>
      </c>
      <c r="K6" s="4">
        <f>BNVFE!K28*('BHNVFEAL-LDVs-psgr'!K$4/BNVFE!K$26)</f>
        <v>6.1227280668123567E-4</v>
      </c>
      <c r="L6" s="4">
        <f>BNVFE!L28*('BHNVFEAL-LDVs-psgr'!L$4/BNVFE!L$26)</f>
        <v>6.1776762317850031E-4</v>
      </c>
      <c r="M6" s="4">
        <f>BNVFE!M28*('BHNVFEAL-LDVs-psgr'!M$4/BNVFE!M$26)</f>
        <v>6.2406259610263957E-4</v>
      </c>
      <c r="N6" s="4">
        <f>BNVFE!N28*('BHNVFEAL-LDVs-psgr'!N$4/BNVFE!N$26)</f>
        <v>6.3084611052237143E-4</v>
      </c>
      <c r="O6" s="4">
        <f>BNVFE!O28*('BHNVFEAL-LDVs-psgr'!O$4/BNVFE!O$26)</f>
        <v>6.3759206057134501E-4</v>
      </c>
      <c r="P6" s="4">
        <f>BNVFE!P28*('BHNVFEAL-LDVs-psgr'!P$4/BNVFE!P$26)</f>
        <v>6.575142367202969E-4</v>
      </c>
      <c r="Q6" s="4">
        <f>BNVFE!Q28*('BHNVFEAL-LDVs-psgr'!Q$4/BNVFE!Q$26)</f>
        <v>6.6953137976117814E-4</v>
      </c>
      <c r="R6" s="4">
        <f>BNVFE!R28*('BHNVFEAL-LDVs-psgr'!R$4/BNVFE!R$26)</f>
        <v>6.7723877927624405E-4</v>
      </c>
      <c r="S6" s="4">
        <f>BNVFE!S28*('BHNVFEAL-LDVs-psgr'!S$4/BNVFE!S$26)</f>
        <v>6.8239819357187139E-4</v>
      </c>
      <c r="T6" s="4">
        <f>BNVFE!T28*('BHNVFEAL-LDVs-psgr'!T$4/BNVFE!T$26)</f>
        <v>7.143908539728348E-4</v>
      </c>
      <c r="U6" s="4">
        <f>BNVFE!U28*('BHNVFEAL-LDVs-psgr'!U$4/BNVFE!U$26)</f>
        <v>7.7863626186398447E-4</v>
      </c>
      <c r="V6" s="4">
        <f>BNVFE!V28*('BHNVFEAL-LDVs-psgr'!V$4/BNVFE!V$26)</f>
        <v>7.7988485873460188E-4</v>
      </c>
      <c r="W6" s="4">
        <f>BNVFE!W28*('BHNVFEAL-LDVs-psgr'!W$4/BNVFE!W$26)</f>
        <v>7.7973460582479433E-4</v>
      </c>
      <c r="X6" s="4">
        <f>BNVFE!X28*('BHNVFEAL-LDVs-psgr'!X$4/BNVFE!X$26)</f>
        <v>7.7929031040680061E-4</v>
      </c>
      <c r="Y6" s="4">
        <f>BNVFE!Y28*('BHNVFEAL-LDVs-psgr'!Y$4/BNVFE!Y$26)</f>
        <v>7.8095244080447995E-4</v>
      </c>
      <c r="Z6" s="4">
        <f>BNVFE!Z28*('BHNVFEAL-LDVs-psgr'!Z$4/BNVFE!Z$26)</f>
        <v>7.8032874533602939E-4</v>
      </c>
      <c r="AA6" s="4">
        <f>BNVFE!AA28*('BHNVFEAL-LDVs-psgr'!AA$4/BNVFE!AA$26)</f>
        <v>7.795053089642472E-4</v>
      </c>
      <c r="AB6" s="4">
        <f>BNVFE!AB28*('BHNVFEAL-LDVs-psgr'!AB$4/BNVFE!AB$26)</f>
        <v>7.7862547203833433E-4</v>
      </c>
      <c r="AC6" s="4">
        <f>BNVFE!AC28*('BHNVFEAL-LDVs-psgr'!AC$4/BNVFE!AC$26)</f>
        <v>7.7804853854486272E-4</v>
      </c>
      <c r="AD6" s="4">
        <f>BNVFE!AD28*('BHNVFEAL-LDVs-psgr'!AD$4/BNVFE!AD$26)</f>
        <v>7.7567959389579684E-4</v>
      </c>
      <c r="AE6" s="4">
        <f>BNVFE!AE28*('BHNVFEAL-LDVs-psgr'!AE$4/BNVFE!AE$26)</f>
        <v>7.728089666492378E-4</v>
      </c>
      <c r="AF6" s="4">
        <f>BNVFE!AF28*('BHNVFEAL-LDVs-psgr'!AF$4/BNVFE!AF$26)</f>
        <v>7.6990379444637376E-4</v>
      </c>
      <c r="AH6" s="4"/>
      <c r="AI6" s="4"/>
    </row>
    <row r="7" spans="1:35">
      <c r="A7" t="s">
        <v>84</v>
      </c>
      <c r="B7" s="4">
        <f>BNVFE!B29*('BHNVFEAL-LDVs-psgr'!B$4/BNVFE!B$26)</f>
        <v>2.8497502058533896E-4</v>
      </c>
      <c r="C7" s="4">
        <f>BNVFE!C29*('BHNVFEAL-LDVs-psgr'!C$4/BNVFE!C$26)</f>
        <v>2.8773066728113853E-4</v>
      </c>
      <c r="D7" s="4">
        <f>BNVFE!D29*('BHNVFEAL-LDVs-psgr'!D$4/BNVFE!D$26)</f>
        <v>2.9216657294521781E-4</v>
      </c>
      <c r="E7" s="4">
        <f>BNVFE!E29*('BHNVFEAL-LDVs-psgr'!E$4/BNVFE!E$26)</f>
        <v>2.9591639722626953E-4</v>
      </c>
      <c r="F7" s="4">
        <f>BNVFE!F29*('BHNVFEAL-LDVs-psgr'!F$4/BNVFE!F$26)</f>
        <v>2.99347851600729E-4</v>
      </c>
      <c r="G7" s="4">
        <f>BNVFE!G29*('BHNVFEAL-LDVs-psgr'!G$4/BNVFE!G$26)</f>
        <v>3.0311191394826462E-4</v>
      </c>
      <c r="H7" s="4">
        <f>BNVFE!H29*('BHNVFEAL-LDVs-psgr'!H$4/BNVFE!H$26)</f>
        <v>3.0560552519627761E-4</v>
      </c>
      <c r="I7" s="4">
        <f>BNVFE!I29*('BHNVFEAL-LDVs-psgr'!I$4/BNVFE!I$26)</f>
        <v>3.0910615814739656E-4</v>
      </c>
      <c r="J7" s="4">
        <f>BNVFE!J29*('BHNVFEAL-LDVs-psgr'!J$4/BNVFE!J$26)</f>
        <v>3.1284317809912674E-4</v>
      </c>
      <c r="K7" s="4">
        <f>BNVFE!K29*('BHNVFEAL-LDVs-psgr'!K$4/BNVFE!K$26)</f>
        <v>3.1657022733976996E-4</v>
      </c>
      <c r="L7" s="4">
        <f>BNVFE!L29*('BHNVFEAL-LDVs-psgr'!L$4/BNVFE!L$26)</f>
        <v>3.2000875588796858E-4</v>
      </c>
      <c r="M7" s="4">
        <f>BNVFE!M29*('BHNVFEAL-LDVs-psgr'!M$4/BNVFE!M$26)</f>
        <v>3.2387819195526624E-4</v>
      </c>
      <c r="N7" s="4">
        <f>BNVFE!N29*('BHNVFEAL-LDVs-psgr'!N$4/BNVFE!N$26)</f>
        <v>3.2748996966977387E-4</v>
      </c>
      <c r="O7" s="4">
        <f>BNVFE!O29*('BHNVFEAL-LDVs-psgr'!O$4/BNVFE!O$26)</f>
        <v>3.3116904193405711E-4</v>
      </c>
      <c r="P7" s="4">
        <f>BNVFE!P29*('BHNVFEAL-LDVs-psgr'!P$4/BNVFE!P$26)</f>
        <v>3.417607484421509E-4</v>
      </c>
      <c r="Q7" s="4">
        <f>BNVFE!Q29*('BHNVFEAL-LDVs-psgr'!Q$4/BNVFE!Q$26)</f>
        <v>3.4814096750386184E-4</v>
      </c>
      <c r="R7" s="4">
        <f>BNVFE!R29*('BHNVFEAL-LDVs-psgr'!R$4/BNVFE!R$26)</f>
        <v>3.519663308388775E-4</v>
      </c>
      <c r="S7" s="4">
        <f>BNVFE!S29*('BHNVFEAL-LDVs-psgr'!S$4/BNVFE!S$26)</f>
        <v>3.5460269819358875E-4</v>
      </c>
      <c r="T7" s="4">
        <f>BNVFE!T29*('BHNVFEAL-LDVs-psgr'!T$4/BNVFE!T$26)</f>
        <v>3.7146818447016827E-4</v>
      </c>
      <c r="U7" s="4">
        <f>BNVFE!U29*('BHNVFEAL-LDVs-psgr'!U$4/BNVFE!U$26)</f>
        <v>4.0505007188083468E-4</v>
      </c>
      <c r="V7" s="4">
        <f>BNVFE!V29*('BHNVFEAL-LDVs-psgr'!V$4/BNVFE!V$26)</f>
        <v>4.0592637573368492E-4</v>
      </c>
      <c r="W7" s="4">
        <f>BNVFE!W29*('BHNVFEAL-LDVs-psgr'!W$4/BNVFE!W$26)</f>
        <v>4.0623092417730792E-4</v>
      </c>
      <c r="X7" s="4">
        <f>BNVFE!X29*('BHNVFEAL-LDVs-psgr'!X$4/BNVFE!X$26)</f>
        <v>4.0650919532138791E-4</v>
      </c>
      <c r="Y7" s="4">
        <f>BNVFE!Y29*('BHNVFEAL-LDVs-psgr'!Y$4/BNVFE!Y$26)</f>
        <v>4.0788310069284843E-4</v>
      </c>
      <c r="Z7" s="4">
        <f>BNVFE!Z29*('BHNVFEAL-LDVs-psgr'!Z$4/BNVFE!Z$26)</f>
        <v>4.0828603219255716E-4</v>
      </c>
      <c r="AA7" s="4">
        <f>BNVFE!AA29*('BHNVFEAL-LDVs-psgr'!AA$4/BNVFE!AA$26)</f>
        <v>4.0878029771683217E-4</v>
      </c>
      <c r="AB7" s="4">
        <f>BNVFE!AB29*('BHNVFEAL-LDVs-psgr'!AB$4/BNVFE!AB$26)</f>
        <v>4.0943882341830048E-4</v>
      </c>
      <c r="AC7" s="4">
        <f>BNVFE!AC29*('BHNVFEAL-LDVs-psgr'!AC$4/BNVFE!AC$26)</f>
        <v>4.1034237921428937E-4</v>
      </c>
      <c r="AD7" s="4">
        <f>BNVFE!AD29*('BHNVFEAL-LDVs-psgr'!AD$4/BNVFE!AD$26)</f>
        <v>4.1058689224812239E-4</v>
      </c>
      <c r="AE7" s="4">
        <f>BNVFE!AE29*('BHNVFEAL-LDVs-psgr'!AE$4/BNVFE!AE$26)</f>
        <v>4.1067061175031487E-4</v>
      </c>
      <c r="AF7" s="4">
        <f>BNVFE!AF29*('BHNVFEAL-LDVs-psgr'!AF$4/BNVFE!AF$26)</f>
        <v>4.1109763007020822E-4</v>
      </c>
      <c r="AH7" s="4"/>
      <c r="AI7" s="4"/>
    </row>
    <row r="8" spans="1:35">
      <c r="A8" t="s">
        <v>85</v>
      </c>
      <c r="B8" s="4">
        <f>SYFAFE!$H$2</f>
        <v>0</v>
      </c>
      <c r="C8" s="4">
        <f>B8</f>
        <v>0</v>
      </c>
      <c r="D8" s="4">
        <f t="shared" ref="D8:AF8" si="0">C8</f>
        <v>0</v>
      </c>
      <c r="E8" s="4">
        <f t="shared" si="0"/>
        <v>0</v>
      </c>
      <c r="F8" s="4">
        <f t="shared" si="0"/>
        <v>0</v>
      </c>
      <c r="G8" s="4">
        <f t="shared" si="0"/>
        <v>0</v>
      </c>
      <c r="H8" s="4">
        <f t="shared" si="0"/>
        <v>0</v>
      </c>
      <c r="I8" s="4">
        <f t="shared" si="0"/>
        <v>0</v>
      </c>
      <c r="J8" s="4">
        <f t="shared" si="0"/>
        <v>0</v>
      </c>
      <c r="K8" s="4">
        <f t="shared" si="0"/>
        <v>0</v>
      </c>
      <c r="L8" s="4">
        <f t="shared" si="0"/>
        <v>0</v>
      </c>
      <c r="M8" s="4">
        <f t="shared" si="0"/>
        <v>0</v>
      </c>
      <c r="N8" s="4">
        <f t="shared" si="0"/>
        <v>0</v>
      </c>
      <c r="O8" s="4">
        <f t="shared" si="0"/>
        <v>0</v>
      </c>
      <c r="P8" s="4">
        <f t="shared" si="0"/>
        <v>0</v>
      </c>
      <c r="Q8" s="4">
        <f t="shared" si="0"/>
        <v>0</v>
      </c>
      <c r="R8" s="4">
        <f t="shared" si="0"/>
        <v>0</v>
      </c>
      <c r="S8" s="4">
        <f t="shared" si="0"/>
        <v>0</v>
      </c>
      <c r="T8" s="4">
        <f t="shared" si="0"/>
        <v>0</v>
      </c>
      <c r="U8" s="4">
        <f t="shared" si="0"/>
        <v>0</v>
      </c>
      <c r="V8" s="4">
        <f t="shared" si="0"/>
        <v>0</v>
      </c>
      <c r="W8" s="4">
        <f t="shared" si="0"/>
        <v>0</v>
      </c>
      <c r="X8" s="4">
        <f t="shared" si="0"/>
        <v>0</v>
      </c>
      <c r="Y8" s="4">
        <f t="shared" si="0"/>
        <v>0</v>
      </c>
      <c r="Z8" s="4">
        <f t="shared" si="0"/>
        <v>0</v>
      </c>
      <c r="AA8" s="4">
        <f t="shared" si="0"/>
        <v>0</v>
      </c>
      <c r="AB8" s="4">
        <f t="shared" si="0"/>
        <v>0</v>
      </c>
      <c r="AC8" s="4">
        <f t="shared" si="0"/>
        <v>0</v>
      </c>
      <c r="AD8" s="4">
        <f t="shared" si="0"/>
        <v>0</v>
      </c>
      <c r="AE8" s="4">
        <f t="shared" si="0"/>
        <v>0</v>
      </c>
      <c r="AF8" s="4">
        <f t="shared" si="0"/>
        <v>0</v>
      </c>
      <c r="AH8" s="4"/>
      <c r="AI8" s="4"/>
    </row>
    <row r="10" spans="1:35">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I8"/>
  <sheetViews>
    <sheetView workbookViewId="0">
      <selection activeCell="B3" sqref="B3"/>
    </sheetView>
  </sheetViews>
  <sheetFormatPr defaultColWidth="8.81640625" defaultRowHeight="14.5"/>
  <cols>
    <col min="1" max="1" width="31.1796875" customWidth="1"/>
  </cols>
  <sheetData>
    <row r="1" spans="1:35">
      <c r="A1" s="19" t="s">
        <v>87</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5">
      <c r="A2" t="s">
        <v>2</v>
      </c>
      <c r="B2" s="4">
        <f t="array" ref="B2:B8">TRANSPOSE(SYFAFE!B10:H10)</f>
        <v>4.8694119949868023E-4</v>
      </c>
      <c r="C2" s="4">
        <f>B2</f>
        <v>4.8694119949868023E-4</v>
      </c>
      <c r="D2" s="4">
        <f t="shared" ref="D2:AF8" si="0">C2</f>
        <v>4.8694119949868023E-4</v>
      </c>
      <c r="E2" s="4">
        <f t="shared" si="0"/>
        <v>4.8694119949868023E-4</v>
      </c>
      <c r="F2" s="4">
        <f t="shared" si="0"/>
        <v>4.8694119949868023E-4</v>
      </c>
      <c r="G2" s="4">
        <f t="shared" si="0"/>
        <v>4.8694119949868023E-4</v>
      </c>
      <c r="H2" s="4">
        <f t="shared" si="0"/>
        <v>4.8694119949868023E-4</v>
      </c>
      <c r="I2" s="4">
        <f t="shared" si="0"/>
        <v>4.8694119949868023E-4</v>
      </c>
      <c r="J2" s="4">
        <f t="shared" si="0"/>
        <v>4.8694119949868023E-4</v>
      </c>
      <c r="K2" s="4">
        <f t="shared" si="0"/>
        <v>4.8694119949868023E-4</v>
      </c>
      <c r="L2" s="4">
        <f t="shared" si="0"/>
        <v>4.8694119949868023E-4</v>
      </c>
      <c r="M2" s="4">
        <f t="shared" si="0"/>
        <v>4.8694119949868023E-4</v>
      </c>
      <c r="N2" s="4">
        <f t="shared" si="0"/>
        <v>4.8694119949868023E-4</v>
      </c>
      <c r="O2" s="4">
        <f t="shared" si="0"/>
        <v>4.8694119949868023E-4</v>
      </c>
      <c r="P2" s="4">
        <f t="shared" si="0"/>
        <v>4.8694119949868023E-4</v>
      </c>
      <c r="Q2" s="4">
        <f t="shared" si="0"/>
        <v>4.8694119949868023E-4</v>
      </c>
      <c r="R2" s="4">
        <f t="shared" si="0"/>
        <v>4.8694119949868023E-4</v>
      </c>
      <c r="S2" s="4">
        <f t="shared" si="0"/>
        <v>4.8694119949868023E-4</v>
      </c>
      <c r="T2" s="4">
        <f t="shared" si="0"/>
        <v>4.8694119949868023E-4</v>
      </c>
      <c r="U2" s="4">
        <f t="shared" si="0"/>
        <v>4.8694119949868023E-4</v>
      </c>
      <c r="V2" s="4">
        <f t="shared" si="0"/>
        <v>4.8694119949868023E-4</v>
      </c>
      <c r="W2" s="4">
        <f t="shared" si="0"/>
        <v>4.8694119949868023E-4</v>
      </c>
      <c r="X2" s="4">
        <f t="shared" si="0"/>
        <v>4.8694119949868023E-4</v>
      </c>
      <c r="Y2" s="4">
        <f t="shared" si="0"/>
        <v>4.8694119949868023E-4</v>
      </c>
      <c r="Z2" s="4">
        <f t="shared" si="0"/>
        <v>4.8694119949868023E-4</v>
      </c>
      <c r="AA2" s="4">
        <f t="shared" si="0"/>
        <v>4.8694119949868023E-4</v>
      </c>
      <c r="AB2" s="4">
        <f t="shared" si="0"/>
        <v>4.8694119949868023E-4</v>
      </c>
      <c r="AC2" s="4">
        <f t="shared" si="0"/>
        <v>4.8694119949868023E-4</v>
      </c>
      <c r="AD2" s="4">
        <f t="shared" si="0"/>
        <v>4.8694119949868023E-4</v>
      </c>
      <c r="AE2" s="4">
        <f t="shared" si="0"/>
        <v>4.8694119949868023E-4</v>
      </c>
      <c r="AF2" s="4">
        <f t="shared" si="0"/>
        <v>4.8694119949868023E-4</v>
      </c>
      <c r="AH2" s="4"/>
      <c r="AI2" s="4"/>
    </row>
    <row r="3" spans="1:35">
      <c r="A3" t="s">
        <v>3</v>
      </c>
      <c r="B3" s="4">
        <v>0</v>
      </c>
      <c r="C3" s="4">
        <f t="shared" ref="C3:R8" si="1">B3</f>
        <v>0</v>
      </c>
      <c r="D3" s="4">
        <f t="shared" si="1"/>
        <v>0</v>
      </c>
      <c r="E3" s="4">
        <f t="shared" si="1"/>
        <v>0</v>
      </c>
      <c r="F3" s="4">
        <f t="shared" si="1"/>
        <v>0</v>
      </c>
      <c r="G3" s="4">
        <f t="shared" si="1"/>
        <v>0</v>
      </c>
      <c r="H3" s="4">
        <f t="shared" si="1"/>
        <v>0</v>
      </c>
      <c r="I3" s="4">
        <f t="shared" si="1"/>
        <v>0</v>
      </c>
      <c r="J3" s="4">
        <f t="shared" si="1"/>
        <v>0</v>
      </c>
      <c r="K3" s="4">
        <f t="shared" si="1"/>
        <v>0</v>
      </c>
      <c r="L3" s="4">
        <f t="shared" si="1"/>
        <v>0</v>
      </c>
      <c r="M3" s="4">
        <f t="shared" si="1"/>
        <v>0</v>
      </c>
      <c r="N3" s="4">
        <f t="shared" si="1"/>
        <v>0</v>
      </c>
      <c r="O3" s="4">
        <f t="shared" si="1"/>
        <v>0</v>
      </c>
      <c r="P3" s="4">
        <f t="shared" si="1"/>
        <v>0</v>
      </c>
      <c r="Q3" s="4">
        <f t="shared" si="1"/>
        <v>0</v>
      </c>
      <c r="R3" s="4">
        <f t="shared" si="1"/>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H3" s="4"/>
      <c r="AI3" s="4"/>
    </row>
    <row r="4" spans="1:35">
      <c r="A4" t="s">
        <v>4</v>
      </c>
      <c r="B4" s="4">
        <v>0</v>
      </c>
      <c r="C4" s="4">
        <f t="shared" si="1"/>
        <v>0</v>
      </c>
      <c r="D4" s="4">
        <f t="shared" si="0"/>
        <v>0</v>
      </c>
      <c r="E4" s="4">
        <f t="shared" si="0"/>
        <v>0</v>
      </c>
      <c r="F4" s="4">
        <f t="shared" si="0"/>
        <v>0</v>
      </c>
      <c r="G4" s="4">
        <f t="shared" si="0"/>
        <v>0</v>
      </c>
      <c r="H4" s="4">
        <f t="shared" si="0"/>
        <v>0</v>
      </c>
      <c r="I4" s="4">
        <f t="shared" si="0"/>
        <v>0</v>
      </c>
      <c r="J4" s="4">
        <f t="shared" si="0"/>
        <v>0</v>
      </c>
      <c r="K4" s="4">
        <f t="shared" si="0"/>
        <v>0</v>
      </c>
      <c r="L4" s="4">
        <f t="shared" si="0"/>
        <v>0</v>
      </c>
      <c r="M4" s="4">
        <f t="shared" si="0"/>
        <v>0</v>
      </c>
      <c r="N4" s="4">
        <f t="shared" si="0"/>
        <v>0</v>
      </c>
      <c r="O4" s="4">
        <f t="shared" si="0"/>
        <v>0</v>
      </c>
      <c r="P4" s="4">
        <f t="shared" si="0"/>
        <v>0</v>
      </c>
      <c r="Q4" s="4">
        <f t="shared" si="0"/>
        <v>0</v>
      </c>
      <c r="R4" s="4">
        <f t="shared" si="0"/>
        <v>0</v>
      </c>
      <c r="S4" s="4">
        <f t="shared" si="0"/>
        <v>0</v>
      </c>
      <c r="T4" s="4">
        <f t="shared" si="0"/>
        <v>0</v>
      </c>
      <c r="U4" s="4">
        <f t="shared" si="0"/>
        <v>0</v>
      </c>
      <c r="V4" s="4">
        <f t="shared" si="0"/>
        <v>0</v>
      </c>
      <c r="W4" s="4">
        <f t="shared" si="0"/>
        <v>0</v>
      </c>
      <c r="X4" s="4">
        <f t="shared" si="0"/>
        <v>0</v>
      </c>
      <c r="Y4" s="4">
        <f t="shared" si="0"/>
        <v>0</v>
      </c>
      <c r="Z4" s="4">
        <f t="shared" si="0"/>
        <v>0</v>
      </c>
      <c r="AA4" s="4">
        <f t="shared" si="0"/>
        <v>0</v>
      </c>
      <c r="AB4" s="4">
        <f t="shared" si="0"/>
        <v>0</v>
      </c>
      <c r="AC4" s="4">
        <f t="shared" si="0"/>
        <v>0</v>
      </c>
      <c r="AD4" s="4">
        <f t="shared" si="0"/>
        <v>0</v>
      </c>
      <c r="AE4" s="4">
        <f t="shared" si="0"/>
        <v>0</v>
      </c>
      <c r="AF4" s="4">
        <f t="shared" si="0"/>
        <v>0</v>
      </c>
      <c r="AH4" s="4"/>
      <c r="AI4" s="4"/>
    </row>
    <row r="5" spans="1:35">
      <c r="A5" t="s">
        <v>5</v>
      </c>
      <c r="B5" s="4">
        <v>5.110151164708477E-4</v>
      </c>
      <c r="C5" s="4">
        <f t="shared" si="1"/>
        <v>5.110151164708477E-4</v>
      </c>
      <c r="D5" s="4">
        <f t="shared" si="0"/>
        <v>5.110151164708477E-4</v>
      </c>
      <c r="E5" s="4">
        <f t="shared" si="0"/>
        <v>5.110151164708477E-4</v>
      </c>
      <c r="F5" s="4">
        <f t="shared" si="0"/>
        <v>5.110151164708477E-4</v>
      </c>
      <c r="G5" s="4">
        <f t="shared" si="0"/>
        <v>5.110151164708477E-4</v>
      </c>
      <c r="H5" s="4">
        <f t="shared" si="0"/>
        <v>5.110151164708477E-4</v>
      </c>
      <c r="I5" s="4">
        <f t="shared" si="0"/>
        <v>5.110151164708477E-4</v>
      </c>
      <c r="J5" s="4">
        <f t="shared" si="0"/>
        <v>5.110151164708477E-4</v>
      </c>
      <c r="K5" s="4">
        <f t="shared" si="0"/>
        <v>5.110151164708477E-4</v>
      </c>
      <c r="L5" s="4">
        <f t="shared" si="0"/>
        <v>5.110151164708477E-4</v>
      </c>
      <c r="M5" s="4">
        <f t="shared" si="0"/>
        <v>5.110151164708477E-4</v>
      </c>
      <c r="N5" s="4">
        <f t="shared" si="0"/>
        <v>5.110151164708477E-4</v>
      </c>
      <c r="O5" s="4">
        <f t="shared" si="0"/>
        <v>5.110151164708477E-4</v>
      </c>
      <c r="P5" s="4">
        <f t="shared" si="0"/>
        <v>5.110151164708477E-4</v>
      </c>
      <c r="Q5" s="4">
        <f t="shared" si="0"/>
        <v>5.110151164708477E-4</v>
      </c>
      <c r="R5" s="4">
        <f t="shared" si="0"/>
        <v>5.110151164708477E-4</v>
      </c>
      <c r="S5" s="4">
        <f t="shared" si="0"/>
        <v>5.110151164708477E-4</v>
      </c>
      <c r="T5" s="4">
        <f t="shared" si="0"/>
        <v>5.110151164708477E-4</v>
      </c>
      <c r="U5" s="4">
        <f t="shared" si="0"/>
        <v>5.110151164708477E-4</v>
      </c>
      <c r="V5" s="4">
        <f t="shared" si="0"/>
        <v>5.110151164708477E-4</v>
      </c>
      <c r="W5" s="4">
        <f t="shared" si="0"/>
        <v>5.110151164708477E-4</v>
      </c>
      <c r="X5" s="4">
        <f t="shared" si="0"/>
        <v>5.110151164708477E-4</v>
      </c>
      <c r="Y5" s="4">
        <f t="shared" si="0"/>
        <v>5.110151164708477E-4</v>
      </c>
      <c r="Z5" s="4">
        <f t="shared" si="0"/>
        <v>5.110151164708477E-4</v>
      </c>
      <c r="AA5" s="4">
        <f t="shared" si="0"/>
        <v>5.110151164708477E-4</v>
      </c>
      <c r="AB5" s="4">
        <f t="shared" si="0"/>
        <v>5.110151164708477E-4</v>
      </c>
      <c r="AC5" s="4">
        <f t="shared" si="0"/>
        <v>5.110151164708477E-4</v>
      </c>
      <c r="AD5" s="4">
        <f t="shared" si="0"/>
        <v>5.110151164708477E-4</v>
      </c>
      <c r="AE5" s="4">
        <f t="shared" si="0"/>
        <v>5.110151164708477E-4</v>
      </c>
      <c r="AF5" s="4">
        <f t="shared" si="0"/>
        <v>5.110151164708477E-4</v>
      </c>
      <c r="AH5" s="4"/>
      <c r="AI5" s="4"/>
    </row>
    <row r="6" spans="1:35">
      <c r="A6" t="s">
        <v>6</v>
      </c>
      <c r="B6" s="4">
        <v>0</v>
      </c>
      <c r="C6" s="4">
        <f t="shared" si="1"/>
        <v>0</v>
      </c>
      <c r="D6" s="4">
        <f t="shared" si="0"/>
        <v>0</v>
      </c>
      <c r="E6" s="4">
        <f t="shared" si="0"/>
        <v>0</v>
      </c>
      <c r="F6" s="4">
        <f t="shared" si="0"/>
        <v>0</v>
      </c>
      <c r="G6" s="4">
        <f t="shared" si="0"/>
        <v>0</v>
      </c>
      <c r="H6" s="4">
        <f t="shared" si="0"/>
        <v>0</v>
      </c>
      <c r="I6" s="4">
        <f t="shared" si="0"/>
        <v>0</v>
      </c>
      <c r="J6" s="4">
        <f t="shared" si="0"/>
        <v>0</v>
      </c>
      <c r="K6" s="4">
        <f t="shared" si="0"/>
        <v>0</v>
      </c>
      <c r="L6" s="4">
        <f t="shared" si="0"/>
        <v>0</v>
      </c>
      <c r="M6" s="4">
        <f t="shared" si="0"/>
        <v>0</v>
      </c>
      <c r="N6" s="4">
        <f t="shared" si="0"/>
        <v>0</v>
      </c>
      <c r="O6" s="4">
        <f t="shared" si="0"/>
        <v>0</v>
      </c>
      <c r="P6" s="4">
        <f t="shared" si="0"/>
        <v>0</v>
      </c>
      <c r="Q6" s="4">
        <f t="shared" si="0"/>
        <v>0</v>
      </c>
      <c r="R6" s="4">
        <f t="shared" si="0"/>
        <v>0</v>
      </c>
      <c r="S6" s="4">
        <f t="shared" si="0"/>
        <v>0</v>
      </c>
      <c r="T6" s="4">
        <f t="shared" si="0"/>
        <v>0</v>
      </c>
      <c r="U6" s="4">
        <f t="shared" si="0"/>
        <v>0</v>
      </c>
      <c r="V6" s="4">
        <f t="shared" si="0"/>
        <v>0</v>
      </c>
      <c r="W6" s="4">
        <f t="shared" si="0"/>
        <v>0</v>
      </c>
      <c r="X6" s="4">
        <f t="shared" si="0"/>
        <v>0</v>
      </c>
      <c r="Y6" s="4">
        <f t="shared" si="0"/>
        <v>0</v>
      </c>
      <c r="Z6" s="4">
        <f t="shared" si="0"/>
        <v>0</v>
      </c>
      <c r="AA6" s="4">
        <f t="shared" si="0"/>
        <v>0</v>
      </c>
      <c r="AB6" s="4">
        <f t="shared" si="0"/>
        <v>0</v>
      </c>
      <c r="AC6" s="4">
        <f t="shared" si="0"/>
        <v>0</v>
      </c>
      <c r="AD6" s="4">
        <f t="shared" si="0"/>
        <v>0</v>
      </c>
      <c r="AE6" s="4">
        <f t="shared" si="0"/>
        <v>0</v>
      </c>
      <c r="AF6" s="4">
        <f t="shared" si="0"/>
        <v>0</v>
      </c>
      <c r="AH6" s="4"/>
      <c r="AI6" s="4"/>
    </row>
    <row r="7" spans="1:35">
      <c r="A7" t="s">
        <v>84</v>
      </c>
      <c r="B7" s="4">
        <v>0</v>
      </c>
      <c r="C7" s="4">
        <f t="shared" si="1"/>
        <v>0</v>
      </c>
      <c r="D7" s="4">
        <f t="shared" si="0"/>
        <v>0</v>
      </c>
      <c r="E7" s="4">
        <f t="shared" si="0"/>
        <v>0</v>
      </c>
      <c r="F7" s="4">
        <f t="shared" si="0"/>
        <v>0</v>
      </c>
      <c r="G7" s="4">
        <f t="shared" si="0"/>
        <v>0</v>
      </c>
      <c r="H7" s="4">
        <f t="shared" si="0"/>
        <v>0</v>
      </c>
      <c r="I7" s="4">
        <f t="shared" si="0"/>
        <v>0</v>
      </c>
      <c r="J7" s="4">
        <f t="shared" si="0"/>
        <v>0</v>
      </c>
      <c r="K7" s="4">
        <f t="shared" si="0"/>
        <v>0</v>
      </c>
      <c r="L7" s="4">
        <f t="shared" si="0"/>
        <v>0</v>
      </c>
      <c r="M7" s="4">
        <f t="shared" si="0"/>
        <v>0</v>
      </c>
      <c r="N7" s="4">
        <f t="shared" si="0"/>
        <v>0</v>
      </c>
      <c r="O7" s="4">
        <f t="shared" si="0"/>
        <v>0</v>
      </c>
      <c r="P7" s="4">
        <f t="shared" si="0"/>
        <v>0</v>
      </c>
      <c r="Q7" s="4">
        <f t="shared" si="0"/>
        <v>0</v>
      </c>
      <c r="R7" s="4">
        <f t="shared" si="0"/>
        <v>0</v>
      </c>
      <c r="S7" s="4">
        <f t="shared" si="0"/>
        <v>0</v>
      </c>
      <c r="T7" s="4">
        <f t="shared" si="0"/>
        <v>0</v>
      </c>
      <c r="U7" s="4">
        <f t="shared" si="0"/>
        <v>0</v>
      </c>
      <c r="V7" s="4">
        <f t="shared" si="0"/>
        <v>0</v>
      </c>
      <c r="W7" s="4">
        <f t="shared" si="0"/>
        <v>0</v>
      </c>
      <c r="X7" s="4">
        <f t="shared" si="0"/>
        <v>0</v>
      </c>
      <c r="Y7" s="4">
        <f t="shared" si="0"/>
        <v>0</v>
      </c>
      <c r="Z7" s="4">
        <f t="shared" si="0"/>
        <v>0</v>
      </c>
      <c r="AA7" s="4">
        <f t="shared" si="0"/>
        <v>0</v>
      </c>
      <c r="AB7" s="4">
        <f t="shared" si="0"/>
        <v>0</v>
      </c>
      <c r="AC7" s="4">
        <f t="shared" si="0"/>
        <v>0</v>
      </c>
      <c r="AD7" s="4">
        <f t="shared" si="0"/>
        <v>0</v>
      </c>
      <c r="AE7" s="4">
        <f t="shared" si="0"/>
        <v>0</v>
      </c>
      <c r="AF7" s="4">
        <f t="shared" si="0"/>
        <v>0</v>
      </c>
      <c r="AH7" s="4"/>
      <c r="AI7" s="4"/>
    </row>
    <row r="8" spans="1:35">
      <c r="A8" t="s">
        <v>85</v>
      </c>
      <c r="B8" s="4">
        <v>0</v>
      </c>
      <c r="C8" s="4">
        <f t="shared" si="1"/>
        <v>0</v>
      </c>
      <c r="D8" s="4">
        <f t="shared" si="0"/>
        <v>0</v>
      </c>
      <c r="E8" s="4">
        <f t="shared" si="0"/>
        <v>0</v>
      </c>
      <c r="F8" s="4">
        <f t="shared" si="0"/>
        <v>0</v>
      </c>
      <c r="G8" s="4">
        <f t="shared" si="0"/>
        <v>0</v>
      </c>
      <c r="H8" s="4">
        <f t="shared" si="0"/>
        <v>0</v>
      </c>
      <c r="I8" s="4">
        <f t="shared" si="0"/>
        <v>0</v>
      </c>
      <c r="J8" s="4">
        <f t="shared" si="0"/>
        <v>0</v>
      </c>
      <c r="K8" s="4">
        <f t="shared" si="0"/>
        <v>0</v>
      </c>
      <c r="L8" s="4">
        <f t="shared" si="0"/>
        <v>0</v>
      </c>
      <c r="M8" s="4">
        <f t="shared" si="0"/>
        <v>0</v>
      </c>
      <c r="N8" s="4">
        <f t="shared" si="0"/>
        <v>0</v>
      </c>
      <c r="O8" s="4">
        <f t="shared" si="0"/>
        <v>0</v>
      </c>
      <c r="P8" s="4">
        <f t="shared" si="0"/>
        <v>0</v>
      </c>
      <c r="Q8" s="4">
        <f t="shared" si="0"/>
        <v>0</v>
      </c>
      <c r="R8" s="4">
        <f t="shared" si="0"/>
        <v>0</v>
      </c>
      <c r="S8" s="4">
        <f t="shared" si="0"/>
        <v>0</v>
      </c>
      <c r="T8" s="4">
        <f t="shared" si="0"/>
        <v>0</v>
      </c>
      <c r="U8" s="4">
        <f t="shared" si="0"/>
        <v>0</v>
      </c>
      <c r="V8" s="4">
        <f t="shared" si="0"/>
        <v>0</v>
      </c>
      <c r="W8" s="4">
        <f t="shared" si="0"/>
        <v>0</v>
      </c>
      <c r="X8" s="4">
        <f t="shared" si="0"/>
        <v>0</v>
      </c>
      <c r="Y8" s="4">
        <f t="shared" si="0"/>
        <v>0</v>
      </c>
      <c r="Z8" s="4">
        <f t="shared" si="0"/>
        <v>0</v>
      </c>
      <c r="AA8" s="4">
        <f t="shared" si="0"/>
        <v>0</v>
      </c>
      <c r="AB8" s="4">
        <f t="shared" si="0"/>
        <v>0</v>
      </c>
      <c r="AC8" s="4">
        <f t="shared" si="0"/>
        <v>0</v>
      </c>
      <c r="AD8" s="4">
        <f t="shared" si="0"/>
        <v>0</v>
      </c>
      <c r="AE8" s="4">
        <f t="shared" si="0"/>
        <v>0</v>
      </c>
      <c r="AF8" s="4">
        <f t="shared" si="0"/>
        <v>0</v>
      </c>
      <c r="AH8" s="4"/>
      <c r="AI8" s="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8"/>
  <sheetViews>
    <sheetView workbookViewId="0">
      <selection activeCell="B3" sqref="B3"/>
    </sheetView>
  </sheetViews>
  <sheetFormatPr defaultColWidth="8.81640625" defaultRowHeight="14.5"/>
  <cols>
    <col min="1" max="1" width="31.1796875" customWidth="1"/>
  </cols>
  <sheetData>
    <row r="1" spans="1:35">
      <c r="A1" s="19" t="s">
        <v>87</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5">
      <c r="A2" t="s">
        <v>2</v>
      </c>
      <c r="B2" s="4">
        <f t="array" ref="B2:B8">TRANSPOSE(SYFAFE!B3:H3)</f>
        <v>5.8893036418951787E-3</v>
      </c>
      <c r="C2" s="4">
        <f>B2</f>
        <v>5.8893036418951787E-3</v>
      </c>
      <c r="D2" s="4">
        <f t="shared" ref="D2:AF8" si="0">C2</f>
        <v>5.8893036418951787E-3</v>
      </c>
      <c r="E2" s="4">
        <f t="shared" si="0"/>
        <v>5.8893036418951787E-3</v>
      </c>
      <c r="F2" s="4">
        <f t="shared" si="0"/>
        <v>5.8893036418951787E-3</v>
      </c>
      <c r="G2" s="4">
        <f t="shared" si="0"/>
        <v>5.8893036418951787E-3</v>
      </c>
      <c r="H2" s="4">
        <f t="shared" si="0"/>
        <v>5.8893036418951787E-3</v>
      </c>
      <c r="I2" s="4">
        <f t="shared" si="0"/>
        <v>5.8893036418951787E-3</v>
      </c>
      <c r="J2" s="4">
        <f t="shared" si="0"/>
        <v>5.8893036418951787E-3</v>
      </c>
      <c r="K2" s="4">
        <f t="shared" si="0"/>
        <v>5.8893036418951787E-3</v>
      </c>
      <c r="L2" s="4">
        <f t="shared" si="0"/>
        <v>5.8893036418951787E-3</v>
      </c>
      <c r="M2" s="4">
        <f t="shared" si="0"/>
        <v>5.8893036418951787E-3</v>
      </c>
      <c r="N2" s="4">
        <f t="shared" si="0"/>
        <v>5.8893036418951787E-3</v>
      </c>
      <c r="O2" s="4">
        <f t="shared" si="0"/>
        <v>5.8893036418951787E-3</v>
      </c>
      <c r="P2" s="4">
        <f t="shared" si="0"/>
        <v>5.8893036418951787E-3</v>
      </c>
      <c r="Q2" s="4">
        <f t="shared" si="0"/>
        <v>5.8893036418951787E-3</v>
      </c>
      <c r="R2" s="4">
        <f t="shared" si="0"/>
        <v>5.8893036418951787E-3</v>
      </c>
      <c r="S2" s="4">
        <f t="shared" si="0"/>
        <v>5.8893036418951787E-3</v>
      </c>
      <c r="T2" s="4">
        <f t="shared" si="0"/>
        <v>5.8893036418951787E-3</v>
      </c>
      <c r="U2" s="4">
        <f t="shared" si="0"/>
        <v>5.8893036418951787E-3</v>
      </c>
      <c r="V2" s="4">
        <f t="shared" si="0"/>
        <v>5.8893036418951787E-3</v>
      </c>
      <c r="W2" s="4">
        <f t="shared" si="0"/>
        <v>5.8893036418951787E-3</v>
      </c>
      <c r="X2" s="4">
        <f t="shared" si="0"/>
        <v>5.8893036418951787E-3</v>
      </c>
      <c r="Y2" s="4">
        <f t="shared" si="0"/>
        <v>5.8893036418951787E-3</v>
      </c>
      <c r="Z2" s="4">
        <f t="shared" si="0"/>
        <v>5.8893036418951787E-3</v>
      </c>
      <c r="AA2" s="4">
        <f t="shared" si="0"/>
        <v>5.8893036418951787E-3</v>
      </c>
      <c r="AB2" s="4">
        <f t="shared" si="0"/>
        <v>5.8893036418951787E-3</v>
      </c>
      <c r="AC2" s="4">
        <f t="shared" si="0"/>
        <v>5.8893036418951787E-3</v>
      </c>
      <c r="AD2" s="4">
        <f t="shared" si="0"/>
        <v>5.8893036418951787E-3</v>
      </c>
      <c r="AE2" s="4">
        <f t="shared" si="0"/>
        <v>5.8893036418951787E-3</v>
      </c>
      <c r="AF2" s="4">
        <f t="shared" si="0"/>
        <v>5.8893036418951787E-3</v>
      </c>
      <c r="AH2" s="4"/>
      <c r="AI2" s="4"/>
    </row>
    <row r="3" spans="1:35">
      <c r="A3" t="s">
        <v>3</v>
      </c>
      <c r="B3" s="4">
        <v>1.2411171065195511E-3</v>
      </c>
      <c r="C3" s="4">
        <f t="shared" ref="C3:R8" si="1">B3</f>
        <v>1.2411171065195511E-3</v>
      </c>
      <c r="D3" s="4">
        <f t="shared" si="1"/>
        <v>1.2411171065195511E-3</v>
      </c>
      <c r="E3" s="4">
        <f t="shared" si="1"/>
        <v>1.2411171065195511E-3</v>
      </c>
      <c r="F3" s="4">
        <f t="shared" si="1"/>
        <v>1.2411171065195511E-3</v>
      </c>
      <c r="G3" s="4">
        <f t="shared" si="1"/>
        <v>1.2411171065195511E-3</v>
      </c>
      <c r="H3" s="4">
        <f t="shared" si="1"/>
        <v>1.2411171065195511E-3</v>
      </c>
      <c r="I3" s="4">
        <f t="shared" si="1"/>
        <v>1.2411171065195511E-3</v>
      </c>
      <c r="J3" s="4">
        <f t="shared" si="1"/>
        <v>1.2411171065195511E-3</v>
      </c>
      <c r="K3" s="4">
        <f t="shared" si="1"/>
        <v>1.2411171065195511E-3</v>
      </c>
      <c r="L3" s="4">
        <f t="shared" si="1"/>
        <v>1.2411171065195511E-3</v>
      </c>
      <c r="M3" s="4">
        <f t="shared" si="1"/>
        <v>1.2411171065195511E-3</v>
      </c>
      <c r="N3" s="4">
        <f t="shared" si="1"/>
        <v>1.2411171065195511E-3</v>
      </c>
      <c r="O3" s="4">
        <f t="shared" si="1"/>
        <v>1.2411171065195511E-3</v>
      </c>
      <c r="P3" s="4">
        <f t="shared" si="1"/>
        <v>1.2411171065195511E-3</v>
      </c>
      <c r="Q3" s="4">
        <f t="shared" si="1"/>
        <v>1.2411171065195511E-3</v>
      </c>
      <c r="R3" s="4">
        <f t="shared" si="1"/>
        <v>1.2411171065195511E-3</v>
      </c>
      <c r="S3" s="4">
        <f t="shared" si="0"/>
        <v>1.2411171065195511E-3</v>
      </c>
      <c r="T3" s="4">
        <f t="shared" si="0"/>
        <v>1.2411171065195511E-3</v>
      </c>
      <c r="U3" s="4">
        <f t="shared" si="0"/>
        <v>1.2411171065195511E-3</v>
      </c>
      <c r="V3" s="4">
        <f t="shared" si="0"/>
        <v>1.2411171065195511E-3</v>
      </c>
      <c r="W3" s="4">
        <f t="shared" si="0"/>
        <v>1.2411171065195511E-3</v>
      </c>
      <c r="X3" s="4">
        <f t="shared" si="0"/>
        <v>1.2411171065195511E-3</v>
      </c>
      <c r="Y3" s="4">
        <f t="shared" si="0"/>
        <v>1.2411171065195511E-3</v>
      </c>
      <c r="Z3" s="4">
        <f t="shared" si="0"/>
        <v>1.2411171065195511E-3</v>
      </c>
      <c r="AA3" s="4">
        <f t="shared" si="0"/>
        <v>1.2411171065195511E-3</v>
      </c>
      <c r="AB3" s="4">
        <f t="shared" si="0"/>
        <v>1.2411171065195511E-3</v>
      </c>
      <c r="AC3" s="4">
        <f t="shared" si="0"/>
        <v>1.2411171065195511E-3</v>
      </c>
      <c r="AD3" s="4">
        <f t="shared" si="0"/>
        <v>1.2411171065195511E-3</v>
      </c>
      <c r="AE3" s="4">
        <f t="shared" si="0"/>
        <v>1.2411171065195511E-3</v>
      </c>
      <c r="AF3" s="4">
        <f t="shared" si="0"/>
        <v>1.2411171065195511E-3</v>
      </c>
      <c r="AH3" s="4"/>
      <c r="AI3" s="4"/>
    </row>
    <row r="4" spans="1:35">
      <c r="A4" t="s">
        <v>4</v>
      </c>
      <c r="B4" s="4">
        <v>0</v>
      </c>
      <c r="C4" s="4">
        <f t="shared" si="1"/>
        <v>0</v>
      </c>
      <c r="D4" s="4">
        <f t="shared" si="0"/>
        <v>0</v>
      </c>
      <c r="E4" s="4">
        <f t="shared" si="0"/>
        <v>0</v>
      </c>
      <c r="F4" s="4">
        <f t="shared" si="0"/>
        <v>0</v>
      </c>
      <c r="G4" s="4">
        <f t="shared" si="0"/>
        <v>0</v>
      </c>
      <c r="H4" s="4">
        <f t="shared" si="0"/>
        <v>0</v>
      </c>
      <c r="I4" s="4">
        <f t="shared" si="0"/>
        <v>0</v>
      </c>
      <c r="J4" s="4">
        <f t="shared" si="0"/>
        <v>0</v>
      </c>
      <c r="K4" s="4">
        <f t="shared" si="0"/>
        <v>0</v>
      </c>
      <c r="L4" s="4">
        <f t="shared" si="0"/>
        <v>0</v>
      </c>
      <c r="M4" s="4">
        <f t="shared" si="0"/>
        <v>0</v>
      </c>
      <c r="N4" s="4">
        <f t="shared" si="0"/>
        <v>0</v>
      </c>
      <c r="O4" s="4">
        <f t="shared" si="0"/>
        <v>0</v>
      </c>
      <c r="P4" s="4">
        <f t="shared" si="0"/>
        <v>0</v>
      </c>
      <c r="Q4" s="4">
        <f t="shared" si="0"/>
        <v>0</v>
      </c>
      <c r="R4" s="4">
        <f t="shared" si="0"/>
        <v>0</v>
      </c>
      <c r="S4" s="4">
        <f t="shared" si="0"/>
        <v>0</v>
      </c>
      <c r="T4" s="4">
        <f t="shared" si="0"/>
        <v>0</v>
      </c>
      <c r="U4" s="4">
        <f t="shared" si="0"/>
        <v>0</v>
      </c>
      <c r="V4" s="4">
        <f t="shared" si="0"/>
        <v>0</v>
      </c>
      <c r="W4" s="4">
        <f t="shared" si="0"/>
        <v>0</v>
      </c>
      <c r="X4" s="4">
        <f t="shared" si="0"/>
        <v>0</v>
      </c>
      <c r="Y4" s="4">
        <f t="shared" si="0"/>
        <v>0</v>
      </c>
      <c r="Z4" s="4">
        <f t="shared" si="0"/>
        <v>0</v>
      </c>
      <c r="AA4" s="4">
        <f t="shared" si="0"/>
        <v>0</v>
      </c>
      <c r="AB4" s="4">
        <f t="shared" si="0"/>
        <v>0</v>
      </c>
      <c r="AC4" s="4">
        <f t="shared" si="0"/>
        <v>0</v>
      </c>
      <c r="AD4" s="4">
        <f t="shared" si="0"/>
        <v>0</v>
      </c>
      <c r="AE4" s="4">
        <f t="shared" si="0"/>
        <v>0</v>
      </c>
      <c r="AF4" s="4">
        <f t="shared" si="0"/>
        <v>0</v>
      </c>
      <c r="AH4" s="4"/>
      <c r="AI4" s="4"/>
    </row>
    <row r="5" spans="1:35">
      <c r="A5" t="s">
        <v>5</v>
      </c>
      <c r="B5" s="4">
        <v>1.0956176988720018E-3</v>
      </c>
      <c r="C5" s="4">
        <f t="shared" si="1"/>
        <v>1.0956176988720018E-3</v>
      </c>
      <c r="D5" s="4">
        <f t="shared" si="0"/>
        <v>1.0956176988720018E-3</v>
      </c>
      <c r="E5" s="4">
        <f t="shared" si="0"/>
        <v>1.0956176988720018E-3</v>
      </c>
      <c r="F5" s="4">
        <f t="shared" si="0"/>
        <v>1.0956176988720018E-3</v>
      </c>
      <c r="G5" s="4">
        <f t="shared" si="0"/>
        <v>1.0956176988720018E-3</v>
      </c>
      <c r="H5" s="4">
        <f t="shared" si="0"/>
        <v>1.0956176988720018E-3</v>
      </c>
      <c r="I5" s="4">
        <f t="shared" si="0"/>
        <v>1.0956176988720018E-3</v>
      </c>
      <c r="J5" s="4">
        <f t="shared" si="0"/>
        <v>1.0956176988720018E-3</v>
      </c>
      <c r="K5" s="4">
        <f t="shared" si="0"/>
        <v>1.0956176988720018E-3</v>
      </c>
      <c r="L5" s="4">
        <f t="shared" si="0"/>
        <v>1.0956176988720018E-3</v>
      </c>
      <c r="M5" s="4">
        <f t="shared" si="0"/>
        <v>1.0956176988720018E-3</v>
      </c>
      <c r="N5" s="4">
        <f t="shared" si="0"/>
        <v>1.0956176988720018E-3</v>
      </c>
      <c r="O5" s="4">
        <f t="shared" si="0"/>
        <v>1.0956176988720018E-3</v>
      </c>
      <c r="P5" s="4">
        <f t="shared" si="0"/>
        <v>1.0956176988720018E-3</v>
      </c>
      <c r="Q5" s="4">
        <f t="shared" si="0"/>
        <v>1.0956176988720018E-3</v>
      </c>
      <c r="R5" s="4">
        <f t="shared" si="0"/>
        <v>1.0956176988720018E-3</v>
      </c>
      <c r="S5" s="4">
        <f t="shared" si="0"/>
        <v>1.0956176988720018E-3</v>
      </c>
      <c r="T5" s="4">
        <f t="shared" si="0"/>
        <v>1.0956176988720018E-3</v>
      </c>
      <c r="U5" s="4">
        <f t="shared" si="0"/>
        <v>1.0956176988720018E-3</v>
      </c>
      <c r="V5" s="4">
        <f t="shared" si="0"/>
        <v>1.0956176988720018E-3</v>
      </c>
      <c r="W5" s="4">
        <f t="shared" si="0"/>
        <v>1.0956176988720018E-3</v>
      </c>
      <c r="X5" s="4">
        <f t="shared" si="0"/>
        <v>1.0956176988720018E-3</v>
      </c>
      <c r="Y5" s="4">
        <f t="shared" si="0"/>
        <v>1.0956176988720018E-3</v>
      </c>
      <c r="Z5" s="4">
        <f t="shared" si="0"/>
        <v>1.0956176988720018E-3</v>
      </c>
      <c r="AA5" s="4">
        <f t="shared" si="0"/>
        <v>1.0956176988720018E-3</v>
      </c>
      <c r="AB5" s="4">
        <f t="shared" si="0"/>
        <v>1.0956176988720018E-3</v>
      </c>
      <c r="AC5" s="4">
        <f t="shared" si="0"/>
        <v>1.0956176988720018E-3</v>
      </c>
      <c r="AD5" s="4">
        <f t="shared" si="0"/>
        <v>1.0956176988720018E-3</v>
      </c>
      <c r="AE5" s="4">
        <f t="shared" si="0"/>
        <v>1.0956176988720018E-3</v>
      </c>
      <c r="AF5" s="4">
        <f t="shared" si="0"/>
        <v>1.0956176988720018E-3</v>
      </c>
      <c r="AH5" s="4"/>
      <c r="AI5" s="4"/>
    </row>
    <row r="6" spans="1:35">
      <c r="A6" t="s">
        <v>6</v>
      </c>
      <c r="B6" s="4">
        <v>1.1497840120594071E-3</v>
      </c>
      <c r="C6" s="4">
        <f t="shared" si="1"/>
        <v>1.1497840120594071E-3</v>
      </c>
      <c r="D6" s="4">
        <f t="shared" si="0"/>
        <v>1.1497840120594071E-3</v>
      </c>
      <c r="E6" s="4">
        <f t="shared" si="0"/>
        <v>1.1497840120594071E-3</v>
      </c>
      <c r="F6" s="4">
        <f t="shared" si="0"/>
        <v>1.1497840120594071E-3</v>
      </c>
      <c r="G6" s="4">
        <f t="shared" si="0"/>
        <v>1.1497840120594071E-3</v>
      </c>
      <c r="H6" s="4">
        <f t="shared" si="0"/>
        <v>1.1497840120594071E-3</v>
      </c>
      <c r="I6" s="4">
        <f t="shared" si="0"/>
        <v>1.1497840120594071E-3</v>
      </c>
      <c r="J6" s="4">
        <f t="shared" si="0"/>
        <v>1.1497840120594071E-3</v>
      </c>
      <c r="K6" s="4">
        <f t="shared" si="0"/>
        <v>1.1497840120594071E-3</v>
      </c>
      <c r="L6" s="4">
        <f t="shared" si="0"/>
        <v>1.1497840120594071E-3</v>
      </c>
      <c r="M6" s="4">
        <f t="shared" si="0"/>
        <v>1.1497840120594071E-3</v>
      </c>
      <c r="N6" s="4">
        <f t="shared" si="0"/>
        <v>1.1497840120594071E-3</v>
      </c>
      <c r="O6" s="4">
        <f t="shared" si="0"/>
        <v>1.1497840120594071E-3</v>
      </c>
      <c r="P6" s="4">
        <f t="shared" si="0"/>
        <v>1.1497840120594071E-3</v>
      </c>
      <c r="Q6" s="4">
        <f t="shared" si="0"/>
        <v>1.1497840120594071E-3</v>
      </c>
      <c r="R6" s="4">
        <f t="shared" si="0"/>
        <v>1.1497840120594071E-3</v>
      </c>
      <c r="S6" s="4">
        <f t="shared" si="0"/>
        <v>1.1497840120594071E-3</v>
      </c>
      <c r="T6" s="4">
        <f t="shared" si="0"/>
        <v>1.1497840120594071E-3</v>
      </c>
      <c r="U6" s="4">
        <f t="shared" si="0"/>
        <v>1.1497840120594071E-3</v>
      </c>
      <c r="V6" s="4">
        <f t="shared" si="0"/>
        <v>1.1497840120594071E-3</v>
      </c>
      <c r="W6" s="4">
        <f t="shared" si="0"/>
        <v>1.1497840120594071E-3</v>
      </c>
      <c r="X6" s="4">
        <f t="shared" si="0"/>
        <v>1.1497840120594071E-3</v>
      </c>
      <c r="Y6" s="4">
        <f t="shared" si="0"/>
        <v>1.1497840120594071E-3</v>
      </c>
      <c r="Z6" s="4">
        <f t="shared" si="0"/>
        <v>1.1497840120594071E-3</v>
      </c>
      <c r="AA6" s="4">
        <f t="shared" si="0"/>
        <v>1.1497840120594071E-3</v>
      </c>
      <c r="AB6" s="4">
        <f t="shared" si="0"/>
        <v>1.1497840120594071E-3</v>
      </c>
      <c r="AC6" s="4">
        <f t="shared" si="0"/>
        <v>1.1497840120594071E-3</v>
      </c>
      <c r="AD6" s="4">
        <f t="shared" si="0"/>
        <v>1.1497840120594071E-3</v>
      </c>
      <c r="AE6" s="4">
        <f t="shared" si="0"/>
        <v>1.1497840120594071E-3</v>
      </c>
      <c r="AF6" s="4">
        <f t="shared" si="0"/>
        <v>1.1497840120594071E-3</v>
      </c>
      <c r="AH6" s="4"/>
      <c r="AI6" s="4"/>
    </row>
    <row r="7" spans="1:35">
      <c r="A7" t="s">
        <v>84</v>
      </c>
      <c r="B7" s="4">
        <v>0</v>
      </c>
      <c r="C7" s="4">
        <f t="shared" si="1"/>
        <v>0</v>
      </c>
      <c r="D7" s="4">
        <f t="shared" si="0"/>
        <v>0</v>
      </c>
      <c r="E7" s="4">
        <f t="shared" si="0"/>
        <v>0</v>
      </c>
      <c r="F7" s="4">
        <f t="shared" si="0"/>
        <v>0</v>
      </c>
      <c r="G7" s="4">
        <f t="shared" si="0"/>
        <v>0</v>
      </c>
      <c r="H7" s="4">
        <f t="shared" si="0"/>
        <v>0</v>
      </c>
      <c r="I7" s="4">
        <f t="shared" si="0"/>
        <v>0</v>
      </c>
      <c r="J7" s="4">
        <f t="shared" si="0"/>
        <v>0</v>
      </c>
      <c r="K7" s="4">
        <f t="shared" si="0"/>
        <v>0</v>
      </c>
      <c r="L7" s="4">
        <f t="shared" si="0"/>
        <v>0</v>
      </c>
      <c r="M7" s="4">
        <f t="shared" si="0"/>
        <v>0</v>
      </c>
      <c r="N7" s="4">
        <f t="shared" si="0"/>
        <v>0</v>
      </c>
      <c r="O7" s="4">
        <f t="shared" si="0"/>
        <v>0</v>
      </c>
      <c r="P7" s="4">
        <f t="shared" si="0"/>
        <v>0</v>
      </c>
      <c r="Q7" s="4">
        <f t="shared" si="0"/>
        <v>0</v>
      </c>
      <c r="R7" s="4">
        <f t="shared" si="0"/>
        <v>0</v>
      </c>
      <c r="S7" s="4">
        <f t="shared" si="0"/>
        <v>0</v>
      </c>
      <c r="T7" s="4">
        <f t="shared" si="0"/>
        <v>0</v>
      </c>
      <c r="U7" s="4">
        <f t="shared" si="0"/>
        <v>0</v>
      </c>
      <c r="V7" s="4">
        <f t="shared" si="0"/>
        <v>0</v>
      </c>
      <c r="W7" s="4">
        <f t="shared" si="0"/>
        <v>0</v>
      </c>
      <c r="X7" s="4">
        <f t="shared" si="0"/>
        <v>0</v>
      </c>
      <c r="Y7" s="4">
        <f t="shared" si="0"/>
        <v>0</v>
      </c>
      <c r="Z7" s="4">
        <f t="shared" si="0"/>
        <v>0</v>
      </c>
      <c r="AA7" s="4">
        <f t="shared" si="0"/>
        <v>0</v>
      </c>
      <c r="AB7" s="4">
        <f t="shared" si="0"/>
        <v>0</v>
      </c>
      <c r="AC7" s="4">
        <f t="shared" si="0"/>
        <v>0</v>
      </c>
      <c r="AD7" s="4">
        <f t="shared" si="0"/>
        <v>0</v>
      </c>
      <c r="AE7" s="4">
        <f t="shared" si="0"/>
        <v>0</v>
      </c>
      <c r="AF7" s="4">
        <f t="shared" si="0"/>
        <v>0</v>
      </c>
      <c r="AH7" s="4"/>
      <c r="AI7" s="4"/>
    </row>
    <row r="8" spans="1:35">
      <c r="A8" t="s">
        <v>85</v>
      </c>
      <c r="B8" s="4">
        <v>0</v>
      </c>
      <c r="C8" s="4">
        <f t="shared" si="1"/>
        <v>0</v>
      </c>
      <c r="D8" s="4">
        <f t="shared" si="0"/>
        <v>0</v>
      </c>
      <c r="E8" s="4">
        <f t="shared" si="0"/>
        <v>0</v>
      </c>
      <c r="F8" s="4">
        <f t="shared" si="0"/>
        <v>0</v>
      </c>
      <c r="G8" s="4">
        <f t="shared" si="0"/>
        <v>0</v>
      </c>
      <c r="H8" s="4">
        <f t="shared" si="0"/>
        <v>0</v>
      </c>
      <c r="I8" s="4">
        <f t="shared" si="0"/>
        <v>0</v>
      </c>
      <c r="J8" s="4">
        <f t="shared" si="0"/>
        <v>0</v>
      </c>
      <c r="K8" s="4">
        <f t="shared" si="0"/>
        <v>0</v>
      </c>
      <c r="L8" s="4">
        <f t="shared" si="0"/>
        <v>0</v>
      </c>
      <c r="M8" s="4">
        <f t="shared" si="0"/>
        <v>0</v>
      </c>
      <c r="N8" s="4">
        <f t="shared" si="0"/>
        <v>0</v>
      </c>
      <c r="O8" s="4">
        <f t="shared" si="0"/>
        <v>0</v>
      </c>
      <c r="P8" s="4">
        <f t="shared" si="0"/>
        <v>0</v>
      </c>
      <c r="Q8" s="4">
        <f t="shared" si="0"/>
        <v>0</v>
      </c>
      <c r="R8" s="4">
        <f t="shared" si="0"/>
        <v>0</v>
      </c>
      <c r="S8" s="4">
        <f t="shared" si="0"/>
        <v>0</v>
      </c>
      <c r="T8" s="4">
        <f t="shared" si="0"/>
        <v>0</v>
      </c>
      <c r="U8" s="4">
        <f t="shared" si="0"/>
        <v>0</v>
      </c>
      <c r="V8" s="4">
        <f t="shared" si="0"/>
        <v>0</v>
      </c>
      <c r="W8" s="4">
        <f t="shared" si="0"/>
        <v>0</v>
      </c>
      <c r="X8" s="4">
        <f t="shared" si="0"/>
        <v>0</v>
      </c>
      <c r="Y8" s="4">
        <f t="shared" si="0"/>
        <v>0</v>
      </c>
      <c r="Z8" s="4">
        <f t="shared" si="0"/>
        <v>0</v>
      </c>
      <c r="AA8" s="4">
        <f t="shared" si="0"/>
        <v>0</v>
      </c>
      <c r="AB8" s="4">
        <f t="shared" si="0"/>
        <v>0</v>
      </c>
      <c r="AC8" s="4">
        <f t="shared" si="0"/>
        <v>0</v>
      </c>
      <c r="AD8" s="4">
        <f t="shared" si="0"/>
        <v>0</v>
      </c>
      <c r="AE8" s="4">
        <f t="shared" si="0"/>
        <v>0</v>
      </c>
      <c r="AF8" s="4">
        <f t="shared" si="0"/>
        <v>0</v>
      </c>
      <c r="AH8" s="4"/>
      <c r="AI8" s="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I8"/>
  <sheetViews>
    <sheetView workbookViewId="0">
      <selection activeCell="B4" sqref="B4"/>
    </sheetView>
  </sheetViews>
  <sheetFormatPr defaultColWidth="8.81640625" defaultRowHeight="14.5"/>
  <cols>
    <col min="1" max="1" width="31.1796875" customWidth="1"/>
  </cols>
  <sheetData>
    <row r="1" spans="1:35">
      <c r="A1" s="19" t="s">
        <v>87</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5">
      <c r="A2" t="s">
        <v>2</v>
      </c>
      <c r="B2" s="4">
        <f t="array" ref="B2:B8">TRANSPOSE(SYFAFE!B11:H11)</f>
        <v>3.3390253679910294E-3</v>
      </c>
      <c r="C2" s="4">
        <f>B2</f>
        <v>3.3390253679910294E-3</v>
      </c>
      <c r="D2" s="4">
        <f t="shared" ref="D2:AF8" si="0">C2</f>
        <v>3.3390253679910294E-3</v>
      </c>
      <c r="E2" s="4">
        <f t="shared" si="0"/>
        <v>3.3390253679910294E-3</v>
      </c>
      <c r="F2" s="4">
        <f t="shared" si="0"/>
        <v>3.3390253679910294E-3</v>
      </c>
      <c r="G2" s="4">
        <f t="shared" si="0"/>
        <v>3.3390253679910294E-3</v>
      </c>
      <c r="H2" s="4">
        <f t="shared" si="0"/>
        <v>3.3390253679910294E-3</v>
      </c>
      <c r="I2" s="4">
        <f t="shared" si="0"/>
        <v>3.3390253679910294E-3</v>
      </c>
      <c r="J2" s="4">
        <f t="shared" si="0"/>
        <v>3.3390253679910294E-3</v>
      </c>
      <c r="K2" s="4">
        <f t="shared" si="0"/>
        <v>3.3390253679910294E-3</v>
      </c>
      <c r="L2" s="4">
        <f t="shared" si="0"/>
        <v>3.3390253679910294E-3</v>
      </c>
      <c r="M2" s="4">
        <f t="shared" si="0"/>
        <v>3.3390253679910294E-3</v>
      </c>
      <c r="N2" s="4">
        <f t="shared" si="0"/>
        <v>3.3390253679910294E-3</v>
      </c>
      <c r="O2" s="4">
        <f t="shared" si="0"/>
        <v>3.3390253679910294E-3</v>
      </c>
      <c r="P2" s="4">
        <f t="shared" si="0"/>
        <v>3.3390253679910294E-3</v>
      </c>
      <c r="Q2" s="4">
        <f t="shared" si="0"/>
        <v>3.3390253679910294E-3</v>
      </c>
      <c r="R2" s="4">
        <f t="shared" si="0"/>
        <v>3.3390253679910294E-3</v>
      </c>
      <c r="S2" s="4">
        <f t="shared" si="0"/>
        <v>3.3390253679910294E-3</v>
      </c>
      <c r="T2" s="4">
        <f t="shared" si="0"/>
        <v>3.3390253679910294E-3</v>
      </c>
      <c r="U2" s="4">
        <f t="shared" si="0"/>
        <v>3.3390253679910294E-3</v>
      </c>
      <c r="V2" s="4">
        <f t="shared" si="0"/>
        <v>3.3390253679910294E-3</v>
      </c>
      <c r="W2" s="4">
        <f t="shared" si="0"/>
        <v>3.3390253679910294E-3</v>
      </c>
      <c r="X2" s="4">
        <f t="shared" si="0"/>
        <v>3.3390253679910294E-3</v>
      </c>
      <c r="Y2" s="4">
        <f t="shared" si="0"/>
        <v>3.3390253679910294E-3</v>
      </c>
      <c r="Z2" s="4">
        <f t="shared" si="0"/>
        <v>3.3390253679910294E-3</v>
      </c>
      <c r="AA2" s="4">
        <f t="shared" si="0"/>
        <v>3.3390253679910294E-3</v>
      </c>
      <c r="AB2" s="4">
        <f t="shared" si="0"/>
        <v>3.3390253679910294E-3</v>
      </c>
      <c r="AC2" s="4">
        <f t="shared" si="0"/>
        <v>3.3390253679910294E-3</v>
      </c>
      <c r="AD2" s="4">
        <f t="shared" si="0"/>
        <v>3.3390253679910294E-3</v>
      </c>
      <c r="AE2" s="4">
        <f t="shared" si="0"/>
        <v>3.3390253679910294E-3</v>
      </c>
      <c r="AF2" s="4">
        <f t="shared" si="0"/>
        <v>3.3390253679910294E-3</v>
      </c>
      <c r="AH2" s="4"/>
      <c r="AI2" s="4"/>
    </row>
    <row r="3" spans="1:35">
      <c r="A3" t="s">
        <v>3</v>
      </c>
      <c r="B3" s="4">
        <v>0</v>
      </c>
      <c r="C3" s="4">
        <f t="shared" ref="C3:R8" si="1">B3</f>
        <v>0</v>
      </c>
      <c r="D3" s="4">
        <f t="shared" si="1"/>
        <v>0</v>
      </c>
      <c r="E3" s="4">
        <f t="shared" si="1"/>
        <v>0</v>
      </c>
      <c r="F3" s="4">
        <f t="shared" si="1"/>
        <v>0</v>
      </c>
      <c r="G3" s="4">
        <f t="shared" si="1"/>
        <v>0</v>
      </c>
      <c r="H3" s="4">
        <f t="shared" si="1"/>
        <v>0</v>
      </c>
      <c r="I3" s="4">
        <f t="shared" si="1"/>
        <v>0</v>
      </c>
      <c r="J3" s="4">
        <f t="shared" si="1"/>
        <v>0</v>
      </c>
      <c r="K3" s="4">
        <f t="shared" si="1"/>
        <v>0</v>
      </c>
      <c r="L3" s="4">
        <f t="shared" si="1"/>
        <v>0</v>
      </c>
      <c r="M3" s="4">
        <f t="shared" si="1"/>
        <v>0</v>
      </c>
      <c r="N3" s="4">
        <f t="shared" si="1"/>
        <v>0</v>
      </c>
      <c r="O3" s="4">
        <f t="shared" si="1"/>
        <v>0</v>
      </c>
      <c r="P3" s="4">
        <f t="shared" si="1"/>
        <v>0</v>
      </c>
      <c r="Q3" s="4">
        <f t="shared" si="1"/>
        <v>0</v>
      </c>
      <c r="R3" s="4">
        <f t="shared" si="1"/>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H3" s="4"/>
      <c r="AI3" s="4"/>
    </row>
    <row r="4" spans="1:35">
      <c r="A4" t="s">
        <v>4</v>
      </c>
      <c r="B4" s="4">
        <v>0</v>
      </c>
      <c r="C4" s="4">
        <f t="shared" si="1"/>
        <v>0</v>
      </c>
      <c r="D4" s="4">
        <f t="shared" si="0"/>
        <v>0</v>
      </c>
      <c r="E4" s="4">
        <f t="shared" si="0"/>
        <v>0</v>
      </c>
      <c r="F4" s="4">
        <f t="shared" si="0"/>
        <v>0</v>
      </c>
      <c r="G4" s="4">
        <f t="shared" si="0"/>
        <v>0</v>
      </c>
      <c r="H4" s="4">
        <f t="shared" si="0"/>
        <v>0</v>
      </c>
      <c r="I4" s="4">
        <f t="shared" si="0"/>
        <v>0</v>
      </c>
      <c r="J4" s="4">
        <f t="shared" si="0"/>
        <v>0</v>
      </c>
      <c r="K4" s="4">
        <f t="shared" si="0"/>
        <v>0</v>
      </c>
      <c r="L4" s="4">
        <f t="shared" si="0"/>
        <v>0</v>
      </c>
      <c r="M4" s="4">
        <f t="shared" si="0"/>
        <v>0</v>
      </c>
      <c r="N4" s="4">
        <f t="shared" si="0"/>
        <v>0</v>
      </c>
      <c r="O4" s="4">
        <f t="shared" si="0"/>
        <v>0</v>
      </c>
      <c r="P4" s="4">
        <f t="shared" si="0"/>
        <v>0</v>
      </c>
      <c r="Q4" s="4">
        <f t="shared" si="0"/>
        <v>0</v>
      </c>
      <c r="R4" s="4">
        <f t="shared" si="0"/>
        <v>0</v>
      </c>
      <c r="S4" s="4">
        <f t="shared" si="0"/>
        <v>0</v>
      </c>
      <c r="T4" s="4">
        <f t="shared" si="0"/>
        <v>0</v>
      </c>
      <c r="U4" s="4">
        <f t="shared" si="0"/>
        <v>0</v>
      </c>
      <c r="V4" s="4">
        <f t="shared" si="0"/>
        <v>0</v>
      </c>
      <c r="W4" s="4">
        <f t="shared" si="0"/>
        <v>0</v>
      </c>
      <c r="X4" s="4">
        <f t="shared" si="0"/>
        <v>0</v>
      </c>
      <c r="Y4" s="4">
        <f t="shared" si="0"/>
        <v>0</v>
      </c>
      <c r="Z4" s="4">
        <f t="shared" si="0"/>
        <v>0</v>
      </c>
      <c r="AA4" s="4">
        <f t="shared" si="0"/>
        <v>0</v>
      </c>
      <c r="AB4" s="4">
        <f t="shared" si="0"/>
        <v>0</v>
      </c>
      <c r="AC4" s="4">
        <f t="shared" si="0"/>
        <v>0</v>
      </c>
      <c r="AD4" s="4">
        <f t="shared" si="0"/>
        <v>0</v>
      </c>
      <c r="AE4" s="4">
        <f t="shared" si="0"/>
        <v>0</v>
      </c>
      <c r="AF4" s="4">
        <f t="shared" si="0"/>
        <v>0</v>
      </c>
      <c r="AH4" s="4"/>
      <c r="AI4" s="4"/>
    </row>
    <row r="5" spans="1:35">
      <c r="A5" t="s">
        <v>5</v>
      </c>
      <c r="B5" s="4">
        <v>3.5041036558001674E-3</v>
      </c>
      <c r="C5" s="4">
        <f t="shared" si="1"/>
        <v>3.5041036558001674E-3</v>
      </c>
      <c r="D5" s="4">
        <f t="shared" si="0"/>
        <v>3.5041036558001674E-3</v>
      </c>
      <c r="E5" s="4">
        <f t="shared" si="0"/>
        <v>3.5041036558001674E-3</v>
      </c>
      <c r="F5" s="4">
        <f t="shared" si="0"/>
        <v>3.5041036558001674E-3</v>
      </c>
      <c r="G5" s="4">
        <f t="shared" si="0"/>
        <v>3.5041036558001674E-3</v>
      </c>
      <c r="H5" s="4">
        <f t="shared" si="0"/>
        <v>3.5041036558001674E-3</v>
      </c>
      <c r="I5" s="4">
        <f t="shared" si="0"/>
        <v>3.5041036558001674E-3</v>
      </c>
      <c r="J5" s="4">
        <f t="shared" si="0"/>
        <v>3.5041036558001674E-3</v>
      </c>
      <c r="K5" s="4">
        <f t="shared" si="0"/>
        <v>3.5041036558001674E-3</v>
      </c>
      <c r="L5" s="4">
        <f t="shared" si="0"/>
        <v>3.5041036558001674E-3</v>
      </c>
      <c r="M5" s="4">
        <f t="shared" si="0"/>
        <v>3.5041036558001674E-3</v>
      </c>
      <c r="N5" s="4">
        <f t="shared" si="0"/>
        <v>3.5041036558001674E-3</v>
      </c>
      <c r="O5" s="4">
        <f t="shared" si="0"/>
        <v>3.5041036558001674E-3</v>
      </c>
      <c r="P5" s="4">
        <f t="shared" si="0"/>
        <v>3.5041036558001674E-3</v>
      </c>
      <c r="Q5" s="4">
        <f t="shared" si="0"/>
        <v>3.5041036558001674E-3</v>
      </c>
      <c r="R5" s="4">
        <f t="shared" si="0"/>
        <v>3.5041036558001674E-3</v>
      </c>
      <c r="S5" s="4">
        <f t="shared" si="0"/>
        <v>3.5041036558001674E-3</v>
      </c>
      <c r="T5" s="4">
        <f t="shared" si="0"/>
        <v>3.5041036558001674E-3</v>
      </c>
      <c r="U5" s="4">
        <f t="shared" si="0"/>
        <v>3.5041036558001674E-3</v>
      </c>
      <c r="V5" s="4">
        <f t="shared" si="0"/>
        <v>3.5041036558001674E-3</v>
      </c>
      <c r="W5" s="4">
        <f t="shared" si="0"/>
        <v>3.5041036558001674E-3</v>
      </c>
      <c r="X5" s="4">
        <f t="shared" si="0"/>
        <v>3.5041036558001674E-3</v>
      </c>
      <c r="Y5" s="4">
        <f t="shared" si="0"/>
        <v>3.5041036558001674E-3</v>
      </c>
      <c r="Z5" s="4">
        <f t="shared" si="0"/>
        <v>3.5041036558001674E-3</v>
      </c>
      <c r="AA5" s="4">
        <f t="shared" si="0"/>
        <v>3.5041036558001674E-3</v>
      </c>
      <c r="AB5" s="4">
        <f t="shared" si="0"/>
        <v>3.5041036558001674E-3</v>
      </c>
      <c r="AC5" s="4">
        <f t="shared" si="0"/>
        <v>3.5041036558001674E-3</v>
      </c>
      <c r="AD5" s="4">
        <f t="shared" si="0"/>
        <v>3.5041036558001674E-3</v>
      </c>
      <c r="AE5" s="4">
        <f t="shared" si="0"/>
        <v>3.5041036558001674E-3</v>
      </c>
      <c r="AF5" s="4">
        <f t="shared" si="0"/>
        <v>3.5041036558001674E-3</v>
      </c>
      <c r="AH5" s="4"/>
      <c r="AI5" s="4"/>
    </row>
    <row r="6" spans="1:35">
      <c r="A6" t="s">
        <v>6</v>
      </c>
      <c r="B6" s="4">
        <v>0</v>
      </c>
      <c r="C6" s="4">
        <f t="shared" si="1"/>
        <v>0</v>
      </c>
      <c r="D6" s="4">
        <f t="shared" si="0"/>
        <v>0</v>
      </c>
      <c r="E6" s="4">
        <f t="shared" si="0"/>
        <v>0</v>
      </c>
      <c r="F6" s="4">
        <f t="shared" si="0"/>
        <v>0</v>
      </c>
      <c r="G6" s="4">
        <f t="shared" si="0"/>
        <v>0</v>
      </c>
      <c r="H6" s="4">
        <f t="shared" si="0"/>
        <v>0</v>
      </c>
      <c r="I6" s="4">
        <f t="shared" si="0"/>
        <v>0</v>
      </c>
      <c r="J6" s="4">
        <f t="shared" si="0"/>
        <v>0</v>
      </c>
      <c r="K6" s="4">
        <f t="shared" si="0"/>
        <v>0</v>
      </c>
      <c r="L6" s="4">
        <f t="shared" si="0"/>
        <v>0</v>
      </c>
      <c r="M6" s="4">
        <f t="shared" si="0"/>
        <v>0</v>
      </c>
      <c r="N6" s="4">
        <f t="shared" si="0"/>
        <v>0</v>
      </c>
      <c r="O6" s="4">
        <f t="shared" si="0"/>
        <v>0</v>
      </c>
      <c r="P6" s="4">
        <f t="shared" si="0"/>
        <v>0</v>
      </c>
      <c r="Q6" s="4">
        <f t="shared" si="0"/>
        <v>0</v>
      </c>
      <c r="R6" s="4">
        <f t="shared" si="0"/>
        <v>0</v>
      </c>
      <c r="S6" s="4">
        <f t="shared" si="0"/>
        <v>0</v>
      </c>
      <c r="T6" s="4">
        <f t="shared" si="0"/>
        <v>0</v>
      </c>
      <c r="U6" s="4">
        <f t="shared" si="0"/>
        <v>0</v>
      </c>
      <c r="V6" s="4">
        <f t="shared" si="0"/>
        <v>0</v>
      </c>
      <c r="W6" s="4">
        <f t="shared" si="0"/>
        <v>0</v>
      </c>
      <c r="X6" s="4">
        <f t="shared" si="0"/>
        <v>0</v>
      </c>
      <c r="Y6" s="4">
        <f t="shared" si="0"/>
        <v>0</v>
      </c>
      <c r="Z6" s="4">
        <f t="shared" si="0"/>
        <v>0</v>
      </c>
      <c r="AA6" s="4">
        <f t="shared" si="0"/>
        <v>0</v>
      </c>
      <c r="AB6" s="4">
        <f t="shared" si="0"/>
        <v>0</v>
      </c>
      <c r="AC6" s="4">
        <f t="shared" si="0"/>
        <v>0</v>
      </c>
      <c r="AD6" s="4">
        <f t="shared" si="0"/>
        <v>0</v>
      </c>
      <c r="AE6" s="4">
        <f t="shared" si="0"/>
        <v>0</v>
      </c>
      <c r="AF6" s="4">
        <f t="shared" si="0"/>
        <v>0</v>
      </c>
      <c r="AH6" s="4"/>
      <c r="AI6" s="4"/>
    </row>
    <row r="7" spans="1:35">
      <c r="A7" t="s">
        <v>84</v>
      </c>
      <c r="B7" s="4">
        <v>0</v>
      </c>
      <c r="C7" s="4">
        <f t="shared" si="1"/>
        <v>0</v>
      </c>
      <c r="D7" s="4">
        <f t="shared" si="0"/>
        <v>0</v>
      </c>
      <c r="E7" s="4">
        <f t="shared" si="0"/>
        <v>0</v>
      </c>
      <c r="F7" s="4">
        <f t="shared" si="0"/>
        <v>0</v>
      </c>
      <c r="G7" s="4">
        <f t="shared" si="0"/>
        <v>0</v>
      </c>
      <c r="H7" s="4">
        <f t="shared" si="0"/>
        <v>0</v>
      </c>
      <c r="I7" s="4">
        <f t="shared" si="0"/>
        <v>0</v>
      </c>
      <c r="J7" s="4">
        <f t="shared" si="0"/>
        <v>0</v>
      </c>
      <c r="K7" s="4">
        <f t="shared" si="0"/>
        <v>0</v>
      </c>
      <c r="L7" s="4">
        <f t="shared" si="0"/>
        <v>0</v>
      </c>
      <c r="M7" s="4">
        <f t="shared" si="0"/>
        <v>0</v>
      </c>
      <c r="N7" s="4">
        <f t="shared" si="0"/>
        <v>0</v>
      </c>
      <c r="O7" s="4">
        <f t="shared" si="0"/>
        <v>0</v>
      </c>
      <c r="P7" s="4">
        <f t="shared" si="0"/>
        <v>0</v>
      </c>
      <c r="Q7" s="4">
        <f t="shared" si="0"/>
        <v>0</v>
      </c>
      <c r="R7" s="4">
        <f t="shared" si="0"/>
        <v>0</v>
      </c>
      <c r="S7" s="4">
        <f t="shared" si="0"/>
        <v>0</v>
      </c>
      <c r="T7" s="4">
        <f t="shared" si="0"/>
        <v>0</v>
      </c>
      <c r="U7" s="4">
        <f t="shared" si="0"/>
        <v>0</v>
      </c>
      <c r="V7" s="4">
        <f t="shared" si="0"/>
        <v>0</v>
      </c>
      <c r="W7" s="4">
        <f t="shared" si="0"/>
        <v>0</v>
      </c>
      <c r="X7" s="4">
        <f t="shared" si="0"/>
        <v>0</v>
      </c>
      <c r="Y7" s="4">
        <f t="shared" si="0"/>
        <v>0</v>
      </c>
      <c r="Z7" s="4">
        <f t="shared" si="0"/>
        <v>0</v>
      </c>
      <c r="AA7" s="4">
        <f t="shared" si="0"/>
        <v>0</v>
      </c>
      <c r="AB7" s="4">
        <f t="shared" si="0"/>
        <v>0</v>
      </c>
      <c r="AC7" s="4">
        <f t="shared" si="0"/>
        <v>0</v>
      </c>
      <c r="AD7" s="4">
        <f t="shared" si="0"/>
        <v>0</v>
      </c>
      <c r="AE7" s="4">
        <f t="shared" si="0"/>
        <v>0</v>
      </c>
      <c r="AF7" s="4">
        <f t="shared" si="0"/>
        <v>0</v>
      </c>
      <c r="AH7" s="4"/>
      <c r="AI7" s="4"/>
    </row>
    <row r="8" spans="1:35">
      <c r="A8" t="s">
        <v>85</v>
      </c>
      <c r="B8" s="4">
        <v>0</v>
      </c>
      <c r="C8" s="4">
        <f t="shared" si="1"/>
        <v>0</v>
      </c>
      <c r="D8" s="4">
        <f t="shared" si="0"/>
        <v>0</v>
      </c>
      <c r="E8" s="4">
        <f t="shared" si="0"/>
        <v>0</v>
      </c>
      <c r="F8" s="4">
        <f t="shared" si="0"/>
        <v>0</v>
      </c>
      <c r="G8" s="4">
        <f t="shared" si="0"/>
        <v>0</v>
      </c>
      <c r="H8" s="4">
        <f t="shared" si="0"/>
        <v>0</v>
      </c>
      <c r="I8" s="4">
        <f t="shared" si="0"/>
        <v>0</v>
      </c>
      <c r="J8" s="4">
        <f t="shared" si="0"/>
        <v>0</v>
      </c>
      <c r="K8" s="4">
        <f t="shared" si="0"/>
        <v>0</v>
      </c>
      <c r="L8" s="4">
        <f t="shared" si="0"/>
        <v>0</v>
      </c>
      <c r="M8" s="4">
        <f t="shared" si="0"/>
        <v>0</v>
      </c>
      <c r="N8" s="4">
        <f t="shared" si="0"/>
        <v>0</v>
      </c>
      <c r="O8" s="4">
        <f t="shared" si="0"/>
        <v>0</v>
      </c>
      <c r="P8" s="4">
        <f t="shared" si="0"/>
        <v>0</v>
      </c>
      <c r="Q8" s="4">
        <f t="shared" si="0"/>
        <v>0</v>
      </c>
      <c r="R8" s="4">
        <f t="shared" si="0"/>
        <v>0</v>
      </c>
      <c r="S8" s="4">
        <f t="shared" si="0"/>
        <v>0</v>
      </c>
      <c r="T8" s="4">
        <f t="shared" si="0"/>
        <v>0</v>
      </c>
      <c r="U8" s="4">
        <f t="shared" si="0"/>
        <v>0</v>
      </c>
      <c r="V8" s="4">
        <f t="shared" si="0"/>
        <v>0</v>
      </c>
      <c r="W8" s="4">
        <f t="shared" si="0"/>
        <v>0</v>
      </c>
      <c r="X8" s="4">
        <f t="shared" si="0"/>
        <v>0</v>
      </c>
      <c r="Y8" s="4">
        <f t="shared" si="0"/>
        <v>0</v>
      </c>
      <c r="Z8" s="4">
        <f t="shared" si="0"/>
        <v>0</v>
      </c>
      <c r="AA8" s="4">
        <f t="shared" si="0"/>
        <v>0</v>
      </c>
      <c r="AB8" s="4">
        <f t="shared" si="0"/>
        <v>0</v>
      </c>
      <c r="AC8" s="4">
        <f t="shared" si="0"/>
        <v>0</v>
      </c>
      <c r="AD8" s="4">
        <f t="shared" si="0"/>
        <v>0</v>
      </c>
      <c r="AE8" s="4">
        <f t="shared" si="0"/>
        <v>0</v>
      </c>
      <c r="AF8" s="4">
        <f t="shared" si="0"/>
        <v>0</v>
      </c>
      <c r="AH8" s="4"/>
      <c r="AI8" s="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I8"/>
  <sheetViews>
    <sheetView workbookViewId="0">
      <selection activeCell="B5" sqref="B5"/>
    </sheetView>
  </sheetViews>
  <sheetFormatPr defaultColWidth="8.81640625" defaultRowHeight="14.5"/>
  <cols>
    <col min="1" max="1" width="31.1796875" customWidth="1"/>
  </cols>
  <sheetData>
    <row r="1" spans="1:35">
      <c r="A1" s="19" t="s">
        <v>87</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5">
      <c r="A2" t="s">
        <v>2</v>
      </c>
      <c r="B2" s="4">
        <f>B$5/(1-'Other Values'!$B$3)</f>
        <v>1.2151306509639E-3</v>
      </c>
      <c r="C2" s="4">
        <f>C$5/(1-'Other Values'!$B$3)</f>
        <v>1.2271977196566914E-3</v>
      </c>
      <c r="D2" s="4">
        <f>D$5/(1-'Other Values'!$B$3)</f>
        <v>1.2392647883494826E-3</v>
      </c>
      <c r="E2" s="4">
        <f>E$5/(1-'Other Values'!$B$3)</f>
        <v>1.251331857042274E-3</v>
      </c>
      <c r="F2" s="4">
        <f>F$5/(1-'Other Values'!$B$3)</f>
        <v>1.2633989257350654E-3</v>
      </c>
      <c r="G2" s="4">
        <f>G$5/(1-'Other Values'!$B$3)</f>
        <v>1.2754659944278594E-3</v>
      </c>
      <c r="H2" s="4">
        <f>H$5/(1-'Other Values'!$B$3)</f>
        <v>1.2875330631206508E-3</v>
      </c>
      <c r="I2" s="4">
        <f>I$5/(1-'Other Values'!$B$3)</f>
        <v>1.2996001318134423E-3</v>
      </c>
      <c r="J2" s="4">
        <f>J$5/(1-'Other Values'!$B$3)</f>
        <v>1.3116672005062334E-3</v>
      </c>
      <c r="K2" s="4">
        <f>K$5/(1-'Other Values'!$B$3)</f>
        <v>1.3237342691990249E-3</v>
      </c>
      <c r="L2" s="4">
        <f>L$5/(1-'Other Values'!$B$3)</f>
        <v>1.3358013378918191E-3</v>
      </c>
      <c r="M2" s="4">
        <f>M$5/(1-'Other Values'!$B$3)</f>
        <v>1.3478684065846103E-3</v>
      </c>
      <c r="N2" s="4">
        <f>N$5/(1-'Other Values'!$B$3)</f>
        <v>1.3599354752774017E-3</v>
      </c>
      <c r="O2" s="4">
        <f>O$5/(1-'Other Values'!$B$3)</f>
        <v>1.3720025439701931E-3</v>
      </c>
      <c r="P2" s="4">
        <f>P$5/(1-'Other Values'!$B$3)</f>
        <v>1.3840696126629843E-3</v>
      </c>
      <c r="Q2" s="4">
        <f>Q$5/(1-'Other Values'!$B$3)</f>
        <v>1.3961366813557757E-3</v>
      </c>
      <c r="R2" s="4">
        <f>R$5/(1-'Other Values'!$B$3)</f>
        <v>1.4082037500485699E-3</v>
      </c>
      <c r="S2" s="4">
        <f>S$5/(1-'Other Values'!$B$3)</f>
        <v>1.4202708187413611E-3</v>
      </c>
      <c r="T2" s="4">
        <f>T$5/(1-'Other Values'!$B$3)</f>
        <v>1.4323378874341525E-3</v>
      </c>
      <c r="U2" s="4">
        <f>U$5/(1-'Other Values'!$B$3)</f>
        <v>1.4444049561269439E-3</v>
      </c>
      <c r="V2" s="4">
        <f>V$5/(1-'Other Values'!$B$3)</f>
        <v>1.4564720248197351E-3</v>
      </c>
      <c r="W2" s="4">
        <f>W$5/(1-'Other Values'!$B$3)</f>
        <v>1.4685390935125265E-3</v>
      </c>
      <c r="X2" s="4">
        <f>X$5/(1-'Other Values'!$B$3)</f>
        <v>1.4806061622053208E-3</v>
      </c>
      <c r="Y2" s="4">
        <f>Y$5/(1-'Other Values'!$B$3)</f>
        <v>1.492673230898112E-3</v>
      </c>
      <c r="Z2" s="4">
        <f>Z$5/(1-'Other Values'!$B$3)</f>
        <v>1.4980235812240234E-3</v>
      </c>
      <c r="AA2" s="4">
        <f>AA$5/(1-'Other Values'!$B$3)</f>
        <v>1.5231644537335698E-3</v>
      </c>
      <c r="AB2" s="4">
        <f>AB$5/(1-'Other Values'!$B$3)</f>
        <v>1.5304275172800137E-3</v>
      </c>
      <c r="AC2" s="4">
        <f>AC$5/(1-'Other Values'!$B$3)</f>
        <v>1.5412712423030443E-3</v>
      </c>
      <c r="AD2" s="4">
        <f>AD$5/(1-'Other Values'!$B$3)</f>
        <v>1.5576490945925607E-3</v>
      </c>
      <c r="AE2" s="4">
        <f>AE$5/(1-'Other Values'!$B$3)</f>
        <v>1.5699908781437811E-3</v>
      </c>
      <c r="AF2" s="4">
        <f>AF$5/(1-'Other Values'!$B$3)</f>
        <v>1.5806683889015623E-3</v>
      </c>
      <c r="AH2" s="4"/>
      <c r="AI2" s="4"/>
    </row>
    <row r="3" spans="1:35">
      <c r="A3" t="s">
        <v>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5">
      <c r="A4" t="s">
        <v>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5">
      <c r="A5" t="s">
        <v>5</v>
      </c>
      <c r="B5" s="4">
        <f>Extrapolations!P6</f>
        <v>3.7813606358617479E-4</v>
      </c>
      <c r="C5" s="4">
        <f>Extrapolations!Q6</f>
        <v>3.8189121028656993E-4</v>
      </c>
      <c r="D5" s="4">
        <f>Extrapolations!R6</f>
        <v>3.8564635698696507E-4</v>
      </c>
      <c r="E5" s="4">
        <f>Extrapolations!S6</f>
        <v>3.8940150368736021E-4</v>
      </c>
      <c r="F5" s="4">
        <f>Extrapolations!T6</f>
        <v>3.9315665038775535E-4</v>
      </c>
      <c r="G5" s="4">
        <f>Extrapolations!U6</f>
        <v>3.9691179708815135E-4</v>
      </c>
      <c r="H5" s="4">
        <f>Extrapolations!V6</f>
        <v>4.0066694378854649E-4</v>
      </c>
      <c r="I5" s="4">
        <f>Extrapolations!W6</f>
        <v>4.0442209048894163E-4</v>
      </c>
      <c r="J5" s="4">
        <f>Extrapolations!X6</f>
        <v>4.0817723718933677E-4</v>
      </c>
      <c r="K5" s="4">
        <f>Extrapolations!Y6</f>
        <v>4.1193238388973191E-4</v>
      </c>
      <c r="L5" s="4">
        <f>Extrapolations!Z6</f>
        <v>4.1568753059012791E-4</v>
      </c>
      <c r="M5" s="4">
        <f>Extrapolations!AA6</f>
        <v>4.1944267729052305E-4</v>
      </c>
      <c r="N5" s="4">
        <f>Extrapolations!AB6</f>
        <v>4.2319782399091819E-4</v>
      </c>
      <c r="O5" s="4">
        <f>Extrapolations!AC6</f>
        <v>4.2695297069131333E-4</v>
      </c>
      <c r="P5" s="4">
        <f>Extrapolations!AD6</f>
        <v>4.3070811739170847E-4</v>
      </c>
      <c r="Q5" s="4">
        <f>Extrapolations!AE6</f>
        <v>4.344632640921036E-4</v>
      </c>
      <c r="R5" s="4">
        <f>Extrapolations!AF6</f>
        <v>4.3821841079249961E-4</v>
      </c>
      <c r="S5" s="4">
        <f>Extrapolations!AG6</f>
        <v>4.4197355749289475E-4</v>
      </c>
      <c r="T5" s="4">
        <f>Extrapolations!AH6</f>
        <v>4.4572870419328989E-4</v>
      </c>
      <c r="U5" s="4">
        <f>Extrapolations!AI6</f>
        <v>4.4948385089368503E-4</v>
      </c>
      <c r="V5" s="4">
        <f>Extrapolations!AJ6</f>
        <v>4.5323899759408016E-4</v>
      </c>
      <c r="W5" s="4">
        <f>Extrapolations!AK6</f>
        <v>4.569941442944753E-4</v>
      </c>
      <c r="X5" s="4">
        <f>Extrapolations!AL6</f>
        <v>4.6074929099487131E-4</v>
      </c>
      <c r="Y5" s="4">
        <f>Extrapolations!AM6</f>
        <v>4.6450443769526645E-4</v>
      </c>
      <c r="Z5" s="4">
        <f>Extrapolations!AN6</f>
        <v>4.6616941125958422E-4</v>
      </c>
      <c r="AA5" s="4">
        <f>Extrapolations!AO6</f>
        <v>4.7399299019600609E-4</v>
      </c>
      <c r="AB5" s="4">
        <f>Extrapolations!AP6</f>
        <v>4.7625318028902199E-4</v>
      </c>
      <c r="AC5" s="4">
        <f>Extrapolations!AQ6</f>
        <v>4.7962763511951036E-4</v>
      </c>
      <c r="AD5" s="4">
        <f>Extrapolations!AR6</f>
        <v>4.8472425299335046E-4</v>
      </c>
      <c r="AE5" s="4">
        <f>Extrapolations!AS6</f>
        <v>4.8856488811023198E-4</v>
      </c>
      <c r="AF5" s="4">
        <f>Extrapolations!AT6</f>
        <v>4.9188761878420821E-4</v>
      </c>
      <c r="AH5" s="4"/>
      <c r="AI5" s="4"/>
    </row>
    <row r="6" spans="1:35">
      <c r="A6" t="s">
        <v>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5">
      <c r="A7" t="s">
        <v>84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5">
      <c r="A8" t="s">
        <v>85</v>
      </c>
      <c r="B8" s="4">
        <f>B$5*Calculations!$B$27</f>
        <v>1.1344081907585242E-3</v>
      </c>
      <c r="C8" s="4">
        <f>C$5*Calculations!$B$27</f>
        <v>1.1456736308597096E-3</v>
      </c>
      <c r="D8" s="4">
        <f>D$5*Calculations!$B$27</f>
        <v>1.156939070960895E-3</v>
      </c>
      <c r="E8" s="4">
        <f>E$5*Calculations!$B$27</f>
        <v>1.1682045110620804E-3</v>
      </c>
      <c r="F8" s="4">
        <f>F$5*Calculations!$B$27</f>
        <v>1.1794699511632658E-3</v>
      </c>
      <c r="G8" s="4">
        <f>G$5*Calculations!$B$27</f>
        <v>1.1907353912644538E-3</v>
      </c>
      <c r="H8" s="4">
        <f>H$5*Calculations!$B$27</f>
        <v>1.2020008313656393E-3</v>
      </c>
      <c r="I8" s="4">
        <f>I$5*Calculations!$B$27</f>
        <v>1.2132662714668247E-3</v>
      </c>
      <c r="J8" s="4">
        <f>J$5*Calculations!$B$27</f>
        <v>1.2245317115680101E-3</v>
      </c>
      <c r="K8" s="4">
        <f>K$5*Calculations!$B$27</f>
        <v>1.2357971516691955E-3</v>
      </c>
      <c r="L8" s="4">
        <f>L$5*Calculations!$B$27</f>
        <v>1.2470625917703835E-3</v>
      </c>
      <c r="M8" s="4">
        <f>M$5*Calculations!$B$27</f>
        <v>1.2583280318715689E-3</v>
      </c>
      <c r="N8" s="4">
        <f>N$5*Calculations!$B$27</f>
        <v>1.2695934719727543E-3</v>
      </c>
      <c r="O8" s="4">
        <f>O$5*Calculations!$B$27</f>
        <v>1.2808589120739398E-3</v>
      </c>
      <c r="P8" s="4">
        <f>P$5*Calculations!$B$27</f>
        <v>1.2921243521751252E-3</v>
      </c>
      <c r="Q8" s="4">
        <f>Q$5*Calculations!$B$27</f>
        <v>1.3033897922763106E-3</v>
      </c>
      <c r="R8" s="4">
        <f>R$5*Calculations!$B$27</f>
        <v>1.3146552323774986E-3</v>
      </c>
      <c r="S8" s="4">
        <f>S$5*Calculations!$B$27</f>
        <v>1.325920672478684E-3</v>
      </c>
      <c r="T8" s="4">
        <f>T$5*Calculations!$B$27</f>
        <v>1.3371861125798694E-3</v>
      </c>
      <c r="U8" s="4">
        <f>U$5*Calculations!$B$27</f>
        <v>1.3484515526810549E-3</v>
      </c>
      <c r="V8" s="4">
        <f>V$5*Calculations!$B$27</f>
        <v>1.3597169927822403E-3</v>
      </c>
      <c r="W8" s="4">
        <f>W$5*Calculations!$B$27</f>
        <v>1.3709824328834257E-3</v>
      </c>
      <c r="X8" s="4">
        <f>X$5*Calculations!$B$27</f>
        <v>1.3822478729846137E-3</v>
      </c>
      <c r="Y8" s="4">
        <f>Y$5*Calculations!$B$27</f>
        <v>1.3935133130857991E-3</v>
      </c>
      <c r="Z8" s="4">
        <f>Z$5*Calculations!$B$27</f>
        <v>1.3985082337787526E-3</v>
      </c>
      <c r="AA8" s="4">
        <f>AA$5*Calculations!$B$27</f>
        <v>1.4219789705880181E-3</v>
      </c>
      <c r="AB8" s="4">
        <f>AB$5*Calculations!$B$27</f>
        <v>1.4287595408670657E-3</v>
      </c>
      <c r="AC8" s="4">
        <f>AC$5*Calculations!$B$27</f>
        <v>1.4388829053585308E-3</v>
      </c>
      <c r="AD8" s="4">
        <f>AD$5*Calculations!$B$27</f>
        <v>1.4541727589800512E-3</v>
      </c>
      <c r="AE8" s="4">
        <f>AE$5*Calculations!$B$27</f>
        <v>1.4656946643306957E-3</v>
      </c>
      <c r="AF8" s="4">
        <f>AF$5*Calculations!$B$27</f>
        <v>1.4756628563526244E-3</v>
      </c>
      <c r="AH8" s="4"/>
      <c r="AI8" s="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8"/>
  <sheetViews>
    <sheetView workbookViewId="0">
      <selection activeCell="B5" sqref="B5"/>
    </sheetView>
  </sheetViews>
  <sheetFormatPr defaultColWidth="8.81640625" defaultRowHeight="14.5"/>
  <cols>
    <col min="1" max="1" width="31.1796875" customWidth="1"/>
  </cols>
  <sheetData>
    <row r="1" spans="1:35">
      <c r="A1" s="19" t="s">
        <v>87</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5">
      <c r="A2" t="s">
        <v>2</v>
      </c>
      <c r="B2" s="4">
        <f>B$5/(1-'Other Values'!$B$3)</f>
        <v>2.9750912586402818E-4</v>
      </c>
      <c r="C2" s="4">
        <f>C$5/(1-'Other Values'!$B$3)</f>
        <v>3.0061604676098329E-4</v>
      </c>
      <c r="D2" s="4">
        <f>D$5/(1-'Other Values'!$B$3)</f>
        <v>3.0372296765793775E-4</v>
      </c>
      <c r="E2" s="4">
        <f>E$5/(1-'Other Values'!$B$3)</f>
        <v>3.0682988855489286E-4</v>
      </c>
      <c r="F2" s="4">
        <f>F$5/(1-'Other Values'!$B$3)</f>
        <v>3.0993680945184726E-4</v>
      </c>
      <c r="G2" s="4">
        <f>G$5/(1-'Other Values'!$B$3)</f>
        <v>3.1304373034880242E-4</v>
      </c>
      <c r="H2" s="4">
        <f>H$5/(1-'Other Values'!$B$3)</f>
        <v>3.1615065124575683E-4</v>
      </c>
      <c r="I2" s="4">
        <f>I$5/(1-'Other Values'!$B$3)</f>
        <v>3.1925757214271193E-4</v>
      </c>
      <c r="J2" s="4">
        <f>J$5/(1-'Other Values'!$B$3)</f>
        <v>3.223644930396671E-4</v>
      </c>
      <c r="K2" s="4">
        <f>K$5/(1-'Other Values'!$B$3)</f>
        <v>3.254714139366215E-4</v>
      </c>
      <c r="L2" s="4">
        <f>L$5/(1-'Other Values'!$B$3)</f>
        <v>3.2857833483357661E-4</v>
      </c>
      <c r="M2" s="4">
        <f>M$5/(1-'Other Values'!$B$3)</f>
        <v>3.3168525573053106E-4</v>
      </c>
      <c r="N2" s="4">
        <f>N$5/(1-'Other Values'!$B$3)</f>
        <v>3.3479217662748617E-4</v>
      </c>
      <c r="O2" s="4">
        <f>O$5/(1-'Other Values'!$B$3)</f>
        <v>3.3789909752444063E-4</v>
      </c>
      <c r="P2" s="4">
        <f>P$5/(1-'Other Values'!$B$3)</f>
        <v>3.4100601842139574E-4</v>
      </c>
      <c r="Q2" s="4">
        <f>Q$5/(1-'Other Values'!$B$3)</f>
        <v>3.4411293931835014E-4</v>
      </c>
      <c r="R2" s="4">
        <f>R$5/(1-'Other Values'!$B$3)</f>
        <v>3.4721986021530525E-4</v>
      </c>
      <c r="S2" s="4">
        <f>S$5/(1-'Other Values'!$B$3)</f>
        <v>3.5032678111226041E-4</v>
      </c>
      <c r="T2" s="4">
        <f>T$5/(1-'Other Values'!$B$3)</f>
        <v>3.5343370200921481E-4</v>
      </c>
      <c r="U2" s="4">
        <f>U$5/(1-'Other Values'!$B$3)</f>
        <v>3.5654062290616992E-4</v>
      </c>
      <c r="V2" s="4">
        <f>V$5/(1-'Other Values'!$B$3)</f>
        <v>3.5964754380312438E-4</v>
      </c>
      <c r="W2" s="4">
        <f>W$5/(1-'Other Values'!$B$3)</f>
        <v>3.6275446470007949E-4</v>
      </c>
      <c r="X2" s="4">
        <f>X$5/(1-'Other Values'!$B$3)</f>
        <v>3.6586138559703394E-4</v>
      </c>
      <c r="Y2" s="4">
        <f>Y$5/(1-'Other Values'!$B$3)</f>
        <v>3.6896830649398905E-4</v>
      </c>
      <c r="Z2" s="4">
        <f>Z$5/(1-'Other Values'!$B$3)</f>
        <v>3.8569771061435794E-4</v>
      </c>
      <c r="AA2" s="4">
        <f>AA$5/(1-'Other Values'!$B$3)</f>
        <v>3.9217075756189419E-4</v>
      </c>
      <c r="AB2" s="4">
        <f>AB$5/(1-'Other Values'!$B$3)</f>
        <v>3.9404078618962861E-4</v>
      </c>
      <c r="AC2" s="4">
        <f>AC$5/(1-'Other Values'!$B$3)</f>
        <v>3.9683273150232986E-4</v>
      </c>
      <c r="AD2" s="4">
        <f>AD$5/(1-'Other Values'!$B$3)</f>
        <v>4.0104955439618917E-4</v>
      </c>
      <c r="AE2" s="4">
        <f>AE$5/(1-'Other Values'!$B$3)</f>
        <v>4.0422720641733706E-4</v>
      </c>
      <c r="AF2" s="4">
        <f>AF$5/(1-'Other Values'!$B$3)</f>
        <v>4.069763563679482E-4</v>
      </c>
      <c r="AH2" s="4"/>
      <c r="AI2" s="4"/>
    </row>
    <row r="3" spans="1:35">
      <c r="A3" t="s">
        <v>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5">
      <c r="A4" t="s">
        <v>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5">
      <c r="A5" t="s">
        <v>5</v>
      </c>
      <c r="B5" s="4">
        <f>Extrapolations!P7</f>
        <v>9.258175624649735E-5</v>
      </c>
      <c r="C5" s="4">
        <f>Extrapolations!Q7</f>
        <v>9.3548597825973844E-5</v>
      </c>
      <c r="D5" s="4">
        <f>Extrapolations!R7</f>
        <v>9.4515439405450121E-5</v>
      </c>
      <c r="E5" s="4">
        <f>Extrapolations!S7</f>
        <v>9.5482280984926615E-5</v>
      </c>
      <c r="F5" s="4">
        <f>Extrapolations!T7</f>
        <v>9.6449122564402893E-5</v>
      </c>
      <c r="G5" s="4">
        <f>Extrapolations!U7</f>
        <v>9.7415964143879387E-5</v>
      </c>
      <c r="H5" s="4">
        <f>Extrapolations!V7</f>
        <v>9.8382805723355664E-5</v>
      </c>
      <c r="I5" s="4">
        <f>Extrapolations!W7</f>
        <v>9.9349647302832158E-5</v>
      </c>
      <c r="J5" s="4">
        <f>Extrapolations!X7</f>
        <v>1.0031648888230865E-4</v>
      </c>
      <c r="K5" s="4">
        <f>Extrapolations!Y7</f>
        <v>1.0128333046178493E-4</v>
      </c>
      <c r="L5" s="4">
        <f>Extrapolations!Z7</f>
        <v>1.0225017204126142E-4</v>
      </c>
      <c r="M5" s="4">
        <f>Extrapolations!AA7</f>
        <v>1.032170136207377E-4</v>
      </c>
      <c r="N5" s="4">
        <f>Extrapolations!AB7</f>
        <v>1.0418385520021419E-4</v>
      </c>
      <c r="O5" s="4">
        <f>Extrapolations!AC7</f>
        <v>1.0515069677969047E-4</v>
      </c>
      <c r="P5" s="4">
        <f>Extrapolations!AD7</f>
        <v>1.0611753835916697E-4</v>
      </c>
      <c r="Q5" s="4">
        <f>Extrapolations!AE7</f>
        <v>1.0708437993864324E-4</v>
      </c>
      <c r="R5" s="4">
        <f>Extrapolations!AF7</f>
        <v>1.0805122151811974E-4</v>
      </c>
      <c r="S5" s="4">
        <f>Extrapolations!AG7</f>
        <v>1.0901806309759623E-4</v>
      </c>
      <c r="T5" s="4">
        <f>Extrapolations!AH7</f>
        <v>1.0998490467707251E-4</v>
      </c>
      <c r="U5" s="4">
        <f>Extrapolations!AI7</f>
        <v>1.10951746256549E-4</v>
      </c>
      <c r="V5" s="4">
        <f>Extrapolations!AJ7</f>
        <v>1.1191858783602528E-4</v>
      </c>
      <c r="W5" s="4">
        <f>Extrapolations!AK7</f>
        <v>1.1288542941550177E-4</v>
      </c>
      <c r="X5" s="4">
        <f>Extrapolations!AL7</f>
        <v>1.1385227099497805E-4</v>
      </c>
      <c r="Y5" s="4">
        <f>Extrapolations!AM7</f>
        <v>1.1481911257445455E-4</v>
      </c>
      <c r="Z5" s="4">
        <f>Extrapolations!AN7</f>
        <v>1.2002512973417359E-4</v>
      </c>
      <c r="AA5" s="4">
        <f>Extrapolations!AO7</f>
        <v>1.2203947485023846E-4</v>
      </c>
      <c r="AB5" s="4">
        <f>Extrapolations!AP7</f>
        <v>1.2262140837608938E-4</v>
      </c>
      <c r="AC5" s="4">
        <f>Extrapolations!AQ7</f>
        <v>1.2349023281851067E-4</v>
      </c>
      <c r="AD5" s="4">
        <f>Extrapolations!AR7</f>
        <v>1.2480246439513921E-4</v>
      </c>
      <c r="AE5" s="4">
        <f>Extrapolations!AS7</f>
        <v>1.2579131676732679E-4</v>
      </c>
      <c r="AF5" s="4">
        <f>Extrapolations!AT7</f>
        <v>1.2664682373664536E-4</v>
      </c>
      <c r="AH5" s="4"/>
      <c r="AI5" s="4"/>
    </row>
    <row r="6" spans="1:35">
      <c r="A6" t="s">
        <v>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5">
      <c r="A7" t="s">
        <v>84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5">
      <c r="A8" t="s">
        <v>85</v>
      </c>
      <c r="B8" s="4">
        <f>B$5*Calculations!$B$27</f>
        <v>2.7774526873949201E-4</v>
      </c>
      <c r="C8" s="4">
        <f>C$5*Calculations!$B$27</f>
        <v>2.8064579347792149E-4</v>
      </c>
      <c r="D8" s="4">
        <f>D$5*Calculations!$B$27</f>
        <v>2.8354631821635032E-4</v>
      </c>
      <c r="E8" s="4">
        <f>E$5*Calculations!$B$27</f>
        <v>2.8644684295477981E-4</v>
      </c>
      <c r="F8" s="4">
        <f>F$5*Calculations!$B$27</f>
        <v>2.8934736769320864E-4</v>
      </c>
      <c r="G8" s="4">
        <f>G$5*Calculations!$B$27</f>
        <v>2.9224789243163812E-4</v>
      </c>
      <c r="H8" s="4">
        <f>H$5*Calculations!$B$27</f>
        <v>2.9514841717006695E-4</v>
      </c>
      <c r="I8" s="4">
        <f>I$5*Calculations!$B$27</f>
        <v>2.9804894190849643E-4</v>
      </c>
      <c r="J8" s="4">
        <f>J$5*Calculations!$B$27</f>
        <v>3.0094946664692592E-4</v>
      </c>
      <c r="K8" s="4">
        <f>K$5*Calculations!$B$27</f>
        <v>3.0384999138535475E-4</v>
      </c>
      <c r="L8" s="4">
        <f>L$5*Calculations!$B$27</f>
        <v>3.0675051612378423E-4</v>
      </c>
      <c r="M8" s="4">
        <f>M$5*Calculations!$B$27</f>
        <v>3.0965104086221306E-4</v>
      </c>
      <c r="N8" s="4">
        <f>N$5*Calculations!$B$27</f>
        <v>3.1255156560064254E-4</v>
      </c>
      <c r="O8" s="4">
        <f>O$5*Calculations!$B$27</f>
        <v>3.1545209033907138E-4</v>
      </c>
      <c r="P8" s="4">
        <f>P$5*Calculations!$B$27</f>
        <v>3.1835261507750086E-4</v>
      </c>
      <c r="Q8" s="4">
        <f>Q$5*Calculations!$B$27</f>
        <v>3.2125313981592969E-4</v>
      </c>
      <c r="R8" s="4">
        <f>R$5*Calculations!$B$27</f>
        <v>3.2415366455435917E-4</v>
      </c>
      <c r="S8" s="4">
        <f>S$5*Calculations!$B$27</f>
        <v>3.2705418929278865E-4</v>
      </c>
      <c r="T8" s="4">
        <f>T$5*Calculations!$B$27</f>
        <v>3.2995471403121749E-4</v>
      </c>
      <c r="U8" s="4">
        <f>U$5*Calculations!$B$27</f>
        <v>3.3285523876964697E-4</v>
      </c>
      <c r="V8" s="4">
        <f>V$5*Calculations!$B$27</f>
        <v>3.357557635080758E-4</v>
      </c>
      <c r="W8" s="4">
        <f>W$5*Calculations!$B$27</f>
        <v>3.3865628824650528E-4</v>
      </c>
      <c r="X8" s="4">
        <f>X$5*Calculations!$B$27</f>
        <v>3.4155681298493411E-4</v>
      </c>
      <c r="Y8" s="4">
        <f>Y$5*Calculations!$B$27</f>
        <v>3.444573377233636E-4</v>
      </c>
      <c r="Z8" s="4">
        <f>Z$5*Calculations!$B$27</f>
        <v>3.600753892025207E-4</v>
      </c>
      <c r="AA8" s="4">
        <f>AA$5*Calculations!$B$27</f>
        <v>3.6611842455071535E-4</v>
      </c>
      <c r="AB8" s="4">
        <f>AB$5*Calculations!$B$27</f>
        <v>3.6786422512826805E-4</v>
      </c>
      <c r="AC8" s="4">
        <f>AC$5*Calculations!$B$27</f>
        <v>3.7047069845553193E-4</v>
      </c>
      <c r="AD8" s="4">
        <f>AD$5*Calculations!$B$27</f>
        <v>3.7440739318541754E-4</v>
      </c>
      <c r="AE8" s="4">
        <f>AE$5*Calculations!$B$27</f>
        <v>3.773739503019803E-4</v>
      </c>
      <c r="AF8" s="4">
        <f>AF$5*Calculations!$B$27</f>
        <v>3.7994047120993603E-4</v>
      </c>
      <c r="AH8" s="4"/>
      <c r="AI8"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3"/>
  <sheetViews>
    <sheetView workbookViewId="0">
      <selection activeCell="B8" sqref="B8"/>
    </sheetView>
  </sheetViews>
  <sheetFormatPr defaultColWidth="8.81640625" defaultRowHeight="14.5"/>
  <cols>
    <col min="1" max="1" width="31.1796875" customWidth="1"/>
    <col min="2" max="2" width="11" customWidth="1"/>
    <col min="3" max="3" width="9.36328125" bestFit="1" customWidth="1"/>
  </cols>
  <sheetData>
    <row r="1" spans="1:35">
      <c r="A1" s="19" t="s">
        <v>87</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5">
      <c r="A2" t="s">
        <v>2</v>
      </c>
      <c r="B2" s="4">
        <f>Extrapolations!F9</f>
        <v>1.2701330993401204E-3</v>
      </c>
      <c r="C2" s="4">
        <f>Extrapolations!G9</f>
        <v>1.2695031447375632E-3</v>
      </c>
      <c r="D2" s="4">
        <f>Extrapolations!H9</f>
        <v>1.2688731901350058E-3</v>
      </c>
      <c r="E2" s="4">
        <f>Extrapolations!I9</f>
        <v>1.2682432355324486E-3</v>
      </c>
      <c r="F2" s="4">
        <f>Extrapolations!J9</f>
        <v>1.2676132809298914E-3</v>
      </c>
      <c r="G2" s="4">
        <f>Extrapolations!K9</f>
        <v>1.2669833263273342E-3</v>
      </c>
      <c r="H2" s="4">
        <f>Extrapolations!L9</f>
        <v>1.2663533717247771E-3</v>
      </c>
      <c r="I2" s="4">
        <f>Extrapolations!M9</f>
        <v>1.2657234171222199E-3</v>
      </c>
      <c r="J2" s="4">
        <f>Extrapolations!N9</f>
        <v>1.2650934625196627E-3</v>
      </c>
      <c r="K2" s="4">
        <f>Extrapolations!O9</f>
        <v>1.2644635079171055E-3</v>
      </c>
      <c r="L2" s="4">
        <f>Extrapolations!P9</f>
        <v>1.2638335533145483E-3</v>
      </c>
      <c r="M2" s="4">
        <f>Extrapolations!Q9</f>
        <v>1.2632035987119911E-3</v>
      </c>
      <c r="N2" s="4">
        <f>Extrapolations!R9</f>
        <v>1.2625736441094339E-3</v>
      </c>
      <c r="O2" s="4">
        <f>Extrapolations!S9</f>
        <v>1.2619436895068767E-3</v>
      </c>
      <c r="P2" s="4">
        <f>Extrapolations!T9</f>
        <v>1.2613137349043195E-3</v>
      </c>
      <c r="Q2" s="4">
        <f>Extrapolations!U9</f>
        <v>1.2606837803017623E-3</v>
      </c>
      <c r="R2" s="4">
        <f>Extrapolations!V9</f>
        <v>1.2600538256992051E-3</v>
      </c>
      <c r="S2" s="4">
        <f>Extrapolations!W9</f>
        <v>1.2594238710966479E-3</v>
      </c>
      <c r="T2" s="4">
        <f>Extrapolations!X9</f>
        <v>1.2587939164940907E-3</v>
      </c>
      <c r="U2" s="4">
        <f>Extrapolations!Y9</f>
        <v>1.2581639618915333E-3</v>
      </c>
      <c r="V2" s="4">
        <f>Extrapolations!Z9</f>
        <v>1.2575340072889761E-3</v>
      </c>
      <c r="W2" s="4">
        <f>Extrapolations!AA9</f>
        <v>1.2569040526864189E-3</v>
      </c>
      <c r="X2" s="4">
        <f>Extrapolations!AB9</f>
        <v>1.2562740980838617E-3</v>
      </c>
      <c r="Y2" s="4">
        <f>Extrapolations!AC9</f>
        <v>1.2556441434813045E-3</v>
      </c>
      <c r="Z2" s="4">
        <f>Extrapolations!AD9</f>
        <v>1.2550141888787473E-3</v>
      </c>
      <c r="AA2" s="4">
        <f>Extrapolations!AE9</f>
        <v>1.2543842342761901E-3</v>
      </c>
      <c r="AB2" s="4">
        <f>Extrapolations!AF9</f>
        <v>1.2537542796736329E-3</v>
      </c>
      <c r="AC2" s="4">
        <f>Extrapolations!AG9</f>
        <v>1.2531243250710757E-3</v>
      </c>
      <c r="AD2" s="4">
        <f>Extrapolations!AH9</f>
        <v>1.2524943704685185E-3</v>
      </c>
      <c r="AE2" s="4">
        <f>Extrapolations!AI9</f>
        <v>1.2518644158659613E-3</v>
      </c>
      <c r="AF2" s="4">
        <f>Extrapolations!AJ9</f>
        <v>1.2512344612634041E-3</v>
      </c>
      <c r="AH2" s="4"/>
      <c r="AI2" s="4"/>
    </row>
    <row r="3" spans="1:35">
      <c r="A3" t="s">
        <v>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5">
      <c r="A4" t="s">
        <v>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5">
      <c r="A5" t="s">
        <v>5</v>
      </c>
      <c r="B5" s="25">
        <f>Extrapolations!P6</f>
        <v>3.7813606358617479E-4</v>
      </c>
      <c r="C5" s="25">
        <f>Extrapolations!Q6</f>
        <v>3.8189121028656993E-4</v>
      </c>
      <c r="D5" s="25">
        <f>Extrapolations!R6</f>
        <v>3.8564635698696507E-4</v>
      </c>
      <c r="E5" s="25">
        <f>Extrapolations!S6</f>
        <v>3.8940150368736021E-4</v>
      </c>
      <c r="F5" s="25">
        <f>Extrapolations!T6</f>
        <v>3.9315665038775535E-4</v>
      </c>
      <c r="G5" s="25">
        <f>Extrapolations!U6</f>
        <v>3.9691179708815135E-4</v>
      </c>
      <c r="H5" s="25">
        <f>Extrapolations!V6</f>
        <v>4.0066694378854649E-4</v>
      </c>
      <c r="I5" s="25">
        <f>Extrapolations!W6</f>
        <v>4.0442209048894163E-4</v>
      </c>
      <c r="J5" s="25">
        <f>Extrapolations!X6</f>
        <v>4.0817723718933677E-4</v>
      </c>
      <c r="K5" s="25">
        <f>Extrapolations!Y6</f>
        <v>4.1193238388973191E-4</v>
      </c>
      <c r="L5" s="25">
        <f>Extrapolations!Z6</f>
        <v>4.1568753059012791E-4</v>
      </c>
      <c r="M5" s="25">
        <f>Extrapolations!AA6</f>
        <v>4.1944267729052305E-4</v>
      </c>
      <c r="N5" s="25">
        <f>Extrapolations!AB6</f>
        <v>4.2319782399091819E-4</v>
      </c>
      <c r="O5" s="25">
        <f>Extrapolations!AC6</f>
        <v>4.2695297069131333E-4</v>
      </c>
      <c r="P5" s="25">
        <f>Extrapolations!AD6</f>
        <v>4.3070811739170847E-4</v>
      </c>
      <c r="Q5" s="25">
        <f>Extrapolations!AE6</f>
        <v>4.344632640921036E-4</v>
      </c>
      <c r="R5" s="25">
        <f>Extrapolations!AF6</f>
        <v>4.3821841079249961E-4</v>
      </c>
      <c r="S5" s="25">
        <f>Extrapolations!AG6</f>
        <v>4.4197355749289475E-4</v>
      </c>
      <c r="T5" s="25">
        <f>Extrapolations!AH6</f>
        <v>4.4572870419328989E-4</v>
      </c>
      <c r="U5" s="25">
        <f>Extrapolations!AI6</f>
        <v>4.4948385089368503E-4</v>
      </c>
      <c r="V5" s="25">
        <f>Extrapolations!AJ6</f>
        <v>4.5323899759408016E-4</v>
      </c>
      <c r="W5" s="25">
        <f>Extrapolations!AK6</f>
        <v>4.569941442944753E-4</v>
      </c>
      <c r="X5" s="25">
        <f>Extrapolations!AL6</f>
        <v>4.6074929099487131E-4</v>
      </c>
      <c r="Y5" s="25">
        <f>Extrapolations!AM6</f>
        <v>4.6450443769526645E-4</v>
      </c>
      <c r="Z5" s="25">
        <f>Extrapolations!AN6</f>
        <v>4.6616941125958422E-4</v>
      </c>
      <c r="AA5" s="25">
        <f>Extrapolations!AO6</f>
        <v>4.7399299019600609E-4</v>
      </c>
      <c r="AB5" s="25">
        <f>Extrapolations!AP6</f>
        <v>4.7625318028902199E-4</v>
      </c>
      <c r="AC5" s="25">
        <f>Extrapolations!AQ6</f>
        <v>4.7962763511951036E-4</v>
      </c>
      <c r="AD5" s="25">
        <f>Extrapolations!AR6</f>
        <v>4.8472425299335046E-4</v>
      </c>
      <c r="AE5" s="25">
        <f>Extrapolations!AS6</f>
        <v>4.8856488811023198E-4</v>
      </c>
      <c r="AF5" s="25">
        <f>Extrapolations!AT6</f>
        <v>4.9188761878420821E-4</v>
      </c>
      <c r="AH5" s="4"/>
      <c r="AI5" s="4"/>
    </row>
    <row r="6" spans="1:35">
      <c r="A6" t="s">
        <v>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5">
      <c r="A7" t="s">
        <v>84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5">
      <c r="A8" t="s">
        <v>85</v>
      </c>
      <c r="B8" s="4">
        <f>B$5*Calculations!$B$27</f>
        <v>1.1344081907585242E-3</v>
      </c>
      <c r="C8" s="4">
        <f>C$5*Calculations!$B$27</f>
        <v>1.1456736308597096E-3</v>
      </c>
      <c r="D8" s="4">
        <f>D$5*Calculations!$B$27</f>
        <v>1.156939070960895E-3</v>
      </c>
      <c r="E8" s="4">
        <f>E$5*Calculations!$B$27</f>
        <v>1.1682045110620804E-3</v>
      </c>
      <c r="F8" s="4">
        <f>F$5*Calculations!$B$27</f>
        <v>1.1794699511632658E-3</v>
      </c>
      <c r="G8" s="4">
        <f>G$5*Calculations!$B$27</f>
        <v>1.1907353912644538E-3</v>
      </c>
      <c r="H8" s="4">
        <f>H$5*Calculations!$B$27</f>
        <v>1.2020008313656393E-3</v>
      </c>
      <c r="I8" s="4">
        <f>I$5*Calculations!$B$27</f>
        <v>1.2132662714668247E-3</v>
      </c>
      <c r="J8" s="4">
        <f>J$5*Calculations!$B$27</f>
        <v>1.2245317115680101E-3</v>
      </c>
      <c r="K8" s="4">
        <f>K$5*Calculations!$B$27</f>
        <v>1.2357971516691955E-3</v>
      </c>
      <c r="L8" s="4">
        <f>L$5*Calculations!$B$27</f>
        <v>1.2470625917703835E-3</v>
      </c>
      <c r="M8" s="4">
        <f>M$5*Calculations!$B$27</f>
        <v>1.2583280318715689E-3</v>
      </c>
      <c r="N8" s="4">
        <f>N$5*Calculations!$B$27</f>
        <v>1.2695934719727543E-3</v>
      </c>
      <c r="O8" s="4">
        <f>O$5*Calculations!$B$27</f>
        <v>1.2808589120739398E-3</v>
      </c>
      <c r="P8" s="4">
        <f>P$5*Calculations!$B$27</f>
        <v>1.2921243521751252E-3</v>
      </c>
      <c r="Q8" s="4">
        <f>Q$5*Calculations!$B$27</f>
        <v>1.3033897922763106E-3</v>
      </c>
      <c r="R8" s="4">
        <f>R$5*Calculations!$B$27</f>
        <v>1.3146552323774986E-3</v>
      </c>
      <c r="S8" s="4">
        <f>S$5*Calculations!$B$27</f>
        <v>1.325920672478684E-3</v>
      </c>
      <c r="T8" s="4">
        <f>T$5*Calculations!$B$27</f>
        <v>1.3371861125798694E-3</v>
      </c>
      <c r="U8" s="4">
        <f>U$5*Calculations!$B$27</f>
        <v>1.3484515526810549E-3</v>
      </c>
      <c r="V8" s="4">
        <f>V$5*Calculations!$B$27</f>
        <v>1.3597169927822403E-3</v>
      </c>
      <c r="W8" s="4">
        <f>W$5*Calculations!$B$27</f>
        <v>1.3709824328834257E-3</v>
      </c>
      <c r="X8" s="4">
        <f>X$5*Calculations!$B$27</f>
        <v>1.3822478729846137E-3</v>
      </c>
      <c r="Y8" s="4">
        <f>Y$5*Calculations!$B$27</f>
        <v>1.3935133130857991E-3</v>
      </c>
      <c r="Z8" s="4">
        <f>Z$5*Calculations!$B$27</f>
        <v>1.3985082337787526E-3</v>
      </c>
      <c r="AA8" s="4">
        <f>AA$5*Calculations!$B$27</f>
        <v>1.4219789705880181E-3</v>
      </c>
      <c r="AB8" s="4">
        <f>AB$5*Calculations!$B$27</f>
        <v>1.4287595408670657E-3</v>
      </c>
      <c r="AC8" s="4">
        <f>AC$5*Calculations!$B$27</f>
        <v>1.4388829053585308E-3</v>
      </c>
      <c r="AD8" s="4">
        <f>AD$5*Calculations!$B$27</f>
        <v>1.4541727589800512E-3</v>
      </c>
      <c r="AE8" s="4">
        <f>AE$5*Calculations!$B$27</f>
        <v>1.4656946643306957E-3</v>
      </c>
      <c r="AF8" s="4">
        <f>AF$5*Calculations!$B$27</f>
        <v>1.4756628563526244E-3</v>
      </c>
      <c r="AH8" s="4"/>
      <c r="AI8" s="4"/>
    </row>
    <row r="13" spans="1:35">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3"/>
  </sheetPr>
  <dimension ref="A1:AI8"/>
  <sheetViews>
    <sheetView workbookViewId="0">
      <selection activeCell="B5" sqref="B5"/>
    </sheetView>
  </sheetViews>
  <sheetFormatPr defaultColWidth="8.81640625" defaultRowHeight="14.5"/>
  <cols>
    <col min="1" max="1" width="31.1796875" customWidth="1"/>
  </cols>
  <sheetData>
    <row r="1" spans="1:35">
      <c r="A1" s="19" t="s">
        <v>87</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5">
      <c r="A2" t="s">
        <v>2</v>
      </c>
      <c r="B2" s="4">
        <f>B$5/(1-'Other Values'!$B$3)</f>
        <v>8.4577010748440179E-3</v>
      </c>
      <c r="C2" s="4">
        <f>C$5/(1-'Other Values'!$B$3)</f>
        <v>8.5376571765036352E-3</v>
      </c>
      <c r="D2" s="4">
        <f>D$5/(1-'Other Values'!$B$3)</f>
        <v>8.61761327816323E-3</v>
      </c>
      <c r="E2" s="4">
        <f>E$5/(1-'Other Values'!$B$3)</f>
        <v>8.6975693798228455E-3</v>
      </c>
      <c r="F2" s="4">
        <f>F$5/(1-'Other Values'!$B$3)</f>
        <v>8.7775254814824403E-3</v>
      </c>
      <c r="G2" s="4">
        <f>G$5/(1-'Other Values'!$B$3)</f>
        <v>8.8574815831420576E-3</v>
      </c>
      <c r="H2" s="4">
        <f>H$5/(1-'Other Values'!$B$3)</f>
        <v>8.9374376848016523E-3</v>
      </c>
      <c r="I2" s="4">
        <f>I$5/(1-'Other Values'!$B$3)</f>
        <v>9.0173937864612697E-3</v>
      </c>
      <c r="J2" s="4">
        <f>J$5/(1-'Other Values'!$B$3)</f>
        <v>9.0973498881208644E-3</v>
      </c>
      <c r="K2" s="4">
        <f>K$5/(1-'Other Values'!$B$3)</f>
        <v>9.1773059897804592E-3</v>
      </c>
      <c r="L2" s="4">
        <f>L$5/(1-'Other Values'!$B$3)</f>
        <v>9.2572620914400765E-3</v>
      </c>
      <c r="M2" s="4">
        <f>M$5/(1-'Other Values'!$B$3)</f>
        <v>9.3372181930996695E-3</v>
      </c>
      <c r="N2" s="4">
        <f>N$5/(1-'Other Values'!$B$3)</f>
        <v>9.4171742947592868E-3</v>
      </c>
      <c r="O2" s="4">
        <f>O$5/(1-'Other Values'!$B$3)</f>
        <v>9.4971303964188816E-3</v>
      </c>
      <c r="P2" s="4">
        <f>P$5/(1-'Other Values'!$B$3)</f>
        <v>9.5770864980784989E-3</v>
      </c>
      <c r="Q2" s="4">
        <f>Q$5/(1-'Other Values'!$B$3)</f>
        <v>9.6570425997380936E-3</v>
      </c>
      <c r="R2" s="4">
        <f>R$5/(1-'Other Values'!$B$3)</f>
        <v>9.7369987013977109E-3</v>
      </c>
      <c r="S2" s="4">
        <f>S$5/(1-'Other Values'!$B$3)</f>
        <v>9.8169548030573057E-3</v>
      </c>
      <c r="T2" s="4">
        <f>T$5/(1-'Other Values'!$B$3)</f>
        <v>9.8969109047169213E-3</v>
      </c>
      <c r="U2" s="4">
        <f>U$5/(1-'Other Values'!$B$3)</f>
        <v>9.976867006376516E-3</v>
      </c>
      <c r="V2" s="4">
        <f>V$5/(1-'Other Values'!$B$3)</f>
        <v>1.0056823108036133E-2</v>
      </c>
      <c r="W2" s="4">
        <f>W$5/(1-'Other Values'!$B$3)</f>
        <v>1.0136779209695728E-2</v>
      </c>
      <c r="X2" s="4">
        <f>X$5/(1-'Other Values'!$B$3)</f>
        <v>1.0216735311355345E-2</v>
      </c>
      <c r="Y2" s="4">
        <f>Y$5/(1-'Other Values'!$B$3)</f>
        <v>1.029669141301494E-2</v>
      </c>
      <c r="Z2" s="4">
        <f>Z$5/(1-'Other Values'!$B$3)</f>
        <v>1.0376647514674557E-2</v>
      </c>
      <c r="AA2" s="4">
        <f>AA$5/(1-'Other Values'!$B$3)</f>
        <v>1.0456603616334152E-2</v>
      </c>
      <c r="AB2" s="4">
        <f>AB$5/(1-'Other Values'!$B$3)</f>
        <v>1.0536559717993768E-2</v>
      </c>
      <c r="AC2" s="4">
        <f>AC$5/(1-'Other Values'!$B$3)</f>
        <v>1.0616515819653363E-2</v>
      </c>
      <c r="AD2" s="4">
        <f>AD$5/(1-'Other Values'!$B$3)</f>
        <v>1.069647192131298E-2</v>
      </c>
      <c r="AE2" s="4">
        <f>AE$5/(1-'Other Values'!$B$3)</f>
        <v>1.0776428022972575E-2</v>
      </c>
      <c r="AF2" s="4">
        <f>AF$5/(1-'Other Values'!$B$3)</f>
        <v>1.0856384124632192E-2</v>
      </c>
      <c r="AH2" s="4"/>
      <c r="AI2" s="4"/>
    </row>
    <row r="3" spans="1:35">
      <c r="A3" t="s">
        <v>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5">
      <c r="A4" t="s">
        <v>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5">
      <c r="A5" t="s">
        <v>5</v>
      </c>
      <c r="B5" s="4">
        <f>Extrapolations!F10</f>
        <v>2.6319489092741927E-3</v>
      </c>
      <c r="C5" s="4">
        <f>Extrapolations!G10</f>
        <v>2.6568304193548414E-3</v>
      </c>
      <c r="D5" s="4">
        <f>Extrapolations!H10</f>
        <v>2.6817119294354833E-3</v>
      </c>
      <c r="E5" s="4">
        <f>Extrapolations!I10</f>
        <v>2.706593439516132E-3</v>
      </c>
      <c r="F5" s="4">
        <f>Extrapolations!J10</f>
        <v>2.7314749495967738E-3</v>
      </c>
      <c r="G5" s="4">
        <f>Extrapolations!K10</f>
        <v>2.7563564596774226E-3</v>
      </c>
      <c r="H5" s="4">
        <f>Extrapolations!L10</f>
        <v>2.7812379697580644E-3</v>
      </c>
      <c r="I5" s="4">
        <f>Extrapolations!M10</f>
        <v>2.8061194798387132E-3</v>
      </c>
      <c r="J5" s="4">
        <f>Extrapolations!N10</f>
        <v>2.831000989919355E-3</v>
      </c>
      <c r="K5" s="4">
        <f>Extrapolations!O10</f>
        <v>2.8558824999999968E-3</v>
      </c>
      <c r="L5" s="4">
        <f>Extrapolations!P10</f>
        <v>2.8807640100806456E-3</v>
      </c>
      <c r="M5" s="4">
        <f>Extrapolations!Q10</f>
        <v>2.9056455201612874E-3</v>
      </c>
      <c r="N5" s="4">
        <f>Extrapolations!R10</f>
        <v>2.9305270302419362E-3</v>
      </c>
      <c r="O5" s="4">
        <f>Extrapolations!S10</f>
        <v>2.955408540322578E-3</v>
      </c>
      <c r="P5" s="4">
        <f>Extrapolations!T10</f>
        <v>2.9802900504032268E-3</v>
      </c>
      <c r="Q5" s="4">
        <f>Extrapolations!U10</f>
        <v>3.0051715604838686E-3</v>
      </c>
      <c r="R5" s="4">
        <f>Extrapolations!V10</f>
        <v>3.0300530705645173E-3</v>
      </c>
      <c r="S5" s="4">
        <f>Extrapolations!W10</f>
        <v>3.0549345806451592E-3</v>
      </c>
      <c r="T5" s="4">
        <f>Extrapolations!X10</f>
        <v>3.0798160907258079E-3</v>
      </c>
      <c r="U5" s="4">
        <f>Extrapolations!Y10</f>
        <v>3.1046976008064497E-3</v>
      </c>
      <c r="V5" s="4">
        <f>Extrapolations!Z10</f>
        <v>3.1295791108870985E-3</v>
      </c>
      <c r="W5" s="4">
        <f>Extrapolations!AA10</f>
        <v>3.1544606209677403E-3</v>
      </c>
      <c r="X5" s="4">
        <f>Extrapolations!AB10</f>
        <v>3.1793421310483891E-3</v>
      </c>
      <c r="Y5" s="4">
        <f>Extrapolations!AC10</f>
        <v>3.2042236411290309E-3</v>
      </c>
      <c r="Z5" s="4">
        <f>Extrapolations!AD10</f>
        <v>3.2291051512096797E-3</v>
      </c>
      <c r="AA5" s="4">
        <f>Extrapolations!AE10</f>
        <v>3.2539866612903215E-3</v>
      </c>
      <c r="AB5" s="4">
        <f>Extrapolations!AF10</f>
        <v>3.2788681713709703E-3</v>
      </c>
      <c r="AC5" s="4">
        <f>Extrapolations!AG10</f>
        <v>3.3037496814516121E-3</v>
      </c>
      <c r="AD5" s="4">
        <f>Extrapolations!AH10</f>
        <v>3.3286311915322608E-3</v>
      </c>
      <c r="AE5" s="4">
        <f>Extrapolations!AI10</f>
        <v>3.3535127016129027E-3</v>
      </c>
      <c r="AF5" s="4">
        <f>Extrapolations!AJ10</f>
        <v>3.3783942116935514E-3</v>
      </c>
      <c r="AH5" s="4"/>
      <c r="AI5" s="4"/>
    </row>
    <row r="6" spans="1:35">
      <c r="A6" t="s">
        <v>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5">
      <c r="A7" t="s">
        <v>84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5">
      <c r="A8" t="s">
        <v>85</v>
      </c>
      <c r="B8" s="4">
        <f>B$5*Calculations!$B$27</f>
        <v>7.8958467278225763E-3</v>
      </c>
      <c r="C8" s="4">
        <f>C$5*Calculations!$B$27</f>
        <v>7.9704912580645226E-3</v>
      </c>
      <c r="D8" s="4">
        <f>D$5*Calculations!$B$27</f>
        <v>8.045135788306448E-3</v>
      </c>
      <c r="E8" s="4">
        <f>E$5*Calculations!$B$27</f>
        <v>8.1197803185483943E-3</v>
      </c>
      <c r="F8" s="4">
        <f>F$5*Calculations!$B$27</f>
        <v>8.1944248487903198E-3</v>
      </c>
      <c r="G8" s="4">
        <f>G$5*Calculations!$B$27</f>
        <v>8.2690693790322661E-3</v>
      </c>
      <c r="H8" s="4">
        <f>H$5*Calculations!$B$27</f>
        <v>8.3437139092741915E-3</v>
      </c>
      <c r="I8" s="4">
        <f>I$5*Calculations!$B$27</f>
        <v>8.4183584395161378E-3</v>
      </c>
      <c r="J8" s="4">
        <f>J$5*Calculations!$B$27</f>
        <v>8.4930029697580633E-3</v>
      </c>
      <c r="K8" s="4">
        <f>K$5*Calculations!$B$27</f>
        <v>8.5676474999999887E-3</v>
      </c>
      <c r="L8" s="4">
        <f>L$5*Calculations!$B$27</f>
        <v>8.642292030241935E-3</v>
      </c>
      <c r="M8" s="4">
        <f>M$5*Calculations!$B$27</f>
        <v>8.7169365604838605E-3</v>
      </c>
      <c r="N8" s="4">
        <f>N$5*Calculations!$B$27</f>
        <v>8.7915810907258068E-3</v>
      </c>
      <c r="O8" s="4">
        <f>O$5*Calculations!$B$27</f>
        <v>8.8662256209677322E-3</v>
      </c>
      <c r="P8" s="4">
        <f>P$5*Calculations!$B$27</f>
        <v>8.9408701512096785E-3</v>
      </c>
      <c r="Q8" s="4">
        <f>Q$5*Calculations!$B$27</f>
        <v>9.015514681451604E-3</v>
      </c>
      <c r="R8" s="4">
        <f>R$5*Calculations!$B$27</f>
        <v>9.0901592116935503E-3</v>
      </c>
      <c r="S8" s="4">
        <f>S$5*Calculations!$B$27</f>
        <v>9.1648037419354757E-3</v>
      </c>
      <c r="T8" s="4">
        <f>T$5*Calculations!$B$27</f>
        <v>9.239448272177422E-3</v>
      </c>
      <c r="U8" s="4">
        <f>U$5*Calculations!$B$27</f>
        <v>9.3140928024193475E-3</v>
      </c>
      <c r="V8" s="4">
        <f>V$5*Calculations!$B$27</f>
        <v>9.3887373326612938E-3</v>
      </c>
      <c r="W8" s="4">
        <f>W$5*Calculations!$B$27</f>
        <v>9.4633818629032192E-3</v>
      </c>
      <c r="X8" s="4">
        <f>X$5*Calculations!$B$27</f>
        <v>9.5380263931451655E-3</v>
      </c>
      <c r="Y8" s="4">
        <f>Y$5*Calculations!$B$27</f>
        <v>9.612670923387091E-3</v>
      </c>
      <c r="Z8" s="4">
        <f>Z$5*Calculations!$B$27</f>
        <v>9.6873154536290373E-3</v>
      </c>
      <c r="AA8" s="4">
        <f>AA$5*Calculations!$B$27</f>
        <v>9.7619599838709627E-3</v>
      </c>
      <c r="AB8" s="4">
        <f>AB$5*Calculations!$B$27</f>
        <v>9.836604514112909E-3</v>
      </c>
      <c r="AC8" s="4">
        <f>AC$5*Calculations!$B$27</f>
        <v>9.9112490443548345E-3</v>
      </c>
      <c r="AD8" s="4">
        <f>AD$5*Calculations!$B$27</f>
        <v>9.9858935745967808E-3</v>
      </c>
      <c r="AE8" s="4">
        <f>AE$5*Calculations!$B$27</f>
        <v>1.0060538104838706E-2</v>
      </c>
      <c r="AF8" s="4">
        <f>AF$5*Calculations!$B$27</f>
        <v>1.0135182635080653E-2</v>
      </c>
      <c r="AH8" s="4"/>
      <c r="AI8" s="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I8"/>
  <sheetViews>
    <sheetView workbookViewId="0">
      <selection activeCell="B4" sqref="B4"/>
    </sheetView>
  </sheetViews>
  <sheetFormatPr defaultColWidth="8.81640625" defaultRowHeight="14.5"/>
  <cols>
    <col min="1" max="1" width="31.1796875" customWidth="1"/>
    <col min="2" max="2" width="11.6328125" bestFit="1" customWidth="1"/>
  </cols>
  <sheetData>
    <row r="1" spans="1:35">
      <c r="A1" s="19" t="s">
        <v>87</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5">
      <c r="A2" t="s">
        <v>2</v>
      </c>
      <c r="B2" s="4">
        <f t="array" ref="B2:B8">TRANSPOSE(SYFAFE!B6:H6)</f>
        <v>0</v>
      </c>
      <c r="C2" s="4">
        <f>B2</f>
        <v>0</v>
      </c>
      <c r="D2" s="4">
        <f t="shared" ref="D2:AF8" si="0">C2</f>
        <v>0</v>
      </c>
      <c r="E2" s="4">
        <f t="shared" si="0"/>
        <v>0</v>
      </c>
      <c r="F2" s="4">
        <f t="shared" si="0"/>
        <v>0</v>
      </c>
      <c r="G2" s="4">
        <f t="shared" si="0"/>
        <v>0</v>
      </c>
      <c r="H2" s="4">
        <f t="shared" si="0"/>
        <v>0</v>
      </c>
      <c r="I2" s="4">
        <f t="shared" si="0"/>
        <v>0</v>
      </c>
      <c r="J2" s="4">
        <f t="shared" si="0"/>
        <v>0</v>
      </c>
      <c r="K2" s="4">
        <f t="shared" si="0"/>
        <v>0</v>
      </c>
      <c r="L2" s="4">
        <f t="shared" si="0"/>
        <v>0</v>
      </c>
      <c r="M2" s="4">
        <f t="shared" si="0"/>
        <v>0</v>
      </c>
      <c r="N2" s="4">
        <f t="shared" si="0"/>
        <v>0</v>
      </c>
      <c r="O2" s="4">
        <f t="shared" si="0"/>
        <v>0</v>
      </c>
      <c r="P2" s="4">
        <f t="shared" si="0"/>
        <v>0</v>
      </c>
      <c r="Q2" s="4">
        <f t="shared" si="0"/>
        <v>0</v>
      </c>
      <c r="R2" s="4">
        <f t="shared" si="0"/>
        <v>0</v>
      </c>
      <c r="S2" s="4">
        <f t="shared" si="0"/>
        <v>0</v>
      </c>
      <c r="T2" s="4">
        <f t="shared" si="0"/>
        <v>0</v>
      </c>
      <c r="U2" s="4">
        <f t="shared" si="0"/>
        <v>0</v>
      </c>
      <c r="V2" s="4">
        <f t="shared" si="0"/>
        <v>0</v>
      </c>
      <c r="W2" s="4">
        <f t="shared" si="0"/>
        <v>0</v>
      </c>
      <c r="X2" s="4">
        <f t="shared" si="0"/>
        <v>0</v>
      </c>
      <c r="Y2" s="4">
        <f t="shared" si="0"/>
        <v>0</v>
      </c>
      <c r="Z2" s="4">
        <f t="shared" si="0"/>
        <v>0</v>
      </c>
      <c r="AA2" s="4">
        <f t="shared" si="0"/>
        <v>0</v>
      </c>
      <c r="AB2" s="4">
        <f t="shared" si="0"/>
        <v>0</v>
      </c>
      <c r="AC2" s="4">
        <f t="shared" si="0"/>
        <v>0</v>
      </c>
      <c r="AD2" s="4">
        <f t="shared" si="0"/>
        <v>0</v>
      </c>
      <c r="AE2" s="4">
        <f t="shared" si="0"/>
        <v>0</v>
      </c>
      <c r="AF2" s="4">
        <f t="shared" si="0"/>
        <v>0</v>
      </c>
      <c r="AH2" s="4"/>
      <c r="AI2" s="4"/>
    </row>
    <row r="3" spans="1:35">
      <c r="A3" t="s">
        <v>3</v>
      </c>
      <c r="B3">
        <v>0</v>
      </c>
      <c r="C3" s="4">
        <f t="shared" ref="C3:R8" si="1">B3</f>
        <v>0</v>
      </c>
      <c r="D3" s="4">
        <f t="shared" si="1"/>
        <v>0</v>
      </c>
      <c r="E3" s="4">
        <f t="shared" si="1"/>
        <v>0</v>
      </c>
      <c r="F3" s="4">
        <f t="shared" si="1"/>
        <v>0</v>
      </c>
      <c r="G3" s="4">
        <f t="shared" si="1"/>
        <v>0</v>
      </c>
      <c r="H3" s="4">
        <f t="shared" si="1"/>
        <v>0</v>
      </c>
      <c r="I3" s="4">
        <f t="shared" si="1"/>
        <v>0</v>
      </c>
      <c r="J3" s="4">
        <f t="shared" si="1"/>
        <v>0</v>
      </c>
      <c r="K3" s="4">
        <f t="shared" si="1"/>
        <v>0</v>
      </c>
      <c r="L3" s="4">
        <f t="shared" si="1"/>
        <v>0</v>
      </c>
      <c r="M3" s="4">
        <f t="shared" si="1"/>
        <v>0</v>
      </c>
      <c r="N3" s="4">
        <f t="shared" si="1"/>
        <v>0</v>
      </c>
      <c r="O3" s="4">
        <f t="shared" si="1"/>
        <v>0</v>
      </c>
      <c r="P3" s="4">
        <f t="shared" si="1"/>
        <v>0</v>
      </c>
      <c r="Q3" s="4">
        <f t="shared" si="1"/>
        <v>0</v>
      </c>
      <c r="R3" s="4">
        <f t="shared" si="1"/>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row>
    <row r="4" spans="1:35">
      <c r="A4" t="s">
        <v>4</v>
      </c>
      <c r="B4" s="4">
        <v>2.2779143897302514E-4</v>
      </c>
      <c r="C4" s="4">
        <f t="shared" si="1"/>
        <v>2.2779143897302514E-4</v>
      </c>
      <c r="D4" s="4">
        <f t="shared" si="0"/>
        <v>2.2779143897302514E-4</v>
      </c>
      <c r="E4" s="4">
        <f t="shared" si="0"/>
        <v>2.2779143897302514E-4</v>
      </c>
      <c r="F4" s="4">
        <f t="shared" si="0"/>
        <v>2.2779143897302514E-4</v>
      </c>
      <c r="G4" s="4">
        <f t="shared" si="0"/>
        <v>2.2779143897302514E-4</v>
      </c>
      <c r="H4" s="4">
        <f t="shared" si="0"/>
        <v>2.2779143897302514E-4</v>
      </c>
      <c r="I4" s="4">
        <f t="shared" si="0"/>
        <v>2.2779143897302514E-4</v>
      </c>
      <c r="J4" s="4">
        <f t="shared" si="0"/>
        <v>2.2779143897302514E-4</v>
      </c>
      <c r="K4" s="4">
        <f t="shared" si="0"/>
        <v>2.2779143897302514E-4</v>
      </c>
      <c r="L4" s="4">
        <f t="shared" si="0"/>
        <v>2.2779143897302514E-4</v>
      </c>
      <c r="M4" s="4">
        <f t="shared" si="0"/>
        <v>2.2779143897302514E-4</v>
      </c>
      <c r="N4" s="4">
        <f t="shared" si="0"/>
        <v>2.2779143897302514E-4</v>
      </c>
      <c r="O4" s="4">
        <f t="shared" si="0"/>
        <v>2.2779143897302514E-4</v>
      </c>
      <c r="P4" s="4">
        <f t="shared" si="0"/>
        <v>2.2779143897302514E-4</v>
      </c>
      <c r="Q4" s="4">
        <f t="shared" si="0"/>
        <v>2.2779143897302514E-4</v>
      </c>
      <c r="R4" s="4">
        <f t="shared" si="0"/>
        <v>2.2779143897302514E-4</v>
      </c>
      <c r="S4" s="4">
        <f t="shared" si="0"/>
        <v>2.2779143897302514E-4</v>
      </c>
      <c r="T4" s="4">
        <f t="shared" si="0"/>
        <v>2.2779143897302514E-4</v>
      </c>
      <c r="U4" s="4">
        <f t="shared" si="0"/>
        <v>2.2779143897302514E-4</v>
      </c>
      <c r="V4" s="4">
        <f t="shared" si="0"/>
        <v>2.2779143897302514E-4</v>
      </c>
      <c r="W4" s="4">
        <f t="shared" si="0"/>
        <v>2.2779143897302514E-4</v>
      </c>
      <c r="X4" s="4">
        <f t="shared" si="0"/>
        <v>2.2779143897302514E-4</v>
      </c>
      <c r="Y4" s="4">
        <f t="shared" si="0"/>
        <v>2.2779143897302514E-4</v>
      </c>
      <c r="Z4" s="4">
        <f t="shared" si="0"/>
        <v>2.2779143897302514E-4</v>
      </c>
      <c r="AA4" s="4">
        <f t="shared" si="0"/>
        <v>2.2779143897302514E-4</v>
      </c>
      <c r="AB4" s="4">
        <f t="shared" si="0"/>
        <v>2.2779143897302514E-4</v>
      </c>
      <c r="AC4" s="4">
        <f t="shared" si="0"/>
        <v>2.2779143897302514E-4</v>
      </c>
      <c r="AD4" s="4">
        <f t="shared" si="0"/>
        <v>2.2779143897302514E-4</v>
      </c>
      <c r="AE4" s="4">
        <f t="shared" si="0"/>
        <v>2.2779143897302514E-4</v>
      </c>
      <c r="AF4" s="4">
        <f t="shared" si="0"/>
        <v>2.2779143897302514E-4</v>
      </c>
    </row>
    <row r="5" spans="1:35">
      <c r="A5" t="s">
        <v>5</v>
      </c>
      <c r="B5" s="4">
        <v>8.5088222715209791E-8</v>
      </c>
      <c r="C5" s="4">
        <f t="shared" si="1"/>
        <v>8.5088222715209791E-8</v>
      </c>
      <c r="D5" s="4">
        <f t="shared" si="0"/>
        <v>8.5088222715209791E-8</v>
      </c>
      <c r="E5" s="4">
        <f t="shared" si="0"/>
        <v>8.5088222715209791E-8</v>
      </c>
      <c r="F5" s="4">
        <f t="shared" si="0"/>
        <v>8.5088222715209791E-8</v>
      </c>
      <c r="G5" s="4">
        <f t="shared" si="0"/>
        <v>8.5088222715209791E-8</v>
      </c>
      <c r="H5" s="4">
        <f t="shared" si="0"/>
        <v>8.5088222715209791E-8</v>
      </c>
      <c r="I5" s="4">
        <f t="shared" si="0"/>
        <v>8.5088222715209791E-8</v>
      </c>
      <c r="J5" s="4">
        <f t="shared" si="0"/>
        <v>8.5088222715209791E-8</v>
      </c>
      <c r="K5" s="4">
        <f t="shared" si="0"/>
        <v>8.5088222715209791E-8</v>
      </c>
      <c r="L5" s="4">
        <f t="shared" si="0"/>
        <v>8.5088222715209791E-8</v>
      </c>
      <c r="M5" s="4">
        <f t="shared" si="0"/>
        <v>8.5088222715209791E-8</v>
      </c>
      <c r="N5" s="4">
        <f t="shared" si="0"/>
        <v>8.5088222715209791E-8</v>
      </c>
      <c r="O5" s="4">
        <f t="shared" si="0"/>
        <v>8.5088222715209791E-8</v>
      </c>
      <c r="P5" s="4">
        <f t="shared" si="0"/>
        <v>8.5088222715209791E-8</v>
      </c>
      <c r="Q5" s="4">
        <f t="shared" si="0"/>
        <v>8.5088222715209791E-8</v>
      </c>
      <c r="R5" s="4">
        <f t="shared" si="0"/>
        <v>8.5088222715209791E-8</v>
      </c>
      <c r="S5" s="4">
        <f t="shared" si="0"/>
        <v>8.5088222715209791E-8</v>
      </c>
      <c r="T5" s="4">
        <f t="shared" si="0"/>
        <v>8.5088222715209791E-8</v>
      </c>
      <c r="U5" s="4">
        <f t="shared" si="0"/>
        <v>8.5088222715209791E-8</v>
      </c>
      <c r="V5" s="4">
        <f t="shared" si="0"/>
        <v>8.5088222715209791E-8</v>
      </c>
      <c r="W5" s="4">
        <f t="shared" si="0"/>
        <v>8.5088222715209791E-8</v>
      </c>
      <c r="X5" s="4">
        <f t="shared" si="0"/>
        <v>8.5088222715209791E-8</v>
      </c>
      <c r="Y5" s="4">
        <f t="shared" si="0"/>
        <v>8.5088222715209791E-8</v>
      </c>
      <c r="Z5" s="4">
        <f t="shared" si="0"/>
        <v>8.5088222715209791E-8</v>
      </c>
      <c r="AA5" s="4">
        <f t="shared" si="0"/>
        <v>8.5088222715209791E-8</v>
      </c>
      <c r="AB5" s="4">
        <f t="shared" si="0"/>
        <v>8.5088222715209791E-8</v>
      </c>
      <c r="AC5" s="4">
        <f t="shared" si="0"/>
        <v>8.5088222715209791E-8</v>
      </c>
      <c r="AD5" s="4">
        <f t="shared" si="0"/>
        <v>8.5088222715209791E-8</v>
      </c>
      <c r="AE5" s="4">
        <f t="shared" si="0"/>
        <v>8.5088222715209791E-8</v>
      </c>
      <c r="AF5" s="4">
        <f t="shared" si="0"/>
        <v>8.5088222715209791E-8</v>
      </c>
      <c r="AH5" s="4"/>
      <c r="AI5" s="4"/>
    </row>
    <row r="6" spans="1:35">
      <c r="A6" t="s">
        <v>6</v>
      </c>
      <c r="B6">
        <v>0</v>
      </c>
      <c r="C6" s="4">
        <f t="shared" si="1"/>
        <v>0</v>
      </c>
      <c r="D6" s="4">
        <f t="shared" si="0"/>
        <v>0</v>
      </c>
      <c r="E6" s="4">
        <f t="shared" si="0"/>
        <v>0</v>
      </c>
      <c r="F6" s="4">
        <f t="shared" si="0"/>
        <v>0</v>
      </c>
      <c r="G6" s="4">
        <f t="shared" si="0"/>
        <v>0</v>
      </c>
      <c r="H6" s="4">
        <f t="shared" si="0"/>
        <v>0</v>
      </c>
      <c r="I6" s="4">
        <f t="shared" si="0"/>
        <v>0</v>
      </c>
      <c r="J6" s="4">
        <f t="shared" si="0"/>
        <v>0</v>
      </c>
      <c r="K6" s="4">
        <f t="shared" si="0"/>
        <v>0</v>
      </c>
      <c r="L6" s="4">
        <f t="shared" si="0"/>
        <v>0</v>
      </c>
      <c r="M6" s="4">
        <f t="shared" si="0"/>
        <v>0</v>
      </c>
      <c r="N6" s="4">
        <f t="shared" si="0"/>
        <v>0</v>
      </c>
      <c r="O6" s="4">
        <f t="shared" si="0"/>
        <v>0</v>
      </c>
      <c r="P6" s="4">
        <f t="shared" si="0"/>
        <v>0</v>
      </c>
      <c r="Q6" s="4">
        <f t="shared" si="0"/>
        <v>0</v>
      </c>
      <c r="R6" s="4">
        <f t="shared" si="0"/>
        <v>0</v>
      </c>
      <c r="S6" s="4">
        <f t="shared" si="0"/>
        <v>0</v>
      </c>
      <c r="T6" s="4">
        <f t="shared" si="0"/>
        <v>0</v>
      </c>
      <c r="U6" s="4">
        <f t="shared" si="0"/>
        <v>0</v>
      </c>
      <c r="V6" s="4">
        <f t="shared" si="0"/>
        <v>0</v>
      </c>
      <c r="W6" s="4">
        <f t="shared" si="0"/>
        <v>0</v>
      </c>
      <c r="X6" s="4">
        <f t="shared" si="0"/>
        <v>0</v>
      </c>
      <c r="Y6" s="4">
        <f t="shared" si="0"/>
        <v>0</v>
      </c>
      <c r="Z6" s="4">
        <f t="shared" si="0"/>
        <v>0</v>
      </c>
      <c r="AA6" s="4">
        <f t="shared" si="0"/>
        <v>0</v>
      </c>
      <c r="AB6" s="4">
        <f t="shared" si="0"/>
        <v>0</v>
      </c>
      <c r="AC6" s="4">
        <f t="shared" si="0"/>
        <v>0</v>
      </c>
      <c r="AD6" s="4">
        <f t="shared" si="0"/>
        <v>0</v>
      </c>
      <c r="AE6" s="4">
        <f t="shared" si="0"/>
        <v>0</v>
      </c>
      <c r="AF6" s="4">
        <f t="shared" si="0"/>
        <v>0</v>
      </c>
    </row>
    <row r="7" spans="1:35">
      <c r="A7" t="s">
        <v>84</v>
      </c>
      <c r="B7">
        <v>0</v>
      </c>
      <c r="C7" s="4">
        <f t="shared" si="1"/>
        <v>0</v>
      </c>
      <c r="D7" s="4">
        <f t="shared" si="0"/>
        <v>0</v>
      </c>
      <c r="E7" s="4">
        <f t="shared" si="0"/>
        <v>0</v>
      </c>
      <c r="F7" s="4">
        <f t="shared" si="0"/>
        <v>0</v>
      </c>
      <c r="G7" s="4">
        <f t="shared" si="0"/>
        <v>0</v>
      </c>
      <c r="H7" s="4">
        <f t="shared" si="0"/>
        <v>0</v>
      </c>
      <c r="I7" s="4">
        <f t="shared" si="0"/>
        <v>0</v>
      </c>
      <c r="J7" s="4">
        <f t="shared" si="0"/>
        <v>0</v>
      </c>
      <c r="K7" s="4">
        <f t="shared" si="0"/>
        <v>0</v>
      </c>
      <c r="L7" s="4">
        <f t="shared" si="0"/>
        <v>0</v>
      </c>
      <c r="M7" s="4">
        <f t="shared" si="0"/>
        <v>0</v>
      </c>
      <c r="N7" s="4">
        <f t="shared" si="0"/>
        <v>0</v>
      </c>
      <c r="O7" s="4">
        <f t="shared" si="0"/>
        <v>0</v>
      </c>
      <c r="P7" s="4">
        <f t="shared" si="0"/>
        <v>0</v>
      </c>
      <c r="Q7" s="4">
        <f t="shared" si="0"/>
        <v>0</v>
      </c>
      <c r="R7" s="4">
        <f t="shared" si="0"/>
        <v>0</v>
      </c>
      <c r="S7" s="4">
        <f t="shared" si="0"/>
        <v>0</v>
      </c>
      <c r="T7" s="4">
        <f t="shared" si="0"/>
        <v>0</v>
      </c>
      <c r="U7" s="4">
        <f t="shared" si="0"/>
        <v>0</v>
      </c>
      <c r="V7" s="4">
        <f t="shared" si="0"/>
        <v>0</v>
      </c>
      <c r="W7" s="4">
        <f t="shared" si="0"/>
        <v>0</v>
      </c>
      <c r="X7" s="4">
        <f t="shared" si="0"/>
        <v>0</v>
      </c>
      <c r="Y7" s="4">
        <f t="shared" si="0"/>
        <v>0</v>
      </c>
      <c r="Z7" s="4">
        <f t="shared" si="0"/>
        <v>0</v>
      </c>
      <c r="AA7" s="4">
        <f t="shared" si="0"/>
        <v>0</v>
      </c>
      <c r="AB7" s="4">
        <f t="shared" si="0"/>
        <v>0</v>
      </c>
      <c r="AC7" s="4">
        <f t="shared" si="0"/>
        <v>0</v>
      </c>
      <c r="AD7" s="4">
        <f t="shared" si="0"/>
        <v>0</v>
      </c>
      <c r="AE7" s="4">
        <f t="shared" si="0"/>
        <v>0</v>
      </c>
      <c r="AF7" s="4">
        <f t="shared" si="0"/>
        <v>0</v>
      </c>
    </row>
    <row r="8" spans="1:35">
      <c r="A8" t="s">
        <v>85</v>
      </c>
      <c r="B8" s="4">
        <v>0</v>
      </c>
      <c r="C8" s="4">
        <f t="shared" si="1"/>
        <v>0</v>
      </c>
      <c r="D8" s="4">
        <f t="shared" si="0"/>
        <v>0</v>
      </c>
      <c r="E8" s="4">
        <f t="shared" si="0"/>
        <v>0</v>
      </c>
      <c r="F8" s="4">
        <f t="shared" si="0"/>
        <v>0</v>
      </c>
      <c r="G8" s="4">
        <f t="shared" si="0"/>
        <v>0</v>
      </c>
      <c r="H8" s="4">
        <f t="shared" si="0"/>
        <v>0</v>
      </c>
      <c r="I8" s="4">
        <f t="shared" si="0"/>
        <v>0</v>
      </c>
      <c r="J8" s="4">
        <f t="shared" si="0"/>
        <v>0</v>
      </c>
      <c r="K8" s="4">
        <f t="shared" si="0"/>
        <v>0</v>
      </c>
      <c r="L8" s="4">
        <f t="shared" si="0"/>
        <v>0</v>
      </c>
      <c r="M8" s="4">
        <f t="shared" si="0"/>
        <v>0</v>
      </c>
      <c r="N8" s="4">
        <f t="shared" si="0"/>
        <v>0</v>
      </c>
      <c r="O8" s="4">
        <f t="shared" si="0"/>
        <v>0</v>
      </c>
      <c r="P8" s="4">
        <f t="shared" si="0"/>
        <v>0</v>
      </c>
      <c r="Q8" s="4">
        <f t="shared" si="0"/>
        <v>0</v>
      </c>
      <c r="R8" s="4">
        <f t="shared" si="0"/>
        <v>0</v>
      </c>
      <c r="S8" s="4">
        <f t="shared" si="0"/>
        <v>0</v>
      </c>
      <c r="T8" s="4">
        <f t="shared" si="0"/>
        <v>0</v>
      </c>
      <c r="U8" s="4">
        <f t="shared" si="0"/>
        <v>0</v>
      </c>
      <c r="V8" s="4">
        <f t="shared" si="0"/>
        <v>0</v>
      </c>
      <c r="W8" s="4">
        <f t="shared" si="0"/>
        <v>0</v>
      </c>
      <c r="X8" s="4">
        <f t="shared" si="0"/>
        <v>0</v>
      </c>
      <c r="Y8" s="4">
        <f t="shared" si="0"/>
        <v>0</v>
      </c>
      <c r="Z8" s="4">
        <f t="shared" si="0"/>
        <v>0</v>
      </c>
      <c r="AA8" s="4">
        <f t="shared" si="0"/>
        <v>0</v>
      </c>
      <c r="AB8" s="4">
        <f t="shared" si="0"/>
        <v>0</v>
      </c>
      <c r="AC8" s="4">
        <f t="shared" si="0"/>
        <v>0</v>
      </c>
      <c r="AD8" s="4">
        <f t="shared" si="0"/>
        <v>0</v>
      </c>
      <c r="AE8" s="4">
        <f t="shared" si="0"/>
        <v>0</v>
      </c>
      <c r="AF8" s="4">
        <f t="shared" si="0"/>
        <v>0</v>
      </c>
      <c r="AH8" s="4"/>
      <c r="AI8" s="4"/>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I8"/>
  <sheetViews>
    <sheetView workbookViewId="0">
      <selection activeCell="B5" sqref="B5"/>
    </sheetView>
  </sheetViews>
  <sheetFormatPr defaultColWidth="8.81640625" defaultRowHeight="14.5"/>
  <cols>
    <col min="1" max="1" width="31.1796875" customWidth="1"/>
  </cols>
  <sheetData>
    <row r="1" spans="1:35">
      <c r="A1" s="19" t="s">
        <v>87</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5">
      <c r="A2" t="s">
        <v>2</v>
      </c>
      <c r="B2" s="4">
        <f>B$5/(1-'Other Values'!$B$3)</f>
        <v>1.5975871779246587E-2</v>
      </c>
      <c r="C2" s="4">
        <f>C$5/(1-'Other Values'!$B$3)</f>
        <v>1.5975871779246587E-2</v>
      </c>
      <c r="D2" s="4">
        <f>D$5/(1-'Other Values'!$B$3)</f>
        <v>1.5975871779246587E-2</v>
      </c>
      <c r="E2" s="4">
        <f>E$5/(1-'Other Values'!$B$3)</f>
        <v>1.5975871779246587E-2</v>
      </c>
      <c r="F2" s="4">
        <f>F$5/(1-'Other Values'!$B$3)</f>
        <v>1.5975871779246587E-2</v>
      </c>
      <c r="G2" s="4">
        <f>G$5/(1-'Other Values'!$B$3)</f>
        <v>1.5975871779246587E-2</v>
      </c>
      <c r="H2" s="4">
        <f>H$5/(1-'Other Values'!$B$3)</f>
        <v>1.5975871779246587E-2</v>
      </c>
      <c r="I2" s="4">
        <f>I$5/(1-'Other Values'!$B$3)</f>
        <v>1.5975871779246587E-2</v>
      </c>
      <c r="J2" s="4">
        <f>J$5/(1-'Other Values'!$B$3)</f>
        <v>1.5975871779246587E-2</v>
      </c>
      <c r="K2" s="4">
        <f>K$5/(1-'Other Values'!$B$3)</f>
        <v>1.5975871779246587E-2</v>
      </c>
      <c r="L2" s="4">
        <f>L$5/(1-'Other Values'!$B$3)</f>
        <v>1.5975871779246587E-2</v>
      </c>
      <c r="M2" s="4">
        <f>M$5/(1-'Other Values'!$B$3)</f>
        <v>1.5975871779246587E-2</v>
      </c>
      <c r="N2" s="4">
        <f>N$5/(1-'Other Values'!$B$3)</f>
        <v>1.5975871779246587E-2</v>
      </c>
      <c r="O2" s="4">
        <f>O$5/(1-'Other Values'!$B$3)</f>
        <v>1.5975871779246587E-2</v>
      </c>
      <c r="P2" s="4">
        <f>P$5/(1-'Other Values'!$B$3)</f>
        <v>1.5975871779246587E-2</v>
      </c>
      <c r="Q2" s="4">
        <f>Q$5/(1-'Other Values'!$B$3)</f>
        <v>1.5975871779246587E-2</v>
      </c>
      <c r="R2" s="4">
        <f>R$5/(1-'Other Values'!$B$3)</f>
        <v>1.5975871779246587E-2</v>
      </c>
      <c r="S2" s="4">
        <f>S$5/(1-'Other Values'!$B$3)</f>
        <v>1.5975871779246587E-2</v>
      </c>
      <c r="T2" s="4">
        <f>T$5/(1-'Other Values'!$B$3)</f>
        <v>1.5975871779246587E-2</v>
      </c>
      <c r="U2" s="4">
        <f>U$5/(1-'Other Values'!$B$3)</f>
        <v>1.5975871779246587E-2</v>
      </c>
      <c r="V2" s="4">
        <f>V$5/(1-'Other Values'!$B$3)</f>
        <v>1.5975871779246587E-2</v>
      </c>
      <c r="W2" s="4">
        <f>W$5/(1-'Other Values'!$B$3)</f>
        <v>1.5975871779246587E-2</v>
      </c>
      <c r="X2" s="4">
        <f>X$5/(1-'Other Values'!$B$3)</f>
        <v>1.5975871779246587E-2</v>
      </c>
      <c r="Y2" s="4">
        <f>Y$5/(1-'Other Values'!$B$3)</f>
        <v>1.5975871779246587E-2</v>
      </c>
      <c r="Z2" s="4">
        <f>Z$5/(1-'Other Values'!$B$3)</f>
        <v>1.5975871779246587E-2</v>
      </c>
      <c r="AA2" s="4">
        <f>AA$5/(1-'Other Values'!$B$3)</f>
        <v>1.5975871779246587E-2</v>
      </c>
      <c r="AB2" s="4">
        <f>AB$5/(1-'Other Values'!$B$3)</f>
        <v>1.5975871779246587E-2</v>
      </c>
      <c r="AC2" s="4">
        <f>AC$5/(1-'Other Values'!$B$3)</f>
        <v>1.5975871779246587E-2</v>
      </c>
      <c r="AD2" s="4">
        <f>AD$5/(1-'Other Values'!$B$3)</f>
        <v>1.5975871779246587E-2</v>
      </c>
      <c r="AE2" s="4">
        <f>AE$5/(1-'Other Values'!$B$3)</f>
        <v>1.5975871779246587E-2</v>
      </c>
      <c r="AF2" s="4">
        <f>AF$5/(1-'Other Values'!$B$3)</f>
        <v>1.5975871779246587E-2</v>
      </c>
      <c r="AH2" s="4"/>
      <c r="AI2" s="4"/>
    </row>
    <row r="3" spans="1:35">
      <c r="A3" t="s">
        <v>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5">
      <c r="A4" t="s">
        <v>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5">
      <c r="A5" t="s">
        <v>5</v>
      </c>
      <c r="B5" s="4">
        <f>Extrapolations!G12</f>
        <v>4.971525705626559E-3</v>
      </c>
      <c r="C5" s="4">
        <f>Extrapolations!H12</f>
        <v>4.971525705626559E-3</v>
      </c>
      <c r="D5" s="4">
        <f>Extrapolations!I12</f>
        <v>4.971525705626559E-3</v>
      </c>
      <c r="E5" s="4">
        <f>Extrapolations!J12</f>
        <v>4.971525705626559E-3</v>
      </c>
      <c r="F5" s="4">
        <f>Extrapolations!K12</f>
        <v>4.971525705626559E-3</v>
      </c>
      <c r="G5" s="4">
        <f>Extrapolations!L12</f>
        <v>4.971525705626559E-3</v>
      </c>
      <c r="H5" s="4">
        <f>Extrapolations!M12</f>
        <v>4.971525705626559E-3</v>
      </c>
      <c r="I5" s="4">
        <f>Extrapolations!N12</f>
        <v>4.971525705626559E-3</v>
      </c>
      <c r="J5" s="4">
        <f>Extrapolations!O12</f>
        <v>4.971525705626559E-3</v>
      </c>
      <c r="K5" s="4">
        <f>Extrapolations!P12</f>
        <v>4.971525705626559E-3</v>
      </c>
      <c r="L5" s="4">
        <f>Extrapolations!Q12</f>
        <v>4.971525705626559E-3</v>
      </c>
      <c r="M5" s="4">
        <f>Extrapolations!R12</f>
        <v>4.971525705626559E-3</v>
      </c>
      <c r="N5" s="4">
        <f>Extrapolations!S12</f>
        <v>4.971525705626559E-3</v>
      </c>
      <c r="O5" s="4">
        <f>Extrapolations!T12</f>
        <v>4.971525705626559E-3</v>
      </c>
      <c r="P5" s="4">
        <f>Extrapolations!U12</f>
        <v>4.971525705626559E-3</v>
      </c>
      <c r="Q5" s="4">
        <f>Extrapolations!V12</f>
        <v>4.971525705626559E-3</v>
      </c>
      <c r="R5" s="4">
        <f>Extrapolations!W12</f>
        <v>4.971525705626559E-3</v>
      </c>
      <c r="S5" s="4">
        <f>Extrapolations!X12</f>
        <v>4.971525705626559E-3</v>
      </c>
      <c r="T5" s="4">
        <f>Extrapolations!Y12</f>
        <v>4.971525705626559E-3</v>
      </c>
      <c r="U5" s="4">
        <f>Extrapolations!Z12</f>
        <v>4.971525705626559E-3</v>
      </c>
      <c r="V5" s="4">
        <f>Extrapolations!AA12</f>
        <v>4.971525705626559E-3</v>
      </c>
      <c r="W5" s="4">
        <f>Extrapolations!AB12</f>
        <v>4.971525705626559E-3</v>
      </c>
      <c r="X5" s="4">
        <f>Extrapolations!AC12</f>
        <v>4.971525705626559E-3</v>
      </c>
      <c r="Y5" s="4">
        <f>Extrapolations!AD12</f>
        <v>4.971525705626559E-3</v>
      </c>
      <c r="Z5" s="4">
        <f>Extrapolations!AE12</f>
        <v>4.971525705626559E-3</v>
      </c>
      <c r="AA5" s="4">
        <f>Extrapolations!AF12</f>
        <v>4.971525705626559E-3</v>
      </c>
      <c r="AB5" s="4">
        <f>Extrapolations!AG12</f>
        <v>4.971525705626559E-3</v>
      </c>
      <c r="AC5" s="4">
        <f>Extrapolations!AH12</f>
        <v>4.971525705626559E-3</v>
      </c>
      <c r="AD5" s="4">
        <f>Extrapolations!AI12</f>
        <v>4.971525705626559E-3</v>
      </c>
      <c r="AE5" s="4">
        <f>Extrapolations!AJ12</f>
        <v>4.971525705626559E-3</v>
      </c>
      <c r="AF5" s="4">
        <f>Extrapolations!AK12</f>
        <v>4.971525705626559E-3</v>
      </c>
      <c r="AH5" s="4"/>
      <c r="AI5" s="4"/>
    </row>
    <row r="6" spans="1:35">
      <c r="A6" t="s">
        <v>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5">
      <c r="A7" t="s">
        <v>84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5">
      <c r="A8" t="s">
        <v>85</v>
      </c>
      <c r="B8" s="4">
        <f>B$5*Calculations!$B$27</f>
        <v>1.4914577116879674E-2</v>
      </c>
      <c r="C8" s="4">
        <f>C$5*Calculations!$B$27</f>
        <v>1.4914577116879674E-2</v>
      </c>
      <c r="D8" s="4">
        <f>D$5*Calculations!$B$27</f>
        <v>1.4914577116879674E-2</v>
      </c>
      <c r="E8" s="4">
        <f>E$5*Calculations!$B$27</f>
        <v>1.4914577116879674E-2</v>
      </c>
      <c r="F8" s="4">
        <f>F$5*Calculations!$B$27</f>
        <v>1.4914577116879674E-2</v>
      </c>
      <c r="G8" s="4">
        <f>G$5*Calculations!$B$27</f>
        <v>1.4914577116879674E-2</v>
      </c>
      <c r="H8" s="4">
        <f>H$5*Calculations!$B$27</f>
        <v>1.4914577116879674E-2</v>
      </c>
      <c r="I8" s="4">
        <f>I$5*Calculations!$B$27</f>
        <v>1.4914577116879674E-2</v>
      </c>
      <c r="J8" s="4">
        <f>J$5*Calculations!$B$27</f>
        <v>1.4914577116879674E-2</v>
      </c>
      <c r="K8" s="4">
        <f>K$5*Calculations!$B$27</f>
        <v>1.4914577116879674E-2</v>
      </c>
      <c r="L8" s="4">
        <f>L$5*Calculations!$B$27</f>
        <v>1.4914577116879674E-2</v>
      </c>
      <c r="M8" s="4">
        <f>M$5*Calculations!$B$27</f>
        <v>1.4914577116879674E-2</v>
      </c>
      <c r="N8" s="4">
        <f>N$5*Calculations!$B$27</f>
        <v>1.4914577116879674E-2</v>
      </c>
      <c r="O8" s="4">
        <f>O$5*Calculations!$B$27</f>
        <v>1.4914577116879674E-2</v>
      </c>
      <c r="P8" s="4">
        <f>P$5*Calculations!$B$27</f>
        <v>1.4914577116879674E-2</v>
      </c>
      <c r="Q8" s="4">
        <f>Q$5*Calculations!$B$27</f>
        <v>1.4914577116879674E-2</v>
      </c>
      <c r="R8" s="4">
        <f>R$5*Calculations!$B$27</f>
        <v>1.4914577116879674E-2</v>
      </c>
      <c r="S8" s="4">
        <f>S$5*Calculations!$B$27</f>
        <v>1.4914577116879674E-2</v>
      </c>
      <c r="T8" s="4">
        <f>T$5*Calculations!$B$27</f>
        <v>1.4914577116879674E-2</v>
      </c>
      <c r="U8" s="4">
        <f>U$5*Calculations!$B$27</f>
        <v>1.4914577116879674E-2</v>
      </c>
      <c r="V8" s="4">
        <f>V$5*Calculations!$B$27</f>
        <v>1.4914577116879674E-2</v>
      </c>
      <c r="W8" s="4">
        <f>W$5*Calculations!$B$27</f>
        <v>1.4914577116879674E-2</v>
      </c>
      <c r="X8" s="4">
        <f>X$5*Calculations!$B$27</f>
        <v>1.4914577116879674E-2</v>
      </c>
      <c r="Y8" s="4">
        <f>Y$5*Calculations!$B$27</f>
        <v>1.4914577116879674E-2</v>
      </c>
      <c r="Z8" s="4">
        <f>Z$5*Calculations!$B$27</f>
        <v>1.4914577116879674E-2</v>
      </c>
      <c r="AA8" s="4">
        <f>AA$5*Calculations!$B$27</f>
        <v>1.4914577116879674E-2</v>
      </c>
      <c r="AB8" s="4">
        <f>AB$5*Calculations!$B$27</f>
        <v>1.4914577116879674E-2</v>
      </c>
      <c r="AC8" s="4">
        <f>AC$5*Calculations!$B$27</f>
        <v>1.4914577116879674E-2</v>
      </c>
      <c r="AD8" s="4">
        <f>AD$5*Calculations!$B$27</f>
        <v>1.4914577116879674E-2</v>
      </c>
      <c r="AE8" s="4">
        <f>AE$5*Calculations!$B$27</f>
        <v>1.4914577116879674E-2</v>
      </c>
      <c r="AF8" s="4">
        <f>AF$5*Calculations!$B$27</f>
        <v>1.4914577116879674E-2</v>
      </c>
      <c r="AH8" s="4"/>
      <c r="AI8" s="4"/>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8"/>
  <sheetViews>
    <sheetView workbookViewId="0">
      <selection activeCell="B7" sqref="B7"/>
    </sheetView>
  </sheetViews>
  <sheetFormatPr defaultColWidth="8.81640625" defaultRowHeight="14.5"/>
  <cols>
    <col min="1" max="1" width="31.1796875" customWidth="1"/>
  </cols>
  <sheetData>
    <row r="1" spans="1:35">
      <c r="A1" s="19" t="s">
        <v>87</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5">
      <c r="A2" t="s">
        <v>2</v>
      </c>
      <c r="B2" s="4">
        <f t="array" ref="B2:B8">TRANSPOSE(SYFAFE!B7:H7)</f>
        <v>9.8648567589705791E-3</v>
      </c>
      <c r="C2" s="4">
        <f>B2</f>
        <v>9.8648567589705791E-3</v>
      </c>
      <c r="D2" s="4">
        <f t="shared" ref="D2:AF8" si="0">C2</f>
        <v>9.8648567589705791E-3</v>
      </c>
      <c r="E2" s="4">
        <f t="shared" si="0"/>
        <v>9.8648567589705791E-3</v>
      </c>
      <c r="F2" s="4">
        <f t="shared" si="0"/>
        <v>9.8648567589705791E-3</v>
      </c>
      <c r="G2" s="4">
        <f t="shared" si="0"/>
        <v>9.8648567589705791E-3</v>
      </c>
      <c r="H2" s="4">
        <f t="shared" si="0"/>
        <v>9.8648567589705791E-3</v>
      </c>
      <c r="I2" s="4">
        <f t="shared" si="0"/>
        <v>9.8648567589705791E-3</v>
      </c>
      <c r="J2" s="4">
        <f t="shared" si="0"/>
        <v>9.8648567589705791E-3</v>
      </c>
      <c r="K2" s="4">
        <f t="shared" si="0"/>
        <v>9.8648567589705791E-3</v>
      </c>
      <c r="L2" s="4">
        <f t="shared" si="0"/>
        <v>9.8648567589705791E-3</v>
      </c>
      <c r="M2" s="4">
        <f t="shared" si="0"/>
        <v>9.8648567589705791E-3</v>
      </c>
      <c r="N2" s="4">
        <f t="shared" si="0"/>
        <v>9.8648567589705791E-3</v>
      </c>
      <c r="O2" s="4">
        <f t="shared" si="0"/>
        <v>9.8648567589705791E-3</v>
      </c>
      <c r="P2" s="4">
        <f t="shared" si="0"/>
        <v>9.8648567589705791E-3</v>
      </c>
      <c r="Q2" s="4">
        <f t="shared" si="0"/>
        <v>9.8648567589705791E-3</v>
      </c>
      <c r="R2" s="4">
        <f t="shared" si="0"/>
        <v>9.8648567589705791E-3</v>
      </c>
      <c r="S2" s="4">
        <f t="shared" si="0"/>
        <v>9.8648567589705791E-3</v>
      </c>
      <c r="T2" s="4">
        <f t="shared" si="0"/>
        <v>9.8648567589705791E-3</v>
      </c>
      <c r="U2" s="4">
        <f t="shared" si="0"/>
        <v>9.8648567589705791E-3</v>
      </c>
      <c r="V2" s="4">
        <f t="shared" si="0"/>
        <v>9.8648567589705791E-3</v>
      </c>
      <c r="W2" s="4">
        <f t="shared" si="0"/>
        <v>9.8648567589705791E-3</v>
      </c>
      <c r="X2" s="4">
        <f t="shared" si="0"/>
        <v>9.8648567589705791E-3</v>
      </c>
      <c r="Y2" s="4">
        <f t="shared" si="0"/>
        <v>9.8648567589705791E-3</v>
      </c>
      <c r="Z2" s="4">
        <f t="shared" si="0"/>
        <v>9.8648567589705791E-3</v>
      </c>
      <c r="AA2" s="4">
        <f t="shared" si="0"/>
        <v>9.8648567589705791E-3</v>
      </c>
      <c r="AB2" s="4">
        <f t="shared" si="0"/>
        <v>9.8648567589705791E-3</v>
      </c>
      <c r="AC2" s="4">
        <f t="shared" si="0"/>
        <v>9.8648567589705791E-3</v>
      </c>
      <c r="AD2" s="4">
        <f t="shared" si="0"/>
        <v>9.8648567589705791E-3</v>
      </c>
      <c r="AE2" s="4">
        <f t="shared" si="0"/>
        <v>9.8648567589705791E-3</v>
      </c>
      <c r="AF2" s="4">
        <f t="shared" si="0"/>
        <v>9.8648567589705791E-3</v>
      </c>
      <c r="AH2" s="4"/>
      <c r="AI2" s="4"/>
    </row>
    <row r="3" spans="1:35">
      <c r="A3" t="s">
        <v>3</v>
      </c>
      <c r="B3" s="4">
        <v>1.2056566177618372E-3</v>
      </c>
      <c r="C3" s="4">
        <f t="shared" ref="C3:R8" si="1">B3</f>
        <v>1.2056566177618372E-3</v>
      </c>
      <c r="D3" s="4">
        <f t="shared" si="1"/>
        <v>1.2056566177618372E-3</v>
      </c>
      <c r="E3" s="4">
        <f t="shared" si="1"/>
        <v>1.2056566177618372E-3</v>
      </c>
      <c r="F3" s="4">
        <f t="shared" si="1"/>
        <v>1.2056566177618372E-3</v>
      </c>
      <c r="G3" s="4">
        <f t="shared" si="1"/>
        <v>1.2056566177618372E-3</v>
      </c>
      <c r="H3" s="4">
        <f t="shared" si="1"/>
        <v>1.2056566177618372E-3</v>
      </c>
      <c r="I3" s="4">
        <f t="shared" si="1"/>
        <v>1.2056566177618372E-3</v>
      </c>
      <c r="J3" s="4">
        <f t="shared" si="1"/>
        <v>1.2056566177618372E-3</v>
      </c>
      <c r="K3" s="4">
        <f t="shared" si="1"/>
        <v>1.2056566177618372E-3</v>
      </c>
      <c r="L3" s="4">
        <f t="shared" si="1"/>
        <v>1.2056566177618372E-3</v>
      </c>
      <c r="M3" s="4">
        <f t="shared" si="1"/>
        <v>1.2056566177618372E-3</v>
      </c>
      <c r="N3" s="4">
        <f t="shared" si="1"/>
        <v>1.2056566177618372E-3</v>
      </c>
      <c r="O3" s="4">
        <f t="shared" si="1"/>
        <v>1.2056566177618372E-3</v>
      </c>
      <c r="P3" s="4">
        <f t="shared" si="1"/>
        <v>1.2056566177618372E-3</v>
      </c>
      <c r="Q3" s="4">
        <f t="shared" si="1"/>
        <v>1.2056566177618372E-3</v>
      </c>
      <c r="R3" s="4">
        <f t="shared" si="1"/>
        <v>1.2056566177618372E-3</v>
      </c>
      <c r="S3" s="4">
        <f t="shared" si="0"/>
        <v>1.2056566177618372E-3</v>
      </c>
      <c r="T3" s="4">
        <f t="shared" si="0"/>
        <v>1.2056566177618372E-3</v>
      </c>
      <c r="U3" s="4">
        <f t="shared" si="0"/>
        <v>1.2056566177618372E-3</v>
      </c>
      <c r="V3" s="4">
        <f t="shared" si="0"/>
        <v>1.2056566177618372E-3</v>
      </c>
      <c r="W3" s="4">
        <f t="shared" si="0"/>
        <v>1.2056566177618372E-3</v>
      </c>
      <c r="X3" s="4">
        <f t="shared" si="0"/>
        <v>1.2056566177618372E-3</v>
      </c>
      <c r="Y3" s="4">
        <f t="shared" si="0"/>
        <v>1.2056566177618372E-3</v>
      </c>
      <c r="Z3" s="4">
        <f t="shared" si="0"/>
        <v>1.2056566177618372E-3</v>
      </c>
      <c r="AA3" s="4">
        <f t="shared" si="0"/>
        <v>1.2056566177618372E-3</v>
      </c>
      <c r="AB3" s="4">
        <f t="shared" si="0"/>
        <v>1.2056566177618372E-3</v>
      </c>
      <c r="AC3" s="4">
        <f t="shared" si="0"/>
        <v>1.2056566177618372E-3</v>
      </c>
      <c r="AD3" s="4">
        <f t="shared" si="0"/>
        <v>1.2056566177618372E-3</v>
      </c>
      <c r="AE3" s="4">
        <f t="shared" si="0"/>
        <v>1.2056566177618372E-3</v>
      </c>
      <c r="AF3" s="4">
        <f t="shared" si="0"/>
        <v>1.2056566177618372E-3</v>
      </c>
      <c r="AH3" s="4"/>
      <c r="AI3" s="4"/>
    </row>
    <row r="4" spans="1:35">
      <c r="A4" t="s">
        <v>4</v>
      </c>
      <c r="B4" s="4">
        <v>1.1311305355858213E-3</v>
      </c>
      <c r="C4" s="4">
        <f t="shared" si="1"/>
        <v>1.1311305355858213E-3</v>
      </c>
      <c r="D4" s="4">
        <f t="shared" si="0"/>
        <v>1.1311305355858213E-3</v>
      </c>
      <c r="E4" s="4">
        <f t="shared" si="0"/>
        <v>1.1311305355858213E-3</v>
      </c>
      <c r="F4" s="4">
        <f t="shared" si="0"/>
        <v>1.1311305355858213E-3</v>
      </c>
      <c r="G4" s="4">
        <f t="shared" si="0"/>
        <v>1.1311305355858213E-3</v>
      </c>
      <c r="H4" s="4">
        <f t="shared" si="0"/>
        <v>1.1311305355858213E-3</v>
      </c>
      <c r="I4" s="4">
        <f t="shared" si="0"/>
        <v>1.1311305355858213E-3</v>
      </c>
      <c r="J4" s="4">
        <f t="shared" si="0"/>
        <v>1.1311305355858213E-3</v>
      </c>
      <c r="K4" s="4">
        <f t="shared" si="0"/>
        <v>1.1311305355858213E-3</v>
      </c>
      <c r="L4" s="4">
        <f t="shared" si="0"/>
        <v>1.1311305355858213E-3</v>
      </c>
      <c r="M4" s="4">
        <f t="shared" si="0"/>
        <v>1.1311305355858213E-3</v>
      </c>
      <c r="N4" s="4">
        <f t="shared" si="0"/>
        <v>1.1311305355858213E-3</v>
      </c>
      <c r="O4" s="4">
        <f t="shared" si="0"/>
        <v>1.1311305355858213E-3</v>
      </c>
      <c r="P4" s="4">
        <f t="shared" si="0"/>
        <v>1.1311305355858213E-3</v>
      </c>
      <c r="Q4" s="4">
        <f t="shared" si="0"/>
        <v>1.1311305355858213E-3</v>
      </c>
      <c r="R4" s="4">
        <f t="shared" si="0"/>
        <v>1.1311305355858213E-3</v>
      </c>
      <c r="S4" s="4">
        <f t="shared" si="0"/>
        <v>1.1311305355858213E-3</v>
      </c>
      <c r="T4" s="4">
        <f t="shared" si="0"/>
        <v>1.1311305355858213E-3</v>
      </c>
      <c r="U4" s="4">
        <f t="shared" si="0"/>
        <v>1.1311305355858213E-3</v>
      </c>
      <c r="V4" s="4">
        <f t="shared" si="0"/>
        <v>1.1311305355858213E-3</v>
      </c>
      <c r="W4" s="4">
        <f t="shared" si="0"/>
        <v>1.1311305355858213E-3</v>
      </c>
      <c r="X4" s="4">
        <f t="shared" si="0"/>
        <v>1.1311305355858213E-3</v>
      </c>
      <c r="Y4" s="4">
        <f t="shared" si="0"/>
        <v>1.1311305355858213E-3</v>
      </c>
      <c r="Z4" s="4">
        <f t="shared" si="0"/>
        <v>1.1311305355858213E-3</v>
      </c>
      <c r="AA4" s="4">
        <f t="shared" si="0"/>
        <v>1.1311305355858213E-3</v>
      </c>
      <c r="AB4" s="4">
        <f t="shared" si="0"/>
        <v>1.1311305355858213E-3</v>
      </c>
      <c r="AC4" s="4">
        <f t="shared" si="0"/>
        <v>1.1311305355858213E-3</v>
      </c>
      <c r="AD4" s="4">
        <f t="shared" si="0"/>
        <v>1.1311305355858213E-3</v>
      </c>
      <c r="AE4" s="4">
        <f t="shared" si="0"/>
        <v>1.1311305355858213E-3</v>
      </c>
      <c r="AF4" s="4">
        <f t="shared" si="0"/>
        <v>1.1311305355858213E-3</v>
      </c>
      <c r="AH4" s="4"/>
      <c r="AI4" s="4"/>
    </row>
    <row r="5" spans="1:35">
      <c r="A5" t="s">
        <v>5</v>
      </c>
      <c r="B5" s="4">
        <v>0</v>
      </c>
      <c r="C5" s="4">
        <f t="shared" si="1"/>
        <v>0</v>
      </c>
      <c r="D5" s="4">
        <f t="shared" si="0"/>
        <v>0</v>
      </c>
      <c r="E5" s="4">
        <f t="shared" si="0"/>
        <v>0</v>
      </c>
      <c r="F5" s="4">
        <f t="shared" si="0"/>
        <v>0</v>
      </c>
      <c r="G5" s="4">
        <f t="shared" si="0"/>
        <v>0</v>
      </c>
      <c r="H5" s="4">
        <f t="shared" si="0"/>
        <v>0</v>
      </c>
      <c r="I5" s="4">
        <f t="shared" si="0"/>
        <v>0</v>
      </c>
      <c r="J5" s="4">
        <f t="shared" si="0"/>
        <v>0</v>
      </c>
      <c r="K5" s="4">
        <f t="shared" si="0"/>
        <v>0</v>
      </c>
      <c r="L5" s="4">
        <f t="shared" si="0"/>
        <v>0</v>
      </c>
      <c r="M5" s="4">
        <f t="shared" si="0"/>
        <v>0</v>
      </c>
      <c r="N5" s="4">
        <f t="shared" si="0"/>
        <v>0</v>
      </c>
      <c r="O5" s="4">
        <f t="shared" si="0"/>
        <v>0</v>
      </c>
      <c r="P5" s="4">
        <f t="shared" si="0"/>
        <v>0</v>
      </c>
      <c r="Q5" s="4">
        <f t="shared" si="0"/>
        <v>0</v>
      </c>
      <c r="R5" s="4">
        <f t="shared" si="0"/>
        <v>0</v>
      </c>
      <c r="S5" s="4">
        <f t="shared" si="0"/>
        <v>0</v>
      </c>
      <c r="T5" s="4">
        <f t="shared" si="0"/>
        <v>0</v>
      </c>
      <c r="U5" s="4">
        <f t="shared" si="0"/>
        <v>0</v>
      </c>
      <c r="V5" s="4">
        <f t="shared" si="0"/>
        <v>0</v>
      </c>
      <c r="W5" s="4">
        <f t="shared" si="0"/>
        <v>0</v>
      </c>
      <c r="X5" s="4">
        <f t="shared" si="0"/>
        <v>0</v>
      </c>
      <c r="Y5" s="4">
        <f t="shared" si="0"/>
        <v>0</v>
      </c>
      <c r="Z5" s="4">
        <f t="shared" si="0"/>
        <v>0</v>
      </c>
      <c r="AA5" s="4">
        <f t="shared" si="0"/>
        <v>0</v>
      </c>
      <c r="AB5" s="4">
        <f t="shared" si="0"/>
        <v>0</v>
      </c>
      <c r="AC5" s="4">
        <f t="shared" si="0"/>
        <v>0</v>
      </c>
      <c r="AD5" s="4">
        <f t="shared" si="0"/>
        <v>0</v>
      </c>
      <c r="AE5" s="4">
        <f t="shared" si="0"/>
        <v>0</v>
      </c>
      <c r="AF5" s="4">
        <f t="shared" si="0"/>
        <v>0</v>
      </c>
      <c r="AH5" s="4"/>
      <c r="AI5" s="4"/>
    </row>
    <row r="6" spans="1:35">
      <c r="A6" t="s">
        <v>6</v>
      </c>
      <c r="B6" s="4">
        <v>0</v>
      </c>
      <c r="C6" s="4">
        <f t="shared" si="1"/>
        <v>0</v>
      </c>
      <c r="D6" s="4">
        <f t="shared" si="0"/>
        <v>0</v>
      </c>
      <c r="E6" s="4">
        <f t="shared" si="0"/>
        <v>0</v>
      </c>
      <c r="F6" s="4">
        <f t="shared" si="0"/>
        <v>0</v>
      </c>
      <c r="G6" s="4">
        <f t="shared" si="0"/>
        <v>0</v>
      </c>
      <c r="H6" s="4">
        <f t="shared" si="0"/>
        <v>0</v>
      </c>
      <c r="I6" s="4">
        <f t="shared" si="0"/>
        <v>0</v>
      </c>
      <c r="J6" s="4">
        <f t="shared" si="0"/>
        <v>0</v>
      </c>
      <c r="K6" s="4">
        <f t="shared" si="0"/>
        <v>0</v>
      </c>
      <c r="L6" s="4">
        <f t="shared" si="0"/>
        <v>0</v>
      </c>
      <c r="M6" s="4">
        <f t="shared" si="0"/>
        <v>0</v>
      </c>
      <c r="N6" s="4">
        <f t="shared" si="0"/>
        <v>0</v>
      </c>
      <c r="O6" s="4">
        <f t="shared" si="0"/>
        <v>0</v>
      </c>
      <c r="P6" s="4">
        <f t="shared" si="0"/>
        <v>0</v>
      </c>
      <c r="Q6" s="4">
        <f t="shared" si="0"/>
        <v>0</v>
      </c>
      <c r="R6" s="4">
        <f t="shared" si="0"/>
        <v>0</v>
      </c>
      <c r="S6" s="4">
        <f t="shared" si="0"/>
        <v>0</v>
      </c>
      <c r="T6" s="4">
        <f t="shared" si="0"/>
        <v>0</v>
      </c>
      <c r="U6" s="4">
        <f t="shared" si="0"/>
        <v>0</v>
      </c>
      <c r="V6" s="4">
        <f t="shared" si="0"/>
        <v>0</v>
      </c>
      <c r="W6" s="4">
        <f t="shared" si="0"/>
        <v>0</v>
      </c>
      <c r="X6" s="4">
        <f t="shared" si="0"/>
        <v>0</v>
      </c>
      <c r="Y6" s="4">
        <f t="shared" si="0"/>
        <v>0</v>
      </c>
      <c r="Z6" s="4">
        <f t="shared" si="0"/>
        <v>0</v>
      </c>
      <c r="AA6" s="4">
        <f t="shared" si="0"/>
        <v>0</v>
      </c>
      <c r="AB6" s="4">
        <f t="shared" si="0"/>
        <v>0</v>
      </c>
      <c r="AC6" s="4">
        <f t="shared" si="0"/>
        <v>0</v>
      </c>
      <c r="AD6" s="4">
        <f t="shared" si="0"/>
        <v>0</v>
      </c>
      <c r="AE6" s="4">
        <f t="shared" si="0"/>
        <v>0</v>
      </c>
      <c r="AF6" s="4">
        <f t="shared" si="0"/>
        <v>0</v>
      </c>
      <c r="AH6" s="4"/>
      <c r="AI6" s="4"/>
    </row>
    <row r="7" spans="1:35">
      <c r="A7" t="s">
        <v>84</v>
      </c>
      <c r="B7" s="4">
        <v>0</v>
      </c>
      <c r="C7" s="4">
        <f t="shared" si="1"/>
        <v>0</v>
      </c>
      <c r="D7" s="4">
        <f t="shared" si="0"/>
        <v>0</v>
      </c>
      <c r="E7" s="4">
        <f t="shared" si="0"/>
        <v>0</v>
      </c>
      <c r="F7" s="4">
        <f t="shared" si="0"/>
        <v>0</v>
      </c>
      <c r="G7" s="4">
        <f t="shared" si="0"/>
        <v>0</v>
      </c>
      <c r="H7" s="4">
        <f t="shared" si="0"/>
        <v>0</v>
      </c>
      <c r="I7" s="4">
        <f t="shared" si="0"/>
        <v>0</v>
      </c>
      <c r="J7" s="4">
        <f t="shared" si="0"/>
        <v>0</v>
      </c>
      <c r="K7" s="4">
        <f t="shared" si="0"/>
        <v>0</v>
      </c>
      <c r="L7" s="4">
        <f t="shared" si="0"/>
        <v>0</v>
      </c>
      <c r="M7" s="4">
        <f t="shared" si="0"/>
        <v>0</v>
      </c>
      <c r="N7" s="4">
        <f t="shared" si="0"/>
        <v>0</v>
      </c>
      <c r="O7" s="4">
        <f t="shared" si="0"/>
        <v>0</v>
      </c>
      <c r="P7" s="4">
        <f t="shared" si="0"/>
        <v>0</v>
      </c>
      <c r="Q7" s="4">
        <f t="shared" si="0"/>
        <v>0</v>
      </c>
      <c r="R7" s="4">
        <f t="shared" si="0"/>
        <v>0</v>
      </c>
      <c r="S7" s="4">
        <f t="shared" si="0"/>
        <v>0</v>
      </c>
      <c r="T7" s="4">
        <f t="shared" si="0"/>
        <v>0</v>
      </c>
      <c r="U7" s="4">
        <f t="shared" si="0"/>
        <v>0</v>
      </c>
      <c r="V7" s="4">
        <f t="shared" si="0"/>
        <v>0</v>
      </c>
      <c r="W7" s="4">
        <f t="shared" si="0"/>
        <v>0</v>
      </c>
      <c r="X7" s="4">
        <f t="shared" si="0"/>
        <v>0</v>
      </c>
      <c r="Y7" s="4">
        <f t="shared" si="0"/>
        <v>0</v>
      </c>
      <c r="Z7" s="4">
        <f t="shared" si="0"/>
        <v>0</v>
      </c>
      <c r="AA7" s="4">
        <f t="shared" si="0"/>
        <v>0</v>
      </c>
      <c r="AB7" s="4">
        <f t="shared" si="0"/>
        <v>0</v>
      </c>
      <c r="AC7" s="4">
        <f t="shared" si="0"/>
        <v>0</v>
      </c>
      <c r="AD7" s="4">
        <f t="shared" si="0"/>
        <v>0</v>
      </c>
      <c r="AE7" s="4">
        <f t="shared" si="0"/>
        <v>0</v>
      </c>
      <c r="AF7" s="4">
        <f t="shared" si="0"/>
        <v>0</v>
      </c>
      <c r="AH7" s="4"/>
      <c r="AI7" s="4"/>
    </row>
    <row r="8" spans="1:35">
      <c r="A8" t="s">
        <v>85</v>
      </c>
      <c r="B8" s="4">
        <v>0</v>
      </c>
      <c r="C8" s="4">
        <f t="shared" si="1"/>
        <v>0</v>
      </c>
      <c r="D8" s="4">
        <f t="shared" si="0"/>
        <v>0</v>
      </c>
      <c r="E8" s="4">
        <f t="shared" si="0"/>
        <v>0</v>
      </c>
      <c r="F8" s="4">
        <f t="shared" si="0"/>
        <v>0</v>
      </c>
      <c r="G8" s="4">
        <f t="shared" si="0"/>
        <v>0</v>
      </c>
      <c r="H8" s="4">
        <f t="shared" si="0"/>
        <v>0</v>
      </c>
      <c r="I8" s="4">
        <f t="shared" si="0"/>
        <v>0</v>
      </c>
      <c r="J8" s="4">
        <f t="shared" si="0"/>
        <v>0</v>
      </c>
      <c r="K8" s="4">
        <f t="shared" si="0"/>
        <v>0</v>
      </c>
      <c r="L8" s="4">
        <f t="shared" si="0"/>
        <v>0</v>
      </c>
      <c r="M8" s="4">
        <f t="shared" si="0"/>
        <v>0</v>
      </c>
      <c r="N8" s="4">
        <f t="shared" si="0"/>
        <v>0</v>
      </c>
      <c r="O8" s="4">
        <f t="shared" si="0"/>
        <v>0</v>
      </c>
      <c r="P8" s="4">
        <f t="shared" si="0"/>
        <v>0</v>
      </c>
      <c r="Q8" s="4">
        <f t="shared" si="0"/>
        <v>0</v>
      </c>
      <c r="R8" s="4">
        <f t="shared" si="0"/>
        <v>0</v>
      </c>
      <c r="S8" s="4">
        <f t="shared" si="0"/>
        <v>0</v>
      </c>
      <c r="T8" s="4">
        <f t="shared" si="0"/>
        <v>0</v>
      </c>
      <c r="U8" s="4">
        <f t="shared" si="0"/>
        <v>0</v>
      </c>
      <c r="V8" s="4">
        <f t="shared" si="0"/>
        <v>0</v>
      </c>
      <c r="W8" s="4">
        <f t="shared" si="0"/>
        <v>0</v>
      </c>
      <c r="X8" s="4">
        <f t="shared" si="0"/>
        <v>0</v>
      </c>
      <c r="Y8" s="4">
        <f t="shared" si="0"/>
        <v>0</v>
      </c>
      <c r="Z8" s="4">
        <f t="shared" si="0"/>
        <v>0</v>
      </c>
      <c r="AA8" s="4">
        <f t="shared" si="0"/>
        <v>0</v>
      </c>
      <c r="AB8" s="4">
        <f t="shared" si="0"/>
        <v>0</v>
      </c>
      <c r="AC8" s="4">
        <f t="shared" si="0"/>
        <v>0</v>
      </c>
      <c r="AD8" s="4">
        <f t="shared" si="0"/>
        <v>0</v>
      </c>
      <c r="AE8" s="4">
        <f t="shared" si="0"/>
        <v>0</v>
      </c>
      <c r="AF8" s="4">
        <f t="shared" si="0"/>
        <v>0</v>
      </c>
      <c r="AH8" s="4"/>
      <c r="AI8" s="4"/>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G8"/>
  <sheetViews>
    <sheetView topLeftCell="E1" workbookViewId="0">
      <selection activeCell="AG1" sqref="AG1"/>
    </sheetView>
  </sheetViews>
  <sheetFormatPr defaultColWidth="8.81640625" defaultRowHeight="14.5"/>
  <cols>
    <col min="1" max="1" width="31.1796875" customWidth="1"/>
  </cols>
  <sheetData>
    <row r="1" spans="1:33">
      <c r="A1" s="19" t="s">
        <v>87</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c r="A2" t="s">
        <v>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row>
    <row r="3" spans="1:33">
      <c r="A3" t="s">
        <v>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row>
    <row r="4" spans="1:33">
      <c r="A4" t="s">
        <v>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row>
    <row r="5" spans="1:33">
      <c r="A5" t="s">
        <v>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row>
    <row r="6" spans="1:33">
      <c r="A6" t="s">
        <v>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row>
    <row r="7" spans="1:33">
      <c r="A7" t="s">
        <v>84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row>
    <row r="8" spans="1:33">
      <c r="A8" t="s">
        <v>85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About</vt:lpstr>
      <vt:lpstr>BNVFE</vt:lpstr>
      <vt:lpstr>SYFAFE</vt:lpstr>
      <vt:lpstr>Other Values</vt:lpstr>
      <vt:lpstr>Calculations</vt:lpstr>
      <vt:lpstr>Extrapolations</vt:lpstr>
      <vt:lpstr>BHNVFEAL-LDVs-psgr</vt:lpstr>
      <vt:lpstr>BHNVFEAL-LDVs-frgt</vt:lpstr>
      <vt:lpstr>BHNVFEAL-HDVs-psgr</vt:lpstr>
      <vt:lpstr>BHNVFEAL-HDVs-frgt</vt:lpstr>
      <vt:lpstr>BHNVFEAL-aircraft-psgr</vt:lpstr>
      <vt:lpstr>BHNVFEAL-aircraft-frgt</vt:lpstr>
      <vt:lpstr>BHNVFEAL-rail-psgr</vt:lpstr>
      <vt:lpstr>BHNVFEAL-rail-frgt</vt:lpstr>
      <vt:lpstr>BHNVFEAL-ships-psgr</vt:lpstr>
      <vt:lpstr>BHNVFEAL-ships-frgt</vt:lpstr>
      <vt:lpstr>BHNVFEAL-motorbikes-psgr</vt:lpstr>
      <vt:lpstr>BHNVFEAL-motorbikes-frgt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Mary Francis Swint</cp:lastModifiedBy>
  <dcterms:created xsi:type="dcterms:W3CDTF">2017-06-26T22:04:22Z</dcterms:created>
  <dcterms:modified xsi:type="dcterms:W3CDTF">2024-12-03T15:23:49Z</dcterms:modified>
</cp:coreProperties>
</file>