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trans\BRZSPbMR\"/>
    </mc:Choice>
  </mc:AlternateContent>
  <xr:revisionPtr revIDLastSave="0" documentId="13_ncr:1_{DA2C34DD-0F4F-40CD-82CF-E708F4D06CC1}" xr6:coauthVersionLast="47" xr6:coauthVersionMax="47" xr10:uidLastSave="{00000000-0000-0000-0000-000000000000}"/>
  <bookViews>
    <workbookView xWindow="-38520" yWindow="-5880" windowWidth="38640" windowHeight="21120" firstSheet="2" activeTab="3" xr2:uid="{00000000-000D-0000-FFFF-FFFF00000000}"/>
  </bookViews>
  <sheets>
    <sheet name="About" sheetId="1" r:id="rId1"/>
    <sheet name="EPS Vehicle Class Mapping" sheetId="10" r:id="rId2"/>
    <sheet name="BRZSPbMR-passenger" sheetId="5" r:id="rId3"/>
    <sheet name="BRZSPbMR-freight" sheetId="6" r:id="rId4"/>
  </sheets>
  <definedNames>
    <definedName name="Eno_TM">#REF!</definedName>
    <definedName name="Eno_Tons">#REF!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Sum_T2">#REF!</definedName>
    <definedName name="Sum_TTM">#REF!</definedName>
    <definedName name="ti_tbl_50">#REF!</definedName>
    <definedName name="ti_tbl_69">#REF!</definedName>
    <definedName name="TitleRegion1.f2.y3.5">#REF!</definedName>
    <definedName name="TitleRegion1.f3.n4.5">#REF!</definedName>
    <definedName name="TitleRegion2.e6.y15.5">#REF!</definedName>
    <definedName name="TitleRegion2.e8.n17.5">#REF!</definedName>
    <definedName name="TitleRegion3.c19.y51.5">#REF!</definedName>
    <definedName name="TitleRegion3.c24.n53.5">#REF!</definedName>
    <definedName name="TitleRegion4.e54.y63.5">#REF!</definedName>
    <definedName name="TitleRegion4.e57.n66.5">#REF!</definedName>
    <definedName name="TitleRegion5.d68.y124.5">#REF!</definedName>
    <definedName name="TitleRegion5.d73.n129.5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4" i="10" l="1"/>
  <c r="AE24" i="10"/>
  <c r="AA24" i="10"/>
  <c r="W24" i="10"/>
  <c r="P24" i="10"/>
  <c r="O24" i="10"/>
  <c r="N24" i="10"/>
  <c r="M24" i="10"/>
  <c r="K24" i="10"/>
  <c r="G24" i="10"/>
  <c r="Z23" i="10"/>
  <c r="U26" i="10"/>
  <c r="U27" i="10" s="1"/>
  <c r="L26" i="10"/>
  <c r="L27" i="10" s="1"/>
  <c r="AD26" i="10"/>
  <c r="AD27" i="10" s="1"/>
  <c r="AA26" i="10"/>
  <c r="V23" i="10"/>
  <c r="S26" i="10"/>
  <c r="P26" i="10"/>
  <c r="P27" i="10" s="1"/>
  <c r="K26" i="10"/>
  <c r="K27" i="10" s="1"/>
  <c r="AF22" i="10"/>
  <c r="T22" i="10"/>
  <c r="L22" i="10"/>
  <c r="I22" i="10"/>
  <c r="AE22" i="10"/>
  <c r="AD22" i="10"/>
  <c r="V22" i="10"/>
  <c r="P22" i="10"/>
  <c r="P29" i="10" s="1"/>
  <c r="O22" i="10"/>
  <c r="N22" i="10"/>
  <c r="M22" i="10"/>
  <c r="K22" i="10"/>
  <c r="G22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R48" i="10"/>
  <c r="Q48" i="10"/>
  <c r="P48" i="10"/>
  <c r="O48" i="10"/>
  <c r="N48" i="10"/>
  <c r="M48" i="10"/>
  <c r="L48" i="10"/>
  <c r="K48" i="10"/>
  <c r="J48" i="10"/>
  <c r="I48" i="10"/>
  <c r="H48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G31" i="10"/>
  <c r="I30" i="10"/>
  <c r="H30" i="10"/>
  <c r="I29" i="10"/>
  <c r="H29" i="10"/>
  <c r="AA27" i="10"/>
  <c r="T27" i="10"/>
  <c r="T31" i="10" s="1"/>
  <c r="T32" i="10" s="1"/>
  <c r="S27" i="10"/>
  <c r="J27" i="10"/>
  <c r="I27" i="10"/>
  <c r="H27" i="10"/>
  <c r="AC26" i="10"/>
  <c r="AC27" i="10" s="1"/>
  <c r="AB26" i="10"/>
  <c r="AB27" i="10" s="1"/>
  <c r="T26" i="10"/>
  <c r="T29" i="10" s="1"/>
  <c r="T30" i="10" s="1"/>
  <c r="R26" i="10"/>
  <c r="R27" i="10" s="1"/>
  <c r="Q26" i="10"/>
  <c r="Q27" i="10" s="1"/>
  <c r="J26" i="10"/>
  <c r="J29" i="10" s="1"/>
  <c r="I26" i="10"/>
  <c r="H26" i="10"/>
  <c r="G26" i="10"/>
  <c r="G27" i="10" s="1"/>
  <c r="F26" i="10"/>
  <c r="F27" i="10" s="1"/>
  <c r="E26" i="10"/>
  <c r="E27" i="10" s="1"/>
  <c r="AC24" i="10"/>
  <c r="AB24" i="10"/>
  <c r="Y24" i="10"/>
  <c r="X24" i="10"/>
  <c r="R24" i="10"/>
  <c r="J24" i="10"/>
  <c r="I24" i="10"/>
  <c r="H24" i="10"/>
  <c r="F24" i="10"/>
  <c r="AD23" i="10"/>
  <c r="AC23" i="10"/>
  <c r="AC31" i="10" s="1"/>
  <c r="AC32" i="10" s="1"/>
  <c r="AB23" i="10"/>
  <c r="AA23" i="10"/>
  <c r="AA31" i="10" s="1"/>
  <c r="AA32" i="10" s="1"/>
  <c r="T23" i="10"/>
  <c r="S23" i="10"/>
  <c r="R23" i="10"/>
  <c r="R31" i="10" s="1"/>
  <c r="Q23" i="10"/>
  <c r="P23" i="10"/>
  <c r="P31" i="10" s="1"/>
  <c r="L23" i="10"/>
  <c r="J23" i="10"/>
  <c r="I23" i="10"/>
  <c r="H23" i="10"/>
  <c r="G23" i="10"/>
  <c r="AC22" i="10"/>
  <c r="AB22" i="10"/>
  <c r="AB29" i="10" s="1"/>
  <c r="AB30" i="10" s="1"/>
  <c r="AA22" i="10"/>
  <c r="AA29" i="10" s="1"/>
  <c r="AA30" i="10" s="1"/>
  <c r="S22" i="10"/>
  <c r="S29" i="10" s="1"/>
  <c r="S30" i="10" s="1"/>
  <c r="R22" i="10"/>
  <c r="R29" i="10" s="1"/>
  <c r="R30" i="10" s="1"/>
  <c r="Q22" i="10"/>
  <c r="J22" i="10"/>
  <c r="H22" i="10"/>
  <c r="D22" i="10"/>
  <c r="C22" i="10"/>
  <c r="R20" i="10"/>
  <c r="S20" i="10" s="1"/>
  <c r="T20" i="10" s="1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9" i="10"/>
  <c r="R18" i="10"/>
  <c r="R51" i="10" s="1"/>
  <c r="T17" i="10"/>
  <c r="T48" i="10" s="1"/>
  <c r="S17" i="10"/>
  <c r="S48" i="10" s="1"/>
  <c r="R17" i="10"/>
  <c r="C17" i="10"/>
  <c r="C48" i="10" s="1"/>
  <c r="R16" i="10"/>
  <c r="S16" i="10" s="1"/>
  <c r="T16" i="10" s="1"/>
  <c r="G16" i="10"/>
  <c r="G17" i="10" s="1"/>
  <c r="G48" i="10" s="1"/>
  <c r="F16" i="10"/>
  <c r="F17" i="10" s="1"/>
  <c r="F48" i="10" s="1"/>
  <c r="E16" i="10"/>
  <c r="E17" i="10" s="1"/>
  <c r="E48" i="10" s="1"/>
  <c r="D16" i="10"/>
  <c r="D17" i="10" s="1"/>
  <c r="D48" i="10" s="1"/>
  <c r="C16" i="10"/>
  <c r="C47" i="10" s="1"/>
  <c r="B16" i="10"/>
  <c r="P30" i="10" l="1"/>
  <c r="P51" i="10" s="1"/>
  <c r="J30" i="10"/>
  <c r="J51" i="10" s="1"/>
  <c r="D29" i="10"/>
  <c r="D30" i="10" s="1"/>
  <c r="U24" i="10"/>
  <c r="P32" i="10"/>
  <c r="P52" i="10" s="1"/>
  <c r="S18" i="10"/>
  <c r="R32" i="10"/>
  <c r="R52" i="10" s="1"/>
  <c r="O23" i="10"/>
  <c r="O26" i="10"/>
  <c r="O27" i="10" s="1"/>
  <c r="U16" i="10"/>
  <c r="T47" i="10"/>
  <c r="H51" i="10"/>
  <c r="U23" i="10"/>
  <c r="AF29" i="10"/>
  <c r="AF30" i="10" s="1"/>
  <c r="AF24" i="10"/>
  <c r="W23" i="10"/>
  <c r="W26" i="10"/>
  <c r="W27" i="10" s="1"/>
  <c r="AC29" i="10"/>
  <c r="AC30" i="10" s="1"/>
  <c r="X22" i="10"/>
  <c r="D26" i="10"/>
  <c r="D27" i="10" s="1"/>
  <c r="D23" i="10"/>
  <c r="D24" i="10"/>
  <c r="V26" i="10"/>
  <c r="V27" i="10" s="1"/>
  <c r="V31" i="10" s="1"/>
  <c r="V32" i="10" s="1"/>
  <c r="Y22" i="10"/>
  <c r="Y29" i="10" s="1"/>
  <c r="Y30" i="10" s="1"/>
  <c r="E23" i="10"/>
  <c r="E24" i="10"/>
  <c r="F22" i="10"/>
  <c r="Z22" i="10"/>
  <c r="Z29" i="10" s="1"/>
  <c r="Z30" i="10" s="1"/>
  <c r="F23" i="10"/>
  <c r="F31" i="10" s="1"/>
  <c r="L24" i="10"/>
  <c r="L31" i="10" s="1"/>
  <c r="V24" i="10"/>
  <c r="AE26" i="10"/>
  <c r="AE27" i="10" s="1"/>
  <c r="AE23" i="10"/>
  <c r="AE29" i="10" s="1"/>
  <c r="AE30" i="10" s="1"/>
  <c r="I51" i="10"/>
  <c r="G32" i="10"/>
  <c r="G52" i="10" s="1"/>
  <c r="L29" i="10"/>
  <c r="AF26" i="10"/>
  <c r="AF27" i="10" s="1"/>
  <c r="AF23" i="10"/>
  <c r="W22" i="10"/>
  <c r="C23" i="10"/>
  <c r="C26" i="10"/>
  <c r="C27" i="10" s="1"/>
  <c r="C24" i="10"/>
  <c r="X23" i="10"/>
  <c r="X26" i="10"/>
  <c r="X27" i="10" s="1"/>
  <c r="E22" i="10"/>
  <c r="Y26" i="10"/>
  <c r="Y27" i="10" s="1"/>
  <c r="Y23" i="10"/>
  <c r="Y31" i="10" s="1"/>
  <c r="Y32" i="10" s="1"/>
  <c r="I31" i="10"/>
  <c r="J31" i="10"/>
  <c r="U17" i="10"/>
  <c r="K23" i="10"/>
  <c r="K31" i="10" s="1"/>
  <c r="M23" i="10"/>
  <c r="M26" i="10"/>
  <c r="M27" i="10" s="1"/>
  <c r="N23" i="10"/>
  <c r="N26" i="10"/>
  <c r="N27" i="10" s="1"/>
  <c r="Z24" i="10"/>
  <c r="Q29" i="10"/>
  <c r="AB31" i="10"/>
  <c r="AB32" i="10" s="1"/>
  <c r="B47" i="10"/>
  <c r="B17" i="10"/>
  <c r="B48" i="10" s="1"/>
  <c r="S24" i="10"/>
  <c r="S31" i="10" s="1"/>
  <c r="S32" i="10" s="1"/>
  <c r="U22" i="10"/>
  <c r="U29" i="10" s="1"/>
  <c r="U30" i="10" s="1"/>
  <c r="AD31" i="10"/>
  <c r="AD32" i="10" s="1"/>
  <c r="G29" i="10"/>
  <c r="AD24" i="10"/>
  <c r="Z26" i="10"/>
  <c r="Z27" i="10" s="1"/>
  <c r="Z31" i="10" s="1"/>
  <c r="Z32" i="10" s="1"/>
  <c r="H31" i="10"/>
  <c r="AD29" i="10"/>
  <c r="AD30" i="10" s="1"/>
  <c r="R49" i="10"/>
  <c r="S19" i="10"/>
  <c r="Q24" i="10"/>
  <c r="Q31" i="10" s="1"/>
  <c r="O31" i="10" l="1"/>
  <c r="O32" i="10" s="1"/>
  <c r="O52" i="10" s="1"/>
  <c r="C29" i="10"/>
  <c r="C30" i="10" s="1"/>
  <c r="L32" i="10"/>
  <c r="L52" i="10" s="1"/>
  <c r="Q32" i="10"/>
  <c r="Q52" i="10" s="1"/>
  <c r="H32" i="10"/>
  <c r="H52" i="10" s="1"/>
  <c r="S49" i="10"/>
  <c r="S52" i="10"/>
  <c r="T19" i="10"/>
  <c r="L30" i="10"/>
  <c r="L51" i="10" s="1"/>
  <c r="K32" i="10"/>
  <c r="K52" i="10" s="1"/>
  <c r="U48" i="10"/>
  <c r="V17" i="10"/>
  <c r="X31" i="10"/>
  <c r="X32" i="10" s="1"/>
  <c r="V29" i="10"/>
  <c r="V30" i="10" s="1"/>
  <c r="Q30" i="10"/>
  <c r="Q51" i="10" s="1"/>
  <c r="M31" i="10"/>
  <c r="C31" i="10"/>
  <c r="C32" i="10" s="1"/>
  <c r="X29" i="10"/>
  <c r="X30" i="10" s="1"/>
  <c r="M29" i="10"/>
  <c r="I32" i="10"/>
  <c r="I52" i="10" s="1"/>
  <c r="K29" i="10"/>
  <c r="E31" i="10"/>
  <c r="E32" i="10" s="1"/>
  <c r="N31" i="10"/>
  <c r="N29" i="10"/>
  <c r="J32" i="10"/>
  <c r="J52" i="10" s="1"/>
  <c r="D31" i="10"/>
  <c r="D32" i="10" s="1"/>
  <c r="W29" i="10"/>
  <c r="W30" i="10" s="1"/>
  <c r="U47" i="10"/>
  <c r="V16" i="10"/>
  <c r="G30" i="10"/>
  <c r="G51" i="10" s="1"/>
  <c r="W31" i="10"/>
  <c r="W32" i="10" s="1"/>
  <c r="O29" i="10"/>
  <c r="F32" i="10"/>
  <c r="F52" i="10"/>
  <c r="F29" i="10"/>
  <c r="T18" i="10"/>
  <c r="S51" i="10"/>
  <c r="E29" i="10"/>
  <c r="E30" i="10" s="1"/>
  <c r="AF31" i="10"/>
  <c r="AF32" i="10" s="1"/>
  <c r="AE31" i="10"/>
  <c r="AE32" i="10" s="1"/>
  <c r="U31" i="10"/>
  <c r="U32" i="10" s="1"/>
  <c r="U18" i="10" l="1"/>
  <c r="T51" i="10"/>
  <c r="T49" i="10"/>
  <c r="T52" i="10"/>
  <c r="U19" i="10"/>
  <c r="F30" i="10"/>
  <c r="F51" i="10"/>
  <c r="M32" i="10"/>
  <c r="M52" i="10" s="1"/>
  <c r="N30" i="10"/>
  <c r="N51" i="10" s="1"/>
  <c r="V48" i="10"/>
  <c r="W17" i="10"/>
  <c r="M30" i="10"/>
  <c r="M51" i="10" s="1"/>
  <c r="V47" i="10"/>
  <c r="W16" i="10"/>
  <c r="K30" i="10"/>
  <c r="K51" i="10" s="1"/>
  <c r="N32" i="10"/>
  <c r="N52" i="10" s="1"/>
  <c r="O30" i="10"/>
  <c r="O51" i="10" s="1"/>
  <c r="W48" i="10" l="1"/>
  <c r="X17" i="10"/>
  <c r="X16" i="10"/>
  <c r="W47" i="10"/>
  <c r="U51" i="10"/>
  <c r="V18" i="10"/>
  <c r="U49" i="10"/>
  <c r="U52" i="10"/>
  <c r="V19" i="10"/>
  <c r="V51" i="10" l="1"/>
  <c r="W18" i="10"/>
  <c r="X47" i="10"/>
  <c r="Y16" i="10"/>
  <c r="V49" i="10"/>
  <c r="W19" i="10"/>
  <c r="V52" i="10"/>
  <c r="Y17" i="10"/>
  <c r="X48" i="10"/>
  <c r="Z16" i="10" l="1"/>
  <c r="Y47" i="10"/>
  <c r="W51" i="10"/>
  <c r="X18" i="10"/>
  <c r="Y48" i="10"/>
  <c r="Z17" i="10"/>
  <c r="W49" i="10"/>
  <c r="X19" i="10"/>
  <c r="W52" i="10"/>
  <c r="X51" i="10" l="1"/>
  <c r="Y18" i="10"/>
  <c r="Z47" i="10"/>
  <c r="AA16" i="10"/>
  <c r="X49" i="10"/>
  <c r="Y19" i="10"/>
  <c r="X52" i="10"/>
  <c r="AA17" i="10"/>
  <c r="Z48" i="10"/>
  <c r="AA47" i="10" l="1"/>
  <c r="AB16" i="10"/>
  <c r="Y51" i="10"/>
  <c r="Z18" i="10"/>
  <c r="AB17" i="10"/>
  <c r="AA48" i="10"/>
  <c r="Y49" i="10"/>
  <c r="Z19" i="10"/>
  <c r="Y52" i="10"/>
  <c r="AC17" i="10" l="1"/>
  <c r="AB48" i="10"/>
  <c r="AB47" i="10"/>
  <c r="AC16" i="10"/>
  <c r="AA19" i="10"/>
  <c r="Z52" i="10"/>
  <c r="Z49" i="10"/>
  <c r="Z51" i="10"/>
  <c r="AA18" i="10"/>
  <c r="AA51" i="10" l="1"/>
  <c r="AB18" i="10"/>
  <c r="AA49" i="10"/>
  <c r="AB19" i="10"/>
  <c r="AA52" i="10"/>
  <c r="AD16" i="10"/>
  <c r="AC47" i="10"/>
  <c r="AC48" i="10"/>
  <c r="AD17" i="10"/>
  <c r="AE17" i="10" l="1"/>
  <c r="AD48" i="10"/>
  <c r="AD47" i="10"/>
  <c r="AE16" i="10"/>
  <c r="AB52" i="10"/>
  <c r="AC19" i="10"/>
  <c r="AB49" i="10"/>
  <c r="AB51" i="10"/>
  <c r="AC18" i="10"/>
  <c r="AD18" i="10" l="1"/>
  <c r="AC51" i="10"/>
  <c r="AC52" i="10"/>
  <c r="AC49" i="10"/>
  <c r="AD19" i="10"/>
  <c r="AE47" i="10"/>
  <c r="AF16" i="10"/>
  <c r="AF47" i="10" s="1"/>
  <c r="AE48" i="10"/>
  <c r="AF17" i="10"/>
  <c r="AF48" i="10" s="1"/>
  <c r="AE18" i="10" l="1"/>
  <c r="AD51" i="10"/>
  <c r="AD52" i="10"/>
  <c r="AD49" i="10"/>
  <c r="AE19" i="10"/>
  <c r="AE51" i="10" l="1"/>
  <c r="AF18" i="10"/>
  <c r="AE52" i="10"/>
  <c r="AE49" i="10"/>
  <c r="AF19" i="10"/>
  <c r="AF52" i="10" l="1"/>
  <c r="AF49" i="10"/>
  <c r="AF51" i="10"/>
</calcChain>
</file>

<file path=xl/sharedStrings.xml><?xml version="1.0" encoding="utf-8"?>
<sst xmlns="http://schemas.openxmlformats.org/spreadsheetml/2006/main" count="86" uniqueCount="71">
  <si>
    <t>passenger LDVs</t>
  </si>
  <si>
    <t>Sources:</t>
  </si>
  <si>
    <t>freight HDVs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</si>
  <si>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</si>
  <si>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</si>
  <si>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</si>
  <si>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</si>
  <si>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</si>
  <si>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</si>
  <si>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</si>
  <si>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</si>
  <si>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/>
  </si>
  <si>
    <t>BRZSPbMR BAU Required ZEV Sales Percentage by Model Region</t>
  </si>
  <si>
    <t>The ZEV sales standards imposed by a region or subregion may have schedules that</t>
  </si>
  <si>
    <t xml:space="preserve">  do not overlap with EPS classifications. In this sheet, the California Air Resource Board (CARB)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</si>
  <si>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</si>
  <si>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</si>
  <si>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Vehicle Classes</t>
  </si>
  <si>
    <t>Description</t>
  </si>
  <si>
    <t>Cars</t>
  </si>
  <si>
    <t>most light-duty road vehicles (such as cars and SUVs)</t>
  </si>
  <si>
    <t>passenger HDVs</t>
  </si>
  <si>
    <t>Buses</t>
  </si>
  <si>
    <t>buses (including school, transit, and intercity buses)</t>
  </si>
  <si>
    <t>passenger motorbikes</t>
  </si>
  <si>
    <t>registered motorcycles</t>
  </si>
  <si>
    <t>freight LDVs</t>
  </si>
  <si>
    <t>Class 2b-6</t>
  </si>
  <si>
    <t>light commercial trucks</t>
  </si>
  <si>
    <t>Class 7-8</t>
  </si>
  <si>
    <t>all other heavy road vehicles (mostly freight trucks)</t>
  </si>
  <si>
    <t>freight motorbikes</t>
  </si>
  <si>
    <t>CARB Schedules</t>
  </si>
  <si>
    <t>Year</t>
  </si>
  <si>
    <t>ACC I passenger cars</t>
  </si>
  <si>
    <t>ACC II passenger cars</t>
  </si>
  <si>
    <t>ACT Class 2b-3 pickup trucks and vans</t>
  </si>
  <si>
    <t>ACT Class 4-8 rigid (i.e., non-tractor) trucks</t>
  </si>
  <si>
    <t>ACT Class 7-8 tractor trucks</t>
  </si>
  <si>
    <t>Class 2b-3 VMT</t>
  </si>
  <si>
    <t>Class 4-8 rigid truck VMT</t>
  </si>
  <si>
    <t>Class 7-8 tractor truck VMT</t>
  </si>
  <si>
    <t>Percent of Class 4-8 truck VMT in freight LDV EPS category</t>
  </si>
  <si>
    <t>Percent of Class 4-8 truck VMT in freight HDV EPS category</t>
  </si>
  <si>
    <t>Class 2b-3 percent of freight LDV VMT</t>
  </si>
  <si>
    <t>Class 4-8 rigid truck percent of freight LDV VMT</t>
  </si>
  <si>
    <t>Class 4-8 rigid truck percent of freight HDV VMT</t>
  </si>
  <si>
    <t>Class 7-8 tractor truck percent of freight HDV VMT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</si>
  <si>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</si>
  <si>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</si>
  <si>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TOTAL BUSES</t>
  </si>
  <si>
    <t>TOTAL</t>
  </si>
  <si>
    <t>SCHOOL</t>
  </si>
  <si>
    <t>NON-SCHOOL</t>
  </si>
  <si>
    <t>GRAND</t>
  </si>
  <si>
    <t>AND FEDERAL</t>
  </si>
  <si>
    <t>EPS Schedules</t>
  </si>
  <si>
    <t>passenger LDVs  ACC I</t>
  </si>
  <si>
    <t>passenger LDVs  ACC II</t>
  </si>
  <si>
    <t>Notes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</si>
  <si>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</si>
  <si>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</si>
  <si>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</si>
  <si>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</si>
  <si>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Although manufacturers often begin selling new models before the calendar year begins, the</t>
  </si>
  <si>
    <t>EPS can't impose a ZEV standard for part of a year. Therefore, we assume sales year = model year.</t>
  </si>
  <si>
    <t>This variable expresses the percentage of vehicles sold at the model region level (not the subregion level) that are ZEVs</t>
  </si>
  <si>
    <t>(i.e., due to a mandate or binding target implemented in legislation).</t>
  </si>
  <si>
    <t>None needed</t>
  </si>
  <si>
    <t>Indonesia Data</t>
  </si>
  <si>
    <t>Indonesia does not have a ZEV sales standard at this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</si>
</sst>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6" formatCode="###0.00_)"/>
    <numFmt numFmtId="167" formatCode="#,##0_)"/>
  </numFmts>
  <fonts count="4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8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</borders>
  <cellStyleXfs count="167">
    <xf numFmtId="0" fontId="0" fillId="0" borderId="0"/>
    <xf numFmtId="0" fontId="2" fillId="0" borderId="0" applyNumberFormat="0" applyFill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7" borderId="0" applyNumberFormat="0" applyBorder="0" applyAlignment="0" applyProtection="0"/>
    <xf numFmtId="0" fontId="4" fillId="10" borderId="0" applyNumberFormat="0" applyBorder="0" applyAlignment="0" applyProtection="0"/>
    <xf numFmtId="0" fontId="4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21" borderId="0" applyNumberFormat="0" applyBorder="0" applyAlignment="0" applyProtection="0"/>
    <xf numFmtId="0" fontId="6" fillId="5" borderId="0" applyNumberFormat="0" applyBorder="0" applyAlignment="0" applyProtection="0"/>
    <xf numFmtId="0" fontId="7" fillId="0" borderId="2" applyNumberFormat="0" applyFont="0" applyProtection="0">
      <alignment wrapText="1"/>
    </xf>
    <xf numFmtId="0" fontId="7" fillId="0" borderId="2" applyNumberFormat="0" applyFont="0" applyProtection="0">
      <alignment wrapText="1"/>
    </xf>
    <xf numFmtId="0" fontId="8" fillId="22" borderId="3" applyNumberFormat="0" applyAlignment="0" applyProtection="0"/>
    <xf numFmtId="0" fontId="9" fillId="23" borderId="4" applyNumberFormat="0" applyAlignment="0" applyProtection="0"/>
    <xf numFmtId="0" fontId="10" fillId="0" borderId="0">
      <alignment horizontal="center" vertical="center" wrapText="1"/>
    </xf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2" fillId="0" borderId="0">
      <alignment horizontal="left" vertical="center" wrapText="1"/>
    </xf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11" fillId="0" borderId="0" applyFont="0" applyFill="0" applyBorder="0" applyAlignment="0" applyProtection="0"/>
    <xf numFmtId="166" fontId="13" fillId="0" borderId="5" applyNumberFormat="0" applyFill="0">
      <alignment horizontal="right"/>
    </xf>
    <xf numFmtId="166" fontId="14" fillId="0" borderId="5" applyNumberFormat="0" applyFill="0">
      <alignment horizontal="right"/>
    </xf>
    <xf numFmtId="167" fontId="15" fillId="0" borderId="5">
      <alignment horizontal="right" vertical="center"/>
    </xf>
    <xf numFmtId="49" fontId="16" fillId="0" borderId="5">
      <alignment horizontal="left" vertical="center"/>
    </xf>
    <xf numFmtId="166" fontId="13" fillId="0" borderId="5" applyNumberFormat="0" applyFill="0">
      <alignment horizontal="right"/>
    </xf>
    <xf numFmtId="0" fontId="1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7" fillId="0" borderId="6" applyNumberFormat="0" applyProtection="0">
      <alignment wrapText="1"/>
    </xf>
    <xf numFmtId="0" fontId="7" fillId="0" borderId="6" applyNumberFormat="0" applyProtection="0">
      <alignment wrapText="1"/>
    </xf>
    <xf numFmtId="0" fontId="18" fillId="6" borderId="0" applyNumberFormat="0" applyBorder="0" applyAlignment="0" applyProtection="0"/>
    <xf numFmtId="0" fontId="19" fillId="0" borderId="7" applyNumberFormat="0" applyProtection="0">
      <alignment wrapText="1"/>
    </xf>
    <xf numFmtId="0" fontId="19" fillId="0" borderId="7" applyNumberFormat="0" applyProtection="0">
      <alignment wrapText="1"/>
    </xf>
    <xf numFmtId="0" fontId="20" fillId="0" borderId="8" applyNumberFormat="0" applyFill="0" applyAlignment="0" applyProtection="0"/>
    <xf numFmtId="0" fontId="21" fillId="0" borderId="9" applyNumberFormat="0" applyFill="0" applyAlignment="0" applyProtection="0"/>
    <xf numFmtId="0" fontId="22" fillId="0" borderId="10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5">
      <alignment horizontal="left"/>
    </xf>
    <xf numFmtId="0" fontId="24" fillId="0" borderId="5">
      <alignment horizontal="left"/>
    </xf>
    <xf numFmtId="0" fontId="25" fillId="0" borderId="11">
      <alignment horizontal="right" vertical="center"/>
    </xf>
    <xf numFmtId="0" fontId="26" fillId="0" borderId="5">
      <alignment horizontal="left" vertical="center"/>
    </xf>
    <xf numFmtId="0" fontId="13" fillId="0" borderId="5">
      <alignment horizontal="left" vertical="center"/>
    </xf>
    <xf numFmtId="0" fontId="23" fillId="0" borderId="5">
      <alignment horizontal="left"/>
    </xf>
    <xf numFmtId="0" fontId="23" fillId="24" borderId="0">
      <alignment horizontal="centerContinuous" wrapText="1"/>
    </xf>
    <xf numFmtId="49" fontId="23" fillId="24" borderId="12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3" applyNumberFormat="0" applyAlignment="0" applyProtection="0"/>
    <xf numFmtId="0" fontId="29" fillId="0" borderId="13" applyNumberFormat="0" applyFill="0" applyAlignment="0" applyProtection="0"/>
    <xf numFmtId="0" fontId="30" fillId="25" borderId="0" applyNumberFormat="0" applyBorder="0" applyAlignment="0" applyProtection="0"/>
    <xf numFmtId="0" fontId="3" fillId="0" borderId="0"/>
    <xf numFmtId="0" fontId="3" fillId="0" borderId="0"/>
    <xf numFmtId="0" fontId="7" fillId="0" borderId="0"/>
    <xf numFmtId="0" fontId="11" fillId="0" borderId="0"/>
    <xf numFmtId="0" fontId="31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3" fillId="3" borderId="1" applyNumberFormat="0" applyFont="0" applyAlignment="0" applyProtection="0"/>
    <xf numFmtId="0" fontId="11" fillId="26" borderId="14" applyNumberFormat="0" applyFont="0" applyAlignment="0" applyProtection="0"/>
    <xf numFmtId="0" fontId="32" fillId="22" borderId="15" applyNumberFormat="0" applyAlignment="0" applyProtection="0"/>
    <xf numFmtId="0" fontId="19" fillId="0" borderId="16" applyNumberFormat="0" applyProtection="0">
      <alignment wrapText="1"/>
    </xf>
    <xf numFmtId="0" fontId="19" fillId="0" borderId="16" applyNumberFormat="0" applyProtection="0">
      <alignment wrapText="1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" fillId="0" borderId="0" applyFont="0" applyFill="0" applyBorder="0" applyAlignment="0" applyProtection="0"/>
    <xf numFmtId="3" fontId="15" fillId="0" borderId="0">
      <alignment horizontal="left" vertical="center"/>
    </xf>
    <xf numFmtId="0" fontId="10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6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5" fillId="0" borderId="0">
      <alignment horizontal="left" vertical="center"/>
    </xf>
    <xf numFmtId="49" fontId="16" fillId="0" borderId="5">
      <alignment horizontal="left"/>
    </xf>
    <xf numFmtId="166" fontId="15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36" fillId="0" borderId="0" applyNumberFormat="0" applyProtection="0">
      <alignment horizontal="left"/>
    </xf>
    <xf numFmtId="0" fontId="36" fillId="0" borderId="0" applyNumberFormat="0" applyProtection="0">
      <alignment horizontal="left"/>
    </xf>
    <xf numFmtId="0" fontId="37" fillId="0" borderId="0" applyNumberFormat="0" applyFill="0" applyBorder="0" applyAlignment="0" applyProtection="0"/>
    <xf numFmtId="0" fontId="23" fillId="0" borderId="0">
      <alignment horizontal="left"/>
    </xf>
    <xf numFmtId="0" fontId="12" fillId="0" borderId="0">
      <alignment horizontal="left"/>
    </xf>
    <xf numFmtId="0" fontId="13" fillId="0" borderId="0">
      <alignment horizontal="left"/>
    </xf>
    <xf numFmtId="0" fontId="38" fillId="0" borderId="0">
      <alignment horizontal="left" vertical="top"/>
    </xf>
    <xf numFmtId="0" fontId="12" fillId="0" borderId="0">
      <alignment horizontal="left"/>
    </xf>
    <xf numFmtId="0" fontId="13" fillId="0" borderId="0">
      <alignment horizontal="left"/>
    </xf>
    <xf numFmtId="0" fontId="39" fillId="0" borderId="18" applyNumberFormat="0" applyFill="0" applyAlignment="0" applyProtection="0"/>
    <xf numFmtId="0" fontId="40" fillId="0" borderId="0" applyNumberFormat="0" applyFill="0" applyBorder="0" applyAlignment="0" applyProtection="0"/>
    <xf numFmtId="49" fontId="15" fillId="0" borderId="5">
      <alignment horizontal="left"/>
    </xf>
    <xf numFmtId="0" fontId="25" fillId="0" borderId="11">
      <alignment horizontal="left"/>
    </xf>
    <xf numFmtId="0" fontId="23" fillId="0" borderId="0">
      <alignment horizontal="left" vertical="center"/>
    </xf>
    <xf numFmtId="49" fontId="33" fillId="0" borderId="5">
      <alignment horizontal="left"/>
    </xf>
    <xf numFmtId="9" fontId="3" fillId="0" borderId="0" applyFont="0" applyFill="0" applyBorder="0" applyAlignment="0" applyProtection="0"/>
    <xf numFmtId="43" fontId="11" fillId="0" borderId="0"/>
    <xf numFmtId="0" fontId="7" fillId="0" borderId="0"/>
    <xf numFmtId="0" fontId="7" fillId="0" borderId="0"/>
    <xf numFmtId="0" fontId="19" fillId="0" borderId="7">
      <alignment wrapText="1"/>
    </xf>
    <xf numFmtId="0" fontId="7" fillId="0" borderId="0"/>
    <xf numFmtId="0" fontId="36" fillId="0" borderId="0">
      <alignment horizontal="left"/>
    </xf>
    <xf numFmtId="0" fontId="19" fillId="0" borderId="16">
      <alignment wrapText="1"/>
    </xf>
    <xf numFmtId="0" fontId="7" fillId="0" borderId="2">
      <alignment wrapText="1"/>
    </xf>
    <xf numFmtId="0" fontId="7" fillId="0" borderId="6">
      <alignment wrapText="1"/>
    </xf>
    <xf numFmtId="0" fontId="44" fillId="0" borderId="0"/>
    <xf numFmtId="0" fontId="3" fillId="0" borderId="0"/>
    <xf numFmtId="0" fontId="45" fillId="0" borderId="0"/>
  </cellStyleXfs>
  <cellXfs count="4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2" fontId="0" fillId="0" borderId="0" xfId="0" applyNumberFormat="1"/>
    <xf numFmtId="0" fontId="1" fillId="0" borderId="0" xfId="0" applyFont="1" applyAlignment="1">
      <alignment wrapText="1"/>
    </xf>
    <xf numFmtId="9" fontId="0" fillId="0" borderId="0" xfId="154" applyFont="1"/>
    <xf numFmtId="0" fontId="41" fillId="0" borderId="20" xfId="0" applyFont="1" applyBorder="1"/>
    <xf numFmtId="0" fontId="0" fillId="0" borderId="21" xfId="0" applyBorder="1"/>
    <xf numFmtId="0" fontId="0" fillId="0" borderId="22" xfId="0" applyBorder="1"/>
    <xf numFmtId="0" fontId="41" fillId="0" borderId="19" xfId="0" applyFont="1" applyBorder="1"/>
    <xf numFmtId="0" fontId="0" fillId="0" borderId="23" xfId="0" applyBorder="1"/>
    <xf numFmtId="0" fontId="41" fillId="0" borderId="24" xfId="0" applyFont="1" applyBorder="1"/>
    <xf numFmtId="0" fontId="0" fillId="0" borderId="12" xfId="0" applyBorder="1"/>
    <xf numFmtId="0" fontId="0" fillId="0" borderId="25" xfId="0" applyBorder="1"/>
    <xf numFmtId="0" fontId="1" fillId="0" borderId="20" xfId="0" applyFont="1" applyBorder="1"/>
    <xf numFmtId="0" fontId="0" fillId="0" borderId="19" xfId="0" applyBorder="1"/>
    <xf numFmtId="0" fontId="0" fillId="0" borderId="24" xfId="0" applyBorder="1"/>
    <xf numFmtId="0" fontId="1" fillId="0" borderId="21" xfId="0" applyFont="1" applyBorder="1"/>
    <xf numFmtId="9" fontId="0" fillId="0" borderId="0" xfId="154" applyFont="1" applyBorder="1" applyAlignment="1"/>
    <xf numFmtId="9" fontId="0" fillId="0" borderId="0" xfId="0" applyNumberFormat="1"/>
    <xf numFmtId="9" fontId="0" fillId="0" borderId="23" xfId="0" applyNumberFormat="1" applyBorder="1"/>
    <xf numFmtId="9" fontId="0" fillId="0" borderId="0" xfId="154" applyFont="1" applyBorder="1"/>
    <xf numFmtId="9" fontId="0" fillId="0" borderId="12" xfId="154" applyFont="1" applyBorder="1" applyAlignment="1"/>
    <xf numFmtId="9" fontId="0" fillId="0" borderId="12" xfId="154" applyFont="1" applyBorder="1"/>
    <xf numFmtId="9" fontId="0" fillId="0" borderId="12" xfId="0" applyNumberFormat="1" applyBorder="1"/>
    <xf numFmtId="9" fontId="0" fillId="0" borderId="25" xfId="0" applyNumberFormat="1" applyBorder="1"/>
    <xf numFmtId="0" fontId="1" fillId="0" borderId="22" xfId="0" applyFont="1" applyBorder="1"/>
    <xf numFmtId="0" fontId="1" fillId="0" borderId="19" xfId="0" applyFont="1" applyBorder="1"/>
    <xf numFmtId="0" fontId="43" fillId="0" borderId="29" xfId="0" applyFont="1" applyBorder="1" applyAlignment="1">
      <alignment horizontal="center"/>
    </xf>
    <xf numFmtId="0" fontId="43" fillId="0" borderId="30" xfId="0" applyFont="1" applyBorder="1" applyAlignment="1">
      <alignment horizontal="center"/>
    </xf>
    <xf numFmtId="0" fontId="43" fillId="0" borderId="31" xfId="0" applyFont="1" applyBorder="1" applyAlignment="1">
      <alignment horizontal="center"/>
    </xf>
    <xf numFmtId="0" fontId="43" fillId="0" borderId="32" xfId="0" applyFont="1" applyBorder="1"/>
    <xf numFmtId="0" fontId="43" fillId="0" borderId="33" xfId="0" applyFont="1" applyBorder="1"/>
    <xf numFmtId="3" fontId="43" fillId="0" borderId="34" xfId="154" applyNumberFormat="1" applyFont="1" applyFill="1" applyBorder="1" applyProtection="1"/>
    <xf numFmtId="3" fontId="43" fillId="0" borderId="35" xfId="154" applyNumberFormat="1" applyFont="1" applyFill="1" applyBorder="1" applyProtection="1"/>
    <xf numFmtId="0" fontId="1" fillId="28" borderId="0" xfId="0" applyFont="1" applyFill="1"/>
    <xf numFmtId="0" fontId="0" fillId="28" borderId="0" xfId="0" applyFill="1"/>
    <xf numFmtId="0" fontId="43" fillId="0" borderId="26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43" fillId="0" borderId="28" xfId="0" applyFont="1" applyBorder="1" applyAlignment="1">
      <alignment horizontal="center"/>
    </xf>
  </cellXfs>
  <cellStyles count="167">
    <cellStyle name="20% - Accent1 2" xfId="2" xr:uid="{00000000-0005-0000-0000-000000000000}"/>
    <cellStyle name="20% - Accent2 2" xfId="3" xr:uid="{00000000-0005-0000-0000-000001000000}"/>
    <cellStyle name="20% - Accent3 2" xfId="4" xr:uid="{00000000-0005-0000-0000-000002000000}"/>
    <cellStyle name="20% - Accent4 2" xfId="5" xr:uid="{00000000-0005-0000-0000-000003000000}"/>
    <cellStyle name="20% - Accent5 2" xfId="6" xr:uid="{00000000-0005-0000-0000-000004000000}"/>
    <cellStyle name="20% - Accent6 2" xfId="7" xr:uid="{00000000-0005-0000-0000-000005000000}"/>
    <cellStyle name="40% - Accent1 2" xfId="8" xr:uid="{00000000-0005-0000-0000-000006000000}"/>
    <cellStyle name="40% - Accent2 2" xfId="9" xr:uid="{00000000-0005-0000-0000-000007000000}"/>
    <cellStyle name="40% - Accent3 2" xfId="10" xr:uid="{00000000-0005-0000-0000-000008000000}"/>
    <cellStyle name="40% - Accent4 2" xfId="11" xr:uid="{00000000-0005-0000-0000-000009000000}"/>
    <cellStyle name="40% - Accent5 2" xfId="12" xr:uid="{00000000-0005-0000-0000-00000A000000}"/>
    <cellStyle name="40% - Accent6 2" xfId="13" xr:uid="{00000000-0005-0000-0000-00000B000000}"/>
    <cellStyle name="60% - Accent1 2" xfId="14" xr:uid="{00000000-0005-0000-0000-00000C000000}"/>
    <cellStyle name="60% - Accent2 2" xfId="15" xr:uid="{00000000-0005-0000-0000-00000D000000}"/>
    <cellStyle name="60% - Accent3 2" xfId="16" xr:uid="{00000000-0005-0000-0000-00000E000000}"/>
    <cellStyle name="60% - Accent4 2" xfId="17" xr:uid="{00000000-0005-0000-0000-00000F000000}"/>
    <cellStyle name="60% - Accent5 2" xfId="18" xr:uid="{00000000-0005-0000-0000-000010000000}"/>
    <cellStyle name="60% - Accent6 2" xfId="19" xr:uid="{00000000-0005-0000-0000-000011000000}"/>
    <cellStyle name="Accent1 2" xfId="20" xr:uid="{00000000-0005-0000-0000-000012000000}"/>
    <cellStyle name="Accent2 2" xfId="21" xr:uid="{00000000-0005-0000-0000-000013000000}"/>
    <cellStyle name="Accent3 2" xfId="22" xr:uid="{00000000-0005-0000-0000-000014000000}"/>
    <cellStyle name="Accent4 2" xfId="23" xr:uid="{00000000-0005-0000-0000-000015000000}"/>
    <cellStyle name="Accent5 2" xfId="24" xr:uid="{00000000-0005-0000-0000-000016000000}"/>
    <cellStyle name="Accent6 2" xfId="25" xr:uid="{00000000-0005-0000-0000-000017000000}"/>
    <cellStyle name="Bad 2" xfId="26" xr:uid="{00000000-0005-0000-0000-000018000000}"/>
    <cellStyle name="Body: normal cell" xfId="27" xr:uid="{00000000-0005-0000-0000-000019000000}"/>
    <cellStyle name="Body: normal cell 2" xfId="28" xr:uid="{00000000-0005-0000-0000-00001A000000}"/>
    <cellStyle name="Body: normal cell 3" xfId="162" xr:uid="{BD8220D3-7308-40A8-86EF-1070EC057E26}"/>
    <cellStyle name="Calculation 2" xfId="29" xr:uid="{00000000-0005-0000-0000-00001B000000}"/>
    <cellStyle name="Check Cell 2" xfId="30" xr:uid="{00000000-0005-0000-0000-00001C000000}"/>
    <cellStyle name="Column heading" xfId="31" xr:uid="{00000000-0005-0000-0000-00001D000000}"/>
    <cellStyle name="Comma 2" xfId="32" xr:uid="{00000000-0005-0000-0000-00001E000000}"/>
    <cellStyle name="Comma 2 2" xfId="33" xr:uid="{00000000-0005-0000-0000-00001F000000}"/>
    <cellStyle name="Comma 2 3" xfId="155" xr:uid="{F51FC19E-4EAF-4071-9F29-F9F4A72863A2}"/>
    <cellStyle name="Comma 3" xfId="34" xr:uid="{00000000-0005-0000-0000-000020000000}"/>
    <cellStyle name="Comma 4" xfId="35" xr:uid="{00000000-0005-0000-0000-000021000000}"/>
    <cellStyle name="Comma 5" xfId="36" xr:uid="{00000000-0005-0000-0000-000022000000}"/>
    <cellStyle name="Comma 6" xfId="37" xr:uid="{00000000-0005-0000-0000-000023000000}"/>
    <cellStyle name="Comma 7" xfId="38" xr:uid="{00000000-0005-0000-0000-000024000000}"/>
    <cellStyle name="Comma 8" xfId="39" xr:uid="{00000000-0005-0000-0000-000025000000}"/>
    <cellStyle name="Corner heading" xfId="40" xr:uid="{00000000-0005-0000-0000-000026000000}"/>
    <cellStyle name="Currency 2" xfId="41" xr:uid="{00000000-0005-0000-0000-000027000000}"/>
    <cellStyle name="Currency 3" xfId="42" xr:uid="{00000000-0005-0000-0000-000028000000}"/>
    <cellStyle name="Currency 3 2" xfId="43" xr:uid="{00000000-0005-0000-0000-000029000000}"/>
    <cellStyle name="Data" xfId="44" xr:uid="{00000000-0005-0000-0000-00002A000000}"/>
    <cellStyle name="Data 2" xfId="45" xr:uid="{00000000-0005-0000-0000-00002B000000}"/>
    <cellStyle name="Data no deci" xfId="46" xr:uid="{00000000-0005-0000-0000-00002C000000}"/>
    <cellStyle name="Data Superscript" xfId="47" xr:uid="{00000000-0005-0000-0000-00002D000000}"/>
    <cellStyle name="Data_1-1A-Regular" xfId="48" xr:uid="{00000000-0005-0000-0000-00002E000000}"/>
    <cellStyle name="Explanatory Text 2" xfId="49" xr:uid="{00000000-0005-0000-0000-00002F000000}"/>
    <cellStyle name="Font: Calibri, 9pt regular" xfId="50" xr:uid="{00000000-0005-0000-0000-000030000000}"/>
    <cellStyle name="Font: Calibri, 9pt regular 2" xfId="51" xr:uid="{00000000-0005-0000-0000-000031000000}"/>
    <cellStyle name="Font: Calibri, 9pt regular 3" xfId="157" xr:uid="{75D153AD-1A1B-4894-B4DF-1C8F27DC84A5}"/>
    <cellStyle name="Footnotes: top row" xfId="52" xr:uid="{00000000-0005-0000-0000-000032000000}"/>
    <cellStyle name="Footnotes: top row 2" xfId="53" xr:uid="{00000000-0005-0000-0000-000033000000}"/>
    <cellStyle name="Footnotes: top row 3" xfId="163" xr:uid="{EE0409B9-1DE2-4195-91E0-9BF7C92026C8}"/>
    <cellStyle name="Good 2" xfId="54" xr:uid="{00000000-0005-0000-0000-000034000000}"/>
    <cellStyle name="Header: bottom row" xfId="55" xr:uid="{00000000-0005-0000-0000-000035000000}"/>
    <cellStyle name="Header: bottom row 2" xfId="56" xr:uid="{00000000-0005-0000-0000-000036000000}"/>
    <cellStyle name="Header: bottom row 3" xfId="158" xr:uid="{1BE7A04C-F99A-43BB-8257-9F1789CB02A3}"/>
    <cellStyle name="Heading 1 2" xfId="57" xr:uid="{00000000-0005-0000-0000-000037000000}"/>
    <cellStyle name="Heading 2 2" xfId="58" xr:uid="{00000000-0005-0000-0000-000038000000}"/>
    <cellStyle name="Heading 3 2" xfId="59" xr:uid="{00000000-0005-0000-0000-000039000000}"/>
    <cellStyle name="Heading 4 2" xfId="60" xr:uid="{00000000-0005-0000-0000-00003A000000}"/>
    <cellStyle name="Hed Side" xfId="61" xr:uid="{00000000-0005-0000-0000-00003B000000}"/>
    <cellStyle name="Hed Side 2" xfId="62" xr:uid="{00000000-0005-0000-0000-00003C000000}"/>
    <cellStyle name="Hed Side bold" xfId="63" xr:uid="{00000000-0005-0000-0000-00003D000000}"/>
    <cellStyle name="Hed Side Indent" xfId="64" xr:uid="{00000000-0005-0000-0000-00003E000000}"/>
    <cellStyle name="Hed Side Regular" xfId="65" xr:uid="{00000000-0005-0000-0000-00003F000000}"/>
    <cellStyle name="Hed Side_1-1A-Regular" xfId="66" xr:uid="{00000000-0005-0000-0000-000040000000}"/>
    <cellStyle name="Hed Top" xfId="67" xr:uid="{00000000-0005-0000-0000-000041000000}"/>
    <cellStyle name="Hed Top - SECTION" xfId="68" xr:uid="{00000000-0005-0000-0000-000042000000}"/>
    <cellStyle name="Hed Top_3-new4" xfId="69" xr:uid="{00000000-0005-0000-0000-000043000000}"/>
    <cellStyle name="Hyperlink" xfId="1" builtinId="8"/>
    <cellStyle name="Hyperlink 2" xfId="70" xr:uid="{00000000-0005-0000-0000-000045000000}"/>
    <cellStyle name="Input 2" xfId="71" xr:uid="{00000000-0005-0000-0000-000046000000}"/>
    <cellStyle name="Linked Cell 2" xfId="72" xr:uid="{00000000-0005-0000-0000-000047000000}"/>
    <cellStyle name="Neutral 2" xfId="73" xr:uid="{00000000-0005-0000-0000-000048000000}"/>
    <cellStyle name="Normal" xfId="0" builtinId="0"/>
    <cellStyle name="Normal 10" xfId="74" xr:uid="{00000000-0005-0000-0000-00004A000000}"/>
    <cellStyle name="Normal 11" xfId="75" xr:uid="{00000000-0005-0000-0000-00004B000000}"/>
    <cellStyle name="Normal 2" xfId="76" xr:uid="{00000000-0005-0000-0000-00004C000000}"/>
    <cellStyle name="Normal 2 2" xfId="77" xr:uid="{00000000-0005-0000-0000-00004D000000}"/>
    <cellStyle name="Normal 2 2 2" xfId="159" xr:uid="{4FA03537-DCFD-4BEF-9EC9-F51B1454AE86}"/>
    <cellStyle name="Normal 2 3" xfId="78" xr:uid="{00000000-0005-0000-0000-00004E000000}"/>
    <cellStyle name="Normal 2 4" xfId="164" xr:uid="{643CD30A-9AC2-49AF-9D62-DF0EE989F3C7}"/>
    <cellStyle name="Normal 3" xfId="79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6 3" xfId="165" xr:uid="{5F3CB142-6535-4C51-81A0-7CCF5F704DF2}"/>
    <cellStyle name="Normal 7" xfId="112" xr:uid="{00000000-0005-0000-0000-000070000000}"/>
    <cellStyle name="Normal 7 2" xfId="113" xr:uid="{00000000-0005-0000-0000-000071000000}"/>
    <cellStyle name="Normal 7 3" xfId="166" xr:uid="{96E73DB5-C399-4E22-9800-AE72CCFF496F}"/>
    <cellStyle name="Normal 8" xfId="114" xr:uid="{00000000-0005-0000-0000-000072000000}"/>
    <cellStyle name="Normal 8 2" xfId="156" xr:uid="{DB476EEE-3602-4B18-B1D9-AAA3716C63E6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arent row 3" xfId="161" xr:uid="{36B06B76-252B-4C2C-871B-D9B43BF09D1D}"/>
    <cellStyle name="Percent" xfId="154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able title 3" xfId="160" xr:uid="{982F4A70-75F5-4ABB-8B76-14B697F9C8B6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504824</xdr:colOff>
      <xdr:row>12</xdr:row>
      <xdr:rowOff>63500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52BCFD-C004-4C4D-AFA1-961CBDFA870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2923" y="119939"/>
          <a:ext cx="5079526" cy="21089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"/>
  <sheetViews>
    <sheetView workbookViewId="0">
      <selection activeCell="A23" sqref="A23"/>
    </sheetView>
  </sheetViews>
  <sheetFormatPr defaultRowHeight="14.5"/>
  <cols>
    <col min="1" max="1" width="11.54296875" customWidth="1"/>
    <col min="2" max="2" width="85.1796875" customWidth="1"/>
  </cols>
  <sheetData>
    <row r="1" spans="1:4">
      <c r="A1" s="1" t="s">
        <v>12</v>
      </c>
    </row>
    <row r="3" spans="1:4">
      <c r="A3" s="1" t="s">
        <v>1</v>
      </c>
      <c r="B3" s="4" t="s">
        <v>68</v>
      </c>
      <c r="D3" s="4"/>
    </row>
    <row r="5" spans="1:4">
      <c r="B5" s="2"/>
      <c r="D5" s="2"/>
    </row>
    <row r="7" spans="1:4">
      <c r="B7" s="3"/>
      <c r="D7" s="3"/>
    </row>
    <row r="10" spans="1:4">
      <c r="A10" s="1" t="s">
        <v>59</v>
      </c>
    </row>
    <row r="11" spans="1:4">
      <c r="A11" t="s">
        <v>66</v>
      </c>
    </row>
    <row r="12" spans="1:4">
      <c r="A12" t="s">
        <v>67</v>
      </c>
    </row>
    <row r="13" spans="1:4">
      <c r="A13" t="s">
        <v>60</v>
      </c>
    </row>
    <row r="14" spans="1:4">
      <c r="A14" t="s">
        <v>61</v>
      </c>
    </row>
    <row r="15" spans="1:4">
      <c r="A15" t="s">
        <v>62</v>
      </c>
    </row>
    <row r="16" spans="1:4">
      <c r="A16" t="s">
        <v>63</v>
      </c>
    </row>
    <row r="18" spans="1:2">
      <c r="A18" t="s">
        <v>64</v>
      </c>
    </row>
    <row r="19" spans="1:2">
      <c r="A19" t="s">
        <v>65</v>
      </c>
    </row>
    <row r="21" spans="1:2">
      <c r="A21" s="38" t="s">
        <v>69</v>
      </c>
      <c r="B21" s="39"/>
    </row>
    <row r="22" spans="1:2">
      <c r="A22" t="s">
        <v>70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71F6E-8C2A-49A7-A59E-01343289140E}">
  <dimension ref="A1:AF53"/>
  <sheetViews>
    <sheetView topLeftCell="A28" workbookViewId="0">
      <selection activeCell="K51" sqref="K51"/>
    </sheetView>
  </sheetViews>
  <sheetFormatPr defaultRowHeight="14.5"/>
  <cols>
    <col min="1" max="1" width="36.453125" customWidth="1"/>
    <col min="2" max="2" width="10.7265625" customWidth="1"/>
    <col min="3" max="3" width="20" bestFit="1" customWidth="1"/>
    <col min="13" max="13" width="9.81640625" bestFit="1" customWidth="1"/>
    <col min="18" max="18" width="9.81640625" bestFit="1" customWidth="1"/>
  </cols>
  <sheetData>
    <row r="1" spans="1:32">
      <c r="A1" s="9" t="s">
        <v>13</v>
      </c>
      <c r="B1" s="10"/>
      <c r="C1" s="10"/>
      <c r="D1" s="10"/>
      <c r="E1" s="10"/>
      <c r="F1" s="11"/>
    </row>
    <row r="2" spans="1:32">
      <c r="A2" s="12" t="s">
        <v>14</v>
      </c>
      <c r="F2" s="13"/>
    </row>
    <row r="3" spans="1:32">
      <c r="A3" s="12" t="s">
        <v>15</v>
      </c>
      <c r="F3" s="13"/>
    </row>
    <row r="4" spans="1:32">
      <c r="A4" s="14" t="s">
        <v>16</v>
      </c>
      <c r="B4" s="15"/>
      <c r="C4" s="15"/>
      <c r="D4" s="15"/>
      <c r="E4" s="15"/>
      <c r="F4" s="16"/>
    </row>
    <row r="6" spans="1:32">
      <c r="A6" s="17" t="s">
        <v>17</v>
      </c>
      <c r="B6" s="10"/>
      <c r="C6" s="10" t="s">
        <v>18</v>
      </c>
      <c r="D6" s="10"/>
      <c r="E6" s="10"/>
      <c r="F6" s="11"/>
    </row>
    <row r="7" spans="1:32">
      <c r="A7" s="18" t="s">
        <v>0</v>
      </c>
      <c r="B7" t="s">
        <v>19</v>
      </c>
      <c r="C7" t="s">
        <v>20</v>
      </c>
      <c r="F7" s="13"/>
    </row>
    <row r="8" spans="1:32">
      <c r="A8" s="18" t="s">
        <v>21</v>
      </c>
      <c r="B8" t="s">
        <v>22</v>
      </c>
      <c r="C8" t="s">
        <v>23</v>
      </c>
      <c r="F8" s="13"/>
    </row>
    <row r="9" spans="1:32">
      <c r="A9" s="18" t="s">
        <v>24</v>
      </c>
      <c r="C9" t="s">
        <v>25</v>
      </c>
      <c r="F9" s="13"/>
    </row>
    <row r="10" spans="1:32">
      <c r="A10" s="18" t="s">
        <v>26</v>
      </c>
      <c r="B10" t="s">
        <v>27</v>
      </c>
      <c r="C10" t="s">
        <v>28</v>
      </c>
      <c r="F10" s="13"/>
    </row>
    <row r="11" spans="1:32">
      <c r="A11" s="18" t="s">
        <v>2</v>
      </c>
      <c r="B11" t="s">
        <v>29</v>
      </c>
      <c r="C11" t="s">
        <v>30</v>
      </c>
      <c r="F11" s="13"/>
    </row>
    <row r="12" spans="1:32">
      <c r="A12" s="19" t="s">
        <v>31</v>
      </c>
      <c r="B12" s="15"/>
      <c r="C12" s="15" t="s">
        <v>25</v>
      </c>
      <c r="D12" s="15"/>
      <c r="E12" s="15"/>
      <c r="F12" s="16"/>
    </row>
    <row r="14" spans="1:32">
      <c r="A14" s="17" t="s">
        <v>32</v>
      </c>
      <c r="B14" s="20"/>
      <c r="C14" s="20"/>
      <c r="D14" s="20"/>
      <c r="E14" s="2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1"/>
    </row>
    <row r="15" spans="1:32">
      <c r="A15" s="18" t="s">
        <v>33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3">
        <v>2050</v>
      </c>
    </row>
    <row r="16" spans="1:32">
      <c r="A16" s="18" t="s">
        <v>34</v>
      </c>
      <c r="B16" s="21">
        <f t="shared" ref="B16:G16" si="0">(B15-2018)/(2025-2018)*(0.22-0.045)+0.045</f>
        <v>9.5000000000000001E-2</v>
      </c>
      <c r="C16" s="21">
        <f t="shared" si="0"/>
        <v>0.12</v>
      </c>
      <c r="D16" s="21">
        <f t="shared" si="0"/>
        <v>0.14499999999999999</v>
      </c>
      <c r="E16" s="21">
        <f t="shared" si="0"/>
        <v>0.16999999999999998</v>
      </c>
      <c r="F16" s="21">
        <f t="shared" si="0"/>
        <v>0.19500000000000001</v>
      </c>
      <c r="G16" s="21">
        <f t="shared" si="0"/>
        <v>0.21999999999999997</v>
      </c>
      <c r="H16" s="21">
        <v>0.22</v>
      </c>
      <c r="I16" s="21">
        <v>0.22</v>
      </c>
      <c r="J16" s="21">
        <v>0.22</v>
      </c>
      <c r="K16" s="21">
        <v>0.22</v>
      </c>
      <c r="L16" s="21">
        <v>0.22</v>
      </c>
      <c r="M16" s="21">
        <v>0.22</v>
      </c>
      <c r="N16" s="21">
        <v>0.22</v>
      </c>
      <c r="O16" s="21">
        <v>0.22</v>
      </c>
      <c r="P16" s="21">
        <v>0.22</v>
      </c>
      <c r="Q16" s="21">
        <v>0.22</v>
      </c>
      <c r="R16" s="22">
        <f>Q16</f>
        <v>0.22</v>
      </c>
      <c r="S16" s="22">
        <f t="shared" ref="S16:AF16" si="1">R16</f>
        <v>0.22</v>
      </c>
      <c r="T16" s="22">
        <f t="shared" si="1"/>
        <v>0.22</v>
      </c>
      <c r="U16" s="22">
        <f t="shared" si="1"/>
        <v>0.22</v>
      </c>
      <c r="V16" s="22">
        <f t="shared" si="1"/>
        <v>0.22</v>
      </c>
      <c r="W16" s="22">
        <f t="shared" si="1"/>
        <v>0.22</v>
      </c>
      <c r="X16" s="22">
        <f t="shared" si="1"/>
        <v>0.22</v>
      </c>
      <c r="Y16" s="22">
        <f t="shared" si="1"/>
        <v>0.22</v>
      </c>
      <c r="Z16" s="22">
        <f t="shared" si="1"/>
        <v>0.22</v>
      </c>
      <c r="AA16" s="22">
        <f t="shared" si="1"/>
        <v>0.22</v>
      </c>
      <c r="AB16" s="22">
        <f t="shared" si="1"/>
        <v>0.22</v>
      </c>
      <c r="AC16" s="22">
        <f t="shared" si="1"/>
        <v>0.22</v>
      </c>
      <c r="AD16" s="22">
        <f t="shared" si="1"/>
        <v>0.22</v>
      </c>
      <c r="AE16" s="22">
        <f t="shared" si="1"/>
        <v>0.22</v>
      </c>
      <c r="AF16" s="23">
        <f t="shared" si="1"/>
        <v>0.22</v>
      </c>
    </row>
    <row r="17" spans="1:32">
      <c r="A17" s="18" t="s">
        <v>35</v>
      </c>
      <c r="B17" s="21">
        <f t="shared" ref="B17:G17" si="2">B16</f>
        <v>9.5000000000000001E-2</v>
      </c>
      <c r="C17" s="21">
        <f t="shared" si="2"/>
        <v>0.12</v>
      </c>
      <c r="D17" s="21">
        <f t="shared" si="2"/>
        <v>0.14499999999999999</v>
      </c>
      <c r="E17" s="21">
        <f t="shared" si="2"/>
        <v>0.16999999999999998</v>
      </c>
      <c r="F17" s="21">
        <f t="shared" si="2"/>
        <v>0.19500000000000001</v>
      </c>
      <c r="G17" s="21">
        <f t="shared" si="2"/>
        <v>0.21999999999999997</v>
      </c>
      <c r="H17" s="21">
        <v>0.35</v>
      </c>
      <c r="I17" s="21">
        <v>0.43</v>
      </c>
      <c r="J17" s="21">
        <v>0.51</v>
      </c>
      <c r="K17" s="21">
        <v>0.59</v>
      </c>
      <c r="L17" s="21">
        <v>0.68</v>
      </c>
      <c r="M17" s="21">
        <v>0.76</v>
      </c>
      <c r="N17" s="21">
        <v>0.82</v>
      </c>
      <c r="O17" s="21">
        <v>0.88</v>
      </c>
      <c r="P17" s="21">
        <v>0.94</v>
      </c>
      <c r="Q17" s="21">
        <v>1</v>
      </c>
      <c r="R17" s="22">
        <f t="shared" ref="R17:AF20" si="3">Q17</f>
        <v>1</v>
      </c>
      <c r="S17" s="22">
        <f t="shared" si="3"/>
        <v>1</v>
      </c>
      <c r="T17" s="22">
        <f t="shared" si="3"/>
        <v>1</v>
      </c>
      <c r="U17" s="22">
        <f t="shared" si="3"/>
        <v>1</v>
      </c>
      <c r="V17" s="22">
        <f t="shared" si="3"/>
        <v>1</v>
      </c>
      <c r="W17" s="22">
        <f t="shared" si="3"/>
        <v>1</v>
      </c>
      <c r="X17" s="22">
        <f t="shared" si="3"/>
        <v>1</v>
      </c>
      <c r="Y17" s="22">
        <f t="shared" si="3"/>
        <v>1</v>
      </c>
      <c r="Z17" s="22">
        <f t="shared" si="3"/>
        <v>1</v>
      </c>
      <c r="AA17" s="22">
        <f t="shared" si="3"/>
        <v>1</v>
      </c>
      <c r="AB17" s="22">
        <f t="shared" si="3"/>
        <v>1</v>
      </c>
      <c r="AC17" s="22">
        <f t="shared" si="3"/>
        <v>1</v>
      </c>
      <c r="AD17" s="22">
        <f t="shared" si="3"/>
        <v>1</v>
      </c>
      <c r="AE17" s="22">
        <f t="shared" si="3"/>
        <v>1</v>
      </c>
      <c r="AF17" s="23">
        <f t="shared" si="3"/>
        <v>1</v>
      </c>
    </row>
    <row r="18" spans="1:32">
      <c r="A18" s="18" t="s">
        <v>36</v>
      </c>
      <c r="B18" s="21">
        <v>0</v>
      </c>
      <c r="C18" s="21">
        <v>0</v>
      </c>
      <c r="D18" s="21">
        <v>0</v>
      </c>
      <c r="E18" s="21">
        <v>0</v>
      </c>
      <c r="F18" s="21">
        <v>0.05</v>
      </c>
      <c r="G18" s="21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22">
        <f t="shared" si="3"/>
        <v>0.55000000000000004</v>
      </c>
      <c r="S18" s="22">
        <f t="shared" si="3"/>
        <v>0.55000000000000004</v>
      </c>
      <c r="T18" s="22">
        <f t="shared" si="3"/>
        <v>0.55000000000000004</v>
      </c>
      <c r="U18" s="22">
        <f t="shared" si="3"/>
        <v>0.55000000000000004</v>
      </c>
      <c r="V18" s="22">
        <f t="shared" si="3"/>
        <v>0.55000000000000004</v>
      </c>
      <c r="W18" s="22">
        <f t="shared" si="3"/>
        <v>0.55000000000000004</v>
      </c>
      <c r="X18" s="22">
        <f t="shared" si="3"/>
        <v>0.55000000000000004</v>
      </c>
      <c r="Y18" s="22">
        <f t="shared" si="3"/>
        <v>0.55000000000000004</v>
      </c>
      <c r="Z18" s="22">
        <f t="shared" si="3"/>
        <v>0.55000000000000004</v>
      </c>
      <c r="AA18" s="22">
        <f t="shared" si="3"/>
        <v>0.55000000000000004</v>
      </c>
      <c r="AB18" s="22">
        <f t="shared" si="3"/>
        <v>0.55000000000000004</v>
      </c>
      <c r="AC18" s="22">
        <f t="shared" si="3"/>
        <v>0.55000000000000004</v>
      </c>
      <c r="AD18" s="22">
        <f t="shared" si="3"/>
        <v>0.55000000000000004</v>
      </c>
      <c r="AE18" s="22">
        <f t="shared" si="3"/>
        <v>0.55000000000000004</v>
      </c>
      <c r="AF18" s="23">
        <f t="shared" si="3"/>
        <v>0.55000000000000004</v>
      </c>
    </row>
    <row r="19" spans="1:32">
      <c r="A19" s="18" t="s">
        <v>37</v>
      </c>
      <c r="B19" s="21">
        <v>0</v>
      </c>
      <c r="C19" s="21">
        <v>0</v>
      </c>
      <c r="D19" s="21">
        <v>0</v>
      </c>
      <c r="E19" s="21">
        <v>0</v>
      </c>
      <c r="F19" s="21">
        <v>0.09</v>
      </c>
      <c r="G19" s="21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22">
        <f t="shared" si="3"/>
        <v>0.75</v>
      </c>
      <c r="S19" s="22">
        <f t="shared" si="3"/>
        <v>0.75</v>
      </c>
      <c r="T19" s="22">
        <f t="shared" si="3"/>
        <v>0.75</v>
      </c>
      <c r="U19" s="22">
        <f t="shared" si="3"/>
        <v>0.75</v>
      </c>
      <c r="V19" s="22">
        <f t="shared" si="3"/>
        <v>0.75</v>
      </c>
      <c r="W19" s="22">
        <f t="shared" si="3"/>
        <v>0.75</v>
      </c>
      <c r="X19" s="22">
        <f t="shared" si="3"/>
        <v>0.75</v>
      </c>
      <c r="Y19" s="22">
        <f t="shared" si="3"/>
        <v>0.75</v>
      </c>
      <c r="Z19" s="22">
        <f t="shared" si="3"/>
        <v>0.75</v>
      </c>
      <c r="AA19" s="22">
        <f t="shared" si="3"/>
        <v>0.75</v>
      </c>
      <c r="AB19" s="22">
        <f t="shared" si="3"/>
        <v>0.75</v>
      </c>
      <c r="AC19" s="22">
        <f t="shared" si="3"/>
        <v>0.75</v>
      </c>
      <c r="AD19" s="22">
        <f t="shared" si="3"/>
        <v>0.75</v>
      </c>
      <c r="AE19" s="22">
        <f t="shared" si="3"/>
        <v>0.75</v>
      </c>
      <c r="AF19" s="23">
        <f t="shared" si="3"/>
        <v>0.75</v>
      </c>
    </row>
    <row r="20" spans="1:32">
      <c r="A20" s="19" t="s">
        <v>38</v>
      </c>
      <c r="B20" s="25">
        <v>0</v>
      </c>
      <c r="C20" s="25">
        <v>0</v>
      </c>
      <c r="D20" s="25">
        <v>0</v>
      </c>
      <c r="E20" s="25">
        <v>0</v>
      </c>
      <c r="F20" s="25">
        <v>0.05</v>
      </c>
      <c r="G20" s="25">
        <v>7.0000000000000007E-2</v>
      </c>
      <c r="H20" s="26">
        <v>0.1</v>
      </c>
      <c r="I20" s="26">
        <v>0.15</v>
      </c>
      <c r="J20" s="26">
        <v>0.2</v>
      </c>
      <c r="K20" s="26">
        <v>0.25</v>
      </c>
      <c r="L20" s="26">
        <v>0.3</v>
      </c>
      <c r="M20" s="26">
        <v>0.35</v>
      </c>
      <c r="N20" s="26">
        <v>0.4</v>
      </c>
      <c r="O20" s="26">
        <v>0.4</v>
      </c>
      <c r="P20" s="26">
        <v>0.4</v>
      </c>
      <c r="Q20" s="26">
        <v>0.4</v>
      </c>
      <c r="R20" s="27">
        <f t="shared" si="3"/>
        <v>0.4</v>
      </c>
      <c r="S20" s="27">
        <f t="shared" si="3"/>
        <v>0.4</v>
      </c>
      <c r="T20" s="27">
        <f t="shared" si="3"/>
        <v>0.4</v>
      </c>
      <c r="U20" s="27">
        <f t="shared" si="3"/>
        <v>0.4</v>
      </c>
      <c r="V20" s="27">
        <f t="shared" si="3"/>
        <v>0.4</v>
      </c>
      <c r="W20" s="27">
        <f t="shared" si="3"/>
        <v>0.4</v>
      </c>
      <c r="X20" s="27">
        <f t="shared" si="3"/>
        <v>0.4</v>
      </c>
      <c r="Y20" s="27">
        <f t="shared" si="3"/>
        <v>0.4</v>
      </c>
      <c r="Z20" s="27">
        <f t="shared" si="3"/>
        <v>0.4</v>
      </c>
      <c r="AA20" s="27">
        <f t="shared" si="3"/>
        <v>0.4</v>
      </c>
      <c r="AB20" s="27">
        <f t="shared" si="3"/>
        <v>0.4</v>
      </c>
      <c r="AC20" s="27">
        <f t="shared" si="3"/>
        <v>0.4</v>
      </c>
      <c r="AD20" s="27">
        <f t="shared" si="3"/>
        <v>0.4</v>
      </c>
      <c r="AE20" s="27">
        <f t="shared" si="3"/>
        <v>0.4</v>
      </c>
      <c r="AF20" s="28">
        <f t="shared" si="3"/>
        <v>0.4</v>
      </c>
    </row>
    <row r="22" spans="1:32">
      <c r="A22" t="s">
        <v>39</v>
      </c>
      <c r="C22" t="e">
        <f>SUM(#REF!)</f>
        <v>#REF!</v>
      </c>
      <c r="D22" t="e">
        <f>SUM(#REF!)</f>
        <v>#REF!</v>
      </c>
      <c r="E22" t="e">
        <f>SUM(#REF!)</f>
        <v>#REF!</v>
      </c>
      <c r="F22" t="e">
        <f>SUM(#REF!)</f>
        <v>#REF!</v>
      </c>
      <c r="G22" t="e">
        <f>SUM(#REF!)</f>
        <v>#REF!</v>
      </c>
      <c r="H22" t="e">
        <f>SUM(#REF!)</f>
        <v>#REF!</v>
      </c>
      <c r="I22" t="e">
        <f>SUM(#REF!)</f>
        <v>#REF!</v>
      </c>
      <c r="J22" t="e">
        <f>SUM(#REF!)</f>
        <v>#REF!</v>
      </c>
      <c r="K22" t="e">
        <f>SUM(#REF!)</f>
        <v>#REF!</v>
      </c>
      <c r="L22" t="e">
        <f>SUM(#REF!)</f>
        <v>#REF!</v>
      </c>
      <c r="M22" t="e">
        <f>SUM(#REF!)</f>
        <v>#REF!</v>
      </c>
      <c r="N22" t="e">
        <f>SUM(#REF!)</f>
        <v>#REF!</v>
      </c>
      <c r="O22" t="e">
        <f>SUM(#REF!)</f>
        <v>#REF!</v>
      </c>
      <c r="P22" t="e">
        <f>SUM(#REF!)</f>
        <v>#REF!</v>
      </c>
      <c r="Q22" t="e">
        <f>SUM(#REF!)</f>
        <v>#REF!</v>
      </c>
      <c r="R22" t="e">
        <f>SUM(#REF!)</f>
        <v>#REF!</v>
      </c>
      <c r="S22" t="e">
        <f>SUM(#REF!)</f>
        <v>#REF!</v>
      </c>
      <c r="T22" t="e">
        <f>SUM(#REF!)</f>
        <v>#REF!</v>
      </c>
      <c r="U22" t="e">
        <f>SUM(#REF!)</f>
        <v>#REF!</v>
      </c>
      <c r="V22" t="e">
        <f>SUM(#REF!)</f>
        <v>#REF!</v>
      </c>
      <c r="W22" t="e">
        <f>SUM(#REF!)</f>
        <v>#REF!</v>
      </c>
      <c r="X22" t="e">
        <f>SUM(#REF!)</f>
        <v>#REF!</v>
      </c>
      <c r="Y22" t="e">
        <f>SUM(#REF!)</f>
        <v>#REF!</v>
      </c>
      <c r="Z22" t="e">
        <f>SUM(#REF!)</f>
        <v>#REF!</v>
      </c>
      <c r="AA22" t="e">
        <f>SUM(#REF!)</f>
        <v>#REF!</v>
      </c>
      <c r="AB22" t="e">
        <f>SUM(#REF!)</f>
        <v>#REF!</v>
      </c>
      <c r="AC22" t="e">
        <f>SUM(#REF!)</f>
        <v>#REF!</v>
      </c>
      <c r="AD22" t="e">
        <f>SUM(#REF!)</f>
        <v>#REF!</v>
      </c>
      <c r="AE22" t="e">
        <f>SUM(#REF!)</f>
        <v>#REF!</v>
      </c>
      <c r="AF22" t="e">
        <f>SUM(#REF!)</f>
        <v>#REF!</v>
      </c>
    </row>
    <row r="23" spans="1:32">
      <c r="A23" t="s">
        <v>40</v>
      </c>
      <c r="C23" t="e">
        <f>SUM(#REF!)</f>
        <v>#REF!</v>
      </c>
      <c r="D23" t="e">
        <f>SUM(#REF!)</f>
        <v>#REF!</v>
      </c>
      <c r="E23" t="e">
        <f>SUM(#REF!)</f>
        <v>#REF!</v>
      </c>
      <c r="F23" t="e">
        <f>SUM(#REF!)</f>
        <v>#REF!</v>
      </c>
      <c r="G23" t="e">
        <f>SUM(#REF!)</f>
        <v>#REF!</v>
      </c>
      <c r="H23" t="e">
        <f>SUM(#REF!)</f>
        <v>#REF!</v>
      </c>
      <c r="I23" t="e">
        <f>SUM(#REF!)</f>
        <v>#REF!</v>
      </c>
      <c r="J23" t="e">
        <f>SUM(#REF!)</f>
        <v>#REF!</v>
      </c>
      <c r="K23" t="e">
        <f>SUM(#REF!)</f>
        <v>#REF!</v>
      </c>
      <c r="L23" t="e">
        <f>SUM(#REF!)</f>
        <v>#REF!</v>
      </c>
      <c r="M23" t="e">
        <f>SUM(#REF!)</f>
        <v>#REF!</v>
      </c>
      <c r="N23" t="e">
        <f>SUM(#REF!)</f>
        <v>#REF!</v>
      </c>
      <c r="O23" t="e">
        <f>SUM(#REF!)</f>
        <v>#REF!</v>
      </c>
      <c r="P23" t="e">
        <f>SUM(#REF!)</f>
        <v>#REF!</v>
      </c>
      <c r="Q23" t="e">
        <f>SUM(#REF!)</f>
        <v>#REF!</v>
      </c>
      <c r="R23" t="e">
        <f>SUM(#REF!)</f>
        <v>#REF!</v>
      </c>
      <c r="S23" t="e">
        <f>SUM(#REF!)</f>
        <v>#REF!</v>
      </c>
      <c r="T23" t="e">
        <f>SUM(#REF!)</f>
        <v>#REF!</v>
      </c>
      <c r="U23" t="e">
        <f>SUM(#REF!)</f>
        <v>#REF!</v>
      </c>
      <c r="V23" t="e">
        <f>SUM(#REF!)</f>
        <v>#REF!</v>
      </c>
      <c r="W23" t="e">
        <f>SUM(#REF!)</f>
        <v>#REF!</v>
      </c>
      <c r="X23" t="e">
        <f>SUM(#REF!)</f>
        <v>#REF!</v>
      </c>
      <c r="Y23" t="e">
        <f>SUM(#REF!)</f>
        <v>#REF!</v>
      </c>
      <c r="Z23" t="e">
        <f>SUM(#REF!)</f>
        <v>#REF!</v>
      </c>
      <c r="AA23" t="e">
        <f>SUM(#REF!)</f>
        <v>#REF!</v>
      </c>
      <c r="AB23" t="e">
        <f>SUM(#REF!)</f>
        <v>#REF!</v>
      </c>
      <c r="AC23" t="e">
        <f>SUM(#REF!)</f>
        <v>#REF!</v>
      </c>
      <c r="AD23" t="e">
        <f>SUM(#REF!)</f>
        <v>#REF!</v>
      </c>
      <c r="AE23" t="e">
        <f>SUM(#REF!)</f>
        <v>#REF!</v>
      </c>
      <c r="AF23" t="e">
        <f>SUM(#REF!)</f>
        <v>#REF!</v>
      </c>
    </row>
    <row r="24" spans="1:32">
      <c r="A24" t="s">
        <v>41</v>
      </c>
      <c r="C24" t="e">
        <f>SUM(#REF!)</f>
        <v>#REF!</v>
      </c>
      <c r="D24" t="e">
        <f>SUM(#REF!)</f>
        <v>#REF!</v>
      </c>
      <c r="E24" t="e">
        <f>SUM(#REF!)</f>
        <v>#REF!</v>
      </c>
      <c r="F24" t="e">
        <f>SUM(#REF!)</f>
        <v>#REF!</v>
      </c>
      <c r="G24" t="e">
        <f>SUM(#REF!)</f>
        <v>#REF!</v>
      </c>
      <c r="H24" t="e">
        <f>SUM(#REF!)</f>
        <v>#REF!</v>
      </c>
      <c r="I24" t="e">
        <f>SUM(#REF!)</f>
        <v>#REF!</v>
      </c>
      <c r="J24" t="e">
        <f>SUM(#REF!)</f>
        <v>#REF!</v>
      </c>
      <c r="K24" t="e">
        <f>SUM(#REF!)</f>
        <v>#REF!</v>
      </c>
      <c r="L24" t="e">
        <f>SUM(#REF!)</f>
        <v>#REF!</v>
      </c>
      <c r="M24" t="e">
        <f>SUM(#REF!)</f>
        <v>#REF!</v>
      </c>
      <c r="N24" t="e">
        <f>SUM(#REF!)</f>
        <v>#REF!</v>
      </c>
      <c r="O24" t="e">
        <f>SUM(#REF!)</f>
        <v>#REF!</v>
      </c>
      <c r="P24" t="e">
        <f>SUM(#REF!)</f>
        <v>#REF!</v>
      </c>
      <c r="Q24" t="e">
        <f>SUM(#REF!)</f>
        <v>#REF!</v>
      </c>
      <c r="R24" t="e">
        <f>SUM(#REF!)</f>
        <v>#REF!</v>
      </c>
      <c r="S24" t="e">
        <f>SUM(#REF!)</f>
        <v>#REF!</v>
      </c>
      <c r="T24" t="e">
        <f>SUM(#REF!)</f>
        <v>#REF!</v>
      </c>
      <c r="U24" t="e">
        <f>SUM(#REF!)</f>
        <v>#REF!</v>
      </c>
      <c r="V24" t="e">
        <f>SUM(#REF!)</f>
        <v>#REF!</v>
      </c>
      <c r="W24" t="e">
        <f>SUM(#REF!)</f>
        <v>#REF!</v>
      </c>
      <c r="X24" t="e">
        <f>SUM(#REF!)</f>
        <v>#REF!</v>
      </c>
      <c r="Y24" t="e">
        <f>SUM(#REF!)</f>
        <v>#REF!</v>
      </c>
      <c r="Z24" t="e">
        <f>SUM(#REF!)</f>
        <v>#REF!</v>
      </c>
      <c r="AA24" t="e">
        <f>SUM(#REF!)</f>
        <v>#REF!</v>
      </c>
      <c r="AB24" t="e">
        <f>SUM(#REF!)</f>
        <v>#REF!</v>
      </c>
      <c r="AC24" t="e">
        <f>SUM(#REF!)</f>
        <v>#REF!</v>
      </c>
      <c r="AD24" t="e">
        <f>SUM(#REF!)</f>
        <v>#REF!</v>
      </c>
      <c r="AE24" t="e">
        <f>SUM(#REF!)</f>
        <v>#REF!</v>
      </c>
      <c r="AF24" t="e">
        <f>SUM(#REF!)</f>
        <v>#REF!</v>
      </c>
    </row>
    <row r="26" spans="1:32">
      <c r="A26" t="s">
        <v>42</v>
      </c>
      <c r="C26" s="8" t="e">
        <f>SUM(#REF!)/SUM(#REF!)</f>
        <v>#REF!</v>
      </c>
      <c r="D26" s="8" t="e">
        <f>SUM(#REF!)/SUM(#REF!)</f>
        <v>#REF!</v>
      </c>
      <c r="E26" s="8" t="e">
        <f>SUM(#REF!)/SUM(#REF!)</f>
        <v>#REF!</v>
      </c>
      <c r="F26" s="8" t="e">
        <f>SUM(#REF!)/SUM(#REF!)</f>
        <v>#REF!</v>
      </c>
      <c r="G26" s="8" t="e">
        <f>SUM(#REF!)/SUM(#REF!)</f>
        <v>#REF!</v>
      </c>
      <c r="H26" s="8" t="e">
        <f>SUM(#REF!)/SUM(#REF!)</f>
        <v>#REF!</v>
      </c>
      <c r="I26" s="8" t="e">
        <f>SUM(#REF!)/SUM(#REF!)</f>
        <v>#REF!</v>
      </c>
      <c r="J26" s="8" t="e">
        <f>SUM(#REF!)/SUM(#REF!)</f>
        <v>#REF!</v>
      </c>
      <c r="K26" s="8" t="e">
        <f>SUM(#REF!)/SUM(#REF!)</f>
        <v>#REF!</v>
      </c>
      <c r="L26" s="8" t="e">
        <f>SUM(#REF!)/SUM(#REF!)</f>
        <v>#REF!</v>
      </c>
      <c r="M26" s="8" t="e">
        <f>SUM(#REF!)/SUM(#REF!)</f>
        <v>#REF!</v>
      </c>
      <c r="N26" s="8" t="e">
        <f>SUM(#REF!)/SUM(#REF!)</f>
        <v>#REF!</v>
      </c>
      <c r="O26" s="8" t="e">
        <f>SUM(#REF!)/SUM(#REF!)</f>
        <v>#REF!</v>
      </c>
      <c r="P26" s="8" t="e">
        <f>SUM(#REF!)/SUM(#REF!)</f>
        <v>#REF!</v>
      </c>
      <c r="Q26" s="8" t="e">
        <f>SUM(#REF!)/SUM(#REF!)</f>
        <v>#REF!</v>
      </c>
      <c r="R26" s="8" t="e">
        <f>SUM(#REF!)/SUM(#REF!)</f>
        <v>#REF!</v>
      </c>
      <c r="S26" s="8" t="e">
        <f>SUM(#REF!)/SUM(#REF!)</f>
        <v>#REF!</v>
      </c>
      <c r="T26" s="8" t="e">
        <f>SUM(#REF!)/SUM(#REF!)</f>
        <v>#REF!</v>
      </c>
      <c r="U26" s="8" t="e">
        <f>SUM(#REF!)/SUM(#REF!)</f>
        <v>#REF!</v>
      </c>
      <c r="V26" s="8" t="e">
        <f>SUM(#REF!)/SUM(#REF!)</f>
        <v>#REF!</v>
      </c>
      <c r="W26" s="8" t="e">
        <f>SUM(#REF!)/SUM(#REF!)</f>
        <v>#REF!</v>
      </c>
      <c r="X26" s="8" t="e">
        <f>SUM(#REF!)/SUM(#REF!)</f>
        <v>#REF!</v>
      </c>
      <c r="Y26" s="8" t="e">
        <f>SUM(#REF!)/SUM(#REF!)</f>
        <v>#REF!</v>
      </c>
      <c r="Z26" s="8" t="e">
        <f>SUM(#REF!)/SUM(#REF!)</f>
        <v>#REF!</v>
      </c>
      <c r="AA26" s="8" t="e">
        <f>SUM(#REF!)/SUM(#REF!)</f>
        <v>#REF!</v>
      </c>
      <c r="AB26" s="8" t="e">
        <f>SUM(#REF!)/SUM(#REF!)</f>
        <v>#REF!</v>
      </c>
      <c r="AC26" s="8" t="e">
        <f>SUM(#REF!)/SUM(#REF!)</f>
        <v>#REF!</v>
      </c>
      <c r="AD26" s="8" t="e">
        <f>SUM(#REF!)/SUM(#REF!)</f>
        <v>#REF!</v>
      </c>
      <c r="AE26" s="8" t="e">
        <f>SUM(#REF!)/SUM(#REF!)</f>
        <v>#REF!</v>
      </c>
      <c r="AF26" s="8" t="e">
        <f>SUM(#REF!)/SUM(#REF!)</f>
        <v>#REF!</v>
      </c>
    </row>
    <row r="27" spans="1:32">
      <c r="A27" t="s">
        <v>43</v>
      </c>
      <c r="C27" s="8" t="e">
        <f>1-C26</f>
        <v>#REF!</v>
      </c>
      <c r="D27" s="8" t="e">
        <f t="shared" ref="D27:AF27" si="4">1-D26</f>
        <v>#REF!</v>
      </c>
      <c r="E27" s="8" t="e">
        <f t="shared" si="4"/>
        <v>#REF!</v>
      </c>
      <c r="F27" s="8" t="e">
        <f t="shared" si="4"/>
        <v>#REF!</v>
      </c>
      <c r="G27" s="8" t="e">
        <f t="shared" si="4"/>
        <v>#REF!</v>
      </c>
      <c r="H27" s="8" t="e">
        <f t="shared" si="4"/>
        <v>#REF!</v>
      </c>
      <c r="I27" s="8" t="e">
        <f t="shared" si="4"/>
        <v>#REF!</v>
      </c>
      <c r="J27" s="8" t="e">
        <f t="shared" si="4"/>
        <v>#REF!</v>
      </c>
      <c r="K27" s="8" t="e">
        <f t="shared" si="4"/>
        <v>#REF!</v>
      </c>
      <c r="L27" s="8" t="e">
        <f t="shared" si="4"/>
        <v>#REF!</v>
      </c>
      <c r="M27" s="8" t="e">
        <f t="shared" si="4"/>
        <v>#REF!</v>
      </c>
      <c r="N27" s="8" t="e">
        <f t="shared" si="4"/>
        <v>#REF!</v>
      </c>
      <c r="O27" s="8" t="e">
        <f t="shared" si="4"/>
        <v>#REF!</v>
      </c>
      <c r="P27" s="8" t="e">
        <f t="shared" si="4"/>
        <v>#REF!</v>
      </c>
      <c r="Q27" s="8" t="e">
        <f t="shared" si="4"/>
        <v>#REF!</v>
      </c>
      <c r="R27" s="8" t="e">
        <f t="shared" si="4"/>
        <v>#REF!</v>
      </c>
      <c r="S27" s="8" t="e">
        <f t="shared" si="4"/>
        <v>#REF!</v>
      </c>
      <c r="T27" s="8" t="e">
        <f t="shared" si="4"/>
        <v>#REF!</v>
      </c>
      <c r="U27" s="8" t="e">
        <f t="shared" si="4"/>
        <v>#REF!</v>
      </c>
      <c r="V27" s="8" t="e">
        <f t="shared" si="4"/>
        <v>#REF!</v>
      </c>
      <c r="W27" s="8" t="e">
        <f t="shared" si="4"/>
        <v>#REF!</v>
      </c>
      <c r="X27" s="8" t="e">
        <f t="shared" si="4"/>
        <v>#REF!</v>
      </c>
      <c r="Y27" s="8" t="e">
        <f t="shared" si="4"/>
        <v>#REF!</v>
      </c>
      <c r="Z27" s="8" t="e">
        <f t="shared" si="4"/>
        <v>#REF!</v>
      </c>
      <c r="AA27" s="8" t="e">
        <f t="shared" si="4"/>
        <v>#REF!</v>
      </c>
      <c r="AB27" s="8" t="e">
        <f t="shared" si="4"/>
        <v>#REF!</v>
      </c>
      <c r="AC27" s="8" t="e">
        <f t="shared" si="4"/>
        <v>#REF!</v>
      </c>
      <c r="AD27" s="8" t="e">
        <f t="shared" si="4"/>
        <v>#REF!</v>
      </c>
      <c r="AE27" s="8" t="e">
        <f t="shared" si="4"/>
        <v>#REF!</v>
      </c>
      <c r="AF27" s="8" t="e">
        <f t="shared" si="4"/>
        <v>#REF!</v>
      </c>
    </row>
    <row r="29" spans="1:32">
      <c r="A29" t="s">
        <v>44</v>
      </c>
      <c r="C29" s="8" t="e">
        <f>C22/SUM(C22,C23*C26)</f>
        <v>#REF!</v>
      </c>
      <c r="D29" s="8" t="e">
        <f t="shared" ref="D29:AF29" si="5">D22/SUM(D22,D23*D26)</f>
        <v>#REF!</v>
      </c>
      <c r="E29" s="8" t="e">
        <f t="shared" si="5"/>
        <v>#REF!</v>
      </c>
      <c r="F29" s="8" t="e">
        <f t="shared" si="5"/>
        <v>#REF!</v>
      </c>
      <c r="G29" s="8" t="e">
        <f t="shared" si="5"/>
        <v>#REF!</v>
      </c>
      <c r="H29" s="8" t="e">
        <f t="shared" si="5"/>
        <v>#REF!</v>
      </c>
      <c r="I29" s="8" t="e">
        <f t="shared" si="5"/>
        <v>#REF!</v>
      </c>
      <c r="J29" s="8" t="e">
        <f t="shared" si="5"/>
        <v>#REF!</v>
      </c>
      <c r="K29" s="8" t="e">
        <f t="shared" si="5"/>
        <v>#REF!</v>
      </c>
      <c r="L29" s="8" t="e">
        <f t="shared" si="5"/>
        <v>#REF!</v>
      </c>
      <c r="M29" s="8" t="e">
        <f t="shared" si="5"/>
        <v>#REF!</v>
      </c>
      <c r="N29" s="8" t="e">
        <f t="shared" si="5"/>
        <v>#REF!</v>
      </c>
      <c r="O29" s="8" t="e">
        <f t="shared" si="5"/>
        <v>#REF!</v>
      </c>
      <c r="P29" s="8" t="e">
        <f t="shared" si="5"/>
        <v>#REF!</v>
      </c>
      <c r="Q29" s="8" t="e">
        <f t="shared" si="5"/>
        <v>#REF!</v>
      </c>
      <c r="R29" s="8" t="e">
        <f t="shared" si="5"/>
        <v>#REF!</v>
      </c>
      <c r="S29" s="8" t="e">
        <f t="shared" si="5"/>
        <v>#REF!</v>
      </c>
      <c r="T29" s="8" t="e">
        <f t="shared" si="5"/>
        <v>#REF!</v>
      </c>
      <c r="U29" s="8" t="e">
        <f t="shared" si="5"/>
        <v>#REF!</v>
      </c>
      <c r="V29" s="8" t="e">
        <f t="shared" si="5"/>
        <v>#REF!</v>
      </c>
      <c r="W29" s="8" t="e">
        <f t="shared" si="5"/>
        <v>#REF!</v>
      </c>
      <c r="X29" s="8" t="e">
        <f t="shared" si="5"/>
        <v>#REF!</v>
      </c>
      <c r="Y29" s="8" t="e">
        <f t="shared" si="5"/>
        <v>#REF!</v>
      </c>
      <c r="Z29" s="8" t="e">
        <f t="shared" si="5"/>
        <v>#REF!</v>
      </c>
      <c r="AA29" s="8" t="e">
        <f t="shared" si="5"/>
        <v>#REF!</v>
      </c>
      <c r="AB29" s="8" t="e">
        <f t="shared" si="5"/>
        <v>#REF!</v>
      </c>
      <c r="AC29" s="8" t="e">
        <f t="shared" si="5"/>
        <v>#REF!</v>
      </c>
      <c r="AD29" s="8" t="e">
        <f t="shared" si="5"/>
        <v>#REF!</v>
      </c>
      <c r="AE29" s="8" t="e">
        <f t="shared" si="5"/>
        <v>#REF!</v>
      </c>
      <c r="AF29" s="8" t="e">
        <f t="shared" si="5"/>
        <v>#REF!</v>
      </c>
    </row>
    <row r="30" spans="1:32">
      <c r="A30" t="s">
        <v>45</v>
      </c>
      <c r="C30" s="8" t="e">
        <f>1-C29</f>
        <v>#REF!</v>
      </c>
      <c r="D30" s="8" t="e">
        <f t="shared" ref="D30:AF30" si="6">1-D29</f>
        <v>#REF!</v>
      </c>
      <c r="E30" s="8" t="e">
        <f t="shared" si="6"/>
        <v>#REF!</v>
      </c>
      <c r="F30" s="8" t="e">
        <f t="shared" si="6"/>
        <v>#REF!</v>
      </c>
      <c r="G30" s="8" t="e">
        <f t="shared" si="6"/>
        <v>#REF!</v>
      </c>
      <c r="H30" s="8" t="e">
        <f t="shared" si="6"/>
        <v>#REF!</v>
      </c>
      <c r="I30" s="8" t="e">
        <f t="shared" si="6"/>
        <v>#REF!</v>
      </c>
      <c r="J30" s="8" t="e">
        <f t="shared" si="6"/>
        <v>#REF!</v>
      </c>
      <c r="K30" s="8" t="e">
        <f t="shared" si="6"/>
        <v>#REF!</v>
      </c>
      <c r="L30" s="8" t="e">
        <f t="shared" si="6"/>
        <v>#REF!</v>
      </c>
      <c r="M30" s="8" t="e">
        <f t="shared" si="6"/>
        <v>#REF!</v>
      </c>
      <c r="N30" s="8" t="e">
        <f t="shared" si="6"/>
        <v>#REF!</v>
      </c>
      <c r="O30" s="8" t="e">
        <f t="shared" si="6"/>
        <v>#REF!</v>
      </c>
      <c r="P30" s="8" t="e">
        <f t="shared" si="6"/>
        <v>#REF!</v>
      </c>
      <c r="Q30" s="8" t="e">
        <f t="shared" si="6"/>
        <v>#REF!</v>
      </c>
      <c r="R30" s="8" t="e">
        <f t="shared" si="6"/>
        <v>#REF!</v>
      </c>
      <c r="S30" s="8" t="e">
        <f t="shared" si="6"/>
        <v>#REF!</v>
      </c>
      <c r="T30" s="8" t="e">
        <f t="shared" si="6"/>
        <v>#REF!</v>
      </c>
      <c r="U30" s="8" t="e">
        <f t="shared" si="6"/>
        <v>#REF!</v>
      </c>
      <c r="V30" s="8" t="e">
        <f t="shared" si="6"/>
        <v>#REF!</v>
      </c>
      <c r="W30" s="8" t="e">
        <f t="shared" si="6"/>
        <v>#REF!</v>
      </c>
      <c r="X30" s="8" t="e">
        <f t="shared" si="6"/>
        <v>#REF!</v>
      </c>
      <c r="Y30" s="8" t="e">
        <f t="shared" si="6"/>
        <v>#REF!</v>
      </c>
      <c r="Z30" s="8" t="e">
        <f t="shared" si="6"/>
        <v>#REF!</v>
      </c>
      <c r="AA30" s="8" t="e">
        <f t="shared" si="6"/>
        <v>#REF!</v>
      </c>
      <c r="AB30" s="8" t="e">
        <f t="shared" si="6"/>
        <v>#REF!</v>
      </c>
      <c r="AC30" s="8" t="e">
        <f t="shared" si="6"/>
        <v>#REF!</v>
      </c>
      <c r="AD30" s="8" t="e">
        <f t="shared" si="6"/>
        <v>#REF!</v>
      </c>
      <c r="AE30" s="8" t="e">
        <f t="shared" si="6"/>
        <v>#REF!</v>
      </c>
      <c r="AF30" s="8" t="e">
        <f t="shared" si="6"/>
        <v>#REF!</v>
      </c>
    </row>
    <row r="31" spans="1:32">
      <c r="A31" t="s">
        <v>46</v>
      </c>
      <c r="C31" s="8" t="e">
        <f>(C23*C27)/SUM(C23*C27,C24)</f>
        <v>#REF!</v>
      </c>
      <c r="D31" s="8" t="e">
        <f t="shared" ref="D31:AF31" si="7">(D23*D27)/SUM(D23*D27,D24)</f>
        <v>#REF!</v>
      </c>
      <c r="E31" s="8" t="e">
        <f t="shared" si="7"/>
        <v>#REF!</v>
      </c>
      <c r="F31" s="8" t="e">
        <f t="shared" si="7"/>
        <v>#REF!</v>
      </c>
      <c r="G31" s="8" t="e">
        <f t="shared" si="7"/>
        <v>#REF!</v>
      </c>
      <c r="H31" s="8" t="e">
        <f t="shared" si="7"/>
        <v>#REF!</v>
      </c>
      <c r="I31" s="8" t="e">
        <f t="shared" si="7"/>
        <v>#REF!</v>
      </c>
      <c r="J31" s="8" t="e">
        <f t="shared" si="7"/>
        <v>#REF!</v>
      </c>
      <c r="K31" s="8" t="e">
        <f t="shared" si="7"/>
        <v>#REF!</v>
      </c>
      <c r="L31" s="8" t="e">
        <f t="shared" si="7"/>
        <v>#REF!</v>
      </c>
      <c r="M31" s="8" t="e">
        <f t="shared" si="7"/>
        <v>#REF!</v>
      </c>
      <c r="N31" s="8" t="e">
        <f t="shared" si="7"/>
        <v>#REF!</v>
      </c>
      <c r="O31" s="8" t="e">
        <f t="shared" si="7"/>
        <v>#REF!</v>
      </c>
      <c r="P31" s="8" t="e">
        <f t="shared" si="7"/>
        <v>#REF!</v>
      </c>
      <c r="Q31" s="8" t="e">
        <f t="shared" si="7"/>
        <v>#REF!</v>
      </c>
      <c r="R31" s="8" t="e">
        <f t="shared" si="7"/>
        <v>#REF!</v>
      </c>
      <c r="S31" s="8" t="e">
        <f t="shared" si="7"/>
        <v>#REF!</v>
      </c>
      <c r="T31" s="8" t="e">
        <f t="shared" si="7"/>
        <v>#REF!</v>
      </c>
      <c r="U31" s="8" t="e">
        <f t="shared" si="7"/>
        <v>#REF!</v>
      </c>
      <c r="V31" s="8" t="e">
        <f t="shared" si="7"/>
        <v>#REF!</v>
      </c>
      <c r="W31" s="8" t="e">
        <f t="shared" si="7"/>
        <v>#REF!</v>
      </c>
      <c r="X31" s="8" t="e">
        <f t="shared" si="7"/>
        <v>#REF!</v>
      </c>
      <c r="Y31" s="8" t="e">
        <f t="shared" si="7"/>
        <v>#REF!</v>
      </c>
      <c r="Z31" s="8" t="e">
        <f t="shared" si="7"/>
        <v>#REF!</v>
      </c>
      <c r="AA31" s="8" t="e">
        <f t="shared" si="7"/>
        <v>#REF!</v>
      </c>
      <c r="AB31" s="8" t="e">
        <f t="shared" si="7"/>
        <v>#REF!</v>
      </c>
      <c r="AC31" s="8" t="e">
        <f t="shared" si="7"/>
        <v>#REF!</v>
      </c>
      <c r="AD31" s="8" t="e">
        <f t="shared" si="7"/>
        <v>#REF!</v>
      </c>
      <c r="AE31" s="8" t="e">
        <f t="shared" si="7"/>
        <v>#REF!</v>
      </c>
      <c r="AF31" s="8" t="e">
        <f t="shared" si="7"/>
        <v>#REF!</v>
      </c>
    </row>
    <row r="32" spans="1:32">
      <c r="A32" t="s">
        <v>47</v>
      </c>
      <c r="C32" s="8" t="e">
        <f>1-C31</f>
        <v>#REF!</v>
      </c>
      <c r="D32" s="8" t="e">
        <f t="shared" ref="D32:AF32" si="8">1-D31</f>
        <v>#REF!</v>
      </c>
      <c r="E32" s="8" t="e">
        <f t="shared" si="8"/>
        <v>#REF!</v>
      </c>
      <c r="F32" s="8" t="e">
        <f t="shared" si="8"/>
        <v>#REF!</v>
      </c>
      <c r="G32" s="8" t="e">
        <f t="shared" si="8"/>
        <v>#REF!</v>
      </c>
      <c r="H32" s="8" t="e">
        <f t="shared" si="8"/>
        <v>#REF!</v>
      </c>
      <c r="I32" s="8" t="e">
        <f t="shared" si="8"/>
        <v>#REF!</v>
      </c>
      <c r="J32" s="8" t="e">
        <f t="shared" si="8"/>
        <v>#REF!</v>
      </c>
      <c r="K32" s="8" t="e">
        <f t="shared" si="8"/>
        <v>#REF!</v>
      </c>
      <c r="L32" s="8" t="e">
        <f t="shared" si="8"/>
        <v>#REF!</v>
      </c>
      <c r="M32" s="8" t="e">
        <f t="shared" si="8"/>
        <v>#REF!</v>
      </c>
      <c r="N32" s="8" t="e">
        <f t="shared" si="8"/>
        <v>#REF!</v>
      </c>
      <c r="O32" s="8" t="e">
        <f t="shared" si="8"/>
        <v>#REF!</v>
      </c>
      <c r="P32" s="8" t="e">
        <f t="shared" si="8"/>
        <v>#REF!</v>
      </c>
      <c r="Q32" s="8" t="e">
        <f t="shared" si="8"/>
        <v>#REF!</v>
      </c>
      <c r="R32" s="8" t="e">
        <f t="shared" si="8"/>
        <v>#REF!</v>
      </c>
      <c r="S32" s="8" t="e">
        <f t="shared" si="8"/>
        <v>#REF!</v>
      </c>
      <c r="T32" s="8" t="e">
        <f t="shared" si="8"/>
        <v>#REF!</v>
      </c>
      <c r="U32" s="8" t="e">
        <f t="shared" si="8"/>
        <v>#REF!</v>
      </c>
      <c r="V32" s="8" t="e">
        <f t="shared" si="8"/>
        <v>#REF!</v>
      </c>
      <c r="W32" s="8" t="e">
        <f t="shared" si="8"/>
        <v>#REF!</v>
      </c>
      <c r="X32" s="8" t="e">
        <f t="shared" si="8"/>
        <v>#REF!</v>
      </c>
      <c r="Y32" s="8" t="e">
        <f t="shared" si="8"/>
        <v>#REF!</v>
      </c>
      <c r="Z32" s="8" t="e">
        <f t="shared" si="8"/>
        <v>#REF!</v>
      </c>
      <c r="AA32" s="8" t="e">
        <f t="shared" si="8"/>
        <v>#REF!</v>
      </c>
      <c r="AB32" s="8" t="e">
        <f t="shared" si="8"/>
        <v>#REF!</v>
      </c>
      <c r="AC32" s="8" t="e">
        <f t="shared" si="8"/>
        <v>#REF!</v>
      </c>
      <c r="AD32" s="8" t="e">
        <f t="shared" si="8"/>
        <v>#REF!</v>
      </c>
      <c r="AE32" s="8" t="e">
        <f t="shared" si="8"/>
        <v>#REF!</v>
      </c>
      <c r="AF32" s="8" t="e">
        <f t="shared" si="8"/>
        <v>#REF!</v>
      </c>
    </row>
    <row r="35" spans="1:32" s="1" customFormat="1">
      <c r="A35" s="17" t="s">
        <v>48</v>
      </c>
      <c r="B35" s="20"/>
      <c r="C35" s="20"/>
      <c r="D35" s="29"/>
    </row>
    <row r="36" spans="1:32">
      <c r="A36" s="30" t="s">
        <v>49</v>
      </c>
      <c r="D36" s="13"/>
    </row>
    <row r="37" spans="1:32">
      <c r="A37" s="40" t="s">
        <v>50</v>
      </c>
      <c r="B37" s="41"/>
      <c r="C37" s="42"/>
      <c r="D37" s="13"/>
    </row>
    <row r="38" spans="1:32">
      <c r="A38" s="31"/>
      <c r="B38" s="32"/>
      <c r="C38" s="32"/>
      <c r="D38" s="13"/>
    </row>
    <row r="39" spans="1:32">
      <c r="A39" s="31" t="s">
        <v>51</v>
      </c>
      <c r="B39" s="33" t="s">
        <v>51</v>
      </c>
      <c r="C39" s="33" t="s">
        <v>11</v>
      </c>
      <c r="D39" s="13"/>
    </row>
    <row r="40" spans="1:32">
      <c r="A40" s="31" t="s">
        <v>52</v>
      </c>
      <c r="B40" s="33" t="s">
        <v>53</v>
      </c>
      <c r="C40" s="33" t="s">
        <v>54</v>
      </c>
      <c r="D40" s="13"/>
    </row>
    <row r="41" spans="1:32">
      <c r="A41" s="31"/>
      <c r="B41" s="33" t="s">
        <v>55</v>
      </c>
      <c r="C41" s="33" t="s">
        <v>51</v>
      </c>
      <c r="D41" s="13"/>
    </row>
    <row r="42" spans="1:32">
      <c r="A42" s="34"/>
      <c r="B42" s="35"/>
      <c r="C42" s="35"/>
      <c r="D42" s="13"/>
    </row>
    <row r="43" spans="1:32">
      <c r="A43" s="36">
        <v>441729.57892933337</v>
      </c>
      <c r="B43" s="37">
        <v>420505.54779706453</v>
      </c>
      <c r="C43" s="37">
        <v>967456.95259556803</v>
      </c>
      <c r="D43" s="16"/>
    </row>
    <row r="45" spans="1:32">
      <c r="A45" s="1" t="s">
        <v>56</v>
      </c>
    </row>
    <row r="46" spans="1:32">
      <c r="A46" t="s">
        <v>33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2">
      <c r="A47" t="s">
        <v>57</v>
      </c>
      <c r="B47" s="6">
        <f t="shared" ref="B47:AF48" si="9">B16</f>
        <v>9.5000000000000001E-2</v>
      </c>
      <c r="C47" s="6">
        <f t="shared" si="9"/>
        <v>0.12</v>
      </c>
      <c r="D47" s="6">
        <f t="shared" si="9"/>
        <v>0.14499999999999999</v>
      </c>
      <c r="E47" s="6">
        <f t="shared" si="9"/>
        <v>0.16999999999999998</v>
      </c>
      <c r="F47" s="6">
        <f t="shared" si="9"/>
        <v>0.19500000000000001</v>
      </c>
      <c r="G47" s="6">
        <f t="shared" si="9"/>
        <v>0.21999999999999997</v>
      </c>
      <c r="H47" s="6">
        <f t="shared" si="9"/>
        <v>0.22</v>
      </c>
      <c r="I47" s="6">
        <f t="shared" si="9"/>
        <v>0.22</v>
      </c>
      <c r="J47" s="6">
        <f t="shared" si="9"/>
        <v>0.22</v>
      </c>
      <c r="K47" s="6">
        <f t="shared" si="9"/>
        <v>0.22</v>
      </c>
      <c r="L47" s="6">
        <f t="shared" si="9"/>
        <v>0.22</v>
      </c>
      <c r="M47" s="6">
        <f t="shared" si="9"/>
        <v>0.22</v>
      </c>
      <c r="N47" s="6">
        <f t="shared" si="9"/>
        <v>0.22</v>
      </c>
      <c r="O47" s="6">
        <f t="shared" si="9"/>
        <v>0.22</v>
      </c>
      <c r="P47" s="6">
        <f t="shared" si="9"/>
        <v>0.22</v>
      </c>
      <c r="Q47" s="6">
        <f t="shared" si="9"/>
        <v>0.22</v>
      </c>
      <c r="R47" s="6">
        <f t="shared" si="9"/>
        <v>0.22</v>
      </c>
      <c r="S47" s="6">
        <f t="shared" si="9"/>
        <v>0.22</v>
      </c>
      <c r="T47" s="6">
        <f t="shared" si="9"/>
        <v>0.22</v>
      </c>
      <c r="U47" s="6">
        <f t="shared" si="9"/>
        <v>0.22</v>
      </c>
      <c r="V47" s="6">
        <f t="shared" si="9"/>
        <v>0.22</v>
      </c>
      <c r="W47" s="6">
        <f t="shared" si="9"/>
        <v>0.22</v>
      </c>
      <c r="X47" s="6">
        <f t="shared" si="9"/>
        <v>0.22</v>
      </c>
      <c r="Y47" s="6">
        <f t="shared" si="9"/>
        <v>0.22</v>
      </c>
      <c r="Z47" s="6">
        <f t="shared" si="9"/>
        <v>0.22</v>
      </c>
      <c r="AA47" s="6">
        <f t="shared" si="9"/>
        <v>0.22</v>
      </c>
      <c r="AB47" s="6">
        <f t="shared" si="9"/>
        <v>0.22</v>
      </c>
      <c r="AC47" s="6">
        <f t="shared" si="9"/>
        <v>0.22</v>
      </c>
      <c r="AD47" s="6">
        <f t="shared" si="9"/>
        <v>0.22</v>
      </c>
      <c r="AE47" s="6">
        <f t="shared" si="9"/>
        <v>0.22</v>
      </c>
      <c r="AF47" s="6">
        <f t="shared" si="9"/>
        <v>0.22</v>
      </c>
    </row>
    <row r="48" spans="1:32">
      <c r="A48" t="s">
        <v>58</v>
      </c>
      <c r="B48" s="6">
        <f t="shared" si="9"/>
        <v>9.5000000000000001E-2</v>
      </c>
      <c r="C48" s="6">
        <f t="shared" si="9"/>
        <v>0.12</v>
      </c>
      <c r="D48" s="6">
        <f t="shared" si="9"/>
        <v>0.14499999999999999</v>
      </c>
      <c r="E48" s="6">
        <f t="shared" si="9"/>
        <v>0.16999999999999998</v>
      </c>
      <c r="F48" s="6">
        <f t="shared" si="9"/>
        <v>0.19500000000000001</v>
      </c>
      <c r="G48" s="6">
        <f t="shared" si="9"/>
        <v>0.21999999999999997</v>
      </c>
      <c r="H48" s="6">
        <f t="shared" si="9"/>
        <v>0.35</v>
      </c>
      <c r="I48" s="6">
        <f t="shared" si="9"/>
        <v>0.43</v>
      </c>
      <c r="J48" s="6">
        <f t="shared" si="9"/>
        <v>0.51</v>
      </c>
      <c r="K48" s="6">
        <f t="shared" si="9"/>
        <v>0.59</v>
      </c>
      <c r="L48" s="6">
        <f t="shared" si="9"/>
        <v>0.68</v>
      </c>
      <c r="M48" s="6">
        <f t="shared" si="9"/>
        <v>0.76</v>
      </c>
      <c r="N48" s="6">
        <f t="shared" si="9"/>
        <v>0.82</v>
      </c>
      <c r="O48" s="6">
        <f t="shared" si="9"/>
        <v>0.88</v>
      </c>
      <c r="P48" s="6">
        <f t="shared" si="9"/>
        <v>0.94</v>
      </c>
      <c r="Q48" s="6">
        <f t="shared" si="9"/>
        <v>1</v>
      </c>
      <c r="R48" s="6">
        <f t="shared" si="9"/>
        <v>1</v>
      </c>
      <c r="S48" s="6">
        <f t="shared" si="9"/>
        <v>1</v>
      </c>
      <c r="T48" s="6">
        <f t="shared" si="9"/>
        <v>1</v>
      </c>
      <c r="U48" s="6">
        <f t="shared" si="9"/>
        <v>1</v>
      </c>
      <c r="V48" s="6">
        <f t="shared" si="9"/>
        <v>1</v>
      </c>
      <c r="W48" s="6">
        <f t="shared" si="9"/>
        <v>1</v>
      </c>
      <c r="X48" s="6">
        <f t="shared" si="9"/>
        <v>1</v>
      </c>
      <c r="Y48" s="6">
        <f t="shared" si="9"/>
        <v>1</v>
      </c>
      <c r="Z48" s="6">
        <f t="shared" si="9"/>
        <v>1</v>
      </c>
      <c r="AA48" s="6">
        <f t="shared" si="9"/>
        <v>1</v>
      </c>
      <c r="AB48" s="6">
        <f t="shared" si="9"/>
        <v>1</v>
      </c>
      <c r="AC48" s="6">
        <f t="shared" si="9"/>
        <v>1</v>
      </c>
      <c r="AD48" s="6">
        <f t="shared" si="9"/>
        <v>1</v>
      </c>
      <c r="AE48" s="6">
        <f t="shared" si="9"/>
        <v>1</v>
      </c>
      <c r="AF48" s="6">
        <f t="shared" si="9"/>
        <v>1</v>
      </c>
    </row>
    <row r="49" spans="1:32">
      <c r="A49" t="s">
        <v>21</v>
      </c>
      <c r="B49" s="6">
        <v>0</v>
      </c>
      <c r="C49" s="6">
        <v>0</v>
      </c>
      <c r="D49" s="6">
        <v>0</v>
      </c>
      <c r="E49" s="6">
        <v>0</v>
      </c>
      <c r="F49" s="6">
        <f t="shared" ref="F49:AF49" si="10">($A$43*0+$B$43*F19)/($C$43)</f>
        <v>3.9118535662182166E-2</v>
      </c>
      <c r="G49" s="6">
        <f t="shared" si="10"/>
        <v>4.7811543587111538E-2</v>
      </c>
      <c r="H49" s="6">
        <f t="shared" si="10"/>
        <v>5.6504551512040903E-2</v>
      </c>
      <c r="I49" s="6">
        <f t="shared" si="10"/>
        <v>8.6930079249293704E-2</v>
      </c>
      <c r="J49" s="6">
        <f t="shared" si="10"/>
        <v>0.13039511887394054</v>
      </c>
      <c r="K49" s="6">
        <f t="shared" si="10"/>
        <v>0.17386015849858741</v>
      </c>
      <c r="L49" s="6">
        <f t="shared" si="10"/>
        <v>0.21732519812323425</v>
      </c>
      <c r="M49" s="6">
        <f t="shared" si="10"/>
        <v>0.23905771793555769</v>
      </c>
      <c r="N49" s="6">
        <f t="shared" si="10"/>
        <v>0.26079023774788107</v>
      </c>
      <c r="O49" s="6">
        <f t="shared" si="10"/>
        <v>0.28252275756020451</v>
      </c>
      <c r="P49" s="6">
        <f t="shared" si="10"/>
        <v>0.30425527737252789</v>
      </c>
      <c r="Q49" s="6">
        <f t="shared" si="10"/>
        <v>0.32598779718485138</v>
      </c>
      <c r="R49" s="6">
        <f t="shared" si="10"/>
        <v>0.32598779718485138</v>
      </c>
      <c r="S49" s="6">
        <f t="shared" si="10"/>
        <v>0.32598779718485138</v>
      </c>
      <c r="T49" s="6">
        <f t="shared" si="10"/>
        <v>0.32598779718485138</v>
      </c>
      <c r="U49" s="6">
        <f t="shared" si="10"/>
        <v>0.32598779718485138</v>
      </c>
      <c r="V49" s="6">
        <f t="shared" si="10"/>
        <v>0.32598779718485138</v>
      </c>
      <c r="W49" s="6">
        <f t="shared" si="10"/>
        <v>0.32598779718485138</v>
      </c>
      <c r="X49" s="6">
        <f t="shared" si="10"/>
        <v>0.32598779718485138</v>
      </c>
      <c r="Y49" s="6">
        <f t="shared" si="10"/>
        <v>0.32598779718485138</v>
      </c>
      <c r="Z49" s="6">
        <f t="shared" si="10"/>
        <v>0.32598779718485138</v>
      </c>
      <c r="AA49" s="6">
        <f t="shared" si="10"/>
        <v>0.32598779718485138</v>
      </c>
      <c r="AB49" s="6">
        <f t="shared" si="10"/>
        <v>0.32598779718485138</v>
      </c>
      <c r="AC49" s="6">
        <f t="shared" si="10"/>
        <v>0.32598779718485138</v>
      </c>
      <c r="AD49" s="6">
        <f t="shared" si="10"/>
        <v>0.32598779718485138</v>
      </c>
      <c r="AE49" s="6">
        <f t="shared" si="10"/>
        <v>0.32598779718485138</v>
      </c>
      <c r="AF49" s="6">
        <f t="shared" si="10"/>
        <v>0.32598779718485138</v>
      </c>
    </row>
    <row r="50" spans="1:32">
      <c r="A50" t="s">
        <v>24</v>
      </c>
      <c r="B50" s="6">
        <v>0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</row>
    <row r="51" spans="1:32">
      <c r="A51" t="s">
        <v>26</v>
      </c>
      <c r="B51" s="6">
        <v>0</v>
      </c>
      <c r="C51" s="6">
        <v>0</v>
      </c>
      <c r="D51" s="6">
        <v>0</v>
      </c>
      <c r="E51" s="6">
        <v>0</v>
      </c>
      <c r="F51" s="6" t="e">
        <f>F18*F29+F19*F30</f>
        <v>#REF!</v>
      </c>
      <c r="G51" s="6" t="e">
        <f t="shared" ref="G51:AF51" si="11">G18*G29+G19*G30</f>
        <v>#REF!</v>
      </c>
      <c r="H51" s="6" t="e">
        <f t="shared" si="11"/>
        <v>#REF!</v>
      </c>
      <c r="I51" s="6" t="e">
        <f t="shared" si="11"/>
        <v>#REF!</v>
      </c>
      <c r="J51" s="6" t="e">
        <f t="shared" si="11"/>
        <v>#REF!</v>
      </c>
      <c r="K51" s="6" t="e">
        <f t="shared" si="11"/>
        <v>#REF!</v>
      </c>
      <c r="L51" s="6" t="e">
        <f t="shared" si="11"/>
        <v>#REF!</v>
      </c>
      <c r="M51" s="6" t="e">
        <f t="shared" si="11"/>
        <v>#REF!</v>
      </c>
      <c r="N51" s="6" t="e">
        <f t="shared" si="11"/>
        <v>#REF!</v>
      </c>
      <c r="O51" s="6" t="e">
        <f t="shared" si="11"/>
        <v>#REF!</v>
      </c>
      <c r="P51" s="6" t="e">
        <f t="shared" si="11"/>
        <v>#REF!</v>
      </c>
      <c r="Q51" s="6" t="e">
        <f t="shared" si="11"/>
        <v>#REF!</v>
      </c>
      <c r="R51" s="6" t="e">
        <f t="shared" si="11"/>
        <v>#REF!</v>
      </c>
      <c r="S51" s="6" t="e">
        <f t="shared" si="11"/>
        <v>#REF!</v>
      </c>
      <c r="T51" s="6" t="e">
        <f t="shared" si="11"/>
        <v>#REF!</v>
      </c>
      <c r="U51" s="6" t="e">
        <f t="shared" si="11"/>
        <v>#REF!</v>
      </c>
      <c r="V51" s="6" t="e">
        <f t="shared" si="11"/>
        <v>#REF!</v>
      </c>
      <c r="W51" s="6" t="e">
        <f t="shared" si="11"/>
        <v>#REF!</v>
      </c>
      <c r="X51" s="6" t="e">
        <f t="shared" si="11"/>
        <v>#REF!</v>
      </c>
      <c r="Y51" s="6" t="e">
        <f t="shared" si="11"/>
        <v>#REF!</v>
      </c>
      <c r="Z51" s="6" t="e">
        <f t="shared" si="11"/>
        <v>#REF!</v>
      </c>
      <c r="AA51" s="6" t="e">
        <f t="shared" si="11"/>
        <v>#REF!</v>
      </c>
      <c r="AB51" s="6" t="e">
        <f t="shared" si="11"/>
        <v>#REF!</v>
      </c>
      <c r="AC51" s="6" t="e">
        <f t="shared" si="11"/>
        <v>#REF!</v>
      </c>
      <c r="AD51" s="6" t="e">
        <f t="shared" si="11"/>
        <v>#REF!</v>
      </c>
      <c r="AE51" s="6" t="e">
        <f t="shared" si="11"/>
        <v>#REF!</v>
      </c>
      <c r="AF51" s="6" t="e">
        <f t="shared" si="11"/>
        <v>#REF!</v>
      </c>
    </row>
    <row r="52" spans="1:32">
      <c r="A52" t="s">
        <v>2</v>
      </c>
      <c r="B52" s="6">
        <v>0</v>
      </c>
      <c r="C52" s="6">
        <v>0</v>
      </c>
      <c r="D52" s="6">
        <v>0</v>
      </c>
      <c r="E52" s="6">
        <v>0</v>
      </c>
      <c r="F52" s="6" t="e">
        <f>F19*F31+F20*F32</f>
        <v>#REF!</v>
      </c>
      <c r="G52" s="6" t="e">
        <f t="shared" ref="G52:AF52" si="12">G19*G31+G20*G32</f>
        <v>#REF!</v>
      </c>
      <c r="H52" s="6" t="e">
        <f t="shared" si="12"/>
        <v>#REF!</v>
      </c>
      <c r="I52" s="6" t="e">
        <f t="shared" si="12"/>
        <v>#REF!</v>
      </c>
      <c r="J52" s="6" t="e">
        <f t="shared" si="12"/>
        <v>#REF!</v>
      </c>
      <c r="K52" s="6" t="e">
        <f t="shared" si="12"/>
        <v>#REF!</v>
      </c>
      <c r="L52" s="6" t="e">
        <f t="shared" si="12"/>
        <v>#REF!</v>
      </c>
      <c r="M52" s="6" t="e">
        <f t="shared" si="12"/>
        <v>#REF!</v>
      </c>
      <c r="N52" s="6" t="e">
        <f t="shared" si="12"/>
        <v>#REF!</v>
      </c>
      <c r="O52" s="6" t="e">
        <f t="shared" si="12"/>
        <v>#REF!</v>
      </c>
      <c r="P52" s="6" t="e">
        <f t="shared" si="12"/>
        <v>#REF!</v>
      </c>
      <c r="Q52" s="6" t="e">
        <f t="shared" si="12"/>
        <v>#REF!</v>
      </c>
      <c r="R52" s="6" t="e">
        <f t="shared" si="12"/>
        <v>#REF!</v>
      </c>
      <c r="S52" s="6" t="e">
        <f t="shared" si="12"/>
        <v>#REF!</v>
      </c>
      <c r="T52" s="6" t="e">
        <f t="shared" si="12"/>
        <v>#REF!</v>
      </c>
      <c r="U52" s="6" t="e">
        <f t="shared" si="12"/>
        <v>#REF!</v>
      </c>
      <c r="V52" s="6" t="e">
        <f t="shared" si="12"/>
        <v>#REF!</v>
      </c>
      <c r="W52" s="6" t="e">
        <f t="shared" si="12"/>
        <v>#REF!</v>
      </c>
      <c r="X52" s="6" t="e">
        <f t="shared" si="12"/>
        <v>#REF!</v>
      </c>
      <c r="Y52" s="6" t="e">
        <f t="shared" si="12"/>
        <v>#REF!</v>
      </c>
      <c r="Z52" s="6" t="e">
        <f t="shared" si="12"/>
        <v>#REF!</v>
      </c>
      <c r="AA52" s="6" t="e">
        <f t="shared" si="12"/>
        <v>#REF!</v>
      </c>
      <c r="AB52" s="6" t="e">
        <f t="shared" si="12"/>
        <v>#REF!</v>
      </c>
      <c r="AC52" s="6" t="e">
        <f t="shared" si="12"/>
        <v>#REF!</v>
      </c>
      <c r="AD52" s="6" t="e">
        <f t="shared" si="12"/>
        <v>#REF!</v>
      </c>
      <c r="AE52" s="6" t="e">
        <f t="shared" si="12"/>
        <v>#REF!</v>
      </c>
      <c r="AF52" s="6" t="e">
        <f t="shared" si="12"/>
        <v>#REF!</v>
      </c>
    </row>
    <row r="53" spans="1:32">
      <c r="A53" t="s">
        <v>31</v>
      </c>
      <c r="B53" s="6">
        <v>0</v>
      </c>
      <c r="C53" s="6">
        <v>0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v>0</v>
      </c>
      <c r="AA53" s="6">
        <v>0</v>
      </c>
      <c r="AB53" s="6">
        <v>0</v>
      </c>
      <c r="AC53" s="6">
        <v>0</v>
      </c>
      <c r="AD53" s="6">
        <v>0</v>
      </c>
      <c r="AE53" s="6">
        <v>0</v>
      </c>
      <c r="AF53" s="6">
        <v>0</v>
      </c>
    </row>
  </sheetData>
  <mergeCells count="1">
    <mergeCell ref="A37:C37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6C762-134A-444D-BF60-BC99F3DFC165}">
  <sheetPr>
    <tabColor theme="3"/>
  </sheetPr>
  <dimension ref="A1:AF7"/>
  <sheetViews>
    <sheetView workbookViewId="0">
      <selection activeCell="E56" sqref="E56"/>
    </sheetView>
  </sheetViews>
  <sheetFormatPr defaultRowHeight="14.5"/>
  <cols>
    <col min="1" max="1" width="13.1796875" customWidth="1"/>
    <col min="2" max="3" width="8.7265625" customWidth="1"/>
  </cols>
  <sheetData>
    <row r="1" spans="1:32" ht="43.5">
      <c r="A1" s="7" t="s">
        <v>9</v>
      </c>
      <c r="B1" s="5">
        <v>2020</v>
      </c>
      <c r="C1" s="5">
        <v>2021</v>
      </c>
      <c r="D1" s="5">
        <v>2022</v>
      </c>
      <c r="E1" s="5">
        <v>2023</v>
      </c>
      <c r="F1" s="5">
        <v>2024</v>
      </c>
      <c r="G1" s="5">
        <v>2025</v>
      </c>
      <c r="H1" s="5">
        <v>2026</v>
      </c>
      <c r="I1" s="5">
        <v>2027</v>
      </c>
      <c r="J1" s="5">
        <v>2028</v>
      </c>
      <c r="K1" s="5">
        <v>2029</v>
      </c>
      <c r="L1" s="5">
        <v>2030</v>
      </c>
      <c r="M1" s="5">
        <v>2031</v>
      </c>
      <c r="N1" s="5">
        <v>2032</v>
      </c>
      <c r="O1" s="5">
        <v>2033</v>
      </c>
      <c r="P1" s="5">
        <v>2034</v>
      </c>
      <c r="Q1" s="5">
        <v>2035</v>
      </c>
      <c r="R1" s="5">
        <v>2036</v>
      </c>
      <c r="S1" s="5">
        <v>2037</v>
      </c>
      <c r="T1" s="5">
        <v>2038</v>
      </c>
      <c r="U1" s="5">
        <v>2039</v>
      </c>
      <c r="V1" s="5">
        <v>2040</v>
      </c>
      <c r="W1" s="5">
        <v>2041</v>
      </c>
      <c r="X1" s="5">
        <v>2042</v>
      </c>
      <c r="Y1" s="5">
        <v>2043</v>
      </c>
      <c r="Z1" s="5">
        <v>2044</v>
      </c>
      <c r="AA1" s="5">
        <v>2045</v>
      </c>
      <c r="AB1" s="5">
        <v>2046</v>
      </c>
      <c r="AC1" s="5">
        <v>2047</v>
      </c>
      <c r="AD1" s="5">
        <v>2048</v>
      </c>
      <c r="AE1" s="5">
        <v>2049</v>
      </c>
      <c r="AF1" s="5">
        <v>2050</v>
      </c>
    </row>
    <row r="2" spans="1:32">
      <c r="A2" s="1" t="s">
        <v>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>
      <c r="A3" s="1" t="s">
        <v>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s="1" t="s">
        <v>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s="1" t="s">
        <v>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>
      <c r="A6" s="1" t="s">
        <v>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s="1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75B98-F0F0-452D-A62B-4E672A3FB155}">
  <sheetPr>
    <tabColor theme="3"/>
  </sheetPr>
  <dimension ref="A1:AF7"/>
  <sheetViews>
    <sheetView tabSelected="1" workbookViewId="0">
      <selection activeCell="AF23" sqref="AF23"/>
    </sheetView>
  </sheetViews>
  <sheetFormatPr defaultRowHeight="14.5"/>
  <cols>
    <col min="1" max="1" width="11.81640625" customWidth="1"/>
  </cols>
  <sheetData>
    <row r="1" spans="1:32" s="1" customFormat="1" ht="43.5">
      <c r="A1" s="7" t="s">
        <v>10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>
      <c r="A3" s="1" t="s">
        <v>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s="1" t="s">
        <v>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s="1" t="s">
        <v>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>
      <c r="A6" s="1" t="s">
        <v>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s="1" t="s">
        <v>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EPS Vehicle Class Mapping</vt:lpstr>
      <vt:lpstr>BRZSPbMR-passenger</vt:lpstr>
      <vt:lpstr>BRZSPbMR-freight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2015-06-16T22:55:39Z</dcterms:created>
  <dcterms:modified xsi:type="dcterms:W3CDTF">2025-05-09T20:13:57Z</dcterms:modified>
</cp:coreProperties>
</file>