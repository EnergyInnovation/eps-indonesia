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ssy02/Desktop/Postdoc Projects/eps-indonesia-cpl/InputData/trans/TTS/"/>
    </mc:Choice>
  </mc:AlternateContent>
  <xr:revisionPtr revIDLastSave="0" documentId="13_ncr:1_{4BFEE66E-0F44-4E46-B37C-D9706D50C850}" xr6:coauthVersionLast="47" xr6:coauthVersionMax="47" xr10:uidLastSave="{00000000-0000-0000-0000-000000000000}"/>
  <bookViews>
    <workbookView xWindow="1860" yWindow="780" windowWidth="32340" windowHeight="21360" firstSheet="6" activeTab="8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EV Sales Share" sheetId="22" r:id="rId10"/>
    <sheet name="TTS-LDVs-psgr" sheetId="2" r:id="rId11"/>
    <sheet name="TTS-LDVs-frgt" sheetId="8" r:id="rId12"/>
    <sheet name="TTS-HDVs-psgr" sheetId="9" r:id="rId13"/>
    <sheet name="TTS-HDVs-frgt" sheetId="10" r:id="rId14"/>
    <sheet name="TTS-aircraft-psgr" sheetId="11" r:id="rId15"/>
    <sheet name="TTS-aircraft-frgt" sheetId="12" r:id="rId16"/>
    <sheet name="TTS-rail-psgr" sheetId="13" r:id="rId17"/>
    <sheet name="TTS-rail-frgt" sheetId="14" r:id="rId18"/>
    <sheet name="TTS-ships-psgr" sheetId="15" r:id="rId19"/>
    <sheet name="TTS-ships-frgt" sheetId="16" r:id="rId20"/>
    <sheet name="TTS-motorbikes-psgr" sheetId="17" r:id="rId21"/>
    <sheet name="TTS-motorbikes-frgt" sheetId="18" r:id="rId2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2" i="17" l="1"/>
  <c r="AI2" i="17"/>
  <c r="AJ2" i="17"/>
  <c r="AK2" i="17"/>
  <c r="AL2" i="17"/>
  <c r="AM2" i="17"/>
  <c r="AN2" i="17"/>
  <c r="AO2" i="17"/>
  <c r="AP2" i="17"/>
  <c r="AQ2" i="17"/>
  <c r="AR2" i="17"/>
  <c r="AS2" i="17"/>
  <c r="AT2" i="17"/>
  <c r="AU2" i="17"/>
  <c r="AV2" i="17"/>
  <c r="AW2" i="17"/>
  <c r="AX2" i="17"/>
  <c r="AY2" i="17"/>
  <c r="AZ2" i="17"/>
  <c r="AG2" i="17"/>
  <c r="AZ8" i="18"/>
  <c r="AY8" i="18"/>
  <c r="AX8" i="18"/>
  <c r="AW8" i="18"/>
  <c r="AV8" i="18"/>
  <c r="AU8" i="18"/>
  <c r="AT8" i="18"/>
  <c r="AS8" i="18"/>
  <c r="AR8" i="18"/>
  <c r="AQ8" i="18"/>
  <c r="AP8" i="18"/>
  <c r="AO8" i="18"/>
  <c r="AN8" i="18"/>
  <c r="AM8" i="18"/>
  <c r="AL8" i="18"/>
  <c r="AK8" i="18"/>
  <c r="AJ8" i="18"/>
  <c r="AI8" i="18"/>
  <c r="AH8" i="18"/>
  <c r="AG8" i="18"/>
  <c r="AZ7" i="18"/>
  <c r="AY7" i="18"/>
  <c r="AX7" i="18"/>
  <c r="AW7" i="18"/>
  <c r="AV7" i="18"/>
  <c r="AU7" i="18"/>
  <c r="AT7" i="18"/>
  <c r="AS7" i="18"/>
  <c r="AR7" i="18"/>
  <c r="AQ7" i="18"/>
  <c r="AP7" i="18"/>
  <c r="AO7" i="18"/>
  <c r="AN7" i="18"/>
  <c r="AM7" i="18"/>
  <c r="AL7" i="18"/>
  <c r="AK7" i="18"/>
  <c r="AJ7" i="18"/>
  <c r="AI7" i="18"/>
  <c r="AH7" i="18"/>
  <c r="AG7" i="18"/>
  <c r="AZ6" i="18"/>
  <c r="AY6" i="18"/>
  <c r="AX6" i="18"/>
  <c r="AW6" i="18"/>
  <c r="AV6" i="18"/>
  <c r="AU6" i="18"/>
  <c r="AT6" i="18"/>
  <c r="AS6" i="18"/>
  <c r="AR6" i="18"/>
  <c r="AQ6" i="18"/>
  <c r="AP6" i="18"/>
  <c r="AO6" i="18"/>
  <c r="AN6" i="18"/>
  <c r="AM6" i="18"/>
  <c r="AL6" i="18"/>
  <c r="AK6" i="18"/>
  <c r="AJ6" i="18"/>
  <c r="AI6" i="18"/>
  <c r="AH6" i="18"/>
  <c r="AG6" i="18"/>
  <c r="AZ5" i="18"/>
  <c r="AY5" i="18"/>
  <c r="AX5" i="18"/>
  <c r="AW5" i="18"/>
  <c r="AV5" i="18"/>
  <c r="AU5" i="18"/>
  <c r="AT5" i="18"/>
  <c r="AS5" i="18"/>
  <c r="AR5" i="18"/>
  <c r="AQ5" i="18"/>
  <c r="AP5" i="18"/>
  <c r="AO5" i="18"/>
  <c r="AN5" i="18"/>
  <c r="AM5" i="18"/>
  <c r="AL5" i="18"/>
  <c r="AK5" i="18"/>
  <c r="AJ5" i="18"/>
  <c r="AI5" i="18"/>
  <c r="AH5" i="18"/>
  <c r="AG5" i="18"/>
  <c r="AZ4" i="18"/>
  <c r="AY4" i="18"/>
  <c r="AX4" i="18"/>
  <c r="AW4" i="18"/>
  <c r="AV4" i="18"/>
  <c r="AU4" i="18"/>
  <c r="AT4" i="18"/>
  <c r="AS4" i="18"/>
  <c r="AR4" i="18"/>
  <c r="AQ4" i="18"/>
  <c r="AP4" i="18"/>
  <c r="AO4" i="18"/>
  <c r="AN4" i="18"/>
  <c r="AM4" i="18"/>
  <c r="AL4" i="18"/>
  <c r="AK4" i="18"/>
  <c r="AJ4" i="18"/>
  <c r="AI4" i="18"/>
  <c r="AH4" i="18"/>
  <c r="AG4" i="18"/>
  <c r="AZ3" i="18"/>
  <c r="AY3" i="18"/>
  <c r="AX3" i="18"/>
  <c r="AW3" i="18"/>
  <c r="AV3" i="18"/>
  <c r="AU3" i="18"/>
  <c r="AT3" i="18"/>
  <c r="AS3" i="18"/>
  <c r="AR3" i="18"/>
  <c r="AQ3" i="18"/>
  <c r="AP3" i="18"/>
  <c r="AO3" i="18"/>
  <c r="AN3" i="18"/>
  <c r="AM3" i="18"/>
  <c r="AL3" i="18"/>
  <c r="AK3" i="18"/>
  <c r="AJ3" i="18"/>
  <c r="AI3" i="18"/>
  <c r="AH3" i="18"/>
  <c r="AG3" i="18"/>
  <c r="AZ2" i="18"/>
  <c r="AY2" i="18"/>
  <c r="AX2" i="18"/>
  <c r="AW2" i="18"/>
  <c r="AV2" i="18"/>
  <c r="AU2" i="18"/>
  <c r="AT2" i="18"/>
  <c r="AS2" i="18"/>
  <c r="AR2" i="18"/>
  <c r="AQ2" i="18"/>
  <c r="AP2" i="18"/>
  <c r="AO2" i="18"/>
  <c r="AN2" i="18"/>
  <c r="AM2" i="18"/>
  <c r="AL2" i="18"/>
  <c r="AK2" i="18"/>
  <c r="AJ2" i="18"/>
  <c r="AI2" i="18"/>
  <c r="AH2" i="18"/>
  <c r="AG2" i="18"/>
  <c r="AZ8" i="17"/>
  <c r="AY8" i="17"/>
  <c r="AX8" i="17"/>
  <c r="AW8" i="17"/>
  <c r="AV8" i="17"/>
  <c r="AU8" i="17"/>
  <c r="AT8" i="17"/>
  <c r="AS8" i="17"/>
  <c r="AR8" i="17"/>
  <c r="AQ8" i="17"/>
  <c r="AP8" i="17"/>
  <c r="AO8" i="17"/>
  <c r="AN8" i="17"/>
  <c r="AM8" i="17"/>
  <c r="AL8" i="17"/>
  <c r="AK8" i="17"/>
  <c r="AJ8" i="17"/>
  <c r="AI8" i="17"/>
  <c r="AH8" i="17"/>
  <c r="AG8" i="17"/>
  <c r="AZ7" i="17"/>
  <c r="AY7" i="17"/>
  <c r="AX7" i="17"/>
  <c r="AW7" i="17"/>
  <c r="AV7" i="17"/>
  <c r="AU7" i="17"/>
  <c r="AT7" i="17"/>
  <c r="AS7" i="17"/>
  <c r="AR7" i="17"/>
  <c r="AQ7" i="17"/>
  <c r="AP7" i="17"/>
  <c r="AO7" i="17"/>
  <c r="AN7" i="17"/>
  <c r="AM7" i="17"/>
  <c r="AL7" i="17"/>
  <c r="AK7" i="17"/>
  <c r="AJ7" i="17"/>
  <c r="AI7" i="17"/>
  <c r="AH7" i="17"/>
  <c r="AG7" i="17"/>
  <c r="AZ6" i="17"/>
  <c r="AY6" i="17"/>
  <c r="AX6" i="17"/>
  <c r="AW6" i="17"/>
  <c r="AV6" i="17"/>
  <c r="AU6" i="17"/>
  <c r="AT6" i="17"/>
  <c r="AS6" i="17"/>
  <c r="AR6" i="17"/>
  <c r="AQ6" i="17"/>
  <c r="AP6" i="17"/>
  <c r="AO6" i="17"/>
  <c r="AN6" i="17"/>
  <c r="AM6" i="17"/>
  <c r="AL6" i="17"/>
  <c r="AK6" i="17"/>
  <c r="AJ6" i="17"/>
  <c r="AI6" i="17"/>
  <c r="AH6" i="17"/>
  <c r="AG6" i="17"/>
  <c r="AZ5" i="17"/>
  <c r="AY5" i="17"/>
  <c r="AX5" i="17"/>
  <c r="AW5" i="17"/>
  <c r="AV5" i="17"/>
  <c r="AU5" i="17"/>
  <c r="AT5" i="17"/>
  <c r="AS5" i="17"/>
  <c r="AR5" i="17"/>
  <c r="AQ5" i="17"/>
  <c r="AP5" i="17"/>
  <c r="AO5" i="17"/>
  <c r="AN5" i="17"/>
  <c r="AM5" i="17"/>
  <c r="AL5" i="17"/>
  <c r="AK5" i="17"/>
  <c r="AJ5" i="17"/>
  <c r="AI5" i="17"/>
  <c r="AH5" i="17"/>
  <c r="AG5" i="17"/>
  <c r="AZ3" i="17"/>
  <c r="AY3" i="17"/>
  <c r="AX3" i="17"/>
  <c r="AW3" i="17"/>
  <c r="AV3" i="17"/>
  <c r="AU3" i="17"/>
  <c r="AT3" i="17"/>
  <c r="AS3" i="17"/>
  <c r="AR3" i="17"/>
  <c r="AQ3" i="17"/>
  <c r="AP3" i="17"/>
  <c r="AO3" i="17"/>
  <c r="AN3" i="17"/>
  <c r="AM3" i="17"/>
  <c r="AL3" i="17"/>
  <c r="AK3" i="17"/>
  <c r="AJ3" i="17"/>
  <c r="AI3" i="17"/>
  <c r="AH3" i="17"/>
  <c r="AG3" i="17"/>
  <c r="AZ8" i="16"/>
  <c r="AY8" i="16"/>
  <c r="AX8" i="16"/>
  <c r="AW8" i="16"/>
  <c r="AV8" i="16"/>
  <c r="AU8" i="16"/>
  <c r="AT8" i="16"/>
  <c r="AS8" i="16"/>
  <c r="AR8" i="16"/>
  <c r="AQ8" i="16"/>
  <c r="AP8" i="16"/>
  <c r="AO8" i="16"/>
  <c r="AN8" i="16"/>
  <c r="AM8" i="16"/>
  <c r="AL8" i="16"/>
  <c r="AK8" i="16"/>
  <c r="AJ8" i="16"/>
  <c r="AI8" i="16"/>
  <c r="AH8" i="16"/>
  <c r="AG8" i="16"/>
  <c r="AZ7" i="16"/>
  <c r="AY7" i="16"/>
  <c r="AX7" i="16"/>
  <c r="AW7" i="16"/>
  <c r="AV7" i="16"/>
  <c r="AU7" i="16"/>
  <c r="AT7" i="16"/>
  <c r="AS7" i="16"/>
  <c r="AR7" i="16"/>
  <c r="AQ7" i="16"/>
  <c r="AP7" i="16"/>
  <c r="AO7" i="16"/>
  <c r="AN7" i="16"/>
  <c r="AM7" i="16"/>
  <c r="AL7" i="16"/>
  <c r="AK7" i="16"/>
  <c r="AJ7" i="16"/>
  <c r="AI7" i="16"/>
  <c r="AH7" i="16"/>
  <c r="AG7" i="16"/>
  <c r="AZ6" i="16"/>
  <c r="AY6" i="16"/>
  <c r="AX6" i="16"/>
  <c r="AW6" i="16"/>
  <c r="AV6" i="16"/>
  <c r="AU6" i="16"/>
  <c r="AT6" i="16"/>
  <c r="AS6" i="16"/>
  <c r="AR6" i="16"/>
  <c r="AQ6" i="16"/>
  <c r="AP6" i="16"/>
  <c r="AO6" i="16"/>
  <c r="AN6" i="16"/>
  <c r="AM6" i="16"/>
  <c r="AL6" i="16"/>
  <c r="AK6" i="16"/>
  <c r="AJ6" i="16"/>
  <c r="AI6" i="16"/>
  <c r="AH6" i="16"/>
  <c r="AG6" i="16"/>
  <c r="AZ5" i="16"/>
  <c r="AY5" i="16"/>
  <c r="AX5" i="16"/>
  <c r="AW5" i="16"/>
  <c r="AV5" i="16"/>
  <c r="AU5" i="16"/>
  <c r="AT5" i="16"/>
  <c r="AS5" i="16"/>
  <c r="AR5" i="16"/>
  <c r="AQ5" i="16"/>
  <c r="AP5" i="16"/>
  <c r="AO5" i="16"/>
  <c r="AN5" i="16"/>
  <c r="AM5" i="16"/>
  <c r="AL5" i="16"/>
  <c r="AK5" i="16"/>
  <c r="AJ5" i="16"/>
  <c r="AI5" i="16"/>
  <c r="AH5" i="16"/>
  <c r="AG5" i="16"/>
  <c r="AZ4" i="16"/>
  <c r="AY4" i="16"/>
  <c r="AX4" i="16"/>
  <c r="AW4" i="16"/>
  <c r="AV4" i="16"/>
  <c r="AU4" i="16"/>
  <c r="AT4" i="16"/>
  <c r="AS4" i="16"/>
  <c r="AR4" i="16"/>
  <c r="AQ4" i="16"/>
  <c r="AP4" i="16"/>
  <c r="AO4" i="16"/>
  <c r="AN4" i="16"/>
  <c r="AM4" i="16"/>
  <c r="AL4" i="16"/>
  <c r="AK4" i="16"/>
  <c r="AJ4" i="16"/>
  <c r="AI4" i="16"/>
  <c r="AH4" i="16"/>
  <c r="AG4" i="16"/>
  <c r="AZ3" i="16"/>
  <c r="AY3" i="16"/>
  <c r="AX3" i="16"/>
  <c r="AW3" i="16"/>
  <c r="AV3" i="16"/>
  <c r="AU3" i="16"/>
  <c r="AT3" i="16"/>
  <c r="AS3" i="16"/>
  <c r="AR3" i="16"/>
  <c r="AQ3" i="16"/>
  <c r="AP3" i="16"/>
  <c r="AO3" i="16"/>
  <c r="AN3" i="16"/>
  <c r="AM3" i="16"/>
  <c r="AL3" i="16"/>
  <c r="AK3" i="16"/>
  <c r="AJ3" i="16"/>
  <c r="AI3" i="16"/>
  <c r="AH3" i="16"/>
  <c r="AG3" i="16"/>
  <c r="AZ2" i="16"/>
  <c r="AY2" i="16"/>
  <c r="AX2" i="16"/>
  <c r="AW2" i="16"/>
  <c r="AV2" i="16"/>
  <c r="AU2" i="16"/>
  <c r="AT2" i="16"/>
  <c r="AS2" i="16"/>
  <c r="AR2" i="16"/>
  <c r="AQ2" i="16"/>
  <c r="AP2" i="16"/>
  <c r="AO2" i="16"/>
  <c r="AN2" i="16"/>
  <c r="AM2" i="16"/>
  <c r="AL2" i="16"/>
  <c r="AK2" i="16"/>
  <c r="AJ2" i="16"/>
  <c r="AI2" i="16"/>
  <c r="AH2" i="16"/>
  <c r="AG2" i="16"/>
  <c r="AZ8" i="15"/>
  <c r="AY8" i="15"/>
  <c r="AX8" i="15"/>
  <c r="AW8" i="15"/>
  <c r="AV8" i="15"/>
  <c r="AU8" i="15"/>
  <c r="AT8" i="15"/>
  <c r="AS8" i="15"/>
  <c r="AR8" i="15"/>
  <c r="AQ8" i="15"/>
  <c r="AP8" i="15"/>
  <c r="AO8" i="15"/>
  <c r="AN8" i="15"/>
  <c r="AM8" i="15"/>
  <c r="AL8" i="15"/>
  <c r="AK8" i="15"/>
  <c r="AJ8" i="15"/>
  <c r="AI8" i="15"/>
  <c r="AH8" i="15"/>
  <c r="AG8" i="15"/>
  <c r="AZ7" i="15"/>
  <c r="AY7" i="15"/>
  <c r="AX7" i="15"/>
  <c r="AW7" i="15"/>
  <c r="AV7" i="15"/>
  <c r="AU7" i="15"/>
  <c r="AT7" i="15"/>
  <c r="AS7" i="15"/>
  <c r="AR7" i="15"/>
  <c r="AQ7" i="15"/>
  <c r="AP7" i="15"/>
  <c r="AO7" i="15"/>
  <c r="AN7" i="15"/>
  <c r="AM7" i="15"/>
  <c r="AL7" i="15"/>
  <c r="AK7" i="15"/>
  <c r="AJ7" i="15"/>
  <c r="AI7" i="15"/>
  <c r="AH7" i="15"/>
  <c r="AG7" i="15"/>
  <c r="AZ6" i="15"/>
  <c r="AY6" i="15"/>
  <c r="AX6" i="15"/>
  <c r="AW6" i="15"/>
  <c r="AV6" i="15"/>
  <c r="AU6" i="15"/>
  <c r="AT6" i="15"/>
  <c r="AS6" i="15"/>
  <c r="AR6" i="15"/>
  <c r="AQ6" i="15"/>
  <c r="AP6" i="15"/>
  <c r="AO6" i="15"/>
  <c r="AN6" i="15"/>
  <c r="AM6" i="15"/>
  <c r="AL6" i="15"/>
  <c r="AK6" i="15"/>
  <c r="AJ6" i="15"/>
  <c r="AI6" i="15"/>
  <c r="AH6" i="15"/>
  <c r="AG6" i="15"/>
  <c r="AZ5" i="15"/>
  <c r="AY5" i="15"/>
  <c r="AX5" i="15"/>
  <c r="AW5" i="15"/>
  <c r="AV5" i="15"/>
  <c r="AU5" i="15"/>
  <c r="AT5" i="15"/>
  <c r="AS5" i="15"/>
  <c r="AR5" i="15"/>
  <c r="AQ5" i="15"/>
  <c r="AP5" i="15"/>
  <c r="AO5" i="15"/>
  <c r="AN5" i="15"/>
  <c r="AM5" i="15"/>
  <c r="AL5" i="15"/>
  <c r="AK5" i="15"/>
  <c r="AJ5" i="15"/>
  <c r="AI5" i="15"/>
  <c r="AH5" i="15"/>
  <c r="AG5" i="15"/>
  <c r="AZ4" i="15"/>
  <c r="AY4" i="15"/>
  <c r="AX4" i="15"/>
  <c r="AW4" i="15"/>
  <c r="AV4" i="15"/>
  <c r="AU4" i="15"/>
  <c r="AT4" i="15"/>
  <c r="AS4" i="15"/>
  <c r="AR4" i="15"/>
  <c r="AQ4" i="15"/>
  <c r="AP4" i="15"/>
  <c r="AO4" i="15"/>
  <c r="AN4" i="15"/>
  <c r="AM4" i="15"/>
  <c r="AL4" i="15"/>
  <c r="AK4" i="15"/>
  <c r="AJ4" i="15"/>
  <c r="AI4" i="15"/>
  <c r="AH4" i="15"/>
  <c r="AG4" i="15"/>
  <c r="AZ3" i="15"/>
  <c r="AY3" i="15"/>
  <c r="AX3" i="15"/>
  <c r="AW3" i="15"/>
  <c r="AV3" i="15"/>
  <c r="AU3" i="15"/>
  <c r="AT3" i="15"/>
  <c r="AS3" i="15"/>
  <c r="AR3" i="15"/>
  <c r="AQ3" i="15"/>
  <c r="AP3" i="15"/>
  <c r="AO3" i="15"/>
  <c r="AN3" i="15"/>
  <c r="AM3" i="15"/>
  <c r="AL3" i="15"/>
  <c r="AK3" i="15"/>
  <c r="AJ3" i="15"/>
  <c r="AI3" i="15"/>
  <c r="AH3" i="15"/>
  <c r="AG3" i="15"/>
  <c r="AZ2" i="15"/>
  <c r="AY2" i="15"/>
  <c r="AX2" i="15"/>
  <c r="AW2" i="15"/>
  <c r="AV2" i="15"/>
  <c r="AU2" i="15"/>
  <c r="AT2" i="15"/>
  <c r="AS2" i="15"/>
  <c r="AR2" i="15"/>
  <c r="AQ2" i="15"/>
  <c r="AP2" i="15"/>
  <c r="AO2" i="15"/>
  <c r="AN2" i="15"/>
  <c r="AM2" i="15"/>
  <c r="AL2" i="15"/>
  <c r="AK2" i="15"/>
  <c r="AJ2" i="15"/>
  <c r="AI2" i="15"/>
  <c r="AH2" i="15"/>
  <c r="AG2" i="15"/>
  <c r="AZ8" i="14"/>
  <c r="AY8" i="14"/>
  <c r="AX8" i="14"/>
  <c r="AW8" i="14"/>
  <c r="AV8" i="14"/>
  <c r="AU8" i="14"/>
  <c r="AT8" i="14"/>
  <c r="AS8" i="14"/>
  <c r="AR8" i="14"/>
  <c r="AQ8" i="14"/>
  <c r="AP8" i="14"/>
  <c r="AO8" i="14"/>
  <c r="AN8" i="14"/>
  <c r="AM8" i="14"/>
  <c r="AL8" i="14"/>
  <c r="AK8" i="14"/>
  <c r="AJ8" i="14"/>
  <c r="AI8" i="14"/>
  <c r="AH8" i="14"/>
  <c r="AG8" i="14"/>
  <c r="AZ7" i="14"/>
  <c r="AY7" i="14"/>
  <c r="AX7" i="14"/>
  <c r="AW7" i="14"/>
  <c r="AV7" i="14"/>
  <c r="AU7" i="14"/>
  <c r="AT7" i="14"/>
  <c r="AS7" i="14"/>
  <c r="AR7" i="14"/>
  <c r="AQ7" i="14"/>
  <c r="AP7" i="14"/>
  <c r="AO7" i="14"/>
  <c r="AN7" i="14"/>
  <c r="AM7" i="14"/>
  <c r="AL7" i="14"/>
  <c r="AK7" i="14"/>
  <c r="AJ7" i="14"/>
  <c r="AI7" i="14"/>
  <c r="AH7" i="14"/>
  <c r="AG7" i="14"/>
  <c r="AZ6" i="14"/>
  <c r="AY6" i="14"/>
  <c r="AX6" i="14"/>
  <c r="AW6" i="14"/>
  <c r="AV6" i="14"/>
  <c r="AU6" i="14"/>
  <c r="AT6" i="14"/>
  <c r="AS6" i="14"/>
  <c r="AR6" i="14"/>
  <c r="AQ6" i="14"/>
  <c r="AP6" i="14"/>
  <c r="AO6" i="14"/>
  <c r="AN6" i="14"/>
  <c r="AM6" i="14"/>
  <c r="AL6" i="14"/>
  <c r="AK6" i="14"/>
  <c r="AJ6" i="14"/>
  <c r="AI6" i="14"/>
  <c r="AH6" i="14"/>
  <c r="AG6" i="14"/>
  <c r="AZ5" i="14"/>
  <c r="AY5" i="14"/>
  <c r="AX5" i="14"/>
  <c r="AW5" i="14"/>
  <c r="AV5" i="14"/>
  <c r="AU5" i="14"/>
  <c r="AT5" i="14"/>
  <c r="AS5" i="14"/>
  <c r="AR5" i="14"/>
  <c r="AQ5" i="14"/>
  <c r="AP5" i="14"/>
  <c r="AO5" i="14"/>
  <c r="AN5" i="14"/>
  <c r="AM5" i="14"/>
  <c r="AL5" i="14"/>
  <c r="AK5" i="14"/>
  <c r="AJ5" i="14"/>
  <c r="AI5" i="14"/>
  <c r="AH5" i="14"/>
  <c r="AG5" i="14"/>
  <c r="AZ4" i="14"/>
  <c r="AY4" i="14"/>
  <c r="AX4" i="14"/>
  <c r="AW4" i="14"/>
  <c r="AV4" i="14"/>
  <c r="AU4" i="14"/>
  <c r="AT4" i="14"/>
  <c r="AS4" i="14"/>
  <c r="AR4" i="14"/>
  <c r="AQ4" i="14"/>
  <c r="AP4" i="14"/>
  <c r="AO4" i="14"/>
  <c r="AN4" i="14"/>
  <c r="AM4" i="14"/>
  <c r="AL4" i="14"/>
  <c r="AK4" i="14"/>
  <c r="AJ4" i="14"/>
  <c r="AI4" i="14"/>
  <c r="AH4" i="14"/>
  <c r="AG4" i="14"/>
  <c r="AZ3" i="14"/>
  <c r="AY3" i="14"/>
  <c r="AX3" i="14"/>
  <c r="AW3" i="14"/>
  <c r="AV3" i="14"/>
  <c r="AU3" i="14"/>
  <c r="AT3" i="14"/>
  <c r="AS3" i="14"/>
  <c r="AR3" i="14"/>
  <c r="AQ3" i="14"/>
  <c r="AP3" i="14"/>
  <c r="AO3" i="14"/>
  <c r="AN3" i="14"/>
  <c r="AM3" i="14"/>
  <c r="AL3" i="14"/>
  <c r="AK3" i="14"/>
  <c r="AJ3" i="14"/>
  <c r="AI3" i="14"/>
  <c r="AH3" i="14"/>
  <c r="AG3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H4" i="10"/>
  <c r="AI4" i="10"/>
  <c r="AJ4" i="10"/>
  <c r="AK4" i="10"/>
  <c r="AL4" i="10"/>
  <c r="AM4" i="10"/>
  <c r="AN4" i="10"/>
  <c r="AO4" i="10"/>
  <c r="AP4" i="10"/>
  <c r="AQ4" i="10"/>
  <c r="AR4" i="10"/>
  <c r="AS4" i="10"/>
  <c r="AT4" i="10"/>
  <c r="AU4" i="10"/>
  <c r="AV4" i="10"/>
  <c r="AW4" i="10"/>
  <c r="AX4" i="10"/>
  <c r="AY4" i="10"/>
  <c r="AZ4" i="10"/>
  <c r="AG4" i="10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AL8" i="13"/>
  <c r="AK8" i="13"/>
  <c r="AJ8" i="13"/>
  <c r="AI8" i="13"/>
  <c r="AH8" i="13"/>
  <c r="AG8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AL7" i="13"/>
  <c r="AK7" i="13"/>
  <c r="AJ7" i="13"/>
  <c r="AI7" i="13"/>
  <c r="AH7" i="13"/>
  <c r="AG7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AK6" i="13"/>
  <c r="AJ6" i="13"/>
  <c r="AI6" i="13"/>
  <c r="AH6" i="13"/>
  <c r="AG6" i="13"/>
  <c r="AZ4" i="13"/>
  <c r="AY4" i="13"/>
  <c r="AX4" i="13"/>
  <c r="AW4" i="13"/>
  <c r="AV4" i="13"/>
  <c r="AU4" i="13"/>
  <c r="AT4" i="13"/>
  <c r="AS4" i="13"/>
  <c r="AR4" i="13"/>
  <c r="AQ4" i="13"/>
  <c r="AP4" i="13"/>
  <c r="AO4" i="13"/>
  <c r="AN4" i="13"/>
  <c r="AM4" i="13"/>
  <c r="AL4" i="13"/>
  <c r="AK4" i="13"/>
  <c r="AJ4" i="13"/>
  <c r="AI4" i="13"/>
  <c r="AH4" i="13"/>
  <c r="AG4" i="13"/>
  <c r="AZ3" i="13"/>
  <c r="AY3" i="13"/>
  <c r="AX3" i="13"/>
  <c r="AW3" i="13"/>
  <c r="AV3" i="13"/>
  <c r="AU3" i="13"/>
  <c r="AT3" i="13"/>
  <c r="AS3" i="13"/>
  <c r="AR3" i="13"/>
  <c r="AQ3" i="13"/>
  <c r="AP3" i="13"/>
  <c r="AO3" i="13"/>
  <c r="AN3" i="13"/>
  <c r="AM3" i="13"/>
  <c r="AL3" i="13"/>
  <c r="AK3" i="13"/>
  <c r="AJ3" i="13"/>
  <c r="AI3" i="13"/>
  <c r="AH3" i="13"/>
  <c r="AG3" i="13"/>
  <c r="AZ8" i="12"/>
  <c r="AY8" i="12"/>
  <c r="AX8" i="12"/>
  <c r="AW8" i="12"/>
  <c r="AV8" i="12"/>
  <c r="AU8" i="12"/>
  <c r="AT8" i="12"/>
  <c r="AS8" i="12"/>
  <c r="AR8" i="12"/>
  <c r="AQ8" i="12"/>
  <c r="AP8" i="12"/>
  <c r="AO8" i="12"/>
  <c r="AN8" i="12"/>
  <c r="AM8" i="12"/>
  <c r="AL8" i="12"/>
  <c r="AK8" i="12"/>
  <c r="AJ8" i="12"/>
  <c r="AI8" i="12"/>
  <c r="AH8" i="12"/>
  <c r="AG8" i="12"/>
  <c r="AZ7" i="12"/>
  <c r="AY7" i="12"/>
  <c r="AX7" i="12"/>
  <c r="AW7" i="12"/>
  <c r="AV7" i="12"/>
  <c r="AU7" i="12"/>
  <c r="AT7" i="12"/>
  <c r="AS7" i="12"/>
  <c r="AR7" i="12"/>
  <c r="AQ7" i="12"/>
  <c r="AP7" i="12"/>
  <c r="AO7" i="12"/>
  <c r="AN7" i="12"/>
  <c r="AM7" i="12"/>
  <c r="AL7" i="12"/>
  <c r="AK7" i="12"/>
  <c r="AJ7" i="12"/>
  <c r="AI7" i="12"/>
  <c r="AH7" i="12"/>
  <c r="AG7" i="12"/>
  <c r="AZ6" i="12"/>
  <c r="AY6" i="12"/>
  <c r="AX6" i="12"/>
  <c r="AW6" i="12"/>
  <c r="AV6" i="12"/>
  <c r="AU6" i="12"/>
  <c r="AT6" i="12"/>
  <c r="AS6" i="12"/>
  <c r="AR6" i="12"/>
  <c r="AQ6" i="12"/>
  <c r="AP6" i="12"/>
  <c r="AO6" i="12"/>
  <c r="AN6" i="12"/>
  <c r="AM6" i="12"/>
  <c r="AL6" i="12"/>
  <c r="AK6" i="12"/>
  <c r="AJ6" i="12"/>
  <c r="AI6" i="12"/>
  <c r="AH6" i="12"/>
  <c r="AG6" i="12"/>
  <c r="AZ5" i="12"/>
  <c r="AY5" i="12"/>
  <c r="AX5" i="12"/>
  <c r="AW5" i="12"/>
  <c r="AV5" i="12"/>
  <c r="AU5" i="12"/>
  <c r="AT5" i="12"/>
  <c r="AS5" i="12"/>
  <c r="AR5" i="12"/>
  <c r="AQ5" i="12"/>
  <c r="AP5" i="12"/>
  <c r="AO5" i="12"/>
  <c r="AN5" i="12"/>
  <c r="AM5" i="12"/>
  <c r="AL5" i="12"/>
  <c r="AK5" i="12"/>
  <c r="AJ5" i="12"/>
  <c r="AI5" i="12"/>
  <c r="AH5" i="12"/>
  <c r="AG5" i="12"/>
  <c r="AZ4" i="12"/>
  <c r="AY4" i="12"/>
  <c r="AX4" i="12"/>
  <c r="AW4" i="12"/>
  <c r="AV4" i="12"/>
  <c r="AU4" i="12"/>
  <c r="AT4" i="12"/>
  <c r="AS4" i="12"/>
  <c r="AR4" i="12"/>
  <c r="AQ4" i="12"/>
  <c r="AP4" i="12"/>
  <c r="AO4" i="12"/>
  <c r="AN4" i="12"/>
  <c r="AM4" i="12"/>
  <c r="AL4" i="12"/>
  <c r="AK4" i="12"/>
  <c r="AJ4" i="12"/>
  <c r="AI4" i="12"/>
  <c r="AH4" i="12"/>
  <c r="AG4" i="12"/>
  <c r="AZ3" i="12"/>
  <c r="AY3" i="12"/>
  <c r="AX3" i="12"/>
  <c r="AW3" i="12"/>
  <c r="AV3" i="12"/>
  <c r="AU3" i="12"/>
  <c r="AT3" i="12"/>
  <c r="AS3" i="12"/>
  <c r="AR3" i="12"/>
  <c r="AQ3" i="12"/>
  <c r="AP3" i="12"/>
  <c r="AO3" i="12"/>
  <c r="AN3" i="12"/>
  <c r="AM3" i="12"/>
  <c r="AL3" i="12"/>
  <c r="AK3" i="12"/>
  <c r="AJ3" i="12"/>
  <c r="AI3" i="12"/>
  <c r="AH3" i="12"/>
  <c r="AG3" i="12"/>
  <c r="AZ2" i="12"/>
  <c r="AY2" i="12"/>
  <c r="AX2" i="12"/>
  <c r="AW2" i="12"/>
  <c r="AV2" i="12"/>
  <c r="AU2" i="12"/>
  <c r="AT2" i="12"/>
  <c r="AS2" i="12"/>
  <c r="AR2" i="12"/>
  <c r="AQ2" i="12"/>
  <c r="AP2" i="12"/>
  <c r="AO2" i="12"/>
  <c r="AN2" i="12"/>
  <c r="AM2" i="12"/>
  <c r="AL2" i="12"/>
  <c r="AK2" i="12"/>
  <c r="AJ2" i="12"/>
  <c r="AI2" i="12"/>
  <c r="AH2" i="12"/>
  <c r="AG2" i="12"/>
  <c r="AZ8" i="11"/>
  <c r="AY8" i="11"/>
  <c r="AX8" i="11"/>
  <c r="AW8" i="11"/>
  <c r="AV8" i="11"/>
  <c r="AU8" i="11"/>
  <c r="AT8" i="11"/>
  <c r="AS8" i="11"/>
  <c r="AR8" i="11"/>
  <c r="AQ8" i="11"/>
  <c r="AP8" i="11"/>
  <c r="AO8" i="11"/>
  <c r="AN8" i="11"/>
  <c r="AM8" i="11"/>
  <c r="AL8" i="11"/>
  <c r="AK8" i="11"/>
  <c r="AJ8" i="11"/>
  <c r="AI8" i="11"/>
  <c r="AH8" i="11"/>
  <c r="AG8" i="11"/>
  <c r="AZ7" i="11"/>
  <c r="AY7" i="11"/>
  <c r="AX7" i="11"/>
  <c r="AW7" i="11"/>
  <c r="AV7" i="11"/>
  <c r="AU7" i="11"/>
  <c r="AT7" i="11"/>
  <c r="AS7" i="11"/>
  <c r="AR7" i="11"/>
  <c r="AQ7" i="11"/>
  <c r="AP7" i="11"/>
  <c r="AO7" i="11"/>
  <c r="AN7" i="11"/>
  <c r="AM7" i="11"/>
  <c r="AL7" i="11"/>
  <c r="AK7" i="11"/>
  <c r="AJ7" i="11"/>
  <c r="AI7" i="11"/>
  <c r="AH7" i="11"/>
  <c r="AG7" i="11"/>
  <c r="AZ6" i="11"/>
  <c r="AY6" i="11"/>
  <c r="AX6" i="11"/>
  <c r="AW6" i="11"/>
  <c r="AV6" i="11"/>
  <c r="AU6" i="11"/>
  <c r="AT6" i="11"/>
  <c r="AS6" i="11"/>
  <c r="AR6" i="11"/>
  <c r="AQ6" i="11"/>
  <c r="AP6" i="11"/>
  <c r="AO6" i="11"/>
  <c r="AN6" i="11"/>
  <c r="AM6" i="11"/>
  <c r="AL6" i="11"/>
  <c r="AK6" i="11"/>
  <c r="AJ6" i="11"/>
  <c r="AI6" i="11"/>
  <c r="AH6" i="11"/>
  <c r="AG6" i="11"/>
  <c r="AZ5" i="11"/>
  <c r="AY5" i="11"/>
  <c r="AX5" i="11"/>
  <c r="AW5" i="11"/>
  <c r="AV5" i="11"/>
  <c r="AU5" i="11"/>
  <c r="AT5" i="11"/>
  <c r="AS5" i="11"/>
  <c r="AR5" i="11"/>
  <c r="AQ5" i="11"/>
  <c r="AP5" i="11"/>
  <c r="AO5" i="11"/>
  <c r="AN5" i="11"/>
  <c r="AM5" i="11"/>
  <c r="AL5" i="11"/>
  <c r="AK5" i="11"/>
  <c r="AJ5" i="11"/>
  <c r="AI5" i="11"/>
  <c r="AH5" i="11"/>
  <c r="AG5" i="11"/>
  <c r="AZ4" i="11"/>
  <c r="AY4" i="11"/>
  <c r="AX4" i="11"/>
  <c r="AW4" i="11"/>
  <c r="AV4" i="11"/>
  <c r="AU4" i="11"/>
  <c r="AT4" i="11"/>
  <c r="AS4" i="11"/>
  <c r="AR4" i="11"/>
  <c r="AQ4" i="11"/>
  <c r="AP4" i="11"/>
  <c r="AO4" i="11"/>
  <c r="AN4" i="11"/>
  <c r="AM4" i="11"/>
  <c r="AL4" i="11"/>
  <c r="AK4" i="11"/>
  <c r="AJ4" i="11"/>
  <c r="AI4" i="11"/>
  <c r="AH4" i="11"/>
  <c r="AG4" i="11"/>
  <c r="AZ3" i="11"/>
  <c r="AY3" i="11"/>
  <c r="AX3" i="11"/>
  <c r="AW3" i="11"/>
  <c r="AV3" i="11"/>
  <c r="AU3" i="11"/>
  <c r="AT3" i="11"/>
  <c r="AS3" i="11"/>
  <c r="AR3" i="11"/>
  <c r="AQ3" i="11"/>
  <c r="AP3" i="11"/>
  <c r="AO3" i="11"/>
  <c r="AN3" i="11"/>
  <c r="AM3" i="11"/>
  <c r="AL3" i="11"/>
  <c r="AK3" i="11"/>
  <c r="AJ3" i="11"/>
  <c r="AI3" i="11"/>
  <c r="AH3" i="11"/>
  <c r="AG3" i="11"/>
  <c r="AZ2" i="11"/>
  <c r="AY2" i="11"/>
  <c r="AX2" i="11"/>
  <c r="AW2" i="11"/>
  <c r="AV2" i="11"/>
  <c r="AU2" i="11"/>
  <c r="AT2" i="11"/>
  <c r="AS2" i="11"/>
  <c r="AR2" i="11"/>
  <c r="AQ2" i="11"/>
  <c r="AP2" i="11"/>
  <c r="AO2" i="11"/>
  <c r="AN2" i="11"/>
  <c r="AM2" i="11"/>
  <c r="AL2" i="11"/>
  <c r="AK2" i="11"/>
  <c r="AJ2" i="11"/>
  <c r="AI2" i="11"/>
  <c r="AH2" i="11"/>
  <c r="AG2" i="11"/>
  <c r="AH5" i="9"/>
  <c r="AI5" i="9"/>
  <c r="AJ5" i="9"/>
  <c r="AK5" i="9"/>
  <c r="AL5" i="9"/>
  <c r="AM5" i="9"/>
  <c r="AN5" i="9"/>
  <c r="AO5" i="9"/>
  <c r="AP5" i="9"/>
  <c r="AQ5" i="9"/>
  <c r="AR5" i="9"/>
  <c r="AS5" i="9"/>
  <c r="AT5" i="9"/>
  <c r="AU5" i="9"/>
  <c r="AV5" i="9"/>
  <c r="AW5" i="9"/>
  <c r="AX5" i="9"/>
  <c r="AY5" i="9"/>
  <c r="AZ5" i="9"/>
  <c r="AG5" i="9"/>
  <c r="AH5" i="10"/>
  <c r="AI5" i="10"/>
  <c r="AJ5" i="10"/>
  <c r="AK5" i="10"/>
  <c r="AL5" i="10"/>
  <c r="AM5" i="10"/>
  <c r="AN5" i="10"/>
  <c r="AO5" i="10"/>
  <c r="AP5" i="10"/>
  <c r="AQ5" i="10"/>
  <c r="AR5" i="10"/>
  <c r="AS5" i="10"/>
  <c r="AT5" i="10"/>
  <c r="AU5" i="10"/>
  <c r="AV5" i="10"/>
  <c r="AW5" i="10"/>
  <c r="AX5" i="10"/>
  <c r="AY5" i="10"/>
  <c r="AZ5" i="10"/>
  <c r="AG5" i="10"/>
  <c r="AH2" i="10"/>
  <c r="AI2" i="10"/>
  <c r="AJ2" i="10"/>
  <c r="AK2" i="10"/>
  <c r="AL2" i="10"/>
  <c r="AM2" i="10"/>
  <c r="AN2" i="10"/>
  <c r="AO2" i="10"/>
  <c r="AP2" i="10"/>
  <c r="AQ2" i="10"/>
  <c r="AR2" i="10"/>
  <c r="AS2" i="10"/>
  <c r="AT2" i="10"/>
  <c r="AU2" i="10"/>
  <c r="AV2" i="10"/>
  <c r="AW2" i="10"/>
  <c r="AX2" i="10"/>
  <c r="AY2" i="10"/>
  <c r="AZ2" i="10"/>
  <c r="AG2" i="10"/>
  <c r="AH2" i="9"/>
  <c r="AI2" i="9"/>
  <c r="AJ2" i="9"/>
  <c r="AK2" i="9"/>
  <c r="AL2" i="9"/>
  <c r="AM2" i="9"/>
  <c r="AN2" i="9"/>
  <c r="AO2" i="9"/>
  <c r="AP2" i="9"/>
  <c r="AQ2" i="9"/>
  <c r="AR2" i="9"/>
  <c r="AS2" i="9"/>
  <c r="AT2" i="9"/>
  <c r="AU2" i="9"/>
  <c r="AV2" i="9"/>
  <c r="AW2" i="9"/>
  <c r="AX2" i="9"/>
  <c r="AY2" i="9"/>
  <c r="AZ2" i="9"/>
  <c r="AG2" i="9"/>
  <c r="AH2" i="8"/>
  <c r="AI2" i="8"/>
  <c r="AJ2" i="8"/>
  <c r="AK2" i="8"/>
  <c r="AL2" i="8"/>
  <c r="AM2" i="8"/>
  <c r="AN2" i="8"/>
  <c r="AO2" i="8"/>
  <c r="AP2" i="8"/>
  <c r="AQ2" i="8"/>
  <c r="AR2" i="8"/>
  <c r="AS2" i="8"/>
  <c r="AT2" i="8"/>
  <c r="AU2" i="8"/>
  <c r="AV2" i="8"/>
  <c r="AW2" i="8"/>
  <c r="AX2" i="8"/>
  <c r="AY2" i="8"/>
  <c r="AZ2" i="8"/>
  <c r="AG2" i="8"/>
  <c r="AZ8" i="8"/>
  <c r="AY8" i="8"/>
  <c r="AX8" i="8"/>
  <c r="AW8" i="8"/>
  <c r="AV8" i="8"/>
  <c r="AU8" i="8"/>
  <c r="AT8" i="8"/>
  <c r="AS8" i="8"/>
  <c r="AR8" i="8"/>
  <c r="AQ8" i="8"/>
  <c r="AP8" i="8"/>
  <c r="AO8" i="8"/>
  <c r="AN8" i="8"/>
  <c r="AM8" i="8"/>
  <c r="AL8" i="8"/>
  <c r="AK8" i="8"/>
  <c r="AJ8" i="8"/>
  <c r="AI8" i="8"/>
  <c r="AH8" i="8"/>
  <c r="AG8" i="8"/>
  <c r="AZ7" i="8"/>
  <c r="AY7" i="8"/>
  <c r="AX7" i="8"/>
  <c r="AW7" i="8"/>
  <c r="AV7" i="8"/>
  <c r="AU7" i="8"/>
  <c r="AT7" i="8"/>
  <c r="AS7" i="8"/>
  <c r="AR7" i="8"/>
  <c r="AQ7" i="8"/>
  <c r="AP7" i="8"/>
  <c r="AO7" i="8"/>
  <c r="AN7" i="8"/>
  <c r="AM7" i="8"/>
  <c r="AL7" i="8"/>
  <c r="AK7" i="8"/>
  <c r="AJ7" i="8"/>
  <c r="AI7" i="8"/>
  <c r="AH7" i="8"/>
  <c r="AG7" i="8"/>
  <c r="AZ6" i="8"/>
  <c r="AY6" i="8"/>
  <c r="AX6" i="8"/>
  <c r="AW6" i="8"/>
  <c r="AV6" i="8"/>
  <c r="AU6" i="8"/>
  <c r="AT6" i="8"/>
  <c r="AS6" i="8"/>
  <c r="AR6" i="8"/>
  <c r="AQ6" i="8"/>
  <c r="AP6" i="8"/>
  <c r="AO6" i="8"/>
  <c r="AN6" i="8"/>
  <c r="AM6" i="8"/>
  <c r="AL6" i="8"/>
  <c r="AK6" i="8"/>
  <c r="AJ6" i="8"/>
  <c r="AI6" i="8"/>
  <c r="AH6" i="8"/>
  <c r="AG6" i="8"/>
  <c r="AZ5" i="8"/>
  <c r="AY5" i="8"/>
  <c r="AX5" i="8"/>
  <c r="AW5" i="8"/>
  <c r="AV5" i="8"/>
  <c r="AU5" i="8"/>
  <c r="AT5" i="8"/>
  <c r="AS5" i="8"/>
  <c r="AR5" i="8"/>
  <c r="AQ5" i="8"/>
  <c r="AP5" i="8"/>
  <c r="AO5" i="8"/>
  <c r="AN5" i="8"/>
  <c r="AM5" i="8"/>
  <c r="AL5" i="8"/>
  <c r="AK5" i="8"/>
  <c r="AJ5" i="8"/>
  <c r="AI5" i="8"/>
  <c r="AH5" i="8"/>
  <c r="AG5" i="8"/>
  <c r="AZ4" i="8"/>
  <c r="AY4" i="8"/>
  <c r="AX4" i="8"/>
  <c r="AW4" i="8"/>
  <c r="AV4" i="8"/>
  <c r="AU4" i="8"/>
  <c r="AT4" i="8"/>
  <c r="AS4" i="8"/>
  <c r="AR4" i="8"/>
  <c r="AQ4" i="8"/>
  <c r="AP4" i="8"/>
  <c r="AO4" i="8"/>
  <c r="AN4" i="8"/>
  <c r="AM4" i="8"/>
  <c r="AL4" i="8"/>
  <c r="AK4" i="8"/>
  <c r="AJ4" i="8"/>
  <c r="AI4" i="8"/>
  <c r="AH4" i="8"/>
  <c r="AG4" i="8"/>
  <c r="AZ3" i="8"/>
  <c r="AY3" i="8"/>
  <c r="AX3" i="8"/>
  <c r="AW3" i="8"/>
  <c r="AV3" i="8"/>
  <c r="AU3" i="8"/>
  <c r="AT3" i="8"/>
  <c r="AS3" i="8"/>
  <c r="AR3" i="8"/>
  <c r="AQ3" i="8"/>
  <c r="AP3" i="8"/>
  <c r="AO3" i="8"/>
  <c r="AN3" i="8"/>
  <c r="AM3" i="8"/>
  <c r="AL3" i="8"/>
  <c r="AK3" i="8"/>
  <c r="AJ3" i="8"/>
  <c r="AI3" i="8"/>
  <c r="AH3" i="8"/>
  <c r="AG3" i="8"/>
  <c r="AH2" i="2"/>
  <c r="AI2" i="2"/>
  <c r="AJ2" i="2"/>
  <c r="AK2" i="2"/>
  <c r="AL2" i="2"/>
  <c r="AM2" i="2"/>
  <c r="AN2" i="2"/>
  <c r="AO2" i="2"/>
  <c r="AP2" i="2"/>
  <c r="AQ2" i="2"/>
  <c r="AR2" i="2"/>
  <c r="AS2" i="2"/>
  <c r="AT2" i="2"/>
  <c r="AU2" i="2"/>
  <c r="AV2" i="2"/>
  <c r="AW2" i="2"/>
  <c r="AX2" i="2"/>
  <c r="AY2" i="2"/>
  <c r="AZ2" i="2"/>
  <c r="AH3" i="2"/>
  <c r="AI3" i="2"/>
  <c r="AJ3" i="2"/>
  <c r="AK3" i="2"/>
  <c r="AL3" i="2"/>
  <c r="AM3" i="2"/>
  <c r="AN3" i="2"/>
  <c r="AO3" i="2"/>
  <c r="AP3" i="2"/>
  <c r="AQ3" i="2"/>
  <c r="AR3" i="2"/>
  <c r="AS3" i="2"/>
  <c r="AT3" i="2"/>
  <c r="AU3" i="2"/>
  <c r="AV3" i="2"/>
  <c r="AW3" i="2"/>
  <c r="AX3" i="2"/>
  <c r="AY3" i="2"/>
  <c r="AZ3" i="2"/>
  <c r="AH4" i="2"/>
  <c r="AI4" i="2"/>
  <c r="AJ4" i="2"/>
  <c r="AK4" i="2"/>
  <c r="AL4" i="2"/>
  <c r="AM4" i="2"/>
  <c r="AN4" i="2"/>
  <c r="AO4" i="2"/>
  <c r="AP4" i="2"/>
  <c r="AQ4" i="2"/>
  <c r="AR4" i="2"/>
  <c r="AS4" i="2"/>
  <c r="AT4" i="2"/>
  <c r="AU4" i="2"/>
  <c r="AV4" i="2"/>
  <c r="AW4" i="2"/>
  <c r="AX4" i="2"/>
  <c r="AY4" i="2"/>
  <c r="AZ4" i="2"/>
  <c r="AH5" i="2"/>
  <c r="AI5" i="2"/>
  <c r="AJ5" i="2"/>
  <c r="AK5" i="2"/>
  <c r="AL5" i="2"/>
  <c r="AM5" i="2"/>
  <c r="AN5" i="2"/>
  <c r="AO5" i="2"/>
  <c r="AP5" i="2"/>
  <c r="AQ5" i="2"/>
  <c r="AR5" i="2"/>
  <c r="AS5" i="2"/>
  <c r="AT5" i="2"/>
  <c r="AU5" i="2"/>
  <c r="AV5" i="2"/>
  <c r="AW5" i="2"/>
  <c r="AX5" i="2"/>
  <c r="AY5" i="2"/>
  <c r="AZ5" i="2"/>
  <c r="AH6" i="2"/>
  <c r="AI6" i="2"/>
  <c r="AJ6" i="2"/>
  <c r="AK6" i="2"/>
  <c r="AL6" i="2"/>
  <c r="AM6" i="2"/>
  <c r="AN6" i="2"/>
  <c r="AO6" i="2"/>
  <c r="AP6" i="2"/>
  <c r="AQ6" i="2"/>
  <c r="AR6" i="2"/>
  <c r="AS6" i="2"/>
  <c r="AT6" i="2"/>
  <c r="AU6" i="2"/>
  <c r="AV6" i="2"/>
  <c r="AW6" i="2"/>
  <c r="AX6" i="2"/>
  <c r="AY6" i="2"/>
  <c r="AZ6" i="2"/>
  <c r="AH7" i="2"/>
  <c r="AI7" i="2"/>
  <c r="AJ7" i="2"/>
  <c r="AK7" i="2"/>
  <c r="AL7" i="2"/>
  <c r="AM7" i="2"/>
  <c r="AN7" i="2"/>
  <c r="AO7" i="2"/>
  <c r="AP7" i="2"/>
  <c r="AQ7" i="2"/>
  <c r="AR7" i="2"/>
  <c r="AS7" i="2"/>
  <c r="AT7" i="2"/>
  <c r="AU7" i="2"/>
  <c r="AV7" i="2"/>
  <c r="AW7" i="2"/>
  <c r="AX7" i="2"/>
  <c r="AY7" i="2"/>
  <c r="AZ7" i="2"/>
  <c r="AH8" i="2"/>
  <c r="AI8" i="2"/>
  <c r="AJ8" i="2"/>
  <c r="AK8" i="2"/>
  <c r="AL8" i="2"/>
  <c r="AM8" i="2"/>
  <c r="AN8" i="2"/>
  <c r="AO8" i="2"/>
  <c r="AP8" i="2"/>
  <c r="AQ8" i="2"/>
  <c r="AR8" i="2"/>
  <c r="AS8" i="2"/>
  <c r="AT8" i="2"/>
  <c r="AU8" i="2"/>
  <c r="AV8" i="2"/>
  <c r="AW8" i="2"/>
  <c r="AX8" i="2"/>
  <c r="AY8" i="2"/>
  <c r="AZ8" i="2"/>
  <c r="AG3" i="2"/>
  <c r="AG4" i="2"/>
  <c r="AG5" i="2"/>
  <c r="AG6" i="2"/>
  <c r="AG7" i="2"/>
  <c r="AG8" i="2"/>
  <c r="AG2" i="2"/>
  <c r="I2" i="22"/>
  <c r="J2" i="22"/>
  <c r="K2" i="22"/>
  <c r="L2" i="22"/>
  <c r="M2" i="22"/>
  <c r="H2" i="22"/>
  <c r="L2" i="2"/>
  <c r="C2" i="2"/>
  <c r="D2" i="2"/>
  <c r="E2" i="2"/>
  <c r="B2" i="2"/>
  <c r="H14" i="3"/>
  <c r="E14" i="3"/>
  <c r="G78" i="7"/>
  <c r="G81" i="7"/>
  <c r="G82" i="7"/>
  <c r="C70" i="7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/>
  <c r="D80" i="3"/>
  <c r="D29" i="3"/>
  <c r="D28" i="3"/>
  <c r="E26" i="3"/>
  <c r="D26" i="3"/>
  <c r="D25" i="3"/>
  <c r="D24" i="3"/>
  <c r="D23" i="3"/>
  <c r="D22" i="3"/>
  <c r="D21" i="3"/>
  <c r="D18" i="3"/>
  <c r="H9" i="3"/>
  <c r="I9" i="3"/>
  <c r="D52" i="3"/>
  <c r="D55" i="3"/>
  <c r="E37" i="3"/>
  <c r="E36" i="3"/>
  <c r="E29" i="3"/>
  <c r="D30" i="3"/>
  <c r="D37" i="3"/>
  <c r="D36" i="3"/>
  <c r="D86" i="3"/>
  <c r="D85" i="3"/>
  <c r="D84" i="3"/>
  <c r="D83" i="3"/>
  <c r="D81" i="3"/>
  <c r="F29" i="3"/>
  <c r="E30" i="3"/>
  <c r="F30" i="3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/>
  <c r="F23" i="3"/>
  <c r="E15" i="3"/>
  <c r="E22" i="3"/>
  <c r="F22" i="3"/>
  <c r="H27" i="3"/>
  <c r="H29" i="3"/>
  <c r="B7" i="9"/>
  <c r="H30" i="3"/>
  <c r="B8" i="9"/>
  <c r="H34" i="3"/>
  <c r="H36" i="3"/>
  <c r="B7" i="10"/>
  <c r="H37" i="3"/>
  <c r="B8" i="10"/>
  <c r="H38" i="3"/>
  <c r="H39" i="3"/>
  <c r="H40" i="3"/>
  <c r="H41" i="3"/>
  <c r="B5" i="11"/>
  <c r="H42" i="3"/>
  <c r="H43" i="3"/>
  <c r="B7" i="11"/>
  <c r="H44" i="3"/>
  <c r="B8" i="11"/>
  <c r="H45" i="3"/>
  <c r="H46" i="3"/>
  <c r="H47" i="3"/>
  <c r="H48" i="3"/>
  <c r="H49" i="3"/>
  <c r="H50" i="3"/>
  <c r="B7" i="12"/>
  <c r="H51" i="3"/>
  <c r="B8" i="12"/>
  <c r="H52" i="3"/>
  <c r="B2" i="13"/>
  <c r="H53" i="3"/>
  <c r="H54" i="3"/>
  <c r="H55" i="3"/>
  <c r="H56" i="3"/>
  <c r="H57" i="3"/>
  <c r="B7" i="13"/>
  <c r="H58" i="3"/>
  <c r="B8" i="13"/>
  <c r="H59" i="3"/>
  <c r="H60" i="3"/>
  <c r="H61" i="3"/>
  <c r="H62" i="3"/>
  <c r="H63" i="3"/>
  <c r="H64" i="3"/>
  <c r="B7" i="14"/>
  <c r="H65" i="3"/>
  <c r="B8" i="14"/>
  <c r="H66" i="3"/>
  <c r="H67" i="3"/>
  <c r="H68" i="3"/>
  <c r="H69" i="3"/>
  <c r="H70" i="3"/>
  <c r="H71" i="3"/>
  <c r="B7" i="15"/>
  <c r="H72" i="3"/>
  <c r="B8" i="15"/>
  <c r="H73" i="3"/>
  <c r="H74" i="3"/>
  <c r="H75" i="3"/>
  <c r="H76" i="3"/>
  <c r="H77" i="3"/>
  <c r="H78" i="3"/>
  <c r="B7" i="16"/>
  <c r="H79" i="3"/>
  <c r="B8" i="16"/>
  <c r="H82" i="3"/>
  <c r="H85" i="3"/>
  <c r="B7" i="17"/>
  <c r="H86" i="3"/>
  <c r="B8" i="17"/>
  <c r="H87" i="3"/>
  <c r="H88" i="3"/>
  <c r="H89" i="3"/>
  <c r="H90" i="3"/>
  <c r="H91" i="3"/>
  <c r="H92" i="3"/>
  <c r="H93" i="3"/>
  <c r="H19" i="3"/>
  <c r="H22" i="3"/>
  <c r="B7" i="8"/>
  <c r="H23" i="3"/>
  <c r="B8" i="8"/>
  <c r="D16" i="3"/>
  <c r="D15" i="3"/>
  <c r="H15" i="3"/>
  <c r="B7" i="2"/>
  <c r="F16" i="3"/>
  <c r="H16" i="3"/>
  <c r="B8" i="2"/>
  <c r="F15" i="3"/>
  <c r="H18" i="3"/>
  <c r="D11" i="3"/>
  <c r="E11" i="3"/>
  <c r="E18" i="3"/>
  <c r="B1" i="18"/>
  <c r="B1" i="16"/>
  <c r="B1" i="14"/>
  <c r="B1" i="12"/>
  <c r="B1" i="10"/>
  <c r="I36" i="3"/>
  <c r="C7" i="10"/>
  <c r="B1" i="13"/>
  <c r="B1" i="2"/>
  <c r="B1" i="9"/>
  <c r="B1" i="11"/>
  <c r="B1" i="8"/>
  <c r="B1" i="15"/>
  <c r="B1" i="17"/>
  <c r="E35" i="3"/>
  <c r="E28" i="3"/>
  <c r="E32" i="3"/>
  <c r="E25" i="3"/>
  <c r="D35" i="3"/>
  <c r="H35" i="3"/>
  <c r="H33" i="3"/>
  <c r="D32" i="3"/>
  <c r="H32" i="3"/>
  <c r="D13" i="3"/>
  <c r="I37" i="3"/>
  <c r="C8" i="10"/>
  <c r="I44" i="3"/>
  <c r="C8" i="11"/>
  <c r="I50" i="3"/>
  <c r="C7" i="12"/>
  <c r="I58" i="3"/>
  <c r="C8" i="13"/>
  <c r="I64" i="3"/>
  <c r="C7" i="14"/>
  <c r="I43" i="3"/>
  <c r="C7" i="11"/>
  <c r="I51" i="3"/>
  <c r="C8" i="12"/>
  <c r="I57" i="3"/>
  <c r="C7" i="13"/>
  <c r="I65" i="3"/>
  <c r="C8" i="14"/>
  <c r="I71" i="3"/>
  <c r="C7" i="15"/>
  <c r="I79" i="3"/>
  <c r="C8" i="16"/>
  <c r="I85" i="3"/>
  <c r="C7" i="17"/>
  <c r="I72" i="3"/>
  <c r="C8" i="15"/>
  <c r="I78" i="3"/>
  <c r="C7" i="16"/>
  <c r="I92" i="3"/>
  <c r="I93" i="3"/>
  <c r="I30" i="3"/>
  <c r="C8" i="9"/>
  <c r="I15" i="3"/>
  <c r="C7" i="2"/>
  <c r="I86" i="3"/>
  <c r="C8" i="17"/>
  <c r="I29" i="3"/>
  <c r="C7" i="9"/>
  <c r="I22" i="3"/>
  <c r="C7" i="8"/>
  <c r="I18" i="3"/>
  <c r="I16" i="3"/>
  <c r="C8" i="2"/>
  <c r="I23" i="3"/>
  <c r="C8" i="8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/>
  <c r="C6" i="2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/>
  <c r="J37" i="3"/>
  <c r="D8" i="10"/>
  <c r="J23" i="3"/>
  <c r="D8" i="8"/>
  <c r="J16" i="3"/>
  <c r="D8" i="2"/>
  <c r="J57" i="3"/>
  <c r="D7" i="13"/>
  <c r="J44" i="3"/>
  <c r="D8" i="11"/>
  <c r="J50" i="3"/>
  <c r="D7" i="12"/>
  <c r="J58" i="3"/>
  <c r="D8" i="13"/>
  <c r="J64" i="3"/>
  <c r="D7" i="14"/>
  <c r="J43" i="3"/>
  <c r="D7" i="11"/>
  <c r="J51" i="3"/>
  <c r="D8" i="12"/>
  <c r="J65" i="3"/>
  <c r="D8" i="14"/>
  <c r="J71" i="3"/>
  <c r="D7" i="15"/>
  <c r="J79" i="3"/>
  <c r="D8" i="16"/>
  <c r="J85" i="3"/>
  <c r="D7" i="17"/>
  <c r="J72" i="3"/>
  <c r="D8" i="15"/>
  <c r="J78" i="3"/>
  <c r="D7" i="16"/>
  <c r="J93" i="3"/>
  <c r="J92" i="3"/>
  <c r="J15" i="3"/>
  <c r="D7" i="2"/>
  <c r="J29" i="3"/>
  <c r="D7" i="9"/>
  <c r="J22" i="3"/>
  <c r="D7" i="8"/>
  <c r="J86" i="3"/>
  <c r="D8" i="17"/>
  <c r="J30" i="3"/>
  <c r="D8" i="9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/>
  <c r="E7" i="10"/>
  <c r="K37" i="3"/>
  <c r="E8" i="10"/>
  <c r="K43" i="3"/>
  <c r="E7" i="11"/>
  <c r="K51" i="3"/>
  <c r="E8" i="12"/>
  <c r="K57" i="3"/>
  <c r="E7" i="13"/>
  <c r="K44" i="3"/>
  <c r="E8" i="11"/>
  <c r="K50" i="3"/>
  <c r="E7" i="12"/>
  <c r="K58" i="3"/>
  <c r="E8" i="13"/>
  <c r="K64" i="3"/>
  <c r="E7" i="14"/>
  <c r="K72" i="3"/>
  <c r="E8" i="15"/>
  <c r="K78" i="3"/>
  <c r="E7" i="16"/>
  <c r="K65" i="3"/>
  <c r="E8" i="14"/>
  <c r="K71" i="3"/>
  <c r="E7" i="15"/>
  <c r="K79" i="3"/>
  <c r="E8" i="16"/>
  <c r="K85" i="3"/>
  <c r="E7" i="17"/>
  <c r="K86" i="3"/>
  <c r="E8" i="17"/>
  <c r="K93" i="3"/>
  <c r="K92" i="3"/>
  <c r="K22" i="3"/>
  <c r="E7" i="8"/>
  <c r="K30" i="3"/>
  <c r="E8" i="9"/>
  <c r="K29" i="3"/>
  <c r="E7" i="9"/>
  <c r="K15" i="3"/>
  <c r="E7" i="2"/>
  <c r="K18" i="3"/>
  <c r="K23" i="3"/>
  <c r="E8" i="8"/>
  <c r="K16" i="3"/>
  <c r="E8" i="2"/>
  <c r="L9" i="3"/>
  <c r="L36" i="3"/>
  <c r="F7" i="10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/>
  <c r="F8" i="10"/>
  <c r="L58" i="3"/>
  <c r="F8" i="13"/>
  <c r="L64" i="3"/>
  <c r="F7" i="14"/>
  <c r="L43" i="3"/>
  <c r="F7" i="11"/>
  <c r="L51" i="3"/>
  <c r="F8" i="12"/>
  <c r="L57" i="3"/>
  <c r="F7" i="13"/>
  <c r="L44" i="3"/>
  <c r="F8" i="11"/>
  <c r="L50" i="3"/>
  <c r="F7" i="12"/>
  <c r="L85" i="3"/>
  <c r="F7" i="17"/>
  <c r="L72" i="3"/>
  <c r="F8" i="15"/>
  <c r="L78" i="3"/>
  <c r="F7" i="16"/>
  <c r="L65" i="3"/>
  <c r="F8" i="14"/>
  <c r="L71" i="3"/>
  <c r="F7" i="15"/>
  <c r="L79" i="3"/>
  <c r="F8" i="16"/>
  <c r="L92" i="3"/>
  <c r="L93" i="3"/>
  <c r="L86" i="3"/>
  <c r="F8" i="17"/>
  <c r="L22" i="3"/>
  <c r="F7" i="8"/>
  <c r="L29" i="3"/>
  <c r="F7" i="9"/>
  <c r="L30" i="3"/>
  <c r="F8" i="9"/>
  <c r="L15" i="3"/>
  <c r="F7" i="2"/>
  <c r="L18" i="3"/>
  <c r="L23" i="3"/>
  <c r="F8" i="8"/>
  <c r="L16" i="3"/>
  <c r="F8" i="2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/>
  <c r="G8" i="8"/>
  <c r="M36" i="3"/>
  <c r="G7" i="10"/>
  <c r="M37" i="3"/>
  <c r="G8" i="10"/>
  <c r="M44" i="3"/>
  <c r="G8" i="11"/>
  <c r="M50" i="3"/>
  <c r="G7" i="12"/>
  <c r="M58" i="3"/>
  <c r="G8" i="13"/>
  <c r="M64" i="3"/>
  <c r="G7" i="14"/>
  <c r="M43" i="3"/>
  <c r="G7" i="11"/>
  <c r="M51" i="3"/>
  <c r="G8" i="12"/>
  <c r="M57" i="3"/>
  <c r="G7" i="13"/>
  <c r="M65" i="3"/>
  <c r="G8" i="14"/>
  <c r="M71" i="3"/>
  <c r="G7" i="15"/>
  <c r="M79" i="3"/>
  <c r="G8" i="16"/>
  <c r="M85" i="3"/>
  <c r="G7" i="17"/>
  <c r="M72" i="3"/>
  <c r="G8" i="15"/>
  <c r="M78" i="3"/>
  <c r="G7" i="16"/>
  <c r="M92" i="3"/>
  <c r="M93" i="3"/>
  <c r="M22" i="3"/>
  <c r="G7" i="8"/>
  <c r="M29" i="3"/>
  <c r="G7" i="9"/>
  <c r="M30" i="3"/>
  <c r="G8" i="9"/>
  <c r="M86" i="3"/>
  <c r="G8" i="17"/>
  <c r="M15" i="3"/>
  <c r="G7" i="2"/>
  <c r="M18" i="3"/>
  <c r="M16" i="3"/>
  <c r="G8" i="2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/>
  <c r="H7" i="10"/>
  <c r="N37" i="3"/>
  <c r="H8" i="10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/>
  <c r="L53" i="3"/>
  <c r="F3" i="13"/>
  <c r="I53" i="3"/>
  <c r="C3" i="13"/>
  <c r="M53" i="3"/>
  <c r="G3" i="13"/>
  <c r="J53" i="3"/>
  <c r="D3" i="13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/>
  <c r="N44" i="3"/>
  <c r="H8" i="11"/>
  <c r="N50" i="3"/>
  <c r="H7" i="12"/>
  <c r="N58" i="3"/>
  <c r="H8" i="13"/>
  <c r="N64" i="3"/>
  <c r="H7" i="14"/>
  <c r="N43" i="3"/>
  <c r="H7" i="11"/>
  <c r="N51" i="3"/>
  <c r="H8" i="12"/>
  <c r="N65" i="3"/>
  <c r="H8" i="14"/>
  <c r="N71" i="3"/>
  <c r="H7" i="15"/>
  <c r="N79" i="3"/>
  <c r="H8" i="16"/>
  <c r="N85" i="3"/>
  <c r="H7" i="17"/>
  <c r="N72" i="3"/>
  <c r="H8" i="15"/>
  <c r="N78" i="3"/>
  <c r="H7" i="16"/>
  <c r="N93" i="3"/>
  <c r="N92" i="3"/>
  <c r="N86" i="3"/>
  <c r="H8" i="17"/>
  <c r="N15" i="3"/>
  <c r="H7" i="2"/>
  <c r="N22" i="3"/>
  <c r="H7" i="8"/>
  <c r="N30" i="3"/>
  <c r="H8" i="9"/>
  <c r="N29" i="3"/>
  <c r="H7" i="9"/>
  <c r="N18" i="3"/>
  <c r="N16" i="3"/>
  <c r="H8" i="2"/>
  <c r="N23" i="3"/>
  <c r="H8" i="8"/>
  <c r="I42" i="3"/>
  <c r="C6" i="11"/>
  <c r="M42" i="3"/>
  <c r="G6" i="11"/>
  <c r="J42" i="3"/>
  <c r="D6" i="11"/>
  <c r="N42" i="3"/>
  <c r="H6" i="11"/>
  <c r="K42" i="3"/>
  <c r="E6" i="11"/>
  <c r="L42" i="3"/>
  <c r="F6" i="11"/>
  <c r="J52" i="3"/>
  <c r="D2" i="13"/>
  <c r="N52" i="3"/>
  <c r="H2" i="13"/>
  <c r="K52" i="3"/>
  <c r="E2" i="13"/>
  <c r="I52" i="3"/>
  <c r="C2" i="13"/>
  <c r="L52" i="3"/>
  <c r="F2" i="13"/>
  <c r="M52" i="3"/>
  <c r="G2" i="13"/>
  <c r="J76" i="3"/>
  <c r="D5" i="16"/>
  <c r="N76" i="3"/>
  <c r="H5" i="16"/>
  <c r="K76" i="3"/>
  <c r="E5" i="16"/>
  <c r="L76" i="3"/>
  <c r="F5" i="16"/>
  <c r="I76" i="3"/>
  <c r="C5" i="16"/>
  <c r="M76" i="3"/>
  <c r="G5" i="16"/>
  <c r="I62" i="3"/>
  <c r="C5" i="14"/>
  <c r="M62" i="3"/>
  <c r="G5" i="14"/>
  <c r="J62" i="3"/>
  <c r="D5" i="14"/>
  <c r="N62" i="3"/>
  <c r="H5" i="14"/>
  <c r="K62" i="3"/>
  <c r="E5" i="14"/>
  <c r="L62" i="3"/>
  <c r="F5" i="14"/>
  <c r="I12" i="3"/>
  <c r="C4" i="2"/>
  <c r="J12" i="3"/>
  <c r="D4" i="2"/>
  <c r="K12" i="3"/>
  <c r="E4" i="2"/>
  <c r="L12" i="3"/>
  <c r="F4" i="2"/>
  <c r="K46" i="3"/>
  <c r="E3" i="12"/>
  <c r="I46" i="3"/>
  <c r="C3" i="12"/>
  <c r="M46" i="3"/>
  <c r="G3" i="12"/>
  <c r="L46" i="3"/>
  <c r="F3" i="12"/>
  <c r="N46" i="3"/>
  <c r="H3" i="12"/>
  <c r="J46" i="3"/>
  <c r="D3" i="12"/>
  <c r="K41" i="3"/>
  <c r="E5" i="11"/>
  <c r="L41" i="3"/>
  <c r="F5" i="11"/>
  <c r="I41" i="3"/>
  <c r="C5" i="11"/>
  <c r="M41" i="3"/>
  <c r="G5" i="11"/>
  <c r="J41" i="3"/>
  <c r="D5" i="11"/>
  <c r="N41" i="3"/>
  <c r="H5" i="11"/>
  <c r="L82" i="3"/>
  <c r="F4" i="17"/>
  <c r="I82" i="3"/>
  <c r="C4" i="17"/>
  <c r="M82" i="3"/>
  <c r="G4" i="17"/>
  <c r="K82" i="3"/>
  <c r="E4" i="17"/>
  <c r="J82" i="3"/>
  <c r="D4" i="17"/>
  <c r="N82" i="3"/>
  <c r="H4" i="17"/>
  <c r="K75" i="3"/>
  <c r="E4" i="16"/>
  <c r="L75" i="3"/>
  <c r="F4" i="16"/>
  <c r="M75" i="3"/>
  <c r="G4" i="16"/>
  <c r="N75" i="3"/>
  <c r="H4" i="16"/>
  <c r="I75" i="3"/>
  <c r="C4" i="16"/>
  <c r="J75" i="3"/>
  <c r="D4" i="16"/>
  <c r="K70" i="3"/>
  <c r="E6" i="15"/>
  <c r="L70" i="3"/>
  <c r="F6" i="15"/>
  <c r="I70" i="3"/>
  <c r="C6" i="15"/>
  <c r="J70" i="3"/>
  <c r="D6" i="15"/>
  <c r="M70" i="3"/>
  <c r="G6" i="15"/>
  <c r="N70" i="3"/>
  <c r="H6" i="15"/>
  <c r="K66" i="3"/>
  <c r="E2" i="15"/>
  <c r="L66" i="3"/>
  <c r="F2" i="15"/>
  <c r="I66" i="3"/>
  <c r="C2" i="15"/>
  <c r="M66" i="3"/>
  <c r="G2" i="15"/>
  <c r="J66" i="3"/>
  <c r="D2" i="15"/>
  <c r="N66" i="3"/>
  <c r="H2" i="15"/>
  <c r="K61" i="3"/>
  <c r="E4" i="14"/>
  <c r="L61" i="3"/>
  <c r="F4" i="14"/>
  <c r="I61" i="3"/>
  <c r="C4" i="14"/>
  <c r="M61" i="3"/>
  <c r="G4" i="14"/>
  <c r="J61" i="3"/>
  <c r="D4" i="14"/>
  <c r="N61" i="3"/>
  <c r="J56" i="3"/>
  <c r="D6" i="13"/>
  <c r="N56" i="3"/>
  <c r="H6" i="13"/>
  <c r="K56" i="3"/>
  <c r="E6" i="13"/>
  <c r="I56" i="3"/>
  <c r="C6" i="13"/>
  <c r="L56" i="3"/>
  <c r="F6" i="13"/>
  <c r="M56" i="3"/>
  <c r="G6" i="13"/>
  <c r="I47" i="3"/>
  <c r="C4" i="12"/>
  <c r="M47" i="3"/>
  <c r="G4" i="12"/>
  <c r="K47" i="3"/>
  <c r="E4" i="12"/>
  <c r="J47" i="3"/>
  <c r="D4" i="12"/>
  <c r="L47" i="3"/>
  <c r="F4" i="12"/>
  <c r="N47" i="3"/>
  <c r="H4" i="12"/>
  <c r="I38" i="3"/>
  <c r="C2" i="11"/>
  <c r="M38" i="3"/>
  <c r="G2" i="11"/>
  <c r="J38" i="3"/>
  <c r="D2" i="11"/>
  <c r="N38" i="3"/>
  <c r="K38" i="3"/>
  <c r="E2" i="11"/>
  <c r="L38" i="3"/>
  <c r="F2" i="11"/>
  <c r="I67" i="3"/>
  <c r="C3" i="15"/>
  <c r="M67" i="3"/>
  <c r="G3" i="15"/>
  <c r="J67" i="3"/>
  <c r="D3" i="15"/>
  <c r="N67" i="3"/>
  <c r="H3" i="15"/>
  <c r="K67" i="3"/>
  <c r="E3" i="15"/>
  <c r="L67" i="3"/>
  <c r="F3" i="15"/>
  <c r="I34" i="3"/>
  <c r="C5" i="10"/>
  <c r="M34" i="3"/>
  <c r="G5" i="10"/>
  <c r="J34" i="3"/>
  <c r="D5" i="10"/>
  <c r="N34" i="3"/>
  <c r="H5" i="10"/>
  <c r="K34" i="3"/>
  <c r="E5" i="10"/>
  <c r="L34" i="3"/>
  <c r="F5" i="10"/>
  <c r="J49" i="3"/>
  <c r="D6" i="12"/>
  <c r="N49" i="3"/>
  <c r="K49" i="3"/>
  <c r="E6" i="12"/>
  <c r="L49" i="3"/>
  <c r="F6" i="12"/>
  <c r="M49" i="3"/>
  <c r="G6" i="12"/>
  <c r="I49" i="3"/>
  <c r="C6" i="12"/>
  <c r="I45" i="3"/>
  <c r="C2" i="12"/>
  <c r="M45" i="3"/>
  <c r="G2" i="12"/>
  <c r="K45" i="3"/>
  <c r="E2" i="12"/>
  <c r="N45" i="3"/>
  <c r="H2" i="12"/>
  <c r="J45" i="3"/>
  <c r="D2" i="12"/>
  <c r="L45" i="3"/>
  <c r="F2" i="12"/>
  <c r="I40" i="3"/>
  <c r="C4" i="11"/>
  <c r="M40" i="3"/>
  <c r="G4" i="11"/>
  <c r="J40" i="3"/>
  <c r="D4" i="11"/>
  <c r="N40" i="3"/>
  <c r="H4" i="11"/>
  <c r="K40" i="3"/>
  <c r="E4" i="11"/>
  <c r="L40" i="3"/>
  <c r="F4" i="11"/>
  <c r="I74" i="3"/>
  <c r="C3" i="16"/>
  <c r="M74" i="3"/>
  <c r="G3" i="16"/>
  <c r="J74" i="3"/>
  <c r="D3" i="16"/>
  <c r="N74" i="3"/>
  <c r="H3" i="16"/>
  <c r="K74" i="3"/>
  <c r="E3" i="16"/>
  <c r="L74" i="3"/>
  <c r="F3" i="16"/>
  <c r="I69" i="3"/>
  <c r="C5" i="15"/>
  <c r="M69" i="3"/>
  <c r="G5" i="15"/>
  <c r="J69" i="3"/>
  <c r="D5" i="15"/>
  <c r="N69" i="3"/>
  <c r="H5" i="15"/>
  <c r="K69" i="3"/>
  <c r="E5" i="15"/>
  <c r="L69" i="3"/>
  <c r="F5" i="15"/>
  <c r="I60" i="3"/>
  <c r="C3" i="14"/>
  <c r="M60" i="3"/>
  <c r="G3" i="14"/>
  <c r="J60" i="3"/>
  <c r="D3" i="14"/>
  <c r="N60" i="3"/>
  <c r="H3" i="14"/>
  <c r="K60" i="3"/>
  <c r="E3" i="14"/>
  <c r="L60" i="3"/>
  <c r="F3" i="14"/>
  <c r="L55" i="3"/>
  <c r="F5" i="13"/>
  <c r="I55" i="3"/>
  <c r="C5" i="13"/>
  <c r="M55" i="3"/>
  <c r="G5" i="13"/>
  <c r="K55" i="3"/>
  <c r="E5" i="13"/>
  <c r="N55" i="3"/>
  <c r="H5" i="13"/>
  <c r="J55" i="3"/>
  <c r="D5" i="13"/>
  <c r="M12" i="3"/>
  <c r="G4" i="2"/>
  <c r="I27" i="3"/>
  <c r="C5" i="9"/>
  <c r="M27" i="3"/>
  <c r="G5" i="9"/>
  <c r="J27" i="3"/>
  <c r="D5" i="9"/>
  <c r="N27" i="3"/>
  <c r="H5" i="9"/>
  <c r="K27" i="3"/>
  <c r="E5" i="9"/>
  <c r="L27" i="3"/>
  <c r="F5" i="9"/>
  <c r="B4" i="8"/>
  <c r="L19" i="3"/>
  <c r="F4" i="8"/>
  <c r="M19" i="3"/>
  <c r="G4" i="8"/>
  <c r="I19" i="3"/>
  <c r="C4" i="8"/>
  <c r="K19" i="3"/>
  <c r="E4" i="8"/>
  <c r="J19" i="3"/>
  <c r="D4" i="8"/>
  <c r="N19" i="3"/>
  <c r="H4" i="8"/>
  <c r="K48" i="3"/>
  <c r="E5" i="12"/>
  <c r="I48" i="3"/>
  <c r="C5" i="12"/>
  <c r="M48" i="3"/>
  <c r="G5" i="12"/>
  <c r="J48" i="3"/>
  <c r="D5" i="12"/>
  <c r="L48" i="3"/>
  <c r="F5" i="12"/>
  <c r="N48" i="3"/>
  <c r="H5" i="12"/>
  <c r="K39" i="3"/>
  <c r="E3" i="11"/>
  <c r="L39" i="3"/>
  <c r="F3" i="11"/>
  <c r="J39" i="3"/>
  <c r="D3" i="11"/>
  <c r="M39" i="3"/>
  <c r="G3" i="11"/>
  <c r="N39" i="3"/>
  <c r="H3" i="11"/>
  <c r="I39" i="3"/>
  <c r="C3" i="11"/>
  <c r="L77" i="3"/>
  <c r="F6" i="16"/>
  <c r="I77" i="3"/>
  <c r="C6" i="16"/>
  <c r="M77" i="3"/>
  <c r="G6" i="16"/>
  <c r="J77" i="3"/>
  <c r="D6" i="16"/>
  <c r="N77" i="3"/>
  <c r="H6" i="16"/>
  <c r="K77" i="3"/>
  <c r="E6" i="16"/>
  <c r="K73" i="3"/>
  <c r="E2" i="16"/>
  <c r="L73" i="3"/>
  <c r="F2" i="16"/>
  <c r="J73" i="3"/>
  <c r="D2" i="16"/>
  <c r="M73" i="3"/>
  <c r="G2" i="16"/>
  <c r="N73" i="3"/>
  <c r="H2" i="16"/>
  <c r="I73" i="3"/>
  <c r="C2" i="16"/>
  <c r="K68" i="3"/>
  <c r="E4" i="15"/>
  <c r="L68" i="3"/>
  <c r="F4" i="15"/>
  <c r="I68" i="3"/>
  <c r="C4" i="15"/>
  <c r="M68" i="3"/>
  <c r="G4" i="15"/>
  <c r="J68" i="3"/>
  <c r="D4" i="15"/>
  <c r="N68" i="3"/>
  <c r="H4" i="15"/>
  <c r="K63" i="3"/>
  <c r="E6" i="14"/>
  <c r="L63" i="3"/>
  <c r="F6" i="14"/>
  <c r="I63" i="3"/>
  <c r="C6" i="14"/>
  <c r="M63" i="3"/>
  <c r="G6" i="14"/>
  <c r="J63" i="3"/>
  <c r="D6" i="14"/>
  <c r="N63" i="3"/>
  <c r="H6" i="14"/>
  <c r="J59" i="3"/>
  <c r="D2" i="14"/>
  <c r="K59" i="3"/>
  <c r="E2" i="14"/>
  <c r="L59" i="3"/>
  <c r="F2" i="14"/>
  <c r="M59" i="3"/>
  <c r="G2" i="14"/>
  <c r="I59" i="3"/>
  <c r="C2" i="14"/>
  <c r="N59" i="3"/>
  <c r="H2" i="14"/>
  <c r="J54" i="3"/>
  <c r="D4" i="13"/>
  <c r="N54" i="3"/>
  <c r="H4" i="13"/>
  <c r="K54" i="3"/>
  <c r="E4" i="13"/>
  <c r="I54" i="3"/>
  <c r="C4" i="13"/>
  <c r="L54" i="3"/>
  <c r="F4" i="13"/>
  <c r="M54" i="3"/>
  <c r="G4" i="13"/>
  <c r="I20" i="3"/>
  <c r="C5" i="8"/>
  <c r="M20" i="3"/>
  <c r="G5" i="8"/>
  <c r="J20" i="3"/>
  <c r="D5" i="8"/>
  <c r="N20" i="3"/>
  <c r="H5" i="8"/>
  <c r="K20" i="3"/>
  <c r="E5" i="8"/>
  <c r="L20" i="3"/>
  <c r="F5" i="8"/>
  <c r="O9" i="3"/>
  <c r="O36" i="3"/>
  <c r="I7" i="10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/>
  <c r="H2" i="11"/>
  <c r="H3" i="13"/>
  <c r="H6" i="12"/>
  <c r="H4" i="14"/>
  <c r="B5" i="8"/>
  <c r="O37" i="3"/>
  <c r="I8" i="10"/>
  <c r="O43" i="3"/>
  <c r="I7" i="11"/>
  <c r="O51" i="3"/>
  <c r="I8" i="12"/>
  <c r="O57" i="3"/>
  <c r="I7" i="13"/>
  <c r="O44" i="3"/>
  <c r="I8" i="11"/>
  <c r="O50" i="3"/>
  <c r="I7" i="12"/>
  <c r="O58" i="3"/>
  <c r="I8" i="13"/>
  <c r="O64" i="3"/>
  <c r="I7" i="14"/>
  <c r="O72" i="3"/>
  <c r="I8" i="15"/>
  <c r="O78" i="3"/>
  <c r="I7" i="16"/>
  <c r="O65" i="3"/>
  <c r="I8" i="14"/>
  <c r="O71" i="3"/>
  <c r="I7" i="15"/>
  <c r="O79" i="3"/>
  <c r="I8" i="16"/>
  <c r="O85" i="3"/>
  <c r="I7" i="17"/>
  <c r="O86" i="3"/>
  <c r="I8" i="17"/>
  <c r="O93" i="3"/>
  <c r="O92" i="3"/>
  <c r="O29" i="3"/>
  <c r="I7" i="9"/>
  <c r="O30" i="3"/>
  <c r="I8" i="9"/>
  <c r="O22" i="3"/>
  <c r="I7" i="8"/>
  <c r="O15" i="3"/>
  <c r="I7" i="2"/>
  <c r="O18" i="3"/>
  <c r="O16" i="3"/>
  <c r="I8" i="2"/>
  <c r="O53" i="3"/>
  <c r="I3" i="13"/>
  <c r="O88" i="3"/>
  <c r="O87" i="3"/>
  <c r="O91" i="3"/>
  <c r="O89" i="3"/>
  <c r="O42" i="3"/>
  <c r="I6" i="11"/>
  <c r="O52" i="3"/>
  <c r="I2" i="13"/>
  <c r="O90" i="3"/>
  <c r="O23" i="3"/>
  <c r="I8" i="8"/>
  <c r="O46" i="3"/>
  <c r="I3" i="12"/>
  <c r="O75" i="3"/>
  <c r="I4" i="16"/>
  <c r="O62" i="3"/>
  <c r="I5" i="14"/>
  <c r="O41" i="3"/>
  <c r="I5" i="11"/>
  <c r="O70" i="3"/>
  <c r="I6" i="15"/>
  <c r="O82" i="3"/>
  <c r="I4" i="17"/>
  <c r="O66" i="3"/>
  <c r="I2" i="15"/>
  <c r="O76" i="3"/>
  <c r="I5" i="16"/>
  <c r="O61" i="3"/>
  <c r="I4" i="14"/>
  <c r="O47" i="3"/>
  <c r="I4" i="12"/>
  <c r="O38" i="3"/>
  <c r="I2" i="11"/>
  <c r="O69" i="3"/>
  <c r="I5" i="15"/>
  <c r="O73" i="3"/>
  <c r="I2" i="16"/>
  <c r="O59" i="3"/>
  <c r="I2" i="14"/>
  <c r="O54" i="3"/>
  <c r="I4" i="13"/>
  <c r="O45" i="3"/>
  <c r="I2" i="12"/>
  <c r="O27" i="3"/>
  <c r="I5" i="9"/>
  <c r="O68" i="3"/>
  <c r="I4" i="15"/>
  <c r="O56" i="3"/>
  <c r="I6" i="13"/>
  <c r="O67" i="3"/>
  <c r="I3" i="15"/>
  <c r="O74" i="3"/>
  <c r="I3" i="16"/>
  <c r="O60" i="3"/>
  <c r="I3" i="14"/>
  <c r="O55" i="3"/>
  <c r="I5" i="13"/>
  <c r="O39" i="3"/>
  <c r="I3" i="11"/>
  <c r="O77" i="3"/>
  <c r="I6" i="16"/>
  <c r="O63" i="3"/>
  <c r="I6" i="14"/>
  <c r="O34" i="3"/>
  <c r="I5" i="10"/>
  <c r="O49" i="3"/>
  <c r="I6" i="12"/>
  <c r="O40" i="3"/>
  <c r="I4" i="11"/>
  <c r="O19" i="3"/>
  <c r="I4" i="8"/>
  <c r="O48" i="3"/>
  <c r="I5" i="12"/>
  <c r="O20" i="3"/>
  <c r="I5" i="8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/>
  <c r="E21" i="3"/>
  <c r="E17" i="3"/>
  <c r="H84" i="3"/>
  <c r="H83" i="3"/>
  <c r="H80" i="3"/>
  <c r="H28" i="3"/>
  <c r="H26" i="3"/>
  <c r="P36" i="3"/>
  <c r="J7" i="10"/>
  <c r="P37" i="3"/>
  <c r="J8" i="10"/>
  <c r="P58" i="3"/>
  <c r="J8" i="13"/>
  <c r="P64" i="3"/>
  <c r="J7" i="14"/>
  <c r="P43" i="3"/>
  <c r="J7" i="11"/>
  <c r="P51" i="3"/>
  <c r="J8" i="12"/>
  <c r="P57" i="3"/>
  <c r="J7" i="13"/>
  <c r="P44" i="3"/>
  <c r="J8" i="11"/>
  <c r="P50" i="3"/>
  <c r="J7" i="12"/>
  <c r="P85" i="3"/>
  <c r="J7" i="17"/>
  <c r="P72" i="3"/>
  <c r="J8" i="15"/>
  <c r="P78" i="3"/>
  <c r="J7" i="16"/>
  <c r="P65" i="3"/>
  <c r="J8" i="14"/>
  <c r="P71" i="3"/>
  <c r="J7" i="15"/>
  <c r="P79" i="3"/>
  <c r="J8" i="16"/>
  <c r="P92" i="3"/>
  <c r="P93" i="3"/>
  <c r="P22" i="3"/>
  <c r="J7" i="8"/>
  <c r="P29" i="3"/>
  <c r="J7" i="9"/>
  <c r="P15" i="3"/>
  <c r="J7" i="2"/>
  <c r="P30" i="3"/>
  <c r="J8" i="9"/>
  <c r="P86" i="3"/>
  <c r="J8" i="17"/>
  <c r="P18" i="3"/>
  <c r="P16" i="3"/>
  <c r="J8" i="2"/>
  <c r="P53" i="3"/>
  <c r="J3" i="13"/>
  <c r="P91" i="3"/>
  <c r="P89" i="3"/>
  <c r="P23" i="3"/>
  <c r="J8" i="8"/>
  <c r="P90" i="3"/>
  <c r="P88" i="3"/>
  <c r="P87" i="3"/>
  <c r="P42" i="3"/>
  <c r="J6" i="11"/>
  <c r="P52" i="3"/>
  <c r="J2" i="13"/>
  <c r="P46" i="3"/>
  <c r="J3" i="12"/>
  <c r="P62" i="3"/>
  <c r="J5" i="14"/>
  <c r="P41" i="3"/>
  <c r="J5" i="11"/>
  <c r="P70" i="3"/>
  <c r="J6" i="15"/>
  <c r="P66" i="3"/>
  <c r="J2" i="15"/>
  <c r="P76" i="3"/>
  <c r="J5" i="16"/>
  <c r="P82" i="3"/>
  <c r="J4" i="17"/>
  <c r="P75" i="3"/>
  <c r="J4" i="16"/>
  <c r="P61" i="3"/>
  <c r="J4" i="14"/>
  <c r="P38" i="3"/>
  <c r="J2" i="11"/>
  <c r="P34" i="3"/>
  <c r="J5" i="10"/>
  <c r="P45" i="3"/>
  <c r="J2" i="12"/>
  <c r="P27" i="3"/>
  <c r="J5" i="9"/>
  <c r="P73" i="3"/>
  <c r="J2" i="16"/>
  <c r="P59" i="3"/>
  <c r="J2" i="14"/>
  <c r="P67" i="3"/>
  <c r="J3" i="15"/>
  <c r="P40" i="3"/>
  <c r="J4" i="11"/>
  <c r="P68" i="3"/>
  <c r="J4" i="15"/>
  <c r="P56" i="3"/>
  <c r="J6" i="13"/>
  <c r="P47" i="3"/>
  <c r="J4" i="12"/>
  <c r="P74" i="3"/>
  <c r="J3" i="16"/>
  <c r="P60" i="3"/>
  <c r="J3" i="14"/>
  <c r="P55" i="3"/>
  <c r="J5" i="13"/>
  <c r="P48" i="3"/>
  <c r="J5" i="12"/>
  <c r="P39" i="3"/>
  <c r="J3" i="11"/>
  <c r="P63" i="3"/>
  <c r="J6" i="14"/>
  <c r="P49" i="3"/>
  <c r="J6" i="12"/>
  <c r="P69" i="3"/>
  <c r="J5" i="15"/>
  <c r="P19" i="3"/>
  <c r="J4" i="8"/>
  <c r="P77" i="3"/>
  <c r="J6" i="16"/>
  <c r="P54" i="3"/>
  <c r="J4" i="13"/>
  <c r="P20" i="3"/>
  <c r="J5" i="8"/>
  <c r="H24" i="3"/>
  <c r="B2" i="9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/>
  <c r="F25" i="3"/>
  <c r="F26" i="3"/>
  <c r="F28" i="3"/>
  <c r="F31" i="3"/>
  <c r="F32" i="3"/>
  <c r="F81" i="3"/>
  <c r="F24" i="3"/>
  <c r="F33" i="3"/>
  <c r="F83" i="3"/>
  <c r="F80" i="3"/>
  <c r="F35" i="3"/>
  <c r="F84" i="3"/>
  <c r="N24" i="3"/>
  <c r="V24" i="3"/>
  <c r="AD24" i="3"/>
  <c r="AL24" i="3"/>
  <c r="O24" i="3"/>
  <c r="W24" i="3"/>
  <c r="AE24" i="3"/>
  <c r="I24" i="3"/>
  <c r="C2" i="9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/>
  <c r="P80" i="3"/>
  <c r="M80" i="3"/>
  <c r="U80" i="3"/>
  <c r="AC80" i="3"/>
  <c r="AK80" i="3"/>
  <c r="N80" i="3"/>
  <c r="Q36" i="3"/>
  <c r="K7" i="10"/>
  <c r="Q37" i="3"/>
  <c r="K8" i="10"/>
  <c r="J35" i="3"/>
  <c r="D6" i="10"/>
  <c r="N35" i="3"/>
  <c r="H6" i="10"/>
  <c r="K35" i="3"/>
  <c r="E6" i="10"/>
  <c r="O35" i="3"/>
  <c r="I6" i="10"/>
  <c r="L35" i="3"/>
  <c r="F6" i="10"/>
  <c r="P35" i="3"/>
  <c r="J6" i="10"/>
  <c r="I35" i="3"/>
  <c r="C6" i="10"/>
  <c r="M35" i="3"/>
  <c r="G6" i="10"/>
  <c r="Q35" i="3"/>
  <c r="K6" i="10"/>
  <c r="Q44" i="3"/>
  <c r="K8" i="11"/>
  <c r="Q50" i="3"/>
  <c r="K7" i="12"/>
  <c r="Q58" i="3"/>
  <c r="K8" i="13"/>
  <c r="Q64" i="3"/>
  <c r="K7" i="14"/>
  <c r="Q43" i="3"/>
  <c r="K7" i="11"/>
  <c r="Q51" i="3"/>
  <c r="K8" i="12"/>
  <c r="Q57" i="3"/>
  <c r="K7" i="13"/>
  <c r="Q65" i="3"/>
  <c r="K8" i="14"/>
  <c r="Q71" i="3"/>
  <c r="K7" i="15"/>
  <c r="Q79" i="3"/>
  <c r="K8" i="16"/>
  <c r="Q85" i="3"/>
  <c r="K7" i="17"/>
  <c r="Q72" i="3"/>
  <c r="K8" i="15"/>
  <c r="Q78" i="3"/>
  <c r="K7" i="16"/>
  <c r="Q92" i="3"/>
  <c r="Q93" i="3"/>
  <c r="Q22" i="3"/>
  <c r="K7" i="8"/>
  <c r="Q30" i="3"/>
  <c r="K8" i="9"/>
  <c r="Q86" i="3"/>
  <c r="K8" i="17"/>
  <c r="Q29" i="3"/>
  <c r="K7" i="9"/>
  <c r="Q15" i="3"/>
  <c r="K7" i="2"/>
  <c r="Q18" i="3"/>
  <c r="Q16" i="3"/>
  <c r="K8" i="2"/>
  <c r="Q23" i="3"/>
  <c r="K8" i="8"/>
  <c r="Q87" i="3"/>
  <c r="Q53" i="3"/>
  <c r="K3" i="13"/>
  <c r="Q52" i="3"/>
  <c r="K2" i="13"/>
  <c r="Q91" i="3"/>
  <c r="Q89" i="3"/>
  <c r="Q90" i="3"/>
  <c r="Q88" i="3"/>
  <c r="Q42" i="3"/>
  <c r="K6" i="11"/>
  <c r="Q61" i="3"/>
  <c r="K4" i="14"/>
  <c r="Q76" i="3"/>
  <c r="K5" i="16"/>
  <c r="Q62" i="3"/>
  <c r="K5" i="14"/>
  <c r="Q46" i="3"/>
  <c r="K3" i="12"/>
  <c r="Q70" i="3"/>
  <c r="K6" i="15"/>
  <c r="Q41" i="3"/>
  <c r="K5" i="11"/>
  <c r="Q82" i="3"/>
  <c r="K4" i="17"/>
  <c r="Q75" i="3"/>
  <c r="K4" i="16"/>
  <c r="Q66" i="3"/>
  <c r="K2" i="15"/>
  <c r="Q47" i="3"/>
  <c r="K4" i="12"/>
  <c r="Q69" i="3"/>
  <c r="K5" i="15"/>
  <c r="Q73" i="3"/>
  <c r="K2" i="16"/>
  <c r="Q59" i="3"/>
  <c r="K2" i="14"/>
  <c r="Q54" i="3"/>
  <c r="K4" i="13"/>
  <c r="Q38" i="3"/>
  <c r="K2" i="11"/>
  <c r="Q45" i="3"/>
  <c r="K2" i="12"/>
  <c r="Q27" i="3"/>
  <c r="K5" i="9"/>
  <c r="Q39" i="3"/>
  <c r="K3" i="11"/>
  <c r="Q77" i="3"/>
  <c r="K6" i="16"/>
  <c r="Q56" i="3"/>
  <c r="K6" i="13"/>
  <c r="Q67" i="3"/>
  <c r="K3" i="15"/>
  <c r="Q40" i="3"/>
  <c r="K4" i="11"/>
  <c r="Q60" i="3"/>
  <c r="K3" i="14"/>
  <c r="Q48" i="3"/>
  <c r="K5" i="12"/>
  <c r="Q68" i="3"/>
  <c r="K4" i="15"/>
  <c r="Q34" i="3"/>
  <c r="K5" i="10"/>
  <c r="Q49" i="3"/>
  <c r="K6" i="12"/>
  <c r="Q74" i="3"/>
  <c r="K3" i="16"/>
  <c r="Q55" i="3"/>
  <c r="K5" i="13"/>
  <c r="Q19" i="3"/>
  <c r="K4" i="8"/>
  <c r="Q63" i="3"/>
  <c r="K6" i="14"/>
  <c r="Q20" i="3"/>
  <c r="K5" i="8"/>
  <c r="I32" i="3"/>
  <c r="C3" i="10"/>
  <c r="M32" i="3"/>
  <c r="G3" i="10"/>
  <c r="Q32" i="3"/>
  <c r="K3" i="10"/>
  <c r="J32" i="3"/>
  <c r="D3" i="10"/>
  <c r="N32" i="3"/>
  <c r="H3" i="10"/>
  <c r="K32" i="3"/>
  <c r="E3" i="10"/>
  <c r="O32" i="3"/>
  <c r="I3" i="10"/>
  <c r="L32" i="3"/>
  <c r="F3" i="10"/>
  <c r="P32" i="3"/>
  <c r="J3" i="10"/>
  <c r="K33" i="3"/>
  <c r="E4" i="10"/>
  <c r="O33" i="3"/>
  <c r="I4" i="10"/>
  <c r="L33" i="3"/>
  <c r="F4" i="10"/>
  <c r="P33" i="3"/>
  <c r="J4" i="10"/>
  <c r="I33" i="3"/>
  <c r="C4" i="10"/>
  <c r="M33" i="3"/>
  <c r="G4" i="10"/>
  <c r="Q33" i="3"/>
  <c r="K4" i="10"/>
  <c r="J33" i="3"/>
  <c r="D4" i="10"/>
  <c r="N33" i="3"/>
  <c r="H4" i="10"/>
  <c r="I2" i="10"/>
  <c r="F2" i="10"/>
  <c r="J2" i="10"/>
  <c r="C2" i="10"/>
  <c r="G2" i="10"/>
  <c r="K2" i="10"/>
  <c r="H2" i="10"/>
  <c r="D2" i="10"/>
  <c r="L84" i="3"/>
  <c r="F6" i="17"/>
  <c r="P84" i="3"/>
  <c r="J6" i="17"/>
  <c r="I84" i="3"/>
  <c r="C6" i="17"/>
  <c r="M84" i="3"/>
  <c r="G6" i="17"/>
  <c r="Q84" i="3"/>
  <c r="K6" i="17"/>
  <c r="J84" i="3"/>
  <c r="D6" i="17"/>
  <c r="N84" i="3"/>
  <c r="H6" i="17"/>
  <c r="K84" i="3"/>
  <c r="E6" i="17"/>
  <c r="O84" i="3"/>
  <c r="I6" i="17"/>
  <c r="G2" i="9"/>
  <c r="K2" i="9"/>
  <c r="D2" i="9"/>
  <c r="H2" i="9"/>
  <c r="E2" i="9"/>
  <c r="I2" i="9"/>
  <c r="F2" i="9"/>
  <c r="J2" i="9"/>
  <c r="I28" i="3"/>
  <c r="C6" i="9"/>
  <c r="M28" i="3"/>
  <c r="G6" i="9"/>
  <c r="Q28" i="3"/>
  <c r="K6" i="9"/>
  <c r="J28" i="3"/>
  <c r="D6" i="9"/>
  <c r="N28" i="3"/>
  <c r="H6" i="9"/>
  <c r="K28" i="3"/>
  <c r="E6" i="9"/>
  <c r="O28" i="3"/>
  <c r="I6" i="9"/>
  <c r="L28" i="3"/>
  <c r="F6" i="9"/>
  <c r="P28" i="3"/>
  <c r="J6" i="9"/>
  <c r="F2" i="17"/>
  <c r="J2" i="17"/>
  <c r="G2" i="17"/>
  <c r="K2" i="17"/>
  <c r="D2" i="17"/>
  <c r="H2" i="17"/>
  <c r="I2" i="17"/>
  <c r="J81" i="3"/>
  <c r="D3" i="17"/>
  <c r="N81" i="3"/>
  <c r="H3" i="17"/>
  <c r="K81" i="3"/>
  <c r="E3" i="17"/>
  <c r="O81" i="3"/>
  <c r="I3" i="17"/>
  <c r="L81" i="3"/>
  <c r="F3" i="17"/>
  <c r="P81" i="3"/>
  <c r="J3" i="17"/>
  <c r="I81" i="3"/>
  <c r="C3" i="17"/>
  <c r="M81" i="3"/>
  <c r="G3" i="17"/>
  <c r="Q81" i="3"/>
  <c r="K3" i="17"/>
  <c r="I26" i="3"/>
  <c r="C4" i="9"/>
  <c r="M26" i="3"/>
  <c r="G4" i="9"/>
  <c r="Q26" i="3"/>
  <c r="K4" i="9"/>
  <c r="J26" i="3"/>
  <c r="D4" i="9"/>
  <c r="N26" i="3"/>
  <c r="H4" i="9"/>
  <c r="K26" i="3"/>
  <c r="E4" i="9"/>
  <c r="O26" i="3"/>
  <c r="I4" i="9"/>
  <c r="L26" i="3"/>
  <c r="F4" i="9"/>
  <c r="P26" i="3"/>
  <c r="J4" i="9"/>
  <c r="J83" i="3"/>
  <c r="D5" i="17"/>
  <c r="N83" i="3"/>
  <c r="H5" i="17"/>
  <c r="K83" i="3"/>
  <c r="E5" i="17"/>
  <c r="O83" i="3"/>
  <c r="I5" i="17"/>
  <c r="L83" i="3"/>
  <c r="F5" i="17"/>
  <c r="P83" i="3"/>
  <c r="J5" i="17"/>
  <c r="I83" i="3"/>
  <c r="C5" i="17"/>
  <c r="M83" i="3"/>
  <c r="G5" i="17"/>
  <c r="Q83" i="3"/>
  <c r="K5" i="17"/>
  <c r="K25" i="3"/>
  <c r="E3" i="9"/>
  <c r="O25" i="3"/>
  <c r="I3" i="9"/>
  <c r="L25" i="3"/>
  <c r="F3" i="9"/>
  <c r="P25" i="3"/>
  <c r="J3" i="9"/>
  <c r="I25" i="3"/>
  <c r="C3" i="9"/>
  <c r="M25" i="3"/>
  <c r="G3" i="9"/>
  <c r="Q25" i="3"/>
  <c r="K3" i="9"/>
  <c r="J25" i="3"/>
  <c r="D3" i="9"/>
  <c r="N25" i="3"/>
  <c r="H3" i="9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/>
  <c r="B4" i="10"/>
  <c r="B2" i="10"/>
  <c r="F13" i="3"/>
  <c r="B6" i="9"/>
  <c r="F21" i="3"/>
  <c r="B4" i="9"/>
  <c r="B2" i="17"/>
  <c r="B3" i="17"/>
  <c r="B6" i="17"/>
  <c r="F11" i="3"/>
  <c r="I11" i="3"/>
  <c r="B5" i="17"/>
  <c r="B3" i="10"/>
  <c r="F10" i="3"/>
  <c r="H10" i="3"/>
  <c r="B6" i="10"/>
  <c r="F17" i="3"/>
  <c r="B3" i="9"/>
  <c r="P17" i="3"/>
  <c r="X17" i="3"/>
  <c r="AF17" i="3"/>
  <c r="Q17" i="3"/>
  <c r="Y17" i="3"/>
  <c r="AG17" i="3"/>
  <c r="AE17" i="3"/>
  <c r="J17" i="3"/>
  <c r="D2" i="8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P10" i="3"/>
  <c r="R10" i="3"/>
  <c r="K10" i="3"/>
  <c r="I10" i="3"/>
  <c r="M10" i="3"/>
  <c r="Q10" i="3"/>
  <c r="J10" i="3"/>
  <c r="S10" i="3"/>
  <c r="L10" i="3"/>
  <c r="N10" i="3"/>
  <c r="Y10" i="3"/>
  <c r="AG10" i="3"/>
  <c r="Z10" i="3"/>
  <c r="AA10" i="3"/>
  <c r="AI10" i="3"/>
  <c r="AE10" i="3"/>
  <c r="T10" i="3"/>
  <c r="AB10" i="3"/>
  <c r="AJ10" i="3"/>
  <c r="AF10" i="3"/>
  <c r="AH10" i="3"/>
  <c r="U10" i="3"/>
  <c r="AC10" i="3"/>
  <c r="AK10" i="3"/>
  <c r="W10" i="3"/>
  <c r="X10" i="3"/>
  <c r="V10" i="3"/>
  <c r="AD10" i="3"/>
  <c r="AL10" i="3"/>
  <c r="R35" i="3"/>
  <c r="L6" i="10"/>
  <c r="R36" i="3"/>
  <c r="L7" i="10"/>
  <c r="R37" i="3"/>
  <c r="L8" i="10"/>
  <c r="R28" i="3"/>
  <c r="L6" i="9"/>
  <c r="R83" i="3"/>
  <c r="L5" i="17"/>
  <c r="R26" i="3"/>
  <c r="L4" i="9"/>
  <c r="L2" i="9"/>
  <c r="R32" i="3"/>
  <c r="L3" i="10"/>
  <c r="R57" i="3"/>
  <c r="L7" i="13"/>
  <c r="R44" i="3"/>
  <c r="L8" i="11"/>
  <c r="R50" i="3"/>
  <c r="L7" i="12"/>
  <c r="R58" i="3"/>
  <c r="L8" i="13"/>
  <c r="R43" i="3"/>
  <c r="L7" i="11"/>
  <c r="R51" i="3"/>
  <c r="L8" i="12"/>
  <c r="R65" i="3"/>
  <c r="L8" i="14"/>
  <c r="R71" i="3"/>
  <c r="L7" i="15"/>
  <c r="R79" i="3"/>
  <c r="L8" i="16"/>
  <c r="R85" i="3"/>
  <c r="L7" i="17"/>
  <c r="R64" i="3"/>
  <c r="L7" i="14"/>
  <c r="R72" i="3"/>
  <c r="L8" i="15"/>
  <c r="R78" i="3"/>
  <c r="L7" i="16"/>
  <c r="R93" i="3"/>
  <c r="R92" i="3"/>
  <c r="R22" i="3"/>
  <c r="L7" i="8"/>
  <c r="R86" i="3"/>
  <c r="L8" i="17"/>
  <c r="R30" i="3"/>
  <c r="L8" i="9"/>
  <c r="R29" i="3"/>
  <c r="L7" i="9"/>
  <c r="R15" i="3"/>
  <c r="L7" i="2"/>
  <c r="R18" i="3"/>
  <c r="L3" i="8"/>
  <c r="R16" i="3"/>
  <c r="L8" i="2"/>
  <c r="R23" i="3"/>
  <c r="L8" i="8"/>
  <c r="R90" i="3"/>
  <c r="R42" i="3"/>
  <c r="L6" i="11"/>
  <c r="R88" i="3"/>
  <c r="R87" i="3"/>
  <c r="R91" i="3"/>
  <c r="R53" i="3"/>
  <c r="L3" i="13"/>
  <c r="R89" i="3"/>
  <c r="R76" i="3"/>
  <c r="L5" i="16"/>
  <c r="R52" i="3"/>
  <c r="L2" i="13"/>
  <c r="R61" i="3"/>
  <c r="L4" i="14"/>
  <c r="R56" i="3"/>
  <c r="L6" i="13"/>
  <c r="R62" i="3"/>
  <c r="L5" i="14"/>
  <c r="R82" i="3"/>
  <c r="L4" i="17"/>
  <c r="R75" i="3"/>
  <c r="L4" i="16"/>
  <c r="R70" i="3"/>
  <c r="L6" i="15"/>
  <c r="R66" i="3"/>
  <c r="L2" i="15"/>
  <c r="R46" i="3"/>
  <c r="L3" i="12"/>
  <c r="R41" i="3"/>
  <c r="L5" i="11"/>
  <c r="R47" i="3"/>
  <c r="L4" i="12"/>
  <c r="R34" i="3"/>
  <c r="L5" i="10"/>
  <c r="R49" i="3"/>
  <c r="L6" i="12"/>
  <c r="R74" i="3"/>
  <c r="L3" i="16"/>
  <c r="R73" i="3"/>
  <c r="L2" i="16"/>
  <c r="R63" i="3"/>
  <c r="L6" i="14"/>
  <c r="R45" i="3"/>
  <c r="L2" i="12"/>
  <c r="R40" i="3"/>
  <c r="L4" i="11"/>
  <c r="R69" i="3"/>
  <c r="L5" i="15"/>
  <c r="R48" i="3"/>
  <c r="L5" i="12"/>
  <c r="R68" i="3"/>
  <c r="L4" i="15"/>
  <c r="R59" i="3"/>
  <c r="L2" i="14"/>
  <c r="R54" i="3"/>
  <c r="L4" i="13"/>
  <c r="R38" i="3"/>
  <c r="L2" i="11"/>
  <c r="R27" i="3"/>
  <c r="L5" i="9"/>
  <c r="R19" i="3"/>
  <c r="L4" i="8"/>
  <c r="R39" i="3"/>
  <c r="L3" i="11"/>
  <c r="R67" i="3"/>
  <c r="L3" i="15"/>
  <c r="R60" i="3"/>
  <c r="L3" i="14"/>
  <c r="R55" i="3"/>
  <c r="L5" i="13"/>
  <c r="R77" i="3"/>
  <c r="L6" i="16"/>
  <c r="R20" i="3"/>
  <c r="L5" i="8"/>
  <c r="R84" i="3"/>
  <c r="L6" i="17"/>
  <c r="R25" i="3"/>
  <c r="L3" i="9"/>
  <c r="R81" i="3"/>
  <c r="L3" i="17"/>
  <c r="L2" i="17"/>
  <c r="L2" i="10"/>
  <c r="R33" i="3"/>
  <c r="L4" i="10"/>
  <c r="E2" i="8"/>
  <c r="I2" i="8"/>
  <c r="F2" i="8"/>
  <c r="J2" i="8"/>
  <c r="H2" i="8"/>
  <c r="C2" i="8"/>
  <c r="G2" i="8"/>
  <c r="K2" i="8"/>
  <c r="L2" i="8"/>
  <c r="I21" i="3"/>
  <c r="C6" i="8"/>
  <c r="M21" i="3"/>
  <c r="G6" i="8"/>
  <c r="Q21" i="3"/>
  <c r="K6" i="8"/>
  <c r="L21" i="3"/>
  <c r="F6" i="8"/>
  <c r="J21" i="3"/>
  <c r="D6" i="8"/>
  <c r="N21" i="3"/>
  <c r="H6" i="8"/>
  <c r="R21" i="3"/>
  <c r="L6" i="8"/>
  <c r="P21" i="3"/>
  <c r="J6" i="8"/>
  <c r="K21" i="3"/>
  <c r="E6" i="8"/>
  <c r="O21" i="3"/>
  <c r="I6" i="8"/>
  <c r="S9" i="3"/>
  <c r="S13" i="3"/>
  <c r="M5" i="2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/>
  <c r="J11" i="3"/>
  <c r="D3" i="2"/>
  <c r="R11" i="3"/>
  <c r="L3" i="2"/>
  <c r="K11" i="3"/>
  <c r="E3" i="2"/>
  <c r="L11" i="3"/>
  <c r="F3" i="2"/>
  <c r="M11" i="3"/>
  <c r="G3" i="2"/>
  <c r="N11" i="3"/>
  <c r="H3" i="2"/>
  <c r="C3" i="2"/>
  <c r="O11" i="3"/>
  <c r="I3" i="2"/>
  <c r="P11" i="3"/>
  <c r="J3" i="2"/>
  <c r="Q11" i="3"/>
  <c r="K3" i="2"/>
  <c r="O13" i="3"/>
  <c r="I5" i="2"/>
  <c r="P13" i="3"/>
  <c r="J5" i="2"/>
  <c r="I13" i="3"/>
  <c r="C5" i="2"/>
  <c r="Q13" i="3"/>
  <c r="K5" i="2"/>
  <c r="J13" i="3"/>
  <c r="D5" i="2"/>
  <c r="R13" i="3"/>
  <c r="L5" i="2"/>
  <c r="K13" i="3"/>
  <c r="E5" i="2"/>
  <c r="L13" i="3"/>
  <c r="F5" i="2"/>
  <c r="N13" i="3"/>
  <c r="H5" i="2"/>
  <c r="M13" i="3"/>
  <c r="G5" i="2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/>
  <c r="M7" i="10"/>
  <c r="S37" i="3"/>
  <c r="M8" i="10"/>
  <c r="M6" i="2"/>
  <c r="S11" i="3"/>
  <c r="M3" i="2"/>
  <c r="S35" i="3"/>
  <c r="M6" i="10"/>
  <c r="M2" i="9"/>
  <c r="M2" i="17"/>
  <c r="S32" i="3"/>
  <c r="M3" i="10"/>
  <c r="S28" i="3"/>
  <c r="M6" i="9"/>
  <c r="M2" i="10"/>
  <c r="S25" i="3"/>
  <c r="M3" i="9"/>
  <c r="S29" i="3"/>
  <c r="M7" i="9"/>
  <c r="S43" i="3"/>
  <c r="M7" i="11"/>
  <c r="S51" i="3"/>
  <c r="M8" i="12"/>
  <c r="S57" i="3"/>
  <c r="M7" i="13"/>
  <c r="S44" i="3"/>
  <c r="M8" i="11"/>
  <c r="S50" i="3"/>
  <c r="M7" i="12"/>
  <c r="S58" i="3"/>
  <c r="M8" i="13"/>
  <c r="S64" i="3"/>
  <c r="M7" i="14"/>
  <c r="S72" i="3"/>
  <c r="M8" i="15"/>
  <c r="S78" i="3"/>
  <c r="M7" i="16"/>
  <c r="S86" i="3"/>
  <c r="M8" i="17"/>
  <c r="S65" i="3"/>
  <c r="M8" i="14"/>
  <c r="S71" i="3"/>
  <c r="M7" i="15"/>
  <c r="S79" i="3"/>
  <c r="M8" i="16"/>
  <c r="S85" i="3"/>
  <c r="M7" i="17"/>
  <c r="S93" i="3"/>
  <c r="S92" i="3"/>
  <c r="S22" i="3"/>
  <c r="M7" i="8"/>
  <c r="S30" i="3"/>
  <c r="M8" i="9"/>
  <c r="S15" i="3"/>
  <c r="M7" i="2"/>
  <c r="S18" i="3"/>
  <c r="M3" i="8"/>
  <c r="S16" i="3"/>
  <c r="M8" i="2"/>
  <c r="S23" i="3"/>
  <c r="M8" i="8"/>
  <c r="S90" i="3"/>
  <c r="S53" i="3"/>
  <c r="M3" i="13"/>
  <c r="S91" i="3"/>
  <c r="S89" i="3"/>
  <c r="S88" i="3"/>
  <c r="S87" i="3"/>
  <c r="S42" i="3"/>
  <c r="M6" i="11"/>
  <c r="S76" i="3"/>
  <c r="M5" i="16"/>
  <c r="S61" i="3"/>
  <c r="M4" i="14"/>
  <c r="S52" i="3"/>
  <c r="M2" i="13"/>
  <c r="S46" i="3"/>
  <c r="M3" i="12"/>
  <c r="S75" i="3"/>
  <c r="M4" i="16"/>
  <c r="S62" i="3"/>
  <c r="M5" i="14"/>
  <c r="S41" i="3"/>
  <c r="M5" i="11"/>
  <c r="S82" i="3"/>
  <c r="M4" i="17"/>
  <c r="S70" i="3"/>
  <c r="M6" i="15"/>
  <c r="S66" i="3"/>
  <c r="M2" i="15"/>
  <c r="S34" i="3"/>
  <c r="M5" i="10"/>
  <c r="S49" i="3"/>
  <c r="M6" i="12"/>
  <c r="S40" i="3"/>
  <c r="M4" i="11"/>
  <c r="S19" i="3"/>
  <c r="M4" i="8"/>
  <c r="S48" i="3"/>
  <c r="M5" i="12"/>
  <c r="S47" i="3"/>
  <c r="M4" i="12"/>
  <c r="S38" i="3"/>
  <c r="M2" i="11"/>
  <c r="S69" i="3"/>
  <c r="M5" i="15"/>
  <c r="S73" i="3"/>
  <c r="M2" i="16"/>
  <c r="S59" i="3"/>
  <c r="M2" i="14"/>
  <c r="S54" i="3"/>
  <c r="M4" i="13"/>
  <c r="S45" i="3"/>
  <c r="M2" i="12"/>
  <c r="S27" i="3"/>
  <c r="M5" i="9"/>
  <c r="S77" i="3"/>
  <c r="M6" i="16"/>
  <c r="S68" i="3"/>
  <c r="M4" i="15"/>
  <c r="S56" i="3"/>
  <c r="M6" i="13"/>
  <c r="S67" i="3"/>
  <c r="M3" i="15"/>
  <c r="S74" i="3"/>
  <c r="M3" i="16"/>
  <c r="S60" i="3"/>
  <c r="M3" i="14"/>
  <c r="S55" i="3"/>
  <c r="M5" i="13"/>
  <c r="S39" i="3"/>
  <c r="M3" i="11"/>
  <c r="S63" i="3"/>
  <c r="M6" i="14"/>
  <c r="S20" i="3"/>
  <c r="M5" i="8"/>
  <c r="S81" i="3"/>
  <c r="M3" i="17"/>
  <c r="S84" i="3"/>
  <c r="M6" i="17"/>
  <c r="S33" i="3"/>
  <c r="M4" i="10"/>
  <c r="S26" i="3"/>
  <c r="M4" i="9"/>
  <c r="S83" i="3"/>
  <c r="M5" i="17"/>
  <c r="S21" i="3"/>
  <c r="M6" i="8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/>
  <c r="T36" i="3"/>
  <c r="N7" i="10"/>
  <c r="T37" i="3"/>
  <c r="N8" i="10"/>
  <c r="T58" i="3"/>
  <c r="N8" i="13"/>
  <c r="T64" i="3"/>
  <c r="N7" i="14"/>
  <c r="T43" i="3"/>
  <c r="N7" i="11"/>
  <c r="T51" i="3"/>
  <c r="N8" i="12"/>
  <c r="T57" i="3"/>
  <c r="N7" i="13"/>
  <c r="T44" i="3"/>
  <c r="N8" i="11"/>
  <c r="T50" i="3"/>
  <c r="N7" i="12"/>
  <c r="T85" i="3"/>
  <c r="N7" i="17"/>
  <c r="T72" i="3"/>
  <c r="N8" i="15"/>
  <c r="T78" i="3"/>
  <c r="N7" i="16"/>
  <c r="T65" i="3"/>
  <c r="N8" i="14"/>
  <c r="T71" i="3"/>
  <c r="N7" i="15"/>
  <c r="T79" i="3"/>
  <c r="N8" i="16"/>
  <c r="T92" i="3"/>
  <c r="T22" i="3"/>
  <c r="N7" i="8"/>
  <c r="T93" i="3"/>
  <c r="T29" i="3"/>
  <c r="N7" i="9"/>
  <c r="T30" i="3"/>
  <c r="N8" i="9"/>
  <c r="T86" i="3"/>
  <c r="N8" i="17"/>
  <c r="T15" i="3"/>
  <c r="N7" i="2"/>
  <c r="T18" i="3"/>
  <c r="N3" i="8"/>
  <c r="T23" i="3"/>
  <c r="N8" i="8"/>
  <c r="T16" i="3"/>
  <c r="N8" i="2"/>
  <c r="T42" i="3"/>
  <c r="T53" i="3"/>
  <c r="N3" i="13"/>
  <c r="T87" i="3"/>
  <c r="T91" i="3"/>
  <c r="T89" i="3"/>
  <c r="T90" i="3"/>
  <c r="T88" i="3"/>
  <c r="T76" i="3"/>
  <c r="N5" i="16"/>
  <c r="T82" i="3"/>
  <c r="N4" i="17"/>
  <c r="T61" i="3"/>
  <c r="N4" i="14"/>
  <c r="T46" i="3"/>
  <c r="N3" i="12"/>
  <c r="T75" i="3"/>
  <c r="N4" i="16"/>
  <c r="T62" i="3"/>
  <c r="N5" i="14"/>
  <c r="T41" i="3"/>
  <c r="N5" i="11"/>
  <c r="T70" i="3"/>
  <c r="N6" i="15"/>
  <c r="T52" i="3"/>
  <c r="N2" i="13"/>
  <c r="T66" i="3"/>
  <c r="N2" i="15"/>
  <c r="T47" i="3"/>
  <c r="N4" i="12"/>
  <c r="T49" i="3"/>
  <c r="N6" i="12"/>
  <c r="T19" i="3"/>
  <c r="N4" i="8"/>
  <c r="T48" i="3"/>
  <c r="N5" i="12"/>
  <c r="T77" i="3"/>
  <c r="N6" i="16"/>
  <c r="T40" i="3"/>
  <c r="N4" i="11"/>
  <c r="T69" i="3"/>
  <c r="N5" i="15"/>
  <c r="T73" i="3"/>
  <c r="N2" i="16"/>
  <c r="T59" i="3"/>
  <c r="N2" i="14"/>
  <c r="T34" i="3"/>
  <c r="N5" i="10"/>
  <c r="T45" i="3"/>
  <c r="N2" i="12"/>
  <c r="T27" i="3"/>
  <c r="N5" i="9"/>
  <c r="T68" i="3"/>
  <c r="N4" i="15"/>
  <c r="T56" i="3"/>
  <c r="N6" i="13"/>
  <c r="T38" i="3"/>
  <c r="N2" i="11"/>
  <c r="T67" i="3"/>
  <c r="N3" i="15"/>
  <c r="T74" i="3"/>
  <c r="N3" i="16"/>
  <c r="T60" i="3"/>
  <c r="N3" i="14"/>
  <c r="T55" i="3"/>
  <c r="N5" i="13"/>
  <c r="T39" i="3"/>
  <c r="N3" i="11"/>
  <c r="T63" i="3"/>
  <c r="N6" i="14"/>
  <c r="T20" i="3"/>
  <c r="N5" i="8"/>
  <c r="T54" i="3"/>
  <c r="N4" i="13"/>
  <c r="T84" i="3"/>
  <c r="N6" i="17"/>
  <c r="T81" i="3"/>
  <c r="N3" i="17"/>
  <c r="T33" i="3"/>
  <c r="N4" i="10"/>
  <c r="T26" i="3"/>
  <c r="N4" i="9"/>
  <c r="T83" i="3"/>
  <c r="N5" i="17"/>
  <c r="T28" i="3"/>
  <c r="N6" i="9"/>
  <c r="T32" i="3"/>
  <c r="N3" i="10"/>
  <c r="N2" i="17"/>
  <c r="N2" i="8"/>
  <c r="T21" i="3"/>
  <c r="N6" i="8"/>
  <c r="N2" i="10"/>
  <c r="N2" i="9"/>
  <c r="T35" i="3"/>
  <c r="N6" i="10"/>
  <c r="T25" i="3"/>
  <c r="N3" i="9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/>
  <c r="N6" i="11"/>
  <c r="T13" i="3"/>
  <c r="N5" i="2"/>
  <c r="T11" i="3"/>
  <c r="N3" i="2"/>
  <c r="N6" i="2"/>
  <c r="U25" i="3"/>
  <c r="O3" i="9"/>
  <c r="U32" i="3"/>
  <c r="O3" i="10"/>
  <c r="U21" i="3"/>
  <c r="O6" i="8"/>
  <c r="O6" i="2"/>
  <c r="U11" i="3"/>
  <c r="O3" i="2"/>
  <c r="U35" i="3"/>
  <c r="O6" i="10"/>
  <c r="O2" i="9"/>
  <c r="O2" i="10"/>
  <c r="U36" i="3"/>
  <c r="O7" i="10"/>
  <c r="U37" i="3"/>
  <c r="O8" i="10"/>
  <c r="U44" i="3"/>
  <c r="O8" i="11"/>
  <c r="U50" i="3"/>
  <c r="O7" i="12"/>
  <c r="U58" i="3"/>
  <c r="O8" i="13"/>
  <c r="U64" i="3"/>
  <c r="O7" i="14"/>
  <c r="U43" i="3"/>
  <c r="O7" i="11"/>
  <c r="U51" i="3"/>
  <c r="O8" i="12"/>
  <c r="U57" i="3"/>
  <c r="O7" i="13"/>
  <c r="U65" i="3"/>
  <c r="O8" i="14"/>
  <c r="U71" i="3"/>
  <c r="O7" i="15"/>
  <c r="U79" i="3"/>
  <c r="O8" i="16"/>
  <c r="U85" i="3"/>
  <c r="O7" i="17"/>
  <c r="U72" i="3"/>
  <c r="O8" i="15"/>
  <c r="U78" i="3"/>
  <c r="O7" i="16"/>
  <c r="U92" i="3"/>
  <c r="U93" i="3"/>
  <c r="U30" i="3"/>
  <c r="O8" i="9"/>
  <c r="U86" i="3"/>
  <c r="O8" i="17"/>
  <c r="U22" i="3"/>
  <c r="O7" i="8"/>
  <c r="U29" i="3"/>
  <c r="O7" i="9"/>
  <c r="U15" i="3"/>
  <c r="O7" i="2"/>
  <c r="U18" i="3"/>
  <c r="O3" i="8"/>
  <c r="U23" i="3"/>
  <c r="O8" i="8"/>
  <c r="U16" i="3"/>
  <c r="O8" i="2"/>
  <c r="U90" i="3"/>
  <c r="U87" i="3"/>
  <c r="U42" i="3"/>
  <c r="O6" i="11"/>
  <c r="U88" i="3"/>
  <c r="U53" i="3"/>
  <c r="O3" i="13"/>
  <c r="U91" i="3"/>
  <c r="U89" i="3"/>
  <c r="U82" i="3"/>
  <c r="O4" i="17"/>
  <c r="U75" i="3"/>
  <c r="O4" i="16"/>
  <c r="U66" i="3"/>
  <c r="O2" i="15"/>
  <c r="U61" i="3"/>
  <c r="O4" i="14"/>
  <c r="U76" i="3"/>
  <c r="O5" i="16"/>
  <c r="U62" i="3"/>
  <c r="O5" i="14"/>
  <c r="U46" i="3"/>
  <c r="O3" i="12"/>
  <c r="U70" i="3"/>
  <c r="O6" i="15"/>
  <c r="U52" i="3"/>
  <c r="O2" i="13"/>
  <c r="U41" i="3"/>
  <c r="O5" i="11"/>
  <c r="U34" i="3"/>
  <c r="O5" i="10"/>
  <c r="U49" i="3"/>
  <c r="O6" i="12"/>
  <c r="U74" i="3"/>
  <c r="O3" i="16"/>
  <c r="U55" i="3"/>
  <c r="O5" i="13"/>
  <c r="U73" i="3"/>
  <c r="O2" i="16"/>
  <c r="U63" i="3"/>
  <c r="O6" i="14"/>
  <c r="U47" i="3"/>
  <c r="O4" i="12"/>
  <c r="U69" i="3"/>
  <c r="O5" i="15"/>
  <c r="U59" i="3"/>
  <c r="O2" i="14"/>
  <c r="U38" i="3"/>
  <c r="O2" i="11"/>
  <c r="U45" i="3"/>
  <c r="O2" i="12"/>
  <c r="U40" i="3"/>
  <c r="O4" i="11"/>
  <c r="U27" i="3"/>
  <c r="O5" i="9"/>
  <c r="U39" i="3"/>
  <c r="O3" i="11"/>
  <c r="U77" i="3"/>
  <c r="O6" i="16"/>
  <c r="U56" i="3"/>
  <c r="O6" i="13"/>
  <c r="U67" i="3"/>
  <c r="O3" i="15"/>
  <c r="U60" i="3"/>
  <c r="O3" i="14"/>
  <c r="U19" i="3"/>
  <c r="O4" i="8"/>
  <c r="U48" i="3"/>
  <c r="O5" i="12"/>
  <c r="U68" i="3"/>
  <c r="O4" i="15"/>
  <c r="U20" i="3"/>
  <c r="O5" i="8"/>
  <c r="U54" i="3"/>
  <c r="O4" i="13"/>
  <c r="U84" i="3"/>
  <c r="O6" i="17"/>
  <c r="U81" i="3"/>
  <c r="O3" i="17"/>
  <c r="U26" i="3"/>
  <c r="O4" i="9"/>
  <c r="U33" i="3"/>
  <c r="O4" i="10"/>
  <c r="U83" i="3"/>
  <c r="O5" i="17"/>
  <c r="O2" i="8"/>
  <c r="O2" i="17"/>
  <c r="U28" i="3"/>
  <c r="O6" i="9"/>
  <c r="V9" i="3"/>
  <c r="P2" i="17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/>
  <c r="U13" i="3"/>
  <c r="O5" i="2"/>
  <c r="V36" i="3"/>
  <c r="P7" i="10"/>
  <c r="V37" i="3"/>
  <c r="P8" i="10"/>
  <c r="V57" i="3"/>
  <c r="P7" i="13"/>
  <c r="V44" i="3"/>
  <c r="P8" i="11"/>
  <c r="V50" i="3"/>
  <c r="P7" i="12"/>
  <c r="V58" i="3"/>
  <c r="P8" i="13"/>
  <c r="V43" i="3"/>
  <c r="P7" i="11"/>
  <c r="V51" i="3"/>
  <c r="P8" i="12"/>
  <c r="V64" i="3"/>
  <c r="P7" i="14"/>
  <c r="V65" i="3"/>
  <c r="P8" i="14"/>
  <c r="V71" i="3"/>
  <c r="P7" i="15"/>
  <c r="V79" i="3"/>
  <c r="P8" i="16"/>
  <c r="V85" i="3"/>
  <c r="P7" i="17"/>
  <c r="V72" i="3"/>
  <c r="P8" i="15"/>
  <c r="V78" i="3"/>
  <c r="P7" i="16"/>
  <c r="V93" i="3"/>
  <c r="V92" i="3"/>
  <c r="V22" i="3"/>
  <c r="P7" i="8"/>
  <c r="V30" i="3"/>
  <c r="P8" i="9"/>
  <c r="V29" i="3"/>
  <c r="P7" i="9"/>
  <c r="V86" i="3"/>
  <c r="P8" i="17"/>
  <c r="V15" i="3"/>
  <c r="P7" i="2"/>
  <c r="V18" i="3"/>
  <c r="P3" i="8"/>
  <c r="V16" i="3"/>
  <c r="P8" i="2"/>
  <c r="V23" i="3"/>
  <c r="P8" i="8"/>
  <c r="V88" i="3"/>
  <c r="V90" i="3"/>
  <c r="V42" i="3"/>
  <c r="P6" i="11"/>
  <c r="V87" i="3"/>
  <c r="V91" i="3"/>
  <c r="V53" i="3"/>
  <c r="P3" i="13"/>
  <c r="V89" i="3"/>
  <c r="V52" i="3"/>
  <c r="P2" i="13"/>
  <c r="V75" i="3"/>
  <c r="P4" i="16"/>
  <c r="V66" i="3"/>
  <c r="P2" i="15"/>
  <c r="V76" i="3"/>
  <c r="P5" i="16"/>
  <c r="V46" i="3"/>
  <c r="P3" i="12"/>
  <c r="V41" i="3"/>
  <c r="P5" i="11"/>
  <c r="V70" i="3"/>
  <c r="P6" i="15"/>
  <c r="V61" i="3"/>
  <c r="P4" i="14"/>
  <c r="V62" i="3"/>
  <c r="P5" i="14"/>
  <c r="V82" i="3"/>
  <c r="P4" i="17"/>
  <c r="V47" i="3"/>
  <c r="P4" i="12"/>
  <c r="V67" i="3"/>
  <c r="P3" i="15"/>
  <c r="V60" i="3"/>
  <c r="P3" i="14"/>
  <c r="V77" i="3"/>
  <c r="P6" i="16"/>
  <c r="V73" i="3"/>
  <c r="P2" i="16"/>
  <c r="V56" i="3"/>
  <c r="P6" i="13"/>
  <c r="V34" i="3"/>
  <c r="P5" i="10"/>
  <c r="V49" i="3"/>
  <c r="P6" i="12"/>
  <c r="V45" i="3"/>
  <c r="P2" i="12"/>
  <c r="V74" i="3"/>
  <c r="P3" i="16"/>
  <c r="V63" i="3"/>
  <c r="P6" i="14"/>
  <c r="V40" i="3"/>
  <c r="P4" i="11"/>
  <c r="V69" i="3"/>
  <c r="P5" i="15"/>
  <c r="V39" i="3"/>
  <c r="P3" i="11"/>
  <c r="V59" i="3"/>
  <c r="P2" i="14"/>
  <c r="V54" i="3"/>
  <c r="P4" i="13"/>
  <c r="V38" i="3"/>
  <c r="P2" i="11"/>
  <c r="V55" i="3"/>
  <c r="P5" i="13"/>
  <c r="V27" i="3"/>
  <c r="P5" i="9"/>
  <c r="V19" i="3"/>
  <c r="P4" i="8"/>
  <c r="V48" i="3"/>
  <c r="P5" i="12"/>
  <c r="V68" i="3"/>
  <c r="P4" i="15"/>
  <c r="V20" i="3"/>
  <c r="P5" i="8"/>
  <c r="V33" i="3"/>
  <c r="P4" i="10"/>
  <c r="V81" i="3"/>
  <c r="P3" i="17"/>
  <c r="V84" i="3"/>
  <c r="P6" i="17"/>
  <c r="V26" i="3"/>
  <c r="P4" i="9"/>
  <c r="V83" i="3"/>
  <c r="P5" i="17"/>
  <c r="P2" i="8"/>
  <c r="V28" i="3"/>
  <c r="P6" i="9"/>
  <c r="V21" i="3"/>
  <c r="P6" i="8"/>
  <c r="P2" i="9"/>
  <c r="P2" i="10"/>
  <c r="V25" i="3"/>
  <c r="P3" i="9"/>
  <c r="V32" i="3"/>
  <c r="P3" i="10"/>
  <c r="V35" i="3"/>
  <c r="P6" i="10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/>
  <c r="V13" i="3"/>
  <c r="P5" i="2"/>
  <c r="V11" i="3"/>
  <c r="P3" i="2"/>
  <c r="P6" i="2"/>
  <c r="W11" i="3"/>
  <c r="Q3" i="2"/>
  <c r="Q6" i="2"/>
  <c r="W36" i="3"/>
  <c r="Q7" i="10"/>
  <c r="W37" i="3"/>
  <c r="Q8" i="10"/>
  <c r="W21" i="3"/>
  <c r="Q6" i="8"/>
  <c r="Q2" i="10"/>
  <c r="Q2" i="8"/>
  <c r="W25" i="3"/>
  <c r="Q3" i="9"/>
  <c r="W28" i="3"/>
  <c r="Q6" i="9"/>
  <c r="Q2" i="9"/>
  <c r="W32" i="3"/>
  <c r="Q3" i="10"/>
  <c r="W43" i="3"/>
  <c r="Q7" i="11"/>
  <c r="W51" i="3"/>
  <c r="Q8" i="12"/>
  <c r="W57" i="3"/>
  <c r="Q7" i="13"/>
  <c r="W44" i="3"/>
  <c r="Q8" i="11"/>
  <c r="W50" i="3"/>
  <c r="Q7" i="12"/>
  <c r="W58" i="3"/>
  <c r="Q8" i="13"/>
  <c r="W72" i="3"/>
  <c r="Q8" i="15"/>
  <c r="W78" i="3"/>
  <c r="Q7" i="16"/>
  <c r="W64" i="3"/>
  <c r="Q7" i="14"/>
  <c r="W65" i="3"/>
  <c r="Q8" i="14"/>
  <c r="W71" i="3"/>
  <c r="Q7" i="15"/>
  <c r="W79" i="3"/>
  <c r="Q8" i="16"/>
  <c r="W85" i="3"/>
  <c r="Q7" i="17"/>
  <c r="W86" i="3"/>
  <c r="Q8" i="17"/>
  <c r="W93" i="3"/>
  <c r="W92" i="3"/>
  <c r="W22" i="3"/>
  <c r="Q7" i="8"/>
  <c r="W30" i="3"/>
  <c r="Q8" i="9"/>
  <c r="W29" i="3"/>
  <c r="Q7" i="9"/>
  <c r="W15" i="3"/>
  <c r="Q7" i="2"/>
  <c r="W18" i="3"/>
  <c r="Q3" i="8"/>
  <c r="W16" i="3"/>
  <c r="Q8" i="2"/>
  <c r="W23" i="3"/>
  <c r="Q8" i="8"/>
  <c r="W90" i="3"/>
  <c r="W87" i="3"/>
  <c r="W53" i="3"/>
  <c r="Q3" i="13"/>
  <c r="W88" i="3"/>
  <c r="W91" i="3"/>
  <c r="W89" i="3"/>
  <c r="W42" i="3"/>
  <c r="Q6" i="11"/>
  <c r="W52" i="3"/>
  <c r="Q2" i="13"/>
  <c r="W82" i="3"/>
  <c r="Q4" i="17"/>
  <c r="W66" i="3"/>
  <c r="Q2" i="15"/>
  <c r="W76" i="3"/>
  <c r="Q5" i="16"/>
  <c r="W61" i="3"/>
  <c r="Q4" i="14"/>
  <c r="W46" i="3"/>
  <c r="Q3" i="12"/>
  <c r="W62" i="3"/>
  <c r="Q5" i="14"/>
  <c r="W41" i="3"/>
  <c r="Q5" i="11"/>
  <c r="W75" i="3"/>
  <c r="Q4" i="16"/>
  <c r="W70" i="3"/>
  <c r="Q6" i="15"/>
  <c r="W56" i="3"/>
  <c r="Q6" i="13"/>
  <c r="W67" i="3"/>
  <c r="Q3" i="15"/>
  <c r="W60" i="3"/>
  <c r="Q3" i="14"/>
  <c r="W19" i="3"/>
  <c r="Q4" i="8"/>
  <c r="W39" i="3"/>
  <c r="Q3" i="11"/>
  <c r="W63" i="3"/>
  <c r="Q6" i="14"/>
  <c r="W38" i="3"/>
  <c r="Q2" i="11"/>
  <c r="W34" i="3"/>
  <c r="Q5" i="10"/>
  <c r="W49" i="3"/>
  <c r="Q6" i="12"/>
  <c r="W40" i="3"/>
  <c r="Q4" i="11"/>
  <c r="W47" i="3"/>
  <c r="Q4" i="12"/>
  <c r="W69" i="3"/>
  <c r="Q5" i="15"/>
  <c r="W48" i="3"/>
  <c r="Q5" i="12"/>
  <c r="W73" i="3"/>
  <c r="Q2" i="16"/>
  <c r="W59" i="3"/>
  <c r="Q2" i="14"/>
  <c r="W45" i="3"/>
  <c r="Q2" i="12"/>
  <c r="W74" i="3"/>
  <c r="Q3" i="16"/>
  <c r="W55" i="3"/>
  <c r="Q5" i="13"/>
  <c r="W27" i="3"/>
  <c r="Q5" i="9"/>
  <c r="W77" i="3"/>
  <c r="Q6" i="16"/>
  <c r="W68" i="3"/>
  <c r="Q4" i="15"/>
  <c r="W54" i="3"/>
  <c r="Q4" i="13"/>
  <c r="W20" i="3"/>
  <c r="Q5" i="8"/>
  <c r="W81" i="3"/>
  <c r="Q3" i="17"/>
  <c r="W84" i="3"/>
  <c r="Q6" i="17"/>
  <c r="W33" i="3"/>
  <c r="Q4" i="10"/>
  <c r="W26" i="3"/>
  <c r="Q4" i="9"/>
  <c r="W83" i="3"/>
  <c r="Q5" i="17"/>
  <c r="Q2" i="17"/>
  <c r="W35" i="3"/>
  <c r="Q6" i="10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/>
  <c r="W13" i="3"/>
  <c r="Q5" i="2"/>
  <c r="R2" i="10"/>
  <c r="X36" i="3"/>
  <c r="R7" i="10"/>
  <c r="X37" i="3"/>
  <c r="R8" i="10"/>
  <c r="X21" i="3"/>
  <c r="R6" i="8"/>
  <c r="X58" i="3"/>
  <c r="R8" i="13"/>
  <c r="X43" i="3"/>
  <c r="R7" i="11"/>
  <c r="X51" i="3"/>
  <c r="R8" i="12"/>
  <c r="X57" i="3"/>
  <c r="R7" i="13"/>
  <c r="X44" i="3"/>
  <c r="R8" i="11"/>
  <c r="X50" i="3"/>
  <c r="R7" i="12"/>
  <c r="X85" i="3"/>
  <c r="R7" i="17"/>
  <c r="X72" i="3"/>
  <c r="R8" i="15"/>
  <c r="X78" i="3"/>
  <c r="R7" i="16"/>
  <c r="X64" i="3"/>
  <c r="R7" i="14"/>
  <c r="X65" i="3"/>
  <c r="R8" i="14"/>
  <c r="X71" i="3"/>
  <c r="R7" i="15"/>
  <c r="X79" i="3"/>
  <c r="R8" i="16"/>
  <c r="X92" i="3"/>
  <c r="X93" i="3"/>
  <c r="X22" i="3"/>
  <c r="R7" i="8"/>
  <c r="X30" i="3"/>
  <c r="R8" i="9"/>
  <c r="X86" i="3"/>
  <c r="R8" i="17"/>
  <c r="X29" i="3"/>
  <c r="R7" i="9"/>
  <c r="X15" i="3"/>
  <c r="R7" i="2"/>
  <c r="X18" i="3"/>
  <c r="R3" i="8"/>
  <c r="X23" i="3"/>
  <c r="R8" i="8"/>
  <c r="X16" i="3"/>
  <c r="R8" i="2"/>
  <c r="X90" i="3"/>
  <c r="X88" i="3"/>
  <c r="X52" i="3"/>
  <c r="R2" i="13"/>
  <c r="X53" i="3"/>
  <c r="R3" i="13"/>
  <c r="X42" i="3"/>
  <c r="R6" i="11"/>
  <c r="X91" i="3"/>
  <c r="X89" i="3"/>
  <c r="X87" i="3"/>
  <c r="X66" i="3"/>
  <c r="R2" i="15"/>
  <c r="X76" i="3"/>
  <c r="R5" i="16"/>
  <c r="X46" i="3"/>
  <c r="R3" i="12"/>
  <c r="X82" i="3"/>
  <c r="R4" i="17"/>
  <c r="X61" i="3"/>
  <c r="R4" i="14"/>
  <c r="X75" i="3"/>
  <c r="R4" i="16"/>
  <c r="X62" i="3"/>
  <c r="R5" i="14"/>
  <c r="X41" i="3"/>
  <c r="R5" i="11"/>
  <c r="X70" i="3"/>
  <c r="R6" i="15"/>
  <c r="X34" i="3"/>
  <c r="R5" i="10"/>
  <c r="X49" i="3"/>
  <c r="R6" i="12"/>
  <c r="X60" i="3"/>
  <c r="R3" i="14"/>
  <c r="X55" i="3"/>
  <c r="R5" i="13"/>
  <c r="X27" i="3"/>
  <c r="R5" i="9"/>
  <c r="X39" i="3"/>
  <c r="R3" i="11"/>
  <c r="X63" i="3"/>
  <c r="R6" i="14"/>
  <c r="X54" i="3"/>
  <c r="R4" i="13"/>
  <c r="X38" i="3"/>
  <c r="R2" i="11"/>
  <c r="X67" i="3"/>
  <c r="R3" i="15"/>
  <c r="X45" i="3"/>
  <c r="R2" i="12"/>
  <c r="X19" i="3"/>
  <c r="R4" i="8"/>
  <c r="X77" i="3"/>
  <c r="R6" i="16"/>
  <c r="X48" i="3"/>
  <c r="R5" i="12"/>
  <c r="X73" i="3"/>
  <c r="R2" i="16"/>
  <c r="X59" i="3"/>
  <c r="R2" i="14"/>
  <c r="X56" i="3"/>
  <c r="R6" i="13"/>
  <c r="X47" i="3"/>
  <c r="R4" i="12"/>
  <c r="X40" i="3"/>
  <c r="R4" i="11"/>
  <c r="X74" i="3"/>
  <c r="R3" i="16"/>
  <c r="X69" i="3"/>
  <c r="R5" i="15"/>
  <c r="X68" i="3"/>
  <c r="R4" i="15"/>
  <c r="X20" i="3"/>
  <c r="R5" i="8"/>
  <c r="X84" i="3"/>
  <c r="R6" i="17"/>
  <c r="X81" i="3"/>
  <c r="R3" i="17"/>
  <c r="X33" i="3"/>
  <c r="R4" i="10"/>
  <c r="X26" i="3"/>
  <c r="R4" i="9"/>
  <c r="X83" i="3"/>
  <c r="R5" i="17"/>
  <c r="X35" i="3"/>
  <c r="R6" i="10"/>
  <c r="X28" i="3"/>
  <c r="R6" i="9"/>
  <c r="R2" i="17"/>
  <c r="R2" i="8"/>
  <c r="X25" i="3"/>
  <c r="R3" i="9"/>
  <c r="R2" i="9"/>
  <c r="X32" i="3"/>
  <c r="R3" i="10"/>
  <c r="Y9" i="3"/>
  <c r="S6" i="2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/>
  <c r="X13" i="3"/>
  <c r="R5" i="2"/>
  <c r="X11" i="3"/>
  <c r="R3" i="2"/>
  <c r="R6" i="2"/>
  <c r="Y11" i="3"/>
  <c r="S3" i="2"/>
  <c r="Y36" i="3"/>
  <c r="S7" i="10"/>
  <c r="Y37" i="3"/>
  <c r="S8" i="10"/>
  <c r="Y44" i="3"/>
  <c r="S8" i="11"/>
  <c r="Y50" i="3"/>
  <c r="S7" i="12"/>
  <c r="Y58" i="3"/>
  <c r="S8" i="13"/>
  <c r="Y64" i="3"/>
  <c r="S7" i="14"/>
  <c r="Y43" i="3"/>
  <c r="S7" i="11"/>
  <c r="Y51" i="3"/>
  <c r="S8" i="12"/>
  <c r="Y57" i="3"/>
  <c r="S7" i="13"/>
  <c r="Y65" i="3"/>
  <c r="S8" i="14"/>
  <c r="Y71" i="3"/>
  <c r="S7" i="15"/>
  <c r="Y79" i="3"/>
  <c r="S8" i="16"/>
  <c r="Y85" i="3"/>
  <c r="S7" i="17"/>
  <c r="Y72" i="3"/>
  <c r="S8" i="15"/>
  <c r="Y78" i="3"/>
  <c r="S7" i="16"/>
  <c r="Y92" i="3"/>
  <c r="Y93" i="3"/>
  <c r="Y30" i="3"/>
  <c r="S8" i="9"/>
  <c r="Y86" i="3"/>
  <c r="S8" i="17"/>
  <c r="Y29" i="3"/>
  <c r="S7" i="9"/>
  <c r="Y22" i="3"/>
  <c r="S7" i="8"/>
  <c r="Y15" i="3"/>
  <c r="S7" i="2"/>
  <c r="Y18" i="3"/>
  <c r="S3" i="8"/>
  <c r="Y16" i="3"/>
  <c r="S8" i="2"/>
  <c r="Y23" i="3"/>
  <c r="S8" i="8"/>
  <c r="Y91" i="3"/>
  <c r="Y89" i="3"/>
  <c r="Y90" i="3"/>
  <c r="Y42" i="3"/>
  <c r="S6" i="11"/>
  <c r="Y87" i="3"/>
  <c r="Y53" i="3"/>
  <c r="S3" i="13"/>
  <c r="Y88" i="3"/>
  <c r="Y41" i="3"/>
  <c r="S5" i="11"/>
  <c r="Y82" i="3"/>
  <c r="S4" i="17"/>
  <c r="Y75" i="3"/>
  <c r="S4" i="16"/>
  <c r="Y66" i="3"/>
  <c r="S2" i="15"/>
  <c r="Y70" i="3"/>
  <c r="S6" i="15"/>
  <c r="Y61" i="3"/>
  <c r="S4" i="14"/>
  <c r="Y52" i="3"/>
  <c r="S2" i="13"/>
  <c r="Y76" i="3"/>
  <c r="S5" i="16"/>
  <c r="Y62" i="3"/>
  <c r="S5" i="14"/>
  <c r="Y46" i="3"/>
  <c r="S3" i="12"/>
  <c r="Y67" i="3"/>
  <c r="S3" i="15"/>
  <c r="Y49" i="3"/>
  <c r="S6" i="12"/>
  <c r="Y60" i="3"/>
  <c r="S3" i="14"/>
  <c r="Y19" i="3"/>
  <c r="S4" i="8"/>
  <c r="Y48" i="3"/>
  <c r="S5" i="12"/>
  <c r="Y68" i="3"/>
  <c r="S4" i="15"/>
  <c r="Y34" i="3"/>
  <c r="S5" i="10"/>
  <c r="Y74" i="3"/>
  <c r="S3" i="16"/>
  <c r="Y55" i="3"/>
  <c r="S5" i="13"/>
  <c r="Y73" i="3"/>
  <c r="S2" i="16"/>
  <c r="Y63" i="3"/>
  <c r="S6" i="14"/>
  <c r="Y54" i="3"/>
  <c r="S4" i="13"/>
  <c r="Y47" i="3"/>
  <c r="S4" i="12"/>
  <c r="Y69" i="3"/>
  <c r="S5" i="15"/>
  <c r="Y39" i="3"/>
  <c r="S3" i="11"/>
  <c r="Y59" i="3"/>
  <c r="S2" i="14"/>
  <c r="Y56" i="3"/>
  <c r="S6" i="13"/>
  <c r="Y38" i="3"/>
  <c r="S2" i="11"/>
  <c r="Y45" i="3"/>
  <c r="S2" i="12"/>
  <c r="Y40" i="3"/>
  <c r="S4" i="11"/>
  <c r="Y27" i="3"/>
  <c r="S5" i="9"/>
  <c r="Y77" i="3"/>
  <c r="S6" i="16"/>
  <c r="Y20" i="3"/>
  <c r="S5" i="8"/>
  <c r="Y33" i="3"/>
  <c r="S4" i="10"/>
  <c r="Y83" i="3"/>
  <c r="S5" i="17"/>
  <c r="Y84" i="3"/>
  <c r="S6" i="17"/>
  <c r="Y81" i="3"/>
  <c r="S3" i="17"/>
  <c r="Y26" i="3"/>
  <c r="S4" i="9"/>
  <c r="Y35" i="3"/>
  <c r="S6" i="10"/>
  <c r="S2" i="17"/>
  <c r="Y25" i="3"/>
  <c r="S3" i="9"/>
  <c r="Y28" i="3"/>
  <c r="S6" i="9"/>
  <c r="Y32" i="3"/>
  <c r="S3" i="10"/>
  <c r="S2" i="9"/>
  <c r="S2" i="10"/>
  <c r="Y21" i="3"/>
  <c r="S6" i="8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/>
  <c r="Y13" i="3"/>
  <c r="S5" i="2"/>
  <c r="Z21" i="3"/>
  <c r="T6" i="8"/>
  <c r="Z36" i="3"/>
  <c r="T7" i="10"/>
  <c r="Z37" i="3"/>
  <c r="T8" i="10"/>
  <c r="Z57" i="3"/>
  <c r="T7" i="13"/>
  <c r="Z44" i="3"/>
  <c r="T8" i="11"/>
  <c r="Z50" i="3"/>
  <c r="T7" i="12"/>
  <c r="Z58" i="3"/>
  <c r="T8" i="13"/>
  <c r="Z43" i="3"/>
  <c r="T7" i="11"/>
  <c r="Z51" i="3"/>
  <c r="T8" i="12"/>
  <c r="Z65" i="3"/>
  <c r="T8" i="14"/>
  <c r="Z71" i="3"/>
  <c r="T7" i="15"/>
  <c r="Z79" i="3"/>
  <c r="T8" i="16"/>
  <c r="Z85" i="3"/>
  <c r="T7" i="17"/>
  <c r="Z64" i="3"/>
  <c r="T7" i="14"/>
  <c r="Z72" i="3"/>
  <c r="T8" i="15"/>
  <c r="Z78" i="3"/>
  <c r="T7" i="16"/>
  <c r="Z93" i="3"/>
  <c r="Z92" i="3"/>
  <c r="Z30" i="3"/>
  <c r="T8" i="9"/>
  <c r="Z29" i="3"/>
  <c r="T7" i="9"/>
  <c r="Z22" i="3"/>
  <c r="T7" i="8"/>
  <c r="Z86" i="3"/>
  <c r="T8" i="17"/>
  <c r="Z15" i="3"/>
  <c r="T7" i="2"/>
  <c r="Z18" i="3"/>
  <c r="T3" i="8"/>
  <c r="Z23" i="3"/>
  <c r="T8" i="8"/>
  <c r="Z16" i="3"/>
  <c r="T8" i="2"/>
  <c r="Z91" i="3"/>
  <c r="Z53" i="3"/>
  <c r="T3" i="13"/>
  <c r="Z89" i="3"/>
  <c r="Z90" i="3"/>
  <c r="Z88" i="3"/>
  <c r="Z42" i="3"/>
  <c r="T6" i="11"/>
  <c r="Z87" i="3"/>
  <c r="Z62" i="3"/>
  <c r="T5" i="14"/>
  <c r="Z46" i="3"/>
  <c r="T3" i="12"/>
  <c r="Z41" i="3"/>
  <c r="T5" i="11"/>
  <c r="Z82" i="3"/>
  <c r="T4" i="17"/>
  <c r="Z66" i="3"/>
  <c r="T2" i="15"/>
  <c r="Z75" i="3"/>
  <c r="T4" i="16"/>
  <c r="Z52" i="3"/>
  <c r="T2" i="13"/>
  <c r="Z76" i="3"/>
  <c r="T5" i="16"/>
  <c r="Z70" i="3"/>
  <c r="T6" i="15"/>
  <c r="Z61" i="3"/>
  <c r="T4" i="14"/>
  <c r="Z38" i="3"/>
  <c r="T2" i="11"/>
  <c r="Z55" i="3"/>
  <c r="T5" i="13"/>
  <c r="Z27" i="3"/>
  <c r="T5" i="9"/>
  <c r="Z19" i="3"/>
  <c r="T4" i="8"/>
  <c r="Z47" i="3"/>
  <c r="T4" i="12"/>
  <c r="Z67" i="3"/>
  <c r="T3" i="15"/>
  <c r="Z60" i="3"/>
  <c r="T3" i="14"/>
  <c r="Z48" i="3"/>
  <c r="T5" i="12"/>
  <c r="Z77" i="3"/>
  <c r="T6" i="16"/>
  <c r="Z73" i="3"/>
  <c r="T2" i="16"/>
  <c r="Z56" i="3"/>
  <c r="T6" i="13"/>
  <c r="Z34" i="3"/>
  <c r="T5" i="10"/>
  <c r="Z49" i="3"/>
  <c r="T6" i="12"/>
  <c r="Z45" i="3"/>
  <c r="T2" i="12"/>
  <c r="Z74" i="3"/>
  <c r="T3" i="16"/>
  <c r="Z68" i="3"/>
  <c r="T4" i="15"/>
  <c r="Z63" i="3"/>
  <c r="T6" i="14"/>
  <c r="Z40" i="3"/>
  <c r="T4" i="11"/>
  <c r="Z69" i="3"/>
  <c r="T5" i="15"/>
  <c r="Z39" i="3"/>
  <c r="T3" i="11"/>
  <c r="Z59" i="3"/>
  <c r="T2" i="14"/>
  <c r="Z54" i="3"/>
  <c r="T4" i="13"/>
  <c r="Z20" i="3"/>
  <c r="T5" i="8"/>
  <c r="Z33" i="3"/>
  <c r="T4" i="10"/>
  <c r="Z26" i="3"/>
  <c r="T4" i="9"/>
  <c r="Z83" i="3"/>
  <c r="T5" i="17"/>
  <c r="Z81" i="3"/>
  <c r="T3" i="17"/>
  <c r="Z84" i="3"/>
  <c r="T6" i="17"/>
  <c r="Z35" i="3"/>
  <c r="T6" i="10"/>
  <c r="Z32" i="3"/>
  <c r="T3" i="10"/>
  <c r="T2" i="9"/>
  <c r="Z28" i="3"/>
  <c r="T6" i="9"/>
  <c r="T2" i="10"/>
  <c r="T2" i="8"/>
  <c r="T2" i="17"/>
  <c r="Z25" i="3"/>
  <c r="T3" i="9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/>
  <c r="Z13" i="3"/>
  <c r="T5" i="2"/>
  <c r="Z11" i="3"/>
  <c r="T3" i="2"/>
  <c r="T6" i="2"/>
  <c r="U6" i="2"/>
  <c r="AA11" i="3"/>
  <c r="U3" i="2"/>
  <c r="AA36" i="3"/>
  <c r="U7" i="10"/>
  <c r="AA37" i="3"/>
  <c r="U8" i="10"/>
  <c r="AA43" i="3"/>
  <c r="U7" i="11"/>
  <c r="AA51" i="3"/>
  <c r="U8" i="12"/>
  <c r="AA57" i="3"/>
  <c r="U7" i="13"/>
  <c r="AA44" i="3"/>
  <c r="U8" i="11"/>
  <c r="AA50" i="3"/>
  <c r="U7" i="12"/>
  <c r="AA58" i="3"/>
  <c r="U8" i="13"/>
  <c r="AA64" i="3"/>
  <c r="U7" i="14"/>
  <c r="AA72" i="3"/>
  <c r="U8" i="15"/>
  <c r="AA78" i="3"/>
  <c r="U7" i="16"/>
  <c r="AA65" i="3"/>
  <c r="U8" i="14"/>
  <c r="AA71" i="3"/>
  <c r="U7" i="15"/>
  <c r="AA79" i="3"/>
  <c r="U8" i="16"/>
  <c r="AA85" i="3"/>
  <c r="U7" i="17"/>
  <c r="AA86" i="3"/>
  <c r="U8" i="17"/>
  <c r="AA93" i="3"/>
  <c r="AA92" i="3"/>
  <c r="AA22" i="3"/>
  <c r="U7" i="8"/>
  <c r="AA29" i="3"/>
  <c r="U7" i="9"/>
  <c r="AA30" i="3"/>
  <c r="U8" i="9"/>
  <c r="AA15" i="3"/>
  <c r="U7" i="2"/>
  <c r="AA18" i="3"/>
  <c r="U3" i="8"/>
  <c r="AA16" i="3"/>
  <c r="U8" i="2"/>
  <c r="AA23" i="3"/>
  <c r="U8" i="8"/>
  <c r="AA91" i="3"/>
  <c r="AA89" i="3"/>
  <c r="AA42" i="3"/>
  <c r="U6" i="11"/>
  <c r="AA88" i="3"/>
  <c r="AA87" i="3"/>
  <c r="AA90" i="3"/>
  <c r="AA53" i="3"/>
  <c r="U3" i="13"/>
  <c r="AA62" i="3"/>
  <c r="U5" i="14"/>
  <c r="AA41" i="3"/>
  <c r="U5" i="11"/>
  <c r="AA75" i="3"/>
  <c r="U4" i="16"/>
  <c r="AA70" i="3"/>
  <c r="U6" i="15"/>
  <c r="AA66" i="3"/>
  <c r="U2" i="15"/>
  <c r="AA52" i="3"/>
  <c r="U2" i="13"/>
  <c r="AA76" i="3"/>
  <c r="U5" i="16"/>
  <c r="AA61" i="3"/>
  <c r="U4" i="14"/>
  <c r="AA46" i="3"/>
  <c r="U3" i="12"/>
  <c r="AA82" i="3"/>
  <c r="U4" i="17"/>
  <c r="AA45" i="3"/>
  <c r="U2" i="12"/>
  <c r="AA74" i="3"/>
  <c r="U3" i="16"/>
  <c r="AA55" i="3"/>
  <c r="U5" i="13"/>
  <c r="AA27" i="3"/>
  <c r="U5" i="9"/>
  <c r="AA48" i="3"/>
  <c r="U5" i="12"/>
  <c r="AA77" i="3"/>
  <c r="U6" i="16"/>
  <c r="AA68" i="3"/>
  <c r="U4" i="15"/>
  <c r="AA56" i="3"/>
  <c r="U6" i="13"/>
  <c r="AA67" i="3"/>
  <c r="U3" i="15"/>
  <c r="AA60" i="3"/>
  <c r="U3" i="14"/>
  <c r="AA39" i="3"/>
  <c r="U3" i="11"/>
  <c r="AA63" i="3"/>
  <c r="U6" i="14"/>
  <c r="AA38" i="3"/>
  <c r="U2" i="11"/>
  <c r="AA34" i="3"/>
  <c r="U5" i="10"/>
  <c r="AA49" i="3"/>
  <c r="U6" i="12"/>
  <c r="AA40" i="3"/>
  <c r="U4" i="11"/>
  <c r="AA19" i="3"/>
  <c r="U4" i="8"/>
  <c r="AA47" i="3"/>
  <c r="U4" i="12"/>
  <c r="AA69" i="3"/>
  <c r="U5" i="15"/>
  <c r="AA73" i="3"/>
  <c r="U2" i="16"/>
  <c r="AA59" i="3"/>
  <c r="U2" i="14"/>
  <c r="AA54" i="3"/>
  <c r="U4" i="13"/>
  <c r="AA20" i="3"/>
  <c r="U5" i="8"/>
  <c r="AA33" i="3"/>
  <c r="U4" i="10"/>
  <c r="AA26" i="3"/>
  <c r="U4" i="9"/>
  <c r="AA83" i="3"/>
  <c r="U5" i="17"/>
  <c r="AA81" i="3"/>
  <c r="U3" i="17"/>
  <c r="AA84" i="3"/>
  <c r="U6" i="17"/>
  <c r="U2" i="10"/>
  <c r="AA28" i="3"/>
  <c r="U6" i="9"/>
  <c r="AA35" i="3"/>
  <c r="U6" i="10"/>
  <c r="AA32" i="3"/>
  <c r="U3" i="10"/>
  <c r="U2" i="9"/>
  <c r="U2" i="8"/>
  <c r="AA21" i="3"/>
  <c r="U6" i="8"/>
  <c r="U2" i="17"/>
  <c r="AA25" i="3"/>
  <c r="U3" i="9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/>
  <c r="AA13" i="3"/>
  <c r="U5" i="2"/>
  <c r="AB36" i="3"/>
  <c r="V7" i="10"/>
  <c r="AB37" i="3"/>
  <c r="V8" i="10"/>
  <c r="AB58" i="3"/>
  <c r="V8" i="13"/>
  <c r="AB43" i="3"/>
  <c r="V7" i="11"/>
  <c r="AB51" i="3"/>
  <c r="V8" i="12"/>
  <c r="AB57" i="3"/>
  <c r="V7" i="13"/>
  <c r="AB44" i="3"/>
  <c r="V8" i="11"/>
  <c r="AB50" i="3"/>
  <c r="V7" i="12"/>
  <c r="AB85" i="3"/>
  <c r="V7" i="17"/>
  <c r="AB64" i="3"/>
  <c r="V7" i="14"/>
  <c r="AB72" i="3"/>
  <c r="V8" i="15"/>
  <c r="AB78" i="3"/>
  <c r="V7" i="16"/>
  <c r="AB65" i="3"/>
  <c r="V8" i="14"/>
  <c r="AB71" i="3"/>
  <c r="V7" i="15"/>
  <c r="AB79" i="3"/>
  <c r="V8" i="16"/>
  <c r="AB92" i="3"/>
  <c r="AB93" i="3"/>
  <c r="AB22" i="3"/>
  <c r="V7" i="8"/>
  <c r="AB29" i="3"/>
  <c r="V7" i="9"/>
  <c r="AB30" i="3"/>
  <c r="V8" i="9"/>
  <c r="AB86" i="3"/>
  <c r="V8" i="17"/>
  <c r="AB15" i="3"/>
  <c r="V7" i="2"/>
  <c r="AB18" i="3"/>
  <c r="V3" i="8"/>
  <c r="AB16" i="3"/>
  <c r="V8" i="2"/>
  <c r="AB91" i="3"/>
  <c r="AB89" i="3"/>
  <c r="AB90" i="3"/>
  <c r="AB88" i="3"/>
  <c r="AB42" i="3"/>
  <c r="V6" i="11"/>
  <c r="AB87" i="3"/>
  <c r="AB23" i="3"/>
  <c r="V8" i="8"/>
  <c r="AB53" i="3"/>
  <c r="V3" i="13"/>
  <c r="AB52" i="3"/>
  <c r="V2" i="13"/>
  <c r="AB62" i="3"/>
  <c r="V5" i="14"/>
  <c r="AB41" i="3"/>
  <c r="V5" i="11"/>
  <c r="AB70" i="3"/>
  <c r="V6" i="15"/>
  <c r="AB66" i="3"/>
  <c r="V2" i="15"/>
  <c r="AB76" i="3"/>
  <c r="V5" i="16"/>
  <c r="AB46" i="3"/>
  <c r="V3" i="12"/>
  <c r="AB82" i="3"/>
  <c r="V4" i="17"/>
  <c r="AB61" i="3"/>
  <c r="V4" i="14"/>
  <c r="AB75" i="3"/>
  <c r="V4" i="16"/>
  <c r="AB56" i="3"/>
  <c r="V6" i="13"/>
  <c r="AB38" i="3"/>
  <c r="V2" i="11"/>
  <c r="AB67" i="3"/>
  <c r="V3" i="15"/>
  <c r="AB74" i="3"/>
  <c r="V3" i="16"/>
  <c r="AB68" i="3"/>
  <c r="V4" i="15"/>
  <c r="AB47" i="3"/>
  <c r="V4" i="12"/>
  <c r="AB49" i="3"/>
  <c r="V6" i="12"/>
  <c r="AB60" i="3"/>
  <c r="V3" i="14"/>
  <c r="AB55" i="3"/>
  <c r="V5" i="13"/>
  <c r="AB39" i="3"/>
  <c r="V3" i="11"/>
  <c r="AB63" i="3"/>
  <c r="V6" i="14"/>
  <c r="AB40" i="3"/>
  <c r="V4" i="11"/>
  <c r="AB69" i="3"/>
  <c r="V5" i="15"/>
  <c r="AB19" i="3"/>
  <c r="V4" i="8"/>
  <c r="AB77" i="3"/>
  <c r="V6" i="16"/>
  <c r="AB34" i="3"/>
  <c r="V5" i="10"/>
  <c r="AB45" i="3"/>
  <c r="V2" i="12"/>
  <c r="AB27" i="3"/>
  <c r="V5" i="9"/>
  <c r="AB48" i="3"/>
  <c r="V5" i="12"/>
  <c r="AB73" i="3"/>
  <c r="V2" i="16"/>
  <c r="AB59" i="3"/>
  <c r="V2" i="14"/>
  <c r="AB54" i="3"/>
  <c r="V4" i="13"/>
  <c r="AB20" i="3"/>
  <c r="V5" i="8"/>
  <c r="AB33" i="3"/>
  <c r="V4" i="10"/>
  <c r="AB26" i="3"/>
  <c r="V4" i="9"/>
  <c r="AB83" i="3"/>
  <c r="V5" i="17"/>
  <c r="AB84" i="3"/>
  <c r="V6" i="17"/>
  <c r="AB81" i="3"/>
  <c r="V3" i="17"/>
  <c r="AB35" i="3"/>
  <c r="V6" i="10"/>
  <c r="V2" i="17"/>
  <c r="V2" i="10"/>
  <c r="AB32" i="3"/>
  <c r="V3" i="10"/>
  <c r="V2" i="8"/>
  <c r="V2" i="9"/>
  <c r="AB25" i="3"/>
  <c r="V3" i="9"/>
  <c r="AB28" i="3"/>
  <c r="V6" i="9"/>
  <c r="AB21" i="3"/>
  <c r="V6" i="8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/>
  <c r="AB13" i="3"/>
  <c r="V5" i="2"/>
  <c r="AB11" i="3"/>
  <c r="V3" i="2"/>
  <c r="V6" i="2"/>
  <c r="W6" i="2"/>
  <c r="AC11" i="3"/>
  <c r="W3" i="2"/>
  <c r="AC36" i="3"/>
  <c r="W7" i="10"/>
  <c r="AC37" i="3"/>
  <c r="W8" i="10"/>
  <c r="AC44" i="3"/>
  <c r="W8" i="11"/>
  <c r="AC50" i="3"/>
  <c r="W7" i="12"/>
  <c r="AC58" i="3"/>
  <c r="W8" i="13"/>
  <c r="AC64" i="3"/>
  <c r="W7" i="14"/>
  <c r="AC43" i="3"/>
  <c r="W7" i="11"/>
  <c r="AC51" i="3"/>
  <c r="W8" i="12"/>
  <c r="AC57" i="3"/>
  <c r="W7" i="13"/>
  <c r="AC65" i="3"/>
  <c r="W8" i="14"/>
  <c r="AC71" i="3"/>
  <c r="W7" i="15"/>
  <c r="AC79" i="3"/>
  <c r="W8" i="16"/>
  <c r="AC85" i="3"/>
  <c r="W7" i="17"/>
  <c r="AC72" i="3"/>
  <c r="W8" i="15"/>
  <c r="AC78" i="3"/>
  <c r="W7" i="16"/>
  <c r="AC92" i="3"/>
  <c r="AC93" i="3"/>
  <c r="AC22" i="3"/>
  <c r="W7" i="8"/>
  <c r="AC86" i="3"/>
  <c r="W8" i="17"/>
  <c r="AC29" i="3"/>
  <c r="W7" i="9"/>
  <c r="AC30" i="3"/>
  <c r="W8" i="9"/>
  <c r="AC15" i="3"/>
  <c r="W7" i="2"/>
  <c r="AC18" i="3"/>
  <c r="W3" i="8"/>
  <c r="AC16" i="3"/>
  <c r="W8" i="2"/>
  <c r="AC23" i="3"/>
  <c r="W8" i="8"/>
  <c r="AC53" i="3"/>
  <c r="W3" i="13"/>
  <c r="AC87" i="3"/>
  <c r="AC91" i="3"/>
  <c r="AC89" i="3"/>
  <c r="AC90" i="3"/>
  <c r="AC42" i="3"/>
  <c r="W6" i="11"/>
  <c r="AC88" i="3"/>
  <c r="AC52" i="3"/>
  <c r="W2" i="13"/>
  <c r="AC76" i="3"/>
  <c r="W5" i="16"/>
  <c r="AC62" i="3"/>
  <c r="W5" i="14"/>
  <c r="AC46" i="3"/>
  <c r="W3" i="12"/>
  <c r="AC41" i="3"/>
  <c r="W5" i="11"/>
  <c r="AC82" i="3"/>
  <c r="W4" i="17"/>
  <c r="AC75" i="3"/>
  <c r="W4" i="16"/>
  <c r="AC66" i="3"/>
  <c r="W2" i="15"/>
  <c r="AC70" i="3"/>
  <c r="W6" i="15"/>
  <c r="AC61" i="3"/>
  <c r="W4" i="14"/>
  <c r="AC56" i="3"/>
  <c r="W6" i="13"/>
  <c r="AC38" i="3"/>
  <c r="W2" i="11"/>
  <c r="AC45" i="3"/>
  <c r="W2" i="12"/>
  <c r="AC40" i="3"/>
  <c r="W4" i="11"/>
  <c r="AC27" i="3"/>
  <c r="W5" i="9"/>
  <c r="AC77" i="3"/>
  <c r="W6" i="16"/>
  <c r="AC67" i="3"/>
  <c r="W3" i="15"/>
  <c r="AC49" i="3"/>
  <c r="W6" i="12"/>
  <c r="AC60" i="3"/>
  <c r="W3" i="14"/>
  <c r="AC19" i="3"/>
  <c r="W4" i="8"/>
  <c r="AC48" i="3"/>
  <c r="W5" i="12"/>
  <c r="AC73" i="3"/>
  <c r="W2" i="16"/>
  <c r="AC68" i="3"/>
  <c r="W4" i="15"/>
  <c r="AC34" i="3"/>
  <c r="W5" i="10"/>
  <c r="AC74" i="3"/>
  <c r="W3" i="16"/>
  <c r="AC55" i="3"/>
  <c r="W5" i="13"/>
  <c r="AC63" i="3"/>
  <c r="W6" i="14"/>
  <c r="AC47" i="3"/>
  <c r="W4" i="12"/>
  <c r="AC69" i="3"/>
  <c r="W5" i="15"/>
  <c r="AC39" i="3"/>
  <c r="W3" i="11"/>
  <c r="AC59" i="3"/>
  <c r="W2" i="14"/>
  <c r="AC54" i="3"/>
  <c r="W4" i="13"/>
  <c r="AC20" i="3"/>
  <c r="W5" i="8"/>
  <c r="AC26" i="3"/>
  <c r="W4" i="9"/>
  <c r="AC33" i="3"/>
  <c r="W4" i="10"/>
  <c r="AC83" i="3"/>
  <c r="W5" i="17"/>
  <c r="AC84" i="3"/>
  <c r="W6" i="17"/>
  <c r="AC81" i="3"/>
  <c r="W3" i="17"/>
  <c r="AC35" i="3"/>
  <c r="W6" i="10"/>
  <c r="W2" i="17"/>
  <c r="W2" i="10"/>
  <c r="AC28" i="3"/>
  <c r="W6" i="9"/>
  <c r="AC32" i="3"/>
  <c r="W3" i="10"/>
  <c r="AC25" i="3"/>
  <c r="W3" i="9"/>
  <c r="W2" i="8"/>
  <c r="W2" i="9"/>
  <c r="AC21" i="3"/>
  <c r="W6" i="8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/>
  <c r="AC13" i="3"/>
  <c r="W5" i="2"/>
  <c r="AD36" i="3"/>
  <c r="X7" i="10"/>
  <c r="AD37" i="3"/>
  <c r="X8" i="10"/>
  <c r="AD57" i="3"/>
  <c r="X7" i="13"/>
  <c r="AD44" i="3"/>
  <c r="X8" i="11"/>
  <c r="AD50" i="3"/>
  <c r="X7" i="12"/>
  <c r="AD58" i="3"/>
  <c r="X8" i="13"/>
  <c r="AD43" i="3"/>
  <c r="X7" i="11"/>
  <c r="AD51" i="3"/>
  <c r="X8" i="12"/>
  <c r="AD65" i="3"/>
  <c r="X8" i="14"/>
  <c r="AD71" i="3"/>
  <c r="X7" i="15"/>
  <c r="AD79" i="3"/>
  <c r="X8" i="16"/>
  <c r="AD64" i="3"/>
  <c r="X7" i="14"/>
  <c r="AD85" i="3"/>
  <c r="X7" i="17"/>
  <c r="AD72" i="3"/>
  <c r="X8" i="15"/>
  <c r="AD78" i="3"/>
  <c r="X7" i="16"/>
  <c r="AD93" i="3"/>
  <c r="AD92" i="3"/>
  <c r="AD29" i="3"/>
  <c r="X7" i="9"/>
  <c r="AD86" i="3"/>
  <c r="X8" i="17"/>
  <c r="AD22" i="3"/>
  <c r="X7" i="8"/>
  <c r="AD30" i="3"/>
  <c r="X8" i="9"/>
  <c r="AD15" i="3"/>
  <c r="X7" i="2"/>
  <c r="AD18" i="3"/>
  <c r="X3" i="8"/>
  <c r="AD16" i="3"/>
  <c r="X8" i="2"/>
  <c r="AD23" i="3"/>
  <c r="X8" i="8"/>
  <c r="AD88" i="3"/>
  <c r="AD87" i="3"/>
  <c r="AD91" i="3"/>
  <c r="AD53" i="3"/>
  <c r="X3" i="13"/>
  <c r="AD89" i="3"/>
  <c r="AD52" i="3"/>
  <c r="X2" i="13"/>
  <c r="AD90" i="3"/>
  <c r="AD42" i="3"/>
  <c r="X6" i="11"/>
  <c r="AD61" i="3"/>
  <c r="X4" i="14"/>
  <c r="AD56" i="3"/>
  <c r="X6" i="13"/>
  <c r="AD62" i="3"/>
  <c r="X5" i="14"/>
  <c r="AD82" i="3"/>
  <c r="X4" i="17"/>
  <c r="AD66" i="3"/>
  <c r="X2" i="15"/>
  <c r="AD46" i="3"/>
  <c r="X3" i="12"/>
  <c r="AD41" i="3"/>
  <c r="X5" i="11"/>
  <c r="AD75" i="3"/>
  <c r="X4" i="16"/>
  <c r="AD76" i="3"/>
  <c r="X5" i="16"/>
  <c r="AD70" i="3"/>
  <c r="X6" i="15"/>
  <c r="AD40" i="3"/>
  <c r="X4" i="11"/>
  <c r="AD69" i="3"/>
  <c r="X5" i="15"/>
  <c r="AD55" i="3"/>
  <c r="X5" i="13"/>
  <c r="AD68" i="3"/>
  <c r="X4" i="15"/>
  <c r="AD59" i="3"/>
  <c r="X2" i="14"/>
  <c r="AD54" i="3"/>
  <c r="X4" i="13"/>
  <c r="AD47" i="3"/>
  <c r="X4" i="12"/>
  <c r="AD38" i="3"/>
  <c r="X2" i="11"/>
  <c r="AD27" i="3"/>
  <c r="X5" i="9"/>
  <c r="AD19" i="3"/>
  <c r="X4" i="8"/>
  <c r="AD73" i="3"/>
  <c r="X2" i="16"/>
  <c r="AD67" i="3"/>
  <c r="X3" i="15"/>
  <c r="AD45" i="3"/>
  <c r="X2" i="12"/>
  <c r="AD60" i="3"/>
  <c r="X3" i="14"/>
  <c r="AD77" i="3"/>
  <c r="X6" i="16"/>
  <c r="AD34" i="3"/>
  <c r="X5" i="10"/>
  <c r="AD49" i="3"/>
  <c r="X6" i="12"/>
  <c r="AD74" i="3"/>
  <c r="X3" i="16"/>
  <c r="AD48" i="3"/>
  <c r="X5" i="12"/>
  <c r="AD39" i="3"/>
  <c r="X3" i="11"/>
  <c r="AD63" i="3"/>
  <c r="X6" i="14"/>
  <c r="AD20" i="3"/>
  <c r="X5" i="8"/>
  <c r="AD84" i="3"/>
  <c r="X6" i="17"/>
  <c r="AD26" i="3"/>
  <c r="X4" i="9"/>
  <c r="AD83" i="3"/>
  <c r="X5" i="17"/>
  <c r="AD33" i="3"/>
  <c r="X4" i="10"/>
  <c r="AD81" i="3"/>
  <c r="X3" i="17"/>
  <c r="AD35" i="3"/>
  <c r="X6" i="10"/>
  <c r="X2" i="9"/>
  <c r="AD28" i="3"/>
  <c r="X6" i="9"/>
  <c r="X2" i="10"/>
  <c r="AD25" i="3"/>
  <c r="X3" i="9"/>
  <c r="X2" i="8"/>
  <c r="X2" i="17"/>
  <c r="AD32" i="3"/>
  <c r="X3" i="10"/>
  <c r="AD21" i="3"/>
  <c r="X6" i="8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/>
  <c r="AD13" i="3"/>
  <c r="X5" i="2"/>
  <c r="X6" i="2"/>
  <c r="AD11" i="3"/>
  <c r="X3" i="2"/>
  <c r="AE36" i="3"/>
  <c r="Y7" i="10"/>
  <c r="AE37" i="3"/>
  <c r="Y8" i="10"/>
  <c r="AE43" i="3"/>
  <c r="Y7" i="11"/>
  <c r="AE51" i="3"/>
  <c r="Y8" i="12"/>
  <c r="AE57" i="3"/>
  <c r="Y7" i="13"/>
  <c r="AE44" i="3"/>
  <c r="Y8" i="11"/>
  <c r="AE50" i="3"/>
  <c r="Y7" i="12"/>
  <c r="AE58" i="3"/>
  <c r="Y8" i="13"/>
  <c r="AE72" i="3"/>
  <c r="Y8" i="15"/>
  <c r="AE78" i="3"/>
  <c r="Y7" i="16"/>
  <c r="AE65" i="3"/>
  <c r="Y8" i="14"/>
  <c r="AE71" i="3"/>
  <c r="Y7" i="15"/>
  <c r="AE79" i="3"/>
  <c r="Y8" i="16"/>
  <c r="AE64" i="3"/>
  <c r="Y7" i="14"/>
  <c r="AE85" i="3"/>
  <c r="Y7" i="17"/>
  <c r="AE93" i="3"/>
  <c r="AE86" i="3"/>
  <c r="Y8" i="17"/>
  <c r="AE92" i="3"/>
  <c r="AE29" i="3"/>
  <c r="Y7" i="9"/>
  <c r="AE22" i="3"/>
  <c r="Y7" i="8"/>
  <c r="AE30" i="3"/>
  <c r="Y8" i="9"/>
  <c r="AE15" i="3"/>
  <c r="Y7" i="2"/>
  <c r="AE18" i="3"/>
  <c r="Y3" i="8"/>
  <c r="AE23" i="3"/>
  <c r="Y8" i="8"/>
  <c r="AE16" i="3"/>
  <c r="Y8" i="2"/>
  <c r="AE53" i="3"/>
  <c r="Y3" i="13"/>
  <c r="AE91" i="3"/>
  <c r="AE89" i="3"/>
  <c r="AE42" i="3"/>
  <c r="Y6" i="11"/>
  <c r="AE52" i="3"/>
  <c r="Y2" i="13"/>
  <c r="AE90" i="3"/>
  <c r="AE88" i="3"/>
  <c r="AE87" i="3"/>
  <c r="AE46" i="3"/>
  <c r="Y3" i="12"/>
  <c r="AE62" i="3"/>
  <c r="Y5" i="14"/>
  <c r="AE41" i="3"/>
  <c r="Y5" i="11"/>
  <c r="AE75" i="3"/>
  <c r="Y4" i="16"/>
  <c r="AE70" i="3"/>
  <c r="Y6" i="15"/>
  <c r="AE66" i="3"/>
  <c r="Y2" i="15"/>
  <c r="AE76" i="3"/>
  <c r="Y5" i="16"/>
  <c r="AE82" i="3"/>
  <c r="Y4" i="17"/>
  <c r="AE61" i="3"/>
  <c r="Y4" i="14"/>
  <c r="AE47" i="3"/>
  <c r="Y4" i="12"/>
  <c r="AE74" i="3"/>
  <c r="Y3" i="16"/>
  <c r="AE69" i="3"/>
  <c r="Y5" i="15"/>
  <c r="AE55" i="3"/>
  <c r="Y5" i="13"/>
  <c r="AE77" i="3"/>
  <c r="Y6" i="16"/>
  <c r="AE73" i="3"/>
  <c r="Y2" i="16"/>
  <c r="AE59" i="3"/>
  <c r="Y2" i="14"/>
  <c r="AE54" i="3"/>
  <c r="Y4" i="13"/>
  <c r="AE45" i="3"/>
  <c r="Y2" i="12"/>
  <c r="AE27" i="3"/>
  <c r="Y5" i="9"/>
  <c r="AE68" i="3"/>
  <c r="Y4" i="15"/>
  <c r="AE56" i="3"/>
  <c r="Y6" i="13"/>
  <c r="AE38" i="3"/>
  <c r="Y2" i="11"/>
  <c r="AE67" i="3"/>
  <c r="Y3" i="15"/>
  <c r="AE60" i="3"/>
  <c r="Y3" i="14"/>
  <c r="AE48" i="3"/>
  <c r="Y5" i="12"/>
  <c r="AE39" i="3"/>
  <c r="Y3" i="11"/>
  <c r="AE63" i="3"/>
  <c r="Y6" i="14"/>
  <c r="AE34" i="3"/>
  <c r="Y5" i="10"/>
  <c r="AE49" i="3"/>
  <c r="Y6" i="12"/>
  <c r="AE40" i="3"/>
  <c r="Y4" i="11"/>
  <c r="AE19" i="3"/>
  <c r="Y4" i="8"/>
  <c r="AE20" i="3"/>
  <c r="Y5" i="8"/>
  <c r="AE84" i="3"/>
  <c r="Y6" i="17"/>
  <c r="AE33" i="3"/>
  <c r="Y4" i="10"/>
  <c r="AE26" i="3"/>
  <c r="Y4" i="9"/>
  <c r="AE83" i="3"/>
  <c r="Y5" i="17"/>
  <c r="AE81" i="3"/>
  <c r="Y3" i="17"/>
  <c r="AE35" i="3"/>
  <c r="Y6" i="10"/>
  <c r="AE25" i="3"/>
  <c r="Y3" i="9"/>
  <c r="Y2" i="17"/>
  <c r="Y2" i="10"/>
  <c r="Y2" i="9"/>
  <c r="AE32" i="3"/>
  <c r="Y3" i="10"/>
  <c r="AE28" i="3"/>
  <c r="Y6" i="9"/>
  <c r="AE21" i="3"/>
  <c r="Y6" i="8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/>
  <c r="AE13" i="3"/>
  <c r="Y5" i="2"/>
  <c r="Y6" i="2"/>
  <c r="AE11" i="3"/>
  <c r="Y3" i="2"/>
  <c r="AF36" i="3"/>
  <c r="Z7" i="10"/>
  <c r="AF37" i="3"/>
  <c r="Z8" i="10"/>
  <c r="AF58" i="3"/>
  <c r="Z8" i="13"/>
  <c r="AF43" i="3"/>
  <c r="Z7" i="11"/>
  <c r="AF51" i="3"/>
  <c r="Z8" i="12"/>
  <c r="AF57" i="3"/>
  <c r="Z7" i="13"/>
  <c r="AF44" i="3"/>
  <c r="Z8" i="11"/>
  <c r="AF50" i="3"/>
  <c r="Z7" i="12"/>
  <c r="AF64" i="3"/>
  <c r="Z7" i="14"/>
  <c r="AF72" i="3"/>
  <c r="Z8" i="15"/>
  <c r="AF78" i="3"/>
  <c r="Z7" i="16"/>
  <c r="AF65" i="3"/>
  <c r="Z8" i="14"/>
  <c r="AF71" i="3"/>
  <c r="Z7" i="15"/>
  <c r="AF79" i="3"/>
  <c r="Z8" i="16"/>
  <c r="AF92" i="3"/>
  <c r="AF93" i="3"/>
  <c r="AF85" i="3"/>
  <c r="Z7" i="17"/>
  <c r="AF22" i="3"/>
  <c r="Z7" i="8"/>
  <c r="AF29" i="3"/>
  <c r="Z7" i="9"/>
  <c r="AF30" i="3"/>
  <c r="Z8" i="9"/>
  <c r="AF86" i="3"/>
  <c r="Z8" i="17"/>
  <c r="AF15" i="3"/>
  <c r="Z7" i="2"/>
  <c r="AF18" i="3"/>
  <c r="Z3" i="8"/>
  <c r="AF23" i="3"/>
  <c r="Z8" i="8"/>
  <c r="AF16" i="3"/>
  <c r="Z8" i="2"/>
  <c r="AF53" i="3"/>
  <c r="AF42" i="3"/>
  <c r="AF91" i="3"/>
  <c r="AF89" i="3"/>
  <c r="AF90" i="3"/>
  <c r="AF88" i="3"/>
  <c r="AF87" i="3"/>
  <c r="AF75" i="3"/>
  <c r="Z4" i="16"/>
  <c r="AF52" i="3"/>
  <c r="Z2" i="13"/>
  <c r="AF62" i="3"/>
  <c r="Z5" i="14"/>
  <c r="AF41" i="3"/>
  <c r="Z5" i="11"/>
  <c r="AF70" i="3"/>
  <c r="Z6" i="15"/>
  <c r="AF46" i="3"/>
  <c r="Z3" i="12"/>
  <c r="AF66" i="3"/>
  <c r="Z2" i="15"/>
  <c r="AF76" i="3"/>
  <c r="Z5" i="16"/>
  <c r="AF82" i="3"/>
  <c r="Z4" i="17"/>
  <c r="AF61" i="3"/>
  <c r="Z4" i="14"/>
  <c r="AF56" i="3"/>
  <c r="Z6" i="13"/>
  <c r="AF47" i="3"/>
  <c r="Z4" i="12"/>
  <c r="AF40" i="3"/>
  <c r="Z4" i="11"/>
  <c r="AF74" i="3"/>
  <c r="Z3" i="16"/>
  <c r="AF69" i="3"/>
  <c r="Z5" i="15"/>
  <c r="AF73" i="3"/>
  <c r="Z2" i="16"/>
  <c r="AF59" i="3"/>
  <c r="Z2" i="14"/>
  <c r="AF34" i="3"/>
  <c r="Z5" i="10"/>
  <c r="AF49" i="3"/>
  <c r="Z6" i="12"/>
  <c r="AF27" i="3"/>
  <c r="Z5" i="9"/>
  <c r="AF48" i="3"/>
  <c r="Z5" i="12"/>
  <c r="AF68" i="3"/>
  <c r="Z4" i="15"/>
  <c r="AF54" i="3"/>
  <c r="Z4" i="13"/>
  <c r="AF38" i="3"/>
  <c r="Z2" i="11"/>
  <c r="AF67" i="3"/>
  <c r="Z3" i="15"/>
  <c r="AF45" i="3"/>
  <c r="Z2" i="12"/>
  <c r="AF60" i="3"/>
  <c r="Z3" i="14"/>
  <c r="AF55" i="3"/>
  <c r="Z5" i="13"/>
  <c r="AF39" i="3"/>
  <c r="Z3" i="11"/>
  <c r="AF63" i="3"/>
  <c r="Z6" i="14"/>
  <c r="AF19" i="3"/>
  <c r="Z4" i="8"/>
  <c r="AF77" i="3"/>
  <c r="Z6" i="16"/>
  <c r="AF20" i="3"/>
  <c r="Z5" i="8"/>
  <c r="AF33" i="3"/>
  <c r="Z4" i="10"/>
  <c r="AF26" i="3"/>
  <c r="Z4" i="9"/>
  <c r="AF83" i="3"/>
  <c r="Z5" i="17"/>
  <c r="AF84" i="3"/>
  <c r="Z6" i="17"/>
  <c r="AF81" i="3"/>
  <c r="Z3" i="17"/>
  <c r="AF35" i="3"/>
  <c r="Z6" i="10"/>
  <c r="AF32" i="3"/>
  <c r="Z3" i="10"/>
  <c r="Z2" i="17"/>
  <c r="Z2" i="10"/>
  <c r="Z2" i="8"/>
  <c r="Z2" i="9"/>
  <c r="AF28" i="3"/>
  <c r="Z6" i="9"/>
  <c r="AF21" i="3"/>
  <c r="Z6" i="8"/>
  <c r="AF25" i="3"/>
  <c r="Z3" i="9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/>
  <c r="Z3" i="13"/>
  <c r="Z6" i="11"/>
  <c r="AF13" i="3"/>
  <c r="Z5" i="2"/>
  <c r="Z6" i="2"/>
  <c r="AF11" i="3"/>
  <c r="Z3" i="2"/>
  <c r="AG36" i="3"/>
  <c r="AA7" i="10"/>
  <c r="AG37" i="3"/>
  <c r="AA8" i="10"/>
  <c r="AG44" i="3"/>
  <c r="AA8" i="11"/>
  <c r="AG50" i="3"/>
  <c r="AA7" i="12"/>
  <c r="AG58" i="3"/>
  <c r="AA8" i="13"/>
  <c r="AG64" i="3"/>
  <c r="AA7" i="14"/>
  <c r="AG43" i="3"/>
  <c r="AA7" i="11"/>
  <c r="AG51" i="3"/>
  <c r="AA8" i="12"/>
  <c r="AG57" i="3"/>
  <c r="AA7" i="13"/>
  <c r="AG65" i="3"/>
  <c r="AA8" i="14"/>
  <c r="AG71" i="3"/>
  <c r="AA7" i="15"/>
  <c r="AG79" i="3"/>
  <c r="AA8" i="16"/>
  <c r="AG85" i="3"/>
  <c r="AA7" i="17"/>
  <c r="AG72" i="3"/>
  <c r="AA8" i="15"/>
  <c r="AG78" i="3"/>
  <c r="AA7" i="16"/>
  <c r="AG92" i="3"/>
  <c r="AG93" i="3"/>
  <c r="AG22" i="3"/>
  <c r="AA7" i="8"/>
  <c r="AG30" i="3"/>
  <c r="AA8" i="9"/>
  <c r="AG86" i="3"/>
  <c r="AA8" i="17"/>
  <c r="AG29" i="3"/>
  <c r="AA7" i="9"/>
  <c r="AG15" i="3"/>
  <c r="AA7" i="2"/>
  <c r="AG18" i="3"/>
  <c r="AA3" i="8"/>
  <c r="AG23" i="3"/>
  <c r="AA8" i="8"/>
  <c r="AG16" i="3"/>
  <c r="AA8" i="2"/>
  <c r="AG53" i="3"/>
  <c r="AG91" i="3"/>
  <c r="AG89" i="3"/>
  <c r="AG88" i="3"/>
  <c r="AG90" i="3"/>
  <c r="AG87" i="3"/>
  <c r="AG42" i="3"/>
  <c r="AA6" i="11"/>
  <c r="AG52" i="3"/>
  <c r="AA2" i="13"/>
  <c r="AG61" i="3"/>
  <c r="AA4" i="14"/>
  <c r="AG62" i="3"/>
  <c r="AA5" i="14"/>
  <c r="AG46" i="3"/>
  <c r="AA3" i="12"/>
  <c r="AG76" i="3"/>
  <c r="AA5" i="16"/>
  <c r="AG41" i="3"/>
  <c r="AA5" i="11"/>
  <c r="AG82" i="3"/>
  <c r="AA4" i="17"/>
  <c r="AG75" i="3"/>
  <c r="AA4" i="16"/>
  <c r="AG70" i="3"/>
  <c r="AA6" i="15"/>
  <c r="AG66" i="3"/>
  <c r="AA2" i="15"/>
  <c r="AG56" i="3"/>
  <c r="AA6" i="13"/>
  <c r="AG47" i="3"/>
  <c r="AA4" i="12"/>
  <c r="AG69" i="3"/>
  <c r="AA5" i="15"/>
  <c r="AG19" i="3"/>
  <c r="AA4" i="8"/>
  <c r="AG59" i="3"/>
  <c r="AA2" i="14"/>
  <c r="AG38" i="3"/>
  <c r="AA2" i="11"/>
  <c r="AG49" i="3"/>
  <c r="AA6" i="12"/>
  <c r="AG45" i="3"/>
  <c r="AA2" i="12"/>
  <c r="AG40" i="3"/>
  <c r="AA4" i="11"/>
  <c r="AG27" i="3"/>
  <c r="AA5" i="9"/>
  <c r="AG77" i="3"/>
  <c r="AA6" i="16"/>
  <c r="AG67" i="3"/>
  <c r="AA3" i="15"/>
  <c r="AG60" i="3"/>
  <c r="AA3" i="14"/>
  <c r="AG48" i="3"/>
  <c r="AA5" i="12"/>
  <c r="AG73" i="3"/>
  <c r="AA2" i="16"/>
  <c r="AG68" i="3"/>
  <c r="AA4" i="15"/>
  <c r="AG34" i="3"/>
  <c r="AA5" i="10"/>
  <c r="AG74" i="3"/>
  <c r="AA3" i="16"/>
  <c r="AG55" i="3"/>
  <c r="AA5" i="13"/>
  <c r="AG39" i="3"/>
  <c r="AA3" i="11"/>
  <c r="AG63" i="3"/>
  <c r="AA6" i="14"/>
  <c r="AG54" i="3"/>
  <c r="AA4" i="13"/>
  <c r="AG20" i="3"/>
  <c r="AA5" i="8"/>
  <c r="AG84" i="3"/>
  <c r="AA6" i="17"/>
  <c r="AG81" i="3"/>
  <c r="AA3" i="17"/>
  <c r="AG26" i="3"/>
  <c r="AA4" i="9"/>
  <c r="AG33" i="3"/>
  <c r="AA4" i="10"/>
  <c r="AG83" i="3"/>
  <c r="AA5" i="17"/>
  <c r="AG25" i="3"/>
  <c r="AA3" i="9"/>
  <c r="AG35" i="3"/>
  <c r="AA6" i="10"/>
  <c r="AG28" i="3"/>
  <c r="AA6" i="9"/>
  <c r="AA2" i="10"/>
  <c r="AG32" i="3"/>
  <c r="AA3" i="10"/>
  <c r="AA2" i="17"/>
  <c r="AA2" i="9"/>
  <c r="AG21" i="3"/>
  <c r="AA6" i="8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/>
  <c r="AA3" i="13"/>
  <c r="AG13" i="3"/>
  <c r="AA5" i="2"/>
  <c r="AG11" i="3"/>
  <c r="AA3" i="2"/>
  <c r="AA6" i="2"/>
  <c r="AH36" i="3"/>
  <c r="AB7" i="10"/>
  <c r="AH37" i="3"/>
  <c r="AB8" i="10"/>
  <c r="AH57" i="3"/>
  <c r="AB7" i="13"/>
  <c r="AH44" i="3"/>
  <c r="AB8" i="11"/>
  <c r="AH50" i="3"/>
  <c r="AB7" i="12"/>
  <c r="AH58" i="3"/>
  <c r="AB8" i="13"/>
  <c r="AH43" i="3"/>
  <c r="AB7" i="11"/>
  <c r="AH51" i="3"/>
  <c r="AB8" i="12"/>
  <c r="AH64" i="3"/>
  <c r="AB7" i="14"/>
  <c r="AH65" i="3"/>
  <c r="AB8" i="14"/>
  <c r="AH71" i="3"/>
  <c r="AB7" i="15"/>
  <c r="AH79" i="3"/>
  <c r="AB8" i="16"/>
  <c r="AH85" i="3"/>
  <c r="AB7" i="17"/>
  <c r="AH72" i="3"/>
  <c r="AB8" i="15"/>
  <c r="AH78" i="3"/>
  <c r="AB7" i="16"/>
  <c r="AH93" i="3"/>
  <c r="AH92" i="3"/>
  <c r="AH22" i="3"/>
  <c r="AB7" i="8"/>
  <c r="AH86" i="3"/>
  <c r="AB8" i="17"/>
  <c r="AH29" i="3"/>
  <c r="AB7" i="9"/>
  <c r="AH30" i="3"/>
  <c r="AB8" i="9"/>
  <c r="AH15" i="3"/>
  <c r="AB7" i="2"/>
  <c r="AH18" i="3"/>
  <c r="AB3" i="8"/>
  <c r="AH23" i="3"/>
  <c r="AB8" i="8"/>
  <c r="AH90" i="3"/>
  <c r="AH88" i="3"/>
  <c r="AH87" i="3"/>
  <c r="AH42" i="3"/>
  <c r="AB6" i="11"/>
  <c r="AH91" i="3"/>
  <c r="AH53" i="3"/>
  <c r="AB3" i="13"/>
  <c r="AH89" i="3"/>
  <c r="AH16" i="3"/>
  <c r="AB8" i="2"/>
  <c r="AH76" i="3"/>
  <c r="AB5" i="16"/>
  <c r="AH41" i="3"/>
  <c r="AB5" i="11"/>
  <c r="AH70" i="3"/>
  <c r="AB6" i="15"/>
  <c r="AH46" i="3"/>
  <c r="AB3" i="12"/>
  <c r="AH61" i="3"/>
  <c r="AB4" i="14"/>
  <c r="AH62" i="3"/>
  <c r="AB5" i="14"/>
  <c r="AH82" i="3"/>
  <c r="AB4" i="17"/>
  <c r="AH52" i="3"/>
  <c r="AB2" i="13"/>
  <c r="AH75" i="3"/>
  <c r="AB4" i="16"/>
  <c r="AH66" i="3"/>
  <c r="AB2" i="15"/>
  <c r="AH34" i="3"/>
  <c r="AB5" i="10"/>
  <c r="AH49" i="3"/>
  <c r="AB6" i="12"/>
  <c r="AH74" i="3"/>
  <c r="AB3" i="16"/>
  <c r="AH48" i="3"/>
  <c r="AB5" i="12"/>
  <c r="AH39" i="3"/>
  <c r="AB3" i="11"/>
  <c r="AH63" i="3"/>
  <c r="AB6" i="14"/>
  <c r="AH40" i="3"/>
  <c r="AB4" i="11"/>
  <c r="AH69" i="3"/>
  <c r="AB5" i="15"/>
  <c r="AH55" i="3"/>
  <c r="AB5" i="13"/>
  <c r="AH59" i="3"/>
  <c r="AB2" i="14"/>
  <c r="AH54" i="3"/>
  <c r="AB4" i="13"/>
  <c r="AH47" i="3"/>
  <c r="AB4" i="12"/>
  <c r="AH38" i="3"/>
  <c r="AB2" i="11"/>
  <c r="AH27" i="3"/>
  <c r="AB5" i="9"/>
  <c r="AH19" i="3"/>
  <c r="AB4" i="8"/>
  <c r="AH73" i="3"/>
  <c r="AB2" i="16"/>
  <c r="AH68" i="3"/>
  <c r="AB4" i="15"/>
  <c r="AH56" i="3"/>
  <c r="AB6" i="13"/>
  <c r="AH67" i="3"/>
  <c r="AB3" i="15"/>
  <c r="AH45" i="3"/>
  <c r="AB2" i="12"/>
  <c r="AH60" i="3"/>
  <c r="AB3" i="14"/>
  <c r="AH77" i="3"/>
  <c r="AB6" i="16"/>
  <c r="AH20" i="3"/>
  <c r="AB5" i="8"/>
  <c r="AH81" i="3"/>
  <c r="AB3" i="17"/>
  <c r="AH84" i="3"/>
  <c r="AB6" i="17"/>
  <c r="AH26" i="3"/>
  <c r="AB4" i="9"/>
  <c r="AH83" i="3"/>
  <c r="AB5" i="17"/>
  <c r="AH33" i="3"/>
  <c r="AB4" i="10"/>
  <c r="AH35" i="3"/>
  <c r="AB6" i="10"/>
  <c r="AB2" i="17"/>
  <c r="AH28" i="3"/>
  <c r="AB6" i="9"/>
  <c r="AB2" i="9"/>
  <c r="AH32" i="3"/>
  <c r="AB3" i="10"/>
  <c r="AH21" i="3"/>
  <c r="AB6" i="8"/>
  <c r="AB2" i="10"/>
  <c r="AH25" i="3"/>
  <c r="AB3" i="9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/>
  <c r="AH13" i="3"/>
  <c r="AB5" i="2"/>
  <c r="AB6" i="2"/>
  <c r="AH11" i="3"/>
  <c r="AB3" i="2"/>
  <c r="AI36" i="3"/>
  <c r="AC7" i="10"/>
  <c r="AI37" i="3"/>
  <c r="AC8" i="10"/>
  <c r="AI43" i="3"/>
  <c r="AC7" i="11"/>
  <c r="AI51" i="3"/>
  <c r="AC8" i="12"/>
  <c r="AI57" i="3"/>
  <c r="AC7" i="13"/>
  <c r="AI44" i="3"/>
  <c r="AC8" i="11"/>
  <c r="AI50" i="3"/>
  <c r="AC7" i="12"/>
  <c r="AI58" i="3"/>
  <c r="AC8" i="13"/>
  <c r="AI72" i="3"/>
  <c r="AC8" i="15"/>
  <c r="AI78" i="3"/>
  <c r="AC7" i="16"/>
  <c r="AI86" i="3"/>
  <c r="AC8" i="17"/>
  <c r="AI64" i="3"/>
  <c r="AC7" i="14"/>
  <c r="AI65" i="3"/>
  <c r="AC8" i="14"/>
  <c r="AI71" i="3"/>
  <c r="AC7" i="15"/>
  <c r="AI79" i="3"/>
  <c r="AC8" i="16"/>
  <c r="AI85" i="3"/>
  <c r="AC7" i="17"/>
  <c r="AI93" i="3"/>
  <c r="AI92" i="3"/>
  <c r="AI30" i="3"/>
  <c r="AC8" i="9"/>
  <c r="AI29" i="3"/>
  <c r="AC7" i="9"/>
  <c r="AI22" i="3"/>
  <c r="AC7" i="8"/>
  <c r="AI15" i="3"/>
  <c r="AC7" i="2"/>
  <c r="AI18" i="3"/>
  <c r="AC3" i="8"/>
  <c r="AI16" i="3"/>
  <c r="AC8" i="2"/>
  <c r="AI23" i="3"/>
  <c r="AC8" i="8"/>
  <c r="AI90" i="3"/>
  <c r="AI53" i="3"/>
  <c r="AC3" i="13"/>
  <c r="AI88" i="3"/>
  <c r="AI87" i="3"/>
  <c r="AI91" i="3"/>
  <c r="AI89" i="3"/>
  <c r="AI42" i="3"/>
  <c r="AC6" i="11"/>
  <c r="AI76" i="3"/>
  <c r="AC5" i="16"/>
  <c r="AI61" i="3"/>
  <c r="AC4" i="14"/>
  <c r="AI46" i="3"/>
  <c r="AC3" i="12"/>
  <c r="AI82" i="3"/>
  <c r="AC4" i="17"/>
  <c r="AI62" i="3"/>
  <c r="AC5" i="14"/>
  <c r="AI41" i="3"/>
  <c r="AC5" i="11"/>
  <c r="AI75" i="3"/>
  <c r="AC4" i="16"/>
  <c r="AI70" i="3"/>
  <c r="AC6" i="15"/>
  <c r="AI52" i="3"/>
  <c r="AC2" i="13"/>
  <c r="AI66" i="3"/>
  <c r="AC2" i="15"/>
  <c r="AI34" i="3"/>
  <c r="AC5" i="10"/>
  <c r="AI49" i="3"/>
  <c r="AC6" i="12"/>
  <c r="AI40" i="3"/>
  <c r="AC4" i="11"/>
  <c r="AI47" i="3"/>
  <c r="AC4" i="12"/>
  <c r="AI74" i="3"/>
  <c r="AC3" i="16"/>
  <c r="AI69" i="3"/>
  <c r="AC5" i="15"/>
  <c r="AI55" i="3"/>
  <c r="AC5" i="13"/>
  <c r="AI19" i="3"/>
  <c r="AC4" i="8"/>
  <c r="AI77" i="3"/>
  <c r="AC6" i="16"/>
  <c r="AI73" i="3"/>
  <c r="AC2" i="16"/>
  <c r="AI59" i="3"/>
  <c r="AC2" i="14"/>
  <c r="AI54" i="3"/>
  <c r="AC4" i="13"/>
  <c r="AI45" i="3"/>
  <c r="AC2" i="12"/>
  <c r="AI27" i="3"/>
  <c r="AC5" i="9"/>
  <c r="AI68" i="3"/>
  <c r="AC4" i="15"/>
  <c r="AI56" i="3"/>
  <c r="AC6" i="13"/>
  <c r="AI38" i="3"/>
  <c r="AC2" i="11"/>
  <c r="AI67" i="3"/>
  <c r="AC3" i="15"/>
  <c r="AI60" i="3"/>
  <c r="AC3" i="14"/>
  <c r="AI48" i="3"/>
  <c r="AC5" i="12"/>
  <c r="AI39" i="3"/>
  <c r="AC3" i="11"/>
  <c r="AI63" i="3"/>
  <c r="AC6" i="14"/>
  <c r="AI20" i="3"/>
  <c r="AC5" i="8"/>
  <c r="AI81" i="3"/>
  <c r="AC3" i="17"/>
  <c r="AI84" i="3"/>
  <c r="AC6" i="17"/>
  <c r="AI33" i="3"/>
  <c r="AC4" i="10"/>
  <c r="AI26" i="3"/>
  <c r="AC4" i="9"/>
  <c r="AI83" i="3"/>
  <c r="AC5" i="17"/>
  <c r="AI35" i="3"/>
  <c r="AC6" i="10"/>
  <c r="AC2" i="10"/>
  <c r="AI32" i="3"/>
  <c r="AC3" i="10"/>
  <c r="AI28" i="3"/>
  <c r="AC6" i="9"/>
  <c r="AC2" i="9"/>
  <c r="AI21" i="3"/>
  <c r="AC6" i="8"/>
  <c r="AI25" i="3"/>
  <c r="AC3" i="9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/>
  <c r="AI13" i="3"/>
  <c r="AC5" i="2"/>
  <c r="AI11" i="3"/>
  <c r="AC3" i="2"/>
  <c r="AC6" i="2"/>
  <c r="AJ36" i="3"/>
  <c r="AD7" i="10"/>
  <c r="AJ37" i="3"/>
  <c r="AD8" i="10"/>
  <c r="AJ58" i="3"/>
  <c r="AD8" i="13"/>
  <c r="AJ43" i="3"/>
  <c r="AD7" i="11"/>
  <c r="AJ51" i="3"/>
  <c r="AD8" i="12"/>
  <c r="AJ57" i="3"/>
  <c r="AD7" i="13"/>
  <c r="AJ44" i="3"/>
  <c r="AD8" i="11"/>
  <c r="AJ50" i="3"/>
  <c r="AD7" i="12"/>
  <c r="AJ72" i="3"/>
  <c r="AD8" i="15"/>
  <c r="AJ78" i="3"/>
  <c r="AD7" i="16"/>
  <c r="AJ64" i="3"/>
  <c r="AD7" i="14"/>
  <c r="AJ65" i="3"/>
  <c r="AD8" i="14"/>
  <c r="AJ71" i="3"/>
  <c r="AD7" i="15"/>
  <c r="AJ79" i="3"/>
  <c r="AD8" i="16"/>
  <c r="AJ85" i="3"/>
  <c r="AD7" i="17"/>
  <c r="AJ92" i="3"/>
  <c r="AJ93" i="3"/>
  <c r="AJ22" i="3"/>
  <c r="AD7" i="8"/>
  <c r="AJ30" i="3"/>
  <c r="AD8" i="9"/>
  <c r="AJ86" i="3"/>
  <c r="AD8" i="17"/>
  <c r="AJ29" i="3"/>
  <c r="AD7" i="9"/>
  <c r="AJ15" i="3"/>
  <c r="AD7" i="2"/>
  <c r="AJ18" i="3"/>
  <c r="AD3" i="8"/>
  <c r="AJ23" i="3"/>
  <c r="AD8" i="8"/>
  <c r="AJ16" i="3"/>
  <c r="AD8" i="2"/>
  <c r="AJ87" i="3"/>
  <c r="AJ53" i="3"/>
  <c r="AD3" i="13"/>
  <c r="AJ91" i="3"/>
  <c r="AJ89" i="3"/>
  <c r="AJ90" i="3"/>
  <c r="AJ88" i="3"/>
  <c r="AJ42" i="3"/>
  <c r="AD6" i="11"/>
  <c r="AJ76" i="3"/>
  <c r="AD5" i="16"/>
  <c r="AJ82" i="3"/>
  <c r="AD4" i="17"/>
  <c r="AJ61" i="3"/>
  <c r="AD4" i="14"/>
  <c r="AJ52" i="3"/>
  <c r="AD2" i="13"/>
  <c r="AJ75" i="3"/>
  <c r="AD4" i="16"/>
  <c r="AJ62" i="3"/>
  <c r="AD5" i="14"/>
  <c r="AJ41" i="3"/>
  <c r="AD5" i="11"/>
  <c r="AJ70" i="3"/>
  <c r="AD6" i="15"/>
  <c r="AJ46" i="3"/>
  <c r="AD3" i="12"/>
  <c r="AJ66" i="3"/>
  <c r="AD2" i="15"/>
  <c r="AJ67" i="3"/>
  <c r="AD3" i="15"/>
  <c r="AJ45" i="3"/>
  <c r="AD2" i="12"/>
  <c r="AJ19" i="3"/>
  <c r="AD4" i="8"/>
  <c r="AJ77" i="3"/>
  <c r="AD6" i="16"/>
  <c r="AJ56" i="3"/>
  <c r="AD6" i="13"/>
  <c r="AJ38" i="3"/>
  <c r="AD2" i="11"/>
  <c r="AJ74" i="3"/>
  <c r="AD3" i="16"/>
  <c r="AJ73" i="3"/>
  <c r="AD2" i="16"/>
  <c r="AJ59" i="3"/>
  <c r="AD2" i="14"/>
  <c r="AJ47" i="3"/>
  <c r="AD4" i="12"/>
  <c r="AJ49" i="3"/>
  <c r="AD6" i="12"/>
  <c r="AJ40" i="3"/>
  <c r="AD4" i="11"/>
  <c r="AJ69" i="3"/>
  <c r="AD5" i="15"/>
  <c r="AJ68" i="3"/>
  <c r="AD4" i="15"/>
  <c r="AJ34" i="3"/>
  <c r="AD5" i="10"/>
  <c r="AJ60" i="3"/>
  <c r="AD3" i="14"/>
  <c r="AJ55" i="3"/>
  <c r="AD5" i="13"/>
  <c r="AJ27" i="3"/>
  <c r="AD5" i="9"/>
  <c r="AJ48" i="3"/>
  <c r="AD5" i="12"/>
  <c r="AJ39" i="3"/>
  <c r="AD3" i="11"/>
  <c r="AJ63" i="3"/>
  <c r="AD6" i="14"/>
  <c r="AJ54" i="3"/>
  <c r="AD4" i="13"/>
  <c r="AJ20" i="3"/>
  <c r="AD5" i="8"/>
  <c r="AJ84" i="3"/>
  <c r="AD6" i="17"/>
  <c r="AJ81" i="3"/>
  <c r="AD3" i="17"/>
  <c r="AJ33" i="3"/>
  <c r="AD4" i="10"/>
  <c r="AJ26" i="3"/>
  <c r="AD4" i="9"/>
  <c r="AJ83" i="3"/>
  <c r="AD5" i="17"/>
  <c r="AJ35" i="3"/>
  <c r="AD6" i="10"/>
  <c r="AJ28" i="3"/>
  <c r="AD6" i="9"/>
  <c r="AD2" i="10"/>
  <c r="AJ32" i="3"/>
  <c r="AD3" i="10"/>
  <c r="AD2" i="17"/>
  <c r="AD2" i="9"/>
  <c r="AJ25" i="3"/>
  <c r="AD3" i="9"/>
  <c r="AD2" i="8"/>
  <c r="AJ21" i="3"/>
  <c r="AD6" i="8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/>
  <c r="AJ13" i="3"/>
  <c r="AD5" i="2"/>
  <c r="AD6" i="2"/>
  <c r="AJ11" i="3"/>
  <c r="AD3" i="2"/>
  <c r="AK36" i="3"/>
  <c r="AE7" i="10"/>
  <c r="AK37" i="3"/>
  <c r="AE8" i="10"/>
  <c r="AK44" i="3"/>
  <c r="AE8" i="11"/>
  <c r="AK50" i="3"/>
  <c r="AE7" i="12"/>
  <c r="AK58" i="3"/>
  <c r="AE8" i="13"/>
  <c r="AK64" i="3"/>
  <c r="AE7" i="14"/>
  <c r="AK29" i="3"/>
  <c r="AE7" i="9"/>
  <c r="AK43" i="3"/>
  <c r="AE7" i="11"/>
  <c r="AK51" i="3"/>
  <c r="AE8" i="12"/>
  <c r="AK57" i="3"/>
  <c r="AE7" i="13"/>
  <c r="AK65" i="3"/>
  <c r="AE8" i="14"/>
  <c r="AK71" i="3"/>
  <c r="AE7" i="15"/>
  <c r="AK79" i="3"/>
  <c r="AE8" i="16"/>
  <c r="AK85" i="3"/>
  <c r="AE7" i="17"/>
  <c r="AK72" i="3"/>
  <c r="AE8" i="15"/>
  <c r="AK78" i="3"/>
  <c r="AE7" i="16"/>
  <c r="AK92" i="3"/>
  <c r="AK93" i="3"/>
  <c r="AK30" i="3"/>
  <c r="AE8" i="9"/>
  <c r="AK22" i="3"/>
  <c r="AE7" i="8"/>
  <c r="AK86" i="3"/>
  <c r="AE8" i="17"/>
  <c r="AK15" i="3"/>
  <c r="AE7" i="2"/>
  <c r="AK18" i="3"/>
  <c r="AE3" i="8"/>
  <c r="AK16" i="3"/>
  <c r="AE8" i="2"/>
  <c r="AK23" i="3"/>
  <c r="AE8" i="8"/>
  <c r="AK90" i="3"/>
  <c r="AK88" i="3"/>
  <c r="AK42" i="3"/>
  <c r="AE6" i="11"/>
  <c r="AK53" i="3"/>
  <c r="AE3" i="13"/>
  <c r="AK91" i="3"/>
  <c r="AK89" i="3"/>
  <c r="AK87" i="3"/>
  <c r="AK82" i="3"/>
  <c r="AE4" i="17"/>
  <c r="AK75" i="3"/>
  <c r="AE4" i="16"/>
  <c r="AK70" i="3"/>
  <c r="AE6" i="15"/>
  <c r="AK66" i="3"/>
  <c r="AE2" i="15"/>
  <c r="AK52" i="3"/>
  <c r="AE2" i="13"/>
  <c r="AK76" i="3"/>
  <c r="AE5" i="16"/>
  <c r="AK61" i="3"/>
  <c r="AE4" i="14"/>
  <c r="AK62" i="3"/>
  <c r="AE5" i="14"/>
  <c r="AK46" i="3"/>
  <c r="AE3" i="12"/>
  <c r="AK41" i="3"/>
  <c r="AE5" i="11"/>
  <c r="AK34" i="3"/>
  <c r="AE5" i="10"/>
  <c r="AK74" i="3"/>
  <c r="AE3" i="16"/>
  <c r="AK55" i="3"/>
  <c r="AE5" i="13"/>
  <c r="AK39" i="3"/>
  <c r="AE3" i="11"/>
  <c r="AK63" i="3"/>
  <c r="AE6" i="14"/>
  <c r="AK56" i="3"/>
  <c r="AE6" i="13"/>
  <c r="AK47" i="3"/>
  <c r="AE4" i="12"/>
  <c r="AK69" i="3"/>
  <c r="AE5" i="15"/>
  <c r="AK59" i="3"/>
  <c r="AE2" i="14"/>
  <c r="AK38" i="3"/>
  <c r="AE2" i="11"/>
  <c r="AK49" i="3"/>
  <c r="AE6" i="12"/>
  <c r="AK45" i="3"/>
  <c r="AE2" i="12"/>
  <c r="AK40" i="3"/>
  <c r="AE4" i="11"/>
  <c r="AK27" i="3"/>
  <c r="AE5" i="9"/>
  <c r="AK19" i="3"/>
  <c r="AE4" i="8"/>
  <c r="AK48" i="3"/>
  <c r="AE5" i="12"/>
  <c r="AK77" i="3"/>
  <c r="AE6" i="16"/>
  <c r="AK73" i="3"/>
  <c r="AE2" i="16"/>
  <c r="AK67" i="3"/>
  <c r="AE3" i="15"/>
  <c r="AK60" i="3"/>
  <c r="AE3" i="14"/>
  <c r="AK68" i="3"/>
  <c r="AE4" i="15"/>
  <c r="AK54" i="3"/>
  <c r="AE4" i="13"/>
  <c r="AK20" i="3"/>
  <c r="AE5" i="8"/>
  <c r="AK84" i="3"/>
  <c r="AE6" i="17"/>
  <c r="AK81" i="3"/>
  <c r="AE3" i="17"/>
  <c r="AK26" i="3"/>
  <c r="AE4" i="9"/>
  <c r="AK33" i="3"/>
  <c r="AE4" i="10"/>
  <c r="AK83" i="3"/>
  <c r="AE5" i="17"/>
  <c r="AE2" i="10"/>
  <c r="AK35" i="3"/>
  <c r="AE6" i="10"/>
  <c r="AK28" i="3"/>
  <c r="AE6" i="9"/>
  <c r="AK25" i="3"/>
  <c r="AE3" i="9"/>
  <c r="AE2" i="17"/>
  <c r="AE2" i="8"/>
  <c r="AK21" i="3"/>
  <c r="AE6" i="8"/>
  <c r="AE2" i="9"/>
  <c r="AK32" i="3"/>
  <c r="AE3" i="10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/>
  <c r="AK13" i="3"/>
  <c r="AE5" i="2"/>
  <c r="AE6" i="2"/>
  <c r="AK11" i="3"/>
  <c r="AE3" i="2"/>
  <c r="AL36" i="3"/>
  <c r="AF7" i="10"/>
  <c r="AL37" i="3"/>
  <c r="AF8" i="10"/>
  <c r="AL57" i="3"/>
  <c r="AF7" i="13"/>
  <c r="AL44" i="3"/>
  <c r="AF8" i="11"/>
  <c r="AL50" i="3"/>
  <c r="AF7" i="12"/>
  <c r="AL58" i="3"/>
  <c r="AF8" i="13"/>
  <c r="AL43" i="3"/>
  <c r="AF7" i="11"/>
  <c r="AL51" i="3"/>
  <c r="AF8" i="12"/>
  <c r="AL64" i="3"/>
  <c r="AF7" i="14"/>
  <c r="AL65" i="3"/>
  <c r="AF8" i="14"/>
  <c r="AL71" i="3"/>
  <c r="AF7" i="15"/>
  <c r="AL79" i="3"/>
  <c r="AF8" i="16"/>
  <c r="AL72" i="3"/>
  <c r="AF8" i="15"/>
  <c r="AL78" i="3"/>
  <c r="AF7" i="16"/>
  <c r="AL93" i="3"/>
  <c r="AL85" i="3"/>
  <c r="AF7" i="17"/>
  <c r="AL92" i="3"/>
  <c r="AL29" i="3"/>
  <c r="AF7" i="9"/>
  <c r="AL22" i="3"/>
  <c r="AF7" i="8"/>
  <c r="AL30" i="3"/>
  <c r="AF8" i="9"/>
  <c r="AL86" i="3"/>
  <c r="AF8" i="17"/>
  <c r="AL15" i="3"/>
  <c r="AF7" i="2"/>
  <c r="AL18" i="3"/>
  <c r="AF3" i="8"/>
  <c r="AL16" i="3"/>
  <c r="AF8" i="2"/>
  <c r="AL23" i="3"/>
  <c r="AF8" i="8"/>
  <c r="AL90" i="3"/>
  <c r="AL87" i="3"/>
  <c r="AL42" i="3"/>
  <c r="AF6" i="11"/>
  <c r="AL91" i="3"/>
  <c r="AL53" i="3"/>
  <c r="AF3" i="13"/>
  <c r="AL89" i="3"/>
  <c r="AL88" i="3"/>
  <c r="AL52" i="3"/>
  <c r="AF2" i="13"/>
  <c r="AL75" i="3"/>
  <c r="AF4" i="16"/>
  <c r="AL70" i="3"/>
  <c r="AF6" i="15"/>
  <c r="AL76" i="3"/>
  <c r="AF5" i="16"/>
  <c r="AL66" i="3"/>
  <c r="AF2" i="15"/>
  <c r="AL41" i="3"/>
  <c r="AF5" i="11"/>
  <c r="AL62" i="3"/>
  <c r="AF5" i="14"/>
  <c r="AL46" i="3"/>
  <c r="AF3" i="12"/>
  <c r="AL82" i="3"/>
  <c r="AF4" i="17"/>
  <c r="AL56" i="3"/>
  <c r="AF6" i="13"/>
  <c r="AL67" i="3"/>
  <c r="AF3" i="15"/>
  <c r="AL60" i="3"/>
  <c r="AF3" i="14"/>
  <c r="AL39" i="3"/>
  <c r="AF3" i="11"/>
  <c r="AL77" i="3"/>
  <c r="AF6" i="16"/>
  <c r="AL68" i="3"/>
  <c r="AF4" i="15"/>
  <c r="AL34" i="3"/>
  <c r="AF5" i="10"/>
  <c r="AL49" i="3"/>
  <c r="AF6" i="12"/>
  <c r="AL74" i="3"/>
  <c r="AF3" i="16"/>
  <c r="AL55" i="3"/>
  <c r="AF5" i="13"/>
  <c r="AL48" i="3"/>
  <c r="AF5" i="12"/>
  <c r="AL63" i="3"/>
  <c r="AF6" i="14"/>
  <c r="AL61" i="3"/>
  <c r="AF4" i="14"/>
  <c r="AL47" i="3"/>
  <c r="AF4" i="12"/>
  <c r="AL40" i="3"/>
  <c r="AF4" i="11"/>
  <c r="AL69" i="3"/>
  <c r="AF5" i="15"/>
  <c r="AL73" i="3"/>
  <c r="AF2" i="16"/>
  <c r="AL59" i="3"/>
  <c r="AF2" i="14"/>
  <c r="AL38" i="3"/>
  <c r="AF2" i="11"/>
  <c r="AL45" i="3"/>
  <c r="AF2" i="12"/>
  <c r="AL27" i="3"/>
  <c r="AF5" i="9"/>
  <c r="AL19" i="3"/>
  <c r="AF4" i="8"/>
  <c r="AL54" i="3"/>
  <c r="AF4" i="13"/>
  <c r="AL20" i="3"/>
  <c r="AF5" i="8"/>
  <c r="AL81" i="3"/>
  <c r="AF3" i="17"/>
  <c r="AL33" i="3"/>
  <c r="AF4" i="10"/>
  <c r="AL84" i="3"/>
  <c r="AF6" i="17"/>
  <c r="AL26" i="3"/>
  <c r="AF4" i="9"/>
  <c r="AL83" i="3"/>
  <c r="AF5" i="17"/>
  <c r="AL35" i="3"/>
  <c r="AF6" i="10"/>
  <c r="AF2" i="9"/>
  <c r="AL32" i="3"/>
  <c r="AF3" i="10"/>
  <c r="AF2" i="17"/>
  <c r="AL25" i="3"/>
  <c r="AF3" i="9"/>
  <c r="AL28" i="3"/>
  <c r="AF6" i="9"/>
  <c r="AF2" i="10"/>
  <c r="AL21" i="3"/>
  <c r="AF6" i="8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/>
  <c r="AL13" i="3"/>
  <c r="AF5" i="2"/>
  <c r="AF6" i="2"/>
  <c r="AL11" i="3"/>
  <c r="AF3" i="2"/>
  <c r="F2" i="2"/>
  <c r="K2" i="2"/>
  <c r="I2" i="2"/>
  <c r="H2" i="2"/>
  <c r="J2" i="2"/>
  <c r="G2" i="2"/>
  <c r="O2" i="22"/>
  <c r="M2" i="2"/>
  <c r="P2" i="22"/>
  <c r="Q2" i="22"/>
  <c r="O2" i="2"/>
  <c r="N2" i="2"/>
  <c r="R2" i="22"/>
  <c r="S2" i="22"/>
  <c r="P2" i="2"/>
  <c r="Q2" i="2"/>
  <c r="T2" i="22"/>
  <c r="U2" i="22"/>
  <c r="R2" i="2"/>
  <c r="S2" i="2"/>
  <c r="V2" i="22"/>
  <c r="W2" i="22"/>
  <c r="T2" i="2"/>
  <c r="X2" i="22"/>
  <c r="U2" i="2"/>
  <c r="Y2" i="22"/>
  <c r="V2" i="2"/>
  <c r="W2" i="2"/>
  <c r="Z2" i="22"/>
  <c r="AA2" i="22"/>
  <c r="X2" i="2"/>
  <c r="Y2" i="2"/>
  <c r="AB2" i="22"/>
  <c r="AC2" i="22"/>
  <c r="Z2" i="2"/>
  <c r="AA2" i="2"/>
  <c r="AD2" i="22"/>
  <c r="AE2" i="22"/>
  <c r="AB2" i="2"/>
  <c r="AC2" i="2"/>
  <c r="AF2" i="22"/>
  <c r="AG2" i="22"/>
  <c r="AD2" i="2"/>
  <c r="AH2" i="22"/>
  <c r="AF2" i="2"/>
  <c r="AE2" i="2"/>
  <c r="AG4" i="17"/>
  <c r="AH4" i="17"/>
  <c r="AI4" i="17"/>
  <c r="AJ4" i="17"/>
  <c r="AK4" i="17"/>
  <c r="AL4" i="17"/>
  <c r="AM4" i="17"/>
  <c r="AN4" i="17"/>
  <c r="AO4" i="17"/>
  <c r="AP4" i="17"/>
  <c r="AQ4" i="17"/>
  <c r="AR4" i="17"/>
  <c r="AS4" i="17"/>
  <c r="AT4" i="17"/>
  <c r="AU4" i="17"/>
  <c r="AV4" i="17"/>
  <c r="AW4" i="17"/>
  <c r="AX4" i="17"/>
  <c r="AY4" i="17"/>
  <c r="AZ4" i="17"/>
</calcChain>
</file>

<file path=xl/sharedStrings.xml><?xml version="1.0" encoding="utf-8"?>
<sst xmlns="http://schemas.openxmlformats.org/spreadsheetml/2006/main" count="1801" uniqueCount="990">
  <si>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</si>
  <si>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</si>
  <si>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</si>
  <si>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</si>
  <si>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</si>
  <si>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</si>
  <si>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</si>
  <si>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</si>
  <si>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</si>
  <si>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</si>
  <si>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</si>
  <si>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</si>
  <si>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</si>
  <si>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</si>
  <si>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</si>
  <si>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</si>
  <si>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</si>
  <si>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</si>
  <si>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</si>
  <si>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</si>
  <si>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</si>
  <si>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</si>
  <si>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</si>
  <si>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</si>
  <si>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</si>
  <si>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</si>
  <si>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</si>
  <si>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</si>
  <si>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</si>
  <si>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</si>
  <si>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</si>
  <si>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</si>
  <si>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</si>
  <si>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</si>
  <si>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</si>
  <si>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</si>
  <si>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</si>
  <si>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</si>
  <si>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</si>
  <si>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</si>
  <si>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</si>
  <si>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</si>
  <si>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</si>
  <si>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</si>
  <si>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</si>
  <si>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</si>
  <si>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</si>
  <si>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</si>
  <si>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</si>
  <si>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</si>
  <si>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</si>
  <si>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</si>
  <si>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</si>
  <si>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</si>
  <si>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</si>
  <si>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</si>
  <si>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</si>
  <si>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</si>
  <si>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</si>
  <si>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</si>
  <si>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</si>
  <si>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</si>
  <si>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</si>
  <si>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</si>
  <si>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</si>
  <si>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</si>
  <si>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</si>
  <si>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</si>
  <si>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</si>
  <si>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</si>
  <si>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</si>
  <si>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</si>
  <si>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</si>
  <si>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</si>
  <si>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</si>
  <si>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</si>
  <si>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</si>
  <si>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</si>
  <si>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</si>
  <si>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</si>
  <si>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</si>
  <si>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</si>
  <si>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</si>
  <si>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</si>
  <si>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</si>
  <si>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</si>
  <si>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</si>
  <si>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</si>
  <si>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</si>
  <si>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</si>
  <si>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</si>
  <si>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</si>
  <si>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</si>
  <si>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</si>
  <si>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</si>
  <si>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</si>
  <si>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</si>
  <si>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</si>
  <si>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</si>
  <si>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</si>
  <si>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</si>
  <si>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</si>
  <si>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</si>
  <si>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</si>
  <si>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</si>
  <si>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</si>
  <si>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</si>
  <si>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</si>
  <si>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</si>
  <si>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</si>
  <si>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</si>
  <si>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</si>
  <si>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</si>
  <si>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</si>
  <si>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</si>
  <si>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</si>
  <si>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</si>
  <si>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</si>
  <si>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</si>
  <si>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</si>
  <si>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</si>
  <si>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</si>
  <si>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</si>
  <si>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</si>
  <si>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</si>
  <si>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</si>
  <si>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</si>
  <si>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</si>
  <si>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</si>
  <si>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</si>
  <si>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</si>
  <si>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</si>
  <si>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</si>
  <si>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</si>
  <si>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</si>
  <si>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</si>
  <si>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</si>
  <si>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</si>
  <si>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</si>
  <si>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</si>
  <si>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</si>
  <si>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</si>
  <si>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</si>
  <si>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</si>
  <si>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</si>
  <si>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</si>
  <si>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</si>
  <si>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</si>
  <si>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</si>
  <si>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</si>
  <si>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</si>
  <si>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</si>
  <si>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</si>
  <si>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</si>
  <si>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</si>
  <si>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</si>
  <si>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</si>
  <si>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</si>
  <si>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</si>
  <si>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</si>
  <si>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</si>
  <si>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</si>
  <si>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</si>
  <si>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</si>
  <si>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</si>
  <si>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</si>
  <si>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</si>
  <si>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</si>
  <si>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</si>
  <si>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</si>
  <si>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</si>
  <si>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</si>
  <si>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</si>
  <si>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</si>
  <si>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</si>
  <si>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</si>
  <si>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</si>
  <si>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</si>
  <si>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</si>
  <si>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</si>
  <si>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</si>
  <si>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</si>
  <si>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</si>
  <si>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</si>
  <si>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</si>
  <si>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</si>
  <si>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</si>
  <si>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</si>
  <si>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</si>
  <si>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</si>
  <si>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</si>
  <si>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</si>
  <si>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</si>
  <si>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</si>
  <si>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</si>
  <si>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</si>
  <si>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</si>
  <si>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</si>
  <si>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</si>
  <si>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</si>
  <si>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</si>
  <si>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</si>
  <si>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</si>
  <si>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</si>
  <si>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</si>
  <si>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</si>
  <si>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</si>
  <si>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</si>
  <si>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</si>
  <si>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</si>
  <si>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</si>
  <si>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</si>
  <si>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</si>
  <si>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</si>
  <si>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</si>
  <si>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</si>
  <si>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</si>
  <si>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</si>
  <si>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</si>
  <si>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</si>
  <si>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</si>
  <si>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</si>
  <si>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</si>
  <si>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</si>
  <si>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</si>
  <si>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</si>
  <si>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</si>
  <si>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</si>
  <si>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</si>
  <si>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</si>
  <si>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</si>
  <si>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</si>
  <si>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</si>
  <si>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</si>
  <si>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</si>
  <si>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</si>
  <si>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</si>
  <si>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</si>
  <si>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</si>
  <si>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</si>
  <si>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</si>
  <si>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</si>
  <si>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</si>
  <si>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</si>
  <si>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</si>
  <si>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</si>
  <si>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</si>
  <si>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</si>
  <si>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</si>
  <si>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</si>
  <si>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</si>
  <si>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</si>
  <si>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</si>
  <si>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</si>
  <si>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</si>
  <si>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</si>
  <si>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</si>
  <si>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</si>
  <si>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</si>
  <si>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</si>
  <si>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</si>
  <si>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</si>
  <si>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</si>
  <si>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</si>
  <si>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</si>
  <si>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</si>
  <si>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</si>
  <si>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</si>
  <si>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</si>
  <si>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</si>
  <si>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</si>
  <si>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</si>
  <si>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</si>
  <si>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</si>
  <si>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</si>
  <si>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</si>
  <si>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</si>
  <si>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</si>
  <si>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</si>
  <si>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</si>
  <si>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</si>
  <si>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</si>
  <si>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</si>
  <si>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</si>
  <si>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</si>
  <si>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</si>
  <si>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</si>
  <si>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</si>
  <si>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</si>
  <si>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</si>
  <si>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</si>
  <si>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</si>
  <si>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</si>
  <si>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</si>
  <si>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</si>
  <si>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</si>
  <si>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</si>
  <si>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</si>
  <si>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</si>
  <si>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</si>
  <si>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</si>
  <si>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</si>
  <si>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</si>
  <si>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</si>
  <si>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</si>
  <si>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</si>
  <si>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</si>
  <si>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</si>
  <si>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</si>
  <si>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</si>
  <si>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</si>
  <si>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</si>
  <si>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</si>
  <si>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</si>
  <si>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</si>
  <si>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</si>
  <si>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</si>
  <si>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</si>
  <si>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</si>
  <si>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</si>
  <si>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</si>
  <si>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</si>
  <si>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</si>
  <si>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</si>
  <si>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</si>
  <si>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</si>
  <si>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</si>
  <si>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</si>
  <si>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</si>
  <si>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</si>
  <si>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</si>
  <si>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</si>
  <si>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</si>
  <si>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</si>
  <si>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</si>
  <si>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</si>
  <si>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</si>
  <si>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</si>
  <si>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</si>
  <si>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</si>
  <si>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</si>
  <si>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</si>
  <si>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</si>
  <si>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</si>
  <si>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</si>
  <si>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</si>
  <si>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</si>
  <si>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</si>
  <si>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</si>
  <si>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</si>
  <si>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</si>
  <si>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</si>
  <si>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</si>
  <si>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</si>
  <si>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</si>
  <si>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</si>
  <si>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</si>
  <si>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</si>
  <si>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</si>
  <si>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</si>
  <si>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</si>
  <si>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</si>
  <si>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</si>
  <si>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</si>
  <si>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</si>
  <si>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</si>
  <si>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</si>
  <si>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</si>
  <si>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</si>
  <si>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</si>
  <si>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</si>
  <si>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</si>
  <si>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</si>
  <si>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</si>
  <si>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</si>
  <si>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</si>
  <si>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</si>
  <si>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</si>
  <si>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</si>
  <si>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</si>
  <si>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</si>
  <si>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</si>
  <si>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</si>
  <si>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</si>
  <si>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</si>
  <si>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</si>
  <si>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</si>
  <si>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</si>
  <si>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</si>
  <si>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</si>
  <si>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</si>
  <si>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</si>
  <si>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</si>
  <si>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</si>
  <si>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</si>
  <si>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</si>
  <si>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</si>
  <si>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</si>
  <si>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</si>
  <si>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</si>
  <si>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</si>
  <si>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</si>
  <si>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</si>
  <si>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</si>
  <si>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</si>
  <si>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</si>
  <si>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</si>
  <si>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</si>
  <si>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</si>
  <si>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</si>
  <si>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</si>
  <si>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</si>
  <si>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</si>
  <si>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</si>
  <si>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</si>
  <si>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</si>
  <si>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</si>
  <si>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</si>
  <si>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</si>
  <si>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</si>
  <si>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</si>
  <si>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</si>
  <si>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</si>
  <si>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</si>
  <si>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</si>
  <si>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</si>
  <si>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</si>
  <si>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</si>
  <si>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</si>
  <si>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</si>
  <si>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</si>
  <si>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</si>
  <si>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</si>
  <si>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</si>
  <si>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</si>
  <si>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</si>
  <si>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</si>
  <si>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</si>
  <si>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</si>
  <si>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</si>
  <si>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</si>
  <si>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</si>
  <si>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</si>
  <si>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</si>
  <si>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</si>
  <si>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</si>
  <si>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</si>
  <si>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</si>
  <si>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</si>
  <si>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</si>
  <si>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</si>
  <si>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</si>
  <si>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</si>
  <si>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</si>
  <si>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</si>
  <si>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</si>
  <si>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</si>
  <si>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</si>
  <si>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</si>
  <si>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</si>
  <si>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</si>
  <si>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</si>
  <si>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</si>
  <si>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</si>
  <si>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</si>
  <si>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</si>
  <si>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</si>
  <si>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</si>
  <si>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</si>
  <si>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</si>
  <si>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</si>
  <si>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</si>
  <si>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</si>
  <si>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</si>
  <si>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</si>
  <si>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</si>
  <si>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</si>
  <si>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</si>
  <si>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</si>
  <si>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</si>
  <si>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</si>
  <si>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</si>
  <si>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</si>
  <si>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</si>
  <si>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</si>
  <si>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</si>
  <si>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</si>
  <si>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</si>
  <si>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</si>
  <si>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</si>
  <si>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</si>
  <si>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</si>
  <si>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</si>
  <si>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</si>
  <si>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</si>
  <si>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</si>
  <si>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</si>
  <si>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</si>
  <si>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</si>
  <si>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</si>
  <si>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</si>
  <si>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</si>
  <si>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</si>
  <si>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</si>
  <si>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</si>
  <si>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</si>
  <si>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</si>
  <si>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</si>
  <si>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</si>
  <si>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</si>
  <si>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</si>
  <si>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</si>
  <si>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</si>
  <si>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</si>
  <si>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</si>
  <si>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</si>
  <si>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</si>
  <si>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</si>
  <si>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</si>
  <si>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</si>
  <si>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</si>
  <si>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</si>
  <si>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</si>
  <si>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</si>
  <si>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</si>
  <si>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</si>
  <si>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</si>
  <si>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</si>
  <si>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</si>
  <si>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</si>
  <si>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</si>
  <si>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</si>
  <si>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</si>
  <si>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</si>
  <si>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</si>
  <si>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</si>
  <si>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</si>
  <si>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</si>
  <si>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</si>
  <si>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</si>
  <si>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</si>
  <si>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</si>
  <si>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</si>
  <si>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</si>
  <si>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</si>
  <si>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</si>
  <si>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</si>
  <si>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</si>
  <si>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</si>
  <si>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</si>
  <si>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</si>
  <si>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</si>
  <si>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</si>
  <si>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</si>
  <si>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</si>
  <si>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</si>
  <si>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</si>
  <si>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</si>
  <si>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</si>
  <si>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</si>
  <si>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</si>
  <si>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</si>
  <si>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</si>
  <si>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</si>
  <si>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</si>
  <si>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</si>
  <si>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</si>
  <si>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</si>
  <si>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</si>
  <si>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</si>
  <si>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</si>
  <si>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</si>
  <si>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</si>
  <si>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</si>
  <si>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</si>
  <si>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</si>
  <si>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</si>
  <si>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</si>
  <si>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</si>
  <si>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</si>
  <si>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</si>
  <si>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</si>
  <si>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</si>
  <si>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</si>
  <si>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</si>
  <si>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</si>
  <si>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</si>
  <si>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</si>
  <si>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</si>
  <si>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</si>
  <si>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</si>
  <si>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</si>
  <si>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</si>
  <si>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</si>
  <si>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</si>
  <si>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</si>
  <si>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</si>
  <si>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</si>
  <si>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</si>
  <si>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</si>
  <si>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</si>
  <si>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</si>
  <si>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</si>
  <si>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</si>
  <si>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</si>
  <si>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</si>
  <si>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</si>
  <si>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</si>
  <si>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</si>
  <si>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</si>
  <si>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</si>
  <si>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</si>
  <si>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</si>
  <si>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</si>
  <si>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</si>
  <si>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</si>
  <si>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</si>
  <si>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</si>
  <si>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</si>
  <si>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</si>
  <si>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</si>
  <si>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</si>
  <si>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</si>
  <si>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</si>
  <si>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</si>
  <si>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</si>
  <si>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</si>
  <si>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</si>
  <si>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</si>
  <si>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</si>
  <si>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</si>
  <si>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</si>
  <si>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</si>
  <si>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</si>
  <si>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</si>
  <si>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</si>
  <si>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</si>
  <si>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</si>
  <si>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</si>
  <si>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</si>
  <si>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</si>
  <si>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</si>
  <si>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</si>
  <si>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</si>
  <si>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</si>
  <si>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</si>
  <si>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</si>
  <si>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</si>
  <si>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</si>
  <si>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</si>
  <si>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</si>
  <si>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</si>
  <si>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</si>
  <si>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</si>
  <si>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</si>
  <si>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</si>
  <si>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</si>
  <si>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</si>
  <si>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</si>
  <si>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</si>
  <si>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</si>
  <si>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</si>
  <si>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</si>
  <si>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</si>
  <si>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</si>
  <si>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</si>
  <si>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</si>
  <si>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</si>
  <si>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</si>
  <si>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</si>
  <si>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</si>
  <si>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</si>
  <si>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</si>
  <si>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</si>
  <si>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</si>
  <si>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</si>
  <si>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</si>
  <si>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</si>
  <si>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</si>
  <si>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</si>
  <si>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</si>
  <si>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</si>
  <si>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</si>
  <si>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</si>
  <si>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</si>
  <si>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</si>
  <si>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</si>
  <si>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</si>
  <si>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</si>
  <si>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</si>
  <si>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</si>
  <si>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</si>
  <si>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</si>
  <si>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</si>
  <si>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</si>
  <si>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</si>
  <si>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</si>
  <si>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</si>
  <si>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</si>
  <si>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</si>
  <si>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</si>
  <si>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</si>
  <si>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</si>
  <si>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</si>
  <si>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</si>
  <si>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</si>
  <si>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</si>
  <si>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</si>
  <si>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</si>
  <si>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</si>
  <si>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</si>
  <si>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</si>
  <si>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</si>
  <si>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</si>
  <si>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</si>
  <si>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</si>
  <si>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</si>
  <si>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</si>
  <si>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</si>
  <si>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</si>
  <si>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</si>
  <si>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</si>
  <si>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</si>
  <si>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</si>
  <si>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</si>
  <si>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</si>
  <si>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</si>
  <si>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</si>
  <si>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</si>
  <si>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</si>
  <si>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</si>
  <si>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</si>
  <si>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</si>
  <si>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</si>
  <si>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</si>
  <si>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</si>
  <si>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</si>
  <si>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</si>
  <si>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</si>
  <si>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</si>
  <si>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</si>
  <si>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</si>
  <si>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</si>
  <si>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</si>
  <si>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</si>
  <si>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</si>
  <si>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</si>
  <si>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</si>
  <si>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</si>
  <si>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</si>
  <si>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</si>
  <si>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</si>
  <si>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</si>
  <si>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</si>
  <si>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</si>
  <si>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</si>
  <si>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</si>
  <si>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</si>
  <si>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</si>
  <si>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</si>
  <si>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</si>
  <si>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</si>
  <si>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</si>
  <si>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</si>
  <si>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</si>
  <si>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</si>
  <si>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</si>
  <si>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</si>
  <si>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</si>
  <si>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</si>
  <si>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</si>
  <si>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</si>
  <si>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</si>
  <si>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</si>
  <si>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</si>
  <si>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</si>
  <si>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</si>
  <si>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</si>
  <si>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</si>
  <si>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</si>
  <si>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</si>
  <si>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</si>
  <si>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</si>
  <si>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</si>
  <si>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</si>
  <si>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</si>
  <si>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</si>
  <si>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</si>
  <si>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</si>
  <si>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</si>
  <si>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</si>
  <si>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</si>
  <si>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</si>
  <si>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</si>
  <si>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</si>
  <si>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</si>
  <si>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</si>
  <si>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</si>
  <si>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</si>
  <si>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</si>
  <si>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</si>
  <si>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</si>
  <si>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</si>
  <si>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</si>
  <si>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</si>
  <si>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</si>
  <si>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</si>
  <si>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</si>
  <si>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</si>
  <si>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</si>
  <si>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</si>
  <si>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</si>
  <si>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</si>
  <si>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</si>
  <si>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</si>
  <si>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</si>
  <si>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</si>
  <si>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</si>
  <si>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</si>
  <si>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</si>
  <si>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</si>
  <si>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</si>
  <si>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</si>
  <si>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</si>
  <si>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</si>
  <si>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</si>
  <si>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</si>
  <si>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</si>
  <si>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</si>
  <si>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</si>
  <si>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</si>
  <si>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</si>
  <si>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</si>
  <si>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</si>
  <si>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</si>
  <si>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</si>
  <si>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</si>
  <si>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</si>
  <si>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</si>
  <si>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</si>
  <si>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</si>
  <si>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</si>
  <si>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</si>
  <si>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</si>
  <si>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</si>
  <si>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</si>
  <si>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</si>
  <si>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</si>
  <si>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</si>
  <si>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</si>
  <si>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</si>
  <si>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</si>
  <si>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</si>
  <si>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</si>
  <si>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</si>
  <si>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</si>
  <si>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</si>
  <si>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</si>
  <si>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</si>
  <si>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</si>
  <si>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</si>
  <si>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</si>
  <si>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</si>
  <si>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</si>
  <si>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</si>
  <si>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</si>
  <si>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</si>
  <si>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</si>
  <si>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</si>
  <si>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</si>
  <si>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</si>
  <si>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</si>
  <si>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</si>
  <si>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</si>
  <si>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</si>
  <si>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</si>
  <si>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</si>
  <si>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</si>
  <si>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</si>
  <si>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</si>
  <si>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</si>
  <si>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</si>
  <si>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</si>
  <si>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</si>
  <si>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</si>
  <si>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</si>
  <si>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</si>
  <si>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</si>
  <si>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</si>
  <si>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</si>
  <si>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</si>
  <si>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</si>
  <si>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</si>
  <si>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</si>
  <si>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</si>
  <si>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</si>
  <si>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</si>
  <si>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</si>
  <si>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</si>
  <si>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</si>
  <si>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</si>
  <si>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</si>
  <si>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</si>
  <si>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</si>
  <si>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</si>
  <si>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</si>
  <si>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</si>
  <si>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</si>
  <si>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</si>
  <si>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</si>
  <si>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</si>
  <si>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</si>
  <si>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</si>
  <si>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</si>
  <si>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</si>
  <si>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</si>
  <si>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</si>
  <si>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</si>
  <si>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</si>
  <si>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</si>
  <si>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</si>
  <si>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</si>
  <si>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</si>
  <si>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</si>
  <si>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</si>
  <si>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</si>
  <si>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</si>
  <si>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</si>
  <si>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</si>
  <si>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</si>
  <si>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</si>
  <si>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</si>
  <si>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</si>
  <si>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</si>
  <si>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</si>
  <si>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</si>
  <si>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</si>
  <si>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</si>
  <si>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</si>
  <si>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</si>
  <si>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</si>
  <si>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</si>
  <si>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</si>
  <si>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</si>
  <si>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</si>
  <si>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</si>
  <si>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</si>
  <si>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</si>
  <si>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</si>
  <si>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</si>
  <si>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</si>
  <si>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</si>
  <si>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</si>
  <si>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</si>
  <si>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</si>
  <si>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</si>
  <si>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</si>
  <si>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</si>
  <si>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</si>
  <si>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</si>
  <si>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</si>
  <si>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</si>
  <si>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</si>
  <si>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</si>
  <si>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</si>
  <si>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</si>
  <si>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</si>
  <si>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</si>
  <si>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</si>
  <si>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</si>
  <si>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</si>
  <si>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</si>
  <si>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</si>
  <si>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</si>
  <si>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</si>
  <si>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</si>
  <si>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</si>
  <si>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</si>
  <si>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</si>
  <si>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</si>
  <si>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</si>
  <si>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</si>
  <si>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</si>
  <si>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</si>
  <si>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</si>
  <si>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</si>
  <si>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</si>
  <si>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EV Sales Share</t>
  </si>
  <si>
    <t> INTERNATIONAL COUNCIL ON CLEAN TRANSPORTATION</t>
  </si>
  <si>
    <t>https://theicct.org/publication/role-of-supply-side-regulations-in-meeting-indonesias-2030-ev-target-jul24/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</si>
</sst>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52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0" fontId="38" fillId="0" borderId="0" xfId="0" applyFont="1"/>
    <xf numFmtId="0" fontId="7" fillId="0" borderId="0" xfId="8" applyFont="1" applyAlignment="1">
      <alignment horizontal="left"/>
    </xf>
    <xf numFmtId="0" fontId="6" fillId="0" borderId="0" xfId="8" applyAlignment="1">
      <alignment horizontal="left"/>
    </xf>
    <xf numFmtId="0" fontId="39" fillId="0" borderId="0" xfId="0" applyFon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theicct.org/publication/role-of-supply-side-regulations-in-meeting-indonesias-2030-ev-target-jul24/" TargetMode="External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4"/>
  <sheetViews>
    <sheetView workbookViewId="0">
      <selection activeCell="J17" sqref="J17"/>
    </sheetView>
  </sheetViews>
  <sheetFormatPr baseColWidth="10" defaultColWidth="9.1640625" defaultRowHeight="15" x14ac:dyDescent="0.2"/>
  <cols>
    <col min="2" max="2" width="56.33203125" customWidth="1"/>
  </cols>
  <sheetData>
    <row r="1" spans="1:2" x14ac:dyDescent="0.2">
      <c r="A1" s="1" t="s">
        <v>905</v>
      </c>
    </row>
    <row r="3" spans="1:2" x14ac:dyDescent="0.2">
      <c r="A3" s="1" t="s">
        <v>0</v>
      </c>
      <c r="B3" s="12" t="s">
        <v>77</v>
      </c>
    </row>
    <row r="4" spans="1:2" x14ac:dyDescent="0.2">
      <c r="B4" t="s">
        <v>34</v>
      </c>
    </row>
    <row r="5" spans="1:2" x14ac:dyDescent="0.2">
      <c r="B5" s="3">
        <v>2020</v>
      </c>
    </row>
    <row r="6" spans="1:2" x14ac:dyDescent="0.2">
      <c r="B6" t="s">
        <v>129</v>
      </c>
    </row>
    <row r="7" spans="1:2" x14ac:dyDescent="0.2">
      <c r="B7" t="s">
        <v>132</v>
      </c>
    </row>
    <row r="8" spans="1:2" x14ac:dyDescent="0.2">
      <c r="B8" t="s">
        <v>130</v>
      </c>
    </row>
    <row r="10" spans="1:2" x14ac:dyDescent="0.2">
      <c r="B10" s="12" t="s">
        <v>964</v>
      </c>
    </row>
    <row r="11" spans="1:2" x14ac:dyDescent="0.2">
      <c r="B11" t="s">
        <v>965</v>
      </c>
    </row>
    <row r="12" spans="1:2" x14ac:dyDescent="0.2">
      <c r="B12" s="3">
        <v>2021</v>
      </c>
    </row>
    <row r="13" spans="1:2" x14ac:dyDescent="0.2">
      <c r="B13" t="s">
        <v>966</v>
      </c>
    </row>
    <row r="14" spans="1:2" x14ac:dyDescent="0.2">
      <c r="B14" s="31" t="s">
        <v>967</v>
      </c>
    </row>
    <row r="15" spans="1:2" x14ac:dyDescent="0.2">
      <c r="B15" s="31"/>
    </row>
    <row r="16" spans="1:2" ht="16" x14ac:dyDescent="0.2">
      <c r="B16" s="48" t="s">
        <v>988</v>
      </c>
    </row>
    <row r="17" spans="2:2" x14ac:dyDescent="0.2">
      <c r="B17" s="49">
        <v>2024</v>
      </c>
    </row>
    <row r="18" spans="2:2" x14ac:dyDescent="0.2">
      <c r="B18" s="50" t="s">
        <v>989</v>
      </c>
    </row>
    <row r="20" spans="2:2" x14ac:dyDescent="0.2">
      <c r="B20" t="s">
        <v>968</v>
      </c>
    </row>
    <row r="21" spans="2:2" x14ac:dyDescent="0.2">
      <c r="B21" s="3">
        <v>2022</v>
      </c>
    </row>
    <row r="22" spans="2:2" x14ac:dyDescent="0.2">
      <c r="B22" t="s">
        <v>969</v>
      </c>
    </row>
    <row r="23" spans="2:2" x14ac:dyDescent="0.2">
      <c r="B23" s="34" t="s">
        <v>970</v>
      </c>
    </row>
    <row r="24" spans="2:2" x14ac:dyDescent="0.2">
      <c r="B24" s="34"/>
    </row>
    <row r="25" spans="2:2" x14ac:dyDescent="0.2">
      <c r="B25" s="3" t="s">
        <v>982</v>
      </c>
    </row>
    <row r="26" spans="2:2" x14ac:dyDescent="0.2">
      <c r="B26" s="3">
        <v>2020</v>
      </c>
    </row>
    <row r="27" spans="2:2" x14ac:dyDescent="0.2">
      <c r="B27" s="3" t="s">
        <v>983</v>
      </c>
    </row>
    <row r="28" spans="2:2" x14ac:dyDescent="0.2">
      <c r="B28" s="34" t="s">
        <v>984</v>
      </c>
    </row>
    <row r="30" spans="2:2" x14ac:dyDescent="0.2">
      <c r="B30" s="12" t="s">
        <v>78</v>
      </c>
    </row>
    <row r="31" spans="2:2" x14ac:dyDescent="0.2">
      <c r="B31" t="s">
        <v>34</v>
      </c>
    </row>
    <row r="32" spans="2:2" x14ac:dyDescent="0.2">
      <c r="B32" s="3">
        <v>2020</v>
      </c>
    </row>
    <row r="33" spans="2:2" x14ac:dyDescent="0.2">
      <c r="B33" t="s">
        <v>129</v>
      </c>
    </row>
    <row r="34" spans="2:2" x14ac:dyDescent="0.2">
      <c r="B34" t="s">
        <v>133</v>
      </c>
    </row>
    <row r="35" spans="2:2" x14ac:dyDescent="0.2">
      <c r="B35" t="s">
        <v>131</v>
      </c>
    </row>
    <row r="37" spans="2:2" x14ac:dyDescent="0.2">
      <c r="B37" s="12" t="s">
        <v>79</v>
      </c>
    </row>
    <row r="38" spans="2:2" x14ac:dyDescent="0.2">
      <c r="B38" s="13" t="s">
        <v>46</v>
      </c>
    </row>
    <row r="40" spans="2:2" x14ac:dyDescent="0.2">
      <c r="B40" s="12" t="s">
        <v>80</v>
      </c>
    </row>
    <row r="41" spans="2:2" x14ac:dyDescent="0.2">
      <c r="B41" t="s">
        <v>56</v>
      </c>
    </row>
    <row r="42" spans="2:2" x14ac:dyDescent="0.2">
      <c r="B42" s="3">
        <v>2014</v>
      </c>
    </row>
    <row r="43" spans="2:2" x14ac:dyDescent="0.2">
      <c r="B43" t="s">
        <v>57</v>
      </c>
    </row>
    <row r="44" spans="2:2" x14ac:dyDescent="0.2">
      <c r="B44" t="s">
        <v>58</v>
      </c>
    </row>
    <row r="46" spans="2:2" x14ac:dyDescent="0.2">
      <c r="B46" t="s">
        <v>59</v>
      </c>
    </row>
    <row r="47" spans="2:2" x14ac:dyDescent="0.2">
      <c r="B47" s="3">
        <v>2015</v>
      </c>
    </row>
    <row r="48" spans="2:2" x14ac:dyDescent="0.2">
      <c r="B48" t="s">
        <v>60</v>
      </c>
    </row>
    <row r="49" spans="1:2" x14ac:dyDescent="0.2">
      <c r="B49" t="s">
        <v>61</v>
      </c>
    </row>
    <row r="51" spans="1:2" x14ac:dyDescent="0.2">
      <c r="A51" s="1" t="s">
        <v>6</v>
      </c>
    </row>
    <row r="52" spans="1:2" x14ac:dyDescent="0.2">
      <c r="A52" t="s">
        <v>907</v>
      </c>
    </row>
    <row r="53" spans="1:2" x14ac:dyDescent="0.2">
      <c r="A53" t="s">
        <v>908</v>
      </c>
    </row>
    <row r="54" spans="1:2" x14ac:dyDescent="0.2">
      <c r="A54" t="s">
        <v>909</v>
      </c>
    </row>
    <row r="55" spans="1:2" x14ac:dyDescent="0.2">
      <c r="A55" s="34" t="s">
        <v>910</v>
      </c>
    </row>
    <row r="56" spans="1:2" x14ac:dyDescent="0.2">
      <c r="A56" s="1"/>
    </row>
    <row r="57" spans="1:2" x14ac:dyDescent="0.2">
      <c r="A57" t="s">
        <v>7</v>
      </c>
    </row>
    <row r="58" spans="1:2" x14ac:dyDescent="0.2">
      <c r="A58" t="s">
        <v>8</v>
      </c>
    </row>
    <row r="60" spans="1:2" x14ac:dyDescent="0.2">
      <c r="A60" t="s">
        <v>107</v>
      </c>
    </row>
    <row r="61" spans="1:2" x14ac:dyDescent="0.2">
      <c r="A61" t="s">
        <v>35</v>
      </c>
    </row>
    <row r="62" spans="1:2" x14ac:dyDescent="0.2">
      <c r="A62" t="s">
        <v>906</v>
      </c>
    </row>
    <row r="63" spans="1:2" x14ac:dyDescent="0.2">
      <c r="A63" t="s">
        <v>36</v>
      </c>
    </row>
    <row r="65" spans="1:2" x14ac:dyDescent="0.2">
      <c r="A65" s="12" t="s">
        <v>33</v>
      </c>
      <c r="B65" s="14"/>
    </row>
    <row r="67" spans="1:2" x14ac:dyDescent="0.2">
      <c r="B67" s="12" t="s">
        <v>43</v>
      </c>
    </row>
    <row r="68" spans="1:2" x14ac:dyDescent="0.2">
      <c r="B68" s="1"/>
    </row>
    <row r="69" spans="1:2" x14ac:dyDescent="0.2">
      <c r="B69" t="s">
        <v>28</v>
      </c>
    </row>
    <row r="70" spans="1:2" x14ac:dyDescent="0.2">
      <c r="B70" t="s">
        <v>29</v>
      </c>
    </row>
    <row r="71" spans="1:2" x14ac:dyDescent="0.2">
      <c r="B71" t="s">
        <v>30</v>
      </c>
    </row>
    <row r="73" spans="1:2" x14ac:dyDescent="0.2">
      <c r="B73" t="s">
        <v>31</v>
      </c>
    </row>
    <row r="74" spans="1:2" x14ac:dyDescent="0.2">
      <c r="B74" t="s">
        <v>32</v>
      </c>
    </row>
    <row r="76" spans="1:2" x14ac:dyDescent="0.2">
      <c r="B76" t="s">
        <v>25</v>
      </c>
    </row>
    <row r="77" spans="1:2" x14ac:dyDescent="0.2">
      <c r="B77" t="s">
        <v>26</v>
      </c>
    </row>
    <row r="78" spans="1:2" x14ac:dyDescent="0.2">
      <c r="B78" t="s">
        <v>27</v>
      </c>
    </row>
    <row r="80" spans="1:2" x14ac:dyDescent="0.2">
      <c r="B80" s="12" t="s">
        <v>44</v>
      </c>
    </row>
    <row r="82" spans="2:2" x14ac:dyDescent="0.2">
      <c r="B82" t="s">
        <v>134</v>
      </c>
    </row>
    <row r="83" spans="2:2" x14ac:dyDescent="0.2">
      <c r="B83" t="s">
        <v>912</v>
      </c>
    </row>
    <row r="84" spans="2:2" x14ac:dyDescent="0.2">
      <c r="B84" t="s">
        <v>135</v>
      </c>
    </row>
    <row r="85" spans="2:2" x14ac:dyDescent="0.2">
      <c r="B85" t="s">
        <v>913</v>
      </c>
    </row>
    <row r="86" spans="2:2" x14ac:dyDescent="0.2">
      <c r="B86" t="s">
        <v>914</v>
      </c>
    </row>
    <row r="88" spans="2:2" x14ac:dyDescent="0.2">
      <c r="B88" t="s">
        <v>139</v>
      </c>
    </row>
    <row r="89" spans="2:2" x14ac:dyDescent="0.2">
      <c r="B89" t="s">
        <v>42</v>
      </c>
    </row>
    <row r="91" spans="2:2" x14ac:dyDescent="0.2">
      <c r="B91" t="s">
        <v>911</v>
      </c>
    </row>
    <row r="92" spans="2:2" x14ac:dyDescent="0.2">
      <c r="B92" t="s">
        <v>45</v>
      </c>
    </row>
    <row r="94" spans="2:2" x14ac:dyDescent="0.2">
      <c r="B94" t="s">
        <v>47</v>
      </c>
    </row>
    <row r="95" spans="2:2" x14ac:dyDescent="0.2">
      <c r="B95" t="s">
        <v>45</v>
      </c>
    </row>
    <row r="97" spans="2:2" x14ac:dyDescent="0.2">
      <c r="B97" s="12" t="s">
        <v>48</v>
      </c>
    </row>
    <row r="99" spans="2:2" x14ac:dyDescent="0.2">
      <c r="B99" t="s">
        <v>74</v>
      </c>
    </row>
    <row r="100" spans="2:2" x14ac:dyDescent="0.2">
      <c r="B100" t="s">
        <v>140</v>
      </c>
    </row>
    <row r="101" spans="2:2" x14ac:dyDescent="0.2">
      <c r="B101" t="s">
        <v>141</v>
      </c>
    </row>
    <row r="102" spans="2:2" x14ac:dyDescent="0.2">
      <c r="B102" t="s">
        <v>142</v>
      </c>
    </row>
    <row r="104" spans="2:2" x14ac:dyDescent="0.2">
      <c r="B104" t="s">
        <v>81</v>
      </c>
    </row>
    <row r="105" spans="2:2" x14ac:dyDescent="0.2">
      <c r="B105" t="s">
        <v>75</v>
      </c>
    </row>
    <row r="106" spans="2:2" x14ac:dyDescent="0.2">
      <c r="B106" t="s">
        <v>85</v>
      </c>
    </row>
    <row r="107" spans="2:2" x14ac:dyDescent="0.2">
      <c r="B107" t="s">
        <v>76</v>
      </c>
    </row>
    <row r="108" spans="2:2" x14ac:dyDescent="0.2">
      <c r="B108" t="s">
        <v>86</v>
      </c>
    </row>
    <row r="109" spans="2:2" x14ac:dyDescent="0.2">
      <c r="B109" t="s">
        <v>82</v>
      </c>
    </row>
    <row r="110" spans="2:2" x14ac:dyDescent="0.2">
      <c r="B110" t="s">
        <v>83</v>
      </c>
    </row>
    <row r="111" spans="2:2" x14ac:dyDescent="0.2">
      <c r="B111" t="s">
        <v>84</v>
      </c>
    </row>
    <row r="113" spans="2:2" x14ac:dyDescent="0.2">
      <c r="B113" t="s">
        <v>108</v>
      </c>
    </row>
    <row r="114" spans="2:2" x14ac:dyDescent="0.2">
      <c r="B114" t="s">
        <v>112</v>
      </c>
    </row>
    <row r="115" spans="2:2" x14ac:dyDescent="0.2">
      <c r="B115" t="s">
        <v>109</v>
      </c>
    </row>
    <row r="116" spans="2:2" x14ac:dyDescent="0.2">
      <c r="B116" t="s">
        <v>110</v>
      </c>
    </row>
    <row r="117" spans="2:2" x14ac:dyDescent="0.2">
      <c r="B117" t="s">
        <v>111</v>
      </c>
    </row>
    <row r="119" spans="2:2" x14ac:dyDescent="0.2">
      <c r="B119" t="s">
        <v>68</v>
      </c>
    </row>
    <row r="120" spans="2:2" x14ac:dyDescent="0.2">
      <c r="B120" t="s">
        <v>69</v>
      </c>
    </row>
    <row r="121" spans="2:2" x14ac:dyDescent="0.2">
      <c r="B121" t="s">
        <v>70</v>
      </c>
    </row>
    <row r="122" spans="2:2" x14ac:dyDescent="0.2">
      <c r="B122" t="s">
        <v>71</v>
      </c>
    </row>
    <row r="123" spans="2:2" x14ac:dyDescent="0.2">
      <c r="B123" t="s">
        <v>72</v>
      </c>
    </row>
    <row r="124" spans="2:2" x14ac:dyDescent="0.2">
      <c r="B124" t="s">
        <v>73</v>
      </c>
    </row>
    <row r="126" spans="2:2" x14ac:dyDescent="0.2">
      <c r="B126" t="s">
        <v>123</v>
      </c>
    </row>
    <row r="128" spans="2:2" x14ac:dyDescent="0.2">
      <c r="B128" t="s">
        <v>49</v>
      </c>
    </row>
    <row r="129" spans="2:2" x14ac:dyDescent="0.2">
      <c r="B129" t="s">
        <v>50</v>
      </c>
    </row>
    <row r="130" spans="2:2" x14ac:dyDescent="0.2">
      <c r="B130" t="s">
        <v>51</v>
      </c>
    </row>
    <row r="131" spans="2:2" x14ac:dyDescent="0.2">
      <c r="B131" t="s">
        <v>52</v>
      </c>
    </row>
    <row r="132" spans="2:2" x14ac:dyDescent="0.2">
      <c r="B132" t="s">
        <v>53</v>
      </c>
    </row>
    <row r="133" spans="2:2" x14ac:dyDescent="0.2">
      <c r="B133" t="s">
        <v>54</v>
      </c>
    </row>
    <row r="134" spans="2:2" x14ac:dyDescent="0.2">
      <c r="B134" t="s">
        <v>55</v>
      </c>
    </row>
  </sheetData>
  <hyperlinks>
    <hyperlink ref="A55" r:id="rId1" xr:uid="{00000000-0004-0000-0000-000001000000}"/>
    <hyperlink ref="B18" r:id="rId2" xr:uid="{D191D329-61BE-3649-A93C-A8082F3944C1}"/>
  </hyperlinks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baseColWidth="10" defaultColWidth="8.83203125" defaultRowHeight="15" x14ac:dyDescent="0.2"/>
  <sheetData>
    <row r="1" spans="1:36" x14ac:dyDescent="0.2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">
      <c r="A10" t="s">
        <v>143</v>
      </c>
    </row>
    <row r="11" spans="1:36" x14ac:dyDescent="0.2">
      <c r="A11" t="s">
        <v>144</v>
      </c>
    </row>
    <row r="12" spans="1:36" x14ac:dyDescent="0.2">
      <c r="A12" t="s">
        <v>145</v>
      </c>
    </row>
    <row r="13" spans="1:36" x14ac:dyDescent="0.2">
      <c r="A13" t="s">
        <v>146</v>
      </c>
    </row>
    <row r="14" spans="1:36" x14ac:dyDescent="0.2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">
      <c r="A15" t="s">
        <v>151</v>
      </c>
      <c r="C15" t="s">
        <v>152</v>
      </c>
    </row>
    <row r="16" spans="1:36" x14ac:dyDescent="0.2">
      <c r="A16" t="s">
        <v>153</v>
      </c>
      <c r="C16" t="s">
        <v>154</v>
      </c>
    </row>
    <row r="17" spans="1:36" x14ac:dyDescent="0.2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">
      <c r="A20" t="s">
        <v>165</v>
      </c>
      <c r="C20" t="s">
        <v>166</v>
      </c>
    </row>
    <row r="21" spans="1:36" x14ac:dyDescent="0.2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">
      <c r="A38" t="s">
        <v>216</v>
      </c>
      <c r="C38" t="s">
        <v>217</v>
      </c>
    </row>
    <row r="39" spans="1:36" x14ac:dyDescent="0.2">
      <c r="A39" t="s">
        <v>218</v>
      </c>
      <c r="C39" t="s">
        <v>219</v>
      </c>
    </row>
    <row r="40" spans="1:36" x14ac:dyDescent="0.2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">
      <c r="A43" t="s">
        <v>227</v>
      </c>
      <c r="C43" t="s">
        <v>228</v>
      </c>
    </row>
    <row r="44" spans="1:36" x14ac:dyDescent="0.2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">
      <c r="A64" t="s">
        <v>270</v>
      </c>
      <c r="B64" t="s">
        <v>271</v>
      </c>
      <c r="D64" t="s">
        <v>272</v>
      </c>
    </row>
    <row r="65" spans="1:36" x14ac:dyDescent="0.2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baseColWidth="10" defaultColWidth="8.83203125" defaultRowHeight="15" customHeight="1" x14ac:dyDescent="0.2"/>
  <sheetData>
    <row r="1" spans="1:36" ht="15" customHeight="1" x14ac:dyDescent="0.2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">
      <c r="A10" t="s">
        <v>307</v>
      </c>
    </row>
    <row r="11" spans="1:36" x14ac:dyDescent="0.2">
      <c r="A11" t="s">
        <v>308</v>
      </c>
    </row>
    <row r="12" spans="1:36" x14ac:dyDescent="0.2">
      <c r="A12" t="s">
        <v>309</v>
      </c>
    </row>
    <row r="13" spans="1:36" x14ac:dyDescent="0.2">
      <c r="A13" t="s">
        <v>146</v>
      </c>
    </row>
    <row r="14" spans="1:36" x14ac:dyDescent="0.2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">
      <c r="A15" t="s">
        <v>310</v>
      </c>
      <c r="C15" t="s">
        <v>351</v>
      </c>
    </row>
    <row r="16" spans="1:36" x14ac:dyDescent="0.2">
      <c r="A16" t="s">
        <v>153</v>
      </c>
      <c r="C16" t="s">
        <v>352</v>
      </c>
    </row>
    <row r="17" spans="1:36" x14ac:dyDescent="0.2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">
      <c r="A20" t="s">
        <v>165</v>
      </c>
      <c r="C20" t="s">
        <v>357</v>
      </c>
    </row>
    <row r="21" spans="1:36" x14ac:dyDescent="0.2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">
      <c r="A37" t="s">
        <v>330</v>
      </c>
      <c r="C37" t="s">
        <v>374</v>
      </c>
    </row>
    <row r="38" spans="1:36" x14ac:dyDescent="0.2">
      <c r="A38" t="s">
        <v>218</v>
      </c>
      <c r="C38" t="s">
        <v>375</v>
      </c>
    </row>
    <row r="39" spans="1:36" x14ac:dyDescent="0.2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">
      <c r="A42" t="s">
        <v>227</v>
      </c>
      <c r="C42" t="s">
        <v>379</v>
      </c>
    </row>
    <row r="43" spans="1:36" x14ac:dyDescent="0.2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baseColWidth="10" defaultColWidth="8.83203125" defaultRowHeight="15" x14ac:dyDescent="0.2"/>
  <sheetData>
    <row r="1" spans="1:11" x14ac:dyDescent="0.2">
      <c r="A1" t="s">
        <v>917</v>
      </c>
    </row>
    <row r="2" spans="1:11" x14ac:dyDescent="0.2">
      <c r="A2" t="s">
        <v>918</v>
      </c>
    </row>
    <row r="3" spans="1:11" x14ac:dyDescent="0.2">
      <c r="A3" t="s">
        <v>919</v>
      </c>
    </row>
    <row r="4" spans="1:11" x14ac:dyDescent="0.2">
      <c r="A4" t="s">
        <v>146</v>
      </c>
    </row>
    <row r="5" spans="1:11" x14ac:dyDescent="0.2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baseColWidth="10" defaultColWidth="8.83203125" defaultRowHeight="15" customHeight="1" x14ac:dyDescent="0.2"/>
  <sheetData>
    <row r="1" spans="1:36" ht="15" customHeight="1" x14ac:dyDescent="0.2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">
      <c r="A11" t="s">
        <v>397</v>
      </c>
    </row>
    <row r="12" spans="1:36" x14ac:dyDescent="0.2">
      <c r="A12" t="s">
        <v>398</v>
      </c>
    </row>
    <row r="13" spans="1:36" x14ac:dyDescent="0.2">
      <c r="A13" t="s">
        <v>399</v>
      </c>
    </row>
    <row r="14" spans="1:36" x14ac:dyDescent="0.2">
      <c r="A14" t="s">
        <v>146</v>
      </c>
    </row>
    <row r="15" spans="1:36" x14ac:dyDescent="0.2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">
      <c r="A16" t="s">
        <v>41</v>
      </c>
      <c r="C16" t="s">
        <v>650</v>
      </c>
    </row>
    <row r="17" spans="1:36" x14ac:dyDescent="0.2">
      <c r="A17" t="s">
        <v>400</v>
      </c>
      <c r="C17" t="s">
        <v>651</v>
      </c>
    </row>
    <row r="18" spans="1:36" x14ac:dyDescent="0.2">
      <c r="A18" t="s">
        <v>401</v>
      </c>
      <c r="C18" t="s">
        <v>652</v>
      </c>
    </row>
    <row r="19" spans="1:36" x14ac:dyDescent="0.2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">
      <c r="A29" t="s">
        <v>420</v>
      </c>
      <c r="C29" t="s">
        <v>664</v>
      </c>
    </row>
    <row r="30" spans="1:36" x14ac:dyDescent="0.2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">
      <c r="A40" t="s">
        <v>432</v>
      </c>
      <c r="C40" t="s">
        <v>675</v>
      </c>
    </row>
    <row r="41" spans="1:36" x14ac:dyDescent="0.2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">
      <c r="A52" t="s">
        <v>446</v>
      </c>
      <c r="C52" t="s">
        <v>687</v>
      </c>
    </row>
    <row r="53" spans="1:36" x14ac:dyDescent="0.2">
      <c r="A53" t="s">
        <v>401</v>
      </c>
      <c r="C53" t="s">
        <v>688</v>
      </c>
    </row>
    <row r="54" spans="1:36" x14ac:dyDescent="0.2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">
      <c r="A64" t="s">
        <v>420</v>
      </c>
      <c r="C64" t="s">
        <v>700</v>
      </c>
    </row>
    <row r="65" spans="1:36" x14ac:dyDescent="0.2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">
      <c r="A75" t="s">
        <v>432</v>
      </c>
      <c r="C75" t="s">
        <v>711</v>
      </c>
    </row>
    <row r="76" spans="1:36" x14ac:dyDescent="0.2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">
      <c r="A86" t="s">
        <v>401</v>
      </c>
      <c r="B86" t="s">
        <v>477</v>
      </c>
      <c r="C86" t="s">
        <v>722</v>
      </c>
    </row>
    <row r="87" spans="1:36" x14ac:dyDescent="0.2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">
      <c r="A97" t="s">
        <v>489</v>
      </c>
      <c r="C97" t="s">
        <v>733</v>
      </c>
    </row>
    <row r="98" spans="1:36" x14ac:dyDescent="0.2">
      <c r="A98" t="s">
        <v>401</v>
      </c>
      <c r="C98" t="s">
        <v>734</v>
      </c>
    </row>
    <row r="99" spans="1:36" x14ac:dyDescent="0.2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">
      <c r="A109" t="s">
        <v>420</v>
      </c>
      <c r="C109" t="s">
        <v>747</v>
      </c>
    </row>
    <row r="110" spans="1:36" x14ac:dyDescent="0.2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">
      <c r="A120" t="s">
        <v>432</v>
      </c>
      <c r="C120" t="s">
        <v>759</v>
      </c>
    </row>
    <row r="121" spans="1:36" x14ac:dyDescent="0.2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">
      <c r="A132" t="s">
        <v>525</v>
      </c>
      <c r="C132" t="s">
        <v>771</v>
      </c>
    </row>
    <row r="133" spans="1:36" x14ac:dyDescent="0.2">
      <c r="A133" t="s">
        <v>401</v>
      </c>
      <c r="C133" t="s">
        <v>772</v>
      </c>
    </row>
    <row r="134" spans="1:36" x14ac:dyDescent="0.2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">
      <c r="A144" t="s">
        <v>420</v>
      </c>
      <c r="C144" t="s">
        <v>783</v>
      </c>
    </row>
    <row r="145" spans="1:36" x14ac:dyDescent="0.2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">
      <c r="A155" t="s">
        <v>432</v>
      </c>
      <c r="C155" t="s">
        <v>794</v>
      </c>
    </row>
    <row r="156" spans="1:36" x14ac:dyDescent="0.2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">
      <c r="A167" t="s">
        <v>40</v>
      </c>
      <c r="C167" t="s">
        <v>806</v>
      </c>
    </row>
    <row r="168" spans="1:36" x14ac:dyDescent="0.2">
      <c r="A168" t="s">
        <v>489</v>
      </c>
      <c r="C168" t="s">
        <v>807</v>
      </c>
    </row>
    <row r="169" spans="1:36" x14ac:dyDescent="0.2">
      <c r="A169" t="s">
        <v>401</v>
      </c>
      <c r="C169" t="s">
        <v>808</v>
      </c>
    </row>
    <row r="170" spans="1:36" x14ac:dyDescent="0.2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">
      <c r="A180" t="s">
        <v>420</v>
      </c>
      <c r="C180" t="s">
        <v>819</v>
      </c>
    </row>
    <row r="181" spans="1:36" x14ac:dyDescent="0.2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">
      <c r="A191" t="s">
        <v>432</v>
      </c>
      <c r="C191" t="s">
        <v>830</v>
      </c>
    </row>
    <row r="192" spans="1:36" x14ac:dyDescent="0.2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">
      <c r="A203" t="s">
        <v>588</v>
      </c>
      <c r="C203" t="s">
        <v>842</v>
      </c>
    </row>
    <row r="204" spans="1:36" x14ac:dyDescent="0.2">
      <c r="A204" t="s">
        <v>401</v>
      </c>
      <c r="C204" t="s">
        <v>843</v>
      </c>
    </row>
    <row r="205" spans="1:36" x14ac:dyDescent="0.2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">
      <c r="A215" t="s">
        <v>420</v>
      </c>
      <c r="C215" t="s">
        <v>854</v>
      </c>
    </row>
    <row r="216" spans="1:36" x14ac:dyDescent="0.2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">
      <c r="A226" t="s">
        <v>432</v>
      </c>
      <c r="C226" t="s">
        <v>865</v>
      </c>
    </row>
    <row r="227" spans="1:36" x14ac:dyDescent="0.2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">
      <c r="A238" t="s">
        <v>39</v>
      </c>
      <c r="C238" t="s">
        <v>877</v>
      </c>
    </row>
    <row r="239" spans="1:36" x14ac:dyDescent="0.2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">
      <c r="A241" t="s">
        <v>624</v>
      </c>
      <c r="C241" t="s">
        <v>882</v>
      </c>
    </row>
    <row r="242" spans="1:36" x14ac:dyDescent="0.2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">
      <c r="A246" t="s">
        <v>38</v>
      </c>
      <c r="C246" t="s">
        <v>887</v>
      </c>
    </row>
    <row r="247" spans="1:36" x14ac:dyDescent="0.2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">
      <c r="A249" t="s">
        <v>624</v>
      </c>
      <c r="C249" t="s">
        <v>890</v>
      </c>
    </row>
    <row r="250" spans="1:36" x14ac:dyDescent="0.2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">
      <c r="A254" t="s">
        <v>37</v>
      </c>
      <c r="C254" t="s">
        <v>895</v>
      </c>
    </row>
    <row r="255" spans="1:36" x14ac:dyDescent="0.2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">
      <c r="A258" t="s">
        <v>624</v>
      </c>
      <c r="C258" t="s">
        <v>900</v>
      </c>
    </row>
    <row r="259" spans="1:36" x14ac:dyDescent="0.2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baseColWidth="10" defaultColWidth="8.83203125" defaultRowHeight="15" x14ac:dyDescent="0.2"/>
  <cols>
    <col min="1" max="1" width="16.83203125" customWidth="1"/>
    <col min="2" max="2" width="24.5" customWidth="1"/>
    <col min="3" max="3" width="20.83203125" customWidth="1"/>
    <col min="4" max="4" width="18.33203125" customWidth="1"/>
    <col min="5" max="5" width="17.1640625" customWidth="1"/>
    <col min="6" max="8" width="23.33203125" customWidth="1"/>
    <col min="10" max="10" width="14.5" bestFit="1" customWidth="1"/>
  </cols>
  <sheetData>
    <row r="1" spans="1:10" ht="16" x14ac:dyDescent="0.2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baseColWidth="10" defaultColWidth="8.83203125" defaultRowHeight="15" x14ac:dyDescent="0.2"/>
  <cols>
    <col min="1" max="1" width="16.83203125" customWidth="1"/>
    <col min="2" max="2" width="24.5" customWidth="1"/>
    <col min="3" max="3" width="20.83203125" customWidth="1"/>
    <col min="4" max="4" width="18.33203125" customWidth="1"/>
    <col min="5" max="5" width="17.1640625" customWidth="1"/>
    <col min="6" max="8" width="23.33203125" customWidth="1"/>
    <col min="9" max="9" width="13.5" bestFit="1" customWidth="1"/>
    <col min="10" max="10" width="12.5" bestFit="1" customWidth="1"/>
  </cols>
  <sheetData>
    <row r="1" spans="1:10" ht="16" x14ac:dyDescent="0.2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35" workbookViewId="0">
      <selection activeCell="A61" sqref="A61:AF68"/>
    </sheetView>
  </sheetViews>
  <sheetFormatPr baseColWidth="10" defaultColWidth="9.1640625" defaultRowHeight="15" x14ac:dyDescent="0.2"/>
  <cols>
    <col min="1" max="1" width="28.5" customWidth="1"/>
    <col min="6" max="6" width="13" customWidth="1"/>
    <col min="7" max="7" width="14.33203125" customWidth="1"/>
  </cols>
  <sheetData>
    <row r="1" spans="1:14" x14ac:dyDescent="0.2">
      <c r="A1" s="1" t="s">
        <v>67</v>
      </c>
    </row>
    <row r="2" spans="1:14" x14ac:dyDescent="0.2">
      <c r="A2" s="15">
        <v>5</v>
      </c>
    </row>
    <row r="4" spans="1:14" x14ac:dyDescent="0.2">
      <c r="A4" t="s">
        <v>62</v>
      </c>
    </row>
    <row r="5" spans="1:14" x14ac:dyDescent="0.2">
      <c r="A5" t="s">
        <v>63</v>
      </c>
    </row>
    <row r="6" spans="1:14" x14ac:dyDescent="0.2">
      <c r="A6" t="s">
        <v>64</v>
      </c>
    </row>
    <row r="7" spans="1:14" x14ac:dyDescent="0.2">
      <c r="A7" t="s">
        <v>65</v>
      </c>
    </row>
    <row r="8" spans="1:14" x14ac:dyDescent="0.2">
      <c r="A8" t="s">
        <v>66</v>
      </c>
    </row>
    <row r="10" spans="1:14" x14ac:dyDescent="0.2">
      <c r="A10" s="1" t="s">
        <v>126</v>
      </c>
    </row>
    <row r="11" spans="1:14" x14ac:dyDescent="0.2">
      <c r="A11" s="15">
        <v>4</v>
      </c>
    </row>
    <row r="13" spans="1:14" x14ac:dyDescent="0.2">
      <c r="A13" t="s">
        <v>87</v>
      </c>
    </row>
    <row r="14" spans="1:14" x14ac:dyDescent="0.2">
      <c r="A14" t="s">
        <v>88</v>
      </c>
    </row>
    <row r="15" spans="1:14" x14ac:dyDescent="0.2">
      <c r="A15" t="s">
        <v>64</v>
      </c>
      <c r="N15" s="38"/>
    </row>
    <row r="16" spans="1:14" x14ac:dyDescent="0.2">
      <c r="A16" t="s">
        <v>89</v>
      </c>
      <c r="N16" s="40"/>
    </row>
    <row r="17" spans="1:17" x14ac:dyDescent="0.2">
      <c r="A17" t="s">
        <v>90</v>
      </c>
      <c r="N17" s="39"/>
      <c r="O17" s="41"/>
      <c r="P17" s="41"/>
      <c r="Q17" s="41"/>
    </row>
    <row r="18" spans="1:17" x14ac:dyDescent="0.2">
      <c r="N18" s="41"/>
      <c r="O18" s="42"/>
      <c r="P18" s="42"/>
      <c r="Q18" s="42"/>
    </row>
    <row r="19" spans="1:17" x14ac:dyDescent="0.2">
      <c r="A19" t="s">
        <v>91</v>
      </c>
      <c r="N19" s="41"/>
      <c r="O19" s="42"/>
      <c r="P19" s="42"/>
      <c r="Q19" s="42"/>
    </row>
    <row r="20" spans="1:17" x14ac:dyDescent="0.2">
      <c r="A20" t="s">
        <v>92</v>
      </c>
      <c r="N20" s="41"/>
      <c r="O20" s="42"/>
      <c r="P20" s="42"/>
      <c r="Q20" s="42"/>
    </row>
    <row r="21" spans="1:17" x14ac:dyDescent="0.2">
      <c r="A21" t="s">
        <v>93</v>
      </c>
      <c r="N21" s="41"/>
      <c r="O21" s="42"/>
      <c r="P21" s="42"/>
      <c r="Q21" s="42"/>
    </row>
    <row r="22" spans="1:17" x14ac:dyDescent="0.2">
      <c r="A22" t="s">
        <v>94</v>
      </c>
      <c r="N22" s="41"/>
      <c r="O22" s="42"/>
      <c r="P22" s="42"/>
      <c r="Q22" s="42"/>
    </row>
    <row r="23" spans="1:17" x14ac:dyDescent="0.2">
      <c r="A23" t="s">
        <v>95</v>
      </c>
      <c r="N23" s="41"/>
      <c r="O23" s="42"/>
      <c r="P23" s="42"/>
      <c r="Q23" s="42"/>
    </row>
    <row r="24" spans="1:17" x14ac:dyDescent="0.2">
      <c r="A24" t="s">
        <v>96</v>
      </c>
      <c r="N24" s="41"/>
      <c r="O24" s="42"/>
      <c r="P24" s="42"/>
      <c r="Q24" s="42"/>
    </row>
    <row r="25" spans="1:17" x14ac:dyDescent="0.2">
      <c r="A25" t="s">
        <v>97</v>
      </c>
      <c r="N25" s="41"/>
      <c r="O25" s="43"/>
      <c r="P25" s="42"/>
      <c r="Q25" s="42"/>
    </row>
    <row r="26" spans="1:17" x14ac:dyDescent="0.2">
      <c r="N26" s="41"/>
      <c r="O26" s="43"/>
      <c r="P26" s="42"/>
      <c r="Q26" s="42"/>
    </row>
    <row r="27" spans="1:17" x14ac:dyDescent="0.2">
      <c r="A27" s="1" t="s">
        <v>945</v>
      </c>
      <c r="N27" s="41"/>
      <c r="O27" s="43"/>
      <c r="P27" s="42"/>
      <c r="Q27" s="42"/>
    </row>
    <row r="28" spans="1:17" x14ac:dyDescent="0.2">
      <c r="A28" s="1"/>
      <c r="N28" s="41"/>
      <c r="O28" s="43"/>
      <c r="P28" s="42"/>
      <c r="Q28" s="42"/>
    </row>
    <row r="29" spans="1:17" x14ac:dyDescent="0.2">
      <c r="A29" s="1"/>
      <c r="N29" s="41"/>
      <c r="O29" s="43"/>
      <c r="P29" s="42"/>
      <c r="Q29" s="42"/>
    </row>
    <row r="30" spans="1:17" x14ac:dyDescent="0.2">
      <c r="A30" s="1"/>
      <c r="N30" s="41"/>
      <c r="O30" s="43"/>
      <c r="P30" s="42"/>
      <c r="Q30" s="42"/>
    </row>
    <row r="31" spans="1:17" x14ac:dyDescent="0.2">
      <c r="A31" s="1"/>
      <c r="N31" s="41"/>
      <c r="O31" s="43"/>
      <c r="P31" s="42"/>
      <c r="Q31" s="42"/>
    </row>
    <row r="32" spans="1:17" x14ac:dyDescent="0.2">
      <c r="A32" s="1"/>
      <c r="N32" s="41"/>
      <c r="O32" s="43"/>
      <c r="P32" s="42"/>
      <c r="Q32" s="42"/>
    </row>
    <row r="33" spans="1:17" x14ac:dyDescent="0.2">
      <c r="A33" s="1"/>
      <c r="N33" s="41"/>
      <c r="O33" s="43"/>
      <c r="P33" s="42"/>
      <c r="Q33" s="42"/>
    </row>
    <row r="34" spans="1:17" x14ac:dyDescent="0.2">
      <c r="A34" s="1"/>
      <c r="N34" s="41"/>
      <c r="O34" s="43"/>
      <c r="P34" s="42"/>
      <c r="Q34" s="42"/>
    </row>
    <row r="35" spans="1:17" x14ac:dyDescent="0.2">
      <c r="A35" s="1"/>
      <c r="N35" s="41"/>
      <c r="O35" s="43"/>
      <c r="P35" s="42"/>
      <c r="Q35" s="42"/>
    </row>
    <row r="36" spans="1:17" x14ac:dyDescent="0.2">
      <c r="A36" s="1"/>
      <c r="N36" s="41"/>
      <c r="O36" s="43"/>
      <c r="P36" s="42"/>
      <c r="Q36" s="42"/>
    </row>
    <row r="37" spans="1:17" x14ac:dyDescent="0.2">
      <c r="A37" s="1"/>
      <c r="N37" s="41"/>
      <c r="O37" s="43"/>
      <c r="P37" s="42"/>
      <c r="Q37" s="42"/>
    </row>
    <row r="38" spans="1:17" x14ac:dyDescent="0.2">
      <c r="A38" s="1"/>
      <c r="N38" s="41"/>
      <c r="O38" s="43"/>
      <c r="P38" s="42"/>
      <c r="Q38" s="42"/>
    </row>
    <row r="39" spans="1:17" x14ac:dyDescent="0.2">
      <c r="N39" s="41"/>
      <c r="O39" s="43"/>
      <c r="P39" s="42"/>
      <c r="Q39" s="42"/>
    </row>
    <row r="40" spans="1:17" x14ac:dyDescent="0.2">
      <c r="N40" s="41"/>
      <c r="O40" s="43"/>
      <c r="P40" s="42"/>
      <c r="Q40" s="42"/>
    </row>
    <row r="41" spans="1:17" x14ac:dyDescent="0.2">
      <c r="A41" t="s">
        <v>946</v>
      </c>
      <c r="N41" s="41"/>
      <c r="O41" s="43"/>
      <c r="P41" s="42"/>
      <c r="Q41" s="42"/>
    </row>
    <row r="42" spans="1:17" x14ac:dyDescent="0.2">
      <c r="A42" t="s">
        <v>947</v>
      </c>
      <c r="N42" s="41"/>
      <c r="O42" s="43"/>
      <c r="P42" s="42"/>
      <c r="Q42" s="42"/>
    </row>
    <row r="43" spans="1:17" x14ac:dyDescent="0.2">
      <c r="A43" t="s">
        <v>948</v>
      </c>
      <c r="N43" s="41"/>
      <c r="O43" s="43"/>
      <c r="P43" s="42"/>
      <c r="Q43" s="42"/>
    </row>
    <row r="44" spans="1:17" x14ac:dyDescent="0.2">
      <c r="N44" s="41"/>
      <c r="O44" s="43"/>
      <c r="P44" s="42"/>
      <c r="Q44" s="42"/>
    </row>
    <row r="45" spans="1:17" x14ac:dyDescent="0.2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61" x14ac:dyDescent="0.2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2" x14ac:dyDescent="0.2">
      <c r="F76" s="46" t="s">
        <v>971</v>
      </c>
      <c r="G76">
        <v>64</v>
      </c>
    </row>
    <row r="77" spans="1:32" ht="32" x14ac:dyDescent="0.2">
      <c r="F77" s="46" t="s">
        <v>972</v>
      </c>
      <c r="G77">
        <v>52</v>
      </c>
    </row>
    <row r="78" spans="1:32" ht="32" x14ac:dyDescent="0.2">
      <c r="F78" s="46" t="s">
        <v>973</v>
      </c>
      <c r="G78" s="35">
        <f>G77/G76</f>
        <v>0.8125</v>
      </c>
    </row>
    <row r="80" spans="1:32" ht="32" x14ac:dyDescent="0.2">
      <c r="F80" s="46" t="s">
        <v>974</v>
      </c>
      <c r="G80" s="35">
        <v>0.27</v>
      </c>
    </row>
    <row r="81" spans="1:17" ht="32" x14ac:dyDescent="0.2">
      <c r="F81" s="46" t="s">
        <v>975</v>
      </c>
      <c r="G81" s="35">
        <f>G80*G78</f>
        <v>0.21937500000000001</v>
      </c>
    </row>
    <row r="82" spans="1:17" ht="32" x14ac:dyDescent="0.2">
      <c r="A82" t="s">
        <v>977</v>
      </c>
      <c r="F82" s="46" t="s">
        <v>976</v>
      </c>
      <c r="G82" s="35">
        <f>G80-G81</f>
        <v>5.0625000000000003E-2</v>
      </c>
    </row>
    <row r="83" spans="1:17" x14ac:dyDescent="0.2">
      <c r="A83" t="s">
        <v>978</v>
      </c>
    </row>
    <row r="84" spans="1:17" x14ac:dyDescent="0.2">
      <c r="A84" t="s">
        <v>979</v>
      </c>
    </row>
    <row r="85" spans="1:17" x14ac:dyDescent="0.2">
      <c r="A85" t="s">
        <v>980</v>
      </c>
    </row>
    <row r="86" spans="1:17" x14ac:dyDescent="0.2">
      <c r="A86" t="s">
        <v>981</v>
      </c>
    </row>
    <row r="87" spans="1:17" x14ac:dyDescent="0.2">
      <c r="A87" t="s">
        <v>985</v>
      </c>
    </row>
    <row r="88" spans="1:17" x14ac:dyDescent="0.2">
      <c r="A88" t="s">
        <v>986</v>
      </c>
    </row>
    <row r="91" spans="1:17" x14ac:dyDescent="0.2">
      <c r="A91" s="34" t="s">
        <v>916</v>
      </c>
    </row>
    <row r="93" spans="1:17" x14ac:dyDescent="0.2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">
      <c r="K103" t="s">
        <v>934</v>
      </c>
    </row>
    <row r="114" spans="1:2" x14ac:dyDescent="0.2">
      <c r="A114" t="s">
        <v>932</v>
      </c>
    </row>
    <row r="116" spans="1:2" x14ac:dyDescent="0.2">
      <c r="A116" t="s">
        <v>935</v>
      </c>
      <c r="B116">
        <f>SUM('AEO 49'!E210,'AEO 49'!E221,'AEO 44'!G36)</f>
        <v>1.326343</v>
      </c>
    </row>
    <row r="117" spans="1:2" x14ac:dyDescent="0.2">
      <c r="A117" t="s">
        <v>936</v>
      </c>
      <c r="B117">
        <f>SUM('AEO 49'!E214,'AEO 49'!E225,'AEO 44'!K36)</f>
        <v>1079.7512820000002</v>
      </c>
    </row>
    <row r="118" spans="1:2" x14ac:dyDescent="0.2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abSelected="1" topLeftCell="A45" workbookViewId="0">
      <selection activeCell="F83" sqref="F83"/>
    </sheetView>
  </sheetViews>
  <sheetFormatPr baseColWidth="10" defaultColWidth="9.1640625" defaultRowHeight="15" x14ac:dyDescent="0.2"/>
  <cols>
    <col min="1" max="1" width="23.33203125" customWidth="1"/>
    <col min="2" max="2" width="18.83203125" customWidth="1"/>
    <col min="3" max="3" width="24.1640625" customWidth="1"/>
    <col min="4" max="4" width="14.6640625" customWidth="1"/>
    <col min="5" max="5" width="16.33203125" customWidth="1"/>
    <col min="6" max="6" width="18" style="7" customWidth="1"/>
    <col min="8" max="9" width="9.1640625" customWidth="1"/>
  </cols>
  <sheetData>
    <row r="1" spans="1:38" x14ac:dyDescent="0.2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6" thickBot="1" x14ac:dyDescent="0.25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">
      <c r="A5" t="s">
        <v>106</v>
      </c>
    </row>
    <row r="6" spans="1:38" ht="32" x14ac:dyDescent="0.2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8" x14ac:dyDescent="0.2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6" thickBot="1" x14ac:dyDescent="0.25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6" thickBot="1" x14ac:dyDescent="0.25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6" thickBot="1" x14ac:dyDescent="0.25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6" thickBot="1" x14ac:dyDescent="0.25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6" thickBot="1" x14ac:dyDescent="0.25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6" thickBot="1" x14ac:dyDescent="0.25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6" thickBot="1" x14ac:dyDescent="0.25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6" thickBot="1" x14ac:dyDescent="0.25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6" thickBot="1" x14ac:dyDescent="0.25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6" thickBot="1" x14ac:dyDescent="0.25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">
      <c r="C82" t="s">
        <v>3</v>
      </c>
      <c r="D82">
        <v>1</v>
      </c>
      <c r="E82">
        <v>1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1</v>
      </c>
      <c r="I82">
        <f>IF($F82="s-curve",$D82+($E82-$D82)*$I$2/(1+EXP($I$3*(COUNT($H$9:I$9)+$I$4))),TREND($D82:$E82,$D$9:$E$9,I$9))</f>
        <v>1</v>
      </c>
      <c r="J82">
        <f>IF($F82="s-curve",$D82+($E82-$D82)*$I$2/(1+EXP($I$3*(COUNT($H$9:J$9)+$I$4))),TREND($D82:$E82,$D$9:$E$9,J$9))</f>
        <v>1</v>
      </c>
      <c r="K82">
        <f>IF($F82="s-curve",$D82+($E82-$D82)*$I$2/(1+EXP($I$3*(COUNT($H$9:K$9)+$I$4))),TREND($D82:$E82,$D$9:$E$9,K$9))</f>
        <v>1</v>
      </c>
      <c r="L82">
        <f>IF($F82="s-curve",$D82+($E82-$D82)*$I$2/(1+EXP($I$3*(COUNT($H$9:L$9)+$I$4))),TREND($D82:$E82,$D$9:$E$9,L$9))</f>
        <v>1</v>
      </c>
      <c r="M82">
        <f>IF($F82="s-curve",$D82+($E82-$D82)*$I$2/(1+EXP($I$3*(COUNT($H$9:M$9)+$I$4))),TREND($D82:$E82,$D$9:$E$9,M$9))</f>
        <v>1</v>
      </c>
      <c r="N82">
        <f>IF($F82="s-curve",$D82+($E82-$D82)*$I$2/(1+EXP($I$3*(COUNT($H$9:N$9)+$I$4))),TREND($D82:$E82,$D$9:$E$9,N$9))</f>
        <v>1</v>
      </c>
      <c r="O82">
        <f>IF($F82="s-curve",$D82+($E82-$D82)*$I$2/(1+EXP($I$3*(COUNT($H$9:O$9)+$I$4))),TREND($D82:$E82,$D$9:$E$9,O$9))</f>
        <v>1</v>
      </c>
      <c r="P82">
        <f>IF($F82="s-curve",$D82+($E82-$D82)*$I$2/(1+EXP($I$3*(COUNT($H$9:P$9)+$I$4))),TREND($D82:$E82,$D$9:$E$9,P$9))</f>
        <v>1</v>
      </c>
      <c r="Q82">
        <f>IF($F82="s-curve",$D82+($E82-$D82)*$I$2/(1+EXP($I$3*(COUNT($H$9:Q$9)+$I$4))),TREND($D82:$E82,$D$9:$E$9,Q$9))</f>
        <v>1</v>
      </c>
      <c r="R82">
        <f>IF($F82="s-curve",$D82+($E82-$D82)*$I$2/(1+EXP($I$3*(COUNT($H$9:R$9)+$I$4))),TREND($D82:$E82,$D$9:$E$9,R$9))</f>
        <v>1</v>
      </c>
      <c r="S82">
        <f>IF($F82="s-curve",$D82+($E82-$D82)*$I$2/(1+EXP($I$3*(COUNT($H$9:S$9)+$I$4))),TREND($D82:$E82,$D$9:$E$9,S$9))</f>
        <v>1</v>
      </c>
      <c r="T82">
        <f>IF($F82="s-curve",$D82+($E82-$D82)*$I$2/(1+EXP($I$3*(COUNT($H$9:T$9)+$I$4))),TREND($D82:$E82,$D$9:$E$9,T$9))</f>
        <v>1</v>
      </c>
      <c r="U82">
        <f>IF($F82="s-curve",$D82+($E82-$D82)*$I$2/(1+EXP($I$3*(COUNT($H$9:U$9)+$I$4))),TREND($D82:$E82,$D$9:$E$9,U$9))</f>
        <v>1</v>
      </c>
      <c r="V82">
        <f>IF($F82="s-curve",$D82+($E82-$D82)*$I$2/(1+EXP($I$3*(COUNT($H$9:V$9)+$I$4))),TREND($D82:$E82,$D$9:$E$9,V$9))</f>
        <v>1</v>
      </c>
      <c r="W82">
        <f>IF($F82="s-curve",$D82+($E82-$D82)*$I$2/(1+EXP($I$3*(COUNT($H$9:W$9)+$I$4))),TREND($D82:$E82,$D$9:$E$9,W$9))</f>
        <v>1</v>
      </c>
      <c r="X82">
        <f>IF($F82="s-curve",$D82+($E82-$D82)*$I$2/(1+EXP($I$3*(COUNT($H$9:X$9)+$I$4))),TREND($D82:$E82,$D$9:$E$9,X$9))</f>
        <v>1</v>
      </c>
      <c r="Y82">
        <f>IF($F82="s-curve",$D82+($E82-$D82)*$I$2/(1+EXP($I$3*(COUNT($H$9:Y$9)+$I$4))),TREND($D82:$E82,$D$9:$E$9,Y$9))</f>
        <v>1</v>
      </c>
      <c r="Z82">
        <f>IF($F82="s-curve",$D82+($E82-$D82)*$I$2/(1+EXP($I$3*(COUNT($H$9:Z$9)+$I$4))),TREND($D82:$E82,$D$9:$E$9,Z$9))</f>
        <v>1</v>
      </c>
      <c r="AA82">
        <f>IF($F82="s-curve",$D82+($E82-$D82)*$I$2/(1+EXP($I$3*(COUNT($H$9:AA$9)+$I$4))),TREND($D82:$E82,$D$9:$E$9,AA$9))</f>
        <v>1</v>
      </c>
      <c r="AB82">
        <f>IF($F82="s-curve",$D82+($E82-$D82)*$I$2/(1+EXP($I$3*(COUNT($H$9:AB$9)+$I$4))),TREND($D82:$E82,$D$9:$E$9,AB$9))</f>
        <v>1</v>
      </c>
      <c r="AC82">
        <f>IF($F82="s-curve",$D82+($E82-$D82)*$I$2/(1+EXP($I$3*(COUNT($H$9:AC$9)+$I$4))),TREND($D82:$E82,$D$9:$E$9,AC$9))</f>
        <v>1</v>
      </c>
      <c r="AD82">
        <f>IF($F82="s-curve",$D82+($E82-$D82)*$I$2/(1+EXP($I$3*(COUNT($H$9:AD$9)+$I$4))),TREND($D82:$E82,$D$9:$E$9,AD$9))</f>
        <v>1</v>
      </c>
      <c r="AE82">
        <f>IF($F82="s-curve",$D82+($E82-$D82)*$I$2/(1+EXP($I$3*(COUNT($H$9:AE$9)+$I$4))),TREND($D82:$E82,$D$9:$E$9,AE$9))</f>
        <v>1</v>
      </c>
      <c r="AF82">
        <f>IF($F82="s-curve",$D82+($E82-$D82)*$I$2/(1+EXP($I$3*(COUNT($H$9:AF$9)+$I$4))),TREND($D82:$E82,$D$9:$E$9,AF$9))</f>
        <v>1</v>
      </c>
      <c r="AG82">
        <f>IF($F82="s-curve",$D82+($E82-$D82)*$I$2/(1+EXP($I$3*(COUNT($H$9:AG$9)+$I$4))),TREND($D82:$E82,$D$9:$E$9,AG$9))</f>
        <v>1</v>
      </c>
      <c r="AH82">
        <f>IF($F82="s-curve",$D82+($E82-$D82)*$I$2/(1+EXP($I$3*(COUNT($H$9:AH$9)+$I$4))),TREND($D82:$E82,$D$9:$E$9,AH$9))</f>
        <v>1</v>
      </c>
      <c r="AI82">
        <f>IF($F82="s-curve",$D82+($E82-$D82)*$I$2/(1+EXP($I$3*(COUNT($H$9:AI$9)+$I$4))),TREND($D82:$E82,$D$9:$E$9,AI$9))</f>
        <v>1</v>
      </c>
      <c r="AJ82">
        <f>IF($F82="s-curve",$D82+($E82-$D82)*$I$2/(1+EXP($I$3*(COUNT($H$9:AJ$9)+$I$4))),TREND($D82:$E82,$D$9:$E$9,AJ$9))</f>
        <v>1</v>
      </c>
      <c r="AK82">
        <f>IF($F82="s-curve",$D82+($E82-$D82)*$I$2/(1+EXP($I$3*(COUNT($H$9:AK$9)+$I$4))),TREND($D82:$E82,$D$9:$E$9,AK$9))</f>
        <v>1</v>
      </c>
      <c r="AL82">
        <f>IF($F82="s-curve",$D82+($E82-$D82)*$I$2/(1+EXP($I$3*(COUNT($H$9:AL$9)+$I$4))),TREND($D82:$E82,$D$9:$E$9,AL$9))</f>
        <v>1</v>
      </c>
    </row>
    <row r="83" spans="1:38" x14ac:dyDescent="0.2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6" thickBot="1" x14ac:dyDescent="0.25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6" thickBot="1" x14ac:dyDescent="0.25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05126-0097-8C42-9F84-7E65D20BA04B}">
  <dimension ref="A1:AH13"/>
  <sheetViews>
    <sheetView topLeftCell="U1" workbookViewId="0">
      <selection activeCell="AH2" sqref="AH2"/>
    </sheetView>
  </sheetViews>
  <sheetFormatPr baseColWidth="10" defaultRowHeight="15" x14ac:dyDescent="0.2"/>
  <sheetData>
    <row r="1" spans="1:34" x14ac:dyDescent="0.2">
      <c r="A1" t="s">
        <v>920</v>
      </c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">
      <c r="A2" t="s">
        <v>987</v>
      </c>
      <c r="B2">
        <v>5.0000000000000001E-3</v>
      </c>
      <c r="C2">
        <v>5.0000000000000001E-3</v>
      </c>
      <c r="D2">
        <v>5.0000000000000001E-3</v>
      </c>
      <c r="E2">
        <v>5.0000000000000001E-3</v>
      </c>
      <c r="F2">
        <v>0.01</v>
      </c>
      <c r="G2">
        <v>2.8000000000000001E-2</v>
      </c>
      <c r="H2">
        <f>$G$2+(($N$2-$G$2)/($N$1-$G$1))*(H1-$G$1)</f>
        <v>4.9714285714285711E-2</v>
      </c>
      <c r="I2">
        <f t="shared" ref="I2:M2" si="0">$G$2+(($N$2-$G$2)/($N$1-$G$1))*(I1-$G$1)</f>
        <v>7.1428571428571425E-2</v>
      </c>
      <c r="J2">
        <f t="shared" si="0"/>
        <v>9.3142857142857138E-2</v>
      </c>
      <c r="K2">
        <f t="shared" si="0"/>
        <v>0.11485714285714285</v>
      </c>
      <c r="L2">
        <f t="shared" si="0"/>
        <v>0.13657142857142857</v>
      </c>
      <c r="M2">
        <f t="shared" si="0"/>
        <v>0.15828571428571428</v>
      </c>
      <c r="N2">
        <v>0.18</v>
      </c>
      <c r="O2">
        <f>ROUND(_xlfn.FORECAST.LINEAR(O1,$K$2:$N$2,$K$1:$N$1),3)</f>
        <v>0.20200000000000001</v>
      </c>
      <c r="P2">
        <f>ROUND(O2*(1+0.04),3)</f>
        <v>0.21</v>
      </c>
      <c r="Q2">
        <f t="shared" ref="Q2:AH2" si="1">ROUND(P2*(1+0.04),3)</f>
        <v>0.218</v>
      </c>
      <c r="R2">
        <f t="shared" si="1"/>
        <v>0.22700000000000001</v>
      </c>
      <c r="S2">
        <f t="shared" si="1"/>
        <v>0.23599999999999999</v>
      </c>
      <c r="T2">
        <f t="shared" si="1"/>
        <v>0.245</v>
      </c>
      <c r="U2">
        <f t="shared" si="1"/>
        <v>0.255</v>
      </c>
      <c r="V2">
        <f t="shared" si="1"/>
        <v>0.26500000000000001</v>
      </c>
      <c r="W2">
        <f t="shared" si="1"/>
        <v>0.27600000000000002</v>
      </c>
      <c r="X2">
        <f t="shared" si="1"/>
        <v>0.28699999999999998</v>
      </c>
      <c r="Y2">
        <f t="shared" si="1"/>
        <v>0.29799999999999999</v>
      </c>
      <c r="Z2">
        <f t="shared" si="1"/>
        <v>0.31</v>
      </c>
      <c r="AA2">
        <f t="shared" si="1"/>
        <v>0.32200000000000001</v>
      </c>
      <c r="AB2">
        <f t="shared" si="1"/>
        <v>0.33500000000000002</v>
      </c>
      <c r="AC2">
        <f t="shared" si="1"/>
        <v>0.34799999999999998</v>
      </c>
      <c r="AD2">
        <f t="shared" si="1"/>
        <v>0.36199999999999999</v>
      </c>
      <c r="AE2">
        <f t="shared" si="1"/>
        <v>0.376</v>
      </c>
      <c r="AF2">
        <f t="shared" si="1"/>
        <v>0.39100000000000001</v>
      </c>
      <c r="AG2">
        <f t="shared" si="1"/>
        <v>0.40699999999999997</v>
      </c>
      <c r="AH2">
        <f t="shared" si="1"/>
        <v>0.42299999999999999</v>
      </c>
    </row>
    <row r="11" spans="1:34" x14ac:dyDescent="0.2">
      <c r="AC11" s="44"/>
      <c r="AD11" s="44"/>
      <c r="AE11" s="44"/>
      <c r="AF11" s="44"/>
    </row>
    <row r="12" spans="1:34" x14ac:dyDescent="0.2">
      <c r="B12" s="44"/>
    </row>
    <row r="13" spans="1:34" x14ac:dyDescent="0.2">
      <c r="B13" s="44"/>
    </row>
  </sheetData>
  <pageMargins left="0.7" right="0.7" top="0.75" bottom="0.75" header="0.3" footer="0.3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Z8"/>
  <sheetViews>
    <sheetView topLeftCell="X1" workbookViewId="0">
      <selection activeCell="AG1" sqref="AG1:AZ8"/>
    </sheetView>
  </sheetViews>
  <sheetFormatPr baseColWidth="10" defaultColWidth="9.1640625" defaultRowHeight="15" x14ac:dyDescent="0.2"/>
  <cols>
    <col min="1" max="1" width="24.5" customWidth="1"/>
  </cols>
  <sheetData>
    <row r="1" spans="1:52" ht="32" x14ac:dyDescent="0.2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 x14ac:dyDescent="0.2">
      <c r="A2" t="s">
        <v>1</v>
      </c>
      <c r="B2">
        <f>'EV Sales Share'!D2</f>
        <v>5.0000000000000001E-3</v>
      </c>
      <c r="C2">
        <f>'EV Sales Share'!E2</f>
        <v>5.0000000000000001E-3</v>
      </c>
      <c r="D2">
        <f>'EV Sales Share'!F2</f>
        <v>0.01</v>
      </c>
      <c r="E2">
        <f>'EV Sales Share'!G2</f>
        <v>2.8000000000000001E-2</v>
      </c>
      <c r="F2">
        <f>'EV Sales Share'!H2</f>
        <v>4.9714285714285711E-2</v>
      </c>
      <c r="G2">
        <f>'EV Sales Share'!I2</f>
        <v>7.1428571428571425E-2</v>
      </c>
      <c r="H2">
        <f>'EV Sales Share'!J2</f>
        <v>9.3142857142857138E-2</v>
      </c>
      <c r="I2">
        <f>'EV Sales Share'!K2</f>
        <v>0.11485714285714285</v>
      </c>
      <c r="J2">
        <f>'EV Sales Share'!L2</f>
        <v>0.13657142857142857</v>
      </c>
      <c r="K2">
        <f>'EV Sales Share'!M2</f>
        <v>0.15828571428571428</v>
      </c>
      <c r="L2">
        <f>'EV Sales Share'!N2</f>
        <v>0.18</v>
      </c>
      <c r="M2">
        <f>'EV Sales Share'!O2</f>
        <v>0.20200000000000001</v>
      </c>
      <c r="N2">
        <f>'EV Sales Share'!P2</f>
        <v>0.21</v>
      </c>
      <c r="O2">
        <f>'EV Sales Share'!Q2</f>
        <v>0.218</v>
      </c>
      <c r="P2">
        <f>'EV Sales Share'!R2</f>
        <v>0.22700000000000001</v>
      </c>
      <c r="Q2">
        <f>'EV Sales Share'!S2</f>
        <v>0.23599999999999999</v>
      </c>
      <c r="R2">
        <f>'EV Sales Share'!T2</f>
        <v>0.245</v>
      </c>
      <c r="S2">
        <f>'EV Sales Share'!U2</f>
        <v>0.255</v>
      </c>
      <c r="T2">
        <f>'EV Sales Share'!V2</f>
        <v>0.26500000000000001</v>
      </c>
      <c r="U2">
        <f>'EV Sales Share'!W2</f>
        <v>0.27600000000000002</v>
      </c>
      <c r="V2">
        <f>'EV Sales Share'!X2</f>
        <v>0.28699999999999998</v>
      </c>
      <c r="W2">
        <f>'EV Sales Share'!Y2</f>
        <v>0.29799999999999999</v>
      </c>
      <c r="X2">
        <f>'EV Sales Share'!Z2</f>
        <v>0.31</v>
      </c>
      <c r="Y2">
        <f>'EV Sales Share'!AA2</f>
        <v>0.32200000000000001</v>
      </c>
      <c r="Z2">
        <f>'EV Sales Share'!AB2</f>
        <v>0.33500000000000002</v>
      </c>
      <c r="AA2">
        <f>'EV Sales Share'!AC2</f>
        <v>0.34799999999999998</v>
      </c>
      <c r="AB2">
        <f>'EV Sales Share'!AD2</f>
        <v>0.36199999999999999</v>
      </c>
      <c r="AC2">
        <f>'EV Sales Share'!AE2</f>
        <v>0.376</v>
      </c>
      <c r="AD2">
        <f>'EV Sales Share'!AF2</f>
        <v>0.39100000000000001</v>
      </c>
      <c r="AE2">
        <f>'EV Sales Share'!AG2</f>
        <v>0.40699999999999997</v>
      </c>
      <c r="AF2">
        <f>'EV Sales Share'!AH2</f>
        <v>0.42299999999999999</v>
      </c>
      <c r="AG2">
        <f>_xlfn.FORECAST.LINEAR(AG$1,$B2:$AF2,$B$1:$AF$1)</f>
        <v>0.44146451612903093</v>
      </c>
      <c r="AH2">
        <f t="shared" ref="AH2:AZ8" si="0">_xlfn.FORECAST.LINEAR(AH$1,$B2:$AF2,$B$1:$AF$1)</f>
        <v>0.4552556451612908</v>
      </c>
      <c r="AI2">
        <f t="shared" si="0"/>
        <v>0.46904677419354712</v>
      </c>
      <c r="AJ2">
        <f t="shared" si="0"/>
        <v>0.482837903225807</v>
      </c>
      <c r="AK2">
        <f t="shared" si="0"/>
        <v>0.49662903225806332</v>
      </c>
      <c r="AL2">
        <f t="shared" si="0"/>
        <v>0.51042016129032319</v>
      </c>
      <c r="AM2">
        <f t="shared" si="0"/>
        <v>0.52421129032257952</v>
      </c>
      <c r="AN2">
        <f t="shared" si="0"/>
        <v>0.53800241935483939</v>
      </c>
      <c r="AO2">
        <f t="shared" si="0"/>
        <v>0.55179354838709571</v>
      </c>
      <c r="AP2">
        <f t="shared" si="0"/>
        <v>0.56558467741935559</v>
      </c>
      <c r="AQ2">
        <f t="shared" si="0"/>
        <v>0.57937580645161191</v>
      </c>
      <c r="AR2">
        <f t="shared" si="0"/>
        <v>0.59316693548387178</v>
      </c>
      <c r="AS2">
        <f t="shared" si="0"/>
        <v>0.6069580645161281</v>
      </c>
      <c r="AT2">
        <f t="shared" si="0"/>
        <v>0.62074919354838798</v>
      </c>
      <c r="AU2">
        <f t="shared" si="0"/>
        <v>0.6345403225806443</v>
      </c>
      <c r="AV2">
        <f t="shared" si="0"/>
        <v>0.64833145161290417</v>
      </c>
      <c r="AW2">
        <f t="shared" si="0"/>
        <v>0.6621225806451605</v>
      </c>
      <c r="AX2">
        <f t="shared" si="0"/>
        <v>0.67591370967742037</v>
      </c>
      <c r="AY2">
        <f t="shared" si="0"/>
        <v>0.68970483870967669</v>
      </c>
      <c r="AZ2">
        <f t="shared" si="0"/>
        <v>0.70349596774193657</v>
      </c>
    </row>
    <row r="3" spans="1:52" x14ac:dyDescent="0.2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  <c r="AG3">
        <f t="shared" ref="AG3:AV8" si="1">_xlfn.FORECAST.LINEAR(AG$1,$B3:$AF3,$B$1:$AF$1)</f>
        <v>1.3765958881985091E-3</v>
      </c>
      <c r="AH3">
        <f t="shared" si="1"/>
        <v>1.4121537648702776E-3</v>
      </c>
      <c r="AI3">
        <f t="shared" si="1"/>
        <v>1.447711641542046E-3</v>
      </c>
      <c r="AJ3">
        <f t="shared" si="1"/>
        <v>1.4832695182138145E-3</v>
      </c>
      <c r="AK3">
        <f t="shared" si="1"/>
        <v>1.5188273948855968E-3</v>
      </c>
      <c r="AL3">
        <f t="shared" si="1"/>
        <v>1.5543852715573653E-3</v>
      </c>
      <c r="AM3">
        <f t="shared" si="1"/>
        <v>1.5899431482291337E-3</v>
      </c>
      <c r="AN3">
        <f t="shared" si="1"/>
        <v>1.6255010249009022E-3</v>
      </c>
      <c r="AO3">
        <f t="shared" si="1"/>
        <v>1.6610589015726707E-3</v>
      </c>
      <c r="AP3">
        <f t="shared" si="1"/>
        <v>1.6966167782444391E-3</v>
      </c>
      <c r="AQ3">
        <f t="shared" si="1"/>
        <v>1.7321746549162076E-3</v>
      </c>
      <c r="AR3">
        <f t="shared" si="1"/>
        <v>1.7677325315879761E-3</v>
      </c>
      <c r="AS3">
        <f t="shared" si="1"/>
        <v>1.8032904082597445E-3</v>
      </c>
      <c r="AT3">
        <f t="shared" si="1"/>
        <v>1.838848284931513E-3</v>
      </c>
      <c r="AU3">
        <f t="shared" si="1"/>
        <v>1.8744061616032814E-3</v>
      </c>
      <c r="AV3">
        <f t="shared" si="1"/>
        <v>1.9099640382750499E-3</v>
      </c>
      <c r="AW3">
        <f t="shared" si="0"/>
        <v>1.9455219149468322E-3</v>
      </c>
      <c r="AX3">
        <f t="shared" si="0"/>
        <v>1.9810797916186007E-3</v>
      </c>
      <c r="AY3">
        <f t="shared" si="0"/>
        <v>2.0166376682903692E-3</v>
      </c>
      <c r="AZ3">
        <f t="shared" si="0"/>
        <v>2.0521955449621376E-3</v>
      </c>
    </row>
    <row r="4" spans="1:52" x14ac:dyDescent="0.2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  <c r="AG4">
        <f t="shared" si="1"/>
        <v>3</v>
      </c>
      <c r="AH4">
        <f t="shared" si="0"/>
        <v>3</v>
      </c>
      <c r="AI4">
        <f t="shared" si="0"/>
        <v>3</v>
      </c>
      <c r="AJ4">
        <f t="shared" si="0"/>
        <v>3</v>
      </c>
      <c r="AK4">
        <f t="shared" si="0"/>
        <v>3</v>
      </c>
      <c r="AL4">
        <f t="shared" si="0"/>
        <v>3</v>
      </c>
      <c r="AM4">
        <f t="shared" si="0"/>
        <v>3</v>
      </c>
      <c r="AN4">
        <f t="shared" si="0"/>
        <v>3</v>
      </c>
      <c r="AO4">
        <f t="shared" si="0"/>
        <v>3</v>
      </c>
      <c r="AP4">
        <f t="shared" si="0"/>
        <v>3</v>
      </c>
      <c r="AQ4">
        <f t="shared" si="0"/>
        <v>3</v>
      </c>
      <c r="AR4">
        <f t="shared" si="0"/>
        <v>3</v>
      </c>
      <c r="AS4">
        <f t="shared" si="0"/>
        <v>3</v>
      </c>
      <c r="AT4">
        <f t="shared" si="0"/>
        <v>3</v>
      </c>
      <c r="AU4">
        <f t="shared" si="0"/>
        <v>3</v>
      </c>
      <c r="AV4">
        <f t="shared" si="0"/>
        <v>3</v>
      </c>
      <c r="AW4">
        <f t="shared" si="0"/>
        <v>3</v>
      </c>
      <c r="AX4">
        <f t="shared" si="0"/>
        <v>3</v>
      </c>
      <c r="AY4">
        <f t="shared" si="0"/>
        <v>3</v>
      </c>
      <c r="AZ4">
        <f t="shared" si="0"/>
        <v>3</v>
      </c>
    </row>
    <row r="5" spans="1:52" x14ac:dyDescent="0.2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  <c r="AG5">
        <f t="shared" si="1"/>
        <v>3.1705284170691295E-2</v>
      </c>
      <c r="AH5">
        <f t="shared" si="0"/>
        <v>3.2592104413876166E-2</v>
      </c>
      <c r="AI5">
        <f t="shared" si="0"/>
        <v>3.347892465706126E-2</v>
      </c>
      <c r="AJ5">
        <f t="shared" si="0"/>
        <v>3.4365744900246131E-2</v>
      </c>
      <c r="AK5">
        <f t="shared" si="0"/>
        <v>3.5252565143431003E-2</v>
      </c>
      <c r="AL5">
        <f t="shared" si="0"/>
        <v>3.6139385386615874E-2</v>
      </c>
      <c r="AM5">
        <f t="shared" si="0"/>
        <v>3.7026205629800968E-2</v>
      </c>
      <c r="AN5">
        <f t="shared" si="0"/>
        <v>3.7913025872985839E-2</v>
      </c>
      <c r="AO5">
        <f t="shared" si="0"/>
        <v>3.8799846116170711E-2</v>
      </c>
      <c r="AP5">
        <f t="shared" si="0"/>
        <v>3.9686666359355804E-2</v>
      </c>
      <c r="AQ5">
        <f t="shared" si="0"/>
        <v>4.0573486602540676E-2</v>
      </c>
      <c r="AR5">
        <f t="shared" si="0"/>
        <v>4.1460306845725547E-2</v>
      </c>
      <c r="AS5">
        <f t="shared" si="0"/>
        <v>4.2347127088910641E-2</v>
      </c>
      <c r="AT5">
        <f t="shared" si="0"/>
        <v>4.3233947332095513E-2</v>
      </c>
      <c r="AU5">
        <f t="shared" si="0"/>
        <v>4.4120767575280384E-2</v>
      </c>
      <c r="AV5">
        <f t="shared" si="0"/>
        <v>4.5007587818465478E-2</v>
      </c>
      <c r="AW5">
        <f t="shared" si="0"/>
        <v>4.5894408061650349E-2</v>
      </c>
      <c r="AX5">
        <f t="shared" si="0"/>
        <v>4.6781228304835221E-2</v>
      </c>
      <c r="AY5">
        <f t="shared" si="0"/>
        <v>4.7668048548020314E-2</v>
      </c>
      <c r="AZ5">
        <f t="shared" si="0"/>
        <v>4.8554868791205186E-2</v>
      </c>
    </row>
    <row r="6" spans="1:52" x14ac:dyDescent="0.2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  <c r="AG6">
        <f t="shared" si="1"/>
        <v>0.39778782460026818</v>
      </c>
      <c r="AH6">
        <f t="shared" si="0"/>
        <v>0.40505317297535726</v>
      </c>
      <c r="AI6">
        <f t="shared" si="0"/>
        <v>0.41231852135044633</v>
      </c>
      <c r="AJ6">
        <f t="shared" si="0"/>
        <v>0.41958386972553541</v>
      </c>
      <c r="AK6">
        <f t="shared" si="0"/>
        <v>0.42684921810062271</v>
      </c>
      <c r="AL6">
        <f t="shared" si="0"/>
        <v>0.43411456647571178</v>
      </c>
      <c r="AM6">
        <f t="shared" si="0"/>
        <v>0.44137991485080086</v>
      </c>
      <c r="AN6">
        <f t="shared" si="0"/>
        <v>0.44864526322588993</v>
      </c>
      <c r="AO6">
        <f t="shared" si="0"/>
        <v>0.45591061160097723</v>
      </c>
      <c r="AP6">
        <f t="shared" si="0"/>
        <v>0.46317595997606631</v>
      </c>
      <c r="AQ6">
        <f t="shared" si="0"/>
        <v>0.47044130835115539</v>
      </c>
      <c r="AR6">
        <f t="shared" si="0"/>
        <v>0.47770665672624446</v>
      </c>
      <c r="AS6">
        <f t="shared" si="0"/>
        <v>0.48497200510133354</v>
      </c>
      <c r="AT6">
        <f t="shared" si="0"/>
        <v>0.49223735347642084</v>
      </c>
      <c r="AU6">
        <f t="shared" si="0"/>
        <v>0.49950270185150991</v>
      </c>
      <c r="AV6">
        <f t="shared" si="0"/>
        <v>0.50676805022659899</v>
      </c>
      <c r="AW6">
        <f t="shared" si="0"/>
        <v>0.51403339860168806</v>
      </c>
      <c r="AX6">
        <f t="shared" si="0"/>
        <v>0.52129874697677536</v>
      </c>
      <c r="AY6">
        <f t="shared" si="0"/>
        <v>0.52856409535186444</v>
      </c>
      <c r="AZ6">
        <f t="shared" si="0"/>
        <v>0.53582944372695351</v>
      </c>
    </row>
    <row r="7" spans="1:52" x14ac:dyDescent="0.2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  <c r="AG7">
        <f t="shared" si="1"/>
        <v>8.7975251645557029E-4</v>
      </c>
      <c r="AH7">
        <f t="shared" si="0"/>
        <v>8.9785399222177403E-4</v>
      </c>
      <c r="AI7">
        <f t="shared" si="0"/>
        <v>9.1595546798797084E-4</v>
      </c>
      <c r="AJ7">
        <f t="shared" si="0"/>
        <v>9.3405694375416765E-4</v>
      </c>
      <c r="AK7">
        <f t="shared" si="0"/>
        <v>9.5215841952036445E-4</v>
      </c>
      <c r="AL7">
        <f t="shared" si="0"/>
        <v>9.7025989528656126E-4</v>
      </c>
      <c r="AM7">
        <f t="shared" si="0"/>
        <v>9.8836137105275806E-4</v>
      </c>
      <c r="AN7">
        <f t="shared" si="0"/>
        <v>1.0064628468189549E-3</v>
      </c>
      <c r="AO7">
        <f t="shared" si="0"/>
        <v>1.0245643225851586E-3</v>
      </c>
      <c r="AP7">
        <f t="shared" si="0"/>
        <v>1.0426657983513554E-3</v>
      </c>
      <c r="AQ7">
        <f t="shared" si="0"/>
        <v>1.0607672741175522E-3</v>
      </c>
      <c r="AR7">
        <f t="shared" si="0"/>
        <v>1.078868749883749E-3</v>
      </c>
      <c r="AS7">
        <f t="shared" si="0"/>
        <v>1.0969702256499458E-3</v>
      </c>
      <c r="AT7">
        <f t="shared" si="0"/>
        <v>1.1150717014161426E-3</v>
      </c>
      <c r="AU7">
        <f t="shared" si="0"/>
        <v>1.1331731771823395E-3</v>
      </c>
      <c r="AV7">
        <f t="shared" si="0"/>
        <v>1.1512746529485432E-3</v>
      </c>
      <c r="AW7">
        <f t="shared" si="0"/>
        <v>1.16937612871474E-3</v>
      </c>
      <c r="AX7">
        <f t="shared" si="0"/>
        <v>1.1874776044809368E-3</v>
      </c>
      <c r="AY7">
        <f t="shared" si="0"/>
        <v>1.2055790802471336E-3</v>
      </c>
      <c r="AZ7">
        <f t="shared" si="0"/>
        <v>1.2236805560133304E-3</v>
      </c>
    </row>
    <row r="8" spans="1:52" x14ac:dyDescent="0.2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  <c r="AG8">
        <f t="shared" si="1"/>
        <v>3.6193428069642569E-4</v>
      </c>
      <c r="AH8">
        <f t="shared" si="0"/>
        <v>3.7379604755572587E-4</v>
      </c>
      <c r="AI8">
        <f t="shared" si="0"/>
        <v>3.8565781441502953E-4</v>
      </c>
      <c r="AJ8">
        <f t="shared" si="0"/>
        <v>3.9751958127433318E-4</v>
      </c>
      <c r="AK8">
        <f t="shared" si="0"/>
        <v>4.0938134813363683E-4</v>
      </c>
      <c r="AL8">
        <f t="shared" si="0"/>
        <v>4.2124311499294048E-4</v>
      </c>
      <c r="AM8">
        <f t="shared" si="0"/>
        <v>4.3310488185224413E-4</v>
      </c>
      <c r="AN8">
        <f t="shared" si="0"/>
        <v>4.4496664871154779E-4</v>
      </c>
      <c r="AO8">
        <f t="shared" si="0"/>
        <v>4.5682841557085144E-4</v>
      </c>
      <c r="AP8">
        <f t="shared" si="0"/>
        <v>4.6869018243015162E-4</v>
      </c>
      <c r="AQ8">
        <f t="shared" si="0"/>
        <v>4.8055194928945527E-4</v>
      </c>
      <c r="AR8">
        <f t="shared" si="0"/>
        <v>4.9241371614875892E-4</v>
      </c>
      <c r="AS8">
        <f t="shared" si="0"/>
        <v>5.0427548300806257E-4</v>
      </c>
      <c r="AT8">
        <f t="shared" si="0"/>
        <v>5.1613724986736623E-4</v>
      </c>
      <c r="AU8">
        <f t="shared" si="0"/>
        <v>5.2799901672666988E-4</v>
      </c>
      <c r="AV8">
        <f t="shared" si="0"/>
        <v>5.3986078358597353E-4</v>
      </c>
      <c r="AW8">
        <f t="shared" si="0"/>
        <v>5.5172255044527718E-4</v>
      </c>
      <c r="AX8">
        <f t="shared" si="0"/>
        <v>5.6358431730457736E-4</v>
      </c>
      <c r="AY8">
        <f t="shared" si="0"/>
        <v>5.7544608416388102E-4</v>
      </c>
      <c r="AZ8">
        <f t="shared" si="0"/>
        <v>5.8730785102318467E-4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Z8"/>
  <sheetViews>
    <sheetView topLeftCell="X1" workbookViewId="0">
      <selection activeCell="AG2" sqref="AG2:AZ2"/>
    </sheetView>
  </sheetViews>
  <sheetFormatPr baseColWidth="10" defaultColWidth="9.1640625" defaultRowHeight="15" x14ac:dyDescent="0.2"/>
  <cols>
    <col min="1" max="1" width="24.5" customWidth="1"/>
  </cols>
  <sheetData>
    <row r="1" spans="1:52" ht="32" x14ac:dyDescent="0.2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 x14ac:dyDescent="0.2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  <c r="AG2">
        <f>AF2</f>
        <v>0.9999999881542101</v>
      </c>
      <c r="AH2">
        <f t="shared" ref="AH2:AZ2" si="0">AG2</f>
        <v>0.9999999881542101</v>
      </c>
      <c r="AI2">
        <f t="shared" si="0"/>
        <v>0.9999999881542101</v>
      </c>
      <c r="AJ2">
        <f t="shared" si="0"/>
        <v>0.9999999881542101</v>
      </c>
      <c r="AK2">
        <f t="shared" si="0"/>
        <v>0.9999999881542101</v>
      </c>
      <c r="AL2">
        <f t="shared" si="0"/>
        <v>0.9999999881542101</v>
      </c>
      <c r="AM2">
        <f t="shared" si="0"/>
        <v>0.9999999881542101</v>
      </c>
      <c r="AN2">
        <f t="shared" si="0"/>
        <v>0.9999999881542101</v>
      </c>
      <c r="AO2">
        <f t="shared" si="0"/>
        <v>0.9999999881542101</v>
      </c>
      <c r="AP2">
        <f t="shared" si="0"/>
        <v>0.9999999881542101</v>
      </c>
      <c r="AQ2">
        <f t="shared" si="0"/>
        <v>0.9999999881542101</v>
      </c>
      <c r="AR2">
        <f t="shared" si="0"/>
        <v>0.9999999881542101</v>
      </c>
      <c r="AS2">
        <f t="shared" si="0"/>
        <v>0.9999999881542101</v>
      </c>
      <c r="AT2">
        <f t="shared" si="0"/>
        <v>0.9999999881542101</v>
      </c>
      <c r="AU2">
        <f t="shared" si="0"/>
        <v>0.9999999881542101</v>
      </c>
      <c r="AV2">
        <f t="shared" si="0"/>
        <v>0.9999999881542101</v>
      </c>
      <c r="AW2">
        <f t="shared" si="0"/>
        <v>0.9999999881542101</v>
      </c>
      <c r="AX2">
        <f t="shared" si="0"/>
        <v>0.9999999881542101</v>
      </c>
      <c r="AY2">
        <f t="shared" si="0"/>
        <v>0.9999999881542101</v>
      </c>
      <c r="AZ2">
        <f t="shared" si="0"/>
        <v>0.9999999881542101</v>
      </c>
    </row>
    <row r="3" spans="1:52" x14ac:dyDescent="0.2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  <c r="AG3">
        <f t="shared" ref="AG3:AV8" si="1">_xlfn.FORECAST.LINEAR(AG$1,$B3:$AF3,$B$1:$AF$1)</f>
        <v>1.2351562279764002E-3</v>
      </c>
      <c r="AH3">
        <f t="shared" si="1"/>
        <v>1.2349429300629856E-3</v>
      </c>
      <c r="AI3">
        <f t="shared" si="1"/>
        <v>1.2347296321495709E-3</v>
      </c>
      <c r="AJ3">
        <f t="shared" si="1"/>
        <v>1.2345163342361565E-3</v>
      </c>
      <c r="AK3">
        <f t="shared" si="1"/>
        <v>1.2343030363227421E-3</v>
      </c>
      <c r="AL3">
        <f t="shared" si="1"/>
        <v>1.2340897384093275E-3</v>
      </c>
      <c r="AM3">
        <f t="shared" si="1"/>
        <v>1.2338764404959128E-3</v>
      </c>
      <c r="AN3">
        <f t="shared" si="1"/>
        <v>1.2336631425824984E-3</v>
      </c>
      <c r="AO3">
        <f t="shared" si="1"/>
        <v>1.233449844669084E-3</v>
      </c>
      <c r="AP3">
        <f t="shared" si="1"/>
        <v>1.2332365467556694E-3</v>
      </c>
      <c r="AQ3">
        <f t="shared" si="1"/>
        <v>1.2330232488422547E-3</v>
      </c>
      <c r="AR3">
        <f t="shared" si="1"/>
        <v>1.2328099509288403E-3</v>
      </c>
      <c r="AS3">
        <f t="shared" si="1"/>
        <v>1.2325966530154259E-3</v>
      </c>
      <c r="AT3">
        <f t="shared" si="1"/>
        <v>1.2323833551020113E-3</v>
      </c>
      <c r="AU3">
        <f t="shared" si="1"/>
        <v>1.2321700571885966E-3</v>
      </c>
      <c r="AV3">
        <f t="shared" si="1"/>
        <v>1.2319567592751822E-3</v>
      </c>
      <c r="AW3">
        <f t="shared" ref="AH3:AZ8" si="2">_xlfn.FORECAST.LINEAR(AW$1,$B3:$AF3,$B$1:$AF$1)</f>
        <v>1.2317434613617678E-3</v>
      </c>
      <c r="AX3">
        <f t="shared" si="2"/>
        <v>1.2315301634483532E-3</v>
      </c>
      <c r="AY3">
        <f t="shared" si="2"/>
        <v>1.2313168655349385E-3</v>
      </c>
      <c r="AZ3">
        <f t="shared" si="2"/>
        <v>1.2311035676215241E-3</v>
      </c>
    </row>
    <row r="4" spans="1:52" x14ac:dyDescent="0.2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  <c r="AG4">
        <f t="shared" si="1"/>
        <v>3</v>
      </c>
      <c r="AH4">
        <f t="shared" si="2"/>
        <v>3</v>
      </c>
      <c r="AI4">
        <f t="shared" si="2"/>
        <v>3</v>
      </c>
      <c r="AJ4">
        <f t="shared" si="2"/>
        <v>3</v>
      </c>
      <c r="AK4">
        <f t="shared" si="2"/>
        <v>3</v>
      </c>
      <c r="AL4">
        <f t="shared" si="2"/>
        <v>3</v>
      </c>
      <c r="AM4">
        <f t="shared" si="2"/>
        <v>3</v>
      </c>
      <c r="AN4">
        <f t="shared" si="2"/>
        <v>3</v>
      </c>
      <c r="AO4">
        <f t="shared" si="2"/>
        <v>3</v>
      </c>
      <c r="AP4">
        <f t="shared" si="2"/>
        <v>3</v>
      </c>
      <c r="AQ4">
        <f t="shared" si="2"/>
        <v>3</v>
      </c>
      <c r="AR4">
        <f t="shared" si="2"/>
        <v>3</v>
      </c>
      <c r="AS4">
        <f t="shared" si="2"/>
        <v>3</v>
      </c>
      <c r="AT4">
        <f t="shared" si="2"/>
        <v>3</v>
      </c>
      <c r="AU4">
        <f t="shared" si="2"/>
        <v>3</v>
      </c>
      <c r="AV4">
        <f t="shared" si="2"/>
        <v>3</v>
      </c>
      <c r="AW4">
        <f t="shared" si="2"/>
        <v>3</v>
      </c>
      <c r="AX4">
        <f t="shared" si="2"/>
        <v>3</v>
      </c>
      <c r="AY4">
        <f t="shared" si="2"/>
        <v>3</v>
      </c>
      <c r="AZ4">
        <f t="shared" si="2"/>
        <v>3</v>
      </c>
    </row>
    <row r="5" spans="1:52" x14ac:dyDescent="0.2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  <c r="AG5">
        <f t="shared" si="1"/>
        <v>3</v>
      </c>
      <c r="AH5">
        <f t="shared" si="2"/>
        <v>3</v>
      </c>
      <c r="AI5">
        <f t="shared" si="2"/>
        <v>3</v>
      </c>
      <c r="AJ5">
        <f t="shared" si="2"/>
        <v>3</v>
      </c>
      <c r="AK5">
        <f t="shared" si="2"/>
        <v>3</v>
      </c>
      <c r="AL5">
        <f t="shared" si="2"/>
        <v>3</v>
      </c>
      <c r="AM5">
        <f t="shared" si="2"/>
        <v>3</v>
      </c>
      <c r="AN5">
        <f t="shared" si="2"/>
        <v>3</v>
      </c>
      <c r="AO5">
        <f t="shared" si="2"/>
        <v>3</v>
      </c>
      <c r="AP5">
        <f t="shared" si="2"/>
        <v>3</v>
      </c>
      <c r="AQ5">
        <f t="shared" si="2"/>
        <v>3</v>
      </c>
      <c r="AR5">
        <f t="shared" si="2"/>
        <v>3</v>
      </c>
      <c r="AS5">
        <f t="shared" si="2"/>
        <v>3</v>
      </c>
      <c r="AT5">
        <f t="shared" si="2"/>
        <v>3</v>
      </c>
      <c r="AU5">
        <f t="shared" si="2"/>
        <v>3</v>
      </c>
      <c r="AV5">
        <f t="shared" si="2"/>
        <v>3</v>
      </c>
      <c r="AW5">
        <f t="shared" si="2"/>
        <v>3</v>
      </c>
      <c r="AX5">
        <f t="shared" si="2"/>
        <v>3</v>
      </c>
      <c r="AY5">
        <f t="shared" si="2"/>
        <v>3</v>
      </c>
      <c r="AZ5">
        <f t="shared" si="2"/>
        <v>3</v>
      </c>
    </row>
    <row r="6" spans="1:52" x14ac:dyDescent="0.2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  <c r="AG6">
        <f t="shared" si="1"/>
        <v>0.38188095235825514</v>
      </c>
      <c r="AH6">
        <f t="shared" si="2"/>
        <v>0.39551409100636903</v>
      </c>
      <c r="AI6">
        <f t="shared" si="2"/>
        <v>0.40914722965447936</v>
      </c>
      <c r="AJ6">
        <f t="shared" si="2"/>
        <v>0.42278036830259325</v>
      </c>
      <c r="AK6">
        <f t="shared" si="2"/>
        <v>0.43641350695070358</v>
      </c>
      <c r="AL6">
        <f t="shared" si="2"/>
        <v>0.45004664559881746</v>
      </c>
      <c r="AM6">
        <f t="shared" si="2"/>
        <v>0.46367978424693135</v>
      </c>
      <c r="AN6">
        <f t="shared" si="2"/>
        <v>0.47731292289504168</v>
      </c>
      <c r="AO6">
        <f t="shared" si="2"/>
        <v>0.49094606154315557</v>
      </c>
      <c r="AP6">
        <f t="shared" si="2"/>
        <v>0.50457920019126945</v>
      </c>
      <c r="AQ6">
        <f t="shared" si="2"/>
        <v>0.51821233883937978</v>
      </c>
      <c r="AR6">
        <f t="shared" si="2"/>
        <v>0.53184547748749367</v>
      </c>
      <c r="AS6">
        <f t="shared" si="2"/>
        <v>0.545478616135604</v>
      </c>
      <c r="AT6">
        <f t="shared" si="2"/>
        <v>0.55911175478371788</v>
      </c>
      <c r="AU6">
        <f t="shared" si="2"/>
        <v>0.57274489343183177</v>
      </c>
      <c r="AV6">
        <f t="shared" si="2"/>
        <v>0.5863780320799421</v>
      </c>
      <c r="AW6">
        <f t="shared" si="2"/>
        <v>0.60001117072805599</v>
      </c>
      <c r="AX6">
        <f t="shared" si="2"/>
        <v>0.61364430937616987</v>
      </c>
      <c r="AY6">
        <f t="shared" si="2"/>
        <v>0.6272774480242802</v>
      </c>
      <c r="AZ6">
        <f t="shared" si="2"/>
        <v>0.64091058667239409</v>
      </c>
    </row>
    <row r="7" spans="1:52" x14ac:dyDescent="0.2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  <c r="AG7">
        <f t="shared" si="1"/>
        <v>8.7532986991119277E-4</v>
      </c>
      <c r="AH7">
        <f t="shared" si="2"/>
        <v>8.8900869913301206E-4</v>
      </c>
      <c r="AI7">
        <f t="shared" si="2"/>
        <v>9.0268752835483135E-4</v>
      </c>
      <c r="AJ7">
        <f t="shared" si="2"/>
        <v>9.1636635757665064E-4</v>
      </c>
      <c r="AK7">
        <f t="shared" si="2"/>
        <v>9.3004518679846993E-4</v>
      </c>
      <c r="AL7">
        <f t="shared" si="2"/>
        <v>9.4372401602029268E-4</v>
      </c>
      <c r="AM7">
        <f t="shared" si="2"/>
        <v>9.5740284524211197E-4</v>
      </c>
      <c r="AN7">
        <f t="shared" si="2"/>
        <v>9.7108167446393126E-4</v>
      </c>
      <c r="AO7">
        <f t="shared" si="2"/>
        <v>9.8476050368575055E-4</v>
      </c>
      <c r="AP7">
        <f t="shared" si="2"/>
        <v>9.9843933290757331E-4</v>
      </c>
      <c r="AQ7">
        <f t="shared" si="2"/>
        <v>1.0121181621293926E-3</v>
      </c>
      <c r="AR7">
        <f t="shared" si="2"/>
        <v>1.0257969913512119E-3</v>
      </c>
      <c r="AS7">
        <f t="shared" si="2"/>
        <v>1.0394758205730312E-3</v>
      </c>
      <c r="AT7">
        <f t="shared" si="2"/>
        <v>1.0531546497948505E-3</v>
      </c>
      <c r="AU7">
        <f t="shared" si="2"/>
        <v>1.0668334790166732E-3</v>
      </c>
      <c r="AV7">
        <f t="shared" si="2"/>
        <v>1.0805123082384925E-3</v>
      </c>
      <c r="AW7">
        <f t="shared" si="2"/>
        <v>1.0941911374603118E-3</v>
      </c>
      <c r="AX7">
        <f t="shared" si="2"/>
        <v>1.1078699666821311E-3</v>
      </c>
      <c r="AY7">
        <f t="shared" si="2"/>
        <v>1.1215487959039504E-3</v>
      </c>
      <c r="AZ7">
        <f t="shared" si="2"/>
        <v>1.1352276251257731E-3</v>
      </c>
    </row>
    <row r="8" spans="1:52" x14ac:dyDescent="0.2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  <c r="AG8">
        <f t="shared" si="1"/>
        <v>3.6683653642968425E-4</v>
      </c>
      <c r="AH8">
        <f t="shared" si="2"/>
        <v>3.7993258987632783E-4</v>
      </c>
      <c r="AI8">
        <f t="shared" si="2"/>
        <v>3.9302864332297141E-4</v>
      </c>
      <c r="AJ8">
        <f t="shared" si="2"/>
        <v>4.0612469676961846E-4</v>
      </c>
      <c r="AK8">
        <f t="shared" si="2"/>
        <v>4.1922075021626204E-4</v>
      </c>
      <c r="AL8">
        <f t="shared" si="2"/>
        <v>4.3231680366290562E-4</v>
      </c>
      <c r="AM8">
        <f t="shared" si="2"/>
        <v>4.4541285710955267E-4</v>
      </c>
      <c r="AN8">
        <f t="shared" si="2"/>
        <v>4.5850891055619625E-4</v>
      </c>
      <c r="AO8">
        <f t="shared" si="2"/>
        <v>4.7160496400283983E-4</v>
      </c>
      <c r="AP8">
        <f t="shared" si="2"/>
        <v>4.8470101744948341E-4</v>
      </c>
      <c r="AQ8">
        <f t="shared" si="2"/>
        <v>4.9779707089613046E-4</v>
      </c>
      <c r="AR8">
        <f t="shared" si="2"/>
        <v>5.1089312434277404E-4</v>
      </c>
      <c r="AS8">
        <f t="shared" si="2"/>
        <v>5.2398917778941762E-4</v>
      </c>
      <c r="AT8">
        <f t="shared" si="2"/>
        <v>5.3708523123606466E-4</v>
      </c>
      <c r="AU8">
        <f t="shared" si="2"/>
        <v>5.5018128468270824E-4</v>
      </c>
      <c r="AV8">
        <f t="shared" si="2"/>
        <v>5.6327733812935182E-4</v>
      </c>
      <c r="AW8">
        <f t="shared" si="2"/>
        <v>5.763733915759954E-4</v>
      </c>
      <c r="AX8">
        <f t="shared" si="2"/>
        <v>5.8946944502264245E-4</v>
      </c>
      <c r="AY8">
        <f t="shared" si="2"/>
        <v>6.0256549846928603E-4</v>
      </c>
      <c r="AZ8">
        <f t="shared" si="2"/>
        <v>6.1566155191592961E-4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Z8"/>
  <sheetViews>
    <sheetView topLeftCell="X1" workbookViewId="0">
      <selection activeCell="AG5" sqref="AG5:AZ5"/>
    </sheetView>
  </sheetViews>
  <sheetFormatPr baseColWidth="10" defaultColWidth="9.1640625" defaultRowHeight="15" x14ac:dyDescent="0.2"/>
  <cols>
    <col min="1" max="1" width="24.5" customWidth="1"/>
  </cols>
  <sheetData>
    <row r="1" spans="1:52" ht="32" x14ac:dyDescent="0.2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  <c r="AG1" s="51">
        <v>2051</v>
      </c>
      <c r="AH1" s="51">
        <v>2052</v>
      </c>
      <c r="AI1" s="51">
        <v>2053</v>
      </c>
      <c r="AJ1" s="51">
        <v>2054</v>
      </c>
      <c r="AK1" s="51">
        <v>2055</v>
      </c>
      <c r="AL1" s="51">
        <v>2056</v>
      </c>
      <c r="AM1" s="51">
        <v>2057</v>
      </c>
      <c r="AN1" s="51">
        <v>2058</v>
      </c>
      <c r="AO1" s="51">
        <v>2059</v>
      </c>
      <c r="AP1" s="51">
        <v>2060</v>
      </c>
      <c r="AQ1" s="51">
        <v>2061</v>
      </c>
      <c r="AR1" s="51">
        <v>2062</v>
      </c>
      <c r="AS1" s="51">
        <v>2063</v>
      </c>
      <c r="AT1" s="51">
        <v>2064</v>
      </c>
      <c r="AU1" s="51">
        <v>2065</v>
      </c>
      <c r="AV1" s="51">
        <v>2066</v>
      </c>
      <c r="AW1" s="51">
        <v>2067</v>
      </c>
      <c r="AX1" s="51">
        <v>2068</v>
      </c>
      <c r="AY1" s="51">
        <v>2069</v>
      </c>
      <c r="AZ1" s="51">
        <v>2070</v>
      </c>
    </row>
    <row r="2" spans="1:52" x14ac:dyDescent="0.2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  <c r="AG2" s="51">
        <f>AF2</f>
        <v>0.9999999881542101</v>
      </c>
      <c r="AH2" s="51">
        <f t="shared" ref="AH2:AZ2" si="0">AG2</f>
        <v>0.9999999881542101</v>
      </c>
      <c r="AI2" s="51">
        <f t="shared" si="0"/>
        <v>0.9999999881542101</v>
      </c>
      <c r="AJ2" s="51">
        <f t="shared" si="0"/>
        <v>0.9999999881542101</v>
      </c>
      <c r="AK2" s="51">
        <f t="shared" si="0"/>
        <v>0.9999999881542101</v>
      </c>
      <c r="AL2" s="51">
        <f t="shared" si="0"/>
        <v>0.9999999881542101</v>
      </c>
      <c r="AM2" s="51">
        <f t="shared" si="0"/>
        <v>0.9999999881542101</v>
      </c>
      <c r="AN2" s="51">
        <f t="shared" si="0"/>
        <v>0.9999999881542101</v>
      </c>
      <c r="AO2" s="51">
        <f t="shared" si="0"/>
        <v>0.9999999881542101</v>
      </c>
      <c r="AP2" s="51">
        <f t="shared" si="0"/>
        <v>0.9999999881542101</v>
      </c>
      <c r="AQ2" s="51">
        <f t="shared" si="0"/>
        <v>0.9999999881542101</v>
      </c>
      <c r="AR2" s="51">
        <f t="shared" si="0"/>
        <v>0.9999999881542101</v>
      </c>
      <c r="AS2" s="51">
        <f t="shared" si="0"/>
        <v>0.9999999881542101</v>
      </c>
      <c r="AT2" s="51">
        <f t="shared" si="0"/>
        <v>0.9999999881542101</v>
      </c>
      <c r="AU2" s="51">
        <f t="shared" si="0"/>
        <v>0.9999999881542101</v>
      </c>
      <c r="AV2" s="51">
        <f t="shared" si="0"/>
        <v>0.9999999881542101</v>
      </c>
      <c r="AW2" s="51">
        <f t="shared" si="0"/>
        <v>0.9999999881542101</v>
      </c>
      <c r="AX2" s="51">
        <f t="shared" si="0"/>
        <v>0.9999999881542101</v>
      </c>
      <c r="AY2" s="51">
        <f t="shared" si="0"/>
        <v>0.9999999881542101</v>
      </c>
      <c r="AZ2" s="51">
        <f t="shared" si="0"/>
        <v>0.9999999881542101</v>
      </c>
    </row>
    <row r="3" spans="1:52" x14ac:dyDescent="0.2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  <c r="AG3" s="51">
        <v>1.377E-3</v>
      </c>
      <c r="AH3" s="51">
        <v>1.4120000000000001E-3</v>
      </c>
      <c r="AI3" s="51">
        <v>1.4480000000000001E-3</v>
      </c>
      <c r="AJ3" s="51">
        <v>1.4829999999999999E-3</v>
      </c>
      <c r="AK3" s="51">
        <v>1.519E-3</v>
      </c>
      <c r="AL3" s="51">
        <v>1.554E-3</v>
      </c>
      <c r="AM3" s="51">
        <v>1.5900000000000001E-3</v>
      </c>
      <c r="AN3" s="51">
        <v>1.6260000000000001E-3</v>
      </c>
      <c r="AO3" s="51">
        <v>1.6609999999999999E-3</v>
      </c>
      <c r="AP3" s="51">
        <v>1.6969999999999999E-3</v>
      </c>
      <c r="AQ3" s="51">
        <v>1.732E-3</v>
      </c>
      <c r="AR3" s="51">
        <v>1.768E-3</v>
      </c>
      <c r="AS3" s="51">
        <v>1.8029999999999999E-3</v>
      </c>
      <c r="AT3" s="51">
        <v>1.8389999999999999E-3</v>
      </c>
      <c r="AU3" s="51">
        <v>1.874E-3</v>
      </c>
      <c r="AV3" s="51">
        <v>1.91E-3</v>
      </c>
      <c r="AW3" s="51">
        <v>1.946E-3</v>
      </c>
      <c r="AX3" s="51">
        <v>1.9810000000000001E-3</v>
      </c>
      <c r="AY3" s="51">
        <v>2.0170000000000001E-3</v>
      </c>
      <c r="AZ3" s="51">
        <v>2.052E-3</v>
      </c>
    </row>
    <row r="4" spans="1:52" x14ac:dyDescent="0.2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  <c r="AG4" s="51">
        <v>3</v>
      </c>
      <c r="AH4" s="51">
        <v>3</v>
      </c>
      <c r="AI4" s="51">
        <v>3</v>
      </c>
      <c r="AJ4" s="51">
        <v>3</v>
      </c>
      <c r="AK4" s="51">
        <v>3</v>
      </c>
      <c r="AL4" s="51">
        <v>3</v>
      </c>
      <c r="AM4" s="51">
        <v>3</v>
      </c>
      <c r="AN4" s="51">
        <v>3</v>
      </c>
      <c r="AO4" s="51">
        <v>3</v>
      </c>
      <c r="AP4" s="51">
        <v>3</v>
      </c>
      <c r="AQ4" s="51">
        <v>3</v>
      </c>
      <c r="AR4" s="51">
        <v>3</v>
      </c>
      <c r="AS4" s="51">
        <v>3</v>
      </c>
      <c r="AT4" s="51">
        <v>3</v>
      </c>
      <c r="AU4" s="51">
        <v>3</v>
      </c>
      <c r="AV4" s="51">
        <v>3</v>
      </c>
      <c r="AW4" s="51">
        <v>3</v>
      </c>
      <c r="AX4" s="51">
        <v>3</v>
      </c>
      <c r="AY4" s="51">
        <v>3</v>
      </c>
      <c r="AZ4" s="51">
        <v>3</v>
      </c>
    </row>
    <row r="5" spans="1:52" x14ac:dyDescent="0.2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  <c r="AG5" s="51">
        <f>AF5</f>
        <v>3</v>
      </c>
      <c r="AH5" s="51">
        <f t="shared" ref="AH5:AZ5" si="1">AG5</f>
        <v>3</v>
      </c>
      <c r="AI5" s="51">
        <f t="shared" si="1"/>
        <v>3</v>
      </c>
      <c r="AJ5" s="51">
        <f t="shared" si="1"/>
        <v>3</v>
      </c>
      <c r="AK5" s="51">
        <f t="shared" si="1"/>
        <v>3</v>
      </c>
      <c r="AL5" s="51">
        <f t="shared" si="1"/>
        <v>3</v>
      </c>
      <c r="AM5" s="51">
        <f t="shared" si="1"/>
        <v>3</v>
      </c>
      <c r="AN5" s="51">
        <f t="shared" si="1"/>
        <v>3</v>
      </c>
      <c r="AO5" s="51">
        <f t="shared" si="1"/>
        <v>3</v>
      </c>
      <c r="AP5" s="51">
        <f t="shared" si="1"/>
        <v>3</v>
      </c>
      <c r="AQ5" s="51">
        <f t="shared" si="1"/>
        <v>3</v>
      </c>
      <c r="AR5" s="51">
        <f t="shared" si="1"/>
        <v>3</v>
      </c>
      <c r="AS5" s="51">
        <f t="shared" si="1"/>
        <v>3</v>
      </c>
      <c r="AT5" s="51">
        <f t="shared" si="1"/>
        <v>3</v>
      </c>
      <c r="AU5" s="51">
        <f t="shared" si="1"/>
        <v>3</v>
      </c>
      <c r="AV5" s="51">
        <f t="shared" si="1"/>
        <v>3</v>
      </c>
      <c r="AW5" s="51">
        <f t="shared" si="1"/>
        <v>3</v>
      </c>
      <c r="AX5" s="51">
        <f t="shared" si="1"/>
        <v>3</v>
      </c>
      <c r="AY5" s="51">
        <f t="shared" si="1"/>
        <v>3</v>
      </c>
      <c r="AZ5" s="51">
        <f t="shared" si="1"/>
        <v>3</v>
      </c>
    </row>
    <row r="6" spans="1:52" x14ac:dyDescent="0.2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  <c r="AG6" s="51">
        <v>0.39778799999999997</v>
      </c>
      <c r="AH6" s="51">
        <v>0.405053</v>
      </c>
      <c r="AI6" s="51">
        <v>0.41231899999999999</v>
      </c>
      <c r="AJ6" s="51">
        <v>0.41958400000000001</v>
      </c>
      <c r="AK6" s="51">
        <v>0.42684899999999998</v>
      </c>
      <c r="AL6" s="51">
        <v>0.43411499999999997</v>
      </c>
      <c r="AM6" s="51">
        <v>0.44137999999999999</v>
      </c>
      <c r="AN6" s="51">
        <v>0.44864500000000002</v>
      </c>
      <c r="AO6" s="51">
        <v>0.45591100000000001</v>
      </c>
      <c r="AP6" s="51">
        <v>0.46317599999999998</v>
      </c>
      <c r="AQ6" s="51">
        <v>0.470441</v>
      </c>
      <c r="AR6" s="51">
        <v>0.47770699999999999</v>
      </c>
      <c r="AS6" s="51">
        <v>0.48497200000000001</v>
      </c>
      <c r="AT6" s="51">
        <v>0.49223699999999998</v>
      </c>
      <c r="AU6" s="51">
        <v>0.49950299999999997</v>
      </c>
      <c r="AV6" s="51">
        <v>0.506768</v>
      </c>
      <c r="AW6" s="51">
        <v>0.51403299999999996</v>
      </c>
      <c r="AX6" s="51">
        <v>0.52129899999999996</v>
      </c>
      <c r="AY6" s="51">
        <v>0.52856400000000003</v>
      </c>
      <c r="AZ6" s="51">
        <v>0.535829</v>
      </c>
    </row>
    <row r="7" spans="1:52" x14ac:dyDescent="0.2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  <c r="AG7" s="51">
        <v>8.8000000000000003E-4</v>
      </c>
      <c r="AH7" s="51">
        <v>8.9800000000000004E-4</v>
      </c>
      <c r="AI7" s="51">
        <v>9.1600000000000004E-4</v>
      </c>
      <c r="AJ7" s="51">
        <v>9.3400000000000004E-4</v>
      </c>
      <c r="AK7" s="51">
        <v>9.5200000000000005E-4</v>
      </c>
      <c r="AL7" s="51">
        <v>9.7000000000000005E-4</v>
      </c>
      <c r="AM7" s="51">
        <v>9.8799999999999995E-4</v>
      </c>
      <c r="AN7" s="51">
        <v>1.0059999999999999E-3</v>
      </c>
      <c r="AO7" s="51">
        <v>1.0250000000000001E-3</v>
      </c>
      <c r="AP7" s="51">
        <v>1.0430000000000001E-3</v>
      </c>
      <c r="AQ7" s="51">
        <v>1.0610000000000001E-3</v>
      </c>
      <c r="AR7" s="51">
        <v>1.0790000000000001E-3</v>
      </c>
      <c r="AS7" s="51">
        <v>1.0970000000000001E-3</v>
      </c>
      <c r="AT7" s="51">
        <v>1.1150000000000001E-3</v>
      </c>
      <c r="AU7" s="51">
        <v>1.1329999999999999E-3</v>
      </c>
      <c r="AV7" s="51">
        <v>1.1509999999999999E-3</v>
      </c>
      <c r="AW7" s="51">
        <v>1.1689999999999999E-3</v>
      </c>
      <c r="AX7" s="51">
        <v>1.1869999999999999E-3</v>
      </c>
      <c r="AY7" s="51">
        <v>1.206E-3</v>
      </c>
      <c r="AZ7" s="51">
        <v>1.224E-3</v>
      </c>
    </row>
    <row r="8" spans="1:52" x14ac:dyDescent="0.2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  <c r="AG8" s="51">
        <v>3.6200000000000002E-4</v>
      </c>
      <c r="AH8" s="51">
        <v>3.7399999999999998E-4</v>
      </c>
      <c r="AI8" s="51">
        <v>3.86E-4</v>
      </c>
      <c r="AJ8" s="51">
        <v>3.9800000000000002E-4</v>
      </c>
      <c r="AK8" s="51">
        <v>4.0900000000000002E-4</v>
      </c>
      <c r="AL8" s="51">
        <v>4.2099999999999999E-4</v>
      </c>
      <c r="AM8" s="51">
        <v>4.3300000000000001E-4</v>
      </c>
      <c r="AN8" s="51">
        <v>4.4499999999999997E-4</v>
      </c>
      <c r="AO8" s="51">
        <v>4.57E-4</v>
      </c>
      <c r="AP8" s="51">
        <v>4.6900000000000002E-4</v>
      </c>
      <c r="AQ8" s="51">
        <v>4.8099999999999998E-4</v>
      </c>
      <c r="AR8" s="51">
        <v>4.9200000000000003E-4</v>
      </c>
      <c r="AS8" s="51">
        <v>5.04E-4</v>
      </c>
      <c r="AT8" s="51">
        <v>5.1599999999999997E-4</v>
      </c>
      <c r="AU8" s="51">
        <v>5.2800000000000004E-4</v>
      </c>
      <c r="AV8" s="51">
        <v>5.4000000000000001E-4</v>
      </c>
      <c r="AW8" s="51">
        <v>5.5199999999999997E-4</v>
      </c>
      <c r="AX8" s="51">
        <v>5.6400000000000005E-4</v>
      </c>
      <c r="AY8" s="51">
        <v>5.7499999999999999E-4</v>
      </c>
      <c r="AZ8" s="51">
        <v>5.8699999999999996E-4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Z8"/>
  <sheetViews>
    <sheetView workbookViewId="0">
      <selection activeCell="AG4" sqref="AG4:AZ4"/>
    </sheetView>
  </sheetViews>
  <sheetFormatPr baseColWidth="10" defaultColWidth="9.1640625" defaultRowHeight="15" x14ac:dyDescent="0.2"/>
  <cols>
    <col min="1" max="1" width="24.5" customWidth="1"/>
  </cols>
  <sheetData>
    <row r="1" spans="1:52" ht="32" x14ac:dyDescent="0.2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  <c r="AG1" s="51">
        <v>2051</v>
      </c>
      <c r="AH1" s="51">
        <v>2052</v>
      </c>
      <c r="AI1" s="51">
        <v>2053</v>
      </c>
      <c r="AJ1" s="51">
        <v>2054</v>
      </c>
      <c r="AK1" s="51">
        <v>2055</v>
      </c>
      <c r="AL1" s="51">
        <v>2056</v>
      </c>
      <c r="AM1" s="51">
        <v>2057</v>
      </c>
      <c r="AN1" s="51">
        <v>2058</v>
      </c>
      <c r="AO1" s="51">
        <v>2059</v>
      </c>
      <c r="AP1" s="51">
        <v>2060</v>
      </c>
      <c r="AQ1" s="51">
        <v>2061</v>
      </c>
      <c r="AR1" s="51">
        <v>2062</v>
      </c>
      <c r="AS1" s="51">
        <v>2063</v>
      </c>
      <c r="AT1" s="51">
        <v>2064</v>
      </c>
      <c r="AU1" s="51">
        <v>2065</v>
      </c>
      <c r="AV1" s="51">
        <v>2066</v>
      </c>
      <c r="AW1" s="51">
        <v>2067</v>
      </c>
      <c r="AX1" s="51">
        <v>2068</v>
      </c>
      <c r="AY1" s="51">
        <v>2069</v>
      </c>
      <c r="AZ1" s="51">
        <v>2070</v>
      </c>
    </row>
    <row r="2" spans="1:52" x14ac:dyDescent="0.2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  <c r="AG2" s="51">
        <f>AF2</f>
        <v>0.9999999881542101</v>
      </c>
      <c r="AH2" s="51">
        <f t="shared" ref="AH2:AZ2" si="0">AG2</f>
        <v>0.9999999881542101</v>
      </c>
      <c r="AI2" s="51">
        <f t="shared" si="0"/>
        <v>0.9999999881542101</v>
      </c>
      <c r="AJ2" s="51">
        <f t="shared" si="0"/>
        <v>0.9999999881542101</v>
      </c>
      <c r="AK2" s="51">
        <f t="shared" si="0"/>
        <v>0.9999999881542101</v>
      </c>
      <c r="AL2" s="51">
        <f t="shared" si="0"/>
        <v>0.9999999881542101</v>
      </c>
      <c r="AM2" s="51">
        <f t="shared" si="0"/>
        <v>0.9999999881542101</v>
      </c>
      <c r="AN2" s="51">
        <f t="shared" si="0"/>
        <v>0.9999999881542101</v>
      </c>
      <c r="AO2" s="51">
        <f t="shared" si="0"/>
        <v>0.9999999881542101</v>
      </c>
      <c r="AP2" s="51">
        <f t="shared" si="0"/>
        <v>0.9999999881542101</v>
      </c>
      <c r="AQ2" s="51">
        <f t="shared" si="0"/>
        <v>0.9999999881542101</v>
      </c>
      <c r="AR2" s="51">
        <f t="shared" si="0"/>
        <v>0.9999999881542101</v>
      </c>
      <c r="AS2" s="51">
        <f t="shared" si="0"/>
        <v>0.9999999881542101</v>
      </c>
      <c r="AT2" s="51">
        <f t="shared" si="0"/>
        <v>0.9999999881542101</v>
      </c>
      <c r="AU2" s="51">
        <f t="shared" si="0"/>
        <v>0.9999999881542101</v>
      </c>
      <c r="AV2" s="51">
        <f t="shared" si="0"/>
        <v>0.9999999881542101</v>
      </c>
      <c r="AW2" s="51">
        <f t="shared" si="0"/>
        <v>0.9999999881542101</v>
      </c>
      <c r="AX2" s="51">
        <f t="shared" si="0"/>
        <v>0.9999999881542101</v>
      </c>
      <c r="AY2" s="51">
        <f t="shared" si="0"/>
        <v>0.9999999881542101</v>
      </c>
      <c r="AZ2" s="51">
        <f t="shared" si="0"/>
        <v>0.9999999881542101</v>
      </c>
    </row>
    <row r="3" spans="1:52" x14ac:dyDescent="0.2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  <c r="AG3" s="51">
        <v>1.377E-3</v>
      </c>
      <c r="AH3" s="51">
        <v>1.4120000000000001E-3</v>
      </c>
      <c r="AI3" s="51">
        <v>1.4480000000000001E-3</v>
      </c>
      <c r="AJ3" s="51">
        <v>1.4829999999999999E-3</v>
      </c>
      <c r="AK3" s="51">
        <v>1.519E-3</v>
      </c>
      <c r="AL3" s="51">
        <v>1.554E-3</v>
      </c>
      <c r="AM3" s="51">
        <v>1.5900000000000001E-3</v>
      </c>
      <c r="AN3" s="51">
        <v>1.6260000000000001E-3</v>
      </c>
      <c r="AO3" s="51">
        <v>1.6609999999999999E-3</v>
      </c>
      <c r="AP3" s="51">
        <v>1.6969999999999999E-3</v>
      </c>
      <c r="AQ3" s="51">
        <v>1.732E-3</v>
      </c>
      <c r="AR3" s="51">
        <v>1.768E-3</v>
      </c>
      <c r="AS3" s="51">
        <v>1.8029999999999999E-3</v>
      </c>
      <c r="AT3" s="51">
        <v>1.8389999999999999E-3</v>
      </c>
      <c r="AU3" s="51">
        <v>1.874E-3</v>
      </c>
      <c r="AV3" s="51">
        <v>1.91E-3</v>
      </c>
      <c r="AW3" s="51">
        <v>1.946E-3</v>
      </c>
      <c r="AX3" s="51">
        <v>1.9810000000000001E-3</v>
      </c>
      <c r="AY3" s="51">
        <v>2.0170000000000001E-3</v>
      </c>
      <c r="AZ3" s="51">
        <v>2.052E-3</v>
      </c>
    </row>
    <row r="4" spans="1:52" x14ac:dyDescent="0.2">
      <c r="A4" t="s">
        <v>3</v>
      </c>
      <c r="B4">
        <f>Data!H33</f>
        <v>0</v>
      </c>
      <c r="C4">
        <f>Data!I33</f>
        <v>0</v>
      </c>
      <c r="D4">
        <f>Data!J33</f>
        <v>0</v>
      </c>
      <c r="E4">
        <f>Data!K33</f>
        <v>0</v>
      </c>
      <c r="F4">
        <f>Data!L33</f>
        <v>0</v>
      </c>
      <c r="G4">
        <f>Data!M33</f>
        <v>0</v>
      </c>
      <c r="H4">
        <f>Data!N33</f>
        <v>0</v>
      </c>
      <c r="I4">
        <f>Data!O33</f>
        <v>0</v>
      </c>
      <c r="J4">
        <f>Data!P33</f>
        <v>0</v>
      </c>
      <c r="K4">
        <f>Data!Q33</f>
        <v>0</v>
      </c>
      <c r="L4">
        <f>Data!R33</f>
        <v>0</v>
      </c>
      <c r="M4">
        <f>Data!S33</f>
        <v>0</v>
      </c>
      <c r="N4">
        <f>Data!T33</f>
        <v>0</v>
      </c>
      <c r="O4">
        <f>Data!U33</f>
        <v>0</v>
      </c>
      <c r="P4">
        <f>Data!V33</f>
        <v>0</v>
      </c>
      <c r="Q4">
        <f>Data!W33</f>
        <v>0</v>
      </c>
      <c r="R4">
        <f>Data!X33</f>
        <v>0</v>
      </c>
      <c r="S4">
        <f>Data!Y33</f>
        <v>0</v>
      </c>
      <c r="T4">
        <f>Data!Z33</f>
        <v>0</v>
      </c>
      <c r="U4">
        <f>Data!AA33</f>
        <v>0</v>
      </c>
      <c r="V4">
        <f>Data!AB33</f>
        <v>0</v>
      </c>
      <c r="W4">
        <f>Data!AC33</f>
        <v>0</v>
      </c>
      <c r="X4">
        <f>Data!AD33</f>
        <v>0</v>
      </c>
      <c r="Y4">
        <f>Data!AE33</f>
        <v>0</v>
      </c>
      <c r="Z4">
        <f>Data!AF33</f>
        <v>0</v>
      </c>
      <c r="AA4">
        <f>Data!AG33</f>
        <v>0</v>
      </c>
      <c r="AB4">
        <f>Data!AH33</f>
        <v>0</v>
      </c>
      <c r="AC4">
        <f>Data!AI33</f>
        <v>0</v>
      </c>
      <c r="AD4">
        <f>Data!AJ33</f>
        <v>0</v>
      </c>
      <c r="AE4">
        <f>Data!AK33</f>
        <v>0</v>
      </c>
      <c r="AF4">
        <f>Data!AL33</f>
        <v>0</v>
      </c>
      <c r="AG4" s="51">
        <f>AF4</f>
        <v>0</v>
      </c>
      <c r="AH4" s="51">
        <f t="shared" ref="AH4:AZ4" si="1">AG4</f>
        <v>0</v>
      </c>
      <c r="AI4" s="51">
        <f t="shared" si="1"/>
        <v>0</v>
      </c>
      <c r="AJ4" s="51">
        <f t="shared" si="1"/>
        <v>0</v>
      </c>
      <c r="AK4" s="51">
        <f t="shared" si="1"/>
        <v>0</v>
      </c>
      <c r="AL4" s="51">
        <f t="shared" si="1"/>
        <v>0</v>
      </c>
      <c r="AM4" s="51">
        <f t="shared" si="1"/>
        <v>0</v>
      </c>
      <c r="AN4" s="51">
        <f t="shared" si="1"/>
        <v>0</v>
      </c>
      <c r="AO4" s="51">
        <f t="shared" si="1"/>
        <v>0</v>
      </c>
      <c r="AP4" s="51">
        <f t="shared" si="1"/>
        <v>0</v>
      </c>
      <c r="AQ4" s="51">
        <f t="shared" si="1"/>
        <v>0</v>
      </c>
      <c r="AR4" s="51">
        <f t="shared" si="1"/>
        <v>0</v>
      </c>
      <c r="AS4" s="51">
        <f t="shared" si="1"/>
        <v>0</v>
      </c>
      <c r="AT4" s="51">
        <f t="shared" si="1"/>
        <v>0</v>
      </c>
      <c r="AU4" s="51">
        <f t="shared" si="1"/>
        <v>0</v>
      </c>
      <c r="AV4" s="51">
        <f t="shared" si="1"/>
        <v>0</v>
      </c>
      <c r="AW4" s="51">
        <f t="shared" si="1"/>
        <v>0</v>
      </c>
      <c r="AX4" s="51">
        <f t="shared" si="1"/>
        <v>0</v>
      </c>
      <c r="AY4" s="51">
        <f t="shared" si="1"/>
        <v>0</v>
      </c>
      <c r="AZ4" s="51">
        <f t="shared" si="1"/>
        <v>0</v>
      </c>
    </row>
    <row r="5" spans="1:52" x14ac:dyDescent="0.2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  <c r="AG5" s="51">
        <f>AF5</f>
        <v>5</v>
      </c>
      <c r="AH5" s="51">
        <f t="shared" ref="AH5:AZ5" si="2">AG5</f>
        <v>5</v>
      </c>
      <c r="AI5" s="51">
        <f t="shared" si="2"/>
        <v>5</v>
      </c>
      <c r="AJ5" s="51">
        <f t="shared" si="2"/>
        <v>5</v>
      </c>
      <c r="AK5" s="51">
        <f t="shared" si="2"/>
        <v>5</v>
      </c>
      <c r="AL5" s="51">
        <f t="shared" si="2"/>
        <v>5</v>
      </c>
      <c r="AM5" s="51">
        <f t="shared" si="2"/>
        <v>5</v>
      </c>
      <c r="AN5" s="51">
        <f t="shared" si="2"/>
        <v>5</v>
      </c>
      <c r="AO5" s="51">
        <f t="shared" si="2"/>
        <v>5</v>
      </c>
      <c r="AP5" s="51">
        <f t="shared" si="2"/>
        <v>5</v>
      </c>
      <c r="AQ5" s="51">
        <f t="shared" si="2"/>
        <v>5</v>
      </c>
      <c r="AR5" s="51">
        <f t="shared" si="2"/>
        <v>5</v>
      </c>
      <c r="AS5" s="51">
        <f t="shared" si="2"/>
        <v>5</v>
      </c>
      <c r="AT5" s="51">
        <f t="shared" si="2"/>
        <v>5</v>
      </c>
      <c r="AU5" s="51">
        <f t="shared" si="2"/>
        <v>5</v>
      </c>
      <c r="AV5" s="51">
        <f t="shared" si="2"/>
        <v>5</v>
      </c>
      <c r="AW5" s="51">
        <f t="shared" si="2"/>
        <v>5</v>
      </c>
      <c r="AX5" s="51">
        <f t="shared" si="2"/>
        <v>5</v>
      </c>
      <c r="AY5" s="51">
        <f t="shared" si="2"/>
        <v>5</v>
      </c>
      <c r="AZ5" s="51">
        <f t="shared" si="2"/>
        <v>5</v>
      </c>
    </row>
    <row r="6" spans="1:52" x14ac:dyDescent="0.2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  <c r="AG6" s="51">
        <v>0.39778799999999997</v>
      </c>
      <c r="AH6" s="51">
        <v>0.405053</v>
      </c>
      <c r="AI6" s="51">
        <v>0.41231899999999999</v>
      </c>
      <c r="AJ6" s="51">
        <v>0.41958400000000001</v>
      </c>
      <c r="AK6" s="51">
        <v>0.42684899999999998</v>
      </c>
      <c r="AL6" s="51">
        <v>0.43411499999999997</v>
      </c>
      <c r="AM6" s="51">
        <v>0.44137999999999999</v>
      </c>
      <c r="AN6" s="51">
        <v>0.44864500000000002</v>
      </c>
      <c r="AO6" s="51">
        <v>0.45591100000000001</v>
      </c>
      <c r="AP6" s="51">
        <v>0.46317599999999998</v>
      </c>
      <c r="AQ6" s="51">
        <v>0.470441</v>
      </c>
      <c r="AR6" s="51">
        <v>0.47770699999999999</v>
      </c>
      <c r="AS6" s="51">
        <v>0.48497200000000001</v>
      </c>
      <c r="AT6" s="51">
        <v>0.49223699999999998</v>
      </c>
      <c r="AU6" s="51">
        <v>0.49950299999999997</v>
      </c>
      <c r="AV6" s="51">
        <v>0.506768</v>
      </c>
      <c r="AW6" s="51">
        <v>0.51403299999999996</v>
      </c>
      <c r="AX6" s="51">
        <v>0.52129899999999996</v>
      </c>
      <c r="AY6" s="51">
        <v>0.52856400000000003</v>
      </c>
      <c r="AZ6" s="51">
        <v>0.535829</v>
      </c>
    </row>
    <row r="7" spans="1:52" x14ac:dyDescent="0.2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  <c r="AG7" s="51">
        <v>8.8000000000000003E-4</v>
      </c>
      <c r="AH7" s="51">
        <v>8.9800000000000004E-4</v>
      </c>
      <c r="AI7" s="51">
        <v>9.1600000000000004E-4</v>
      </c>
      <c r="AJ7" s="51">
        <v>9.3400000000000004E-4</v>
      </c>
      <c r="AK7" s="51">
        <v>9.5200000000000005E-4</v>
      </c>
      <c r="AL7" s="51">
        <v>9.7000000000000005E-4</v>
      </c>
      <c r="AM7" s="51">
        <v>9.8799999999999995E-4</v>
      </c>
      <c r="AN7" s="51">
        <v>1.0059999999999999E-3</v>
      </c>
      <c r="AO7" s="51">
        <v>1.0250000000000001E-3</v>
      </c>
      <c r="AP7" s="51">
        <v>1.0430000000000001E-3</v>
      </c>
      <c r="AQ7" s="51">
        <v>1.0610000000000001E-3</v>
      </c>
      <c r="AR7" s="51">
        <v>1.0790000000000001E-3</v>
      </c>
      <c r="AS7" s="51">
        <v>1.0970000000000001E-3</v>
      </c>
      <c r="AT7" s="51">
        <v>1.1150000000000001E-3</v>
      </c>
      <c r="AU7" s="51">
        <v>1.1329999999999999E-3</v>
      </c>
      <c r="AV7" s="51">
        <v>1.1509999999999999E-3</v>
      </c>
      <c r="AW7" s="51">
        <v>1.1689999999999999E-3</v>
      </c>
      <c r="AX7" s="51">
        <v>1.1869999999999999E-3</v>
      </c>
      <c r="AY7" s="51">
        <v>1.206E-3</v>
      </c>
      <c r="AZ7" s="51">
        <v>1.224E-3</v>
      </c>
    </row>
    <row r="8" spans="1:52" x14ac:dyDescent="0.2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  <c r="AG8" s="51">
        <v>3.6200000000000002E-4</v>
      </c>
      <c r="AH8" s="51">
        <v>3.7399999999999998E-4</v>
      </c>
      <c r="AI8" s="51">
        <v>3.86E-4</v>
      </c>
      <c r="AJ8" s="51">
        <v>3.9800000000000002E-4</v>
      </c>
      <c r="AK8" s="51">
        <v>4.0900000000000002E-4</v>
      </c>
      <c r="AL8" s="51">
        <v>4.2099999999999999E-4</v>
      </c>
      <c r="AM8" s="51">
        <v>4.3300000000000001E-4</v>
      </c>
      <c r="AN8" s="51">
        <v>4.4499999999999997E-4</v>
      </c>
      <c r="AO8" s="51">
        <v>4.57E-4</v>
      </c>
      <c r="AP8" s="51">
        <v>4.6900000000000002E-4</v>
      </c>
      <c r="AQ8" s="51">
        <v>4.8099999999999998E-4</v>
      </c>
      <c r="AR8" s="51">
        <v>4.9200000000000003E-4</v>
      </c>
      <c r="AS8" s="51">
        <v>5.04E-4</v>
      </c>
      <c r="AT8" s="51">
        <v>5.1599999999999997E-4</v>
      </c>
      <c r="AU8" s="51">
        <v>5.2800000000000004E-4</v>
      </c>
      <c r="AV8" s="51">
        <v>5.4000000000000001E-4</v>
      </c>
      <c r="AW8" s="51">
        <v>5.5199999999999997E-4</v>
      </c>
      <c r="AX8" s="51">
        <v>5.6400000000000005E-4</v>
      </c>
      <c r="AY8" s="51">
        <v>5.7499999999999999E-4</v>
      </c>
      <c r="AZ8" s="51">
        <v>5.8699999999999996E-4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Z8"/>
  <sheetViews>
    <sheetView topLeftCell="T1" workbookViewId="0">
      <selection activeCell="AG1" sqref="AG1:AZ8"/>
    </sheetView>
  </sheetViews>
  <sheetFormatPr baseColWidth="10" defaultColWidth="9.1640625" defaultRowHeight="15" x14ac:dyDescent="0.2"/>
  <cols>
    <col min="1" max="1" width="24.5" customWidth="1"/>
  </cols>
  <sheetData>
    <row r="1" spans="1:52" ht="32" x14ac:dyDescent="0.2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 x14ac:dyDescent="0.2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  <c r="AG2">
        <f>_xlfn.FORECAST.LINEAR(AG$1,$B2:$AF2,$B$1:$AF$1)</f>
        <v>0</v>
      </c>
      <c r="AH2">
        <f t="shared" ref="AH2:AZ8" si="0">_xlfn.FORECAST.LINEAR(AH$1,$B2:$AF2,$B$1:$AF$1)</f>
        <v>0</v>
      </c>
      <c r="AI2">
        <f t="shared" si="0"/>
        <v>0</v>
      </c>
      <c r="AJ2">
        <f t="shared" si="0"/>
        <v>0</v>
      </c>
      <c r="AK2">
        <f t="shared" si="0"/>
        <v>0</v>
      </c>
      <c r="AL2">
        <f t="shared" si="0"/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si="0"/>
        <v>0</v>
      </c>
      <c r="AT2">
        <f t="shared" si="0"/>
        <v>0</v>
      </c>
      <c r="AU2">
        <f t="shared" si="0"/>
        <v>0</v>
      </c>
      <c r="AV2">
        <f t="shared" si="0"/>
        <v>0</v>
      </c>
      <c r="AW2">
        <f t="shared" si="0"/>
        <v>0</v>
      </c>
      <c r="AX2">
        <f t="shared" si="0"/>
        <v>0</v>
      </c>
      <c r="AY2">
        <f t="shared" si="0"/>
        <v>0</v>
      </c>
      <c r="AZ2">
        <f t="shared" si="0"/>
        <v>0</v>
      </c>
    </row>
    <row r="3" spans="1:52" x14ac:dyDescent="0.2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  <c r="AG3">
        <f t="shared" ref="AG3:AV8" si="1">_xlfn.FORECAST.LINEAR(AG$1,$B3:$AF3,$B$1:$AF$1)</f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  <c r="AL3">
        <f t="shared" si="1"/>
        <v>0</v>
      </c>
      <c r="AM3">
        <f t="shared" si="1"/>
        <v>0</v>
      </c>
      <c r="AN3">
        <f t="shared" si="1"/>
        <v>0</v>
      </c>
      <c r="AO3">
        <f t="shared" si="1"/>
        <v>0</v>
      </c>
      <c r="AP3">
        <f t="shared" si="1"/>
        <v>0</v>
      </c>
      <c r="AQ3">
        <f t="shared" si="1"/>
        <v>0</v>
      </c>
      <c r="AR3">
        <f t="shared" si="1"/>
        <v>0</v>
      </c>
      <c r="AS3">
        <f t="shared" si="1"/>
        <v>0</v>
      </c>
      <c r="AT3">
        <f t="shared" si="1"/>
        <v>0</v>
      </c>
      <c r="AU3">
        <f t="shared" si="1"/>
        <v>0</v>
      </c>
      <c r="AV3">
        <f t="shared" si="1"/>
        <v>0</v>
      </c>
      <c r="AW3">
        <f t="shared" si="0"/>
        <v>0</v>
      </c>
      <c r="AX3">
        <f t="shared" si="0"/>
        <v>0</v>
      </c>
      <c r="AY3">
        <f t="shared" si="0"/>
        <v>0</v>
      </c>
      <c r="AZ3">
        <f t="shared" si="0"/>
        <v>0</v>
      </c>
    </row>
    <row r="4" spans="1:52" x14ac:dyDescent="0.2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  <c r="AG4">
        <f t="shared" si="1"/>
        <v>0</v>
      </c>
      <c r="AH4">
        <f t="shared" si="0"/>
        <v>0</v>
      </c>
      <c r="AI4">
        <f t="shared" si="0"/>
        <v>0</v>
      </c>
      <c r="AJ4">
        <f t="shared" si="0"/>
        <v>0</v>
      </c>
      <c r="AK4">
        <f t="shared" si="0"/>
        <v>0</v>
      </c>
      <c r="AL4">
        <f t="shared" si="0"/>
        <v>0</v>
      </c>
      <c r="AM4">
        <f t="shared" si="0"/>
        <v>0</v>
      </c>
      <c r="AN4">
        <f t="shared" si="0"/>
        <v>0</v>
      </c>
      <c r="AO4">
        <f t="shared" si="0"/>
        <v>0</v>
      </c>
      <c r="AP4">
        <f t="shared" si="0"/>
        <v>0</v>
      </c>
      <c r="AQ4">
        <f t="shared" si="0"/>
        <v>0</v>
      </c>
      <c r="AR4">
        <f t="shared" si="0"/>
        <v>0</v>
      </c>
      <c r="AS4">
        <f t="shared" si="0"/>
        <v>0</v>
      </c>
      <c r="AT4">
        <f t="shared" si="0"/>
        <v>0</v>
      </c>
      <c r="AU4">
        <f t="shared" si="0"/>
        <v>0</v>
      </c>
      <c r="AV4">
        <f t="shared" si="0"/>
        <v>0</v>
      </c>
      <c r="AW4">
        <f t="shared" si="0"/>
        <v>0</v>
      </c>
      <c r="AX4">
        <f t="shared" si="0"/>
        <v>0</v>
      </c>
      <c r="AY4">
        <f t="shared" si="0"/>
        <v>0</v>
      </c>
      <c r="AZ4">
        <f t="shared" si="0"/>
        <v>0</v>
      </c>
    </row>
    <row r="5" spans="1:52" x14ac:dyDescent="0.2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  <c r="AG5">
        <f t="shared" si="1"/>
        <v>1</v>
      </c>
      <c r="AH5">
        <f t="shared" si="0"/>
        <v>1</v>
      </c>
      <c r="AI5">
        <f t="shared" si="0"/>
        <v>1</v>
      </c>
      <c r="AJ5">
        <f t="shared" si="0"/>
        <v>1</v>
      </c>
      <c r="AK5">
        <f t="shared" si="0"/>
        <v>1</v>
      </c>
      <c r="AL5">
        <f t="shared" si="0"/>
        <v>1</v>
      </c>
      <c r="AM5">
        <f t="shared" si="0"/>
        <v>1</v>
      </c>
      <c r="AN5">
        <f t="shared" si="0"/>
        <v>1</v>
      </c>
      <c r="AO5">
        <f t="shared" si="0"/>
        <v>1</v>
      </c>
      <c r="AP5">
        <f t="shared" si="0"/>
        <v>1</v>
      </c>
      <c r="AQ5">
        <f t="shared" si="0"/>
        <v>1</v>
      </c>
      <c r="AR5">
        <f t="shared" si="0"/>
        <v>1</v>
      </c>
      <c r="AS5">
        <f t="shared" si="0"/>
        <v>1</v>
      </c>
      <c r="AT5">
        <f t="shared" si="0"/>
        <v>1</v>
      </c>
      <c r="AU5">
        <f t="shared" si="0"/>
        <v>1</v>
      </c>
      <c r="AV5">
        <f t="shared" si="0"/>
        <v>1</v>
      </c>
      <c r="AW5">
        <f t="shared" si="0"/>
        <v>1</v>
      </c>
      <c r="AX5">
        <f t="shared" si="0"/>
        <v>1</v>
      </c>
      <c r="AY5">
        <f t="shared" si="0"/>
        <v>1</v>
      </c>
      <c r="AZ5">
        <f t="shared" si="0"/>
        <v>1</v>
      </c>
    </row>
    <row r="6" spans="1:52" x14ac:dyDescent="0.2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  <c r="AG6">
        <f t="shared" si="1"/>
        <v>0</v>
      </c>
      <c r="AH6">
        <f t="shared" si="0"/>
        <v>0</v>
      </c>
      <c r="AI6">
        <f t="shared" si="0"/>
        <v>0</v>
      </c>
      <c r="AJ6">
        <f t="shared" si="0"/>
        <v>0</v>
      </c>
      <c r="AK6">
        <f t="shared" si="0"/>
        <v>0</v>
      </c>
      <c r="AL6">
        <f t="shared" si="0"/>
        <v>0</v>
      </c>
      <c r="AM6">
        <f t="shared" si="0"/>
        <v>0</v>
      </c>
      <c r="AN6">
        <f t="shared" si="0"/>
        <v>0</v>
      </c>
      <c r="AO6">
        <f t="shared" si="0"/>
        <v>0</v>
      </c>
      <c r="AP6">
        <f t="shared" si="0"/>
        <v>0</v>
      </c>
      <c r="AQ6">
        <f t="shared" si="0"/>
        <v>0</v>
      </c>
      <c r="AR6">
        <f t="shared" si="0"/>
        <v>0</v>
      </c>
      <c r="AS6">
        <f t="shared" si="0"/>
        <v>0</v>
      </c>
      <c r="AT6">
        <f t="shared" si="0"/>
        <v>0</v>
      </c>
      <c r="AU6">
        <f t="shared" si="0"/>
        <v>0</v>
      </c>
      <c r="AV6">
        <f t="shared" si="0"/>
        <v>0</v>
      </c>
      <c r="AW6">
        <f t="shared" si="0"/>
        <v>0</v>
      </c>
      <c r="AX6">
        <f t="shared" si="0"/>
        <v>0</v>
      </c>
      <c r="AY6">
        <f t="shared" si="0"/>
        <v>0</v>
      </c>
      <c r="AZ6">
        <f t="shared" si="0"/>
        <v>0</v>
      </c>
    </row>
    <row r="7" spans="1:52" x14ac:dyDescent="0.2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  <c r="AG7">
        <f t="shared" si="1"/>
        <v>0</v>
      </c>
      <c r="AH7">
        <f t="shared" si="0"/>
        <v>0</v>
      </c>
      <c r="AI7">
        <f t="shared" si="0"/>
        <v>0</v>
      </c>
      <c r="AJ7">
        <f t="shared" si="0"/>
        <v>0</v>
      </c>
      <c r="AK7">
        <f t="shared" si="0"/>
        <v>0</v>
      </c>
      <c r="AL7">
        <f t="shared" si="0"/>
        <v>0</v>
      </c>
      <c r="AM7">
        <f t="shared" si="0"/>
        <v>0</v>
      </c>
      <c r="AN7">
        <f t="shared" si="0"/>
        <v>0</v>
      </c>
      <c r="AO7">
        <f t="shared" si="0"/>
        <v>0</v>
      </c>
      <c r="AP7">
        <f t="shared" si="0"/>
        <v>0</v>
      </c>
      <c r="AQ7">
        <f t="shared" si="0"/>
        <v>0</v>
      </c>
      <c r="AR7">
        <f t="shared" si="0"/>
        <v>0</v>
      </c>
      <c r="AS7">
        <f t="shared" si="0"/>
        <v>0</v>
      </c>
      <c r="AT7">
        <f t="shared" si="0"/>
        <v>0</v>
      </c>
      <c r="AU7">
        <f t="shared" si="0"/>
        <v>0</v>
      </c>
      <c r="AV7">
        <f t="shared" si="0"/>
        <v>0</v>
      </c>
      <c r="AW7">
        <f t="shared" si="0"/>
        <v>0</v>
      </c>
      <c r="AX7">
        <f t="shared" si="0"/>
        <v>0</v>
      </c>
      <c r="AY7">
        <f t="shared" si="0"/>
        <v>0</v>
      </c>
      <c r="AZ7">
        <f t="shared" si="0"/>
        <v>0</v>
      </c>
    </row>
    <row r="8" spans="1:52" x14ac:dyDescent="0.2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  <c r="AG8">
        <f t="shared" si="1"/>
        <v>0</v>
      </c>
      <c r="AH8">
        <f t="shared" si="0"/>
        <v>0</v>
      </c>
      <c r="AI8">
        <f t="shared" si="0"/>
        <v>0</v>
      </c>
      <c r="AJ8">
        <f t="shared" si="0"/>
        <v>0</v>
      </c>
      <c r="AK8">
        <f t="shared" si="0"/>
        <v>0</v>
      </c>
      <c r="AL8">
        <f t="shared" si="0"/>
        <v>0</v>
      </c>
      <c r="AM8">
        <f t="shared" si="0"/>
        <v>0</v>
      </c>
      <c r="AN8">
        <f t="shared" si="0"/>
        <v>0</v>
      </c>
      <c r="AO8">
        <f t="shared" si="0"/>
        <v>0</v>
      </c>
      <c r="AP8">
        <f t="shared" si="0"/>
        <v>0</v>
      </c>
      <c r="AQ8">
        <f t="shared" si="0"/>
        <v>0</v>
      </c>
      <c r="AR8">
        <f t="shared" si="0"/>
        <v>0</v>
      </c>
      <c r="AS8">
        <f t="shared" si="0"/>
        <v>0</v>
      </c>
      <c r="AT8">
        <f t="shared" si="0"/>
        <v>0</v>
      </c>
      <c r="AU8">
        <f t="shared" si="0"/>
        <v>0</v>
      </c>
      <c r="AV8">
        <f t="shared" si="0"/>
        <v>0</v>
      </c>
      <c r="AW8">
        <f t="shared" si="0"/>
        <v>0</v>
      </c>
      <c r="AX8">
        <f t="shared" si="0"/>
        <v>0</v>
      </c>
      <c r="AY8">
        <f t="shared" si="0"/>
        <v>0</v>
      </c>
      <c r="AZ8">
        <f t="shared" si="0"/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Z8"/>
  <sheetViews>
    <sheetView workbookViewId="0">
      <selection activeCell="AG1" sqref="AG1:AZ8"/>
    </sheetView>
  </sheetViews>
  <sheetFormatPr baseColWidth="10" defaultColWidth="9.1640625" defaultRowHeight="15" x14ac:dyDescent="0.2"/>
  <cols>
    <col min="1" max="1" width="24.5" customWidth="1"/>
  </cols>
  <sheetData>
    <row r="1" spans="1:52" ht="32" x14ac:dyDescent="0.2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 x14ac:dyDescent="0.2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  <c r="AG2">
        <f>_xlfn.FORECAST.LINEAR(AG$1,$B2:$AF2,$B$1:$AF$1)</f>
        <v>0</v>
      </c>
      <c r="AH2">
        <f t="shared" ref="AH2:AZ8" si="0">_xlfn.FORECAST.LINEAR(AH$1,$B2:$AF2,$B$1:$AF$1)</f>
        <v>0</v>
      </c>
      <c r="AI2">
        <f t="shared" si="0"/>
        <v>0</v>
      </c>
      <c r="AJ2">
        <f t="shared" si="0"/>
        <v>0</v>
      </c>
      <c r="AK2">
        <f t="shared" si="0"/>
        <v>0</v>
      </c>
      <c r="AL2">
        <f t="shared" si="0"/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si="0"/>
        <v>0</v>
      </c>
      <c r="AT2">
        <f t="shared" si="0"/>
        <v>0</v>
      </c>
      <c r="AU2">
        <f t="shared" si="0"/>
        <v>0</v>
      </c>
      <c r="AV2">
        <f t="shared" si="0"/>
        <v>0</v>
      </c>
      <c r="AW2">
        <f t="shared" si="0"/>
        <v>0</v>
      </c>
      <c r="AX2">
        <f t="shared" si="0"/>
        <v>0</v>
      </c>
      <c r="AY2">
        <f t="shared" si="0"/>
        <v>0</v>
      </c>
      <c r="AZ2">
        <f t="shared" si="0"/>
        <v>0</v>
      </c>
    </row>
    <row r="3" spans="1:52" x14ac:dyDescent="0.2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  <c r="AG3">
        <f t="shared" ref="AG3:AV8" si="1">_xlfn.FORECAST.LINEAR(AG$1,$B3:$AF3,$B$1:$AF$1)</f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  <c r="AL3">
        <f t="shared" si="1"/>
        <v>0</v>
      </c>
      <c r="AM3">
        <f t="shared" si="1"/>
        <v>0</v>
      </c>
      <c r="AN3">
        <f t="shared" si="1"/>
        <v>0</v>
      </c>
      <c r="AO3">
        <f t="shared" si="1"/>
        <v>0</v>
      </c>
      <c r="AP3">
        <f t="shared" si="1"/>
        <v>0</v>
      </c>
      <c r="AQ3">
        <f t="shared" si="1"/>
        <v>0</v>
      </c>
      <c r="AR3">
        <f t="shared" si="1"/>
        <v>0</v>
      </c>
      <c r="AS3">
        <f t="shared" si="1"/>
        <v>0</v>
      </c>
      <c r="AT3">
        <f t="shared" si="1"/>
        <v>0</v>
      </c>
      <c r="AU3">
        <f t="shared" si="1"/>
        <v>0</v>
      </c>
      <c r="AV3">
        <f t="shared" si="1"/>
        <v>0</v>
      </c>
      <c r="AW3">
        <f t="shared" si="0"/>
        <v>0</v>
      </c>
      <c r="AX3">
        <f t="shared" si="0"/>
        <v>0</v>
      </c>
      <c r="AY3">
        <f t="shared" si="0"/>
        <v>0</v>
      </c>
      <c r="AZ3">
        <f t="shared" si="0"/>
        <v>0</v>
      </c>
    </row>
    <row r="4" spans="1:52" x14ac:dyDescent="0.2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  <c r="AG4">
        <f t="shared" si="1"/>
        <v>0</v>
      </c>
      <c r="AH4">
        <f t="shared" si="0"/>
        <v>0</v>
      </c>
      <c r="AI4">
        <f t="shared" si="0"/>
        <v>0</v>
      </c>
      <c r="AJ4">
        <f t="shared" si="0"/>
        <v>0</v>
      </c>
      <c r="AK4">
        <f t="shared" si="0"/>
        <v>0</v>
      </c>
      <c r="AL4">
        <f t="shared" si="0"/>
        <v>0</v>
      </c>
      <c r="AM4">
        <f t="shared" si="0"/>
        <v>0</v>
      </c>
      <c r="AN4">
        <f t="shared" si="0"/>
        <v>0</v>
      </c>
      <c r="AO4">
        <f t="shared" si="0"/>
        <v>0</v>
      </c>
      <c r="AP4">
        <f t="shared" si="0"/>
        <v>0</v>
      </c>
      <c r="AQ4">
        <f t="shared" si="0"/>
        <v>0</v>
      </c>
      <c r="AR4">
        <f t="shared" si="0"/>
        <v>0</v>
      </c>
      <c r="AS4">
        <f t="shared" si="0"/>
        <v>0</v>
      </c>
      <c r="AT4">
        <f t="shared" si="0"/>
        <v>0</v>
      </c>
      <c r="AU4">
        <f t="shared" si="0"/>
        <v>0</v>
      </c>
      <c r="AV4">
        <f t="shared" si="0"/>
        <v>0</v>
      </c>
      <c r="AW4">
        <f t="shared" si="0"/>
        <v>0</v>
      </c>
      <c r="AX4">
        <f t="shared" si="0"/>
        <v>0</v>
      </c>
      <c r="AY4">
        <f t="shared" si="0"/>
        <v>0</v>
      </c>
      <c r="AZ4">
        <f t="shared" si="0"/>
        <v>0</v>
      </c>
    </row>
    <row r="5" spans="1:52" x14ac:dyDescent="0.2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  <c r="AG5">
        <f t="shared" si="1"/>
        <v>1</v>
      </c>
      <c r="AH5">
        <f t="shared" si="0"/>
        <v>1</v>
      </c>
      <c r="AI5">
        <f t="shared" si="0"/>
        <v>1</v>
      </c>
      <c r="AJ5">
        <f t="shared" si="0"/>
        <v>1</v>
      </c>
      <c r="AK5">
        <f t="shared" si="0"/>
        <v>1</v>
      </c>
      <c r="AL5">
        <f t="shared" si="0"/>
        <v>1</v>
      </c>
      <c r="AM5">
        <f t="shared" si="0"/>
        <v>1</v>
      </c>
      <c r="AN5">
        <f t="shared" si="0"/>
        <v>1</v>
      </c>
      <c r="AO5">
        <f t="shared" si="0"/>
        <v>1</v>
      </c>
      <c r="AP5">
        <f t="shared" si="0"/>
        <v>1</v>
      </c>
      <c r="AQ5">
        <f t="shared" si="0"/>
        <v>1</v>
      </c>
      <c r="AR5">
        <f t="shared" si="0"/>
        <v>1</v>
      </c>
      <c r="AS5">
        <f t="shared" si="0"/>
        <v>1</v>
      </c>
      <c r="AT5">
        <f t="shared" si="0"/>
        <v>1</v>
      </c>
      <c r="AU5">
        <f t="shared" si="0"/>
        <v>1</v>
      </c>
      <c r="AV5">
        <f t="shared" si="0"/>
        <v>1</v>
      </c>
      <c r="AW5">
        <f t="shared" si="0"/>
        <v>1</v>
      </c>
      <c r="AX5">
        <f t="shared" si="0"/>
        <v>1</v>
      </c>
      <c r="AY5">
        <f t="shared" si="0"/>
        <v>1</v>
      </c>
      <c r="AZ5">
        <f t="shared" si="0"/>
        <v>1</v>
      </c>
    </row>
    <row r="6" spans="1:52" x14ac:dyDescent="0.2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  <c r="AG6">
        <f t="shared" si="1"/>
        <v>0</v>
      </c>
      <c r="AH6">
        <f t="shared" si="0"/>
        <v>0</v>
      </c>
      <c r="AI6">
        <f t="shared" si="0"/>
        <v>0</v>
      </c>
      <c r="AJ6">
        <f t="shared" si="0"/>
        <v>0</v>
      </c>
      <c r="AK6">
        <f t="shared" si="0"/>
        <v>0</v>
      </c>
      <c r="AL6">
        <f t="shared" si="0"/>
        <v>0</v>
      </c>
      <c r="AM6">
        <f t="shared" si="0"/>
        <v>0</v>
      </c>
      <c r="AN6">
        <f t="shared" si="0"/>
        <v>0</v>
      </c>
      <c r="AO6">
        <f t="shared" si="0"/>
        <v>0</v>
      </c>
      <c r="AP6">
        <f t="shared" si="0"/>
        <v>0</v>
      </c>
      <c r="AQ6">
        <f t="shared" si="0"/>
        <v>0</v>
      </c>
      <c r="AR6">
        <f t="shared" si="0"/>
        <v>0</v>
      </c>
      <c r="AS6">
        <f t="shared" si="0"/>
        <v>0</v>
      </c>
      <c r="AT6">
        <f t="shared" si="0"/>
        <v>0</v>
      </c>
      <c r="AU6">
        <f t="shared" si="0"/>
        <v>0</v>
      </c>
      <c r="AV6">
        <f t="shared" si="0"/>
        <v>0</v>
      </c>
      <c r="AW6">
        <f t="shared" si="0"/>
        <v>0</v>
      </c>
      <c r="AX6">
        <f t="shared" si="0"/>
        <v>0</v>
      </c>
      <c r="AY6">
        <f t="shared" si="0"/>
        <v>0</v>
      </c>
      <c r="AZ6">
        <f t="shared" si="0"/>
        <v>0</v>
      </c>
    </row>
    <row r="7" spans="1:52" x14ac:dyDescent="0.2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  <c r="AG7">
        <f t="shared" si="1"/>
        <v>0</v>
      </c>
      <c r="AH7">
        <f t="shared" si="0"/>
        <v>0</v>
      </c>
      <c r="AI7">
        <f t="shared" si="0"/>
        <v>0</v>
      </c>
      <c r="AJ7">
        <f t="shared" si="0"/>
        <v>0</v>
      </c>
      <c r="AK7">
        <f t="shared" si="0"/>
        <v>0</v>
      </c>
      <c r="AL7">
        <f t="shared" si="0"/>
        <v>0</v>
      </c>
      <c r="AM7">
        <f t="shared" si="0"/>
        <v>0</v>
      </c>
      <c r="AN7">
        <f t="shared" si="0"/>
        <v>0</v>
      </c>
      <c r="AO7">
        <f t="shared" si="0"/>
        <v>0</v>
      </c>
      <c r="AP7">
        <f t="shared" si="0"/>
        <v>0</v>
      </c>
      <c r="AQ7">
        <f t="shared" si="0"/>
        <v>0</v>
      </c>
      <c r="AR7">
        <f t="shared" si="0"/>
        <v>0</v>
      </c>
      <c r="AS7">
        <f t="shared" si="0"/>
        <v>0</v>
      </c>
      <c r="AT7">
        <f t="shared" si="0"/>
        <v>0</v>
      </c>
      <c r="AU7">
        <f t="shared" si="0"/>
        <v>0</v>
      </c>
      <c r="AV7">
        <f t="shared" si="0"/>
        <v>0</v>
      </c>
      <c r="AW7">
        <f t="shared" si="0"/>
        <v>0</v>
      </c>
      <c r="AX7">
        <f t="shared" si="0"/>
        <v>0</v>
      </c>
      <c r="AY7">
        <f t="shared" si="0"/>
        <v>0</v>
      </c>
      <c r="AZ7">
        <f t="shared" si="0"/>
        <v>0</v>
      </c>
    </row>
    <row r="8" spans="1:52" x14ac:dyDescent="0.2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  <c r="AG8">
        <f t="shared" si="1"/>
        <v>0</v>
      </c>
      <c r="AH8">
        <f t="shared" si="0"/>
        <v>0</v>
      </c>
      <c r="AI8">
        <f t="shared" si="0"/>
        <v>0</v>
      </c>
      <c r="AJ8">
        <f t="shared" si="0"/>
        <v>0</v>
      </c>
      <c r="AK8">
        <f t="shared" si="0"/>
        <v>0</v>
      </c>
      <c r="AL8">
        <f t="shared" si="0"/>
        <v>0</v>
      </c>
      <c r="AM8">
        <f t="shared" si="0"/>
        <v>0</v>
      </c>
      <c r="AN8">
        <f t="shared" si="0"/>
        <v>0</v>
      </c>
      <c r="AO8">
        <f t="shared" si="0"/>
        <v>0</v>
      </c>
      <c r="AP8">
        <f t="shared" si="0"/>
        <v>0</v>
      </c>
      <c r="AQ8">
        <f t="shared" si="0"/>
        <v>0</v>
      </c>
      <c r="AR8">
        <f t="shared" si="0"/>
        <v>0</v>
      </c>
      <c r="AS8">
        <f t="shared" si="0"/>
        <v>0</v>
      </c>
      <c r="AT8">
        <f t="shared" si="0"/>
        <v>0</v>
      </c>
      <c r="AU8">
        <f t="shared" si="0"/>
        <v>0</v>
      </c>
      <c r="AV8">
        <f t="shared" si="0"/>
        <v>0</v>
      </c>
      <c r="AW8">
        <f t="shared" si="0"/>
        <v>0</v>
      </c>
      <c r="AX8">
        <f t="shared" si="0"/>
        <v>0</v>
      </c>
      <c r="AY8">
        <f t="shared" si="0"/>
        <v>0</v>
      </c>
      <c r="AZ8">
        <f t="shared" si="0"/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Z8"/>
  <sheetViews>
    <sheetView topLeftCell="U1" workbookViewId="0">
      <selection activeCell="AH10" sqref="AH10"/>
    </sheetView>
  </sheetViews>
  <sheetFormatPr baseColWidth="10" defaultColWidth="9.1640625" defaultRowHeight="15" x14ac:dyDescent="0.2"/>
  <cols>
    <col min="1" max="1" width="24.5" customWidth="1"/>
  </cols>
  <sheetData>
    <row r="1" spans="1:52" ht="32" x14ac:dyDescent="0.2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 x14ac:dyDescent="0.2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  <c r="AG2">
        <v>1</v>
      </c>
      <c r="AH2">
        <v>1</v>
      </c>
      <c r="AI2">
        <v>1</v>
      </c>
      <c r="AJ2">
        <v>1</v>
      </c>
      <c r="AK2">
        <v>1</v>
      </c>
      <c r="AL2">
        <v>1</v>
      </c>
      <c r="AM2">
        <v>1</v>
      </c>
      <c r="AN2">
        <v>1</v>
      </c>
      <c r="AO2">
        <v>1</v>
      </c>
      <c r="AP2">
        <v>1</v>
      </c>
      <c r="AQ2">
        <v>1</v>
      </c>
      <c r="AR2">
        <v>1</v>
      </c>
      <c r="AS2">
        <v>1</v>
      </c>
      <c r="AT2">
        <v>1</v>
      </c>
      <c r="AU2">
        <v>1</v>
      </c>
      <c r="AV2">
        <v>1</v>
      </c>
      <c r="AW2">
        <v>1</v>
      </c>
      <c r="AX2">
        <v>1</v>
      </c>
      <c r="AY2">
        <v>1</v>
      </c>
      <c r="AZ2">
        <v>1</v>
      </c>
    </row>
    <row r="3" spans="1:52" x14ac:dyDescent="0.2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  <c r="AG3">
        <f t="shared" ref="AG3:AV8" si="0">_xlfn.FORECAST.LINEAR(AG$1,$B3:$AF3,$B$1:$AF$1)</f>
        <v>0</v>
      </c>
      <c r="AH3">
        <f t="shared" si="0"/>
        <v>0</v>
      </c>
      <c r="AI3">
        <f t="shared" si="0"/>
        <v>0</v>
      </c>
      <c r="AJ3">
        <f t="shared" si="0"/>
        <v>0</v>
      </c>
      <c r="AK3">
        <f t="shared" si="0"/>
        <v>0</v>
      </c>
      <c r="AL3">
        <f t="shared" si="0"/>
        <v>0</v>
      </c>
      <c r="AM3">
        <f t="shared" si="0"/>
        <v>0</v>
      </c>
      <c r="AN3">
        <f t="shared" si="0"/>
        <v>0</v>
      </c>
      <c r="AO3">
        <f t="shared" si="0"/>
        <v>0</v>
      </c>
      <c r="AP3">
        <f t="shared" si="0"/>
        <v>0</v>
      </c>
      <c r="AQ3">
        <f t="shared" si="0"/>
        <v>0</v>
      </c>
      <c r="AR3">
        <f t="shared" si="0"/>
        <v>0</v>
      </c>
      <c r="AS3">
        <f t="shared" si="0"/>
        <v>0</v>
      </c>
      <c r="AT3">
        <f t="shared" si="0"/>
        <v>0</v>
      </c>
      <c r="AU3">
        <f t="shared" si="0"/>
        <v>0</v>
      </c>
      <c r="AV3">
        <f t="shared" si="0"/>
        <v>0</v>
      </c>
      <c r="AW3">
        <f t="shared" ref="AH3:AZ8" si="1">_xlfn.FORECAST.LINEAR(AW$1,$B3:$AF3,$B$1:$AF$1)</f>
        <v>0</v>
      </c>
      <c r="AX3">
        <f t="shared" si="1"/>
        <v>0</v>
      </c>
      <c r="AY3">
        <f t="shared" si="1"/>
        <v>0</v>
      </c>
      <c r="AZ3">
        <f t="shared" si="1"/>
        <v>0</v>
      </c>
    </row>
    <row r="4" spans="1:52" x14ac:dyDescent="0.2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  <c r="AG4">
        <f t="shared" si="0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  <c r="AL4">
        <f t="shared" si="1"/>
        <v>0</v>
      </c>
      <c r="AM4">
        <f t="shared" si="1"/>
        <v>0</v>
      </c>
      <c r="AN4">
        <f t="shared" si="1"/>
        <v>0</v>
      </c>
      <c r="AO4">
        <f t="shared" si="1"/>
        <v>0</v>
      </c>
      <c r="AP4">
        <f t="shared" si="1"/>
        <v>0</v>
      </c>
      <c r="AQ4">
        <f t="shared" si="1"/>
        <v>0</v>
      </c>
      <c r="AR4">
        <f t="shared" si="1"/>
        <v>0</v>
      </c>
      <c r="AS4">
        <f t="shared" si="1"/>
        <v>0</v>
      </c>
      <c r="AT4">
        <f t="shared" si="1"/>
        <v>0</v>
      </c>
      <c r="AU4">
        <f t="shared" si="1"/>
        <v>0</v>
      </c>
      <c r="AV4">
        <f t="shared" si="1"/>
        <v>0</v>
      </c>
      <c r="AW4">
        <f t="shared" si="1"/>
        <v>0</v>
      </c>
      <c r="AX4">
        <f t="shared" si="1"/>
        <v>0</v>
      </c>
      <c r="AY4">
        <f t="shared" si="1"/>
        <v>0</v>
      </c>
      <c r="AZ4">
        <f t="shared" si="1"/>
        <v>0</v>
      </c>
    </row>
    <row r="5" spans="1:52" x14ac:dyDescent="0.2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  <c r="AG5">
        <v>1</v>
      </c>
      <c r="AH5">
        <v>1</v>
      </c>
      <c r="AI5">
        <v>1</v>
      </c>
      <c r="AJ5">
        <v>1</v>
      </c>
      <c r="AK5">
        <v>1</v>
      </c>
      <c r="AL5">
        <v>1</v>
      </c>
      <c r="AM5">
        <v>1</v>
      </c>
      <c r="AN5">
        <v>1</v>
      </c>
      <c r="AO5">
        <v>1</v>
      </c>
      <c r="AP5">
        <v>1</v>
      </c>
      <c r="AQ5">
        <v>1</v>
      </c>
      <c r="AR5">
        <v>1</v>
      </c>
      <c r="AS5">
        <v>1</v>
      </c>
      <c r="AT5">
        <v>1</v>
      </c>
      <c r="AU5">
        <v>1</v>
      </c>
      <c r="AV5">
        <v>1</v>
      </c>
      <c r="AW5">
        <v>1</v>
      </c>
      <c r="AX5">
        <v>1</v>
      </c>
      <c r="AY5">
        <v>1</v>
      </c>
      <c r="AZ5">
        <v>1</v>
      </c>
    </row>
    <row r="6" spans="1:52" x14ac:dyDescent="0.2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  <c r="AG6">
        <f t="shared" si="0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  <c r="AL6">
        <f t="shared" si="1"/>
        <v>0</v>
      </c>
      <c r="AM6">
        <f t="shared" si="1"/>
        <v>0</v>
      </c>
      <c r="AN6">
        <f t="shared" si="1"/>
        <v>0</v>
      </c>
      <c r="AO6">
        <f t="shared" si="1"/>
        <v>0</v>
      </c>
      <c r="AP6">
        <f t="shared" si="1"/>
        <v>0</v>
      </c>
      <c r="AQ6">
        <f t="shared" si="1"/>
        <v>0</v>
      </c>
      <c r="AR6">
        <f t="shared" si="1"/>
        <v>0</v>
      </c>
      <c r="AS6">
        <f t="shared" si="1"/>
        <v>0</v>
      </c>
      <c r="AT6">
        <f t="shared" si="1"/>
        <v>0</v>
      </c>
      <c r="AU6">
        <f t="shared" si="1"/>
        <v>0</v>
      </c>
      <c r="AV6">
        <f t="shared" si="1"/>
        <v>0</v>
      </c>
      <c r="AW6">
        <f t="shared" si="1"/>
        <v>0</v>
      </c>
      <c r="AX6">
        <f t="shared" si="1"/>
        <v>0</v>
      </c>
      <c r="AY6">
        <f t="shared" si="1"/>
        <v>0</v>
      </c>
      <c r="AZ6">
        <f t="shared" si="1"/>
        <v>0</v>
      </c>
    </row>
    <row r="7" spans="1:52" x14ac:dyDescent="0.2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  <c r="AG7">
        <f t="shared" si="0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  <c r="AL7">
        <f t="shared" si="1"/>
        <v>0</v>
      </c>
      <c r="AM7">
        <f t="shared" si="1"/>
        <v>0</v>
      </c>
      <c r="AN7">
        <f t="shared" si="1"/>
        <v>0</v>
      </c>
      <c r="AO7">
        <f t="shared" si="1"/>
        <v>0</v>
      </c>
      <c r="AP7">
        <f t="shared" si="1"/>
        <v>0</v>
      </c>
      <c r="AQ7">
        <f t="shared" si="1"/>
        <v>0</v>
      </c>
      <c r="AR7">
        <f t="shared" si="1"/>
        <v>0</v>
      </c>
      <c r="AS7">
        <f t="shared" si="1"/>
        <v>0</v>
      </c>
      <c r="AT7">
        <f t="shared" si="1"/>
        <v>0</v>
      </c>
      <c r="AU7">
        <f t="shared" si="1"/>
        <v>0</v>
      </c>
      <c r="AV7">
        <f t="shared" si="1"/>
        <v>0</v>
      </c>
      <c r="AW7">
        <f t="shared" si="1"/>
        <v>0</v>
      </c>
      <c r="AX7">
        <f t="shared" si="1"/>
        <v>0</v>
      </c>
      <c r="AY7">
        <f t="shared" si="1"/>
        <v>0</v>
      </c>
      <c r="AZ7">
        <f t="shared" si="1"/>
        <v>0</v>
      </c>
    </row>
    <row r="8" spans="1:52" x14ac:dyDescent="0.2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  <c r="AG8">
        <f t="shared" si="0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  <c r="AL8">
        <f t="shared" si="1"/>
        <v>0</v>
      </c>
      <c r="AM8">
        <f t="shared" si="1"/>
        <v>0</v>
      </c>
      <c r="AN8">
        <f t="shared" si="1"/>
        <v>0</v>
      </c>
      <c r="AO8">
        <f t="shared" si="1"/>
        <v>0</v>
      </c>
      <c r="AP8">
        <f t="shared" si="1"/>
        <v>0</v>
      </c>
      <c r="AQ8">
        <f t="shared" si="1"/>
        <v>0</v>
      </c>
      <c r="AR8">
        <f t="shared" si="1"/>
        <v>0</v>
      </c>
      <c r="AS8">
        <f t="shared" si="1"/>
        <v>0</v>
      </c>
      <c r="AT8">
        <f t="shared" si="1"/>
        <v>0</v>
      </c>
      <c r="AU8">
        <f t="shared" si="1"/>
        <v>0</v>
      </c>
      <c r="AV8">
        <f t="shared" si="1"/>
        <v>0</v>
      </c>
      <c r="AW8">
        <f t="shared" si="1"/>
        <v>0</v>
      </c>
      <c r="AX8">
        <f t="shared" si="1"/>
        <v>0</v>
      </c>
      <c r="AY8">
        <f t="shared" si="1"/>
        <v>0</v>
      </c>
      <c r="AZ8">
        <f t="shared" si="1"/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Z8"/>
  <sheetViews>
    <sheetView topLeftCell="J1" workbookViewId="0">
      <selection activeCell="AG1" sqref="AG1:AZ8"/>
    </sheetView>
  </sheetViews>
  <sheetFormatPr baseColWidth="10" defaultColWidth="9.1640625" defaultRowHeight="15" x14ac:dyDescent="0.2"/>
  <cols>
    <col min="1" max="1" width="24.5" customWidth="1"/>
  </cols>
  <sheetData>
    <row r="1" spans="1:52" ht="32" x14ac:dyDescent="0.2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 x14ac:dyDescent="0.2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  <c r="AG2">
        <f>_xlfn.FORECAST.LINEAR(AG$1,$B2:$AF2,$B$1:$AF$1)</f>
        <v>0</v>
      </c>
      <c r="AH2">
        <f t="shared" ref="AH2:AZ8" si="0">_xlfn.FORECAST.LINEAR(AH$1,$B2:$AF2,$B$1:$AF$1)</f>
        <v>0</v>
      </c>
      <c r="AI2">
        <f t="shared" si="0"/>
        <v>0</v>
      </c>
      <c r="AJ2">
        <f t="shared" si="0"/>
        <v>0</v>
      </c>
      <c r="AK2">
        <f t="shared" si="0"/>
        <v>0</v>
      </c>
      <c r="AL2">
        <f t="shared" si="0"/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si="0"/>
        <v>0</v>
      </c>
      <c r="AT2">
        <f t="shared" si="0"/>
        <v>0</v>
      </c>
      <c r="AU2">
        <f t="shared" si="0"/>
        <v>0</v>
      </c>
      <c r="AV2">
        <f t="shared" si="0"/>
        <v>0</v>
      </c>
      <c r="AW2">
        <f t="shared" si="0"/>
        <v>0</v>
      </c>
      <c r="AX2">
        <f t="shared" si="0"/>
        <v>0</v>
      </c>
      <c r="AY2">
        <f t="shared" si="0"/>
        <v>0</v>
      </c>
      <c r="AZ2">
        <f t="shared" si="0"/>
        <v>0</v>
      </c>
    </row>
    <row r="3" spans="1:52" x14ac:dyDescent="0.2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  <c r="AG3">
        <f t="shared" ref="AG3:AV8" si="1">_xlfn.FORECAST.LINEAR(AG$1,$B3:$AF3,$B$1:$AF$1)</f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  <c r="AL3">
        <f t="shared" si="1"/>
        <v>0</v>
      </c>
      <c r="AM3">
        <f t="shared" si="1"/>
        <v>0</v>
      </c>
      <c r="AN3">
        <f t="shared" si="1"/>
        <v>0</v>
      </c>
      <c r="AO3">
        <f t="shared" si="1"/>
        <v>0</v>
      </c>
      <c r="AP3">
        <f t="shared" si="1"/>
        <v>0</v>
      </c>
      <c r="AQ3">
        <f t="shared" si="1"/>
        <v>0</v>
      </c>
      <c r="AR3">
        <f t="shared" si="1"/>
        <v>0</v>
      </c>
      <c r="AS3">
        <f t="shared" si="1"/>
        <v>0</v>
      </c>
      <c r="AT3">
        <f t="shared" si="1"/>
        <v>0</v>
      </c>
      <c r="AU3">
        <f t="shared" si="1"/>
        <v>0</v>
      </c>
      <c r="AV3">
        <f t="shared" si="1"/>
        <v>0</v>
      </c>
      <c r="AW3">
        <f t="shared" si="0"/>
        <v>0</v>
      </c>
      <c r="AX3">
        <f t="shared" si="0"/>
        <v>0</v>
      </c>
      <c r="AY3">
        <f t="shared" si="0"/>
        <v>0</v>
      </c>
      <c r="AZ3">
        <f t="shared" si="0"/>
        <v>0</v>
      </c>
    </row>
    <row r="4" spans="1:52" x14ac:dyDescent="0.2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  <c r="AG4">
        <f t="shared" si="1"/>
        <v>0</v>
      </c>
      <c r="AH4">
        <f t="shared" si="0"/>
        <v>0</v>
      </c>
      <c r="AI4">
        <f t="shared" si="0"/>
        <v>0</v>
      </c>
      <c r="AJ4">
        <f t="shared" si="0"/>
        <v>0</v>
      </c>
      <c r="AK4">
        <f t="shared" si="0"/>
        <v>0</v>
      </c>
      <c r="AL4">
        <f t="shared" si="0"/>
        <v>0</v>
      </c>
      <c r="AM4">
        <f t="shared" si="0"/>
        <v>0</v>
      </c>
      <c r="AN4">
        <f t="shared" si="0"/>
        <v>0</v>
      </c>
      <c r="AO4">
        <f t="shared" si="0"/>
        <v>0</v>
      </c>
      <c r="AP4">
        <f t="shared" si="0"/>
        <v>0</v>
      </c>
      <c r="AQ4">
        <f t="shared" si="0"/>
        <v>0</v>
      </c>
      <c r="AR4">
        <f t="shared" si="0"/>
        <v>0</v>
      </c>
      <c r="AS4">
        <f t="shared" si="0"/>
        <v>0</v>
      </c>
      <c r="AT4">
        <f t="shared" si="0"/>
        <v>0</v>
      </c>
      <c r="AU4">
        <f t="shared" si="0"/>
        <v>0</v>
      </c>
      <c r="AV4">
        <f t="shared" si="0"/>
        <v>0</v>
      </c>
      <c r="AW4">
        <f t="shared" si="0"/>
        <v>0</v>
      </c>
      <c r="AX4">
        <f t="shared" si="0"/>
        <v>0</v>
      </c>
      <c r="AY4">
        <f t="shared" si="0"/>
        <v>0</v>
      </c>
      <c r="AZ4">
        <f t="shared" si="0"/>
        <v>0</v>
      </c>
    </row>
    <row r="5" spans="1:52" x14ac:dyDescent="0.2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  <c r="AG5">
        <f t="shared" si="1"/>
        <v>1</v>
      </c>
      <c r="AH5">
        <f t="shared" si="0"/>
        <v>1</v>
      </c>
      <c r="AI5">
        <f t="shared" si="0"/>
        <v>1</v>
      </c>
      <c r="AJ5">
        <f t="shared" si="0"/>
        <v>1</v>
      </c>
      <c r="AK5">
        <f t="shared" si="0"/>
        <v>1</v>
      </c>
      <c r="AL5">
        <f t="shared" si="0"/>
        <v>1</v>
      </c>
      <c r="AM5">
        <f t="shared" si="0"/>
        <v>1</v>
      </c>
      <c r="AN5">
        <f t="shared" si="0"/>
        <v>1</v>
      </c>
      <c r="AO5">
        <f t="shared" si="0"/>
        <v>1</v>
      </c>
      <c r="AP5">
        <f t="shared" si="0"/>
        <v>1</v>
      </c>
      <c r="AQ5">
        <f t="shared" si="0"/>
        <v>1</v>
      </c>
      <c r="AR5">
        <f t="shared" si="0"/>
        <v>1</v>
      </c>
      <c r="AS5">
        <f t="shared" si="0"/>
        <v>1</v>
      </c>
      <c r="AT5">
        <f t="shared" si="0"/>
        <v>1</v>
      </c>
      <c r="AU5">
        <f t="shared" si="0"/>
        <v>1</v>
      </c>
      <c r="AV5">
        <f t="shared" si="0"/>
        <v>1</v>
      </c>
      <c r="AW5">
        <f t="shared" si="0"/>
        <v>1</v>
      </c>
      <c r="AX5">
        <f t="shared" si="0"/>
        <v>1</v>
      </c>
      <c r="AY5">
        <f t="shared" si="0"/>
        <v>1</v>
      </c>
      <c r="AZ5">
        <f t="shared" si="0"/>
        <v>1</v>
      </c>
    </row>
    <row r="6" spans="1:52" x14ac:dyDescent="0.2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  <c r="AG6">
        <f t="shared" si="1"/>
        <v>0</v>
      </c>
      <c r="AH6">
        <f t="shared" si="0"/>
        <v>0</v>
      </c>
      <c r="AI6">
        <f t="shared" si="0"/>
        <v>0</v>
      </c>
      <c r="AJ6">
        <f t="shared" si="0"/>
        <v>0</v>
      </c>
      <c r="AK6">
        <f t="shared" si="0"/>
        <v>0</v>
      </c>
      <c r="AL6">
        <f t="shared" si="0"/>
        <v>0</v>
      </c>
      <c r="AM6">
        <f t="shared" si="0"/>
        <v>0</v>
      </c>
      <c r="AN6">
        <f t="shared" si="0"/>
        <v>0</v>
      </c>
      <c r="AO6">
        <f t="shared" si="0"/>
        <v>0</v>
      </c>
      <c r="AP6">
        <f t="shared" si="0"/>
        <v>0</v>
      </c>
      <c r="AQ6">
        <f t="shared" si="0"/>
        <v>0</v>
      </c>
      <c r="AR6">
        <f t="shared" si="0"/>
        <v>0</v>
      </c>
      <c r="AS6">
        <f t="shared" si="0"/>
        <v>0</v>
      </c>
      <c r="AT6">
        <f t="shared" si="0"/>
        <v>0</v>
      </c>
      <c r="AU6">
        <f t="shared" si="0"/>
        <v>0</v>
      </c>
      <c r="AV6">
        <f t="shared" si="0"/>
        <v>0</v>
      </c>
      <c r="AW6">
        <f t="shared" si="0"/>
        <v>0</v>
      </c>
      <c r="AX6">
        <f t="shared" si="0"/>
        <v>0</v>
      </c>
      <c r="AY6">
        <f t="shared" si="0"/>
        <v>0</v>
      </c>
      <c r="AZ6">
        <f t="shared" si="0"/>
        <v>0</v>
      </c>
    </row>
    <row r="7" spans="1:52" x14ac:dyDescent="0.2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  <c r="AG7">
        <f t="shared" si="1"/>
        <v>0</v>
      </c>
      <c r="AH7">
        <f t="shared" si="0"/>
        <v>0</v>
      </c>
      <c r="AI7">
        <f t="shared" si="0"/>
        <v>0</v>
      </c>
      <c r="AJ7">
        <f t="shared" si="0"/>
        <v>0</v>
      </c>
      <c r="AK7">
        <f t="shared" si="0"/>
        <v>0</v>
      </c>
      <c r="AL7">
        <f t="shared" si="0"/>
        <v>0</v>
      </c>
      <c r="AM7">
        <f t="shared" si="0"/>
        <v>0</v>
      </c>
      <c r="AN7">
        <f t="shared" si="0"/>
        <v>0</v>
      </c>
      <c r="AO7">
        <f t="shared" si="0"/>
        <v>0</v>
      </c>
      <c r="AP7">
        <f t="shared" si="0"/>
        <v>0</v>
      </c>
      <c r="AQ7">
        <f t="shared" si="0"/>
        <v>0</v>
      </c>
      <c r="AR7">
        <f t="shared" si="0"/>
        <v>0</v>
      </c>
      <c r="AS7">
        <f t="shared" si="0"/>
        <v>0</v>
      </c>
      <c r="AT7">
        <f t="shared" si="0"/>
        <v>0</v>
      </c>
      <c r="AU7">
        <f t="shared" si="0"/>
        <v>0</v>
      </c>
      <c r="AV7">
        <f t="shared" si="0"/>
        <v>0</v>
      </c>
      <c r="AW7">
        <f t="shared" si="0"/>
        <v>0</v>
      </c>
      <c r="AX7">
        <f t="shared" si="0"/>
        <v>0</v>
      </c>
      <c r="AY7">
        <f t="shared" si="0"/>
        <v>0</v>
      </c>
      <c r="AZ7">
        <f t="shared" si="0"/>
        <v>0</v>
      </c>
    </row>
    <row r="8" spans="1:52" x14ac:dyDescent="0.2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  <c r="AG8">
        <f t="shared" si="1"/>
        <v>0</v>
      </c>
      <c r="AH8">
        <f t="shared" si="0"/>
        <v>0</v>
      </c>
      <c r="AI8">
        <f t="shared" si="0"/>
        <v>0</v>
      </c>
      <c r="AJ8">
        <f t="shared" si="0"/>
        <v>0</v>
      </c>
      <c r="AK8">
        <f t="shared" si="0"/>
        <v>0</v>
      </c>
      <c r="AL8">
        <f t="shared" si="0"/>
        <v>0</v>
      </c>
      <c r="AM8">
        <f t="shared" si="0"/>
        <v>0</v>
      </c>
      <c r="AN8">
        <f t="shared" si="0"/>
        <v>0</v>
      </c>
      <c r="AO8">
        <f t="shared" si="0"/>
        <v>0</v>
      </c>
      <c r="AP8">
        <f t="shared" si="0"/>
        <v>0</v>
      </c>
      <c r="AQ8">
        <f t="shared" si="0"/>
        <v>0</v>
      </c>
      <c r="AR8">
        <f t="shared" si="0"/>
        <v>0</v>
      </c>
      <c r="AS8">
        <f t="shared" si="0"/>
        <v>0</v>
      </c>
      <c r="AT8">
        <f t="shared" si="0"/>
        <v>0</v>
      </c>
      <c r="AU8">
        <f t="shared" si="0"/>
        <v>0</v>
      </c>
      <c r="AV8">
        <f t="shared" si="0"/>
        <v>0</v>
      </c>
      <c r="AW8">
        <f t="shared" si="0"/>
        <v>0</v>
      </c>
      <c r="AX8">
        <f t="shared" si="0"/>
        <v>0</v>
      </c>
      <c r="AY8">
        <f t="shared" si="0"/>
        <v>0</v>
      </c>
      <c r="AZ8">
        <f t="shared" si="0"/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Z8"/>
  <sheetViews>
    <sheetView topLeftCell="N1" workbookViewId="0">
      <selection activeCell="AG1" sqref="AG1:AZ8"/>
    </sheetView>
  </sheetViews>
  <sheetFormatPr baseColWidth="10" defaultColWidth="9.1640625" defaultRowHeight="15" x14ac:dyDescent="0.2"/>
  <cols>
    <col min="1" max="1" width="24.5" customWidth="1"/>
  </cols>
  <sheetData>
    <row r="1" spans="1:52" ht="32" x14ac:dyDescent="0.2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 x14ac:dyDescent="0.2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  <c r="AG2">
        <f>_xlfn.FORECAST.LINEAR(AG$1,$B2:$AF2,$B$1:$AF$1)</f>
        <v>0</v>
      </c>
      <c r="AH2">
        <f t="shared" ref="AH2:AZ8" si="0">_xlfn.FORECAST.LINEAR(AH$1,$B2:$AF2,$B$1:$AF$1)</f>
        <v>0</v>
      </c>
      <c r="AI2">
        <f t="shared" si="0"/>
        <v>0</v>
      </c>
      <c r="AJ2">
        <f t="shared" si="0"/>
        <v>0</v>
      </c>
      <c r="AK2">
        <f t="shared" si="0"/>
        <v>0</v>
      </c>
      <c r="AL2">
        <f t="shared" si="0"/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si="0"/>
        <v>0</v>
      </c>
      <c r="AT2">
        <f t="shared" si="0"/>
        <v>0</v>
      </c>
      <c r="AU2">
        <f t="shared" si="0"/>
        <v>0</v>
      </c>
      <c r="AV2">
        <f t="shared" si="0"/>
        <v>0</v>
      </c>
      <c r="AW2">
        <f t="shared" si="0"/>
        <v>0</v>
      </c>
      <c r="AX2">
        <f t="shared" si="0"/>
        <v>0</v>
      </c>
      <c r="AY2">
        <f t="shared" si="0"/>
        <v>0</v>
      </c>
      <c r="AZ2">
        <f t="shared" si="0"/>
        <v>0</v>
      </c>
    </row>
    <row r="3" spans="1:52" x14ac:dyDescent="0.2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  <c r="AG3">
        <f t="shared" ref="AG3:AV8" si="1">_xlfn.FORECAST.LINEAR(AG$1,$B3:$AF3,$B$1:$AF$1)</f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  <c r="AL3">
        <f t="shared" si="1"/>
        <v>0</v>
      </c>
      <c r="AM3">
        <f t="shared" si="1"/>
        <v>0</v>
      </c>
      <c r="AN3">
        <f t="shared" si="1"/>
        <v>0</v>
      </c>
      <c r="AO3">
        <f t="shared" si="1"/>
        <v>0</v>
      </c>
      <c r="AP3">
        <f t="shared" si="1"/>
        <v>0</v>
      </c>
      <c r="AQ3">
        <f t="shared" si="1"/>
        <v>0</v>
      </c>
      <c r="AR3">
        <f t="shared" si="1"/>
        <v>0</v>
      </c>
      <c r="AS3">
        <f t="shared" si="1"/>
        <v>0</v>
      </c>
      <c r="AT3">
        <f t="shared" si="1"/>
        <v>0</v>
      </c>
      <c r="AU3">
        <f t="shared" si="1"/>
        <v>0</v>
      </c>
      <c r="AV3">
        <f t="shared" si="1"/>
        <v>0</v>
      </c>
      <c r="AW3">
        <f t="shared" si="0"/>
        <v>0</v>
      </c>
      <c r="AX3">
        <f t="shared" si="0"/>
        <v>0</v>
      </c>
      <c r="AY3">
        <f t="shared" si="0"/>
        <v>0</v>
      </c>
      <c r="AZ3">
        <f t="shared" si="0"/>
        <v>0</v>
      </c>
    </row>
    <row r="4" spans="1:52" x14ac:dyDescent="0.2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  <c r="AG4">
        <f t="shared" si="1"/>
        <v>0</v>
      </c>
      <c r="AH4">
        <f t="shared" si="0"/>
        <v>0</v>
      </c>
      <c r="AI4">
        <f t="shared" si="0"/>
        <v>0</v>
      </c>
      <c r="AJ4">
        <f t="shared" si="0"/>
        <v>0</v>
      </c>
      <c r="AK4">
        <f t="shared" si="0"/>
        <v>0</v>
      </c>
      <c r="AL4">
        <f t="shared" si="0"/>
        <v>0</v>
      </c>
      <c r="AM4">
        <f t="shared" si="0"/>
        <v>0</v>
      </c>
      <c r="AN4">
        <f t="shared" si="0"/>
        <v>0</v>
      </c>
      <c r="AO4">
        <f t="shared" si="0"/>
        <v>0</v>
      </c>
      <c r="AP4">
        <f t="shared" si="0"/>
        <v>0</v>
      </c>
      <c r="AQ4">
        <f t="shared" si="0"/>
        <v>0</v>
      </c>
      <c r="AR4">
        <f t="shared" si="0"/>
        <v>0</v>
      </c>
      <c r="AS4">
        <f t="shared" si="0"/>
        <v>0</v>
      </c>
      <c r="AT4">
        <f t="shared" si="0"/>
        <v>0</v>
      </c>
      <c r="AU4">
        <f t="shared" si="0"/>
        <v>0</v>
      </c>
      <c r="AV4">
        <f t="shared" si="0"/>
        <v>0</v>
      </c>
      <c r="AW4">
        <f t="shared" si="0"/>
        <v>0</v>
      </c>
      <c r="AX4">
        <f t="shared" si="0"/>
        <v>0</v>
      </c>
      <c r="AY4">
        <f t="shared" si="0"/>
        <v>0</v>
      </c>
      <c r="AZ4">
        <f t="shared" si="0"/>
        <v>0</v>
      </c>
    </row>
    <row r="5" spans="1:52" x14ac:dyDescent="0.2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  <c r="AG5">
        <f t="shared" si="1"/>
        <v>1</v>
      </c>
      <c r="AH5">
        <f t="shared" si="0"/>
        <v>1</v>
      </c>
      <c r="AI5">
        <f t="shared" si="0"/>
        <v>1</v>
      </c>
      <c r="AJ5">
        <f t="shared" si="0"/>
        <v>1</v>
      </c>
      <c r="AK5">
        <f t="shared" si="0"/>
        <v>1</v>
      </c>
      <c r="AL5">
        <f t="shared" si="0"/>
        <v>1</v>
      </c>
      <c r="AM5">
        <f t="shared" si="0"/>
        <v>1</v>
      </c>
      <c r="AN5">
        <f t="shared" si="0"/>
        <v>1</v>
      </c>
      <c r="AO5">
        <f t="shared" si="0"/>
        <v>1</v>
      </c>
      <c r="AP5">
        <f t="shared" si="0"/>
        <v>1</v>
      </c>
      <c r="AQ5">
        <f t="shared" si="0"/>
        <v>1</v>
      </c>
      <c r="AR5">
        <f t="shared" si="0"/>
        <v>1</v>
      </c>
      <c r="AS5">
        <f t="shared" si="0"/>
        <v>1</v>
      </c>
      <c r="AT5">
        <f t="shared" si="0"/>
        <v>1</v>
      </c>
      <c r="AU5">
        <f t="shared" si="0"/>
        <v>1</v>
      </c>
      <c r="AV5">
        <f t="shared" si="0"/>
        <v>1</v>
      </c>
      <c r="AW5">
        <f t="shared" si="0"/>
        <v>1</v>
      </c>
      <c r="AX5">
        <f t="shared" si="0"/>
        <v>1</v>
      </c>
      <c r="AY5">
        <f t="shared" si="0"/>
        <v>1</v>
      </c>
      <c r="AZ5">
        <f t="shared" si="0"/>
        <v>1</v>
      </c>
    </row>
    <row r="6" spans="1:52" x14ac:dyDescent="0.2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  <c r="AG6">
        <f t="shared" si="1"/>
        <v>0</v>
      </c>
      <c r="AH6">
        <f t="shared" si="0"/>
        <v>0</v>
      </c>
      <c r="AI6">
        <f t="shared" si="0"/>
        <v>0</v>
      </c>
      <c r="AJ6">
        <f t="shared" si="0"/>
        <v>0</v>
      </c>
      <c r="AK6">
        <f t="shared" si="0"/>
        <v>0</v>
      </c>
      <c r="AL6">
        <f t="shared" si="0"/>
        <v>0</v>
      </c>
      <c r="AM6">
        <f t="shared" si="0"/>
        <v>0</v>
      </c>
      <c r="AN6">
        <f t="shared" si="0"/>
        <v>0</v>
      </c>
      <c r="AO6">
        <f t="shared" si="0"/>
        <v>0</v>
      </c>
      <c r="AP6">
        <f t="shared" si="0"/>
        <v>0</v>
      </c>
      <c r="AQ6">
        <f t="shared" si="0"/>
        <v>0</v>
      </c>
      <c r="AR6">
        <f t="shared" si="0"/>
        <v>0</v>
      </c>
      <c r="AS6">
        <f t="shared" si="0"/>
        <v>0</v>
      </c>
      <c r="AT6">
        <f t="shared" si="0"/>
        <v>0</v>
      </c>
      <c r="AU6">
        <f t="shared" si="0"/>
        <v>0</v>
      </c>
      <c r="AV6">
        <f t="shared" si="0"/>
        <v>0</v>
      </c>
      <c r="AW6">
        <f t="shared" si="0"/>
        <v>0</v>
      </c>
      <c r="AX6">
        <f t="shared" si="0"/>
        <v>0</v>
      </c>
      <c r="AY6">
        <f t="shared" si="0"/>
        <v>0</v>
      </c>
      <c r="AZ6">
        <f t="shared" si="0"/>
        <v>0</v>
      </c>
    </row>
    <row r="7" spans="1:52" x14ac:dyDescent="0.2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  <c r="AG7">
        <f t="shared" si="1"/>
        <v>0</v>
      </c>
      <c r="AH7">
        <f t="shared" si="0"/>
        <v>0</v>
      </c>
      <c r="AI7">
        <f t="shared" si="0"/>
        <v>0</v>
      </c>
      <c r="AJ7">
        <f t="shared" si="0"/>
        <v>0</v>
      </c>
      <c r="AK7">
        <f t="shared" si="0"/>
        <v>0</v>
      </c>
      <c r="AL7">
        <f t="shared" si="0"/>
        <v>0</v>
      </c>
      <c r="AM7">
        <f t="shared" si="0"/>
        <v>0</v>
      </c>
      <c r="AN7">
        <f t="shared" si="0"/>
        <v>0</v>
      </c>
      <c r="AO7">
        <f t="shared" si="0"/>
        <v>0</v>
      </c>
      <c r="AP7">
        <f t="shared" si="0"/>
        <v>0</v>
      </c>
      <c r="AQ7">
        <f t="shared" si="0"/>
        <v>0</v>
      </c>
      <c r="AR7">
        <f t="shared" si="0"/>
        <v>0</v>
      </c>
      <c r="AS7">
        <f t="shared" si="0"/>
        <v>0</v>
      </c>
      <c r="AT7">
        <f t="shared" si="0"/>
        <v>0</v>
      </c>
      <c r="AU7">
        <f t="shared" si="0"/>
        <v>0</v>
      </c>
      <c r="AV7">
        <f t="shared" si="0"/>
        <v>0</v>
      </c>
      <c r="AW7">
        <f t="shared" si="0"/>
        <v>0</v>
      </c>
      <c r="AX7">
        <f t="shared" si="0"/>
        <v>0</v>
      </c>
      <c r="AY7">
        <f t="shared" si="0"/>
        <v>0</v>
      </c>
      <c r="AZ7">
        <f t="shared" si="0"/>
        <v>0</v>
      </c>
    </row>
    <row r="8" spans="1:52" x14ac:dyDescent="0.2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  <c r="AG8">
        <f t="shared" si="1"/>
        <v>0</v>
      </c>
      <c r="AH8">
        <f t="shared" si="0"/>
        <v>0</v>
      </c>
      <c r="AI8">
        <f t="shared" si="0"/>
        <v>0</v>
      </c>
      <c r="AJ8">
        <f t="shared" si="0"/>
        <v>0</v>
      </c>
      <c r="AK8">
        <f t="shared" si="0"/>
        <v>0</v>
      </c>
      <c r="AL8">
        <f t="shared" si="0"/>
        <v>0</v>
      </c>
      <c r="AM8">
        <f t="shared" si="0"/>
        <v>0</v>
      </c>
      <c r="AN8">
        <f t="shared" si="0"/>
        <v>0</v>
      </c>
      <c r="AO8">
        <f t="shared" si="0"/>
        <v>0</v>
      </c>
      <c r="AP8">
        <f t="shared" si="0"/>
        <v>0</v>
      </c>
      <c r="AQ8">
        <f t="shared" si="0"/>
        <v>0</v>
      </c>
      <c r="AR8">
        <f t="shared" si="0"/>
        <v>0</v>
      </c>
      <c r="AS8">
        <f t="shared" si="0"/>
        <v>0</v>
      </c>
      <c r="AT8">
        <f t="shared" si="0"/>
        <v>0</v>
      </c>
      <c r="AU8">
        <f t="shared" si="0"/>
        <v>0</v>
      </c>
      <c r="AV8">
        <f t="shared" si="0"/>
        <v>0</v>
      </c>
      <c r="AW8">
        <f t="shared" si="0"/>
        <v>0</v>
      </c>
      <c r="AX8">
        <f t="shared" si="0"/>
        <v>0</v>
      </c>
      <c r="AY8">
        <f t="shared" si="0"/>
        <v>0</v>
      </c>
      <c r="AZ8">
        <f t="shared" si="0"/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Z8"/>
  <sheetViews>
    <sheetView topLeftCell="Q1" workbookViewId="0">
      <selection activeCell="AG1" sqref="AG1:AZ8"/>
    </sheetView>
  </sheetViews>
  <sheetFormatPr baseColWidth="10" defaultColWidth="9.1640625" defaultRowHeight="15" x14ac:dyDescent="0.2"/>
  <cols>
    <col min="1" max="1" width="24.5" customWidth="1"/>
  </cols>
  <sheetData>
    <row r="1" spans="1:52" ht="32" x14ac:dyDescent="0.2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 x14ac:dyDescent="0.2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  <c r="AG2">
        <f>_xlfn.FORECAST.LINEAR(AG$1,$B2:$AF2,$B$1:$AF$1)</f>
        <v>0</v>
      </c>
      <c r="AH2">
        <f t="shared" ref="AH2:AZ8" si="0">_xlfn.FORECAST.LINEAR(AH$1,$B2:$AF2,$B$1:$AF$1)</f>
        <v>0</v>
      </c>
      <c r="AI2">
        <f t="shared" si="0"/>
        <v>0</v>
      </c>
      <c r="AJ2">
        <f t="shared" si="0"/>
        <v>0</v>
      </c>
      <c r="AK2">
        <f t="shared" si="0"/>
        <v>0</v>
      </c>
      <c r="AL2">
        <f t="shared" si="0"/>
        <v>0</v>
      </c>
      <c r="AM2">
        <f t="shared" si="0"/>
        <v>0</v>
      </c>
      <c r="AN2">
        <f t="shared" si="0"/>
        <v>0</v>
      </c>
      <c r="AO2">
        <f t="shared" si="0"/>
        <v>0</v>
      </c>
      <c r="AP2">
        <f t="shared" si="0"/>
        <v>0</v>
      </c>
      <c r="AQ2">
        <f t="shared" si="0"/>
        <v>0</v>
      </c>
      <c r="AR2">
        <f t="shared" si="0"/>
        <v>0</v>
      </c>
      <c r="AS2">
        <f t="shared" si="0"/>
        <v>0</v>
      </c>
      <c r="AT2">
        <f t="shared" si="0"/>
        <v>0</v>
      </c>
      <c r="AU2">
        <f t="shared" si="0"/>
        <v>0</v>
      </c>
      <c r="AV2">
        <f t="shared" si="0"/>
        <v>0</v>
      </c>
      <c r="AW2">
        <f t="shared" si="0"/>
        <v>0</v>
      </c>
      <c r="AX2">
        <f t="shared" si="0"/>
        <v>0</v>
      </c>
      <c r="AY2">
        <f t="shared" si="0"/>
        <v>0</v>
      </c>
      <c r="AZ2">
        <f t="shared" si="0"/>
        <v>0</v>
      </c>
    </row>
    <row r="3" spans="1:52" x14ac:dyDescent="0.2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  <c r="AG3">
        <f t="shared" ref="AG3:AV8" si="1">_xlfn.FORECAST.LINEAR(AG$1,$B3:$AF3,$B$1:$AF$1)</f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  <c r="AL3">
        <f t="shared" si="1"/>
        <v>0</v>
      </c>
      <c r="AM3">
        <f t="shared" si="1"/>
        <v>0</v>
      </c>
      <c r="AN3">
        <f t="shared" si="1"/>
        <v>0</v>
      </c>
      <c r="AO3">
        <f t="shared" si="1"/>
        <v>0</v>
      </c>
      <c r="AP3">
        <f t="shared" si="1"/>
        <v>0</v>
      </c>
      <c r="AQ3">
        <f t="shared" si="1"/>
        <v>0</v>
      </c>
      <c r="AR3">
        <f t="shared" si="1"/>
        <v>0</v>
      </c>
      <c r="AS3">
        <f t="shared" si="1"/>
        <v>0</v>
      </c>
      <c r="AT3">
        <f t="shared" si="1"/>
        <v>0</v>
      </c>
      <c r="AU3">
        <f t="shared" si="1"/>
        <v>0</v>
      </c>
      <c r="AV3">
        <f t="shared" si="1"/>
        <v>0</v>
      </c>
      <c r="AW3">
        <f t="shared" si="0"/>
        <v>0</v>
      </c>
      <c r="AX3">
        <f t="shared" si="0"/>
        <v>0</v>
      </c>
      <c r="AY3">
        <f t="shared" si="0"/>
        <v>0</v>
      </c>
      <c r="AZ3">
        <f t="shared" si="0"/>
        <v>0</v>
      </c>
    </row>
    <row r="4" spans="1:52" x14ac:dyDescent="0.2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  <c r="AG4">
        <f t="shared" si="1"/>
        <v>0</v>
      </c>
      <c r="AH4">
        <f t="shared" si="0"/>
        <v>0</v>
      </c>
      <c r="AI4">
        <f t="shared" si="0"/>
        <v>0</v>
      </c>
      <c r="AJ4">
        <f t="shared" si="0"/>
        <v>0</v>
      </c>
      <c r="AK4">
        <f t="shared" si="0"/>
        <v>0</v>
      </c>
      <c r="AL4">
        <f t="shared" si="0"/>
        <v>0</v>
      </c>
      <c r="AM4">
        <f t="shared" si="0"/>
        <v>0</v>
      </c>
      <c r="AN4">
        <f t="shared" si="0"/>
        <v>0</v>
      </c>
      <c r="AO4">
        <f t="shared" si="0"/>
        <v>0</v>
      </c>
      <c r="AP4">
        <f t="shared" si="0"/>
        <v>0</v>
      </c>
      <c r="AQ4">
        <f t="shared" si="0"/>
        <v>0</v>
      </c>
      <c r="AR4">
        <f t="shared" si="0"/>
        <v>0</v>
      </c>
      <c r="AS4">
        <f t="shared" si="0"/>
        <v>0</v>
      </c>
      <c r="AT4">
        <f t="shared" si="0"/>
        <v>0</v>
      </c>
      <c r="AU4">
        <f t="shared" si="0"/>
        <v>0</v>
      </c>
      <c r="AV4">
        <f t="shared" si="0"/>
        <v>0</v>
      </c>
      <c r="AW4">
        <f t="shared" si="0"/>
        <v>0</v>
      </c>
      <c r="AX4">
        <f t="shared" si="0"/>
        <v>0</v>
      </c>
      <c r="AY4">
        <f t="shared" si="0"/>
        <v>0</v>
      </c>
      <c r="AZ4">
        <f t="shared" si="0"/>
        <v>0</v>
      </c>
    </row>
    <row r="5" spans="1:52" x14ac:dyDescent="0.2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  <c r="AG5">
        <f t="shared" si="1"/>
        <v>1</v>
      </c>
      <c r="AH5">
        <f t="shared" si="0"/>
        <v>1</v>
      </c>
      <c r="AI5">
        <f t="shared" si="0"/>
        <v>1</v>
      </c>
      <c r="AJ5">
        <f t="shared" si="0"/>
        <v>1</v>
      </c>
      <c r="AK5">
        <f t="shared" si="0"/>
        <v>1</v>
      </c>
      <c r="AL5">
        <f t="shared" si="0"/>
        <v>1</v>
      </c>
      <c r="AM5">
        <f t="shared" si="0"/>
        <v>1</v>
      </c>
      <c r="AN5">
        <f t="shared" si="0"/>
        <v>1</v>
      </c>
      <c r="AO5">
        <f t="shared" si="0"/>
        <v>1</v>
      </c>
      <c r="AP5">
        <f t="shared" si="0"/>
        <v>1</v>
      </c>
      <c r="AQ5">
        <f t="shared" si="0"/>
        <v>1</v>
      </c>
      <c r="AR5">
        <f t="shared" si="0"/>
        <v>1</v>
      </c>
      <c r="AS5">
        <f t="shared" si="0"/>
        <v>1</v>
      </c>
      <c r="AT5">
        <f t="shared" si="0"/>
        <v>1</v>
      </c>
      <c r="AU5">
        <f t="shared" si="0"/>
        <v>1</v>
      </c>
      <c r="AV5">
        <f t="shared" si="0"/>
        <v>1</v>
      </c>
      <c r="AW5">
        <f t="shared" si="0"/>
        <v>1</v>
      </c>
      <c r="AX5">
        <f t="shared" si="0"/>
        <v>1</v>
      </c>
      <c r="AY5">
        <f t="shared" si="0"/>
        <v>1</v>
      </c>
      <c r="AZ5">
        <f t="shared" si="0"/>
        <v>1</v>
      </c>
    </row>
    <row r="6" spans="1:52" x14ac:dyDescent="0.2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  <c r="AG6">
        <f t="shared" si="1"/>
        <v>0</v>
      </c>
      <c r="AH6">
        <f t="shared" si="0"/>
        <v>0</v>
      </c>
      <c r="AI6">
        <f t="shared" si="0"/>
        <v>0</v>
      </c>
      <c r="AJ6">
        <f t="shared" si="0"/>
        <v>0</v>
      </c>
      <c r="AK6">
        <f t="shared" si="0"/>
        <v>0</v>
      </c>
      <c r="AL6">
        <f t="shared" si="0"/>
        <v>0</v>
      </c>
      <c r="AM6">
        <f t="shared" si="0"/>
        <v>0</v>
      </c>
      <c r="AN6">
        <f t="shared" si="0"/>
        <v>0</v>
      </c>
      <c r="AO6">
        <f t="shared" si="0"/>
        <v>0</v>
      </c>
      <c r="AP6">
        <f t="shared" si="0"/>
        <v>0</v>
      </c>
      <c r="AQ6">
        <f t="shared" si="0"/>
        <v>0</v>
      </c>
      <c r="AR6">
        <f t="shared" si="0"/>
        <v>0</v>
      </c>
      <c r="AS6">
        <f t="shared" si="0"/>
        <v>0</v>
      </c>
      <c r="AT6">
        <f t="shared" si="0"/>
        <v>0</v>
      </c>
      <c r="AU6">
        <f t="shared" si="0"/>
        <v>0</v>
      </c>
      <c r="AV6">
        <f t="shared" si="0"/>
        <v>0</v>
      </c>
      <c r="AW6">
        <f t="shared" si="0"/>
        <v>0</v>
      </c>
      <c r="AX6">
        <f t="shared" si="0"/>
        <v>0</v>
      </c>
      <c r="AY6">
        <f t="shared" si="0"/>
        <v>0</v>
      </c>
      <c r="AZ6">
        <f t="shared" si="0"/>
        <v>0</v>
      </c>
    </row>
    <row r="7" spans="1:52" x14ac:dyDescent="0.2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  <c r="AG7">
        <f t="shared" si="1"/>
        <v>0</v>
      </c>
      <c r="AH7">
        <f t="shared" si="0"/>
        <v>0</v>
      </c>
      <c r="AI7">
        <f t="shared" si="0"/>
        <v>0</v>
      </c>
      <c r="AJ7">
        <f t="shared" si="0"/>
        <v>0</v>
      </c>
      <c r="AK7">
        <f t="shared" si="0"/>
        <v>0</v>
      </c>
      <c r="AL7">
        <f t="shared" si="0"/>
        <v>0</v>
      </c>
      <c r="AM7">
        <f t="shared" si="0"/>
        <v>0</v>
      </c>
      <c r="AN7">
        <f t="shared" si="0"/>
        <v>0</v>
      </c>
      <c r="AO7">
        <f t="shared" si="0"/>
        <v>0</v>
      </c>
      <c r="AP7">
        <f t="shared" si="0"/>
        <v>0</v>
      </c>
      <c r="AQ7">
        <f t="shared" si="0"/>
        <v>0</v>
      </c>
      <c r="AR7">
        <f t="shared" si="0"/>
        <v>0</v>
      </c>
      <c r="AS7">
        <f t="shared" si="0"/>
        <v>0</v>
      </c>
      <c r="AT7">
        <f t="shared" si="0"/>
        <v>0</v>
      </c>
      <c r="AU7">
        <f t="shared" si="0"/>
        <v>0</v>
      </c>
      <c r="AV7">
        <f t="shared" si="0"/>
        <v>0</v>
      </c>
      <c r="AW7">
        <f t="shared" si="0"/>
        <v>0</v>
      </c>
      <c r="AX7">
        <f t="shared" si="0"/>
        <v>0</v>
      </c>
      <c r="AY7">
        <f t="shared" si="0"/>
        <v>0</v>
      </c>
      <c r="AZ7">
        <f t="shared" si="0"/>
        <v>0</v>
      </c>
    </row>
    <row r="8" spans="1:52" x14ac:dyDescent="0.2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  <c r="AG8">
        <f t="shared" si="1"/>
        <v>0</v>
      </c>
      <c r="AH8">
        <f t="shared" si="0"/>
        <v>0</v>
      </c>
      <c r="AI8">
        <f t="shared" si="0"/>
        <v>0</v>
      </c>
      <c r="AJ8">
        <f t="shared" si="0"/>
        <v>0</v>
      </c>
      <c r="AK8">
        <f t="shared" si="0"/>
        <v>0</v>
      </c>
      <c r="AL8">
        <f t="shared" si="0"/>
        <v>0</v>
      </c>
      <c r="AM8">
        <f t="shared" si="0"/>
        <v>0</v>
      </c>
      <c r="AN8">
        <f t="shared" si="0"/>
        <v>0</v>
      </c>
      <c r="AO8">
        <f t="shared" si="0"/>
        <v>0</v>
      </c>
      <c r="AP8">
        <f t="shared" si="0"/>
        <v>0</v>
      </c>
      <c r="AQ8">
        <f t="shared" si="0"/>
        <v>0</v>
      </c>
      <c r="AR8">
        <f t="shared" si="0"/>
        <v>0</v>
      </c>
      <c r="AS8">
        <f t="shared" si="0"/>
        <v>0</v>
      </c>
      <c r="AT8">
        <f t="shared" si="0"/>
        <v>0</v>
      </c>
      <c r="AU8">
        <f t="shared" si="0"/>
        <v>0</v>
      </c>
      <c r="AV8">
        <f t="shared" si="0"/>
        <v>0</v>
      </c>
      <c r="AW8">
        <f t="shared" si="0"/>
        <v>0</v>
      </c>
      <c r="AX8">
        <f t="shared" si="0"/>
        <v>0</v>
      </c>
      <c r="AY8">
        <f t="shared" si="0"/>
        <v>0</v>
      </c>
      <c r="AZ8">
        <f t="shared" si="0"/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Z8"/>
  <sheetViews>
    <sheetView workbookViewId="0">
      <selection activeCell="AG2" sqref="AG2:AZ2"/>
    </sheetView>
  </sheetViews>
  <sheetFormatPr baseColWidth="10" defaultColWidth="9.1640625" defaultRowHeight="15" x14ac:dyDescent="0.2"/>
  <cols>
    <col min="1" max="1" width="24.5" customWidth="1"/>
  </cols>
  <sheetData>
    <row r="1" spans="1:52" ht="32" x14ac:dyDescent="0.2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 x14ac:dyDescent="0.2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  <c r="AG2">
        <f>AF2</f>
        <v>0.99999998753074737</v>
      </c>
      <c r="AH2">
        <f t="shared" ref="AH2:AZ2" si="0">AG2</f>
        <v>0.99999998753074737</v>
      </c>
      <c r="AI2">
        <f t="shared" si="0"/>
        <v>0.99999998753074737</v>
      </c>
      <c r="AJ2">
        <f t="shared" si="0"/>
        <v>0.99999998753074737</v>
      </c>
      <c r="AK2">
        <f t="shared" si="0"/>
        <v>0.99999998753074737</v>
      </c>
      <c r="AL2">
        <f t="shared" si="0"/>
        <v>0.99999998753074737</v>
      </c>
      <c r="AM2">
        <f t="shared" si="0"/>
        <v>0.99999998753074737</v>
      </c>
      <c r="AN2">
        <f t="shared" si="0"/>
        <v>0.99999998753074737</v>
      </c>
      <c r="AO2">
        <f t="shared" si="0"/>
        <v>0.99999998753074737</v>
      </c>
      <c r="AP2">
        <f t="shared" si="0"/>
        <v>0.99999998753074737</v>
      </c>
      <c r="AQ2">
        <f t="shared" si="0"/>
        <v>0.99999998753074737</v>
      </c>
      <c r="AR2">
        <f t="shared" si="0"/>
        <v>0.99999998753074737</v>
      </c>
      <c r="AS2">
        <f t="shared" si="0"/>
        <v>0.99999998753074737</v>
      </c>
      <c r="AT2">
        <f t="shared" si="0"/>
        <v>0.99999998753074737</v>
      </c>
      <c r="AU2">
        <f t="shared" si="0"/>
        <v>0.99999998753074737</v>
      </c>
      <c r="AV2">
        <f t="shared" si="0"/>
        <v>0.99999998753074737</v>
      </c>
      <c r="AW2">
        <f t="shared" si="0"/>
        <v>0.99999998753074737</v>
      </c>
      <c r="AX2">
        <f t="shared" si="0"/>
        <v>0.99999998753074737</v>
      </c>
      <c r="AY2">
        <f t="shared" si="0"/>
        <v>0.99999998753074737</v>
      </c>
      <c r="AZ2">
        <f t="shared" si="0"/>
        <v>0.99999998753074737</v>
      </c>
    </row>
    <row r="3" spans="1:52" x14ac:dyDescent="0.2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  <c r="AG3">
        <f t="shared" ref="AG3:AV8" si="1">_xlfn.FORECAST.LINEAR(AG$1,$B3:$AF3,$B$1:$AF$1)</f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  <c r="AL3">
        <f t="shared" si="1"/>
        <v>0</v>
      </c>
      <c r="AM3">
        <f t="shared" si="1"/>
        <v>0</v>
      </c>
      <c r="AN3">
        <f t="shared" si="1"/>
        <v>0</v>
      </c>
      <c r="AO3">
        <f t="shared" si="1"/>
        <v>0</v>
      </c>
      <c r="AP3">
        <f t="shared" si="1"/>
        <v>0</v>
      </c>
      <c r="AQ3">
        <f t="shared" si="1"/>
        <v>0</v>
      </c>
      <c r="AR3">
        <f t="shared" si="1"/>
        <v>0</v>
      </c>
      <c r="AS3">
        <f t="shared" si="1"/>
        <v>0</v>
      </c>
      <c r="AT3">
        <f t="shared" si="1"/>
        <v>0</v>
      </c>
      <c r="AU3">
        <f t="shared" si="1"/>
        <v>0</v>
      </c>
      <c r="AV3">
        <f t="shared" si="1"/>
        <v>0</v>
      </c>
      <c r="AW3">
        <f t="shared" ref="AH3:AZ8" si="2">_xlfn.FORECAST.LINEAR(AW$1,$B3:$AF3,$B$1:$AF$1)</f>
        <v>0</v>
      </c>
      <c r="AX3">
        <f t="shared" si="2"/>
        <v>0</v>
      </c>
      <c r="AY3">
        <f t="shared" si="2"/>
        <v>0</v>
      </c>
      <c r="AZ3">
        <f t="shared" si="2"/>
        <v>0</v>
      </c>
    </row>
    <row r="4" spans="1:52" x14ac:dyDescent="0.2">
      <c r="A4" t="s">
        <v>3</v>
      </c>
      <c r="B4">
        <f>Data!H82</f>
        <v>1</v>
      </c>
      <c r="C4">
        <f>Data!I82</f>
        <v>1</v>
      </c>
      <c r="D4">
        <f>Data!J82</f>
        <v>1</v>
      </c>
      <c r="E4">
        <f>Data!K82</f>
        <v>1</v>
      </c>
      <c r="F4">
        <f>Data!L82</f>
        <v>1</v>
      </c>
      <c r="G4">
        <f>Data!M82</f>
        <v>1</v>
      </c>
      <c r="H4">
        <f>Data!N82</f>
        <v>1</v>
      </c>
      <c r="I4">
        <f>Data!O82</f>
        <v>1</v>
      </c>
      <c r="J4">
        <f>Data!P82</f>
        <v>1</v>
      </c>
      <c r="K4">
        <f>Data!Q82</f>
        <v>1</v>
      </c>
      <c r="L4">
        <f>Data!R82</f>
        <v>1</v>
      </c>
      <c r="M4">
        <f>Data!S82</f>
        <v>1</v>
      </c>
      <c r="N4">
        <f>Data!T82</f>
        <v>1</v>
      </c>
      <c r="O4">
        <f>Data!U82</f>
        <v>1</v>
      </c>
      <c r="P4">
        <f>Data!V82</f>
        <v>1</v>
      </c>
      <c r="Q4">
        <f>Data!W82</f>
        <v>1</v>
      </c>
      <c r="R4">
        <f>Data!X82</f>
        <v>1</v>
      </c>
      <c r="S4">
        <f>Data!Y82</f>
        <v>1</v>
      </c>
      <c r="T4">
        <f>Data!Z82</f>
        <v>1</v>
      </c>
      <c r="U4">
        <f>Data!AA82</f>
        <v>1</v>
      </c>
      <c r="V4">
        <f>Data!AB82</f>
        <v>1</v>
      </c>
      <c r="W4">
        <f>Data!AC82</f>
        <v>1</v>
      </c>
      <c r="X4">
        <f>Data!AD82</f>
        <v>1</v>
      </c>
      <c r="Y4">
        <f>Data!AE82</f>
        <v>1</v>
      </c>
      <c r="Z4">
        <f>Data!AF82</f>
        <v>1</v>
      </c>
      <c r="AA4">
        <f>Data!AG82</f>
        <v>1</v>
      </c>
      <c r="AB4">
        <f>Data!AH82</f>
        <v>1</v>
      </c>
      <c r="AC4">
        <f>Data!AI82</f>
        <v>1</v>
      </c>
      <c r="AD4">
        <f>Data!AJ82</f>
        <v>1</v>
      </c>
      <c r="AE4">
        <f>Data!AK82</f>
        <v>1</v>
      </c>
      <c r="AF4">
        <f>Data!AL82</f>
        <v>1</v>
      </c>
      <c r="AG4">
        <f t="shared" si="1"/>
        <v>1</v>
      </c>
      <c r="AH4">
        <f t="shared" si="2"/>
        <v>1</v>
      </c>
      <c r="AI4">
        <f t="shared" si="2"/>
        <v>1</v>
      </c>
      <c r="AJ4">
        <f t="shared" si="2"/>
        <v>1</v>
      </c>
      <c r="AK4">
        <f t="shared" si="2"/>
        <v>1</v>
      </c>
      <c r="AL4">
        <f t="shared" si="2"/>
        <v>1</v>
      </c>
      <c r="AM4">
        <f t="shared" si="2"/>
        <v>1</v>
      </c>
      <c r="AN4">
        <f t="shared" si="2"/>
        <v>1</v>
      </c>
      <c r="AO4">
        <f t="shared" si="2"/>
        <v>1</v>
      </c>
      <c r="AP4">
        <f t="shared" si="2"/>
        <v>1</v>
      </c>
      <c r="AQ4">
        <f t="shared" si="2"/>
        <v>1</v>
      </c>
      <c r="AR4">
        <f t="shared" si="2"/>
        <v>1</v>
      </c>
      <c r="AS4">
        <f t="shared" si="2"/>
        <v>1</v>
      </c>
      <c r="AT4">
        <f t="shared" si="2"/>
        <v>1</v>
      </c>
      <c r="AU4">
        <f t="shared" si="2"/>
        <v>1</v>
      </c>
      <c r="AV4">
        <f t="shared" si="2"/>
        <v>1</v>
      </c>
      <c r="AW4">
        <f t="shared" si="2"/>
        <v>1</v>
      </c>
      <c r="AX4">
        <f t="shared" si="2"/>
        <v>1</v>
      </c>
      <c r="AY4">
        <f t="shared" si="2"/>
        <v>1</v>
      </c>
      <c r="AZ4">
        <f t="shared" si="2"/>
        <v>1</v>
      </c>
    </row>
    <row r="5" spans="1:52" x14ac:dyDescent="0.2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  <c r="AG5">
        <f t="shared" si="1"/>
        <v>0</v>
      </c>
      <c r="AH5">
        <f t="shared" si="2"/>
        <v>0</v>
      </c>
      <c r="AI5">
        <f t="shared" si="2"/>
        <v>0</v>
      </c>
      <c r="AJ5">
        <f t="shared" si="2"/>
        <v>0</v>
      </c>
      <c r="AK5">
        <f t="shared" si="2"/>
        <v>0</v>
      </c>
      <c r="AL5">
        <f t="shared" si="2"/>
        <v>0</v>
      </c>
      <c r="AM5">
        <f t="shared" si="2"/>
        <v>0</v>
      </c>
      <c r="AN5">
        <f t="shared" si="2"/>
        <v>0</v>
      </c>
      <c r="AO5">
        <f t="shared" si="2"/>
        <v>0</v>
      </c>
      <c r="AP5">
        <f t="shared" si="2"/>
        <v>0</v>
      </c>
      <c r="AQ5">
        <f t="shared" si="2"/>
        <v>0</v>
      </c>
      <c r="AR5">
        <f t="shared" si="2"/>
        <v>0</v>
      </c>
      <c r="AS5">
        <f t="shared" si="2"/>
        <v>0</v>
      </c>
      <c r="AT5">
        <f t="shared" si="2"/>
        <v>0</v>
      </c>
      <c r="AU5">
        <f t="shared" si="2"/>
        <v>0</v>
      </c>
      <c r="AV5">
        <f t="shared" si="2"/>
        <v>0</v>
      </c>
      <c r="AW5">
        <f t="shared" si="2"/>
        <v>0</v>
      </c>
      <c r="AX5">
        <f t="shared" si="2"/>
        <v>0</v>
      </c>
      <c r="AY5">
        <f t="shared" si="2"/>
        <v>0</v>
      </c>
      <c r="AZ5">
        <f t="shared" si="2"/>
        <v>0</v>
      </c>
    </row>
    <row r="6" spans="1:52" x14ac:dyDescent="0.2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  <c r="AG6">
        <f t="shared" si="1"/>
        <v>0</v>
      </c>
      <c r="AH6">
        <f t="shared" si="2"/>
        <v>0</v>
      </c>
      <c r="AI6">
        <f t="shared" si="2"/>
        <v>0</v>
      </c>
      <c r="AJ6">
        <f t="shared" si="2"/>
        <v>0</v>
      </c>
      <c r="AK6">
        <f t="shared" si="2"/>
        <v>0</v>
      </c>
      <c r="AL6">
        <f t="shared" si="2"/>
        <v>0</v>
      </c>
      <c r="AM6">
        <f t="shared" si="2"/>
        <v>0</v>
      </c>
      <c r="AN6">
        <f t="shared" si="2"/>
        <v>0</v>
      </c>
      <c r="AO6">
        <f t="shared" si="2"/>
        <v>0</v>
      </c>
      <c r="AP6">
        <f t="shared" si="2"/>
        <v>0</v>
      </c>
      <c r="AQ6">
        <f t="shared" si="2"/>
        <v>0</v>
      </c>
      <c r="AR6">
        <f t="shared" si="2"/>
        <v>0</v>
      </c>
      <c r="AS6">
        <f t="shared" si="2"/>
        <v>0</v>
      </c>
      <c r="AT6">
        <f t="shared" si="2"/>
        <v>0</v>
      </c>
      <c r="AU6">
        <f t="shared" si="2"/>
        <v>0</v>
      </c>
      <c r="AV6">
        <f t="shared" si="2"/>
        <v>0</v>
      </c>
      <c r="AW6">
        <f t="shared" si="2"/>
        <v>0</v>
      </c>
      <c r="AX6">
        <f t="shared" si="2"/>
        <v>0</v>
      </c>
      <c r="AY6">
        <f t="shared" si="2"/>
        <v>0</v>
      </c>
      <c r="AZ6">
        <f t="shared" si="2"/>
        <v>0</v>
      </c>
    </row>
    <row r="7" spans="1:52" x14ac:dyDescent="0.2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  <c r="AG7">
        <f t="shared" si="1"/>
        <v>0</v>
      </c>
      <c r="AH7">
        <f t="shared" si="2"/>
        <v>0</v>
      </c>
      <c r="AI7">
        <f t="shared" si="2"/>
        <v>0</v>
      </c>
      <c r="AJ7">
        <f t="shared" si="2"/>
        <v>0</v>
      </c>
      <c r="AK7">
        <f t="shared" si="2"/>
        <v>0</v>
      </c>
      <c r="AL7">
        <f t="shared" si="2"/>
        <v>0</v>
      </c>
      <c r="AM7">
        <f t="shared" si="2"/>
        <v>0</v>
      </c>
      <c r="AN7">
        <f t="shared" si="2"/>
        <v>0</v>
      </c>
      <c r="AO7">
        <f t="shared" si="2"/>
        <v>0</v>
      </c>
      <c r="AP7">
        <f t="shared" si="2"/>
        <v>0</v>
      </c>
      <c r="AQ7">
        <f t="shared" si="2"/>
        <v>0</v>
      </c>
      <c r="AR7">
        <f t="shared" si="2"/>
        <v>0</v>
      </c>
      <c r="AS7">
        <f t="shared" si="2"/>
        <v>0</v>
      </c>
      <c r="AT7">
        <f t="shared" si="2"/>
        <v>0</v>
      </c>
      <c r="AU7">
        <f t="shared" si="2"/>
        <v>0</v>
      </c>
      <c r="AV7">
        <f t="shared" si="2"/>
        <v>0</v>
      </c>
      <c r="AW7">
        <f t="shared" si="2"/>
        <v>0</v>
      </c>
      <c r="AX7">
        <f t="shared" si="2"/>
        <v>0</v>
      </c>
      <c r="AY7">
        <f t="shared" si="2"/>
        <v>0</v>
      </c>
      <c r="AZ7">
        <f t="shared" si="2"/>
        <v>0</v>
      </c>
    </row>
    <row r="8" spans="1:52" x14ac:dyDescent="0.2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  <c r="AG8">
        <f t="shared" si="1"/>
        <v>0</v>
      </c>
      <c r="AH8">
        <f t="shared" si="2"/>
        <v>0</v>
      </c>
      <c r="AI8">
        <f t="shared" si="2"/>
        <v>0</v>
      </c>
      <c r="AJ8">
        <f t="shared" si="2"/>
        <v>0</v>
      </c>
      <c r="AK8">
        <f t="shared" si="2"/>
        <v>0</v>
      </c>
      <c r="AL8">
        <f t="shared" si="2"/>
        <v>0</v>
      </c>
      <c r="AM8">
        <f t="shared" si="2"/>
        <v>0</v>
      </c>
      <c r="AN8">
        <f t="shared" si="2"/>
        <v>0</v>
      </c>
      <c r="AO8">
        <f t="shared" si="2"/>
        <v>0</v>
      </c>
      <c r="AP8">
        <f t="shared" si="2"/>
        <v>0</v>
      </c>
      <c r="AQ8">
        <f t="shared" si="2"/>
        <v>0</v>
      </c>
      <c r="AR8">
        <f t="shared" si="2"/>
        <v>0</v>
      </c>
      <c r="AS8">
        <f t="shared" si="2"/>
        <v>0</v>
      </c>
      <c r="AT8">
        <f t="shared" si="2"/>
        <v>0</v>
      </c>
      <c r="AU8">
        <f t="shared" si="2"/>
        <v>0</v>
      </c>
      <c r="AV8">
        <f t="shared" si="2"/>
        <v>0</v>
      </c>
      <c r="AW8">
        <f t="shared" si="2"/>
        <v>0</v>
      </c>
      <c r="AX8">
        <f t="shared" si="2"/>
        <v>0</v>
      </c>
      <c r="AY8">
        <f t="shared" si="2"/>
        <v>0</v>
      </c>
      <c r="AZ8">
        <f t="shared" si="2"/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Z8"/>
  <sheetViews>
    <sheetView topLeftCell="M1" workbookViewId="0">
      <selection activeCell="AG1" sqref="AG1:AZ8"/>
    </sheetView>
  </sheetViews>
  <sheetFormatPr baseColWidth="10" defaultColWidth="9.1640625" defaultRowHeight="15" x14ac:dyDescent="0.2"/>
  <cols>
    <col min="1" max="1" width="24.5" customWidth="1"/>
  </cols>
  <sheetData>
    <row r="1" spans="1:52" ht="32" x14ac:dyDescent="0.2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  <c r="AG1">
        <v>2051</v>
      </c>
      <c r="AH1">
        <v>2052</v>
      </c>
      <c r="AI1">
        <v>2053</v>
      </c>
      <c r="AJ1">
        <v>2054</v>
      </c>
      <c r="AK1">
        <v>2055</v>
      </c>
      <c r="AL1">
        <v>2056</v>
      </c>
      <c r="AM1">
        <v>2057</v>
      </c>
      <c r="AN1">
        <v>2058</v>
      </c>
      <c r="AO1">
        <v>2059</v>
      </c>
      <c r="AP1">
        <v>2060</v>
      </c>
      <c r="AQ1">
        <v>2061</v>
      </c>
      <c r="AR1">
        <v>2062</v>
      </c>
      <c r="AS1">
        <v>2063</v>
      </c>
      <c r="AT1">
        <v>2064</v>
      </c>
      <c r="AU1">
        <v>2065</v>
      </c>
      <c r="AV1">
        <v>2066</v>
      </c>
      <c r="AW1">
        <v>2067</v>
      </c>
      <c r="AX1">
        <v>2068</v>
      </c>
      <c r="AY1">
        <v>2069</v>
      </c>
      <c r="AZ1">
        <v>2070</v>
      </c>
    </row>
    <row r="2" spans="1:52" x14ac:dyDescent="0.2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  <c r="AG2">
        <f>_xlfn.FORECAST.LINEAR(AG$1,$B2:$AF2,$B$1:$AF$1)</f>
        <v>1</v>
      </c>
      <c r="AH2">
        <f t="shared" ref="AH2:AZ8" si="0">_xlfn.FORECAST.LINEAR(AH$1,$B2:$AF2,$B$1:$AF$1)</f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1</v>
      </c>
      <c r="AN2">
        <f t="shared" si="0"/>
        <v>1</v>
      </c>
      <c r="AO2">
        <f t="shared" si="0"/>
        <v>1</v>
      </c>
      <c r="AP2">
        <f t="shared" si="0"/>
        <v>1</v>
      </c>
      <c r="AQ2">
        <f t="shared" si="0"/>
        <v>1</v>
      </c>
      <c r="AR2">
        <f t="shared" si="0"/>
        <v>1</v>
      </c>
      <c r="AS2">
        <f t="shared" si="0"/>
        <v>1</v>
      </c>
      <c r="AT2">
        <f t="shared" si="0"/>
        <v>1</v>
      </c>
      <c r="AU2">
        <f t="shared" si="0"/>
        <v>1</v>
      </c>
      <c r="AV2">
        <f t="shared" si="0"/>
        <v>1</v>
      </c>
      <c r="AW2">
        <f t="shared" si="0"/>
        <v>1</v>
      </c>
      <c r="AX2">
        <f t="shared" si="0"/>
        <v>1</v>
      </c>
      <c r="AY2">
        <f t="shared" si="0"/>
        <v>1</v>
      </c>
      <c r="AZ2">
        <f t="shared" si="0"/>
        <v>1</v>
      </c>
    </row>
    <row r="3" spans="1:52" x14ac:dyDescent="0.2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  <c r="AG3">
        <f t="shared" ref="AG3:AV8" si="1">_xlfn.FORECAST.LINEAR(AG$1,$B3:$AF3,$B$1:$AF$1)</f>
        <v>1</v>
      </c>
      <c r="AH3">
        <f t="shared" si="1"/>
        <v>1</v>
      </c>
      <c r="AI3">
        <f t="shared" si="1"/>
        <v>1</v>
      </c>
      <c r="AJ3">
        <f t="shared" si="1"/>
        <v>1</v>
      </c>
      <c r="AK3">
        <f t="shared" si="1"/>
        <v>1</v>
      </c>
      <c r="AL3">
        <f t="shared" si="1"/>
        <v>1</v>
      </c>
      <c r="AM3">
        <f t="shared" si="1"/>
        <v>1</v>
      </c>
      <c r="AN3">
        <f t="shared" si="1"/>
        <v>1</v>
      </c>
      <c r="AO3">
        <f t="shared" si="1"/>
        <v>1</v>
      </c>
      <c r="AP3">
        <f t="shared" si="1"/>
        <v>1</v>
      </c>
      <c r="AQ3">
        <f t="shared" si="1"/>
        <v>1</v>
      </c>
      <c r="AR3">
        <f t="shared" si="1"/>
        <v>1</v>
      </c>
      <c r="AS3">
        <f t="shared" si="1"/>
        <v>1</v>
      </c>
      <c r="AT3">
        <f t="shared" si="1"/>
        <v>1</v>
      </c>
      <c r="AU3">
        <f t="shared" si="1"/>
        <v>1</v>
      </c>
      <c r="AV3">
        <f t="shared" si="1"/>
        <v>1</v>
      </c>
      <c r="AW3">
        <f t="shared" si="0"/>
        <v>1</v>
      </c>
      <c r="AX3">
        <f t="shared" si="0"/>
        <v>1</v>
      </c>
      <c r="AY3">
        <f t="shared" si="0"/>
        <v>1</v>
      </c>
      <c r="AZ3">
        <f t="shared" si="0"/>
        <v>1</v>
      </c>
    </row>
    <row r="4" spans="1:52" x14ac:dyDescent="0.2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  <c r="AG4">
        <f t="shared" si="1"/>
        <v>1</v>
      </c>
      <c r="AH4">
        <f t="shared" si="0"/>
        <v>1</v>
      </c>
      <c r="AI4">
        <f t="shared" si="0"/>
        <v>1</v>
      </c>
      <c r="AJ4">
        <f t="shared" si="0"/>
        <v>1</v>
      </c>
      <c r="AK4">
        <f t="shared" si="0"/>
        <v>1</v>
      </c>
      <c r="AL4">
        <f t="shared" si="0"/>
        <v>1</v>
      </c>
      <c r="AM4">
        <f t="shared" si="0"/>
        <v>1</v>
      </c>
      <c r="AN4">
        <f t="shared" si="0"/>
        <v>1</v>
      </c>
      <c r="AO4">
        <f t="shared" si="0"/>
        <v>1</v>
      </c>
      <c r="AP4">
        <f t="shared" si="0"/>
        <v>1</v>
      </c>
      <c r="AQ4">
        <f t="shared" si="0"/>
        <v>1</v>
      </c>
      <c r="AR4">
        <f t="shared" si="0"/>
        <v>1</v>
      </c>
      <c r="AS4">
        <f t="shared" si="0"/>
        <v>1</v>
      </c>
      <c r="AT4">
        <f t="shared" si="0"/>
        <v>1</v>
      </c>
      <c r="AU4">
        <f t="shared" si="0"/>
        <v>1</v>
      </c>
      <c r="AV4">
        <f t="shared" si="0"/>
        <v>1</v>
      </c>
      <c r="AW4">
        <f t="shared" si="0"/>
        <v>1</v>
      </c>
      <c r="AX4">
        <f t="shared" si="0"/>
        <v>1</v>
      </c>
      <c r="AY4">
        <f t="shared" si="0"/>
        <v>1</v>
      </c>
      <c r="AZ4">
        <f t="shared" si="0"/>
        <v>1</v>
      </c>
    </row>
    <row r="5" spans="1:52" x14ac:dyDescent="0.2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  <c r="AG5">
        <f t="shared" si="1"/>
        <v>1</v>
      </c>
      <c r="AH5">
        <f t="shared" si="0"/>
        <v>1</v>
      </c>
      <c r="AI5">
        <f t="shared" si="0"/>
        <v>1</v>
      </c>
      <c r="AJ5">
        <f t="shared" si="0"/>
        <v>1</v>
      </c>
      <c r="AK5">
        <f t="shared" si="0"/>
        <v>1</v>
      </c>
      <c r="AL5">
        <f t="shared" si="0"/>
        <v>1</v>
      </c>
      <c r="AM5">
        <f t="shared" si="0"/>
        <v>1</v>
      </c>
      <c r="AN5">
        <f t="shared" si="0"/>
        <v>1</v>
      </c>
      <c r="AO5">
        <f t="shared" si="0"/>
        <v>1</v>
      </c>
      <c r="AP5">
        <f t="shared" si="0"/>
        <v>1</v>
      </c>
      <c r="AQ5">
        <f t="shared" si="0"/>
        <v>1</v>
      </c>
      <c r="AR5">
        <f t="shared" si="0"/>
        <v>1</v>
      </c>
      <c r="AS5">
        <f t="shared" si="0"/>
        <v>1</v>
      </c>
      <c r="AT5">
        <f t="shared" si="0"/>
        <v>1</v>
      </c>
      <c r="AU5">
        <f t="shared" si="0"/>
        <v>1</v>
      </c>
      <c r="AV5">
        <f t="shared" si="0"/>
        <v>1</v>
      </c>
      <c r="AW5">
        <f t="shared" si="0"/>
        <v>1</v>
      </c>
      <c r="AX5">
        <f t="shared" si="0"/>
        <v>1</v>
      </c>
      <c r="AY5">
        <f t="shared" si="0"/>
        <v>1</v>
      </c>
      <c r="AZ5">
        <f t="shared" si="0"/>
        <v>1</v>
      </c>
    </row>
    <row r="6" spans="1:52" x14ac:dyDescent="0.2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f t="shared" si="1"/>
        <v>1</v>
      </c>
      <c r="AH6">
        <f t="shared" si="0"/>
        <v>1</v>
      </c>
      <c r="AI6">
        <f t="shared" si="0"/>
        <v>1</v>
      </c>
      <c r="AJ6">
        <f t="shared" si="0"/>
        <v>1</v>
      </c>
      <c r="AK6">
        <f t="shared" si="0"/>
        <v>1</v>
      </c>
      <c r="AL6">
        <f t="shared" si="0"/>
        <v>1</v>
      </c>
      <c r="AM6">
        <f t="shared" si="0"/>
        <v>1</v>
      </c>
      <c r="AN6">
        <f t="shared" si="0"/>
        <v>1</v>
      </c>
      <c r="AO6">
        <f t="shared" si="0"/>
        <v>1</v>
      </c>
      <c r="AP6">
        <f t="shared" si="0"/>
        <v>1</v>
      </c>
      <c r="AQ6">
        <f t="shared" si="0"/>
        <v>1</v>
      </c>
      <c r="AR6">
        <f t="shared" si="0"/>
        <v>1</v>
      </c>
      <c r="AS6">
        <f t="shared" si="0"/>
        <v>1</v>
      </c>
      <c r="AT6">
        <f t="shared" si="0"/>
        <v>1</v>
      </c>
      <c r="AU6">
        <f t="shared" si="0"/>
        <v>1</v>
      </c>
      <c r="AV6">
        <f t="shared" si="0"/>
        <v>1</v>
      </c>
      <c r="AW6">
        <f t="shared" si="0"/>
        <v>1</v>
      </c>
      <c r="AX6">
        <f t="shared" si="0"/>
        <v>1</v>
      </c>
      <c r="AY6">
        <f t="shared" si="0"/>
        <v>1</v>
      </c>
      <c r="AZ6">
        <f t="shared" si="0"/>
        <v>1</v>
      </c>
    </row>
    <row r="7" spans="1:52" x14ac:dyDescent="0.2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  <c r="AG7">
        <f t="shared" si="1"/>
        <v>1</v>
      </c>
      <c r="AH7">
        <f t="shared" si="0"/>
        <v>1</v>
      </c>
      <c r="AI7">
        <f t="shared" si="0"/>
        <v>1</v>
      </c>
      <c r="AJ7">
        <f t="shared" si="0"/>
        <v>1</v>
      </c>
      <c r="AK7">
        <f t="shared" si="0"/>
        <v>1</v>
      </c>
      <c r="AL7">
        <f t="shared" si="0"/>
        <v>1</v>
      </c>
      <c r="AM7">
        <f t="shared" si="0"/>
        <v>1</v>
      </c>
      <c r="AN7">
        <f t="shared" si="0"/>
        <v>1</v>
      </c>
      <c r="AO7">
        <f t="shared" si="0"/>
        <v>1</v>
      </c>
      <c r="AP7">
        <f t="shared" si="0"/>
        <v>1</v>
      </c>
      <c r="AQ7">
        <f t="shared" si="0"/>
        <v>1</v>
      </c>
      <c r="AR7">
        <f t="shared" si="0"/>
        <v>1</v>
      </c>
      <c r="AS7">
        <f t="shared" si="0"/>
        <v>1</v>
      </c>
      <c r="AT7">
        <f t="shared" si="0"/>
        <v>1</v>
      </c>
      <c r="AU7">
        <f t="shared" si="0"/>
        <v>1</v>
      </c>
      <c r="AV7">
        <f t="shared" si="0"/>
        <v>1</v>
      </c>
      <c r="AW7">
        <f t="shared" si="0"/>
        <v>1</v>
      </c>
      <c r="AX7">
        <f t="shared" si="0"/>
        <v>1</v>
      </c>
      <c r="AY7">
        <f t="shared" si="0"/>
        <v>1</v>
      </c>
      <c r="AZ7">
        <f t="shared" si="0"/>
        <v>1</v>
      </c>
    </row>
    <row r="8" spans="1:52" x14ac:dyDescent="0.2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f t="shared" si="1"/>
        <v>1</v>
      </c>
      <c r="AH8">
        <f t="shared" si="0"/>
        <v>1</v>
      </c>
      <c r="AI8">
        <f t="shared" si="0"/>
        <v>1</v>
      </c>
      <c r="AJ8">
        <f t="shared" si="0"/>
        <v>1</v>
      </c>
      <c r="AK8">
        <f t="shared" si="0"/>
        <v>1</v>
      </c>
      <c r="AL8">
        <f t="shared" si="0"/>
        <v>1</v>
      </c>
      <c r="AM8">
        <f t="shared" si="0"/>
        <v>1</v>
      </c>
      <c r="AN8">
        <f t="shared" si="0"/>
        <v>1</v>
      </c>
      <c r="AO8">
        <f t="shared" si="0"/>
        <v>1</v>
      </c>
      <c r="AP8">
        <f t="shared" si="0"/>
        <v>1</v>
      </c>
      <c r="AQ8">
        <f t="shared" si="0"/>
        <v>1</v>
      </c>
      <c r="AR8">
        <f t="shared" si="0"/>
        <v>1</v>
      </c>
      <c r="AS8">
        <f t="shared" si="0"/>
        <v>1</v>
      </c>
      <c r="AT8">
        <f t="shared" si="0"/>
        <v>1</v>
      </c>
      <c r="AU8">
        <f t="shared" si="0"/>
        <v>1</v>
      </c>
      <c r="AV8">
        <f t="shared" si="0"/>
        <v>1</v>
      </c>
      <c r="AW8">
        <f t="shared" si="0"/>
        <v>1</v>
      </c>
      <c r="AX8">
        <f t="shared" si="0"/>
        <v>1</v>
      </c>
      <c r="AY8">
        <f t="shared" si="0"/>
        <v>1</v>
      </c>
      <c r="AZ8">
        <f t="shared" si="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EV Sales Share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Sy, Saidou Abdoulaye</cp:lastModifiedBy>
  <dcterms:created xsi:type="dcterms:W3CDTF">2017-07-01T03:43:09Z</dcterms:created>
  <dcterms:modified xsi:type="dcterms:W3CDTF">2025-07-02T15:46:23Z</dcterms:modified>
</cp:coreProperties>
</file>