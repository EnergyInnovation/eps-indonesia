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8"/>
  <workbookPr/>
  <mc:AlternateContent xmlns:mc="http://schemas.openxmlformats.org/markup-compatibility/2006">
    <mc:Choice Requires="x15">
      <x15ac:absPath xmlns:x15ac="http://schemas.microsoft.com/office/spreadsheetml/2010/11/ac" url="C:\Users\mmahajan\Documents\eps-us\InputData\trans\BRAaCTSC\"/>
    </mc:Choice>
  </mc:AlternateContent>
  <xr:revisionPtr revIDLastSave="102" documentId="13_ncr:1_{0EAF56AC-016E-492C-8470-28F213A73717}" xr6:coauthVersionLast="47" xr6:coauthVersionMax="47" xr10:uidLastSave="{DAE9FE6D-536C-4391-9D4C-96A89E5E2213}"/>
  <bookViews>
    <workbookView xWindow="20" yWindow="520" windowWidth="19180" windowHeight="10180" activeTab="2" xr2:uid="{00000000-000D-0000-FFFF-FFFF00000000}"/>
  </bookViews>
  <sheets>
    <sheet name="About" sheetId="1" r:id="rId1"/>
    <sheet name="Calculations" sheetId="4" r:id="rId2"/>
    <sheet name="BNoEVC" sheetId="3" r:id="rId3"/>
  </sheets>
  <definedNames>
    <definedName name="income">Calculations!#REF!</definedName>
    <definedName name="Range_EV">Calculations!#REF!</definedName>
    <definedName name="range_ICE">Calculations!#REF!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3" l="1"/>
  <c r="C2" i="3"/>
  <c r="Y2" i="4"/>
  <c r="Z2" i="4"/>
  <c r="AA2" i="4"/>
  <c r="AB2" i="4"/>
  <c r="AC2" i="4"/>
  <c r="AD2" i="4"/>
  <c r="AE2" i="4"/>
  <c r="AF2" i="4"/>
  <c r="AG2" i="4"/>
  <c r="X2" i="4"/>
  <c r="O2" i="4"/>
  <c r="P2" i="4"/>
  <c r="Q2" i="4"/>
  <c r="R2" i="4"/>
  <c r="S2" i="4"/>
  <c r="T2" i="4"/>
  <c r="U2" i="4"/>
  <c r="V2" i="4"/>
  <c r="W2" i="4"/>
  <c r="N2" i="4"/>
  <c r="E2" i="4"/>
  <c r="H2" i="4"/>
  <c r="I2" i="4" s="1"/>
  <c r="J2" i="4" s="1"/>
  <c r="K2" i="4" s="1"/>
  <c r="L2" i="4" s="1"/>
  <c r="M2" i="3"/>
  <c r="D2" i="3"/>
  <c r="E2" i="3"/>
  <c r="F2" i="3"/>
  <c r="G2" i="3"/>
  <c r="H2" i="3"/>
  <c r="I2" i="3"/>
  <c r="J2" i="3"/>
  <c r="K2" i="3"/>
  <c r="L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AG2" i="3"/>
</calcChain>
</file>

<file path=xl/sharedStrings.xml><?xml version="1.0" encoding="utf-8"?>
<sst xmlns="http://schemas.openxmlformats.org/spreadsheetml/2006/main" count="35" uniqueCount="32">
  <si>
    <t>BNoEVC BAU Number of EV Chargers</t>
  </si>
  <si>
    <t>Source:</t>
  </si>
  <si>
    <t>Number of Gas pumps</t>
  </si>
  <si>
    <t>CleanTechnica</t>
  </si>
  <si>
    <t>Stop Comparing the Number of Gas Stations to EV Charging Stations</t>
  </si>
  <si>
    <t>https://cleantechnica.com/2018/03/07/stop-comparing-number-gas-stations-ev-charging-stations/</t>
  </si>
  <si>
    <t>Number of EVSE Ports</t>
  </si>
  <si>
    <t>Statista</t>
  </si>
  <si>
    <t>Number of electric vehicle charging stations in Indonesia as of April 2024, by region</t>
  </si>
  <si>
    <t>https://www.statista.com/statistics/1461434/indonesia-number-of-ev-charging-stations-by-region/</t>
  </si>
  <si>
    <t>Seva Indonseisa</t>
  </si>
  <si>
    <t>Electric Vehicles Are Increasingly Popular, How Many SPKLUs Are There in Indonesia?</t>
  </si>
  <si>
    <t>https://www.seva.id/blog/kendaraan-listrik-makin-marak-berapa-jumlah-spklu-di-indonesia-052023-bu</t>
  </si>
  <si>
    <t>ICCT</t>
  </si>
  <si>
    <t>Charging Indonesia’s vehicle transition: Infrastructure needs for electric passenger cars in 2030</t>
  </si>
  <si>
    <t>https://theicct.org/wp-content/uploads/2024/02/ID-88-%E2%80%93-Indonesia-charging_final2.pdf</t>
  </si>
  <si>
    <t>Notes</t>
  </si>
  <si>
    <t>Currency Conversion</t>
  </si>
  <si>
    <t>2019 to 2012 USD</t>
  </si>
  <si>
    <t>2021 to 2012 USD</t>
  </si>
  <si>
    <t>2022 to 2012 USD</t>
  </si>
  <si>
    <t>We assume that prior to the IIJA or IRA, the number of EV ports would slowly grow with time to equal the number of gas pumps by 2050.</t>
  </si>
  <si>
    <t xml:space="preserve">We adjust our calculations by an estimated number of public charger additions from both the Infrastructure Investment and Jobs Act </t>
  </si>
  <si>
    <t>and the Inflation Reduction Act (see tabs for methodology).</t>
  </si>
  <si>
    <t>Year</t>
  </si>
  <si>
    <t>Number of pumps</t>
  </si>
  <si>
    <t>source</t>
  </si>
  <si>
    <t>^need data</t>
  </si>
  <si>
    <t>^ need data</t>
  </si>
  <si>
    <t>Seva, PLN</t>
  </si>
  <si>
    <t>Number of chargers</t>
  </si>
  <si>
    <t>BAU EV Chargers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</si>
</sst>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3" fillId="0" borderId="0"/>
  </cellStyleXfs>
  <cellXfs count="11">
    <xf numFmtId="0" fontId="0" fillId="0" borderId="0" xfId="0"/>
    <xf numFmtId="0" fontId="1" fillId="0" borderId="0" xfId="0" applyFont="1"/>
    <xf numFmtId="1" fontId="0" fillId="0" borderId="0" xfId="0" applyNumberFormat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0" fontId="5" fillId="0" borderId="0" xfId="2" applyFont="1"/>
    <xf numFmtId="0" fontId="5" fillId="0" borderId="0" xfId="2" applyFont="1" applyAlignment="1">
      <alignment horizontal="right"/>
    </xf>
    <xf numFmtId="0" fontId="4" fillId="0" borderId="0" xfId="2" applyFont="1"/>
    <xf numFmtId="0" fontId="0" fillId="0" borderId="0" xfId="0" applyAlignment="1"/>
    <xf numFmtId="3" fontId="0" fillId="0" borderId="0" xfId="0" applyNumberFormat="1"/>
  </cellXfs>
  <cellStyles count="3">
    <cellStyle name="Hyperlink" xfId="1" builtinId="8"/>
    <cellStyle name="Normal" xfId="0" builtinId="0"/>
    <cellStyle name="Normal 3 2" xfId="2" xr:uid="{3F0B3957-5839-491A-BB84-14323CF388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theicct.org/wp-content/uploads/2024/02/ID-88-%E2%80%93-Indonesia-charging_final2.pdf" TargetMode="External"/><Relationship Id="rId2" Type="http://schemas.openxmlformats.org/officeDocument/2006/relationships/hyperlink" Target="https://www.seva.id/blog/kendaraan-listrik-makin-marak-berapa-jumlah-spklu-di-indonesia-052023-bu" TargetMode="External"/><Relationship Id="rId1" Type="http://schemas.openxmlformats.org/officeDocument/2006/relationships/hyperlink" Target="https://www.statista.com/statistics/1461434/indonesia-number-of-ev-charging-stations-by-region/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3"/>
  <sheetViews>
    <sheetView topLeftCell="A14" workbookViewId="0">
      <selection sqref="A1:K38"/>
    </sheetView>
  </sheetViews>
  <sheetFormatPr defaultRowHeight="15"/>
  <cols>
    <col min="1" max="1" width="16.5703125" customWidth="1"/>
    <col min="2" max="2" width="31.85546875" customWidth="1"/>
    <col min="11" max="11" width="36.5703125" bestFit="1" customWidth="1"/>
  </cols>
  <sheetData>
    <row r="1" spans="1:2">
      <c r="A1" s="1" t="s">
        <v>0</v>
      </c>
    </row>
    <row r="3" spans="1:2">
      <c r="A3" s="1" t="s">
        <v>1</v>
      </c>
      <c r="B3" s="3" t="s">
        <v>2</v>
      </c>
    </row>
    <row r="4" spans="1:2">
      <c r="B4" t="s">
        <v>3</v>
      </c>
    </row>
    <row r="5" spans="1:2">
      <c r="B5" s="4">
        <v>2018</v>
      </c>
    </row>
    <row r="6" spans="1:2">
      <c r="B6" t="s">
        <v>4</v>
      </c>
    </row>
    <row r="7" spans="1:2">
      <c r="B7" t="s">
        <v>5</v>
      </c>
    </row>
    <row r="9" spans="1:2">
      <c r="B9" s="3" t="s">
        <v>6</v>
      </c>
    </row>
    <row r="10" spans="1:2">
      <c r="B10" t="s">
        <v>7</v>
      </c>
    </row>
    <row r="11" spans="1:2">
      <c r="B11" s="4">
        <v>2024</v>
      </c>
    </row>
    <row r="12" spans="1:2">
      <c r="B12" s="9" t="s">
        <v>8</v>
      </c>
    </row>
    <row r="13" spans="1:2">
      <c r="B13" s="5" t="s">
        <v>9</v>
      </c>
    </row>
    <row r="15" spans="1:2">
      <c r="B15" t="s">
        <v>10</v>
      </c>
    </row>
    <row r="16" spans="1:2">
      <c r="B16" s="9" t="s">
        <v>11</v>
      </c>
    </row>
    <row r="17" spans="1:2">
      <c r="B17" s="5" t="s">
        <v>12</v>
      </c>
    </row>
    <row r="19" spans="1:2">
      <c r="B19" t="s">
        <v>13</v>
      </c>
    </row>
    <row r="20" spans="1:2">
      <c r="B20" s="9" t="s">
        <v>14</v>
      </c>
    </row>
    <row r="21" spans="1:2">
      <c r="B21" s="5" t="s">
        <v>15</v>
      </c>
    </row>
    <row r="25" spans="1:2">
      <c r="A25" s="1" t="s">
        <v>16</v>
      </c>
    </row>
    <row r="26" spans="1:2">
      <c r="A26" t="s">
        <v>17</v>
      </c>
      <c r="B26">
        <v>0.89805481563188172</v>
      </c>
    </row>
    <row r="27" spans="1:2">
      <c r="A27" t="s">
        <v>18</v>
      </c>
      <c r="B27">
        <v>0.84730412960844359</v>
      </c>
    </row>
    <row r="28" spans="1:2">
      <c r="A28" t="s">
        <v>19</v>
      </c>
      <c r="B28" s="7">
        <v>0.78500000000000003</v>
      </c>
    </row>
    <row r="29" spans="1:2">
      <c r="A29" s="6" t="s">
        <v>20</v>
      </c>
      <c r="B29" s="7"/>
    </row>
    <row r="30" spans="1:2">
      <c r="A30" s="8"/>
    </row>
    <row r="31" spans="1:2">
      <c r="A31" t="s">
        <v>21</v>
      </c>
    </row>
    <row r="32" spans="1:2">
      <c r="A32" t="s">
        <v>22</v>
      </c>
    </row>
    <row r="33" spans="1:1">
      <c r="A33" t="s">
        <v>23</v>
      </c>
    </row>
  </sheetData>
  <hyperlinks>
    <hyperlink ref="B13" r:id="rId1" xr:uid="{1EE42BDD-77C1-46E4-AC3D-E8AC353DEAE8}"/>
    <hyperlink ref="B17" r:id="rId2" xr:uid="{DAF65790-6E4D-4857-A8C5-BA9BFE12510E}"/>
    <hyperlink ref="B21" r:id="rId3" xr:uid="{A2A2043B-DF6E-4D91-A3B0-857986660500}"/>
  </hyperlinks>
  <pageMargins left="0.7" right="0.7" top="0.75" bottom="0.75" header="0.3" footer="0.3"/>
  <pageSetup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A17B3-AFD9-42DA-AB68-E46FC6CF1D40}">
  <dimension ref="A1:AG10"/>
  <sheetViews>
    <sheetView topLeftCell="B1" workbookViewId="0">
      <selection sqref="A1:XFD3"/>
    </sheetView>
  </sheetViews>
  <sheetFormatPr defaultRowHeight="15"/>
  <cols>
    <col min="1" max="1" width="45.140625" customWidth="1"/>
    <col min="2" max="2" width="26.42578125" customWidth="1"/>
    <col min="3" max="4" width="12" bestFit="1" customWidth="1"/>
  </cols>
  <sheetData>
    <row r="1" spans="1:33">
      <c r="A1" t="s">
        <v>24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>
      <c r="A2" t="s">
        <v>25</v>
      </c>
      <c r="B2">
        <v>0</v>
      </c>
      <c r="C2">
        <v>50</v>
      </c>
      <c r="D2">
        <v>267</v>
      </c>
      <c r="E2">
        <f>ROUND(AVERAGE(D2,F2),0)</f>
        <v>413</v>
      </c>
      <c r="F2">
        <v>558</v>
      </c>
      <c r="G2">
        <v>966</v>
      </c>
      <c r="H2">
        <f>(($M$2-$G$2)/6)+G2</f>
        <v>6114.833333333333</v>
      </c>
      <c r="I2">
        <f t="shared" ref="I2:L2" si="0">(($M$2-$G$2)/6)+H2</f>
        <v>11263.666666666666</v>
      </c>
      <c r="J2">
        <f t="shared" si="0"/>
        <v>16412.5</v>
      </c>
      <c r="K2">
        <f t="shared" si="0"/>
        <v>21561.333333333332</v>
      </c>
      <c r="L2">
        <f t="shared" si="0"/>
        <v>26710.166666666664</v>
      </c>
      <c r="M2" s="10">
        <v>31859</v>
      </c>
      <c r="N2">
        <f>M2*1.05</f>
        <v>33451.950000000004</v>
      </c>
      <c r="O2">
        <f t="shared" ref="O2:AG2" si="1">N2*1.05</f>
        <v>35124.547500000008</v>
      </c>
      <c r="P2">
        <f t="shared" si="1"/>
        <v>36880.77487500001</v>
      </c>
      <c r="Q2">
        <f t="shared" si="1"/>
        <v>38724.813618750013</v>
      </c>
      <c r="R2">
        <f t="shared" si="1"/>
        <v>40661.054299687516</v>
      </c>
      <c r="S2">
        <f t="shared" si="1"/>
        <v>42694.107014671892</v>
      </c>
      <c r="T2">
        <f t="shared" si="1"/>
        <v>44828.812365405487</v>
      </c>
      <c r="U2">
        <f t="shared" si="1"/>
        <v>47070.25298367576</v>
      </c>
      <c r="V2">
        <f t="shared" si="1"/>
        <v>49423.765632859548</v>
      </c>
      <c r="W2">
        <f t="shared" si="1"/>
        <v>51894.953914502526</v>
      </c>
      <c r="X2">
        <f>$W$2</f>
        <v>51894.953914502526</v>
      </c>
      <c r="Y2">
        <f t="shared" ref="Y2:AG2" si="2">$W$2</f>
        <v>51894.953914502526</v>
      </c>
      <c r="Z2">
        <f t="shared" si="2"/>
        <v>51894.953914502526</v>
      </c>
      <c r="AA2">
        <f t="shared" si="2"/>
        <v>51894.953914502526</v>
      </c>
      <c r="AB2">
        <f t="shared" si="2"/>
        <v>51894.953914502526</v>
      </c>
      <c r="AC2">
        <f t="shared" si="2"/>
        <v>51894.953914502526</v>
      </c>
      <c r="AD2">
        <f t="shared" si="2"/>
        <v>51894.953914502526</v>
      </c>
      <c r="AE2">
        <f t="shared" si="2"/>
        <v>51894.953914502526</v>
      </c>
      <c r="AF2">
        <f t="shared" si="2"/>
        <v>51894.953914502526</v>
      </c>
      <c r="AG2">
        <f t="shared" si="2"/>
        <v>51894.953914502526</v>
      </c>
    </row>
    <row r="3" spans="1:33">
      <c r="A3" t="s">
        <v>26</v>
      </c>
      <c r="B3" t="s">
        <v>27</v>
      </c>
      <c r="C3" t="s">
        <v>28</v>
      </c>
      <c r="D3" t="s">
        <v>29</v>
      </c>
      <c r="F3" t="s">
        <v>13</v>
      </c>
      <c r="G3" t="s">
        <v>7</v>
      </c>
      <c r="M3" t="s">
        <v>13</v>
      </c>
    </row>
    <row r="9" spans="1:33">
      <c r="E9" s="2"/>
      <c r="F9" s="2"/>
      <c r="G9" s="2"/>
      <c r="H9" s="2"/>
    </row>
    <row r="10" spans="1:33">
      <c r="E10" s="2"/>
      <c r="F10" s="2"/>
      <c r="G10" s="2"/>
      <c r="H10" s="2"/>
      <c r="I10" s="2"/>
      <c r="J10" s="2"/>
      <c r="K10" s="2"/>
      <c r="L10" s="2"/>
      <c r="M10" s="2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G2"/>
  <sheetViews>
    <sheetView tabSelected="1" workbookViewId="0">
      <selection activeCell="C2" sqref="C2"/>
    </sheetView>
  </sheetViews>
  <sheetFormatPr defaultRowHeight="15"/>
  <cols>
    <col min="1" max="1" width="21" customWidth="1"/>
  </cols>
  <sheetData>
    <row r="1" spans="1:33">
      <c r="A1" t="s">
        <v>30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>
      <c r="A2" s="1" t="s">
        <v>31</v>
      </c>
      <c r="B2" s="2">
        <f>Calculations!B2</f>
        <v>0</v>
      </c>
      <c r="C2" s="2">
        <f>Calculations!C2</f>
        <v>50</v>
      </c>
      <c r="D2" s="2">
        <f>Calculations!D2</f>
        <v>267</v>
      </c>
      <c r="E2" s="2">
        <f>Calculations!E2</f>
        <v>413</v>
      </c>
      <c r="F2" s="2">
        <f>Calculations!F2</f>
        <v>558</v>
      </c>
      <c r="G2" s="2">
        <f>Calculations!G2</f>
        <v>966</v>
      </c>
      <c r="H2" s="2">
        <f>Calculations!H2</f>
        <v>6114.833333333333</v>
      </c>
      <c r="I2" s="2">
        <f>Calculations!I2</f>
        <v>11263.666666666666</v>
      </c>
      <c r="J2" s="2">
        <f>Calculations!J2</f>
        <v>16412.5</v>
      </c>
      <c r="K2" s="2">
        <f>Calculations!K2</f>
        <v>21561.333333333332</v>
      </c>
      <c r="L2" s="2">
        <f>Calculations!L2</f>
        <v>26710.166666666664</v>
      </c>
      <c r="M2" s="2">
        <f>Calculations!M2</f>
        <v>31859</v>
      </c>
      <c r="N2" s="2">
        <f>Calculations!N2</f>
        <v>33451.950000000004</v>
      </c>
      <c r="O2" s="2">
        <f>Calculations!O2</f>
        <v>35124.547500000008</v>
      </c>
      <c r="P2" s="2">
        <f>Calculations!P2</f>
        <v>36880.77487500001</v>
      </c>
      <c r="Q2" s="2">
        <f>Calculations!Q2</f>
        <v>38724.813618750013</v>
      </c>
      <c r="R2" s="2">
        <f>Calculations!R2</f>
        <v>40661.054299687516</v>
      </c>
      <c r="S2" s="2">
        <f>Calculations!S2</f>
        <v>42694.107014671892</v>
      </c>
      <c r="T2" s="2">
        <f>Calculations!T2</f>
        <v>44828.812365405487</v>
      </c>
      <c r="U2" s="2">
        <f>Calculations!U2</f>
        <v>47070.25298367576</v>
      </c>
      <c r="V2" s="2">
        <f>Calculations!V2</f>
        <v>49423.765632859548</v>
      </c>
      <c r="W2" s="2">
        <f>Calculations!W2</f>
        <v>51894.953914502526</v>
      </c>
      <c r="X2" s="2">
        <f>Calculations!X2</f>
        <v>51894.953914502526</v>
      </c>
      <c r="Y2" s="2">
        <f>Calculations!Y2</f>
        <v>51894.953914502526</v>
      </c>
      <c r="Z2" s="2">
        <f>Calculations!Z2</f>
        <v>51894.953914502526</v>
      </c>
      <c r="AA2" s="2">
        <f>Calculations!AA2</f>
        <v>51894.953914502526</v>
      </c>
      <c r="AB2" s="2">
        <f>Calculations!AB2</f>
        <v>51894.953914502526</v>
      </c>
      <c r="AC2" s="2">
        <f>Calculations!AC2</f>
        <v>51894.953914502526</v>
      </c>
      <c r="AD2" s="2">
        <f>Calculations!AD2</f>
        <v>51894.953914502526</v>
      </c>
      <c r="AE2" s="2">
        <f>Calculations!AE2</f>
        <v>51894.953914502526</v>
      </c>
      <c r="AF2" s="2">
        <f>Calculations!AF2</f>
        <v>51894.953914502526</v>
      </c>
      <c r="AG2" s="2">
        <f>Calculations!AG2</f>
        <v>51894.953914502526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41A8AB53924247A2770D65450F5227" ma:contentTypeVersion="4" ma:contentTypeDescription="Create a new document." ma:contentTypeScope="" ma:versionID="90fff4f083191fe75a03dbd50c7739fc">
  <xsd:schema xmlns:xsd="http://www.w3.org/2001/XMLSchema" xmlns:xs="http://www.w3.org/2001/XMLSchema" xmlns:p="http://schemas.microsoft.com/office/2006/metadata/properties" xmlns:ns2="1659011e-6b88-4225-9a61-aaf33aaf19e8" targetNamespace="http://schemas.microsoft.com/office/2006/metadata/properties" ma:root="true" ma:fieldsID="7fee88694a371868130ae0617c69143c" ns2:_="">
    <xsd:import namespace="1659011e-6b88-4225-9a61-aaf33aaf19e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59011e-6b88-4225-9a61-aaf33aaf19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EBD19AD-267D-42F8-BC25-97392FD4BAF2}"/>
</file>

<file path=customXml/itemProps2.xml><?xml version="1.0" encoding="utf-8"?>
<ds:datastoreItem xmlns:ds="http://schemas.openxmlformats.org/officeDocument/2006/customXml" ds:itemID="{43B14FBA-8B52-4DAB-AE7C-E213A7133857}"/>
</file>

<file path=customXml/itemProps3.xml><?xml version="1.0" encoding="utf-8"?>
<ds:datastoreItem xmlns:ds="http://schemas.openxmlformats.org/officeDocument/2006/customXml" ds:itemID="{C41852D5-2CAE-451C-BD0C-D106062FC48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Rachel Goldstein</cp:lastModifiedBy>
  <cp:revision/>
  <dcterms:created xsi:type="dcterms:W3CDTF">2019-06-04T20:20:37Z</dcterms:created>
  <dcterms:modified xsi:type="dcterms:W3CDTF">2025-02-04T16:48:44Z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0x0101002041A8AB53924247A2770D65450F5227</vt:lpwstr>
  </property>
</Properties>
</file>