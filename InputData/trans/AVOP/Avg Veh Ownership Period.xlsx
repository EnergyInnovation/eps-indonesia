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bbie\Dropbox (Energy Innovation)\My Documents\Energy Policy Solutions\US\Models\eps-us\InputData\trans\AVOP\"/>
    </mc:Choice>
  </mc:AlternateContent>
  <xr:revisionPtr revIDLastSave="0" documentId="13_ncr:1_{5A96E49C-1C69-4387-8BF5-89D448098612}" xr6:coauthVersionLast="47" xr6:coauthVersionMax="47" xr10:uidLastSave="{00000000-0000-0000-0000-000000000000}"/>
  <bookViews>
    <workbookView xWindow="32340" yWindow="1425" windowWidth="23010" windowHeight="13800" xr2:uid="{00000000-000D-0000-FFFF-FFFF00000000}"/>
  </bookViews>
  <sheets>
    <sheet name="About" sheetId="1" r:id="rId1"/>
    <sheet name="AVOP" sheetId="2" r:id="rId2"/>
  </sheets>
  <externalReferences>
    <externalReference r:id="rId3"/>
  </externalReferences>
  <definedNames>
    <definedName name="Eno_TM">'[1]1997  Table 1a Modified'!#REF!</definedName>
    <definedName name="Eno_Tons">'[1]1997  Table 1a Modified'!#REF!</definedName>
    <definedName name="Sum_T2">'[1]1997  Table 1a Modified'!#REF!</definedName>
    <definedName name="Sum_TTM">'[1]1997  Table 1a Modified'!#REF!</definedName>
    <definedName name="ti_tbl_50">#REF!</definedName>
    <definedName name="ti_tbl_69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2" l="1"/>
  <c r="B7" i="2"/>
</calcChain>
</file>

<file path=xl/sharedStrings.xml><?xml version="1.0" encoding="utf-8"?>
<sst xmlns="http://schemas.openxmlformats.org/spreadsheetml/2006/main" count="35" uniqueCount="33">
  <si>
    <t>passenger LDVs</t>
  </si>
  <si>
    <t>Sources:</t>
  </si>
  <si>
    <t>freight HDVs</t>
  </si>
  <si>
    <t>LDVs</t>
  </si>
  <si>
    <t>HDVs</t>
  </si>
  <si>
    <t>aircraft</t>
  </si>
  <si>
    <t>rail</t>
  </si>
  <si>
    <t>ships</t>
  </si>
  <si>
    <t>motorbikes</t>
  </si>
  <si>
    <t>Notes:</t>
  </si>
  <si>
    <t>AVOP Average Vehicle Ownership Period</t>
  </si>
  <si>
    <t>passenger</t>
  </si>
  <si>
    <t>freight</t>
  </si>
  <si>
    <t>Vehicle Ownership Period (years)</t>
  </si>
  <si>
    <t>freight LDVs</t>
  </si>
  <si>
    <t>https://theicct.org/wp-content/uploads/2022/01/cost-ev-vans-pickups-us-2040-jan22.pdf</t>
  </si>
  <si>
    <t>https://theicct.org/wp-content/uploads/2023/04/tco-alt-powertrain-long-haul-trucks-us-apr23.pdf</t>
  </si>
  <si>
    <t>https://theicct.org/wp-content/uploads/2022/10/ev-cost-benefits-2035-oct22.pdf</t>
  </si>
  <si>
    <t>passenger HDVs</t>
  </si>
  <si>
    <t>https://www.transitwiki.org/TransitWiki/images/6/64/Useful_Life_of_Buses.pdf</t>
  </si>
  <si>
    <t>International Council on Clean Transportation</t>
  </si>
  <si>
    <t>Assessment of Light-Duty Electric Vehicle Costs and Consumer Benefits in the United States in the 2022-2035 Time Frame</t>
  </si>
  <si>
    <t>p.20</t>
  </si>
  <si>
    <t>Cost of electric commercial vans and pickup trucks in the United States through 2040</t>
  </si>
  <si>
    <t>p.4</t>
  </si>
  <si>
    <t>Federal Transit Administration</t>
  </si>
  <si>
    <t>Useful Life of Transit Buses and Vans</t>
  </si>
  <si>
    <t>p.iv</t>
  </si>
  <si>
    <t>p.I</t>
  </si>
  <si>
    <t>Total Cost of Ownership of Alternative Powertrain Technologies for Class 8 Long-Haul Trucks in the United States</t>
  </si>
  <si>
    <t>For rail, ships, and aircraft, we use the same data as for Average Vehicle Loading, i.e. we assume that a single owner</t>
  </si>
  <si>
    <t>maintains ownership over the lifetime of the asset.</t>
  </si>
  <si>
    <t>For motobikes, we use the value for passenger LDVs.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</si>
</sst>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5" formatCode="0.0"/>
    <numFmt numFmtId="166" formatCode="###0.00_)"/>
    <numFmt numFmtId="167" formatCode="#,##0_)"/>
  </numFmts>
  <fonts count="4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8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sz val="10"/>
      <name val="Arial"/>
      <family val="2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9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2"/>
      <color indexed="30"/>
      <name val="Calibri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</fonts>
  <fills count="2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</fills>
  <borders count="1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ashed">
        <color rgb="FFBFBFB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54">
    <xf numFmtId="0" fontId="0" fillId="0" borderId="0"/>
    <xf numFmtId="0" fontId="2" fillId="0" borderId="0" applyNumberFormat="0" applyFill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7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21" borderId="0" applyNumberFormat="0" applyBorder="0" applyAlignment="0" applyProtection="0"/>
    <xf numFmtId="0" fontId="6" fillId="5" borderId="0" applyNumberFormat="0" applyBorder="0" applyAlignment="0" applyProtection="0"/>
    <xf numFmtId="0" fontId="7" fillId="0" borderId="2" applyNumberFormat="0" applyFont="0" applyProtection="0">
      <alignment wrapText="1"/>
    </xf>
    <xf numFmtId="0" fontId="7" fillId="0" borderId="2" applyNumberFormat="0" applyFont="0" applyProtection="0">
      <alignment wrapText="1"/>
    </xf>
    <xf numFmtId="0" fontId="8" fillId="22" borderId="3" applyNumberFormat="0" applyAlignment="0" applyProtection="0"/>
    <xf numFmtId="0" fontId="9" fillId="23" borderId="4" applyNumberFormat="0" applyAlignment="0" applyProtection="0"/>
    <xf numFmtId="0" fontId="10" fillId="0" borderId="0">
      <alignment horizontal="center" vertical="center" wrapText="1"/>
    </xf>
    <xf numFmtId="43" fontId="1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2" fillId="0" borderId="0">
      <alignment horizontal="left" vertical="center" wrapText="1"/>
    </xf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11" fillId="0" borderId="0" applyFont="0" applyFill="0" applyBorder="0" applyAlignment="0" applyProtection="0"/>
    <xf numFmtId="166" fontId="13" fillId="0" borderId="5" applyNumberFormat="0" applyFill="0">
      <alignment horizontal="right"/>
    </xf>
    <xf numFmtId="166" fontId="14" fillId="0" borderId="5" applyNumberFormat="0" applyFill="0">
      <alignment horizontal="right"/>
    </xf>
    <xf numFmtId="167" fontId="15" fillId="0" borderId="5">
      <alignment horizontal="right" vertical="center"/>
    </xf>
    <xf numFmtId="49" fontId="16" fillId="0" borderId="5">
      <alignment horizontal="left" vertical="center"/>
    </xf>
    <xf numFmtId="166" fontId="13" fillId="0" borderId="5" applyNumberFormat="0" applyFill="0">
      <alignment horizontal="right"/>
    </xf>
    <xf numFmtId="0" fontId="1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6" applyNumberFormat="0" applyProtection="0">
      <alignment wrapText="1"/>
    </xf>
    <xf numFmtId="0" fontId="7" fillId="0" borderId="6" applyNumberFormat="0" applyProtection="0">
      <alignment wrapText="1"/>
    </xf>
    <xf numFmtId="0" fontId="18" fillId="6" borderId="0" applyNumberFormat="0" applyBorder="0" applyAlignment="0" applyProtection="0"/>
    <xf numFmtId="0" fontId="19" fillId="0" borderId="7" applyNumberFormat="0" applyProtection="0">
      <alignment wrapText="1"/>
    </xf>
    <xf numFmtId="0" fontId="19" fillId="0" borderId="7" applyNumberFormat="0" applyProtection="0">
      <alignment wrapText="1"/>
    </xf>
    <xf numFmtId="0" fontId="20" fillId="0" borderId="8" applyNumberFormat="0" applyFill="0" applyAlignment="0" applyProtection="0"/>
    <xf numFmtId="0" fontId="21" fillId="0" borderId="9" applyNumberFormat="0" applyFill="0" applyAlignment="0" applyProtection="0"/>
    <xf numFmtId="0" fontId="22" fillId="0" borderId="10" applyNumberFormat="0" applyFill="0" applyAlignment="0" applyProtection="0"/>
    <xf numFmtId="0" fontId="22" fillId="0" borderId="0" applyNumberFormat="0" applyFill="0" applyBorder="0" applyAlignment="0" applyProtection="0"/>
    <xf numFmtId="0" fontId="23" fillId="0" borderId="5">
      <alignment horizontal="left"/>
    </xf>
    <xf numFmtId="0" fontId="24" fillId="0" borderId="5">
      <alignment horizontal="left"/>
    </xf>
    <xf numFmtId="0" fontId="25" fillId="0" borderId="11">
      <alignment horizontal="right" vertical="center"/>
    </xf>
    <xf numFmtId="0" fontId="26" fillId="0" borderId="5">
      <alignment horizontal="left" vertical="center"/>
    </xf>
    <xf numFmtId="0" fontId="13" fillId="0" borderId="5">
      <alignment horizontal="left" vertical="center"/>
    </xf>
    <xf numFmtId="0" fontId="23" fillId="0" borderId="5">
      <alignment horizontal="left"/>
    </xf>
    <xf numFmtId="0" fontId="23" fillId="24" borderId="0">
      <alignment horizontal="centerContinuous" wrapText="1"/>
    </xf>
    <xf numFmtId="49" fontId="23" fillId="24" borderId="12">
      <alignment horizontal="left" vertical="center"/>
    </xf>
    <xf numFmtId="0" fontId="23" fillId="24" borderId="0">
      <alignment horizontal="centerContinuous" vertical="center" wrapText="1"/>
    </xf>
    <xf numFmtId="0" fontId="27" fillId="0" borderId="0" applyNumberFormat="0" applyFill="0" applyBorder="0" applyAlignment="0" applyProtection="0">
      <alignment vertical="top"/>
      <protection locked="0"/>
    </xf>
    <xf numFmtId="0" fontId="28" fillId="9" borderId="3" applyNumberFormat="0" applyAlignment="0" applyProtection="0"/>
    <xf numFmtId="0" fontId="29" fillId="0" borderId="13" applyNumberFormat="0" applyFill="0" applyAlignment="0" applyProtection="0"/>
    <xf numFmtId="0" fontId="30" fillId="25" borderId="0" applyNumberFormat="0" applyBorder="0" applyAlignment="0" applyProtection="0"/>
    <xf numFmtId="0" fontId="3" fillId="0" borderId="0"/>
    <xf numFmtId="0" fontId="3" fillId="0" borderId="0"/>
    <xf numFmtId="0" fontId="7" fillId="0" borderId="0"/>
    <xf numFmtId="0" fontId="11" fillId="0" borderId="0"/>
    <xf numFmtId="0" fontId="31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3" fillId="3" borderId="1" applyNumberFormat="0" applyFont="0" applyAlignment="0" applyProtection="0"/>
    <xf numFmtId="0" fontId="11" fillId="26" borderId="14" applyNumberFormat="0" applyFont="0" applyAlignment="0" applyProtection="0"/>
    <xf numFmtId="0" fontId="32" fillId="22" borderId="15" applyNumberFormat="0" applyAlignment="0" applyProtection="0"/>
    <xf numFmtId="0" fontId="19" fillId="0" borderId="16" applyNumberFormat="0" applyProtection="0">
      <alignment wrapText="1"/>
    </xf>
    <xf numFmtId="0" fontId="19" fillId="0" borderId="16" applyNumberFormat="0" applyProtection="0">
      <alignment wrapText="1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3" fillId="0" borderId="0" applyFont="0" applyFill="0" applyBorder="0" applyAlignment="0" applyProtection="0"/>
    <xf numFmtId="3" fontId="15" fillId="0" borderId="0">
      <alignment horizontal="left" vertical="center"/>
    </xf>
    <xf numFmtId="0" fontId="10" fillId="0" borderId="0">
      <alignment horizontal="left" vertical="center"/>
    </xf>
    <xf numFmtId="0" fontId="33" fillId="0" borderId="0">
      <alignment horizontal="right"/>
    </xf>
    <xf numFmtId="49" fontId="33" fillId="0" borderId="0">
      <alignment horizontal="center"/>
    </xf>
    <xf numFmtId="0" fontId="16" fillId="0" borderId="0">
      <alignment horizontal="right"/>
    </xf>
    <xf numFmtId="0" fontId="34" fillId="0" borderId="0">
      <alignment horizontal="right"/>
    </xf>
    <xf numFmtId="0" fontId="33" fillId="0" borderId="0">
      <alignment horizontal="left"/>
    </xf>
    <xf numFmtId="0" fontId="35" fillId="0" borderId="0">
      <alignment horizontal="left"/>
    </xf>
    <xf numFmtId="49" fontId="15" fillId="0" borderId="0">
      <alignment horizontal="left" vertical="center"/>
    </xf>
    <xf numFmtId="49" fontId="16" fillId="0" borderId="5">
      <alignment horizontal="left"/>
    </xf>
    <xf numFmtId="166" fontId="15" fillId="0" borderId="0" applyNumberFormat="0">
      <alignment horizontal="right"/>
    </xf>
    <xf numFmtId="0" fontId="25" fillId="27" borderId="0">
      <alignment horizontal="centerContinuous" vertical="center" wrapText="1"/>
    </xf>
    <xf numFmtId="0" fontId="25" fillId="0" borderId="17">
      <alignment horizontal="left" vertical="center"/>
    </xf>
    <xf numFmtId="0" fontId="36" fillId="0" borderId="0" applyNumberFormat="0" applyProtection="0">
      <alignment horizontal="left"/>
    </xf>
    <xf numFmtId="0" fontId="36" fillId="0" borderId="0" applyNumberFormat="0" applyProtection="0">
      <alignment horizontal="left"/>
    </xf>
    <xf numFmtId="0" fontId="37" fillId="0" borderId="0" applyNumberFormat="0" applyFill="0" applyBorder="0" applyAlignment="0" applyProtection="0"/>
    <xf numFmtId="0" fontId="23" fillId="0" borderId="0">
      <alignment horizontal="left"/>
    </xf>
    <xf numFmtId="0" fontId="12" fillId="0" borderId="0">
      <alignment horizontal="left"/>
    </xf>
    <xf numFmtId="0" fontId="13" fillId="0" borderId="0">
      <alignment horizontal="left"/>
    </xf>
    <xf numFmtId="0" fontId="38" fillId="0" borderId="0">
      <alignment horizontal="left" vertical="top"/>
    </xf>
    <xf numFmtId="0" fontId="12" fillId="0" borderId="0">
      <alignment horizontal="left"/>
    </xf>
    <xf numFmtId="0" fontId="13" fillId="0" borderId="0">
      <alignment horizontal="left"/>
    </xf>
    <xf numFmtId="0" fontId="39" fillId="0" borderId="18" applyNumberFormat="0" applyFill="0" applyAlignment="0" applyProtection="0"/>
    <xf numFmtId="0" fontId="40" fillId="0" borderId="0" applyNumberFormat="0" applyFill="0" applyBorder="0" applyAlignment="0" applyProtection="0"/>
    <xf numFmtId="49" fontId="15" fillId="0" borderId="5">
      <alignment horizontal="left"/>
    </xf>
    <xf numFmtId="0" fontId="25" fillId="0" borderId="11">
      <alignment horizontal="left"/>
    </xf>
    <xf numFmtId="0" fontId="23" fillId="0" borderId="0">
      <alignment horizontal="left" vertical="center"/>
    </xf>
    <xf numFmtId="49" fontId="33" fillId="0" borderId="5">
      <alignment horizontal="left"/>
    </xf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1" fillId="2" borderId="0" xfId="0" applyFont="1" applyFill="1"/>
    <xf numFmtId="0" fontId="1" fillId="0" borderId="0" xfId="0" applyFont="1" applyAlignment="1">
      <alignment horizontal="right"/>
    </xf>
    <xf numFmtId="2" fontId="0" fillId="0" borderId="0" xfId="0" applyNumberFormat="1"/>
    <xf numFmtId="165" fontId="0" fillId="0" borderId="0" xfId="0" applyNumberFormat="1"/>
    <xf numFmtId="0" fontId="1" fillId="2" borderId="0" xfId="0" applyFont="1" applyFill="1" applyAlignment="1">
      <alignment horizontal="left"/>
    </xf>
    <xf numFmtId="0" fontId="1" fillId="0" borderId="0" xfId="0" applyFont="1" applyAlignment="1">
      <alignment wrapText="1"/>
    </xf>
    <xf numFmtId="2" fontId="0" fillId="2" borderId="0" xfId="0" applyNumberFormat="1" applyFill="1"/>
  </cellXfs>
  <cellStyles count="154">
    <cellStyle name="20% - Accent1 2" xfId="2" xr:uid="{00000000-0005-0000-0000-000000000000}"/>
    <cellStyle name="20% - Accent2 2" xfId="3" xr:uid="{00000000-0005-0000-0000-000001000000}"/>
    <cellStyle name="20% - Accent3 2" xfId="4" xr:uid="{00000000-0005-0000-0000-000002000000}"/>
    <cellStyle name="20% - Accent4 2" xfId="5" xr:uid="{00000000-0005-0000-0000-000003000000}"/>
    <cellStyle name="20% - Accent5 2" xfId="6" xr:uid="{00000000-0005-0000-0000-000004000000}"/>
    <cellStyle name="20% - Accent6 2" xfId="7" xr:uid="{00000000-0005-0000-0000-000005000000}"/>
    <cellStyle name="40% - Accent1 2" xfId="8" xr:uid="{00000000-0005-0000-0000-000006000000}"/>
    <cellStyle name="40% - Accent2 2" xfId="9" xr:uid="{00000000-0005-0000-0000-000007000000}"/>
    <cellStyle name="40% - Accent3 2" xfId="10" xr:uid="{00000000-0005-0000-0000-000008000000}"/>
    <cellStyle name="40% - Accent4 2" xfId="11" xr:uid="{00000000-0005-0000-0000-000009000000}"/>
    <cellStyle name="40% - Accent5 2" xfId="12" xr:uid="{00000000-0005-0000-0000-00000A000000}"/>
    <cellStyle name="40% - Accent6 2" xfId="13" xr:uid="{00000000-0005-0000-0000-00000B000000}"/>
    <cellStyle name="60% - Accent1 2" xfId="14" xr:uid="{00000000-0005-0000-0000-00000C000000}"/>
    <cellStyle name="60% - Accent2 2" xfId="15" xr:uid="{00000000-0005-0000-0000-00000D000000}"/>
    <cellStyle name="60% - Accent3 2" xfId="16" xr:uid="{00000000-0005-0000-0000-00000E000000}"/>
    <cellStyle name="60% - Accent4 2" xfId="17" xr:uid="{00000000-0005-0000-0000-00000F000000}"/>
    <cellStyle name="60% - Accent5 2" xfId="18" xr:uid="{00000000-0005-0000-0000-000010000000}"/>
    <cellStyle name="60% - Accent6 2" xfId="19" xr:uid="{00000000-0005-0000-0000-000011000000}"/>
    <cellStyle name="Accent1 2" xfId="20" xr:uid="{00000000-0005-0000-0000-000012000000}"/>
    <cellStyle name="Accent2 2" xfId="21" xr:uid="{00000000-0005-0000-0000-000013000000}"/>
    <cellStyle name="Accent3 2" xfId="22" xr:uid="{00000000-0005-0000-0000-000014000000}"/>
    <cellStyle name="Accent4 2" xfId="23" xr:uid="{00000000-0005-0000-0000-000015000000}"/>
    <cellStyle name="Accent5 2" xfId="24" xr:uid="{00000000-0005-0000-0000-000016000000}"/>
    <cellStyle name="Accent6 2" xfId="25" xr:uid="{00000000-0005-0000-0000-000017000000}"/>
    <cellStyle name="Bad 2" xfId="26" xr:uid="{00000000-0005-0000-0000-000018000000}"/>
    <cellStyle name="Body: normal cell" xfId="27" xr:uid="{00000000-0005-0000-0000-000019000000}"/>
    <cellStyle name="Body: normal cell 2" xfId="28" xr:uid="{00000000-0005-0000-0000-00001A000000}"/>
    <cellStyle name="Calculation 2" xfId="29" xr:uid="{00000000-0005-0000-0000-00001B000000}"/>
    <cellStyle name="Check Cell 2" xfId="30" xr:uid="{00000000-0005-0000-0000-00001C000000}"/>
    <cellStyle name="Column heading" xfId="31" xr:uid="{00000000-0005-0000-0000-00001D000000}"/>
    <cellStyle name="Comma 2" xfId="32" xr:uid="{00000000-0005-0000-0000-00001E000000}"/>
    <cellStyle name="Comma 2 2" xfId="33" xr:uid="{00000000-0005-0000-0000-00001F000000}"/>
    <cellStyle name="Comma 3" xfId="34" xr:uid="{00000000-0005-0000-0000-000020000000}"/>
    <cellStyle name="Comma 4" xfId="35" xr:uid="{00000000-0005-0000-0000-000021000000}"/>
    <cellStyle name="Comma 5" xfId="36" xr:uid="{00000000-0005-0000-0000-000022000000}"/>
    <cellStyle name="Comma 6" xfId="37" xr:uid="{00000000-0005-0000-0000-000023000000}"/>
    <cellStyle name="Comma 7" xfId="38" xr:uid="{00000000-0005-0000-0000-000024000000}"/>
    <cellStyle name="Comma 8" xfId="39" xr:uid="{00000000-0005-0000-0000-000025000000}"/>
    <cellStyle name="Corner heading" xfId="40" xr:uid="{00000000-0005-0000-0000-000026000000}"/>
    <cellStyle name="Currency 2" xfId="41" xr:uid="{00000000-0005-0000-0000-000027000000}"/>
    <cellStyle name="Currency 3" xfId="42" xr:uid="{00000000-0005-0000-0000-000028000000}"/>
    <cellStyle name="Currency 3 2" xfId="43" xr:uid="{00000000-0005-0000-0000-000029000000}"/>
    <cellStyle name="Data" xfId="44" xr:uid="{00000000-0005-0000-0000-00002A000000}"/>
    <cellStyle name="Data 2" xfId="45" xr:uid="{00000000-0005-0000-0000-00002B000000}"/>
    <cellStyle name="Data no deci" xfId="46" xr:uid="{00000000-0005-0000-0000-00002C000000}"/>
    <cellStyle name="Data Superscript" xfId="47" xr:uid="{00000000-0005-0000-0000-00002D000000}"/>
    <cellStyle name="Data_1-1A-Regular" xfId="48" xr:uid="{00000000-0005-0000-0000-00002E000000}"/>
    <cellStyle name="Explanatory Text 2" xfId="49" xr:uid="{00000000-0005-0000-0000-00002F000000}"/>
    <cellStyle name="Font: Calibri, 9pt regular" xfId="50" xr:uid="{00000000-0005-0000-0000-000030000000}"/>
    <cellStyle name="Font: Calibri, 9pt regular 2" xfId="51" xr:uid="{00000000-0005-0000-0000-000031000000}"/>
    <cellStyle name="Footnotes: top row" xfId="52" xr:uid="{00000000-0005-0000-0000-000032000000}"/>
    <cellStyle name="Footnotes: top row 2" xfId="53" xr:uid="{00000000-0005-0000-0000-000033000000}"/>
    <cellStyle name="Good 2" xfId="54" xr:uid="{00000000-0005-0000-0000-000034000000}"/>
    <cellStyle name="Header: bottom row" xfId="55" xr:uid="{00000000-0005-0000-0000-000035000000}"/>
    <cellStyle name="Header: bottom row 2" xfId="56" xr:uid="{00000000-0005-0000-0000-000036000000}"/>
    <cellStyle name="Heading 1 2" xfId="57" xr:uid="{00000000-0005-0000-0000-000037000000}"/>
    <cellStyle name="Heading 2 2" xfId="58" xr:uid="{00000000-0005-0000-0000-000038000000}"/>
    <cellStyle name="Heading 3 2" xfId="59" xr:uid="{00000000-0005-0000-0000-000039000000}"/>
    <cellStyle name="Heading 4 2" xfId="60" xr:uid="{00000000-0005-0000-0000-00003A000000}"/>
    <cellStyle name="Hed Side" xfId="61" xr:uid="{00000000-0005-0000-0000-00003B000000}"/>
    <cellStyle name="Hed Side 2" xfId="62" xr:uid="{00000000-0005-0000-0000-00003C000000}"/>
    <cellStyle name="Hed Side bold" xfId="63" xr:uid="{00000000-0005-0000-0000-00003D000000}"/>
    <cellStyle name="Hed Side Indent" xfId="64" xr:uid="{00000000-0005-0000-0000-00003E000000}"/>
    <cellStyle name="Hed Side Regular" xfId="65" xr:uid="{00000000-0005-0000-0000-00003F000000}"/>
    <cellStyle name="Hed Side_1-1A-Regular" xfId="66" xr:uid="{00000000-0005-0000-0000-000040000000}"/>
    <cellStyle name="Hed Top" xfId="67" xr:uid="{00000000-0005-0000-0000-000041000000}"/>
    <cellStyle name="Hed Top - SECTION" xfId="68" xr:uid="{00000000-0005-0000-0000-000042000000}"/>
    <cellStyle name="Hed Top_3-new4" xfId="69" xr:uid="{00000000-0005-0000-0000-000043000000}"/>
    <cellStyle name="Hyperlink" xfId="1" builtinId="8"/>
    <cellStyle name="Hyperlink 2" xfId="70" xr:uid="{00000000-0005-0000-0000-000045000000}"/>
    <cellStyle name="Input 2" xfId="71" xr:uid="{00000000-0005-0000-0000-000046000000}"/>
    <cellStyle name="Linked Cell 2" xfId="72" xr:uid="{00000000-0005-0000-0000-000047000000}"/>
    <cellStyle name="Neutral 2" xfId="73" xr:uid="{00000000-0005-0000-0000-000048000000}"/>
    <cellStyle name="Normal" xfId="0" builtinId="0"/>
    <cellStyle name="Normal 10" xfId="74" xr:uid="{00000000-0005-0000-0000-00004A000000}"/>
    <cellStyle name="Normal 11" xfId="75" xr:uid="{00000000-0005-0000-0000-00004B000000}"/>
    <cellStyle name="Normal 2" xfId="76" xr:uid="{00000000-0005-0000-0000-00004C000000}"/>
    <cellStyle name="Normal 2 2" xfId="77" xr:uid="{00000000-0005-0000-0000-00004D000000}"/>
    <cellStyle name="Normal 2 3" xfId="78" xr:uid="{00000000-0005-0000-0000-00004E000000}"/>
    <cellStyle name="Normal 3" xfId="79" xr:uid="{00000000-0005-0000-0000-00004F000000}"/>
    <cellStyle name="Normal 3 2" xfId="80" xr:uid="{00000000-0005-0000-0000-000050000000}"/>
    <cellStyle name="Normal 3 2 2" xfId="81" xr:uid="{00000000-0005-0000-0000-000051000000}"/>
    <cellStyle name="Normal 3 2 2 2" xfId="82" xr:uid="{00000000-0005-0000-0000-000052000000}"/>
    <cellStyle name="Normal 3 2 3" xfId="83" xr:uid="{00000000-0005-0000-0000-000053000000}"/>
    <cellStyle name="Normal 3 3" xfId="84" xr:uid="{00000000-0005-0000-0000-000054000000}"/>
    <cellStyle name="Normal 3 3 2" xfId="85" xr:uid="{00000000-0005-0000-0000-000055000000}"/>
    <cellStyle name="Normal 3 3 2 2" xfId="86" xr:uid="{00000000-0005-0000-0000-000056000000}"/>
    <cellStyle name="Normal 3 3 3" xfId="87" xr:uid="{00000000-0005-0000-0000-000057000000}"/>
    <cellStyle name="Normal 3 4" xfId="88" xr:uid="{00000000-0005-0000-0000-000058000000}"/>
    <cellStyle name="Normal 3 4 2" xfId="89" xr:uid="{00000000-0005-0000-0000-000059000000}"/>
    <cellStyle name="Normal 3 5" xfId="90" xr:uid="{00000000-0005-0000-0000-00005A000000}"/>
    <cellStyle name="Normal 3 6" xfId="91" xr:uid="{00000000-0005-0000-0000-00005B000000}"/>
    <cellStyle name="Normal 3 7" xfId="92" xr:uid="{00000000-0005-0000-0000-00005C000000}"/>
    <cellStyle name="Normal 4" xfId="93" xr:uid="{00000000-0005-0000-0000-00005D000000}"/>
    <cellStyle name="Normal 4 2" xfId="94" xr:uid="{00000000-0005-0000-0000-00005E000000}"/>
    <cellStyle name="Normal 4 2 2" xfId="95" xr:uid="{00000000-0005-0000-0000-00005F000000}"/>
    <cellStyle name="Normal 4 2 2 2" xfId="96" xr:uid="{00000000-0005-0000-0000-000060000000}"/>
    <cellStyle name="Normal 4 2 3" xfId="97" xr:uid="{00000000-0005-0000-0000-000061000000}"/>
    <cellStyle name="Normal 4 3" xfId="98" xr:uid="{00000000-0005-0000-0000-000062000000}"/>
    <cellStyle name="Normal 4 3 2" xfId="99" xr:uid="{00000000-0005-0000-0000-000063000000}"/>
    <cellStyle name="Normal 4 3 2 2" xfId="100" xr:uid="{00000000-0005-0000-0000-000064000000}"/>
    <cellStyle name="Normal 4 3 3" xfId="101" xr:uid="{00000000-0005-0000-0000-000065000000}"/>
    <cellStyle name="Normal 4 4" xfId="102" xr:uid="{00000000-0005-0000-0000-000066000000}"/>
    <cellStyle name="Normal 4 4 2" xfId="103" xr:uid="{00000000-0005-0000-0000-000067000000}"/>
    <cellStyle name="Normal 4 5" xfId="104" xr:uid="{00000000-0005-0000-0000-000068000000}"/>
    <cellStyle name="Normal 4 6" xfId="105" xr:uid="{00000000-0005-0000-0000-000069000000}"/>
    <cellStyle name="Normal 4 7" xfId="106" xr:uid="{00000000-0005-0000-0000-00006A000000}"/>
    <cellStyle name="Normal 5" xfId="107" xr:uid="{00000000-0005-0000-0000-00006B000000}"/>
    <cellStyle name="Normal 5 2" xfId="108" xr:uid="{00000000-0005-0000-0000-00006C000000}"/>
    <cellStyle name="Normal 5 3" xfId="109" xr:uid="{00000000-0005-0000-0000-00006D000000}"/>
    <cellStyle name="Normal 6" xfId="110" xr:uid="{00000000-0005-0000-0000-00006E000000}"/>
    <cellStyle name="Normal 6 2" xfId="111" xr:uid="{00000000-0005-0000-0000-00006F000000}"/>
    <cellStyle name="Normal 7" xfId="112" xr:uid="{00000000-0005-0000-0000-000070000000}"/>
    <cellStyle name="Normal 7 2" xfId="113" xr:uid="{00000000-0005-0000-0000-000071000000}"/>
    <cellStyle name="Normal 8" xfId="114" xr:uid="{00000000-0005-0000-0000-000072000000}"/>
    <cellStyle name="Normal 9" xfId="115" xr:uid="{00000000-0005-0000-0000-000073000000}"/>
    <cellStyle name="Note 2" xfId="116" xr:uid="{00000000-0005-0000-0000-000074000000}"/>
    <cellStyle name="Note 2 2" xfId="117" xr:uid="{00000000-0005-0000-0000-000075000000}"/>
    <cellStyle name="Output 2" xfId="118" xr:uid="{00000000-0005-0000-0000-000076000000}"/>
    <cellStyle name="Parent row" xfId="119" xr:uid="{00000000-0005-0000-0000-000077000000}"/>
    <cellStyle name="Parent row 2" xfId="120" xr:uid="{00000000-0005-0000-0000-000078000000}"/>
    <cellStyle name="Percent 2" xfId="121" xr:uid="{00000000-0005-0000-0000-000079000000}"/>
    <cellStyle name="Percent 2 2" xfId="122" xr:uid="{00000000-0005-0000-0000-00007A000000}"/>
    <cellStyle name="Percent 3" xfId="123" xr:uid="{00000000-0005-0000-0000-00007B000000}"/>
    <cellStyle name="Percent 3 2" xfId="124" xr:uid="{00000000-0005-0000-0000-00007C000000}"/>
    <cellStyle name="Percent 4" xfId="125" xr:uid="{00000000-0005-0000-0000-00007D000000}"/>
    <cellStyle name="Reference" xfId="126" xr:uid="{00000000-0005-0000-0000-00007E000000}"/>
    <cellStyle name="Row heading" xfId="127" xr:uid="{00000000-0005-0000-0000-00007F000000}"/>
    <cellStyle name="Source Hed" xfId="128" xr:uid="{00000000-0005-0000-0000-000080000000}"/>
    <cellStyle name="Source Letter" xfId="129" xr:uid="{00000000-0005-0000-0000-000081000000}"/>
    <cellStyle name="Source Superscript" xfId="130" xr:uid="{00000000-0005-0000-0000-000082000000}"/>
    <cellStyle name="Source Superscript 2" xfId="131" xr:uid="{00000000-0005-0000-0000-000083000000}"/>
    <cellStyle name="Source Text" xfId="132" xr:uid="{00000000-0005-0000-0000-000084000000}"/>
    <cellStyle name="Source Text 2" xfId="133" xr:uid="{00000000-0005-0000-0000-000085000000}"/>
    <cellStyle name="State" xfId="134" xr:uid="{00000000-0005-0000-0000-000086000000}"/>
    <cellStyle name="Superscript" xfId="135" xr:uid="{00000000-0005-0000-0000-000087000000}"/>
    <cellStyle name="Table Data" xfId="136" xr:uid="{00000000-0005-0000-0000-000088000000}"/>
    <cellStyle name="Table Head Top" xfId="137" xr:uid="{00000000-0005-0000-0000-000089000000}"/>
    <cellStyle name="Table Hed Side" xfId="138" xr:uid="{00000000-0005-0000-0000-00008A000000}"/>
    <cellStyle name="Table title" xfId="139" xr:uid="{00000000-0005-0000-0000-00008B000000}"/>
    <cellStyle name="Table title 2" xfId="140" xr:uid="{00000000-0005-0000-0000-00008C000000}"/>
    <cellStyle name="Title 2" xfId="141" xr:uid="{00000000-0005-0000-0000-00008D000000}"/>
    <cellStyle name="Title Text" xfId="142" xr:uid="{00000000-0005-0000-0000-00008E000000}"/>
    <cellStyle name="Title Text 1" xfId="143" xr:uid="{00000000-0005-0000-0000-00008F000000}"/>
    <cellStyle name="Title Text 2" xfId="144" xr:uid="{00000000-0005-0000-0000-000090000000}"/>
    <cellStyle name="Title-1" xfId="145" xr:uid="{00000000-0005-0000-0000-000091000000}"/>
    <cellStyle name="Title-2" xfId="146" xr:uid="{00000000-0005-0000-0000-000092000000}"/>
    <cellStyle name="Title-3" xfId="147" xr:uid="{00000000-0005-0000-0000-000093000000}"/>
    <cellStyle name="Total 2" xfId="148" xr:uid="{00000000-0005-0000-0000-000094000000}"/>
    <cellStyle name="Warning Text 2" xfId="149" xr:uid="{00000000-0005-0000-0000-000095000000}"/>
    <cellStyle name="Wrap" xfId="150" xr:uid="{00000000-0005-0000-0000-000096000000}"/>
    <cellStyle name="Wrap Bold" xfId="151" xr:uid="{00000000-0005-0000-0000-000097000000}"/>
    <cellStyle name="Wrap Title" xfId="152" xr:uid="{00000000-0005-0000-0000-000098000000}"/>
    <cellStyle name="Wrap_NTS99-~11" xfId="153" xr:uid="{00000000-0005-0000-0000-00009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TEMP\USFreight97-9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l shipments 93-97"/>
      <sheetName val="Waterborne Flows 93-97"/>
      <sheetName val="Air and vessel 93-97"/>
      <sheetName val="Figure 2 compare"/>
      <sheetName val="Factors Comparisons"/>
      <sheetName val="1997  Table 1a Modified"/>
      <sheetName val="Figure 1"/>
      <sheetName val="1993-97 Table 1  US Highlights"/>
      <sheetName val="93-97 US Freight Table 1"/>
      <sheetName val="93-97 US Freight Table 1 (b)"/>
      <sheetName val="93-97 Percents Tab 2&amp;3"/>
      <sheetName val="Integrated View 93-97"/>
      <sheetName val="Figure 3 modal shares"/>
      <sheetName val="1993-97 Percents"/>
      <sheetName val="BTS &amp; ORNL estimates"/>
      <sheetName val="Oil Pipeline (2)"/>
      <sheetName val="1997 Table 2"/>
      <sheetName val="Table 4 Distance"/>
      <sheetName val="Distance percent change"/>
      <sheetName val="Distance 93-97"/>
      <sheetName val="Distance Fig value per ton"/>
      <sheetName val="Distance Bar"/>
      <sheetName val="Table 5 Size 93-97"/>
      <sheetName val="Size percent change"/>
      <sheetName val="Size Fig value per ton"/>
      <sheetName val="Size Bar "/>
      <sheetName val="BTS Mode"/>
      <sheetName val="Ton-miles data"/>
      <sheetName val="Ton-miles figure"/>
      <sheetName val="table 3 commodities"/>
      <sheetName val="Commodities ranked by value"/>
      <sheetName val="Commod ranked by tons"/>
      <sheetName val="Commod ranked by ton-miles"/>
      <sheetName val="Commod ranked by miles per ton "/>
      <sheetName val="Commod ranked by val per t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/>
      <sheetData sheetId="24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ransitwiki.org/TransitWiki/images/6/64/Useful_Life_of_Buses.pdf" TargetMode="External"/><Relationship Id="rId2" Type="http://schemas.openxmlformats.org/officeDocument/2006/relationships/hyperlink" Target="https://theicct.org/wp-content/uploads/2022/01/cost-ev-vans-pickups-us-2040-jan22.pdf" TargetMode="External"/><Relationship Id="rId1" Type="http://schemas.openxmlformats.org/officeDocument/2006/relationships/hyperlink" Target="https://theicct.org/wp-content/uploads/2022/10/ev-cost-benefits-2035-oct22.pdf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theicct.org/wp-content/uploads/2023/04/tco-alt-powertrain-long-haul-trucks-us-apr23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tabSelected="1" workbookViewId="0">
      <selection activeCell="A36" sqref="A36"/>
    </sheetView>
  </sheetViews>
  <sheetFormatPr defaultRowHeight="15"/>
  <cols>
    <col min="1" max="1" width="11.5703125" customWidth="1"/>
    <col min="2" max="2" width="85.140625" customWidth="1"/>
    <col min="5" max="5" width="17.85546875" customWidth="1"/>
  </cols>
  <sheetData>
    <row r="1" spans="1:6">
      <c r="A1" s="1" t="s">
        <v>10</v>
      </c>
    </row>
    <row r="3" spans="1:6">
      <c r="A3" s="1" t="s">
        <v>1</v>
      </c>
      <c r="B3" s="4" t="s">
        <v>0</v>
      </c>
    </row>
    <row r="4" spans="1:6">
      <c r="B4" t="s">
        <v>20</v>
      </c>
      <c r="F4" s="3"/>
    </row>
    <row r="5" spans="1:6">
      <c r="B5" s="2">
        <v>2022</v>
      </c>
    </row>
    <row r="6" spans="1:6">
      <c r="B6" t="s">
        <v>21</v>
      </c>
    </row>
    <row r="7" spans="1:6">
      <c r="B7" s="3" t="s">
        <v>17</v>
      </c>
    </row>
    <row r="8" spans="1:6">
      <c r="B8" t="s">
        <v>22</v>
      </c>
    </row>
    <row r="10" spans="1:6">
      <c r="B10" s="4" t="s">
        <v>14</v>
      </c>
    </row>
    <row r="11" spans="1:6">
      <c r="B11" t="s">
        <v>20</v>
      </c>
    </row>
    <row r="12" spans="1:6">
      <c r="B12" s="2">
        <v>2022</v>
      </c>
    </row>
    <row r="13" spans="1:6">
      <c r="B13" t="s">
        <v>23</v>
      </c>
    </row>
    <row r="14" spans="1:6">
      <c r="B14" s="3" t="s">
        <v>15</v>
      </c>
    </row>
    <row r="15" spans="1:6">
      <c r="B15" t="s">
        <v>24</v>
      </c>
    </row>
    <row r="17" spans="1:2">
      <c r="B17" s="8" t="s">
        <v>18</v>
      </c>
    </row>
    <row r="18" spans="1:2">
      <c r="B18" t="s">
        <v>25</v>
      </c>
    </row>
    <row r="19" spans="1:2">
      <c r="B19" s="2">
        <v>2007</v>
      </c>
    </row>
    <row r="20" spans="1:2">
      <c r="B20" t="s">
        <v>26</v>
      </c>
    </row>
    <row r="21" spans="1:2">
      <c r="B21" s="3" t="s">
        <v>19</v>
      </c>
    </row>
    <row r="22" spans="1:2">
      <c r="B22" t="s">
        <v>27</v>
      </c>
    </row>
    <row r="24" spans="1:2">
      <c r="B24" s="8" t="s">
        <v>2</v>
      </c>
    </row>
    <row r="25" spans="1:2">
      <c r="B25" t="s">
        <v>20</v>
      </c>
    </row>
    <row r="26" spans="1:2">
      <c r="B26" s="2">
        <v>2023</v>
      </c>
    </row>
    <row r="27" spans="1:2">
      <c r="B27" t="s">
        <v>29</v>
      </c>
    </row>
    <row r="28" spans="1:2">
      <c r="B28" s="3" t="s">
        <v>16</v>
      </c>
    </row>
    <row r="29" spans="1:2">
      <c r="B29" t="s">
        <v>28</v>
      </c>
    </row>
    <row r="31" spans="1:2">
      <c r="A31" s="1" t="s">
        <v>9</v>
      </c>
    </row>
    <row r="32" spans="1:2">
      <c r="A32" t="s">
        <v>30</v>
      </c>
    </row>
    <row r="33" spans="1:1">
      <c r="A33" t="s">
        <v>31</v>
      </c>
    </row>
    <row r="35" spans="1:1">
      <c r="A35" t="s">
        <v>32</v>
      </c>
    </row>
  </sheetData>
  <hyperlinks>
    <hyperlink ref="B7" r:id="rId1" xr:uid="{C01E200A-EF46-4272-B219-5D39A9156EE6}"/>
    <hyperlink ref="B14" r:id="rId2" xr:uid="{44931F0D-947F-4872-BF28-724517460147}"/>
    <hyperlink ref="B21" r:id="rId3" xr:uid="{5E8C808B-3B4F-4266-85AD-76C5D16CD407}"/>
    <hyperlink ref="B28" r:id="rId4" xr:uid="{2082B63E-16D8-42AA-97EA-01C784A3950F}"/>
  </hyperlinks>
  <pageMargins left="0.7" right="0.7" top="0.75" bottom="0.75" header="0.3" footer="0.3"/>
  <pageSetup orientation="portrait" horizontalDpi="1200" verticalDpi="1200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K7"/>
  <sheetViews>
    <sheetView workbookViewId="0">
      <selection activeCell="I12" sqref="I12"/>
    </sheetView>
  </sheetViews>
  <sheetFormatPr defaultRowHeight="15"/>
  <cols>
    <col min="1" max="1" width="13.140625" customWidth="1"/>
    <col min="2" max="2" width="10" bestFit="1" customWidth="1"/>
    <col min="3" max="3" width="7" bestFit="1" customWidth="1"/>
  </cols>
  <sheetData>
    <row r="1" spans="1:37" ht="60">
      <c r="A1" s="9" t="s">
        <v>13</v>
      </c>
      <c r="B1" s="5" t="s">
        <v>11</v>
      </c>
      <c r="C1" s="1" t="s">
        <v>12</v>
      </c>
      <c r="D1" s="5"/>
      <c r="E1" s="1"/>
      <c r="F1" s="5"/>
      <c r="G1" s="1"/>
      <c r="H1" s="5"/>
      <c r="I1" s="1"/>
      <c r="J1" s="5"/>
      <c r="K1" s="1"/>
      <c r="L1" s="5"/>
      <c r="M1" s="1"/>
      <c r="N1" s="5"/>
      <c r="O1" s="1"/>
      <c r="P1" s="5"/>
      <c r="Q1" s="1"/>
      <c r="R1" s="5"/>
      <c r="S1" s="1"/>
      <c r="T1" s="5"/>
      <c r="U1" s="1"/>
      <c r="V1" s="5"/>
      <c r="W1" s="1"/>
      <c r="X1" s="5"/>
      <c r="Y1" s="1"/>
      <c r="Z1" s="5"/>
      <c r="AA1" s="1"/>
      <c r="AB1" s="5"/>
      <c r="AC1" s="1"/>
      <c r="AD1" s="5"/>
      <c r="AE1" s="1"/>
      <c r="AF1" s="5"/>
      <c r="AG1" s="1"/>
      <c r="AH1" s="5"/>
      <c r="AI1" s="1"/>
      <c r="AJ1" s="5"/>
      <c r="AK1" s="1"/>
    </row>
    <row r="2" spans="1:37">
      <c r="A2" s="1" t="s">
        <v>3</v>
      </c>
      <c r="B2" s="6">
        <v>6</v>
      </c>
      <c r="C2" s="6">
        <v>5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</row>
    <row r="3" spans="1:37">
      <c r="A3" s="1" t="s">
        <v>4</v>
      </c>
      <c r="B3" s="7">
        <v>12</v>
      </c>
      <c r="C3" s="6">
        <v>5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</row>
    <row r="4" spans="1:37">
      <c r="A4" s="1" t="s">
        <v>5</v>
      </c>
      <c r="B4" s="7">
        <v>24</v>
      </c>
      <c r="C4" s="6">
        <v>24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</row>
    <row r="5" spans="1:37">
      <c r="A5" s="1" t="s">
        <v>6</v>
      </c>
      <c r="B5" s="7">
        <v>33</v>
      </c>
      <c r="C5" s="6">
        <v>33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</row>
    <row r="6" spans="1:37">
      <c r="A6" s="1" t="s">
        <v>7</v>
      </c>
      <c r="B6" s="6">
        <v>33</v>
      </c>
      <c r="C6" s="6">
        <v>33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</row>
    <row r="7" spans="1:37">
      <c r="A7" s="1" t="s">
        <v>8</v>
      </c>
      <c r="B7" s="10">
        <f>B2</f>
        <v>6</v>
      </c>
      <c r="C7" s="10">
        <f>C2</f>
        <v>5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41A8AB53924247A2770D65450F5227" ma:contentTypeVersion="4" ma:contentTypeDescription="Create a new document." ma:contentTypeScope="" ma:versionID="90fff4f083191fe75a03dbd50c7739fc">
  <xsd:schema xmlns:xsd="http://www.w3.org/2001/XMLSchema" xmlns:xs="http://www.w3.org/2001/XMLSchema" xmlns:p="http://schemas.microsoft.com/office/2006/metadata/properties" xmlns:ns2="1659011e-6b88-4225-9a61-aaf33aaf19e8" targetNamespace="http://schemas.microsoft.com/office/2006/metadata/properties" ma:root="true" ma:fieldsID="7fee88694a371868130ae0617c69143c" ns2:_="">
    <xsd:import namespace="1659011e-6b88-4225-9a61-aaf33aaf19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9011e-6b88-4225-9a61-aaf33aaf19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A73E682-7E19-422D-ACF0-7AF9F60AC683}"/>
</file>

<file path=customXml/itemProps2.xml><?xml version="1.0" encoding="utf-8"?>
<ds:datastoreItem xmlns:ds="http://schemas.openxmlformats.org/officeDocument/2006/customXml" ds:itemID="{B6CD4BDD-D240-4759-A0B9-E910CBF1E53B}"/>
</file>

<file path=customXml/itemProps3.xml><?xml version="1.0" encoding="utf-8"?>
<ds:datastoreItem xmlns:ds="http://schemas.openxmlformats.org/officeDocument/2006/customXml" ds:itemID="{F98019E2-AEE9-4570-A337-4866178D5D7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AVOP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Robbie Orvis</cp:lastModifiedBy>
  <dcterms:created xsi:type="dcterms:W3CDTF">2015-06-16T22:55:39Z</dcterms:created>
  <dcterms:modified xsi:type="dcterms:W3CDTF">2023-08-18T20:58:40Z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0x0101002041A8AB53924247A2770D65450F5227</vt:lpwstr>
  </property>
</Properties>
</file>