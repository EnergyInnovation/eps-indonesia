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y Francis Swint\Vensim\eps-indonesia\InputData\trans\SoCDTtiNTY\"/>
    </mc:Choice>
  </mc:AlternateContent>
  <xr:revisionPtr revIDLastSave="0" documentId="13_ncr:1_{D89E7B77-352E-424A-9482-9625A4C994E7}" xr6:coauthVersionLast="47" xr6:coauthVersionMax="47" xr10:uidLastSave="{00000000-0000-0000-0000-000000000000}"/>
  <bookViews>
    <workbookView xWindow="-32670" yWindow="-90" windowWidth="13620" windowHeight="11205" activeTab="2" xr2:uid="{00000000-000D-0000-FFFF-FFFF00000000}"/>
  </bookViews>
  <sheets>
    <sheet name="About" sheetId="1" r:id="rId1"/>
    <sheet name="SoCDTtiNTY-psgr" sheetId="2" r:id="rId2"/>
    <sheet name="SoCDTtiNTY-frgt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4" l="1"/>
  <c r="D2" i="4"/>
  <c r="E2" i="4"/>
  <c r="F2" i="4"/>
  <c r="G2" i="4"/>
  <c r="H2" i="4"/>
  <c r="C3" i="4"/>
  <c r="D3" i="4"/>
  <c r="E3" i="4"/>
  <c r="F3" i="4"/>
  <c r="G3" i="4"/>
  <c r="H3" i="4"/>
  <c r="B3" i="4"/>
  <c r="B2" i="4"/>
  <c r="C7" i="2"/>
  <c r="D7" i="2"/>
  <c r="E7" i="2"/>
  <c r="F7" i="2"/>
  <c r="G7" i="2"/>
  <c r="H7" i="2"/>
  <c r="B7" i="2"/>
  <c r="C6" i="2"/>
  <c r="D6" i="2"/>
  <c r="E6" i="2"/>
  <c r="F6" i="2"/>
  <c r="G6" i="2"/>
  <c r="H6" i="2"/>
  <c r="B6" i="2"/>
  <c r="C3" i="2" l="1"/>
  <c r="D3" i="2"/>
  <c r="E3" i="2"/>
  <c r="F3" i="2"/>
  <c r="G3" i="2"/>
  <c r="H3" i="2"/>
  <c r="B3" i="2"/>
  <c r="C2" i="2"/>
  <c r="D2" i="2"/>
  <c r="E2" i="2"/>
  <c r="F2" i="2"/>
  <c r="G2" i="2"/>
  <c r="H2" i="2"/>
  <c r="B2" i="2"/>
</calcChain>
</file>

<file path=xl/sharedStrings.xml><?xml version="1.0" encoding="utf-8"?>
<sst xmlns="http://schemas.openxmlformats.org/spreadsheetml/2006/main" count="40" uniqueCount="26">
  <si>
    <t>SoCDTtiNTY Share of Cargo Dist Transported that is New This Year</t>
  </si>
  <si>
    <t>Source:</t>
  </si>
  <si>
    <t>None, this variable is determined via calibration.</t>
  </si>
  <si>
    <t>It effectively relies upon the sources used in the</t>
  </si>
  <si>
    <t>variables trans/BCDT and trans/AVL.</t>
  </si>
  <si>
    <t>Notes</t>
  </si>
  <si>
    <t>The value for each vehicle type/cargo type combination should</t>
  </si>
  <si>
    <t>typically be found via calibration.  After all other Transportation</t>
  </si>
  <si>
    <t>Sector data are in place, adjust the values of SoCDTtiNTY so as</t>
  </si>
  <si>
    <t>to eliminate abrupt changes in the variable "Retiring Vehicles</t>
  </si>
  <si>
    <t>Summed Across Techologies" at the years corresponding to</t>
  </si>
  <si>
    <t>vehicle lifetimes.</t>
  </si>
  <si>
    <t>LDVs</t>
  </si>
  <si>
    <t>HDVs</t>
  </si>
  <si>
    <t>aircraft</t>
  </si>
  <si>
    <t>rail</t>
  </si>
  <si>
    <t>ships</t>
  </si>
  <si>
    <t>motorbikes</t>
  </si>
  <si>
    <t>Share that is New (dimensionless)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</si>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</sst>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defaultRowHeight="14.5" x14ac:dyDescent="0.35"/>
  <sheetData>
    <row r="1" spans="1:2" x14ac:dyDescent="0.35">
      <c r="A1" s="1" t="s">
        <v>0</v>
      </c>
    </row>
    <row r="3" spans="1:2" x14ac:dyDescent="0.35">
      <c r="A3" s="1" t="s">
        <v>1</v>
      </c>
      <c r="B3" t="s">
        <v>2</v>
      </c>
    </row>
    <row r="4" spans="1:2" x14ac:dyDescent="0.35">
      <c r="B4" t="s">
        <v>3</v>
      </c>
    </row>
    <row r="5" spans="1:2" x14ac:dyDescent="0.35">
      <c r="B5" t="s">
        <v>4</v>
      </c>
    </row>
    <row r="8" spans="1:2" x14ac:dyDescent="0.35">
      <c r="A8" s="1" t="s">
        <v>5</v>
      </c>
    </row>
    <row r="9" spans="1:2" x14ac:dyDescent="0.35">
      <c r="A9" t="s">
        <v>6</v>
      </c>
    </row>
    <row r="10" spans="1:2" x14ac:dyDescent="0.35">
      <c r="A10" t="s">
        <v>7</v>
      </c>
    </row>
    <row r="11" spans="1:2" x14ac:dyDescent="0.35">
      <c r="A11" t="s">
        <v>8</v>
      </c>
    </row>
    <row r="12" spans="1:2" x14ac:dyDescent="0.35">
      <c r="A12" t="s">
        <v>9</v>
      </c>
    </row>
    <row r="13" spans="1:2" x14ac:dyDescent="0.35">
      <c r="A13" t="s">
        <v>10</v>
      </c>
    </row>
    <row r="14" spans="1:2" x14ac:dyDescent="0.35">
      <c r="A1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H7"/>
  <sheetViews>
    <sheetView topLeftCell="B1" workbookViewId="0">
      <selection activeCell="F15" sqref="F15"/>
    </sheetView>
  </sheetViews>
  <sheetFormatPr defaultRowHeight="14.5" x14ac:dyDescent="0.35"/>
  <cols>
    <col min="1" max="1" width="19.1796875" customWidth="1"/>
    <col min="2" max="8" width="14.453125" customWidth="1"/>
  </cols>
  <sheetData>
    <row r="1" spans="1:8" s="4" customFormat="1" ht="29" x14ac:dyDescent="0.35">
      <c r="A1" s="2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</row>
    <row r="2" spans="1:8" x14ac:dyDescent="0.35">
      <c r="A2" t="s">
        <v>12</v>
      </c>
      <c r="B2" s="5">
        <f>1/14</f>
        <v>7.1428571428571425E-2</v>
      </c>
      <c r="C2" s="5">
        <f t="shared" ref="C2:H2" si="0">1/14</f>
        <v>7.1428571428571425E-2</v>
      </c>
      <c r="D2" s="5">
        <f t="shared" si="0"/>
        <v>7.1428571428571425E-2</v>
      </c>
      <c r="E2" s="5">
        <f t="shared" si="0"/>
        <v>7.1428571428571425E-2</v>
      </c>
      <c r="F2" s="5">
        <f t="shared" si="0"/>
        <v>7.1428571428571425E-2</v>
      </c>
      <c r="G2" s="5">
        <f t="shared" si="0"/>
        <v>7.1428571428571425E-2</v>
      </c>
      <c r="H2" s="5">
        <f t="shared" si="0"/>
        <v>7.1428571428571425E-2</v>
      </c>
    </row>
    <row r="3" spans="1:8" x14ac:dyDescent="0.35">
      <c r="A3" t="s">
        <v>13</v>
      </c>
      <c r="B3" s="5">
        <f>1/23</f>
        <v>4.3478260869565216E-2</v>
      </c>
      <c r="C3" s="5">
        <f t="shared" ref="C3:H3" si="1">1/23</f>
        <v>4.3478260869565216E-2</v>
      </c>
      <c r="D3" s="5">
        <f t="shared" si="1"/>
        <v>4.3478260869565216E-2</v>
      </c>
      <c r="E3" s="5">
        <f t="shared" si="1"/>
        <v>4.3478260869565216E-2</v>
      </c>
      <c r="F3" s="5">
        <f t="shared" si="1"/>
        <v>4.3478260869565216E-2</v>
      </c>
      <c r="G3" s="5">
        <f t="shared" si="1"/>
        <v>4.3478260869565216E-2</v>
      </c>
      <c r="H3" s="5">
        <f t="shared" si="1"/>
        <v>4.3478260869565216E-2</v>
      </c>
    </row>
    <row r="4" spans="1:8" x14ac:dyDescent="0.35">
      <c r="A4" t="s">
        <v>14</v>
      </c>
      <c r="B4">
        <v>4.1599999999999998E-2</v>
      </c>
      <c r="C4">
        <v>4.1599999999999998E-2</v>
      </c>
      <c r="D4">
        <v>4.1599999999999998E-2</v>
      </c>
      <c r="E4">
        <v>4.1599999999999998E-2</v>
      </c>
      <c r="F4">
        <v>4.1599999999999998E-2</v>
      </c>
      <c r="G4">
        <v>4.1599999999999998E-2</v>
      </c>
      <c r="H4">
        <v>4.1599999999999998E-2</v>
      </c>
    </row>
    <row r="5" spans="1:8" x14ac:dyDescent="0.35">
      <c r="A5" t="s">
        <v>15</v>
      </c>
      <c r="B5">
        <v>2.9000000000000001E-2</v>
      </c>
      <c r="C5">
        <v>2.9000000000000001E-2</v>
      </c>
      <c r="D5">
        <v>2.9000000000000001E-2</v>
      </c>
      <c r="E5">
        <v>2.9000000000000001E-2</v>
      </c>
      <c r="F5">
        <v>2.9000000000000001E-2</v>
      </c>
      <c r="G5">
        <v>2.9000000000000001E-2</v>
      </c>
      <c r="H5">
        <v>2.9000000000000001E-2</v>
      </c>
    </row>
    <row r="6" spans="1:8" x14ac:dyDescent="0.35">
      <c r="A6" t="s">
        <v>16</v>
      </c>
      <c r="B6" s="5">
        <f>1/33</f>
        <v>3.0303030303030304E-2</v>
      </c>
      <c r="C6" s="5">
        <f t="shared" ref="C6:H6" si="2">1/33</f>
        <v>3.0303030303030304E-2</v>
      </c>
      <c r="D6" s="5">
        <f t="shared" si="2"/>
        <v>3.0303030303030304E-2</v>
      </c>
      <c r="E6" s="5">
        <f t="shared" si="2"/>
        <v>3.0303030303030304E-2</v>
      </c>
      <c r="F6" s="5">
        <f t="shared" si="2"/>
        <v>3.0303030303030304E-2</v>
      </c>
      <c r="G6" s="5">
        <f t="shared" si="2"/>
        <v>3.0303030303030304E-2</v>
      </c>
      <c r="H6" s="5">
        <f t="shared" si="2"/>
        <v>3.0303030303030304E-2</v>
      </c>
    </row>
    <row r="7" spans="1:8" x14ac:dyDescent="0.35">
      <c r="A7" t="s">
        <v>17</v>
      </c>
      <c r="B7" s="5">
        <f>1/17</f>
        <v>5.8823529411764705E-2</v>
      </c>
      <c r="C7" s="5">
        <f t="shared" ref="C7:H7" si="3">1/17</f>
        <v>5.8823529411764705E-2</v>
      </c>
      <c r="D7" s="5">
        <f t="shared" si="3"/>
        <v>5.8823529411764705E-2</v>
      </c>
      <c r="E7" s="5">
        <f t="shared" si="3"/>
        <v>5.8823529411764705E-2</v>
      </c>
      <c r="F7" s="5">
        <f t="shared" si="3"/>
        <v>5.8823529411764705E-2</v>
      </c>
      <c r="G7" s="5">
        <f t="shared" si="3"/>
        <v>5.8823529411764705E-2</v>
      </c>
      <c r="H7" s="5">
        <f t="shared" si="3"/>
        <v>5.8823529411764705E-2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H7"/>
  <sheetViews>
    <sheetView tabSelected="1" topLeftCell="B1" workbookViewId="0">
      <selection activeCell="H15" sqref="H15"/>
    </sheetView>
  </sheetViews>
  <sheetFormatPr defaultRowHeight="14.5" x14ac:dyDescent="0.35"/>
  <cols>
    <col min="1" max="1" width="19.1796875" customWidth="1"/>
    <col min="2" max="8" width="14.453125" customWidth="1"/>
  </cols>
  <sheetData>
    <row r="1" spans="1:8" s="4" customFormat="1" ht="29" x14ac:dyDescent="0.35">
      <c r="A1" s="2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</row>
    <row r="2" spans="1:8" x14ac:dyDescent="0.35">
      <c r="A2" t="s">
        <v>12</v>
      </c>
      <c r="B2" s="5">
        <f>1/14</f>
        <v>7.1428571428571425E-2</v>
      </c>
      <c r="C2" s="5">
        <f t="shared" ref="C2:H2" si="0">1/14</f>
        <v>7.1428571428571425E-2</v>
      </c>
      <c r="D2" s="5">
        <f t="shared" si="0"/>
        <v>7.1428571428571425E-2</v>
      </c>
      <c r="E2" s="5">
        <f t="shared" si="0"/>
        <v>7.1428571428571425E-2</v>
      </c>
      <c r="F2" s="5">
        <f t="shared" si="0"/>
        <v>7.1428571428571425E-2</v>
      </c>
      <c r="G2" s="5">
        <f t="shared" si="0"/>
        <v>7.1428571428571425E-2</v>
      </c>
      <c r="H2" s="5">
        <f t="shared" si="0"/>
        <v>7.1428571428571425E-2</v>
      </c>
    </row>
    <row r="3" spans="1:8" x14ac:dyDescent="0.35">
      <c r="A3" t="s">
        <v>13</v>
      </c>
      <c r="B3" s="5">
        <f>1/28</f>
        <v>3.5714285714285712E-2</v>
      </c>
      <c r="C3" s="5">
        <f t="shared" ref="C3:H3" si="1">1/28</f>
        <v>3.5714285714285712E-2</v>
      </c>
      <c r="D3" s="5">
        <f t="shared" si="1"/>
        <v>3.5714285714285712E-2</v>
      </c>
      <c r="E3" s="5">
        <f t="shared" si="1"/>
        <v>3.5714285714285712E-2</v>
      </c>
      <c r="F3" s="5">
        <f t="shared" si="1"/>
        <v>3.5714285714285712E-2</v>
      </c>
      <c r="G3" s="5">
        <f t="shared" si="1"/>
        <v>3.5714285714285712E-2</v>
      </c>
      <c r="H3" s="5">
        <f t="shared" si="1"/>
        <v>3.5714285714285712E-2</v>
      </c>
    </row>
    <row r="4" spans="1:8" x14ac:dyDescent="0.35">
      <c r="A4" t="s">
        <v>14</v>
      </c>
      <c r="B4">
        <v>2.8000000000000001E-2</v>
      </c>
      <c r="C4">
        <v>2.8000000000000001E-2</v>
      </c>
      <c r="D4">
        <v>2.8000000000000001E-2</v>
      </c>
      <c r="E4">
        <v>2.8000000000000001E-2</v>
      </c>
      <c r="F4">
        <v>2.8000000000000001E-2</v>
      </c>
      <c r="G4">
        <v>2.8000000000000001E-2</v>
      </c>
      <c r="H4">
        <v>2.8000000000000001E-2</v>
      </c>
    </row>
    <row r="5" spans="1:8" x14ac:dyDescent="0.35">
      <c r="A5" t="s">
        <v>15</v>
      </c>
      <c r="B5">
        <v>2.9000000000000001E-2</v>
      </c>
      <c r="C5">
        <v>2.9000000000000001E-2</v>
      </c>
      <c r="D5">
        <v>2.9000000000000001E-2</v>
      </c>
      <c r="E5">
        <v>2.9000000000000001E-2</v>
      </c>
      <c r="F5">
        <v>2.9000000000000001E-2</v>
      </c>
      <c r="G5">
        <v>2.9000000000000001E-2</v>
      </c>
      <c r="H5">
        <v>2.9000000000000001E-2</v>
      </c>
    </row>
    <row r="6" spans="1:8" x14ac:dyDescent="0.35">
      <c r="A6" t="s">
        <v>16</v>
      </c>
      <c r="B6">
        <v>3.0300000000000001E-2</v>
      </c>
      <c r="C6">
        <v>3.0300000000000001E-2</v>
      </c>
      <c r="D6">
        <v>3.0300000000000001E-2</v>
      </c>
      <c r="E6">
        <v>3.0300000000000001E-2</v>
      </c>
      <c r="F6">
        <v>3.0300000000000001E-2</v>
      </c>
      <c r="G6">
        <v>3.0300000000000001E-2</v>
      </c>
      <c r="H6">
        <v>3.0300000000000001E-2</v>
      </c>
    </row>
    <row r="7" spans="1:8" x14ac:dyDescent="0.35">
      <c r="A7" t="s">
        <v>17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SoCDTtiNTY-psgr</vt:lpstr>
      <vt:lpstr>SoCDTtiNTY-frgt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2017-07-19T22:43:44Z</dcterms:created>
  <dcterms:modified xsi:type="dcterms:W3CDTF">2025-09-29T14:55:26Z</dcterms:modified>
</cp:coreProperties>
</file>