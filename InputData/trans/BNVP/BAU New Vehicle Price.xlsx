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Mary Francis Swint\Downloads\"/>
    </mc:Choice>
  </mc:AlternateContent>
  <xr:revisionPtr revIDLastSave="0" documentId="13_ncr:1_{2C229EC6-1B0B-45F6-8612-891FE3B30EDF}" xr6:coauthVersionLast="47" xr6:coauthVersionMax="47" xr10:uidLastSave="{00000000-0000-0000-0000-000000000000}"/>
  <bookViews>
    <workbookView xWindow="-38520" yWindow="-5880" windowWidth="38640" windowHeight="21120" firstSheet="5" activeTab="13" xr2:uid="{00000000-000D-0000-FFFF-FFFF00000000}"/>
  </bookViews>
  <sheets>
    <sheet name="About" sheetId="1" r:id="rId1"/>
    <sheet name="NVP-Indonesia" sheetId="44" r:id="rId2"/>
    <sheet name="BNVP-LDVs-psgr" sheetId="32" r:id="rId3"/>
    <sheet name="BNVP-LDVs-frgt" sheetId="33" r:id="rId4"/>
    <sheet name="BNVP-HDVs-psgr" sheetId="34" r:id="rId5"/>
    <sheet name="BNVP-HDVs-frgt" sheetId="35" r:id="rId6"/>
    <sheet name="BNVP-aircraft-psgr" sheetId="36" r:id="rId7"/>
    <sheet name="BNVP-rail-psgr" sheetId="37" r:id="rId8"/>
    <sheet name="BNVP-aircraft-frgt" sheetId="38" r:id="rId9"/>
    <sheet name="BNVP-rail-frgt" sheetId="39" r:id="rId10"/>
    <sheet name="BNVP-ships-psgr" sheetId="40" r:id="rId11"/>
    <sheet name="BNVP-ships-frgt" sheetId="41" r:id="rId12"/>
    <sheet name="BNVP-motorbikes-psgr" sheetId="42" r:id="rId13"/>
    <sheet name="BNVP-motorbikes-frgt" sheetId="43" r:id="rId14"/>
  </sheets>
  <externalReferences>
    <externalReference r:id="rId15"/>
  </externalReferences>
  <definedNames>
    <definedName name="asdf">About!#REF!</definedName>
    <definedName name="cpi_2010to2012">About!#REF!</definedName>
    <definedName name="cpi_2013to2012">About!#REF!</definedName>
    <definedName name="cpi_2014to2012">About!#REF!</definedName>
    <definedName name="cpi_2016to2012">About!#REF!</definedName>
    <definedName name="cpi_2017to2012">About!#REF!</definedName>
    <definedName name="cpi_2018to2012">About!#REF!</definedName>
    <definedName name="cpi_2019to2012">About!#REF!</definedName>
    <definedName name="cpi_2020to2012">About!#REF!</definedName>
    <definedName name="cpi_2021to2012">About!#REF!</definedName>
    <definedName name="H2_kg_to_MMBtu">[1]Constants!$D$7</definedName>
    <definedName name="kWh_to_Btu">[1]Constants!$D$4</definedName>
    <definedName name="US_salestax">About!#REF!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49" roundtripDataChecksum="CLIpmNi3iwBVqAcvVIBa+cRPGgruJKzKxb+b2rfIZfU="/>
    </ext>
  </extLst>
</workbook>
</file>

<file path=xl/calcChain.xml><?xml version="1.0" encoding="utf-8"?>
<calcChain xmlns="http://schemas.openxmlformats.org/spreadsheetml/2006/main">
  <c r="C2" i="43" l="1"/>
  <c r="D2" i="43"/>
  <c r="E2" i="43"/>
  <c r="F2" i="43"/>
  <c r="G2" i="43"/>
  <c r="H2" i="43"/>
  <c r="I2" i="43"/>
  <c r="J2" i="43"/>
  <c r="K2" i="43"/>
  <c r="L2" i="43"/>
  <c r="M2" i="43"/>
  <c r="N2" i="43"/>
  <c r="O2" i="43"/>
  <c r="P2" i="43"/>
  <c r="Q2" i="43"/>
  <c r="R2" i="43"/>
  <c r="S2" i="43"/>
  <c r="T2" i="43"/>
  <c r="U2" i="43"/>
  <c r="V2" i="43"/>
  <c r="W2" i="43"/>
  <c r="X2" i="43"/>
  <c r="Y2" i="43"/>
  <c r="Z2" i="43"/>
  <c r="AA2" i="43"/>
  <c r="AB2" i="43"/>
  <c r="AC2" i="43"/>
  <c r="AD2" i="43"/>
  <c r="AE2" i="43"/>
  <c r="AF2" i="43"/>
  <c r="AG2" i="43"/>
  <c r="AH2" i="43"/>
  <c r="AI2" i="43"/>
  <c r="AJ2" i="43"/>
  <c r="AK2" i="43"/>
  <c r="AL2" i="43"/>
  <c r="AM2" i="43"/>
  <c r="AN2" i="43"/>
  <c r="AO2" i="43"/>
  <c r="AP2" i="43"/>
  <c r="AQ2" i="43"/>
  <c r="AR2" i="43"/>
  <c r="AS2" i="43"/>
  <c r="AT2" i="43"/>
  <c r="AU2" i="43"/>
  <c r="AV2" i="43"/>
  <c r="AW2" i="43"/>
  <c r="AX2" i="43"/>
  <c r="AY2" i="43"/>
  <c r="AZ2" i="43"/>
  <c r="B2" i="43"/>
  <c r="B4" i="42"/>
  <c r="B2" i="42"/>
  <c r="B5" i="41"/>
  <c r="B8" i="41"/>
  <c r="B2" i="41"/>
  <c r="C2" i="40"/>
  <c r="D2" i="40"/>
  <c r="F4" i="40"/>
  <c r="G4" i="40"/>
  <c r="H4" i="40"/>
  <c r="I4" i="40"/>
  <c r="N4" i="40"/>
  <c r="O4" i="40"/>
  <c r="P4" i="40"/>
  <c r="Q4" i="40"/>
  <c r="V4" i="40"/>
  <c r="W4" i="40"/>
  <c r="X4" i="40"/>
  <c r="Y4" i="40"/>
  <c r="AD4" i="40"/>
  <c r="AE4" i="40"/>
  <c r="AF4" i="40"/>
  <c r="C5" i="40"/>
  <c r="C4" i="40" s="1"/>
  <c r="D5" i="40"/>
  <c r="D4" i="40" s="1"/>
  <c r="E5" i="40"/>
  <c r="E4" i="40" s="1"/>
  <c r="F5" i="40"/>
  <c r="G5" i="40"/>
  <c r="H5" i="40"/>
  <c r="I5" i="40"/>
  <c r="J5" i="40"/>
  <c r="J4" i="40" s="1"/>
  <c r="K5" i="40"/>
  <c r="K4" i="40" s="1"/>
  <c r="L5" i="40"/>
  <c r="L4" i="40" s="1"/>
  <c r="M5" i="40"/>
  <c r="M4" i="40" s="1"/>
  <c r="N5" i="40"/>
  <c r="O5" i="40"/>
  <c r="P5" i="40"/>
  <c r="Q5" i="40"/>
  <c r="R5" i="40"/>
  <c r="R4" i="40" s="1"/>
  <c r="S5" i="40"/>
  <c r="S4" i="40" s="1"/>
  <c r="T5" i="40"/>
  <c r="T4" i="40" s="1"/>
  <c r="U5" i="40"/>
  <c r="U4" i="40" s="1"/>
  <c r="V5" i="40"/>
  <c r="W5" i="40"/>
  <c r="X5" i="40"/>
  <c r="Y5" i="40"/>
  <c r="Z5" i="40"/>
  <c r="Z4" i="40" s="1"/>
  <c r="AA5" i="40"/>
  <c r="AA4" i="40" s="1"/>
  <c r="AB5" i="40"/>
  <c r="AB4" i="40" s="1"/>
  <c r="AC5" i="40"/>
  <c r="AC4" i="40" s="1"/>
  <c r="AD5" i="40"/>
  <c r="AE5" i="40"/>
  <c r="AF5" i="40"/>
  <c r="AH5" i="40"/>
  <c r="D8" i="40"/>
  <c r="E8" i="40"/>
  <c r="F8" i="40"/>
  <c r="G8" i="40"/>
  <c r="H8" i="40"/>
  <c r="I8" i="40"/>
  <c r="J8" i="40"/>
  <c r="L8" i="40"/>
  <c r="M8" i="40"/>
  <c r="N8" i="40"/>
  <c r="O8" i="40"/>
  <c r="P8" i="40"/>
  <c r="Q8" i="40"/>
  <c r="R8" i="40"/>
  <c r="T8" i="40"/>
  <c r="U8" i="40"/>
  <c r="V8" i="40"/>
  <c r="W8" i="40"/>
  <c r="X8" i="40"/>
  <c r="Y8" i="40"/>
  <c r="Z8" i="40"/>
  <c r="AB8" i="40"/>
  <c r="AC8" i="40"/>
  <c r="AD8" i="40"/>
  <c r="AE8" i="40"/>
  <c r="AF8" i="40"/>
  <c r="B4" i="40"/>
  <c r="B5" i="40"/>
  <c r="B8" i="40"/>
  <c r="B2" i="40"/>
  <c r="B5" i="39"/>
  <c r="B8" i="39"/>
  <c r="B2" i="39"/>
  <c r="B5" i="38"/>
  <c r="B8" i="38"/>
  <c r="B2" i="38"/>
  <c r="B5" i="37"/>
  <c r="B8" i="37"/>
  <c r="B2" i="37"/>
  <c r="B5" i="36"/>
  <c r="B8" i="36"/>
  <c r="B2" i="36"/>
  <c r="B166" i="44"/>
  <c r="B165" i="44"/>
  <c r="B168" i="44" s="1"/>
  <c r="B176" i="44" s="1"/>
  <c r="AD4" i="35" s="1"/>
  <c r="B152" i="44"/>
  <c r="B153" i="44"/>
  <c r="B154" i="44"/>
  <c r="B155" i="44"/>
  <c r="B156" i="44"/>
  <c r="B157" i="44"/>
  <c r="B151" i="44"/>
  <c r="B141" i="44"/>
  <c r="B142" i="44"/>
  <c r="B143" i="44"/>
  <c r="B144" i="44"/>
  <c r="B145" i="44"/>
  <c r="B146" i="44"/>
  <c r="B140" i="44"/>
  <c r="AI4" i="40" l="1"/>
  <c r="AO4" i="40"/>
  <c r="AJ4" i="40"/>
  <c r="AL4" i="40"/>
  <c r="AM4" i="40"/>
  <c r="AN4" i="40"/>
  <c r="AK4" i="40"/>
  <c r="AG4" i="40"/>
  <c r="AH4" i="40"/>
  <c r="AI5" i="40"/>
  <c r="AO5" i="40"/>
  <c r="AL5" i="40"/>
  <c r="E2" i="40"/>
  <c r="AM5" i="40"/>
  <c r="AK5" i="40"/>
  <c r="AG5" i="40"/>
  <c r="AN5" i="40"/>
  <c r="AA8" i="40"/>
  <c r="S8" i="40"/>
  <c r="K8" i="40"/>
  <c r="C8" i="40"/>
  <c r="AJ5" i="40"/>
  <c r="AG6" i="33"/>
  <c r="B5" i="33"/>
  <c r="W8" i="33"/>
  <c r="AK7" i="33"/>
  <c r="AR6" i="33"/>
  <c r="V5" i="33"/>
  <c r="AR2" i="33"/>
  <c r="X7" i="35"/>
  <c r="AT4" i="35"/>
  <c r="AW8" i="33"/>
  <c r="P8" i="33"/>
  <c r="AD7" i="33"/>
  <c r="AI6" i="33"/>
  <c r="F5" i="33"/>
  <c r="AB2" i="33"/>
  <c r="H7" i="35"/>
  <c r="C2" i="35"/>
  <c r="K2" i="35"/>
  <c r="S2" i="35"/>
  <c r="AA2" i="35"/>
  <c r="AI2" i="35"/>
  <c r="AQ2" i="35"/>
  <c r="AY2" i="35"/>
  <c r="I3" i="35"/>
  <c r="Q3" i="35"/>
  <c r="Y3" i="35"/>
  <c r="AG3" i="35"/>
  <c r="AO3" i="35"/>
  <c r="AW3" i="35"/>
  <c r="G4" i="35"/>
  <c r="O4" i="35"/>
  <c r="W4" i="35"/>
  <c r="AE4" i="35"/>
  <c r="AM4" i="35"/>
  <c r="AU4" i="35"/>
  <c r="E5" i="35"/>
  <c r="M5" i="35"/>
  <c r="U5" i="35"/>
  <c r="AC5" i="35"/>
  <c r="AK5" i="35"/>
  <c r="AS5" i="35"/>
  <c r="C6" i="35"/>
  <c r="K6" i="35"/>
  <c r="S6" i="35"/>
  <c r="AA6" i="35"/>
  <c r="AI6" i="35"/>
  <c r="AQ6" i="35"/>
  <c r="AY6" i="35"/>
  <c r="I7" i="35"/>
  <c r="Q7" i="35"/>
  <c r="Y7" i="35"/>
  <c r="AG7" i="35"/>
  <c r="AO7" i="35"/>
  <c r="AW7" i="35"/>
  <c r="G8" i="35"/>
  <c r="O8" i="35"/>
  <c r="W8" i="35"/>
  <c r="AE8" i="35"/>
  <c r="AM8" i="35"/>
  <c r="AU8" i="35"/>
  <c r="B5" i="35"/>
  <c r="E2" i="33"/>
  <c r="M2" i="33"/>
  <c r="U2" i="33"/>
  <c r="AC2" i="33"/>
  <c r="AK2" i="33"/>
  <c r="AS2" i="33"/>
  <c r="C3" i="33"/>
  <c r="K3" i="33"/>
  <c r="S3" i="33"/>
  <c r="AA3" i="33"/>
  <c r="AI3" i="33"/>
  <c r="AQ3" i="33"/>
  <c r="AY3" i="33"/>
  <c r="I4" i="33"/>
  <c r="Q4" i="33"/>
  <c r="Y4" i="33"/>
  <c r="AG4" i="33"/>
  <c r="AO4" i="33"/>
  <c r="AW4" i="33"/>
  <c r="G5" i="33"/>
  <c r="O5" i="33"/>
  <c r="W5" i="33"/>
  <c r="AE5" i="33"/>
  <c r="AM5" i="33"/>
  <c r="AU5" i="33"/>
  <c r="E6" i="33"/>
  <c r="M6" i="33"/>
  <c r="U6" i="33"/>
  <c r="AC6" i="33"/>
  <c r="AK6" i="33"/>
  <c r="AS6" i="33"/>
  <c r="C7" i="33"/>
  <c r="K7" i="33"/>
  <c r="S7" i="33"/>
  <c r="AA7" i="33"/>
  <c r="AI7" i="33"/>
  <c r="AQ7" i="33"/>
  <c r="AY7" i="33"/>
  <c r="I8" i="33"/>
  <c r="Q8" i="33"/>
  <c r="D2" i="35"/>
  <c r="L2" i="35"/>
  <c r="T2" i="35"/>
  <c r="AB2" i="35"/>
  <c r="AJ2" i="35"/>
  <c r="AR2" i="35"/>
  <c r="AZ2" i="35"/>
  <c r="J3" i="35"/>
  <c r="R3" i="35"/>
  <c r="Z3" i="35"/>
  <c r="AH3" i="35"/>
  <c r="AP3" i="35"/>
  <c r="AX3" i="35"/>
  <c r="H4" i="35"/>
  <c r="P4" i="35"/>
  <c r="X4" i="35"/>
  <c r="AF4" i="35"/>
  <c r="AN4" i="35"/>
  <c r="AV4" i="35"/>
  <c r="F5" i="35"/>
  <c r="N5" i="35"/>
  <c r="V5" i="35"/>
  <c r="AD5" i="35"/>
  <c r="AL5" i="35"/>
  <c r="AT5" i="35"/>
  <c r="D6" i="35"/>
  <c r="L6" i="35"/>
  <c r="T6" i="35"/>
  <c r="AB6" i="35"/>
  <c r="AJ6" i="35"/>
  <c r="AR6" i="35"/>
  <c r="AZ6" i="35"/>
  <c r="J7" i="35"/>
  <c r="R7" i="35"/>
  <c r="Z7" i="35"/>
  <c r="AH7" i="35"/>
  <c r="AP7" i="35"/>
  <c r="AX7" i="35"/>
  <c r="H8" i="35"/>
  <c r="P8" i="35"/>
  <c r="X8" i="35"/>
  <c r="AF8" i="35"/>
  <c r="AN8" i="35"/>
  <c r="AV8" i="35"/>
  <c r="B6" i="35"/>
  <c r="F2" i="33"/>
  <c r="N2" i="33"/>
  <c r="V2" i="33"/>
  <c r="AD2" i="33"/>
  <c r="AL2" i="33"/>
  <c r="AT2" i="33"/>
  <c r="D3" i="33"/>
  <c r="L3" i="33"/>
  <c r="T3" i="33"/>
  <c r="AB3" i="33"/>
  <c r="AJ3" i="33"/>
  <c r="AR3" i="33"/>
  <c r="AZ3" i="33"/>
  <c r="J4" i="33"/>
  <c r="R4" i="33"/>
  <c r="Z4" i="33"/>
  <c r="AH4" i="33"/>
  <c r="AP4" i="33"/>
  <c r="AX4" i="33"/>
  <c r="H5" i="33"/>
  <c r="P5" i="33"/>
  <c r="X5" i="33"/>
  <c r="AF5" i="33"/>
  <c r="AN5" i="33"/>
  <c r="AV5" i="33"/>
  <c r="F6" i="33"/>
  <c r="N6" i="33"/>
  <c r="V6" i="33"/>
  <c r="AD6" i="33"/>
  <c r="AL6" i="33"/>
  <c r="AT6" i="33"/>
  <c r="D7" i="33"/>
  <c r="L7" i="33"/>
  <c r="E2" i="35"/>
  <c r="M2" i="35"/>
  <c r="U2" i="35"/>
  <c r="AC2" i="35"/>
  <c r="AK2" i="35"/>
  <c r="AS2" i="35"/>
  <c r="C3" i="35"/>
  <c r="K3" i="35"/>
  <c r="S3" i="35"/>
  <c r="AA3" i="35"/>
  <c r="AI3" i="35"/>
  <c r="AQ3" i="35"/>
  <c r="AY3" i="35"/>
  <c r="I4" i="35"/>
  <c r="Q4" i="35"/>
  <c r="Y4" i="35"/>
  <c r="AG4" i="35"/>
  <c r="AO4" i="35"/>
  <c r="AW4" i="35"/>
  <c r="G5" i="35"/>
  <c r="O5" i="35"/>
  <c r="W5" i="35"/>
  <c r="AE5" i="35"/>
  <c r="AM5" i="35"/>
  <c r="AU5" i="35"/>
  <c r="E6" i="35"/>
  <c r="M6" i="35"/>
  <c r="U6" i="35"/>
  <c r="AC6" i="35"/>
  <c r="AK6" i="35"/>
  <c r="AS6" i="35"/>
  <c r="C7" i="35"/>
  <c r="K7" i="35"/>
  <c r="S7" i="35"/>
  <c r="AA7" i="35"/>
  <c r="AI7" i="35"/>
  <c r="AQ7" i="35"/>
  <c r="AY7" i="35"/>
  <c r="I8" i="35"/>
  <c r="Q8" i="35"/>
  <c r="Y8" i="35"/>
  <c r="AG8" i="35"/>
  <c r="AO8" i="35"/>
  <c r="AW8" i="35"/>
  <c r="B7" i="35"/>
  <c r="G2" i="33"/>
  <c r="O2" i="33"/>
  <c r="W2" i="33"/>
  <c r="AE2" i="33"/>
  <c r="AM2" i="33"/>
  <c r="AU2" i="33"/>
  <c r="E3" i="33"/>
  <c r="M3" i="33"/>
  <c r="U3" i="33"/>
  <c r="AC3" i="33"/>
  <c r="AK3" i="33"/>
  <c r="AS3" i="33"/>
  <c r="C4" i="33"/>
  <c r="K4" i="33"/>
  <c r="S4" i="33"/>
  <c r="AA4" i="33"/>
  <c r="AI4" i="33"/>
  <c r="AQ4" i="33"/>
  <c r="AY4" i="33"/>
  <c r="I5" i="33"/>
  <c r="Q5" i="33"/>
  <c r="Y5" i="33"/>
  <c r="AG5" i="33"/>
  <c r="AO5" i="33"/>
  <c r="AW5" i="33"/>
  <c r="G6" i="33"/>
  <c r="O6" i="33"/>
  <c r="W6" i="33"/>
  <c r="AE6" i="33"/>
  <c r="AM6" i="33"/>
  <c r="AU6" i="33"/>
  <c r="E7" i="33"/>
  <c r="I2" i="35"/>
  <c r="Q2" i="35"/>
  <c r="Y2" i="35"/>
  <c r="AG2" i="35"/>
  <c r="AO2" i="35"/>
  <c r="AW2" i="35"/>
  <c r="G3" i="35"/>
  <c r="O3" i="35"/>
  <c r="W3" i="35"/>
  <c r="AE3" i="35"/>
  <c r="AM3" i="35"/>
  <c r="AU3" i="35"/>
  <c r="E4" i="35"/>
  <c r="M4" i="35"/>
  <c r="U4" i="35"/>
  <c r="AC4" i="35"/>
  <c r="AK4" i="35"/>
  <c r="AS4" i="35"/>
  <c r="C5" i="35"/>
  <c r="K5" i="35"/>
  <c r="S5" i="35"/>
  <c r="AA5" i="35"/>
  <c r="AI5" i="35"/>
  <c r="AQ5" i="35"/>
  <c r="AY5" i="35"/>
  <c r="I6" i="35"/>
  <c r="Q6" i="35"/>
  <c r="Y6" i="35"/>
  <c r="AG6" i="35"/>
  <c r="AO6" i="35"/>
  <c r="AW6" i="35"/>
  <c r="G7" i="35"/>
  <c r="O7" i="35"/>
  <c r="W7" i="35"/>
  <c r="AE7" i="35"/>
  <c r="AM7" i="35"/>
  <c r="AU7" i="35"/>
  <c r="E8" i="35"/>
  <c r="M8" i="35"/>
  <c r="U8" i="35"/>
  <c r="AC8" i="35"/>
  <c r="AK8" i="35"/>
  <c r="AS8" i="35"/>
  <c r="B3" i="35"/>
  <c r="C2" i="33"/>
  <c r="K2" i="33"/>
  <c r="S2" i="33"/>
  <c r="AA2" i="33"/>
  <c r="AI2" i="33"/>
  <c r="AQ2" i="33"/>
  <c r="AY2" i="33"/>
  <c r="I3" i="33"/>
  <c r="Q3" i="33"/>
  <c r="Y3" i="33"/>
  <c r="AG3" i="33"/>
  <c r="AO3" i="33"/>
  <c r="AW3" i="33"/>
  <c r="G4" i="33"/>
  <c r="O4" i="33"/>
  <c r="W4" i="33"/>
  <c r="AE4" i="33"/>
  <c r="AM4" i="33"/>
  <c r="AU4" i="33"/>
  <c r="E5" i="33"/>
  <c r="M5" i="33"/>
  <c r="U5" i="33"/>
  <c r="AC5" i="33"/>
  <c r="AK5" i="33"/>
  <c r="AS5" i="33"/>
  <c r="C6" i="33"/>
  <c r="K6" i="33"/>
  <c r="S6" i="33"/>
  <c r="AA6" i="33"/>
  <c r="F2" i="35"/>
  <c r="V2" i="35"/>
  <c r="AL2" i="35"/>
  <c r="D3" i="35"/>
  <c r="T3" i="35"/>
  <c r="AJ3" i="35"/>
  <c r="AZ3" i="35"/>
  <c r="R4" i="35"/>
  <c r="AH4" i="35"/>
  <c r="AX4" i="35"/>
  <c r="P5" i="35"/>
  <c r="AF5" i="35"/>
  <c r="AV5" i="35"/>
  <c r="N6" i="35"/>
  <c r="AD6" i="35"/>
  <c r="AT6" i="35"/>
  <c r="L7" i="35"/>
  <c r="AB7" i="35"/>
  <c r="AR7" i="35"/>
  <c r="J8" i="35"/>
  <c r="Z8" i="35"/>
  <c r="AP8" i="35"/>
  <c r="B8" i="35"/>
  <c r="P2" i="33"/>
  <c r="AF2" i="33"/>
  <c r="AV2" i="33"/>
  <c r="N3" i="33"/>
  <c r="AD3" i="33"/>
  <c r="AT3" i="33"/>
  <c r="L4" i="33"/>
  <c r="AB4" i="33"/>
  <c r="AR4" i="33"/>
  <c r="J5" i="33"/>
  <c r="Z5" i="33"/>
  <c r="AP5" i="33"/>
  <c r="H6" i="33"/>
  <c r="X6" i="33"/>
  <c r="AJ6" i="33"/>
  <c r="AX6" i="33"/>
  <c r="M7" i="33"/>
  <c r="V7" i="33"/>
  <c r="AE7" i="33"/>
  <c r="AN7" i="33"/>
  <c r="AW7" i="33"/>
  <c r="H8" i="33"/>
  <c r="R8" i="33"/>
  <c r="Z8" i="33"/>
  <c r="AH8" i="33"/>
  <c r="AP8" i="33"/>
  <c r="AX8" i="33"/>
  <c r="B8" i="33"/>
  <c r="AP2" i="35"/>
  <c r="AN3" i="35"/>
  <c r="AL4" i="35"/>
  <c r="T5" i="35"/>
  <c r="AZ5" i="35"/>
  <c r="AH6" i="35"/>
  <c r="P7" i="35"/>
  <c r="AV7" i="35"/>
  <c r="AD8" i="35"/>
  <c r="AT8" i="35"/>
  <c r="AJ2" i="33"/>
  <c r="R3" i="33"/>
  <c r="P4" i="33"/>
  <c r="AV4" i="33"/>
  <c r="AT5" i="33"/>
  <c r="AP6" i="33"/>
  <c r="Y7" i="33"/>
  <c r="C8" i="33"/>
  <c r="U8" i="33"/>
  <c r="AS8" i="33"/>
  <c r="AQ6" i="33"/>
  <c r="G2" i="35"/>
  <c r="W2" i="35"/>
  <c r="AM2" i="35"/>
  <c r="E3" i="35"/>
  <c r="U3" i="35"/>
  <c r="AK3" i="35"/>
  <c r="C4" i="35"/>
  <c r="S4" i="35"/>
  <c r="AI4" i="35"/>
  <c r="AY4" i="35"/>
  <c r="Q5" i="35"/>
  <c r="AG5" i="35"/>
  <c r="AW5" i="35"/>
  <c r="O6" i="35"/>
  <c r="AE6" i="35"/>
  <c r="AU6" i="35"/>
  <c r="M7" i="35"/>
  <c r="AC7" i="35"/>
  <c r="AS7" i="35"/>
  <c r="K8" i="35"/>
  <c r="AA8" i="35"/>
  <c r="AQ8" i="35"/>
  <c r="B2" i="35"/>
  <c r="Q2" i="33"/>
  <c r="AG2" i="33"/>
  <c r="AW2" i="33"/>
  <c r="O3" i="33"/>
  <c r="AE3" i="33"/>
  <c r="AU3" i="33"/>
  <c r="M4" i="33"/>
  <c r="AC4" i="33"/>
  <c r="AS4" i="33"/>
  <c r="K5" i="33"/>
  <c r="AA5" i="33"/>
  <c r="AQ5" i="33"/>
  <c r="I6" i="33"/>
  <c r="Y6" i="33"/>
  <c r="AN6" i="33"/>
  <c r="AY6" i="33"/>
  <c r="N7" i="33"/>
  <c r="W7" i="33"/>
  <c r="AF7" i="33"/>
  <c r="AO7" i="33"/>
  <c r="AX7" i="33"/>
  <c r="J8" i="33"/>
  <c r="S8" i="33"/>
  <c r="AA8" i="33"/>
  <c r="AI8" i="33"/>
  <c r="AQ8" i="33"/>
  <c r="AY8" i="33"/>
  <c r="B2" i="33"/>
  <c r="Z2" i="35"/>
  <c r="X3" i="35"/>
  <c r="F4" i="35"/>
  <c r="V4" i="35"/>
  <c r="D5" i="35"/>
  <c r="AJ5" i="35"/>
  <c r="R6" i="35"/>
  <c r="AX6" i="35"/>
  <c r="AF7" i="35"/>
  <c r="N8" i="35"/>
  <c r="D2" i="33"/>
  <c r="AZ2" i="33"/>
  <c r="AH3" i="33"/>
  <c r="AF4" i="33"/>
  <c r="AD5" i="33"/>
  <c r="AB6" i="33"/>
  <c r="P7" i="33"/>
  <c r="AR7" i="33"/>
  <c r="AC8" i="33"/>
  <c r="B3" i="33"/>
  <c r="H2" i="35"/>
  <c r="X2" i="35"/>
  <c r="AN2" i="35"/>
  <c r="F3" i="35"/>
  <c r="V3" i="35"/>
  <c r="AL3" i="35"/>
  <c r="D4" i="35"/>
  <c r="T4" i="35"/>
  <c r="AJ4" i="35"/>
  <c r="AZ4" i="35"/>
  <c r="R5" i="35"/>
  <c r="AH5" i="35"/>
  <c r="AX5" i="35"/>
  <c r="P6" i="35"/>
  <c r="AF6" i="35"/>
  <c r="AV6" i="35"/>
  <c r="N7" i="35"/>
  <c r="AD7" i="35"/>
  <c r="AT7" i="35"/>
  <c r="L8" i="35"/>
  <c r="AB8" i="35"/>
  <c r="AR8" i="35"/>
  <c r="R2" i="33"/>
  <c r="AH2" i="33"/>
  <c r="AX2" i="33"/>
  <c r="P3" i="33"/>
  <c r="AF3" i="33"/>
  <c r="AV3" i="33"/>
  <c r="N4" i="33"/>
  <c r="AD4" i="33"/>
  <c r="AT4" i="33"/>
  <c r="L5" i="33"/>
  <c r="AB5" i="33"/>
  <c r="AR5" i="33"/>
  <c r="J6" i="33"/>
  <c r="Z6" i="33"/>
  <c r="AO6" i="33"/>
  <c r="AZ6" i="33"/>
  <c r="O7" i="33"/>
  <c r="X7" i="33"/>
  <c r="AG7" i="33"/>
  <c r="AP7" i="33"/>
  <c r="AZ7" i="33"/>
  <c r="K8" i="33"/>
  <c r="T8" i="33"/>
  <c r="AB8" i="33"/>
  <c r="AJ8" i="33"/>
  <c r="AR8" i="33"/>
  <c r="AZ8" i="33"/>
  <c r="H3" i="35"/>
  <c r="T2" i="33"/>
  <c r="AX3" i="33"/>
  <c r="N5" i="33"/>
  <c r="L6" i="33"/>
  <c r="F7" i="33"/>
  <c r="AH7" i="33"/>
  <c r="L8" i="33"/>
  <c r="AK8" i="33"/>
  <c r="J2" i="35"/>
  <c r="N2" i="35"/>
  <c r="AD2" i="35"/>
  <c r="AT2" i="35"/>
  <c r="L3" i="35"/>
  <c r="AB3" i="35"/>
  <c r="AR3" i="35"/>
  <c r="J4" i="35"/>
  <c r="Z4" i="35"/>
  <c r="AP4" i="35"/>
  <c r="H5" i="35"/>
  <c r="X5" i="35"/>
  <c r="AN5" i="35"/>
  <c r="F6" i="35"/>
  <c r="V6" i="35"/>
  <c r="AL6" i="35"/>
  <c r="D7" i="35"/>
  <c r="T7" i="35"/>
  <c r="AJ7" i="35"/>
  <c r="AZ7" i="35"/>
  <c r="R8" i="35"/>
  <c r="AH8" i="35"/>
  <c r="AX8" i="35"/>
  <c r="H2" i="33"/>
  <c r="X2" i="33"/>
  <c r="AN2" i="33"/>
  <c r="F3" i="33"/>
  <c r="V3" i="33"/>
  <c r="AL3" i="33"/>
  <c r="D4" i="33"/>
  <c r="T4" i="33"/>
  <c r="AJ4" i="33"/>
  <c r="AZ4" i="33"/>
  <c r="R5" i="33"/>
  <c r="AH5" i="33"/>
  <c r="AX5" i="33"/>
  <c r="P6" i="33"/>
  <c r="AF6" i="33"/>
  <c r="G7" i="33"/>
  <c r="Q7" i="33"/>
  <c r="Z7" i="33"/>
  <c r="AJ7" i="33"/>
  <c r="AS7" i="33"/>
  <c r="D8" i="33"/>
  <c r="M8" i="33"/>
  <c r="V8" i="33"/>
  <c r="AD8" i="33"/>
  <c r="AL8" i="33"/>
  <c r="AT8" i="33"/>
  <c r="B4" i="33"/>
  <c r="AE2" i="35"/>
  <c r="AU2" i="35"/>
  <c r="M3" i="35"/>
  <c r="AC3" i="35"/>
  <c r="AS3" i="35"/>
  <c r="K4" i="35"/>
  <c r="AA4" i="35"/>
  <c r="AQ4" i="35"/>
  <c r="I5" i="35"/>
  <c r="Y5" i="35"/>
  <c r="AO5" i="35"/>
  <c r="G6" i="35"/>
  <c r="W6" i="35"/>
  <c r="AM6" i="35"/>
  <c r="E7" i="35"/>
  <c r="U7" i="35"/>
  <c r="AK7" i="35"/>
  <c r="C8" i="35"/>
  <c r="S8" i="35"/>
  <c r="AI8" i="35"/>
  <c r="AY8" i="35"/>
  <c r="I2" i="33"/>
  <c r="Y2" i="33"/>
  <c r="AO2" i="33"/>
  <c r="G3" i="33"/>
  <c r="W3" i="33"/>
  <c r="AM3" i="33"/>
  <c r="E4" i="33"/>
  <c r="U4" i="33"/>
  <c r="AK4" i="33"/>
  <c r="C5" i="33"/>
  <c r="S5" i="33"/>
  <c r="AI5" i="33"/>
  <c r="O2" i="35"/>
  <c r="P2" i="35"/>
  <c r="AF2" i="35"/>
  <c r="AV2" i="35"/>
  <c r="N3" i="35"/>
  <c r="AD3" i="35"/>
  <c r="AT3" i="35"/>
  <c r="L4" i="35"/>
  <c r="AB4" i="35"/>
  <c r="AR4" i="35"/>
  <c r="J5" i="35"/>
  <c r="Z5" i="35"/>
  <c r="AP5" i="35"/>
  <c r="H6" i="35"/>
  <c r="X6" i="35"/>
  <c r="AN6" i="35"/>
  <c r="F7" i="35"/>
  <c r="V7" i="35"/>
  <c r="AL7" i="35"/>
  <c r="D8" i="35"/>
  <c r="T8" i="35"/>
  <c r="AJ8" i="35"/>
  <c r="AZ8" i="35"/>
  <c r="J2" i="33"/>
  <c r="Z2" i="33"/>
  <c r="AP2" i="33"/>
  <c r="H3" i="33"/>
  <c r="X3" i="33"/>
  <c r="AN3" i="33"/>
  <c r="F4" i="33"/>
  <c r="V4" i="33"/>
  <c r="AL4" i="33"/>
  <c r="D5" i="33"/>
  <c r="T5" i="33"/>
  <c r="AJ5" i="33"/>
  <c r="AZ5" i="33"/>
  <c r="R6" i="33"/>
  <c r="AH6" i="33"/>
  <c r="AV6" i="33"/>
  <c r="I7" i="33"/>
  <c r="T7" i="33"/>
  <c r="AC7" i="33"/>
  <c r="AL7" i="33"/>
  <c r="AU7" i="33"/>
  <c r="F8" i="33"/>
  <c r="O8" i="33"/>
  <c r="X8" i="33"/>
  <c r="AF8" i="33"/>
  <c r="AN8" i="33"/>
  <c r="AV8" i="33"/>
  <c r="B6" i="33"/>
  <c r="R2" i="35"/>
  <c r="AN4" i="33"/>
  <c r="AP6" i="35"/>
  <c r="AO8" i="33"/>
  <c r="G8" i="33"/>
  <c r="T6" i="33"/>
  <c r="X4" i="33"/>
  <c r="B4" i="35"/>
  <c r="E8" i="33"/>
  <c r="H4" i="33"/>
  <c r="J6" i="35"/>
  <c r="AU8" i="33"/>
  <c r="N8" i="33"/>
  <c r="AB7" i="33"/>
  <c r="L2" i="33"/>
  <c r="N4" i="35"/>
  <c r="U7" i="33"/>
  <c r="AV3" i="35"/>
  <c r="AG8" i="33"/>
  <c r="AV7" i="33"/>
  <c r="J7" i="33"/>
  <c r="D6" i="33"/>
  <c r="AP3" i="33"/>
  <c r="V8" i="35"/>
  <c r="AR5" i="35"/>
  <c r="P3" i="35"/>
  <c r="AM8" i="33"/>
  <c r="R7" i="33"/>
  <c r="Q6" i="33"/>
  <c r="AL8" i="35"/>
  <c r="AF3" i="35"/>
  <c r="AE8" i="33"/>
  <c r="AT7" i="33"/>
  <c r="H7" i="33"/>
  <c r="AY5" i="33"/>
  <c r="Z3" i="33"/>
  <c r="F8" i="35"/>
  <c r="AB5" i="35"/>
  <c r="AX2" i="35"/>
  <c r="Z6" i="35"/>
  <c r="B7" i="33"/>
  <c r="Y8" i="33"/>
  <c r="AM7" i="33"/>
  <c r="AW6" i="33"/>
  <c r="AL5" i="33"/>
  <c r="J3" i="33"/>
  <c r="AN7" i="35"/>
  <c r="L5" i="35"/>
  <c r="AH2" i="35"/>
  <c r="B5" i="44"/>
  <c r="D2" i="44"/>
  <c r="E2" i="44"/>
  <c r="F2" i="44"/>
  <c r="G2" i="44"/>
  <c r="H2" i="44"/>
  <c r="I2" i="44"/>
  <c r="J2" i="44"/>
  <c r="K2" i="44"/>
  <c r="K6" i="44" s="1"/>
  <c r="B11" i="44" s="1"/>
  <c r="B12" i="44" s="1"/>
  <c r="L2" i="44"/>
  <c r="M2" i="44"/>
  <c r="C2" i="44"/>
  <c r="D2" i="39"/>
  <c r="E2" i="39" s="1"/>
  <c r="C2" i="39"/>
  <c r="AE4" i="42"/>
  <c r="AF5" i="41"/>
  <c r="X5" i="41"/>
  <c r="W5" i="41"/>
  <c r="O5" i="41"/>
  <c r="N5" i="41"/>
  <c r="F5" i="41"/>
  <c r="E5" i="41"/>
  <c r="Z5" i="41"/>
  <c r="Y5" i="39"/>
  <c r="AF5" i="38"/>
  <c r="AE5" i="38"/>
  <c r="V5" i="38"/>
  <c r="U5" i="38"/>
  <c r="L5" i="38"/>
  <c r="I5" i="38"/>
  <c r="AA5" i="38"/>
  <c r="W5" i="37"/>
  <c r="AF5" i="36"/>
  <c r="AC5" i="36"/>
  <c r="Z5" i="36"/>
  <c r="X5" i="36"/>
  <c r="S5" i="36"/>
  <c r="P5" i="36"/>
  <c r="L5" i="36"/>
  <c r="K5" i="36"/>
  <c r="J5" i="36"/>
  <c r="I5" i="36"/>
  <c r="D5" i="36"/>
  <c r="U5" i="36"/>
  <c r="AI8" i="40" l="1"/>
  <c r="AH8" i="40"/>
  <c r="AJ8" i="40"/>
  <c r="AL8" i="40"/>
  <c r="AM8" i="40"/>
  <c r="AO8" i="40"/>
  <c r="AK8" i="40"/>
  <c r="AN8" i="40"/>
  <c r="AG8" i="40"/>
  <c r="F2" i="40"/>
  <c r="G2" i="40" s="1"/>
  <c r="H2" i="40" s="1"/>
  <c r="I2" i="40" s="1"/>
  <c r="J2" i="40" s="1"/>
  <c r="K2" i="40" s="1"/>
  <c r="L2" i="40" s="1"/>
  <c r="M2" i="40" s="1"/>
  <c r="N2" i="40" s="1"/>
  <c r="O2" i="40" s="1"/>
  <c r="P2" i="40" s="1"/>
  <c r="Q2" i="40" s="1"/>
  <c r="R2" i="40" s="1"/>
  <c r="S2" i="40" s="1"/>
  <c r="T2" i="40" s="1"/>
  <c r="U2" i="40" s="1"/>
  <c r="V2" i="40" s="1"/>
  <c r="W2" i="40" s="1"/>
  <c r="X2" i="40" s="1"/>
  <c r="Y2" i="40" s="1"/>
  <c r="Z2" i="40" s="1"/>
  <c r="AA2" i="40" s="1"/>
  <c r="AB2" i="40" s="1"/>
  <c r="AC2" i="40" s="1"/>
  <c r="AD2" i="40" s="1"/>
  <c r="AE2" i="40" s="1"/>
  <c r="AF2" i="40" s="1"/>
  <c r="AL2" i="40"/>
  <c r="AM2" i="40"/>
  <c r="AN2" i="40"/>
  <c r="AJ2" i="40"/>
  <c r="AK2" i="40"/>
  <c r="AG2" i="40"/>
  <c r="AH2" i="40"/>
  <c r="I6" i="44"/>
  <c r="B8" i="34"/>
  <c r="C8" i="34" s="1"/>
  <c r="D8" i="34" s="1"/>
  <c r="E8" i="34" s="1"/>
  <c r="F8" i="34" s="1"/>
  <c r="G8" i="34" s="1"/>
  <c r="H8" i="34" s="1"/>
  <c r="I8" i="34" s="1"/>
  <c r="J8" i="34" s="1"/>
  <c r="K8" i="34" s="1"/>
  <c r="L8" i="34" s="1"/>
  <c r="M8" i="34" s="1"/>
  <c r="N8" i="34" s="1"/>
  <c r="O8" i="34" s="1"/>
  <c r="P8" i="34" s="1"/>
  <c r="Q8" i="34" s="1"/>
  <c r="R8" i="34" s="1"/>
  <c r="S8" i="34" s="1"/>
  <c r="T8" i="34" s="1"/>
  <c r="U8" i="34" s="1"/>
  <c r="V8" i="34" s="1"/>
  <c r="W8" i="34" s="1"/>
  <c r="X8" i="34" s="1"/>
  <c r="Y8" i="34" s="1"/>
  <c r="Z8" i="34" s="1"/>
  <c r="AA8" i="34" s="1"/>
  <c r="AB8" i="34" s="1"/>
  <c r="AC8" i="34" s="1"/>
  <c r="AD8" i="34" s="1"/>
  <c r="AE8" i="34" s="1"/>
  <c r="AF8" i="34" s="1"/>
  <c r="AG8" i="34" s="1"/>
  <c r="AH8" i="34" s="1"/>
  <c r="AI8" i="34" s="1"/>
  <c r="AJ8" i="34" s="1"/>
  <c r="AK8" i="34" s="1"/>
  <c r="AL8" i="34" s="1"/>
  <c r="AM8" i="34" s="1"/>
  <c r="AN8" i="34" s="1"/>
  <c r="AO8" i="34" s="1"/>
  <c r="AP8" i="34" s="1"/>
  <c r="AQ8" i="34" s="1"/>
  <c r="AR8" i="34" s="1"/>
  <c r="AS8" i="34" s="1"/>
  <c r="AT8" i="34" s="1"/>
  <c r="AU8" i="34" s="1"/>
  <c r="AV8" i="34" s="1"/>
  <c r="AW8" i="34" s="1"/>
  <c r="AX8" i="34" s="1"/>
  <c r="AY8" i="34" s="1"/>
  <c r="AZ8" i="34" s="1"/>
  <c r="B4" i="32"/>
  <c r="C4" i="32" s="1"/>
  <c r="D4" i="32" s="1"/>
  <c r="E4" i="32" s="1"/>
  <c r="F4" i="32" s="1"/>
  <c r="G4" i="32" s="1"/>
  <c r="H4" i="32" s="1"/>
  <c r="I4" i="32" s="1"/>
  <c r="J4" i="32" s="1"/>
  <c r="K4" i="32" s="1"/>
  <c r="L4" i="32" s="1"/>
  <c r="M4" i="32" s="1"/>
  <c r="N4" i="32" s="1"/>
  <c r="O4" i="32" s="1"/>
  <c r="P4" i="32" s="1"/>
  <c r="Q4" i="32" s="1"/>
  <c r="R4" i="32" s="1"/>
  <c r="S4" i="32" s="1"/>
  <c r="T4" i="32" s="1"/>
  <c r="U4" i="32" s="1"/>
  <c r="V4" i="32" s="1"/>
  <c r="W4" i="32" s="1"/>
  <c r="X4" i="32" s="1"/>
  <c r="Y4" i="32" s="1"/>
  <c r="Z4" i="32" s="1"/>
  <c r="AA4" i="32" s="1"/>
  <c r="AB4" i="32" s="1"/>
  <c r="AC4" i="32" s="1"/>
  <c r="AD4" i="32" s="1"/>
  <c r="AE4" i="32" s="1"/>
  <c r="AF4" i="32" s="1"/>
  <c r="AG4" i="32" s="1"/>
  <c r="AH4" i="32" s="1"/>
  <c r="AI4" i="32" s="1"/>
  <c r="AJ4" i="32" s="1"/>
  <c r="AK4" i="32" s="1"/>
  <c r="AL4" i="32" s="1"/>
  <c r="AM4" i="32" s="1"/>
  <c r="AN4" i="32" s="1"/>
  <c r="AO4" i="32" s="1"/>
  <c r="AP4" i="32" s="1"/>
  <c r="AQ4" i="32" s="1"/>
  <c r="AR4" i="32" s="1"/>
  <c r="AS4" i="32" s="1"/>
  <c r="AT4" i="32" s="1"/>
  <c r="AU4" i="32" s="1"/>
  <c r="AV4" i="32" s="1"/>
  <c r="AW4" i="32" s="1"/>
  <c r="AX4" i="32" s="1"/>
  <c r="AY4" i="32" s="1"/>
  <c r="AZ4" i="32" s="1"/>
  <c r="B5" i="32"/>
  <c r="C5" i="32" s="1"/>
  <c r="D5" i="32" s="1"/>
  <c r="E5" i="32" s="1"/>
  <c r="F5" i="32" s="1"/>
  <c r="G5" i="32" s="1"/>
  <c r="H5" i="32" s="1"/>
  <c r="I5" i="32" s="1"/>
  <c r="J5" i="32" s="1"/>
  <c r="K5" i="32" s="1"/>
  <c r="L5" i="32" s="1"/>
  <c r="M5" i="32" s="1"/>
  <c r="N5" i="32" s="1"/>
  <c r="O5" i="32" s="1"/>
  <c r="P5" i="32" s="1"/>
  <c r="Q5" i="32" s="1"/>
  <c r="R5" i="32" s="1"/>
  <c r="S5" i="32" s="1"/>
  <c r="T5" i="32" s="1"/>
  <c r="U5" i="32" s="1"/>
  <c r="V5" i="32" s="1"/>
  <c r="W5" i="32" s="1"/>
  <c r="X5" i="32" s="1"/>
  <c r="Y5" i="32" s="1"/>
  <c r="Z5" i="32" s="1"/>
  <c r="AA5" i="32" s="1"/>
  <c r="AB5" i="32" s="1"/>
  <c r="AC5" i="32" s="1"/>
  <c r="AD5" i="32" s="1"/>
  <c r="AE5" i="32" s="1"/>
  <c r="AF5" i="32" s="1"/>
  <c r="AG5" i="32" s="1"/>
  <c r="AH5" i="32" s="1"/>
  <c r="AI5" i="32" s="1"/>
  <c r="AJ5" i="32" s="1"/>
  <c r="AK5" i="32" s="1"/>
  <c r="AL5" i="32" s="1"/>
  <c r="AM5" i="32" s="1"/>
  <c r="AN5" i="32" s="1"/>
  <c r="AO5" i="32" s="1"/>
  <c r="AP5" i="32" s="1"/>
  <c r="AQ5" i="32" s="1"/>
  <c r="AR5" i="32" s="1"/>
  <c r="AS5" i="32" s="1"/>
  <c r="AT5" i="32" s="1"/>
  <c r="AU5" i="32" s="1"/>
  <c r="AV5" i="32" s="1"/>
  <c r="AW5" i="32" s="1"/>
  <c r="AX5" i="32" s="1"/>
  <c r="AY5" i="32" s="1"/>
  <c r="AZ5" i="32" s="1"/>
  <c r="B3" i="32"/>
  <c r="C3" i="32" s="1"/>
  <c r="D3" i="32" s="1"/>
  <c r="E3" i="32" s="1"/>
  <c r="F3" i="32" s="1"/>
  <c r="G3" i="32" s="1"/>
  <c r="H3" i="32" s="1"/>
  <c r="I3" i="32" s="1"/>
  <c r="J3" i="32" s="1"/>
  <c r="K3" i="32" s="1"/>
  <c r="L3" i="32" s="1"/>
  <c r="M3" i="32" s="1"/>
  <c r="N3" i="32" s="1"/>
  <c r="O3" i="32" s="1"/>
  <c r="P3" i="32" s="1"/>
  <c r="Q3" i="32" s="1"/>
  <c r="R3" i="32" s="1"/>
  <c r="S3" i="32" s="1"/>
  <c r="T3" i="32" s="1"/>
  <c r="U3" i="32" s="1"/>
  <c r="V3" i="32" s="1"/>
  <c r="W3" i="32" s="1"/>
  <c r="X3" i="32" s="1"/>
  <c r="Y3" i="32" s="1"/>
  <c r="Z3" i="32" s="1"/>
  <c r="AA3" i="32" s="1"/>
  <c r="AB3" i="32" s="1"/>
  <c r="AC3" i="32" s="1"/>
  <c r="AD3" i="32" s="1"/>
  <c r="AE3" i="32" s="1"/>
  <c r="AF3" i="32" s="1"/>
  <c r="AG3" i="32" s="1"/>
  <c r="AH3" i="32" s="1"/>
  <c r="AI3" i="32" s="1"/>
  <c r="AJ3" i="32" s="1"/>
  <c r="AK3" i="32" s="1"/>
  <c r="AL3" i="32" s="1"/>
  <c r="AM3" i="32" s="1"/>
  <c r="AN3" i="32" s="1"/>
  <c r="AO3" i="32" s="1"/>
  <c r="AP3" i="32" s="1"/>
  <c r="AQ3" i="32" s="1"/>
  <c r="AR3" i="32" s="1"/>
  <c r="AS3" i="32" s="1"/>
  <c r="AT3" i="32" s="1"/>
  <c r="AU3" i="32" s="1"/>
  <c r="AV3" i="32" s="1"/>
  <c r="AW3" i="32" s="1"/>
  <c r="AX3" i="32" s="1"/>
  <c r="AY3" i="32" s="1"/>
  <c r="AZ3" i="32" s="1"/>
  <c r="B2" i="34"/>
  <c r="C2" i="34" s="1"/>
  <c r="D2" i="34" s="1"/>
  <c r="E2" i="34" s="1"/>
  <c r="F2" i="34" s="1"/>
  <c r="G2" i="34" s="1"/>
  <c r="H2" i="34" s="1"/>
  <c r="I2" i="34" s="1"/>
  <c r="J2" i="34" s="1"/>
  <c r="K2" i="34" s="1"/>
  <c r="L2" i="34" s="1"/>
  <c r="M2" i="34" s="1"/>
  <c r="N2" i="34" s="1"/>
  <c r="O2" i="34" s="1"/>
  <c r="P2" i="34" s="1"/>
  <c r="Q2" i="34" s="1"/>
  <c r="R2" i="34" s="1"/>
  <c r="S2" i="34" s="1"/>
  <c r="T2" i="34" s="1"/>
  <c r="U2" i="34" s="1"/>
  <c r="V2" i="34" s="1"/>
  <c r="W2" i="34" s="1"/>
  <c r="X2" i="34" s="1"/>
  <c r="Y2" i="34" s="1"/>
  <c r="Z2" i="34" s="1"/>
  <c r="AA2" i="34" s="1"/>
  <c r="AB2" i="34" s="1"/>
  <c r="AC2" i="34" s="1"/>
  <c r="AD2" i="34" s="1"/>
  <c r="AE2" i="34" s="1"/>
  <c r="AF2" i="34" s="1"/>
  <c r="AG2" i="34" s="1"/>
  <c r="AH2" i="34" s="1"/>
  <c r="AI2" i="34" s="1"/>
  <c r="AJ2" i="34" s="1"/>
  <c r="AK2" i="34" s="1"/>
  <c r="AL2" i="34" s="1"/>
  <c r="AM2" i="34" s="1"/>
  <c r="AN2" i="34" s="1"/>
  <c r="AO2" i="34" s="1"/>
  <c r="AP2" i="34" s="1"/>
  <c r="AQ2" i="34" s="1"/>
  <c r="AR2" i="34" s="1"/>
  <c r="AS2" i="34" s="1"/>
  <c r="AT2" i="34" s="1"/>
  <c r="AU2" i="34" s="1"/>
  <c r="AV2" i="34" s="1"/>
  <c r="AW2" i="34" s="1"/>
  <c r="AX2" i="34" s="1"/>
  <c r="AY2" i="34" s="1"/>
  <c r="AZ2" i="34" s="1"/>
  <c r="B3" i="34"/>
  <c r="C3" i="34" s="1"/>
  <c r="D3" i="34" s="1"/>
  <c r="E3" i="34" s="1"/>
  <c r="F3" i="34" s="1"/>
  <c r="G3" i="34" s="1"/>
  <c r="H3" i="34" s="1"/>
  <c r="I3" i="34" s="1"/>
  <c r="J3" i="34" s="1"/>
  <c r="K3" i="34" s="1"/>
  <c r="L3" i="34" s="1"/>
  <c r="M3" i="34" s="1"/>
  <c r="N3" i="34" s="1"/>
  <c r="O3" i="34" s="1"/>
  <c r="P3" i="34" s="1"/>
  <c r="Q3" i="34" s="1"/>
  <c r="R3" i="34" s="1"/>
  <c r="S3" i="34" s="1"/>
  <c r="T3" i="34" s="1"/>
  <c r="U3" i="34" s="1"/>
  <c r="V3" i="34" s="1"/>
  <c r="W3" i="34" s="1"/>
  <c r="X3" i="34" s="1"/>
  <c r="Y3" i="34" s="1"/>
  <c r="Z3" i="34" s="1"/>
  <c r="AA3" i="34" s="1"/>
  <c r="AB3" i="34" s="1"/>
  <c r="AC3" i="34" s="1"/>
  <c r="AD3" i="34" s="1"/>
  <c r="AE3" i="34" s="1"/>
  <c r="AF3" i="34" s="1"/>
  <c r="AG3" i="34" s="1"/>
  <c r="AH3" i="34" s="1"/>
  <c r="AI3" i="34" s="1"/>
  <c r="AJ3" i="34" s="1"/>
  <c r="AK3" i="34" s="1"/>
  <c r="AL3" i="34" s="1"/>
  <c r="AM3" i="34" s="1"/>
  <c r="AN3" i="34" s="1"/>
  <c r="AO3" i="34" s="1"/>
  <c r="AP3" i="34" s="1"/>
  <c r="AQ3" i="34" s="1"/>
  <c r="AR3" i="34" s="1"/>
  <c r="AS3" i="34" s="1"/>
  <c r="AT3" i="34" s="1"/>
  <c r="AU3" i="34" s="1"/>
  <c r="AV3" i="34" s="1"/>
  <c r="AW3" i="34" s="1"/>
  <c r="AX3" i="34" s="1"/>
  <c r="AY3" i="34" s="1"/>
  <c r="AZ3" i="34" s="1"/>
  <c r="B4" i="34"/>
  <c r="C4" i="34" s="1"/>
  <c r="D4" i="34" s="1"/>
  <c r="E4" i="34" s="1"/>
  <c r="F4" i="34" s="1"/>
  <c r="G4" i="34" s="1"/>
  <c r="H4" i="34" s="1"/>
  <c r="I4" i="34" s="1"/>
  <c r="J4" i="34" s="1"/>
  <c r="K4" i="34" s="1"/>
  <c r="L4" i="34" s="1"/>
  <c r="M4" i="34" s="1"/>
  <c r="N4" i="34" s="1"/>
  <c r="O4" i="34" s="1"/>
  <c r="P4" i="34" s="1"/>
  <c r="Q4" i="34" s="1"/>
  <c r="R4" i="34" s="1"/>
  <c r="S4" i="34" s="1"/>
  <c r="T4" i="34" s="1"/>
  <c r="U4" i="34" s="1"/>
  <c r="V4" i="34" s="1"/>
  <c r="W4" i="34" s="1"/>
  <c r="X4" i="34" s="1"/>
  <c r="Y4" i="34" s="1"/>
  <c r="Z4" i="34" s="1"/>
  <c r="AA4" i="34" s="1"/>
  <c r="AB4" i="34" s="1"/>
  <c r="AC4" i="34" s="1"/>
  <c r="AD4" i="34" s="1"/>
  <c r="AE4" i="34" s="1"/>
  <c r="AF4" i="34" s="1"/>
  <c r="AG4" i="34" s="1"/>
  <c r="AH4" i="34" s="1"/>
  <c r="AI4" i="34" s="1"/>
  <c r="AJ4" i="34" s="1"/>
  <c r="AK4" i="34" s="1"/>
  <c r="AL4" i="34" s="1"/>
  <c r="AM4" i="34" s="1"/>
  <c r="AN4" i="34" s="1"/>
  <c r="AO4" i="34" s="1"/>
  <c r="AP4" i="34" s="1"/>
  <c r="AQ4" i="34" s="1"/>
  <c r="AR4" i="34" s="1"/>
  <c r="AS4" i="34" s="1"/>
  <c r="AT4" i="34" s="1"/>
  <c r="AU4" i="34" s="1"/>
  <c r="AV4" i="34" s="1"/>
  <c r="AW4" i="34" s="1"/>
  <c r="AX4" i="34" s="1"/>
  <c r="AY4" i="34" s="1"/>
  <c r="AZ4" i="34" s="1"/>
  <c r="B6" i="32"/>
  <c r="C6" i="32" s="1"/>
  <c r="D6" i="32" s="1"/>
  <c r="E6" i="32" s="1"/>
  <c r="F6" i="32" s="1"/>
  <c r="G6" i="32" s="1"/>
  <c r="H6" i="32" s="1"/>
  <c r="I6" i="32" s="1"/>
  <c r="J6" i="32" s="1"/>
  <c r="K6" i="32" s="1"/>
  <c r="L6" i="32" s="1"/>
  <c r="M6" i="32" s="1"/>
  <c r="N6" i="32" s="1"/>
  <c r="O6" i="32" s="1"/>
  <c r="P6" i="32" s="1"/>
  <c r="Q6" i="32" s="1"/>
  <c r="R6" i="32" s="1"/>
  <c r="S6" i="32" s="1"/>
  <c r="T6" i="32" s="1"/>
  <c r="U6" i="32" s="1"/>
  <c r="V6" i="32" s="1"/>
  <c r="W6" i="32" s="1"/>
  <c r="X6" i="32" s="1"/>
  <c r="Y6" i="32" s="1"/>
  <c r="Z6" i="32" s="1"/>
  <c r="AA6" i="32" s="1"/>
  <c r="AB6" i="32" s="1"/>
  <c r="AC6" i="32" s="1"/>
  <c r="AD6" i="32" s="1"/>
  <c r="AE6" i="32" s="1"/>
  <c r="AF6" i="32" s="1"/>
  <c r="AG6" i="32" s="1"/>
  <c r="AH6" i="32" s="1"/>
  <c r="AI6" i="32" s="1"/>
  <c r="AJ6" i="32" s="1"/>
  <c r="AK6" i="32" s="1"/>
  <c r="AL6" i="32" s="1"/>
  <c r="AM6" i="32" s="1"/>
  <c r="AN6" i="32" s="1"/>
  <c r="AO6" i="32" s="1"/>
  <c r="AP6" i="32" s="1"/>
  <c r="AQ6" i="32" s="1"/>
  <c r="AR6" i="32" s="1"/>
  <c r="AS6" i="32" s="1"/>
  <c r="AT6" i="32" s="1"/>
  <c r="AU6" i="32" s="1"/>
  <c r="AV6" i="32" s="1"/>
  <c r="AW6" i="32" s="1"/>
  <c r="AX6" i="32" s="1"/>
  <c r="AY6" i="32" s="1"/>
  <c r="AZ6" i="32" s="1"/>
  <c r="B6" i="34"/>
  <c r="C6" i="34" s="1"/>
  <c r="D6" i="34" s="1"/>
  <c r="E6" i="34" s="1"/>
  <c r="F6" i="34" s="1"/>
  <c r="G6" i="34" s="1"/>
  <c r="H6" i="34" s="1"/>
  <c r="I6" i="34" s="1"/>
  <c r="J6" i="34" s="1"/>
  <c r="K6" i="34" s="1"/>
  <c r="L6" i="34" s="1"/>
  <c r="M6" i="34" s="1"/>
  <c r="N6" i="34" s="1"/>
  <c r="O6" i="34" s="1"/>
  <c r="P6" i="34" s="1"/>
  <c r="Q6" i="34" s="1"/>
  <c r="R6" i="34" s="1"/>
  <c r="S6" i="34" s="1"/>
  <c r="T6" i="34" s="1"/>
  <c r="U6" i="34" s="1"/>
  <c r="V6" i="34" s="1"/>
  <c r="W6" i="34" s="1"/>
  <c r="X6" i="34" s="1"/>
  <c r="Y6" i="34" s="1"/>
  <c r="Z6" i="34" s="1"/>
  <c r="AA6" i="34" s="1"/>
  <c r="AB6" i="34" s="1"/>
  <c r="AC6" i="34" s="1"/>
  <c r="AD6" i="34" s="1"/>
  <c r="AE6" i="34" s="1"/>
  <c r="AF6" i="34" s="1"/>
  <c r="AG6" i="34" s="1"/>
  <c r="AH6" i="34" s="1"/>
  <c r="AI6" i="34" s="1"/>
  <c r="AJ6" i="34" s="1"/>
  <c r="AK6" i="34" s="1"/>
  <c r="AL6" i="34" s="1"/>
  <c r="AM6" i="34" s="1"/>
  <c r="AN6" i="34" s="1"/>
  <c r="AO6" i="34" s="1"/>
  <c r="AP6" i="34" s="1"/>
  <c r="AQ6" i="34" s="1"/>
  <c r="AR6" i="34" s="1"/>
  <c r="AS6" i="34" s="1"/>
  <c r="AT6" i="34" s="1"/>
  <c r="AU6" i="34" s="1"/>
  <c r="AV6" i="34" s="1"/>
  <c r="AW6" i="34" s="1"/>
  <c r="AX6" i="34" s="1"/>
  <c r="AY6" i="34" s="1"/>
  <c r="AZ6" i="34" s="1"/>
  <c r="B7" i="32"/>
  <c r="C7" i="32" s="1"/>
  <c r="D7" i="32" s="1"/>
  <c r="E7" i="32" s="1"/>
  <c r="F7" i="32" s="1"/>
  <c r="G7" i="32" s="1"/>
  <c r="H7" i="32" s="1"/>
  <c r="I7" i="32" s="1"/>
  <c r="J7" i="32" s="1"/>
  <c r="K7" i="32" s="1"/>
  <c r="L7" i="32" s="1"/>
  <c r="M7" i="32" s="1"/>
  <c r="N7" i="32" s="1"/>
  <c r="O7" i="32" s="1"/>
  <c r="P7" i="32" s="1"/>
  <c r="Q7" i="32" s="1"/>
  <c r="R7" i="32" s="1"/>
  <c r="S7" i="32" s="1"/>
  <c r="T7" i="32" s="1"/>
  <c r="U7" i="32" s="1"/>
  <c r="V7" i="32" s="1"/>
  <c r="W7" i="32" s="1"/>
  <c r="X7" i="32" s="1"/>
  <c r="Y7" i="32" s="1"/>
  <c r="Z7" i="32" s="1"/>
  <c r="AA7" i="32" s="1"/>
  <c r="AB7" i="32" s="1"/>
  <c r="AC7" i="32" s="1"/>
  <c r="AD7" i="32" s="1"/>
  <c r="AE7" i="32" s="1"/>
  <c r="AF7" i="32" s="1"/>
  <c r="AG7" i="32" s="1"/>
  <c r="AH7" i="32" s="1"/>
  <c r="AI7" i="32" s="1"/>
  <c r="AJ7" i="32" s="1"/>
  <c r="AK7" i="32" s="1"/>
  <c r="AL7" i="32" s="1"/>
  <c r="AM7" i="32" s="1"/>
  <c r="AN7" i="32" s="1"/>
  <c r="AO7" i="32" s="1"/>
  <c r="AP7" i="32" s="1"/>
  <c r="AQ7" i="32" s="1"/>
  <c r="AR7" i="32" s="1"/>
  <c r="AS7" i="32" s="1"/>
  <c r="AT7" i="32" s="1"/>
  <c r="AU7" i="32" s="1"/>
  <c r="AV7" i="32" s="1"/>
  <c r="AW7" i="32" s="1"/>
  <c r="AX7" i="32" s="1"/>
  <c r="AY7" i="32" s="1"/>
  <c r="AZ7" i="32" s="1"/>
  <c r="B2" i="32"/>
  <c r="C2" i="32" s="1"/>
  <c r="D2" i="32" s="1"/>
  <c r="E2" i="32" s="1"/>
  <c r="F2" i="32" s="1"/>
  <c r="G2" i="32" s="1"/>
  <c r="H2" i="32" s="1"/>
  <c r="I2" i="32" s="1"/>
  <c r="J2" i="32" s="1"/>
  <c r="K2" i="32" s="1"/>
  <c r="L2" i="32" s="1"/>
  <c r="M2" i="32" s="1"/>
  <c r="N2" i="32" s="1"/>
  <c r="O2" i="32" s="1"/>
  <c r="P2" i="32" s="1"/>
  <c r="Q2" i="32" s="1"/>
  <c r="R2" i="32" s="1"/>
  <c r="S2" i="32" s="1"/>
  <c r="T2" i="32" s="1"/>
  <c r="U2" i="32" s="1"/>
  <c r="V2" i="32" s="1"/>
  <c r="W2" i="32" s="1"/>
  <c r="X2" i="32" s="1"/>
  <c r="Y2" i="32" s="1"/>
  <c r="Z2" i="32" s="1"/>
  <c r="AA2" i="32" s="1"/>
  <c r="AB2" i="32" s="1"/>
  <c r="AC2" i="32" s="1"/>
  <c r="AD2" i="32" s="1"/>
  <c r="AE2" i="32" s="1"/>
  <c r="AF2" i="32" s="1"/>
  <c r="AG2" i="32" s="1"/>
  <c r="AH2" i="32" s="1"/>
  <c r="AI2" i="32" s="1"/>
  <c r="AJ2" i="32" s="1"/>
  <c r="AK2" i="32" s="1"/>
  <c r="AL2" i="32" s="1"/>
  <c r="AM2" i="32" s="1"/>
  <c r="AN2" i="32" s="1"/>
  <c r="AO2" i="32" s="1"/>
  <c r="AP2" i="32" s="1"/>
  <c r="AQ2" i="32" s="1"/>
  <c r="AR2" i="32" s="1"/>
  <c r="AS2" i="32" s="1"/>
  <c r="AT2" i="32" s="1"/>
  <c r="AU2" i="32" s="1"/>
  <c r="AV2" i="32" s="1"/>
  <c r="AW2" i="32" s="1"/>
  <c r="AX2" i="32" s="1"/>
  <c r="AY2" i="32" s="1"/>
  <c r="AZ2" i="32" s="1"/>
  <c r="B8" i="32"/>
  <c r="C8" i="32" s="1"/>
  <c r="D8" i="32" s="1"/>
  <c r="E8" i="32" s="1"/>
  <c r="F8" i="32" s="1"/>
  <c r="G8" i="32" s="1"/>
  <c r="H8" i="32" s="1"/>
  <c r="I8" i="32" s="1"/>
  <c r="J8" i="32" s="1"/>
  <c r="K8" i="32" s="1"/>
  <c r="L8" i="32" s="1"/>
  <c r="M8" i="32" s="1"/>
  <c r="N8" i="32" s="1"/>
  <c r="O8" i="32" s="1"/>
  <c r="P8" i="32" s="1"/>
  <c r="Q8" i="32" s="1"/>
  <c r="R8" i="32" s="1"/>
  <c r="S8" i="32" s="1"/>
  <c r="T8" i="32" s="1"/>
  <c r="U8" i="32" s="1"/>
  <c r="V8" i="32" s="1"/>
  <c r="W8" i="32" s="1"/>
  <c r="X8" i="32" s="1"/>
  <c r="Y8" i="32" s="1"/>
  <c r="Z8" i="32" s="1"/>
  <c r="AA8" i="32" s="1"/>
  <c r="AB8" i="32" s="1"/>
  <c r="AC8" i="32" s="1"/>
  <c r="AD8" i="32" s="1"/>
  <c r="AE8" i="32" s="1"/>
  <c r="AF8" i="32" s="1"/>
  <c r="AG8" i="32" s="1"/>
  <c r="AH8" i="32" s="1"/>
  <c r="AI8" i="32" s="1"/>
  <c r="AJ8" i="32" s="1"/>
  <c r="AK8" i="32" s="1"/>
  <c r="AL8" i="32" s="1"/>
  <c r="AM8" i="32" s="1"/>
  <c r="AN8" i="32" s="1"/>
  <c r="AO8" i="32" s="1"/>
  <c r="AP8" i="32" s="1"/>
  <c r="AQ8" i="32" s="1"/>
  <c r="AR8" i="32" s="1"/>
  <c r="AS8" i="32" s="1"/>
  <c r="AT8" i="32" s="1"/>
  <c r="AU8" i="32" s="1"/>
  <c r="AV8" i="32" s="1"/>
  <c r="AW8" i="32" s="1"/>
  <c r="AX8" i="32" s="1"/>
  <c r="AY8" i="32" s="1"/>
  <c r="AZ8" i="32" s="1"/>
  <c r="B5" i="34"/>
  <c r="C5" i="34" s="1"/>
  <c r="D5" i="34" s="1"/>
  <c r="E5" i="34" s="1"/>
  <c r="F5" i="34" s="1"/>
  <c r="G5" i="34" s="1"/>
  <c r="H5" i="34" s="1"/>
  <c r="I5" i="34" s="1"/>
  <c r="J5" i="34" s="1"/>
  <c r="K5" i="34" s="1"/>
  <c r="L5" i="34" s="1"/>
  <c r="M5" i="34" s="1"/>
  <c r="N5" i="34" s="1"/>
  <c r="O5" i="34" s="1"/>
  <c r="P5" i="34" s="1"/>
  <c r="Q5" i="34" s="1"/>
  <c r="R5" i="34" s="1"/>
  <c r="S5" i="34" s="1"/>
  <c r="T5" i="34" s="1"/>
  <c r="U5" i="34" s="1"/>
  <c r="V5" i="34" s="1"/>
  <c r="W5" i="34" s="1"/>
  <c r="X5" i="34" s="1"/>
  <c r="Y5" i="34" s="1"/>
  <c r="Z5" i="34" s="1"/>
  <c r="AA5" i="34" s="1"/>
  <c r="AB5" i="34" s="1"/>
  <c r="AC5" i="34" s="1"/>
  <c r="AD5" i="34" s="1"/>
  <c r="AE5" i="34" s="1"/>
  <c r="AF5" i="34" s="1"/>
  <c r="AG5" i="34" s="1"/>
  <c r="AH5" i="34" s="1"/>
  <c r="AI5" i="34" s="1"/>
  <c r="AJ5" i="34" s="1"/>
  <c r="AK5" i="34" s="1"/>
  <c r="AL5" i="34" s="1"/>
  <c r="AM5" i="34" s="1"/>
  <c r="AN5" i="34" s="1"/>
  <c r="AO5" i="34" s="1"/>
  <c r="AP5" i="34" s="1"/>
  <c r="AQ5" i="34" s="1"/>
  <c r="AR5" i="34" s="1"/>
  <c r="AS5" i="34" s="1"/>
  <c r="AT5" i="34" s="1"/>
  <c r="AU5" i="34" s="1"/>
  <c r="AV5" i="34" s="1"/>
  <c r="AW5" i="34" s="1"/>
  <c r="AX5" i="34" s="1"/>
  <c r="AY5" i="34" s="1"/>
  <c r="AZ5" i="34" s="1"/>
  <c r="B7" i="34"/>
  <c r="C7" i="34" s="1"/>
  <c r="D7" i="34" s="1"/>
  <c r="E7" i="34" s="1"/>
  <c r="F7" i="34" s="1"/>
  <c r="G7" i="34" s="1"/>
  <c r="H7" i="34" s="1"/>
  <c r="I7" i="34" s="1"/>
  <c r="J7" i="34" s="1"/>
  <c r="K7" i="34" s="1"/>
  <c r="L7" i="34" s="1"/>
  <c r="M7" i="34" s="1"/>
  <c r="N7" i="34" s="1"/>
  <c r="O7" i="34" s="1"/>
  <c r="P7" i="34" s="1"/>
  <c r="Q7" i="34" s="1"/>
  <c r="R7" i="34" s="1"/>
  <c r="S7" i="34" s="1"/>
  <c r="T7" i="34" s="1"/>
  <c r="U7" i="34" s="1"/>
  <c r="V7" i="34" s="1"/>
  <c r="W7" i="34" s="1"/>
  <c r="X7" i="34" s="1"/>
  <c r="Y7" i="34" s="1"/>
  <c r="Z7" i="34" s="1"/>
  <c r="AA7" i="34" s="1"/>
  <c r="AB7" i="34" s="1"/>
  <c r="AC7" i="34" s="1"/>
  <c r="AD7" i="34" s="1"/>
  <c r="AE7" i="34" s="1"/>
  <c r="AF7" i="34" s="1"/>
  <c r="AG7" i="34" s="1"/>
  <c r="AH7" i="34" s="1"/>
  <c r="AI7" i="34" s="1"/>
  <c r="AJ7" i="34" s="1"/>
  <c r="AK7" i="34" s="1"/>
  <c r="AL7" i="34" s="1"/>
  <c r="AM7" i="34" s="1"/>
  <c r="AN7" i="34" s="1"/>
  <c r="AO7" i="34" s="1"/>
  <c r="AP7" i="34" s="1"/>
  <c r="AQ7" i="34" s="1"/>
  <c r="AR7" i="34" s="1"/>
  <c r="AS7" i="34" s="1"/>
  <c r="AT7" i="34" s="1"/>
  <c r="AU7" i="34" s="1"/>
  <c r="AV7" i="34" s="1"/>
  <c r="AW7" i="34" s="1"/>
  <c r="AX7" i="34" s="1"/>
  <c r="AY7" i="34" s="1"/>
  <c r="AZ7" i="34" s="1"/>
  <c r="C6" i="44"/>
  <c r="L6" i="44"/>
  <c r="C11" i="44" s="1"/>
  <c r="C12" i="44" s="1"/>
  <c r="D6" i="44"/>
  <c r="J6" i="44"/>
  <c r="S5" i="37"/>
  <c r="AF5" i="39"/>
  <c r="D5" i="37"/>
  <c r="Z5" i="37"/>
  <c r="X5" i="39"/>
  <c r="Z5" i="39"/>
  <c r="C2" i="37"/>
  <c r="D2" i="37" s="1"/>
  <c r="E2" i="37" s="1"/>
  <c r="F2" i="37" s="1"/>
  <c r="G5" i="37"/>
  <c r="F5" i="39"/>
  <c r="J5" i="39"/>
  <c r="V5" i="37"/>
  <c r="N5" i="39"/>
  <c r="R5" i="39"/>
  <c r="G5" i="41"/>
  <c r="P5" i="41"/>
  <c r="Y5" i="41"/>
  <c r="I4" i="42"/>
  <c r="D5" i="38"/>
  <c r="N5" i="38"/>
  <c r="X5" i="38"/>
  <c r="H5" i="41"/>
  <c r="Q5" i="41"/>
  <c r="AA5" i="41"/>
  <c r="L4" i="42"/>
  <c r="D4" i="42"/>
  <c r="M5" i="38"/>
  <c r="W5" i="38"/>
  <c r="E5" i="38"/>
  <c r="O5" i="38"/>
  <c r="Y5" i="38"/>
  <c r="I5" i="41"/>
  <c r="S5" i="41"/>
  <c r="AB5" i="41"/>
  <c r="Q4" i="42"/>
  <c r="F5" i="38"/>
  <c r="AB5" i="38"/>
  <c r="K5" i="41"/>
  <c r="T5" i="41"/>
  <c r="AC5" i="41"/>
  <c r="T4" i="42"/>
  <c r="Q5" i="38"/>
  <c r="C5" i="41"/>
  <c r="AI5" i="41" s="1"/>
  <c r="L5" i="41"/>
  <c r="AU5" i="41" s="1"/>
  <c r="U5" i="41"/>
  <c r="AD5" i="41"/>
  <c r="Y4" i="42"/>
  <c r="P5" i="38"/>
  <c r="C2" i="36"/>
  <c r="D2" i="36" s="1"/>
  <c r="E2" i="36" s="1"/>
  <c r="F2" i="36" s="1"/>
  <c r="G2" i="36" s="1"/>
  <c r="H2" i="36" s="1"/>
  <c r="I2" i="36" s="1"/>
  <c r="J2" i="36" s="1"/>
  <c r="K2" i="36" s="1"/>
  <c r="L2" i="36" s="1"/>
  <c r="M2" i="36" s="1"/>
  <c r="N2" i="36" s="1"/>
  <c r="O2" i="36" s="1"/>
  <c r="P2" i="36" s="1"/>
  <c r="Q2" i="36" s="1"/>
  <c r="R2" i="36" s="1"/>
  <c r="S2" i="36" s="1"/>
  <c r="T2" i="36" s="1"/>
  <c r="U2" i="36" s="1"/>
  <c r="V2" i="36" s="1"/>
  <c r="W2" i="36" s="1"/>
  <c r="X2" i="36" s="1"/>
  <c r="Y2" i="36" s="1"/>
  <c r="Z2" i="36" s="1"/>
  <c r="AA2" i="36" s="1"/>
  <c r="AB2" i="36" s="1"/>
  <c r="AC2" i="36" s="1"/>
  <c r="AD2" i="36" s="1"/>
  <c r="AE2" i="36" s="1"/>
  <c r="AF2" i="36" s="1"/>
  <c r="G5" i="38"/>
  <c r="AC5" i="38"/>
  <c r="H5" i="38"/>
  <c r="T5" i="38"/>
  <c r="AD5" i="38"/>
  <c r="D5" i="41"/>
  <c r="M5" i="41"/>
  <c r="V5" i="41"/>
  <c r="AE5" i="41"/>
  <c r="AB4" i="42"/>
  <c r="AY5" i="41"/>
  <c r="AR5" i="41"/>
  <c r="AN5" i="41"/>
  <c r="E6" i="44"/>
  <c r="H6" i="44"/>
  <c r="B6" i="44"/>
  <c r="G6" i="44"/>
  <c r="N6" i="44"/>
  <c r="E11" i="44" s="1"/>
  <c r="F6" i="44"/>
  <c r="M6" i="44"/>
  <c r="D11" i="44" s="1"/>
  <c r="D12" i="44" s="1"/>
  <c r="F2" i="39"/>
  <c r="G2" i="39" s="1"/>
  <c r="H2" i="39" s="1"/>
  <c r="I2" i="39" s="1"/>
  <c r="J2" i="39" s="1"/>
  <c r="K2" i="39" s="1"/>
  <c r="L2" i="39" s="1"/>
  <c r="M2" i="39" s="1"/>
  <c r="N2" i="39" s="1"/>
  <c r="O2" i="39" s="1"/>
  <c r="P2" i="39" s="1"/>
  <c r="Q2" i="39" s="1"/>
  <c r="R2" i="39" s="1"/>
  <c r="S2" i="39" s="1"/>
  <c r="T2" i="39" s="1"/>
  <c r="U2" i="39" s="1"/>
  <c r="V2" i="39" s="1"/>
  <c r="W2" i="39" s="1"/>
  <c r="X2" i="39" s="1"/>
  <c r="Y2" i="39" s="1"/>
  <c r="Z2" i="39" s="1"/>
  <c r="AA2" i="39" s="1"/>
  <c r="AB2" i="39" s="1"/>
  <c r="AC2" i="39" s="1"/>
  <c r="AD2" i="39" s="1"/>
  <c r="AE2" i="39" s="1"/>
  <c r="AF2" i="39" s="1"/>
  <c r="Y5" i="37"/>
  <c r="Q5" i="37"/>
  <c r="I5" i="37"/>
  <c r="AF5" i="37"/>
  <c r="X5" i="37"/>
  <c r="P5" i="37"/>
  <c r="H5" i="37"/>
  <c r="AE5" i="37"/>
  <c r="U5" i="37"/>
  <c r="K5" i="37"/>
  <c r="AD5" i="37"/>
  <c r="T5" i="37"/>
  <c r="J5" i="37"/>
  <c r="AB5" i="37"/>
  <c r="R5" i="37"/>
  <c r="F5" i="37"/>
  <c r="AA5" i="37"/>
  <c r="O5" i="37"/>
  <c r="E5" i="37"/>
  <c r="N5" i="37"/>
  <c r="M5" i="37"/>
  <c r="L5" i="37"/>
  <c r="AC5" i="37"/>
  <c r="C5" i="37"/>
  <c r="AE5" i="36"/>
  <c r="W5" i="36"/>
  <c r="O5" i="36"/>
  <c r="G5" i="36"/>
  <c r="AN5" i="36" s="1"/>
  <c r="AD5" i="36"/>
  <c r="V5" i="36"/>
  <c r="N5" i="36"/>
  <c r="F5" i="36"/>
  <c r="AB5" i="36"/>
  <c r="R5" i="36"/>
  <c r="H5" i="36"/>
  <c r="AA5" i="36"/>
  <c r="Q5" i="36"/>
  <c r="AO5" i="36" s="1"/>
  <c r="E5" i="36"/>
  <c r="Y5" i="36"/>
  <c r="M5" i="36"/>
  <c r="C5" i="36"/>
  <c r="AX5" i="36" s="1"/>
  <c r="T5" i="36"/>
  <c r="C2" i="38"/>
  <c r="D2" i="38" s="1"/>
  <c r="E2" i="38" s="1"/>
  <c r="F2" i="38" s="1"/>
  <c r="G2" i="38" s="1"/>
  <c r="H2" i="38" s="1"/>
  <c r="I2" i="38" s="1"/>
  <c r="J2" i="38" s="1"/>
  <c r="K2" i="38" s="1"/>
  <c r="L2" i="38" s="1"/>
  <c r="M2" i="38" s="1"/>
  <c r="N2" i="38" s="1"/>
  <c r="O2" i="38" s="1"/>
  <c r="P2" i="38" s="1"/>
  <c r="Q2" i="38" s="1"/>
  <c r="R2" i="38" s="1"/>
  <c r="S2" i="38" s="1"/>
  <c r="T2" i="38" s="1"/>
  <c r="U2" i="38" s="1"/>
  <c r="V2" i="38" s="1"/>
  <c r="W2" i="38" s="1"/>
  <c r="X2" i="38" s="1"/>
  <c r="Y2" i="38" s="1"/>
  <c r="Z2" i="38" s="1"/>
  <c r="AA2" i="38" s="1"/>
  <c r="AB2" i="38" s="1"/>
  <c r="AC2" i="38" s="1"/>
  <c r="AD2" i="38" s="1"/>
  <c r="AE2" i="38" s="1"/>
  <c r="AF2" i="38" s="1"/>
  <c r="K5" i="39"/>
  <c r="AC5" i="39"/>
  <c r="U5" i="39"/>
  <c r="M5" i="39"/>
  <c r="E5" i="39"/>
  <c r="AB5" i="39"/>
  <c r="T5" i="39"/>
  <c r="L5" i="39"/>
  <c r="D5" i="39"/>
  <c r="AE5" i="39"/>
  <c r="W5" i="39"/>
  <c r="O5" i="39"/>
  <c r="G5" i="39"/>
  <c r="P5" i="39"/>
  <c r="AA5" i="39"/>
  <c r="C5" i="39"/>
  <c r="Q5" i="39"/>
  <c r="AD5" i="39"/>
  <c r="H5" i="39"/>
  <c r="S5" i="39"/>
  <c r="I5" i="39"/>
  <c r="V5" i="39"/>
  <c r="AV5" i="40"/>
  <c r="AQ5" i="40"/>
  <c r="H4" i="42"/>
  <c r="P4" i="42"/>
  <c r="X4" i="42"/>
  <c r="AL4" i="42" s="1"/>
  <c r="AF4" i="42"/>
  <c r="J4" i="42"/>
  <c r="R4" i="42"/>
  <c r="Z4" i="42"/>
  <c r="C4" i="42"/>
  <c r="AM4" i="42" s="1"/>
  <c r="K4" i="42"/>
  <c r="S4" i="42"/>
  <c r="AA4" i="42"/>
  <c r="J5" i="38"/>
  <c r="AH5" i="38" s="1"/>
  <c r="R5" i="38"/>
  <c r="Z5" i="38"/>
  <c r="E4" i="42"/>
  <c r="M4" i="42"/>
  <c r="U4" i="42"/>
  <c r="AC4" i="42"/>
  <c r="C5" i="38"/>
  <c r="AM5" i="38" s="1"/>
  <c r="K5" i="38"/>
  <c r="S5" i="38"/>
  <c r="J5" i="41"/>
  <c r="AK5" i="41" s="1"/>
  <c r="R5" i="41"/>
  <c r="F4" i="42"/>
  <c r="AW4" i="42" s="1"/>
  <c r="N4" i="42"/>
  <c r="V4" i="42"/>
  <c r="AD4" i="42"/>
  <c r="G4" i="42"/>
  <c r="O4" i="42"/>
  <c r="W4" i="42"/>
  <c r="AX4" i="42" l="1"/>
  <c r="AH4" i="42"/>
  <c r="AI4" i="42"/>
  <c r="AK4" i="42"/>
  <c r="AT4" i="42"/>
  <c r="AQ4" i="42"/>
  <c r="AS4" i="42"/>
  <c r="AP4" i="42"/>
  <c r="AN4" i="42"/>
  <c r="AY4" i="42"/>
  <c r="AG4" i="42"/>
  <c r="AV4" i="42"/>
  <c r="AU4" i="42"/>
  <c r="AZ4" i="42"/>
  <c r="AO4" i="42"/>
  <c r="AR4" i="42"/>
  <c r="AJ4" i="42"/>
  <c r="AS5" i="41"/>
  <c r="AJ5" i="41"/>
  <c r="AQ5" i="41"/>
  <c r="AV5" i="41"/>
  <c r="AZ5" i="41"/>
  <c r="AH5" i="41"/>
  <c r="AM5" i="41"/>
  <c r="AP5" i="41"/>
  <c r="AX5" i="41"/>
  <c r="AL5" i="41"/>
  <c r="AG5" i="41"/>
  <c r="AT5" i="41"/>
  <c r="AO5" i="41"/>
  <c r="AW5" i="41"/>
  <c r="AO2" i="40"/>
  <c r="AI2" i="40"/>
  <c r="AX5" i="40"/>
  <c r="AY5" i="40"/>
  <c r="AZ5" i="40"/>
  <c r="AT5" i="40"/>
  <c r="AS5" i="40"/>
  <c r="AW5" i="40"/>
  <c r="AP5" i="40"/>
  <c r="AR5" i="40"/>
  <c r="AU5" i="40"/>
  <c r="AV2" i="39"/>
  <c r="AO2" i="39"/>
  <c r="AW2" i="39"/>
  <c r="AG2" i="39"/>
  <c r="AP2" i="39"/>
  <c r="AX2" i="39"/>
  <c r="AZ2" i="39"/>
  <c r="AI2" i="39"/>
  <c r="AU2" i="39"/>
  <c r="AJ2" i="39"/>
  <c r="AM2" i="39"/>
  <c r="AK2" i="39"/>
  <c r="AN2" i="39"/>
  <c r="AN5" i="38"/>
  <c r="AU5" i="38"/>
  <c r="AX5" i="38"/>
  <c r="AS5" i="38"/>
  <c r="AV5" i="38"/>
  <c r="AL5" i="38"/>
  <c r="AG5" i="38"/>
  <c r="AI5" i="38"/>
  <c r="AK5" i="38"/>
  <c r="AO5" i="38"/>
  <c r="AT5" i="38"/>
  <c r="AR5" i="38"/>
  <c r="AW5" i="38"/>
  <c r="AY5" i="38"/>
  <c r="AZ5" i="38"/>
  <c r="AP5" i="38"/>
  <c r="AJ5" i="38"/>
  <c r="AQ5" i="38"/>
  <c r="AW5" i="36"/>
  <c r="AY5" i="36"/>
  <c r="AV5" i="36"/>
  <c r="AR5" i="36"/>
  <c r="AS5" i="36"/>
  <c r="AZ5" i="36"/>
  <c r="AJ5" i="36"/>
  <c r="AL5" i="36"/>
  <c r="AT5" i="36"/>
  <c r="AI5" i="36"/>
  <c r="AP5" i="36"/>
  <c r="AU5" i="36"/>
  <c r="AG5" i="36"/>
  <c r="AQ5" i="36"/>
  <c r="AH5" i="36"/>
  <c r="AK5" i="36"/>
  <c r="AM5" i="36"/>
  <c r="C2" i="41"/>
  <c r="D2" i="41" s="1"/>
  <c r="E2" i="41" s="1"/>
  <c r="F2" i="41" s="1"/>
  <c r="G2" i="41" s="1"/>
  <c r="H2" i="41" s="1"/>
  <c r="I2" i="41" s="1"/>
  <c r="J2" i="41" s="1"/>
  <c r="K2" i="41" s="1"/>
  <c r="L2" i="41" s="1"/>
  <c r="M2" i="41" s="1"/>
  <c r="N2" i="41" s="1"/>
  <c r="O2" i="41" s="1"/>
  <c r="P2" i="41" s="1"/>
  <c r="Q2" i="41" s="1"/>
  <c r="R2" i="41" s="1"/>
  <c r="S2" i="41" s="1"/>
  <c r="T2" i="41" s="1"/>
  <c r="U2" i="41" s="1"/>
  <c r="V2" i="41" s="1"/>
  <c r="W2" i="41" s="1"/>
  <c r="X2" i="41" s="1"/>
  <c r="Y2" i="41" s="1"/>
  <c r="Z2" i="41" s="1"/>
  <c r="AA2" i="41" s="1"/>
  <c r="AB2" i="41" s="1"/>
  <c r="AC2" i="41" s="1"/>
  <c r="AD2" i="41" s="1"/>
  <c r="AE2" i="41" s="1"/>
  <c r="AF2" i="41" s="1"/>
  <c r="AR2" i="36"/>
  <c r="AT2" i="36"/>
  <c r="AG2" i="36"/>
  <c r="AN2" i="36"/>
  <c r="AP2" i="36"/>
  <c r="AJ2" i="36"/>
  <c r="AM2" i="36"/>
  <c r="AO2" i="36"/>
  <c r="AZ2" i="36"/>
  <c r="AX2" i="36"/>
  <c r="AH2" i="36"/>
  <c r="AU2" i="36"/>
  <c r="AV2" i="36"/>
  <c r="AY2" i="36"/>
  <c r="AI2" i="36"/>
  <c r="AS2" i="36"/>
  <c r="AW2" i="36"/>
  <c r="AK2" i="36"/>
  <c r="AL2" i="36"/>
  <c r="AQ2" i="36"/>
  <c r="AS5" i="37"/>
  <c r="AX5" i="37"/>
  <c r="AT5" i="37"/>
  <c r="AK5" i="37"/>
  <c r="AI5" i="39"/>
  <c r="AZ5" i="37"/>
  <c r="AQ5" i="39"/>
  <c r="AV5" i="37"/>
  <c r="AP5" i="37"/>
  <c r="AN5" i="37"/>
  <c r="AW5" i="37"/>
  <c r="AK5" i="39"/>
  <c r="AH5" i="37"/>
  <c r="AI5" i="37"/>
  <c r="AY5" i="39"/>
  <c r="AM5" i="37"/>
  <c r="AQ5" i="37"/>
  <c r="AH5" i="39"/>
  <c r="AU5" i="37"/>
  <c r="AY5" i="37"/>
  <c r="AP5" i="39"/>
  <c r="AS5" i="39"/>
  <c r="AT5" i="39"/>
  <c r="AX5" i="39"/>
  <c r="AV5" i="39"/>
  <c r="AJ5" i="39"/>
  <c r="AO5" i="39"/>
  <c r="AG5" i="37"/>
  <c r="AJ5" i="37"/>
  <c r="AG5" i="39"/>
  <c r="AL5" i="39"/>
  <c r="AN5" i="39"/>
  <c r="AR5" i="39"/>
  <c r="AO5" i="37"/>
  <c r="AR5" i="37"/>
  <c r="AL5" i="37"/>
  <c r="AM5" i="39"/>
  <c r="AU5" i="39"/>
  <c r="AW5" i="39"/>
  <c r="AZ5" i="39"/>
  <c r="AS2" i="38"/>
  <c r="AU2" i="38"/>
  <c r="AH2" i="38"/>
  <c r="AY2" i="41"/>
  <c r="AV2" i="41"/>
  <c r="AO2" i="38"/>
  <c r="AI2" i="38"/>
  <c r="AX2" i="38"/>
  <c r="AJ2" i="38"/>
  <c r="AR2" i="38"/>
  <c r="AM2" i="38"/>
  <c r="AY2" i="38"/>
  <c r="AL2" i="41"/>
  <c r="AZ2" i="38"/>
  <c r="E12" i="44"/>
  <c r="AW12" i="44" s="1"/>
  <c r="F11" i="44"/>
  <c r="G11" i="44" s="1"/>
  <c r="H11" i="44" s="1"/>
  <c r="I11" i="44" s="1"/>
  <c r="J11" i="44" s="1"/>
  <c r="K11" i="44" s="1"/>
  <c r="L11" i="44" s="1"/>
  <c r="M11" i="44" s="1"/>
  <c r="N11" i="44" s="1"/>
  <c r="O11" i="44" s="1"/>
  <c r="P11" i="44" s="1"/>
  <c r="Q11" i="44" s="1"/>
  <c r="R11" i="44" s="1"/>
  <c r="S11" i="44" s="1"/>
  <c r="T11" i="44" s="1"/>
  <c r="U11" i="44" s="1"/>
  <c r="V11" i="44" s="1"/>
  <c r="W11" i="44" s="1"/>
  <c r="X11" i="44" s="1"/>
  <c r="Y11" i="44" s="1"/>
  <c r="Z11" i="44" s="1"/>
  <c r="AA11" i="44" s="1"/>
  <c r="AB11" i="44" s="1"/>
  <c r="AC11" i="44" s="1"/>
  <c r="AD11" i="44" s="1"/>
  <c r="AE11" i="44" s="1"/>
  <c r="AF11" i="44" s="1"/>
  <c r="AG11" i="44" s="1"/>
  <c r="AH11" i="44" s="1"/>
  <c r="AI11" i="44" s="1"/>
  <c r="AJ11" i="44" s="1"/>
  <c r="AK11" i="44" s="1"/>
  <c r="AL11" i="44" s="1"/>
  <c r="AM11" i="44" s="1"/>
  <c r="AN11" i="44" s="1"/>
  <c r="AO11" i="44" s="1"/>
  <c r="AP11" i="44" s="1"/>
  <c r="AQ11" i="44" s="1"/>
  <c r="AR11" i="44" s="1"/>
  <c r="AS11" i="44" s="1"/>
  <c r="AT11" i="44" s="1"/>
  <c r="AU11" i="44" s="1"/>
  <c r="AV11" i="44" s="1"/>
  <c r="AW11" i="44" s="1"/>
  <c r="AX11" i="44" s="1"/>
  <c r="AY11" i="44" s="1"/>
  <c r="AZ11" i="44" s="1"/>
  <c r="G2" i="37"/>
  <c r="AL2" i="38"/>
  <c r="AW2" i="38"/>
  <c r="AQ2" i="38"/>
  <c r="AT2" i="38"/>
  <c r="AP2" i="38"/>
  <c r="AN2" i="38"/>
  <c r="AK2" i="38"/>
  <c r="AG2" i="38"/>
  <c r="AV2" i="38"/>
  <c r="AS2" i="39"/>
  <c r="AQ2" i="39"/>
  <c r="AR2" i="39"/>
  <c r="AH2" i="39"/>
  <c r="AY2" i="39"/>
  <c r="AL2" i="39"/>
  <c r="AT2" i="39"/>
  <c r="AU2" i="40"/>
  <c r="AX2" i="40"/>
  <c r="AV2" i="40"/>
  <c r="AQ2" i="40"/>
  <c r="AS2" i="40"/>
  <c r="AY2" i="40"/>
  <c r="AW2" i="40"/>
  <c r="AT2" i="40"/>
  <c r="AR2" i="40"/>
  <c r="AP2" i="40"/>
  <c r="AZ2" i="40"/>
  <c r="AS2" i="41"/>
  <c r="AT2" i="41"/>
  <c r="AH2" i="41"/>
  <c r="AM2" i="41"/>
  <c r="AR2" i="41"/>
  <c r="AP2" i="41"/>
  <c r="AU2" i="41"/>
  <c r="AG2" i="41"/>
  <c r="AX2" i="41"/>
  <c r="AD2" i="42"/>
  <c r="V2" i="42"/>
  <c r="N2" i="42"/>
  <c r="F2" i="42"/>
  <c r="AC2" i="42"/>
  <c r="U2" i="42"/>
  <c r="M2" i="42"/>
  <c r="E2" i="42"/>
  <c r="AK2" i="42" s="1"/>
  <c r="AB2" i="42"/>
  <c r="T2" i="42"/>
  <c r="L2" i="42"/>
  <c r="D2" i="42"/>
  <c r="Z2" i="42"/>
  <c r="R2" i="42"/>
  <c r="J2" i="42"/>
  <c r="Y2" i="42"/>
  <c r="Q2" i="42"/>
  <c r="I2" i="42"/>
  <c r="AE2" i="42"/>
  <c r="W2" i="42"/>
  <c r="O2" i="42"/>
  <c r="G2" i="42"/>
  <c r="AA2" i="42"/>
  <c r="X2" i="42"/>
  <c r="S2" i="42"/>
  <c r="K2" i="42"/>
  <c r="H2" i="42"/>
  <c r="AF2" i="42"/>
  <c r="C2" i="42"/>
  <c r="P2" i="42"/>
  <c r="AP4" i="40"/>
  <c r="AP2" i="42" l="1"/>
  <c r="AN2" i="42"/>
  <c r="AH2" i="42"/>
  <c r="AG2" i="42"/>
  <c r="AZ2" i="42"/>
  <c r="AU2" i="42"/>
  <c r="AM2" i="42"/>
  <c r="AT2" i="42"/>
  <c r="AX2" i="42"/>
  <c r="AY2" i="42"/>
  <c r="AO2" i="42"/>
  <c r="AL2" i="42"/>
  <c r="AW2" i="42"/>
  <c r="AS2" i="42"/>
  <c r="AV2" i="42"/>
  <c r="AJ2" i="42"/>
  <c r="AR2" i="42"/>
  <c r="AI2" i="42"/>
  <c r="AQ2" i="42"/>
  <c r="AW2" i="41"/>
  <c r="AJ2" i="41"/>
  <c r="AQ2" i="41"/>
  <c r="AZ2" i="41"/>
  <c r="AO2" i="41"/>
  <c r="AN2" i="41"/>
  <c r="AI2" i="41"/>
  <c r="AK2" i="41"/>
  <c r="AT4" i="40"/>
  <c r="AS4" i="40"/>
  <c r="AW4" i="40"/>
  <c r="AV4" i="40"/>
  <c r="AX4" i="40"/>
  <c r="AY4" i="40"/>
  <c r="AQ4" i="40"/>
  <c r="AZ4" i="40"/>
  <c r="AU4" i="40"/>
  <c r="AR4" i="40"/>
  <c r="Q12" i="44"/>
  <c r="N12" i="44"/>
  <c r="U12" i="44"/>
  <c r="AY12" i="44"/>
  <c r="J12" i="44"/>
  <c r="G12" i="44"/>
  <c r="AU12" i="44"/>
  <c r="AN12" i="44"/>
  <c r="M12" i="44"/>
  <c r="AQ12" i="44"/>
  <c r="R12" i="44"/>
  <c r="AG12" i="44"/>
  <c r="AD12" i="44"/>
  <c r="W12" i="44"/>
  <c r="AZ12" i="44"/>
  <c r="AI12" i="44"/>
  <c r="Z12" i="44"/>
  <c r="P12" i="44"/>
  <c r="I12" i="44"/>
  <c r="AH12" i="44"/>
  <c r="AR12" i="44"/>
  <c r="AA12" i="44"/>
  <c r="AF12" i="44"/>
  <c r="AT12" i="44"/>
  <c r="AM12" i="44"/>
  <c r="F12" i="44"/>
  <c r="AJ12" i="44"/>
  <c r="S12" i="44"/>
  <c r="O12" i="44"/>
  <c r="Y12" i="44"/>
  <c r="V12" i="44"/>
  <c r="AS12" i="44"/>
  <c r="AB12" i="44"/>
  <c r="K12" i="44"/>
  <c r="AO12" i="44"/>
  <c r="H12" i="44"/>
  <c r="AV12" i="44"/>
  <c r="AK12" i="44"/>
  <c r="T12" i="44"/>
  <c r="AX12" i="44"/>
  <c r="X12" i="44"/>
  <c r="AL12" i="44"/>
  <c r="AE12" i="44"/>
  <c r="AC12" i="44"/>
  <c r="L12" i="44"/>
  <c r="AP12" i="44"/>
  <c r="H2" i="37"/>
  <c r="I8" i="37"/>
  <c r="I8" i="39"/>
  <c r="P8" i="37"/>
  <c r="P8" i="39"/>
  <c r="T8" i="37"/>
  <c r="T8" i="39"/>
  <c r="E8" i="37"/>
  <c r="E8" i="39"/>
  <c r="AB8" i="37"/>
  <c r="AB8" i="39"/>
  <c r="AD8" i="37"/>
  <c r="AD8" i="39"/>
  <c r="F8" i="37"/>
  <c r="F8" i="39"/>
  <c r="M8" i="37"/>
  <c r="M8" i="39"/>
  <c r="S8" i="39"/>
  <c r="S8" i="37"/>
  <c r="D8" i="37"/>
  <c r="D8" i="39"/>
  <c r="AC8" i="37"/>
  <c r="AC8" i="39"/>
  <c r="I2" i="37" l="1"/>
  <c r="AA8" i="37"/>
  <c r="AA8" i="39"/>
  <c r="U8" i="37"/>
  <c r="U8" i="39"/>
  <c r="X8" i="37"/>
  <c r="X8" i="39"/>
  <c r="AF8" i="37"/>
  <c r="AF8" i="39"/>
  <c r="AE8" i="39"/>
  <c r="AE8" i="37"/>
  <c r="Y8" i="37"/>
  <c r="Y8" i="39"/>
  <c r="W8" i="39"/>
  <c r="W8" i="37"/>
  <c r="C8" i="37"/>
  <c r="C8" i="39"/>
  <c r="Z8" i="39"/>
  <c r="Z8" i="37"/>
  <c r="R8" i="39"/>
  <c r="R8" i="37"/>
  <c r="V8" i="37"/>
  <c r="V8" i="39"/>
  <c r="G8" i="39"/>
  <c r="G8" i="37"/>
  <c r="H8" i="37"/>
  <c r="H8" i="39"/>
  <c r="J8" i="39"/>
  <c r="J8" i="37"/>
  <c r="O8" i="37"/>
  <c r="O8" i="39"/>
  <c r="N8" i="37"/>
  <c r="N8" i="39"/>
  <c r="L8" i="39"/>
  <c r="L8" i="37"/>
  <c r="K8" i="37"/>
  <c r="K8" i="39"/>
  <c r="Q8" i="37"/>
  <c r="Q8" i="39"/>
  <c r="AY8" i="39" l="1"/>
  <c r="AQ8" i="39"/>
  <c r="AI8" i="39"/>
  <c r="AX8" i="39"/>
  <c r="AP8" i="39"/>
  <c r="AH8" i="39"/>
  <c r="AW8" i="39"/>
  <c r="AO8" i="39"/>
  <c r="AG8" i="39"/>
  <c r="AV8" i="39"/>
  <c r="AN8" i="39"/>
  <c r="AU8" i="39"/>
  <c r="AM8" i="39"/>
  <c r="AT8" i="39"/>
  <c r="AL8" i="39"/>
  <c r="AS8" i="39"/>
  <c r="AK8" i="39"/>
  <c r="AZ8" i="39"/>
  <c r="AR8" i="39"/>
  <c r="AJ8" i="39"/>
  <c r="AY8" i="37"/>
  <c r="AQ8" i="37"/>
  <c r="AI8" i="37"/>
  <c r="AX8" i="37"/>
  <c r="AP8" i="37"/>
  <c r="AH8" i="37"/>
  <c r="AW8" i="37"/>
  <c r="AO8" i="37"/>
  <c r="AG8" i="37"/>
  <c r="AV8" i="37"/>
  <c r="AN8" i="37"/>
  <c r="AU8" i="37"/>
  <c r="AM8" i="37"/>
  <c r="AT8" i="37"/>
  <c r="AL8" i="37"/>
  <c r="AS8" i="37"/>
  <c r="AK8" i="37"/>
  <c r="AZ8" i="37"/>
  <c r="AR8" i="37"/>
  <c r="AJ8" i="37"/>
  <c r="J2" i="37"/>
  <c r="K2" i="37" l="1"/>
  <c r="L2" i="37" l="1"/>
  <c r="M2" i="37" l="1"/>
  <c r="C8" i="41"/>
  <c r="C8" i="36"/>
  <c r="C8" i="38"/>
  <c r="E8" i="38"/>
  <c r="E8" i="41"/>
  <c r="E8" i="36"/>
  <c r="F8" i="38"/>
  <c r="F8" i="41"/>
  <c r="F8" i="36"/>
  <c r="H8" i="38"/>
  <c r="H8" i="41"/>
  <c r="H8" i="36"/>
  <c r="G8" i="41"/>
  <c r="G8" i="38"/>
  <c r="G8" i="36"/>
  <c r="D8" i="41"/>
  <c r="D8" i="38"/>
  <c r="D8" i="36"/>
  <c r="I8" i="41" l="1"/>
  <c r="N2" i="37"/>
  <c r="O2" i="37" s="1"/>
  <c r="P2" i="37" s="1"/>
  <c r="Q2" i="37" s="1"/>
  <c r="R2" i="37" s="1"/>
  <c r="S2" i="37" s="1"/>
  <c r="T2" i="37" s="1"/>
  <c r="U2" i="37" s="1"/>
  <c r="V2" i="37" s="1"/>
  <c r="W2" i="37" s="1"/>
  <c r="X2" i="37" s="1"/>
  <c r="Y2" i="37" s="1"/>
  <c r="Z2" i="37" s="1"/>
  <c r="AA2" i="37" s="1"/>
  <c r="AB2" i="37" s="1"/>
  <c r="AC2" i="37" s="1"/>
  <c r="AD2" i="37" s="1"/>
  <c r="AE2" i="37" s="1"/>
  <c r="AF2" i="37" s="1"/>
  <c r="AG2" i="37"/>
  <c r="AH2" i="37"/>
  <c r="AO2" i="37"/>
  <c r="I8" i="38"/>
  <c r="I8" i="36"/>
  <c r="AW2" i="37" l="1"/>
  <c r="AI2" i="37"/>
  <c r="AS2" i="37"/>
  <c r="AX2" i="37"/>
  <c r="AY2" i="37"/>
  <c r="AJ2" i="37"/>
  <c r="AR2" i="37"/>
  <c r="AP2" i="37"/>
  <c r="AM2" i="37"/>
  <c r="AQ2" i="37"/>
  <c r="AN2" i="37"/>
  <c r="AK2" i="37"/>
  <c r="AV2" i="37"/>
  <c r="AZ2" i="37"/>
  <c r="AL2" i="37"/>
  <c r="AT2" i="37"/>
  <c r="AU2" i="37"/>
  <c r="J8" i="36"/>
  <c r="J8" i="41"/>
  <c r="J8" i="38"/>
  <c r="K8" i="41" l="1"/>
  <c r="K8" i="38"/>
  <c r="K8" i="36"/>
  <c r="L8" i="41" l="1"/>
  <c r="L8" i="36"/>
  <c r="L8" i="38"/>
  <c r="M8" i="36" l="1"/>
  <c r="M8" i="41"/>
  <c r="M8" i="38"/>
  <c r="N8" i="38" l="1"/>
  <c r="N8" i="36"/>
  <c r="N8" i="41"/>
  <c r="O8" i="38" l="1"/>
  <c r="O8" i="36"/>
  <c r="O8" i="41"/>
  <c r="P8" i="38" l="1"/>
  <c r="P8" i="41"/>
  <c r="P8" i="36"/>
  <c r="Q8" i="41" l="1"/>
  <c r="Q8" i="38"/>
  <c r="Q8" i="36"/>
  <c r="R8" i="36" l="1"/>
  <c r="R8" i="41"/>
  <c r="R8" i="38"/>
  <c r="S8" i="36" l="1"/>
  <c r="S8" i="41"/>
  <c r="S8" i="38"/>
  <c r="T8" i="38" l="1"/>
  <c r="T8" i="36"/>
  <c r="T8" i="41"/>
  <c r="U8" i="41" l="1"/>
  <c r="U8" i="38"/>
  <c r="U8" i="36"/>
  <c r="V8" i="41" l="1"/>
  <c r="V8" i="38"/>
  <c r="V8" i="36"/>
  <c r="W8" i="41" l="1"/>
  <c r="W8" i="38"/>
  <c r="W8" i="36"/>
  <c r="X8" i="41" l="1"/>
  <c r="X8" i="38"/>
  <c r="X8" i="36"/>
  <c r="Y8" i="41" l="1"/>
  <c r="Y8" i="38"/>
  <c r="Y8" i="36"/>
  <c r="Z8" i="36" l="1"/>
  <c r="Z8" i="41"/>
  <c r="Z8" i="38"/>
  <c r="AA8" i="41" l="1"/>
  <c r="AA8" i="36"/>
  <c r="AA8" i="38"/>
  <c r="AB8" i="41" l="1"/>
  <c r="AB8" i="38"/>
  <c r="AB8" i="36"/>
  <c r="AC8" i="38" l="1"/>
  <c r="AC8" i="36"/>
  <c r="AC8" i="41"/>
  <c r="AD8" i="38" l="1"/>
  <c r="AD8" i="41"/>
  <c r="AD8" i="36"/>
  <c r="AE8" i="38" l="1"/>
  <c r="AE8" i="36"/>
  <c r="AE8" i="41"/>
  <c r="AF8" i="36" l="1"/>
  <c r="AF8" i="41"/>
  <c r="AF8" i="38"/>
  <c r="AL8" i="41" l="1"/>
  <c r="AO8" i="41"/>
  <c r="AY8" i="41"/>
  <c r="AI8" i="41"/>
  <c r="AR8" i="41"/>
  <c r="AJ8" i="41"/>
  <c r="AG8" i="41"/>
  <c r="AS8" i="41"/>
  <c r="AX8" i="41"/>
  <c r="AV8" i="41"/>
  <c r="AT8" i="41"/>
  <c r="AM8" i="41"/>
  <c r="AK8" i="41"/>
  <c r="AZ8" i="41"/>
  <c r="AW8" i="41"/>
  <c r="AQ8" i="41"/>
  <c r="AP8" i="41"/>
  <c r="AN8" i="41"/>
  <c r="AH8" i="41"/>
  <c r="AU8" i="41"/>
  <c r="AT8" i="40"/>
  <c r="AX8" i="40"/>
  <c r="AY8" i="40"/>
  <c r="AU8" i="40"/>
  <c r="AV8" i="40"/>
  <c r="AW8" i="40"/>
  <c r="AZ8" i="40"/>
  <c r="AR8" i="40"/>
  <c r="AS8" i="40"/>
  <c r="AP8" i="40"/>
  <c r="AQ8" i="40"/>
  <c r="AJ8" i="38"/>
  <c r="AU8" i="38"/>
  <c r="AT8" i="38"/>
  <c r="AY8" i="38"/>
  <c r="AG8" i="38"/>
  <c r="AL8" i="38"/>
  <c r="AQ8" i="38"/>
  <c r="AP8" i="38"/>
  <c r="AV8" i="38"/>
  <c r="AK8" i="38"/>
  <c r="AR8" i="38"/>
  <c r="AO8" i="38"/>
  <c r="AI8" i="38"/>
  <c r="AZ8" i="38"/>
  <c r="AN8" i="38"/>
  <c r="AM8" i="38"/>
  <c r="AX8" i="38"/>
  <c r="AS8" i="38"/>
  <c r="AH8" i="38"/>
  <c r="AW8" i="38"/>
  <c r="AP8" i="36"/>
  <c r="AK8" i="36"/>
  <c r="AH8" i="36"/>
  <c r="AX8" i="36"/>
  <c r="AL8" i="36"/>
  <c r="AY8" i="36"/>
  <c r="AI8" i="36"/>
  <c r="AW8" i="36"/>
  <c r="AO8" i="36"/>
  <c r="AT8" i="36"/>
  <c r="AN8" i="36"/>
  <c r="AR8" i="36"/>
  <c r="AS8" i="36"/>
  <c r="AG8" i="36"/>
  <c r="AM8" i="36"/>
  <c r="AQ8" i="36"/>
  <c r="AZ8" i="36"/>
  <c r="AV8" i="36"/>
  <c r="AU8" i="36"/>
  <c r="AJ8" i="36"/>
</calcChain>
</file>

<file path=xl/sharedStrings.xml><?xml version="1.0" encoding="utf-8"?>
<sst xmlns="http://schemas.openxmlformats.org/spreadsheetml/2006/main" count="294" uniqueCount="83">
  <si>
    <t>BNVP BAU New Vehicle Price</t>
  </si>
  <si>
    <t>World Bank</t>
  </si>
  <si>
    <t>Currency Year</t>
  </si>
  <si>
    <t>The figures from the Center for Automotive Research come from a 2010 Automotive Yearbook</t>
  </si>
  <si>
    <t>and therefore are likely in 2010 dollars.</t>
  </si>
  <si>
    <t>The figures from TruckerToTrucker were collected in early 2015 and therefore use 2015</t>
  </si>
  <si>
    <t>2014 to 2012, for TruckerToTrucker</t>
  </si>
  <si>
    <t>dollars, but because we don't have a 2015 annual CPI-U figure available yet, we use 2014.</t>
  </si>
  <si>
    <t>2013 to 2012, for American Public Transit Association</t>
  </si>
  <si>
    <t>2013 to 2012</t>
  </si>
  <si>
    <t>2016 to 2012</t>
  </si>
  <si>
    <t>2017 to 2012</t>
  </si>
  <si>
    <t>2018 to 2012</t>
  </si>
  <si>
    <t>2019 to 2012</t>
  </si>
  <si>
    <t>2020 to 2012</t>
  </si>
  <si>
    <t>2021 to 2012</t>
  </si>
  <si>
    <t>See "cpi.xlsx" in the InputData folder for source information.</t>
  </si>
  <si>
    <t>Year</t>
  </si>
  <si>
    <t>Price ($/vehicle)</t>
  </si>
  <si>
    <t>battery electric vehicle</t>
  </si>
  <si>
    <t>natural gas vehicle</t>
  </si>
  <si>
    <t>gasoline vehicle</t>
  </si>
  <si>
    <t>diesel vehicle</t>
  </si>
  <si>
    <t>plugin hybrid vehicle</t>
  </si>
  <si>
    <t>LPG vehicle</t>
  </si>
  <si>
    <t>hydrogen vehicle</t>
  </si>
  <si>
    <t>Average new car price (million Rupiah)</t>
  </si>
  <si>
    <t>Average new car price (USD)</t>
  </si>
  <si>
    <t>Million Rupiah to Rupiah</t>
  </si>
  <si>
    <t>https://www.exchangerates.org.uk/USD-IDR-spot-exchange-rates-history-2019.html</t>
  </si>
  <si>
    <t>1 USD to Rupiah (2019)</t>
  </si>
  <si>
    <t>1 Rupiah to USD (2019)</t>
  </si>
  <si>
    <t>Percentage increase overtime</t>
  </si>
  <si>
    <t>BNVP-LDVs-psgr</t>
  </si>
  <si>
    <t>BNVP-LDVs-frgt</t>
  </si>
  <si>
    <t>US New Vehicle Price</t>
  </si>
  <si>
    <t>BNVP-HDVs-psgr</t>
  </si>
  <si>
    <t>BNVP-HDVs-frgt</t>
  </si>
  <si>
    <t>BNVP-aircraft-psgr</t>
  </si>
  <si>
    <t>BNVP-rail-psgr</t>
  </si>
  <si>
    <t>BNVP-aircraft-frgt</t>
  </si>
  <si>
    <t>BNVP-rail-frgt</t>
  </si>
  <si>
    <t>BNVP-ships-psgr</t>
  </si>
  <si>
    <t>BNVP-ships-frgt</t>
  </si>
  <si>
    <t>BNVP-motorbikes-psgr</t>
  </si>
  <si>
    <t>BNVP-motorbikes-frgt</t>
  </si>
  <si>
    <t>CAGR-LDVs-psgr</t>
  </si>
  <si>
    <t>CAGR-HDVs-psgr</t>
  </si>
  <si>
    <t>Compound Annual Growth Rate</t>
  </si>
  <si>
    <t>Series Name</t>
  </si>
  <si>
    <t>Series Code</t>
  </si>
  <si>
    <t>Country Name</t>
  </si>
  <si>
    <t>Country Code</t>
  </si>
  <si>
    <t>United States</t>
  </si>
  <si>
    <t>USA</t>
  </si>
  <si>
    <t>Indonesia</t>
  </si>
  <si>
    <t>IDN</t>
  </si>
  <si>
    <t>Average GDP per capita</t>
  </si>
  <si>
    <t>Final consumption expenditure (constant 2015 US$)</t>
  </si>
  <si>
    <t>NE.CON.TOTL.KD</t>
  </si>
  <si>
    <t>Ratio (FCE IDN/FCE USA)</t>
  </si>
  <si>
    <t>Final consumption expenditure (FCE) (constant 2015 US$) - USA</t>
  </si>
  <si>
    <t>Final consumption expenditure (FCE) (constant 2015 US$) - IDN</t>
  </si>
  <si>
    <t>Import tariff (CBU vehicles)</t>
  </si>
  <si>
    <t>VAT (PPN)</t>
  </si>
  <si>
    <t>Luxury goods tax (PPnBM)</t>
  </si>
  <si>
    <t>Dealer margin &amp; logistics</t>
  </si>
  <si>
    <t>Source:</t>
  </si>
  <si>
    <t>https://www.globalfleet.com/en/taxation-and-legislation/asia-pacific/analysis/tax-turbulence-guiding-fleets-through-indonesias-vat-storm?a=YHE11&amp;t%5B0%5D=Indonesia&amp;t%5B1%5D=Taxation&amp;curl=1</t>
  </si>
  <si>
    <t>https://www.mordorintelligence.com/industry-reports/indonesia-freight-logistics-market</t>
  </si>
  <si>
    <t>Mordor Intellligence</t>
  </si>
  <si>
    <t>Global Fleet</t>
  </si>
  <si>
    <t>https://www.indonesia-investments.com/news/todays-headlines/indonesian-demand-for-imported-cbu-cars-still-strong/item6501?</t>
  </si>
  <si>
    <t>Indonesia - Investments</t>
  </si>
  <si>
    <t>Final Consumption Expenditure</t>
  </si>
  <si>
    <t>2010-2023</t>
  </si>
  <si>
    <t>https://databank.worldbank.org/reports.aspx?source=2&amp;series=NE.CON.TOTL.CD&amp;country=</t>
  </si>
  <si>
    <t>Exchange Rates</t>
  </si>
  <si>
    <t>Adjustment Factor</t>
  </si>
  <si>
    <t>Average new car price (2012 USD) - Percentage Increase</t>
  </si>
  <si>
    <t>Average new car price (2012 USD) - Linear Forecast</t>
  </si>
  <si>
    <t>Note:</t>
  </si>
  <si>
    <t xml:space="preserve">To estimate the adjusted vehicle price for Indonesia based on a U.S. vehicle price, we compute an adjustment factor that combines two key elements: the FCE-based scaling and a correction factor accounting for country-specific cost components. First, we calculate the ratio of Final Consumption Expenditure (FCE) per capita between Indonesia and the U.S. to reflect differences in purchasing power and spending capacity. This gives a base scaling factor. Then, apply a correction factor to capture additional costs associated with importing vehicles into Indonesia. This correction factor is the sum of typical vehicle-related costs, such as import tariffs on completely built-up (CBU) vehicles, value-added tax (VAT or PPN), luxury goods tax (PPnBM), and dealer margins or logistics fees. For passenger cars, instead of using FCE, we directly estimate the scaling by comparing average Indonesian passenger car prices to U.S. passenger vehicle prices.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</si>
</sst>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8" x14ac:knownFonts="1">
    <font>
      <sz val="11"/>
      <color theme="1"/>
      <name val="Calibri"/>
      <scheme val="minor"/>
    </font>
    <font>
      <b/>
      <sz val="11"/>
      <color theme="1"/>
      <name val="Calibri"/>
      <family val="2"/>
    </font>
    <font>
      <sz val="11"/>
      <color theme="1"/>
      <name val="Calibri"/>
      <family val="2"/>
    </font>
    <font>
      <sz val="11"/>
      <color theme="1"/>
      <name val="Calibri"/>
      <family val="2"/>
    </font>
    <font>
      <sz val="11"/>
      <color theme="1"/>
      <name val="Calibri"/>
      <family val="2"/>
      <scheme val="minor"/>
    </font>
    <font>
      <u/>
      <sz val="11"/>
      <color theme="10"/>
      <name val="Calibri"/>
      <family val="2"/>
      <scheme val="minor"/>
    </font>
    <font>
      <b/>
      <sz val="11"/>
      <color theme="1"/>
      <name val="Calibri"/>
      <family val="2"/>
      <scheme val="minor"/>
    </font>
    <font>
      <b/>
      <sz val="16"/>
      <color rgb="FFFF0000"/>
      <name val="Calibri"/>
      <family val="2"/>
      <scheme val="minor"/>
    </font>
  </fonts>
  <fills count="5">
    <fill>
      <patternFill patternType="none"/>
    </fill>
    <fill>
      <patternFill patternType="gray125"/>
    </fill>
    <fill>
      <patternFill patternType="solid">
        <fgColor rgb="FFDDD9C3"/>
        <bgColor rgb="FFDDD9C3"/>
      </patternFill>
    </fill>
    <fill>
      <patternFill patternType="solid">
        <fgColor rgb="FF92D050"/>
        <bgColor rgb="FF92D050"/>
      </patternFill>
    </fill>
    <fill>
      <patternFill patternType="solid">
        <fgColor theme="2" tint="-0.249977111117893"/>
        <bgColor indexed="64"/>
      </patternFill>
    </fill>
  </fills>
  <borders count="2">
    <border>
      <left/>
      <right/>
      <top/>
      <bottom/>
      <diagonal/>
    </border>
    <border>
      <left/>
      <right/>
      <top/>
      <bottom/>
      <diagonal/>
    </border>
  </borders>
  <cellStyleXfs count="2">
    <xf numFmtId="0" fontId="0" fillId="0" borderId="0"/>
    <xf numFmtId="0" fontId="5" fillId="0" borderId="0" applyNumberFormat="0" applyFill="0" applyBorder="0" applyAlignment="0" applyProtection="0"/>
  </cellStyleXfs>
  <cellXfs count="20">
    <xf numFmtId="0" fontId="0" fillId="0" borderId="0" xfId="0"/>
    <xf numFmtId="0" fontId="1" fillId="0" borderId="0" xfId="0" applyFont="1"/>
    <xf numFmtId="0" fontId="2" fillId="0" borderId="0" xfId="0" applyFont="1"/>
    <xf numFmtId="0" fontId="4" fillId="0" borderId="0" xfId="0" applyFont="1"/>
    <xf numFmtId="164" fontId="3" fillId="0" borderId="0" xfId="0" applyNumberFormat="1" applyFont="1"/>
    <xf numFmtId="1" fontId="3" fillId="2" borderId="1" xfId="0" applyNumberFormat="1" applyFont="1" applyFill="1" applyBorder="1"/>
    <xf numFmtId="1" fontId="3" fillId="0" borderId="0" xfId="0" applyNumberFormat="1" applyFont="1"/>
    <xf numFmtId="1" fontId="3" fillId="3" borderId="1" xfId="0" applyNumberFormat="1" applyFont="1" applyFill="1" applyBorder="1"/>
    <xf numFmtId="1" fontId="2" fillId="0" borderId="0" xfId="0" applyNumberFormat="1" applyFont="1"/>
    <xf numFmtId="0" fontId="6" fillId="0" borderId="0" xfId="0" applyFont="1"/>
    <xf numFmtId="11" fontId="0" fillId="0" borderId="0" xfId="0" applyNumberFormat="1"/>
    <xf numFmtId="0" fontId="5" fillId="0" borderId="0" xfId="1"/>
    <xf numFmtId="0" fontId="7" fillId="0" borderId="0" xfId="0" applyFont="1"/>
    <xf numFmtId="0" fontId="6" fillId="0" borderId="0" xfId="0" applyFont="1" applyAlignment="1">
      <alignment vertical="top" wrapText="1"/>
    </xf>
    <xf numFmtId="49" fontId="0" fillId="0" borderId="0" xfId="0" applyNumberFormat="1"/>
    <xf numFmtId="0" fontId="0" fillId="0" borderId="0" xfId="0" applyAlignment="1">
      <alignment horizontal="left"/>
    </xf>
    <xf numFmtId="0" fontId="4" fillId="0" borderId="0" xfId="0" applyFont="1" applyAlignment="1">
      <alignment horizontal="left"/>
    </xf>
    <xf numFmtId="0" fontId="6" fillId="4" borderId="0" xfId="0" applyFont="1" applyFill="1"/>
    <xf numFmtId="0" fontId="4" fillId="0" borderId="0" xfId="0" applyFont="1" applyAlignment="1">
      <alignment horizontal="left" vertical="top" wrapText="1"/>
    </xf>
    <xf numFmtId="0" fontId="0" fillId="0" borderId="0" xfId="0"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51" Type="http://schemas.openxmlformats.org/officeDocument/2006/relationships/styles" Target="styles.xml"/><Relationship Id="rId3" Type="http://schemas.openxmlformats.org/officeDocument/2006/relationships/worksheet" Target="worksheets/sheet3.xml"/><Relationship Id="rId50"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3"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externalLink" Target="externalLinks/externalLink1.xml"/><Relationship Id="rId49" Type="http://customschemas.google.com/relationships/workbookmetadata" Target="metadata"/><Relationship Id="rId10" Type="http://schemas.openxmlformats.org/officeDocument/2006/relationships/worksheet" Target="worksheets/sheet10.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mdeng/Dropbox%20(Energy%20Innovation)/Documents/Energy%20Policy%20Simulator/California/3.0%20Update/Data%20Sources/trans/BNVP/e3_cn_final_cost_data_supplement_oct20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stants"/>
      <sheetName val="Cover"/>
      <sheetName val="Summary"/>
      <sheetName val="Electricity Decarbonization"/>
      <sheetName val="Industry Elec. - Boilers"/>
      <sheetName val="Industry Elec. - Process Heat"/>
      <sheetName val="Industry CCS - Process Heat"/>
      <sheetName val="Industry Hydrogen &amp; SNG"/>
      <sheetName val="MDV &amp; HDV Decarbonization"/>
      <sheetName val="DAC &amp; BECCS"/>
      <sheetName val="Fuel Costs - PATHWAYS"/>
      <sheetName val="Emission Factors - PATHWAYS"/>
    </sheetNames>
    <sheetDataSet>
      <sheetData sheetId="0">
        <row r="4">
          <cell r="D4">
            <v>3412.14</v>
          </cell>
        </row>
        <row r="7">
          <cell r="D7">
            <v>0.13450999999999999</v>
          </cell>
        </row>
      </sheetData>
      <sheetData sheetId="1"/>
      <sheetData sheetId="2"/>
      <sheetData sheetId="3"/>
      <sheetData sheetId="4"/>
      <sheetData sheetId="5"/>
      <sheetData sheetId="6"/>
      <sheetData sheetId="7">
        <row r="13">
          <cell r="D13">
            <v>10.5</v>
          </cell>
        </row>
      </sheetData>
      <sheetData sheetId="8"/>
      <sheetData sheetId="9"/>
      <sheetData sheetId="10">
        <row r="7">
          <cell r="D7">
            <v>42.766231219576298</v>
          </cell>
        </row>
      </sheetData>
      <sheetData sheetId="11">
        <row r="7">
          <cell r="D7">
            <v>1.7765038912431299</v>
          </cell>
        </row>
      </sheetData>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mordorintelligence.com/industry-reports/indonesia-freight-logistics-market" TargetMode="External"/><Relationship Id="rId2" Type="http://schemas.openxmlformats.org/officeDocument/2006/relationships/hyperlink" Target="https://www.globalfleet.com/en/taxation-and-legislation/asia-pacific/analysis/tax-turbulence-guiding-fleets-through-indonesias-vat-storm?a=YHE11&amp;t%5B0%5D=Indonesia&amp;t%5B1%5D=Taxation&amp;curl=1" TargetMode="External"/><Relationship Id="rId1" Type="http://schemas.openxmlformats.org/officeDocument/2006/relationships/hyperlink" Target="https://www.globalfleet.com/en/taxation-and-legislation/asia-pacific/analysis/tax-turbulence-guiding-fleets-through-indonesias-vat-storm?a=YHE11&amp;t%5B0%5D=Indonesia&amp;t%5B1%5D=Taxation&amp;curl=1" TargetMode="External"/><Relationship Id="rId5" Type="http://schemas.openxmlformats.org/officeDocument/2006/relationships/hyperlink" Target="https://databank.worldbank.org/reports.aspx?source=2&amp;series=NE.CON.TOTL.CD&amp;country=" TargetMode="External"/><Relationship Id="rId4" Type="http://schemas.openxmlformats.org/officeDocument/2006/relationships/hyperlink" Target="https://www.indonesia-investments.com/news/todays-headlines/indonesian-demand-for-imported-cbu-cars-still-strong/item650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867"/>
  <sheetViews>
    <sheetView workbookViewId="0">
      <selection activeCell="D54" sqref="D54"/>
    </sheetView>
  </sheetViews>
  <sheetFormatPr defaultColWidth="14.453125" defaultRowHeight="15" customHeight="1" x14ac:dyDescent="0.35"/>
  <cols>
    <col min="1" max="1" width="8.81640625" customWidth="1"/>
    <col min="2" max="2" width="93" customWidth="1"/>
    <col min="4" max="4" width="59" customWidth="1"/>
    <col min="5" max="5" width="8.81640625" customWidth="1"/>
    <col min="6" max="6" width="44" customWidth="1"/>
    <col min="7" max="26" width="8.81640625" customWidth="1"/>
  </cols>
  <sheetData>
    <row r="1" spans="1:2" ht="14.25" customHeight="1" x14ac:dyDescent="0.35">
      <c r="A1" s="1" t="s">
        <v>0</v>
      </c>
    </row>
    <row r="2" spans="1:2" ht="14.25" customHeight="1" x14ac:dyDescent="0.35"/>
    <row r="3" spans="1:2" ht="14.25" customHeight="1" x14ac:dyDescent="0.35"/>
    <row r="4" spans="1:2" ht="14.25" customHeight="1" x14ac:dyDescent="0.35">
      <c r="A4" s="9" t="s">
        <v>67</v>
      </c>
      <c r="B4" s="17" t="s">
        <v>77</v>
      </c>
    </row>
    <row r="5" spans="1:2" ht="14.25" customHeight="1" x14ac:dyDescent="0.35">
      <c r="A5" s="9"/>
      <c r="B5" s="16">
        <v>2019</v>
      </c>
    </row>
    <row r="6" spans="1:2" ht="14.25" customHeight="1" x14ac:dyDescent="0.35">
      <c r="B6" s="11" t="s">
        <v>29</v>
      </c>
    </row>
    <row r="7" spans="1:2" ht="14.25" customHeight="1" x14ac:dyDescent="0.35"/>
    <row r="8" spans="1:2" ht="14.25" customHeight="1" x14ac:dyDescent="0.35">
      <c r="B8" s="17" t="s">
        <v>73</v>
      </c>
    </row>
    <row r="9" spans="1:2" ht="14.25" customHeight="1" x14ac:dyDescent="0.35">
      <c r="B9" s="3" t="s">
        <v>63</v>
      </c>
    </row>
    <row r="10" spans="1:2" ht="14.25" customHeight="1" x14ac:dyDescent="0.35">
      <c r="B10" s="15">
        <v>2016</v>
      </c>
    </row>
    <row r="11" spans="1:2" ht="14.25" customHeight="1" x14ac:dyDescent="0.35">
      <c r="B11" s="11" t="s">
        <v>72</v>
      </c>
    </row>
    <row r="12" spans="1:2" ht="14.25" customHeight="1" x14ac:dyDescent="0.35"/>
    <row r="13" spans="1:2" ht="14.25" customHeight="1" x14ac:dyDescent="0.35">
      <c r="B13" s="17" t="s">
        <v>71</v>
      </c>
    </row>
    <row r="14" spans="1:2" ht="14.25" customHeight="1" x14ac:dyDescent="0.35">
      <c r="B14" s="3" t="s">
        <v>64</v>
      </c>
    </row>
    <row r="15" spans="1:2" ht="14.25" customHeight="1" x14ac:dyDescent="0.35">
      <c r="B15" s="16">
        <v>2025</v>
      </c>
    </row>
    <row r="16" spans="1:2" ht="14.25" customHeight="1" x14ac:dyDescent="0.35">
      <c r="B16" s="11" t="s">
        <v>68</v>
      </c>
    </row>
    <row r="17" spans="2:2" ht="14.25" customHeight="1" x14ac:dyDescent="0.35">
      <c r="B17" s="15"/>
    </row>
    <row r="18" spans="2:2" ht="14.25" customHeight="1" x14ac:dyDescent="0.35">
      <c r="B18" s="17" t="s">
        <v>71</v>
      </c>
    </row>
    <row r="19" spans="2:2" ht="14.25" customHeight="1" x14ac:dyDescent="0.35">
      <c r="B19" s="3" t="s">
        <v>65</v>
      </c>
    </row>
    <row r="20" spans="2:2" ht="14.25" customHeight="1" x14ac:dyDescent="0.35">
      <c r="B20" s="16">
        <v>2025</v>
      </c>
    </row>
    <row r="21" spans="2:2" ht="14.25" customHeight="1" x14ac:dyDescent="0.35">
      <c r="B21" s="11" t="s">
        <v>68</v>
      </c>
    </row>
    <row r="22" spans="2:2" ht="14.25" customHeight="1" x14ac:dyDescent="0.35">
      <c r="B22" s="15"/>
    </row>
    <row r="23" spans="2:2" ht="14.25" customHeight="1" x14ac:dyDescent="0.35">
      <c r="B23" s="17" t="s">
        <v>70</v>
      </c>
    </row>
    <row r="24" spans="2:2" ht="14.25" customHeight="1" x14ac:dyDescent="0.35">
      <c r="B24" s="3" t="s">
        <v>66</v>
      </c>
    </row>
    <row r="25" spans="2:2" ht="14.25" customHeight="1" x14ac:dyDescent="0.35">
      <c r="B25" s="15">
        <v>2024</v>
      </c>
    </row>
    <row r="26" spans="2:2" ht="14.25" customHeight="1" x14ac:dyDescent="0.35">
      <c r="B26" s="11" t="s">
        <v>69</v>
      </c>
    </row>
    <row r="27" spans="2:2" ht="14.25" customHeight="1" x14ac:dyDescent="0.35"/>
    <row r="28" spans="2:2" ht="14.25" customHeight="1" x14ac:dyDescent="0.35">
      <c r="B28" s="17" t="s">
        <v>1</v>
      </c>
    </row>
    <row r="29" spans="2:2" ht="14.25" customHeight="1" x14ac:dyDescent="0.35">
      <c r="B29" s="3" t="s">
        <v>74</v>
      </c>
    </row>
    <row r="30" spans="2:2" ht="14.25" customHeight="1" x14ac:dyDescent="0.35">
      <c r="B30" s="3" t="s">
        <v>75</v>
      </c>
    </row>
    <row r="31" spans="2:2" ht="14.25" customHeight="1" x14ac:dyDescent="0.35">
      <c r="B31" s="11" t="s">
        <v>76</v>
      </c>
    </row>
    <row r="32" spans="2:2" ht="14.25" customHeight="1" x14ac:dyDescent="0.35"/>
    <row r="33" spans="1:2" ht="14.25" customHeight="1" x14ac:dyDescent="0.35"/>
    <row r="34" spans="1:2" ht="14.25" customHeight="1" x14ac:dyDescent="0.35">
      <c r="A34" s="1" t="s">
        <v>2</v>
      </c>
    </row>
    <row r="35" spans="1:2" ht="14.25" customHeight="1" x14ac:dyDescent="0.35">
      <c r="A35" s="2" t="s">
        <v>3</v>
      </c>
    </row>
    <row r="36" spans="1:2" ht="14.25" customHeight="1" x14ac:dyDescent="0.35">
      <c r="A36" s="2" t="s">
        <v>4</v>
      </c>
    </row>
    <row r="37" spans="1:2" ht="14.25" customHeight="1" x14ac:dyDescent="0.35">
      <c r="A37" s="2" t="s">
        <v>5</v>
      </c>
      <c r="B37" s="2" t="s">
        <v>6</v>
      </c>
    </row>
    <row r="38" spans="1:2" ht="14.25" customHeight="1" x14ac:dyDescent="0.35">
      <c r="A38" s="2" t="s">
        <v>7</v>
      </c>
      <c r="B38" s="2" t="s">
        <v>8</v>
      </c>
    </row>
    <row r="39" spans="1:2" ht="14.25" customHeight="1" x14ac:dyDescent="0.35">
      <c r="A39" s="2">
        <v>0.98699999999999999</v>
      </c>
      <c r="B39" s="2" t="s">
        <v>9</v>
      </c>
    </row>
    <row r="40" spans="1:2" ht="14.25" customHeight="1" x14ac:dyDescent="0.35">
      <c r="A40" s="2">
        <v>0.95299999999999996</v>
      </c>
      <c r="B40" s="2" t="s">
        <v>10</v>
      </c>
    </row>
    <row r="41" spans="1:2" ht="14.25" customHeight="1" x14ac:dyDescent="0.35">
      <c r="A41" s="4">
        <v>0.93665959530026111</v>
      </c>
      <c r="B41" s="2" t="s">
        <v>11</v>
      </c>
    </row>
    <row r="42" spans="1:2" ht="14.25" customHeight="1" x14ac:dyDescent="0.35">
      <c r="A42" s="4">
        <v>0.91400000000000003</v>
      </c>
      <c r="B42" s="2" t="s">
        <v>12</v>
      </c>
    </row>
    <row r="43" spans="1:2" ht="14.25" customHeight="1" x14ac:dyDescent="0.35">
      <c r="A43" s="4">
        <v>0.89805481563188172</v>
      </c>
      <c r="B43" s="2" t="s">
        <v>13</v>
      </c>
    </row>
    <row r="44" spans="1:2" ht="14.25" customHeight="1" x14ac:dyDescent="0.35">
      <c r="A44" s="4">
        <v>0.88711067149387013</v>
      </c>
      <c r="B44" s="2" t="s">
        <v>14</v>
      </c>
    </row>
    <row r="45" spans="1:2" ht="14.25" customHeight="1" x14ac:dyDescent="0.35">
      <c r="A45" s="4">
        <v>0.84730412960844359</v>
      </c>
      <c r="B45" s="2" t="s">
        <v>15</v>
      </c>
    </row>
    <row r="46" spans="1:2" ht="14.25" customHeight="1" x14ac:dyDescent="0.35">
      <c r="A46" s="2" t="s">
        <v>16</v>
      </c>
    </row>
    <row r="47" spans="1:2" ht="14.25" customHeight="1" x14ac:dyDescent="0.35"/>
    <row r="48" spans="1:2" ht="14.25" customHeight="1" x14ac:dyDescent="0.35"/>
    <row r="49" spans="1:2" ht="14.25" customHeight="1" x14ac:dyDescent="0.35"/>
    <row r="50" spans="1:2" ht="14.25" customHeight="1" x14ac:dyDescent="0.35">
      <c r="A50" s="9" t="s">
        <v>81</v>
      </c>
      <c r="B50" s="18" t="s">
        <v>82</v>
      </c>
    </row>
    <row r="51" spans="1:2" ht="14.25" customHeight="1" x14ac:dyDescent="0.35">
      <c r="B51" s="19"/>
    </row>
    <row r="52" spans="1:2" ht="14.25" customHeight="1" x14ac:dyDescent="0.35">
      <c r="B52" s="19"/>
    </row>
    <row r="53" spans="1:2" ht="14.25" customHeight="1" x14ac:dyDescent="0.35">
      <c r="B53" s="19"/>
    </row>
    <row r="54" spans="1:2" ht="14.25" customHeight="1" x14ac:dyDescent="0.35">
      <c r="B54" s="19"/>
    </row>
    <row r="55" spans="1:2" ht="14.25" customHeight="1" x14ac:dyDescent="0.35">
      <c r="B55" s="19"/>
    </row>
    <row r="56" spans="1:2" ht="14.25" customHeight="1" x14ac:dyDescent="0.35">
      <c r="B56" s="19"/>
    </row>
    <row r="57" spans="1:2" ht="13" customHeight="1" x14ac:dyDescent="0.35">
      <c r="B57" s="19"/>
    </row>
    <row r="58" spans="1:2" ht="14" customHeight="1" x14ac:dyDescent="0.35">
      <c r="B58" s="19"/>
    </row>
    <row r="59" spans="1:2" ht="14.5" x14ac:dyDescent="0.35">
      <c r="B59" s="19"/>
    </row>
    <row r="60" spans="1:2" ht="14.5" x14ac:dyDescent="0.35">
      <c r="B60" s="19"/>
    </row>
    <row r="61" spans="1:2" ht="1" customHeight="1" x14ac:dyDescent="0.35">
      <c r="B61" s="19"/>
    </row>
    <row r="62" spans="1:2" ht="14" customHeight="1" x14ac:dyDescent="0.35"/>
    <row r="63" spans="1:2" ht="14.25" customHeight="1" x14ac:dyDescent="0.35"/>
    <row r="64" spans="1:2"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sheetData>
  <mergeCells count="1">
    <mergeCell ref="B50:B61"/>
  </mergeCells>
  <hyperlinks>
    <hyperlink ref="B21" r:id="rId1" xr:uid="{47DDA8E3-4AD1-7B45-985A-64B6293B66AB}"/>
    <hyperlink ref="B16" r:id="rId2" xr:uid="{806C0F2F-6500-424C-9F12-91B89065F92B}"/>
    <hyperlink ref="B26" r:id="rId3" xr:uid="{91BF8385-8FB3-8B40-8FB6-E78FB0ACEFA3}"/>
    <hyperlink ref="B11" r:id="rId4" xr:uid="{4A2A2491-08EE-C145-8C21-6A90C0FF3EAF}"/>
    <hyperlink ref="B31" r:id="rId5" xr:uid="{1D354FFD-AD0E-124A-91D6-A5D71DACD46F}"/>
  </hyperlink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D2310-2DCD-4F48-9DB0-CFEC1588C096}">
  <dimension ref="A1:BM176"/>
  <sheetViews>
    <sheetView topLeftCell="A132" workbookViewId="0">
      <selection activeCell="B176" sqref="B176"/>
    </sheetView>
  </sheetViews>
  <sheetFormatPr defaultColWidth="10.90625" defaultRowHeight="14.5" x14ac:dyDescent="0.35"/>
  <cols>
    <col min="1" max="1" width="40.453125" customWidth="1"/>
    <col min="2" max="2" width="12.1796875" bestFit="1" customWidth="1"/>
  </cols>
  <sheetData>
    <row r="1" spans="1:52" x14ac:dyDescent="0.35">
      <c r="A1" s="9" t="s">
        <v>17</v>
      </c>
      <c r="B1" s="9">
        <v>2011</v>
      </c>
      <c r="C1" s="9">
        <v>2012</v>
      </c>
      <c r="D1" s="9">
        <v>2013</v>
      </c>
      <c r="E1" s="9">
        <v>2014</v>
      </c>
      <c r="F1" s="9">
        <v>2015</v>
      </c>
      <c r="G1" s="9">
        <v>2016</v>
      </c>
      <c r="H1" s="9">
        <v>2017</v>
      </c>
      <c r="I1" s="9">
        <v>2018</v>
      </c>
      <c r="J1" s="9">
        <v>2019</v>
      </c>
      <c r="K1" s="9">
        <v>2020</v>
      </c>
      <c r="L1" s="9">
        <v>2021</v>
      </c>
      <c r="M1" s="9">
        <v>2022</v>
      </c>
      <c r="N1" s="9">
        <v>2023</v>
      </c>
    </row>
    <row r="2" spans="1:52" x14ac:dyDescent="0.35">
      <c r="A2" s="9" t="s">
        <v>26</v>
      </c>
      <c r="B2">
        <v>193</v>
      </c>
      <c r="C2">
        <f>ROUNDUP(($B$2+(($N$2-$B$2)/($N$1-$B$1))*(C1-$B$1)),0)</f>
        <v>206</v>
      </c>
      <c r="D2">
        <f t="shared" ref="D2:M2" si="0">ROUNDUP(($B$2+(($N$2-$B$2)/($N$1-$B$1))*(D1-$B$1)),0)</f>
        <v>219</v>
      </c>
      <c r="E2">
        <f t="shared" si="0"/>
        <v>232</v>
      </c>
      <c r="F2">
        <f t="shared" si="0"/>
        <v>245</v>
      </c>
      <c r="G2">
        <f t="shared" si="0"/>
        <v>258</v>
      </c>
      <c r="H2">
        <f t="shared" si="0"/>
        <v>270</v>
      </c>
      <c r="I2">
        <f t="shared" si="0"/>
        <v>283</v>
      </c>
      <c r="J2">
        <f t="shared" si="0"/>
        <v>296</v>
      </c>
      <c r="K2">
        <f t="shared" si="0"/>
        <v>309</v>
      </c>
      <c r="L2">
        <f t="shared" si="0"/>
        <v>322</v>
      </c>
      <c r="M2">
        <f t="shared" si="0"/>
        <v>335</v>
      </c>
      <c r="N2">
        <v>347</v>
      </c>
    </row>
    <row r="3" spans="1:52" x14ac:dyDescent="0.35">
      <c r="A3" s="9" t="s">
        <v>28</v>
      </c>
      <c r="B3" s="10">
        <v>1000000</v>
      </c>
    </row>
    <row r="4" spans="1:52" x14ac:dyDescent="0.35">
      <c r="A4" s="9" t="s">
        <v>30</v>
      </c>
      <c r="B4" s="3">
        <v>14135.41</v>
      </c>
    </row>
    <row r="5" spans="1:52" s="9" customFormat="1" x14ac:dyDescent="0.35">
      <c r="A5" s="9" t="s">
        <v>31</v>
      </c>
      <c r="B5" s="3">
        <f>1/B4</f>
        <v>7.074432223755802E-5</v>
      </c>
    </row>
    <row r="6" spans="1:52" x14ac:dyDescent="0.35">
      <c r="A6" s="9" t="s">
        <v>27</v>
      </c>
      <c r="B6">
        <f>ROUNDUP(B2*$B$3*$B$5,0)</f>
        <v>13654</v>
      </c>
      <c r="C6">
        <f t="shared" ref="C6:N6" si="1">ROUNDUP(C2*$B$3*$B$5,0)</f>
        <v>14574</v>
      </c>
      <c r="D6">
        <f t="shared" si="1"/>
        <v>15494</v>
      </c>
      <c r="E6">
        <f t="shared" si="1"/>
        <v>16413</v>
      </c>
      <c r="F6">
        <f t="shared" si="1"/>
        <v>17333</v>
      </c>
      <c r="G6">
        <f t="shared" si="1"/>
        <v>18253</v>
      </c>
      <c r="H6">
        <f t="shared" si="1"/>
        <v>19101</v>
      </c>
      <c r="I6">
        <f t="shared" si="1"/>
        <v>20021</v>
      </c>
      <c r="J6">
        <f t="shared" si="1"/>
        <v>20941</v>
      </c>
      <c r="K6">
        <f t="shared" si="1"/>
        <v>21860</v>
      </c>
      <c r="L6">
        <f t="shared" si="1"/>
        <v>22780</v>
      </c>
      <c r="M6">
        <f t="shared" si="1"/>
        <v>23700</v>
      </c>
      <c r="N6">
        <f t="shared" si="1"/>
        <v>24549</v>
      </c>
    </row>
    <row r="8" spans="1:52" x14ac:dyDescent="0.35">
      <c r="A8" s="9" t="s">
        <v>32</v>
      </c>
      <c r="B8">
        <v>0.05</v>
      </c>
    </row>
    <row r="10" spans="1:52" x14ac:dyDescent="0.35">
      <c r="A10" s="9" t="s">
        <v>17</v>
      </c>
      <c r="B10" s="9">
        <v>2020</v>
      </c>
      <c r="C10" s="9">
        <v>2021</v>
      </c>
      <c r="D10" s="9">
        <v>2022</v>
      </c>
      <c r="E10" s="9">
        <v>2023</v>
      </c>
      <c r="F10" s="9">
        <v>2024</v>
      </c>
      <c r="G10" s="9">
        <v>2025</v>
      </c>
      <c r="H10" s="9">
        <v>2026</v>
      </c>
      <c r="I10" s="9">
        <v>2027</v>
      </c>
      <c r="J10" s="9">
        <v>2028</v>
      </c>
      <c r="K10" s="9">
        <v>2029</v>
      </c>
      <c r="L10" s="9">
        <v>2030</v>
      </c>
      <c r="M10" s="9">
        <v>2031</v>
      </c>
      <c r="N10" s="9">
        <v>2032</v>
      </c>
      <c r="O10" s="9">
        <v>2033</v>
      </c>
      <c r="P10" s="9">
        <v>2034</v>
      </c>
      <c r="Q10" s="9">
        <v>2035</v>
      </c>
      <c r="R10" s="9">
        <v>2036</v>
      </c>
      <c r="S10" s="9">
        <v>2037</v>
      </c>
      <c r="T10" s="9">
        <v>2038</v>
      </c>
      <c r="U10" s="9">
        <v>2039</v>
      </c>
      <c r="V10" s="9">
        <v>2040</v>
      </c>
      <c r="W10" s="9">
        <v>2041</v>
      </c>
      <c r="X10" s="9">
        <v>2042</v>
      </c>
      <c r="Y10" s="9">
        <v>2043</v>
      </c>
      <c r="Z10" s="9">
        <v>2044</v>
      </c>
      <c r="AA10" s="9">
        <v>2045</v>
      </c>
      <c r="AB10" s="9">
        <v>2046</v>
      </c>
      <c r="AC10" s="9">
        <v>2047</v>
      </c>
      <c r="AD10" s="9">
        <v>2048</v>
      </c>
      <c r="AE10" s="9">
        <v>2049</v>
      </c>
      <c r="AF10" s="9">
        <v>2050</v>
      </c>
      <c r="AG10" s="9">
        <v>2051</v>
      </c>
      <c r="AH10" s="9">
        <v>2052</v>
      </c>
      <c r="AI10" s="9">
        <v>2053</v>
      </c>
      <c r="AJ10" s="9">
        <v>2054</v>
      </c>
      <c r="AK10" s="9">
        <v>2055</v>
      </c>
      <c r="AL10" s="9">
        <v>2056</v>
      </c>
      <c r="AM10" s="9">
        <v>2057</v>
      </c>
      <c r="AN10" s="9">
        <v>2058</v>
      </c>
      <c r="AO10" s="9">
        <v>2059</v>
      </c>
      <c r="AP10" s="9">
        <v>2060</v>
      </c>
      <c r="AQ10" s="9">
        <v>2061</v>
      </c>
      <c r="AR10" s="9">
        <v>2062</v>
      </c>
      <c r="AS10" s="9">
        <v>2063</v>
      </c>
      <c r="AT10" s="9">
        <v>2064</v>
      </c>
      <c r="AU10" s="9">
        <v>2065</v>
      </c>
      <c r="AV10" s="9">
        <v>2066</v>
      </c>
      <c r="AW10" s="9">
        <v>2067</v>
      </c>
      <c r="AX10" s="9">
        <v>2068</v>
      </c>
      <c r="AY10" s="9">
        <v>2069</v>
      </c>
      <c r="AZ10" s="9">
        <v>2070</v>
      </c>
    </row>
    <row r="11" spans="1:52" x14ac:dyDescent="0.35">
      <c r="A11" s="9" t="s">
        <v>79</v>
      </c>
      <c r="B11">
        <f>K6</f>
        <v>21860</v>
      </c>
      <c r="C11">
        <f t="shared" ref="C11:E11" si="2">L6</f>
        <v>22780</v>
      </c>
      <c r="D11">
        <f t="shared" si="2"/>
        <v>23700</v>
      </c>
      <c r="E11">
        <f t="shared" si="2"/>
        <v>24549</v>
      </c>
      <c r="F11">
        <f>ROUNDUP(E11+E11*$B$8, 0)</f>
        <v>25777</v>
      </c>
      <c r="G11">
        <f t="shared" ref="G11:AZ11" si="3">ROUNDUP(F11+F11*$B$8, 0)</f>
        <v>27066</v>
      </c>
      <c r="H11">
        <f t="shared" si="3"/>
        <v>28420</v>
      </c>
      <c r="I11">
        <f t="shared" si="3"/>
        <v>29841</v>
      </c>
      <c r="J11">
        <f t="shared" si="3"/>
        <v>31334</v>
      </c>
      <c r="K11">
        <f t="shared" si="3"/>
        <v>32901</v>
      </c>
      <c r="L11">
        <f t="shared" si="3"/>
        <v>34547</v>
      </c>
      <c r="M11">
        <f t="shared" si="3"/>
        <v>36275</v>
      </c>
      <c r="N11">
        <f t="shared" si="3"/>
        <v>38089</v>
      </c>
      <c r="O11">
        <f t="shared" si="3"/>
        <v>39994</v>
      </c>
      <c r="P11">
        <f t="shared" si="3"/>
        <v>41994</v>
      </c>
      <c r="Q11">
        <f t="shared" si="3"/>
        <v>44094</v>
      </c>
      <c r="R11">
        <f t="shared" si="3"/>
        <v>46299</v>
      </c>
      <c r="S11">
        <f t="shared" si="3"/>
        <v>48614</v>
      </c>
      <c r="T11">
        <f t="shared" si="3"/>
        <v>51045</v>
      </c>
      <c r="U11">
        <f t="shared" si="3"/>
        <v>53598</v>
      </c>
      <c r="V11">
        <f t="shared" si="3"/>
        <v>56278</v>
      </c>
      <c r="W11">
        <f t="shared" si="3"/>
        <v>59092</v>
      </c>
      <c r="X11">
        <f t="shared" si="3"/>
        <v>62047</v>
      </c>
      <c r="Y11">
        <f t="shared" si="3"/>
        <v>65150</v>
      </c>
      <c r="Z11">
        <f t="shared" si="3"/>
        <v>68408</v>
      </c>
      <c r="AA11">
        <f t="shared" si="3"/>
        <v>71829</v>
      </c>
      <c r="AB11">
        <f t="shared" si="3"/>
        <v>75421</v>
      </c>
      <c r="AC11">
        <f t="shared" si="3"/>
        <v>79193</v>
      </c>
      <c r="AD11">
        <f t="shared" si="3"/>
        <v>83153</v>
      </c>
      <c r="AE11">
        <f t="shared" si="3"/>
        <v>87311</v>
      </c>
      <c r="AF11">
        <f t="shared" si="3"/>
        <v>91677</v>
      </c>
      <c r="AG11">
        <f t="shared" si="3"/>
        <v>96261</v>
      </c>
      <c r="AH11">
        <f t="shared" si="3"/>
        <v>101075</v>
      </c>
      <c r="AI11">
        <f t="shared" si="3"/>
        <v>106129</v>
      </c>
      <c r="AJ11">
        <f t="shared" si="3"/>
        <v>111436</v>
      </c>
      <c r="AK11">
        <f t="shared" si="3"/>
        <v>117008</v>
      </c>
      <c r="AL11">
        <f t="shared" si="3"/>
        <v>122859</v>
      </c>
      <c r="AM11">
        <f t="shared" si="3"/>
        <v>129002</v>
      </c>
      <c r="AN11">
        <f t="shared" si="3"/>
        <v>135453</v>
      </c>
      <c r="AO11">
        <f t="shared" si="3"/>
        <v>142226</v>
      </c>
      <c r="AP11">
        <f t="shared" si="3"/>
        <v>149338</v>
      </c>
      <c r="AQ11">
        <f t="shared" si="3"/>
        <v>156805</v>
      </c>
      <c r="AR11">
        <f t="shared" si="3"/>
        <v>164646</v>
      </c>
      <c r="AS11">
        <f t="shared" si="3"/>
        <v>172879</v>
      </c>
      <c r="AT11">
        <f t="shared" si="3"/>
        <v>181523</v>
      </c>
      <c r="AU11">
        <f t="shared" si="3"/>
        <v>190600</v>
      </c>
      <c r="AV11">
        <f t="shared" si="3"/>
        <v>200130</v>
      </c>
      <c r="AW11">
        <f t="shared" si="3"/>
        <v>210137</v>
      </c>
      <c r="AX11">
        <f t="shared" si="3"/>
        <v>220644</v>
      </c>
      <c r="AY11">
        <f t="shared" si="3"/>
        <v>231677</v>
      </c>
      <c r="AZ11">
        <f t="shared" si="3"/>
        <v>243261</v>
      </c>
    </row>
    <row r="12" spans="1:52" x14ac:dyDescent="0.35">
      <c r="A12" s="9" t="s">
        <v>80</v>
      </c>
      <c r="B12">
        <f>B11</f>
        <v>21860</v>
      </c>
      <c r="C12">
        <f t="shared" ref="C12:E12" si="4">C11</f>
        <v>22780</v>
      </c>
      <c r="D12">
        <f t="shared" si="4"/>
        <v>23700</v>
      </c>
      <c r="E12">
        <f t="shared" si="4"/>
        <v>24549</v>
      </c>
      <c r="F12">
        <f>ROUNDUP(_xlfn.FORECAST.LINEAR(F10,$B$12:$E$12,$B$10:$E$10), 0)</f>
        <v>25469</v>
      </c>
      <c r="G12">
        <f t="shared" ref="G12:AZ12" si="5">ROUNDUP(_xlfn.FORECAST.LINEAR(G10,$B$12:$E$12,$B$10:$E$10), 0)</f>
        <v>26368</v>
      </c>
      <c r="H12">
        <f t="shared" si="5"/>
        <v>27267</v>
      </c>
      <c r="I12">
        <f t="shared" si="5"/>
        <v>28166</v>
      </c>
      <c r="J12">
        <f t="shared" si="5"/>
        <v>29064</v>
      </c>
      <c r="K12">
        <f t="shared" si="5"/>
        <v>29963</v>
      </c>
      <c r="L12">
        <f t="shared" si="5"/>
        <v>30862</v>
      </c>
      <c r="M12">
        <f t="shared" si="5"/>
        <v>31760</v>
      </c>
      <c r="N12">
        <f t="shared" si="5"/>
        <v>32659</v>
      </c>
      <c r="O12">
        <f t="shared" si="5"/>
        <v>33558</v>
      </c>
      <c r="P12">
        <f t="shared" si="5"/>
        <v>34456</v>
      </c>
      <c r="Q12">
        <f t="shared" si="5"/>
        <v>35355</v>
      </c>
      <c r="R12">
        <f t="shared" si="5"/>
        <v>36254</v>
      </c>
      <c r="S12">
        <f t="shared" si="5"/>
        <v>37153</v>
      </c>
      <c r="T12">
        <f t="shared" si="5"/>
        <v>38051</v>
      </c>
      <c r="U12">
        <f t="shared" si="5"/>
        <v>38950</v>
      </c>
      <c r="V12">
        <f t="shared" si="5"/>
        <v>39849</v>
      </c>
      <c r="W12">
        <f t="shared" si="5"/>
        <v>40747</v>
      </c>
      <c r="X12">
        <f t="shared" si="5"/>
        <v>41646</v>
      </c>
      <c r="Y12">
        <f t="shared" si="5"/>
        <v>42545</v>
      </c>
      <c r="Z12">
        <f t="shared" si="5"/>
        <v>43443</v>
      </c>
      <c r="AA12">
        <f t="shared" si="5"/>
        <v>44342</v>
      </c>
      <c r="AB12">
        <f t="shared" si="5"/>
        <v>45241</v>
      </c>
      <c r="AC12">
        <f t="shared" si="5"/>
        <v>46140</v>
      </c>
      <c r="AD12">
        <f t="shared" si="5"/>
        <v>47038</v>
      </c>
      <c r="AE12">
        <f t="shared" si="5"/>
        <v>47937</v>
      </c>
      <c r="AF12">
        <f t="shared" si="5"/>
        <v>48836</v>
      </c>
      <c r="AG12">
        <f t="shared" si="5"/>
        <v>49734</v>
      </c>
      <c r="AH12">
        <f t="shared" si="5"/>
        <v>50633</v>
      </c>
      <c r="AI12">
        <f t="shared" si="5"/>
        <v>51532</v>
      </c>
      <c r="AJ12">
        <f t="shared" si="5"/>
        <v>52430</v>
      </c>
      <c r="AK12">
        <f t="shared" si="5"/>
        <v>53329</v>
      </c>
      <c r="AL12">
        <f t="shared" si="5"/>
        <v>54228</v>
      </c>
      <c r="AM12">
        <f t="shared" si="5"/>
        <v>55127</v>
      </c>
      <c r="AN12">
        <f t="shared" si="5"/>
        <v>56025</v>
      </c>
      <c r="AO12">
        <f t="shared" si="5"/>
        <v>56924</v>
      </c>
      <c r="AP12">
        <f t="shared" si="5"/>
        <v>57823</v>
      </c>
      <c r="AQ12">
        <f t="shared" si="5"/>
        <v>58721</v>
      </c>
      <c r="AR12">
        <f t="shared" si="5"/>
        <v>59620</v>
      </c>
      <c r="AS12">
        <f t="shared" si="5"/>
        <v>60519</v>
      </c>
      <c r="AT12">
        <f t="shared" si="5"/>
        <v>61417</v>
      </c>
      <c r="AU12">
        <f t="shared" si="5"/>
        <v>62316</v>
      </c>
      <c r="AV12">
        <f t="shared" si="5"/>
        <v>63215</v>
      </c>
      <c r="AW12">
        <f t="shared" si="5"/>
        <v>64114</v>
      </c>
      <c r="AX12">
        <f t="shared" si="5"/>
        <v>65012</v>
      </c>
      <c r="AY12">
        <f t="shared" si="5"/>
        <v>65911</v>
      </c>
      <c r="AZ12">
        <f t="shared" si="5"/>
        <v>66810</v>
      </c>
    </row>
    <row r="14" spans="1:52" ht="21" x14ac:dyDescent="0.5">
      <c r="A14" s="12" t="s">
        <v>35</v>
      </c>
    </row>
    <row r="15" spans="1:52" x14ac:dyDescent="0.35">
      <c r="A15" s="9" t="s">
        <v>33</v>
      </c>
    </row>
    <row r="16" spans="1:52" x14ac:dyDescent="0.35">
      <c r="A16" s="9" t="s">
        <v>18</v>
      </c>
      <c r="B16" s="9">
        <v>2020</v>
      </c>
      <c r="C16" s="9">
        <v>2021</v>
      </c>
      <c r="D16" s="9">
        <v>2022</v>
      </c>
      <c r="E16" s="9">
        <v>2023</v>
      </c>
      <c r="F16" s="9">
        <v>2024</v>
      </c>
      <c r="G16" s="9">
        <v>2025</v>
      </c>
      <c r="H16" s="9">
        <v>2026</v>
      </c>
      <c r="I16" s="9">
        <v>2027</v>
      </c>
      <c r="J16" s="9">
        <v>2028</v>
      </c>
      <c r="K16" s="9">
        <v>2029</v>
      </c>
      <c r="L16" s="9">
        <v>2030</v>
      </c>
      <c r="M16" s="9">
        <v>2031</v>
      </c>
      <c r="N16" s="9">
        <v>2032</v>
      </c>
      <c r="O16" s="9">
        <v>2033</v>
      </c>
      <c r="P16" s="9">
        <v>2034</v>
      </c>
      <c r="Q16" s="9">
        <v>2035</v>
      </c>
      <c r="R16" s="9">
        <v>2036</v>
      </c>
      <c r="S16" s="9">
        <v>2037</v>
      </c>
      <c r="T16" s="9">
        <v>2038</v>
      </c>
      <c r="U16" s="9">
        <v>2039</v>
      </c>
      <c r="V16" s="9">
        <v>2040</v>
      </c>
      <c r="W16" s="9">
        <v>2041</v>
      </c>
      <c r="X16" s="9">
        <v>2042</v>
      </c>
      <c r="Y16" s="9">
        <v>2043</v>
      </c>
      <c r="Z16" s="9">
        <v>2044</v>
      </c>
      <c r="AA16" s="9">
        <v>2045</v>
      </c>
      <c r="AB16" s="9">
        <v>2046</v>
      </c>
      <c r="AC16" s="9">
        <v>2047</v>
      </c>
      <c r="AD16" s="9">
        <v>2048</v>
      </c>
      <c r="AE16" s="9">
        <v>2049</v>
      </c>
      <c r="AF16" s="9">
        <v>2050</v>
      </c>
      <c r="AG16" s="9">
        <v>2051</v>
      </c>
      <c r="AH16" s="9">
        <v>2052</v>
      </c>
      <c r="AI16" s="9">
        <v>2053</v>
      </c>
      <c r="AJ16" s="9">
        <v>2054</v>
      </c>
      <c r="AK16" s="9">
        <v>2055</v>
      </c>
      <c r="AL16" s="9">
        <v>2056</v>
      </c>
      <c r="AM16" s="9">
        <v>2057</v>
      </c>
      <c r="AN16" s="9">
        <v>2058</v>
      </c>
      <c r="AO16" s="9">
        <v>2059</v>
      </c>
      <c r="AP16" s="9">
        <v>2060</v>
      </c>
      <c r="AQ16" s="9">
        <v>2061</v>
      </c>
      <c r="AR16" s="9">
        <v>2062</v>
      </c>
      <c r="AS16" s="9">
        <v>2063</v>
      </c>
      <c r="AT16" s="9">
        <v>2064</v>
      </c>
      <c r="AU16" s="9">
        <v>2065</v>
      </c>
      <c r="AV16" s="9">
        <v>2066</v>
      </c>
      <c r="AW16" s="9">
        <v>2067</v>
      </c>
      <c r="AX16" s="9">
        <v>2068</v>
      </c>
      <c r="AY16" s="9">
        <v>2069</v>
      </c>
      <c r="AZ16" s="9">
        <v>2070</v>
      </c>
    </row>
    <row r="17" spans="1:52" x14ac:dyDescent="0.35">
      <c r="A17" t="s">
        <v>19</v>
      </c>
      <c r="B17">
        <v>49825.127915526456</v>
      </c>
      <c r="C17">
        <v>44974.65093859093</v>
      </c>
      <c r="D17">
        <v>44014.219167724943</v>
      </c>
      <c r="E17">
        <v>42953.308793217126</v>
      </c>
      <c r="F17">
        <v>42057.5416672758</v>
      </c>
      <c r="G17">
        <v>41521.193218745728</v>
      </c>
      <c r="H17">
        <v>40991.54978497071</v>
      </c>
      <c r="I17">
        <v>40480.255533118921</v>
      </c>
      <c r="J17">
        <v>40050.500534005791</v>
      </c>
      <c r="K17">
        <v>39618.699784148041</v>
      </c>
      <c r="L17">
        <v>39193.064533043878</v>
      </c>
      <c r="M17">
        <v>38851.711066905031</v>
      </c>
      <c r="N17">
        <v>38445.373597779428</v>
      </c>
      <c r="O17">
        <v>38068.778022891718</v>
      </c>
      <c r="P17">
        <v>37707.03279171919</v>
      </c>
      <c r="Q17">
        <v>37365.394214259322</v>
      </c>
      <c r="R17">
        <v>37011.736188451512</v>
      </c>
      <c r="S17">
        <v>36641.18529712945</v>
      </c>
      <c r="T17">
        <v>36270.53269321323</v>
      </c>
      <c r="U17">
        <v>35909.695600358587</v>
      </c>
      <c r="V17">
        <v>35548.371924143852</v>
      </c>
      <c r="W17">
        <v>35209.228645754723</v>
      </c>
      <c r="X17">
        <v>34885.051790274963</v>
      </c>
      <c r="Y17">
        <v>34557.401866726424</v>
      </c>
      <c r="Z17">
        <v>34243.998416950613</v>
      </c>
      <c r="AA17">
        <v>33954.03818148782</v>
      </c>
      <c r="AB17">
        <v>33631.495367779142</v>
      </c>
      <c r="AC17">
        <v>33320.219195620812</v>
      </c>
      <c r="AD17">
        <v>33037.653139003298</v>
      </c>
      <c r="AE17">
        <v>32722.528258193233</v>
      </c>
      <c r="AF17">
        <v>32420.620351200374</v>
      </c>
      <c r="AG17">
        <v>31015.294702193816</v>
      </c>
      <c r="AH17">
        <v>30583.826914467616</v>
      </c>
      <c r="AI17">
        <v>30152.359126741299</v>
      </c>
      <c r="AJ17">
        <v>29720.891339015099</v>
      </c>
      <c r="AK17">
        <v>29289.423551288899</v>
      </c>
      <c r="AL17">
        <v>28857.955763562699</v>
      </c>
      <c r="AM17">
        <v>28426.487975836499</v>
      </c>
      <c r="AN17">
        <v>27995.020188110298</v>
      </c>
      <c r="AO17">
        <v>27563.552400384098</v>
      </c>
      <c r="AP17">
        <v>27132.084612657898</v>
      </c>
      <c r="AQ17">
        <v>26700.616824931582</v>
      </c>
      <c r="AR17">
        <v>26269.149037205381</v>
      </c>
      <c r="AS17">
        <v>25837.681249479181</v>
      </c>
      <c r="AT17">
        <v>25406.213461752981</v>
      </c>
      <c r="AU17">
        <v>24974.745674026781</v>
      </c>
      <c r="AV17">
        <v>24543.277886300581</v>
      </c>
      <c r="AW17">
        <v>24111.81009857438</v>
      </c>
      <c r="AX17">
        <v>23680.34231084818</v>
      </c>
      <c r="AY17">
        <v>23248.874523121864</v>
      </c>
      <c r="AZ17">
        <v>22817.406735395663</v>
      </c>
    </row>
    <row r="18" spans="1:52" x14ac:dyDescent="0.35">
      <c r="A18" t="s">
        <v>20</v>
      </c>
      <c r="B18">
        <v>36759.749704715985</v>
      </c>
      <c r="C18">
        <v>36495.301008765287</v>
      </c>
      <c r="D18">
        <v>36652.899284904262</v>
      </c>
      <c r="E18">
        <v>36898.854894109107</v>
      </c>
      <c r="F18">
        <v>37088.419904084185</v>
      </c>
      <c r="G18">
        <v>37274.213596349378</v>
      </c>
      <c r="H18">
        <v>37445.623213756997</v>
      </c>
      <c r="I18">
        <v>37600.872984764675</v>
      </c>
      <c r="J18">
        <v>37766.329930876804</v>
      </c>
      <c r="K18">
        <v>37923.877024850764</v>
      </c>
      <c r="L18">
        <v>38069.817259237316</v>
      </c>
      <c r="M18">
        <v>38227.32962478877</v>
      </c>
      <c r="N18">
        <v>38348.862723643673</v>
      </c>
      <c r="O18">
        <v>38510.497634153886</v>
      </c>
      <c r="P18">
        <v>38604.696735059661</v>
      </c>
      <c r="Q18">
        <v>38681.120522160832</v>
      </c>
      <c r="R18">
        <v>38748.486700206056</v>
      </c>
      <c r="S18">
        <v>38814.704806671383</v>
      </c>
      <c r="T18">
        <v>38876.264531398607</v>
      </c>
      <c r="U18">
        <v>38939.471425425021</v>
      </c>
      <c r="V18">
        <v>38983.894090718546</v>
      </c>
      <c r="W18">
        <v>39034.300754891083</v>
      </c>
      <c r="X18">
        <v>39076.492388760707</v>
      </c>
      <c r="Y18">
        <v>39111.673848979794</v>
      </c>
      <c r="Z18">
        <v>39147.67406599391</v>
      </c>
      <c r="AA18">
        <v>39181.697312197801</v>
      </c>
      <c r="AB18">
        <v>39212.991409746537</v>
      </c>
      <c r="AC18">
        <v>39245.837154002627</v>
      </c>
      <c r="AD18">
        <v>39278.913176716669</v>
      </c>
      <c r="AE18">
        <v>39308.051924159641</v>
      </c>
      <c r="AF18">
        <v>39337.439086801933</v>
      </c>
      <c r="AG18">
        <v>39864.610605529073</v>
      </c>
      <c r="AH18">
        <v>39959.684335465572</v>
      </c>
      <c r="AI18">
        <v>40054.7580654021</v>
      </c>
      <c r="AJ18">
        <v>40149.831795338599</v>
      </c>
      <c r="AK18">
        <v>40244.905525275099</v>
      </c>
      <c r="AL18">
        <v>40339.979255211627</v>
      </c>
      <c r="AM18">
        <v>40435.052985148126</v>
      </c>
      <c r="AN18">
        <v>40530.126715084654</v>
      </c>
      <c r="AO18">
        <v>40625.200445021153</v>
      </c>
      <c r="AP18">
        <v>40720.274174957653</v>
      </c>
      <c r="AQ18">
        <v>40815.347904894181</v>
      </c>
      <c r="AR18">
        <v>40910.42163483068</v>
      </c>
      <c r="AS18">
        <v>41005.495364767179</v>
      </c>
      <c r="AT18">
        <v>41100.569094703707</v>
      </c>
      <c r="AU18">
        <v>41195.642824640207</v>
      </c>
      <c r="AV18">
        <v>41290.716554576706</v>
      </c>
      <c r="AW18">
        <v>41385.790284513234</v>
      </c>
      <c r="AX18">
        <v>41480.864014449733</v>
      </c>
      <c r="AY18">
        <v>41575.937744386232</v>
      </c>
      <c r="AZ18">
        <v>41671.01147432276</v>
      </c>
    </row>
    <row r="19" spans="1:52" x14ac:dyDescent="0.35">
      <c r="A19" t="s">
        <v>21</v>
      </c>
      <c r="B19">
        <v>32342.6363589045</v>
      </c>
      <c r="C19">
        <v>31217.362717887419</v>
      </c>
      <c r="D19">
        <v>31436.446953801642</v>
      </c>
      <c r="E19">
        <v>31582.448578235268</v>
      </c>
      <c r="F19">
        <v>31757.900280763795</v>
      </c>
      <c r="G19">
        <v>31937.088580026721</v>
      </c>
      <c r="H19">
        <v>32051.631027078809</v>
      </c>
      <c r="I19">
        <v>32113.769884482779</v>
      </c>
      <c r="J19">
        <v>32185.619524621943</v>
      </c>
      <c r="K19">
        <v>32243.903393669327</v>
      </c>
      <c r="L19">
        <v>32274.622148931001</v>
      </c>
      <c r="M19">
        <v>32331.768527633991</v>
      </c>
      <c r="N19">
        <v>32347.684742713987</v>
      </c>
      <c r="O19">
        <v>32381.443853850255</v>
      </c>
      <c r="P19">
        <v>32396.375422549452</v>
      </c>
      <c r="Q19">
        <v>32409.372643127219</v>
      </c>
      <c r="R19">
        <v>32401.628849545585</v>
      </c>
      <c r="S19">
        <v>32380.854871890009</v>
      </c>
      <c r="T19">
        <v>32354.526341490036</v>
      </c>
      <c r="U19">
        <v>32332.246320907278</v>
      </c>
      <c r="V19">
        <v>32299.488859358349</v>
      </c>
      <c r="W19">
        <v>32277.910810646987</v>
      </c>
      <c r="X19">
        <v>32262.98126208195</v>
      </c>
      <c r="Y19">
        <v>32240.582076272938</v>
      </c>
      <c r="Z19">
        <v>32222.923313854415</v>
      </c>
      <c r="AA19">
        <v>32218.675092742193</v>
      </c>
      <c r="AB19">
        <v>32189.558394827818</v>
      </c>
      <c r="AC19">
        <v>32165.91510624978</v>
      </c>
      <c r="AD19">
        <v>32160.913762169279</v>
      </c>
      <c r="AE19">
        <v>32130.598139463389</v>
      </c>
      <c r="AF19">
        <v>32106.972615828534</v>
      </c>
      <c r="AG19">
        <v>32390.102664676066</v>
      </c>
      <c r="AH19">
        <v>32404.895673041694</v>
      </c>
      <c r="AI19">
        <v>32419.688681407322</v>
      </c>
      <c r="AJ19">
        <v>32434.481689772951</v>
      </c>
      <c r="AK19">
        <v>32449.274698138579</v>
      </c>
      <c r="AL19">
        <v>32464.067706504207</v>
      </c>
      <c r="AM19">
        <v>32478.860714869836</v>
      </c>
      <c r="AN19">
        <v>32493.653723235464</v>
      </c>
      <c r="AO19">
        <v>32508.446731601092</v>
      </c>
      <c r="AP19">
        <v>32523.239739966721</v>
      </c>
      <c r="AQ19">
        <v>32538.032748332345</v>
      </c>
      <c r="AR19">
        <v>32552.825756697974</v>
      </c>
      <c r="AS19">
        <v>32567.618765063602</v>
      </c>
      <c r="AT19">
        <v>32582.41177342923</v>
      </c>
      <c r="AU19">
        <v>32597.204781794859</v>
      </c>
      <c r="AV19">
        <v>32611.997790160487</v>
      </c>
      <c r="AW19">
        <v>32626.790798526115</v>
      </c>
      <c r="AX19">
        <v>32641.583806891744</v>
      </c>
      <c r="AY19">
        <v>32656.376815257372</v>
      </c>
      <c r="AZ19">
        <v>32671.169823623</v>
      </c>
    </row>
    <row r="20" spans="1:52" x14ac:dyDescent="0.35">
      <c r="A20" t="s">
        <v>22</v>
      </c>
      <c r="B20">
        <v>35443.546139439881</v>
      </c>
      <c r="C20">
        <v>34572.73032047251</v>
      </c>
      <c r="D20">
        <v>34849.203911594086</v>
      </c>
      <c r="E20">
        <v>34983.821056600449</v>
      </c>
      <c r="F20">
        <v>35151.363645752921</v>
      </c>
      <c r="G20">
        <v>35326.619427789316</v>
      </c>
      <c r="H20">
        <v>35410.191140824951</v>
      </c>
      <c r="I20">
        <v>35435.494342774749</v>
      </c>
      <c r="J20">
        <v>35474.588111438214</v>
      </c>
      <c r="K20">
        <v>35499.907505123585</v>
      </c>
      <c r="L20">
        <v>35487.977501346308</v>
      </c>
      <c r="M20">
        <v>35511.964486332523</v>
      </c>
      <c r="N20">
        <v>35480.241967164577</v>
      </c>
      <c r="O20">
        <v>35474.107747097667</v>
      </c>
      <c r="P20">
        <v>35461.9366731681</v>
      </c>
      <c r="Q20">
        <v>35455.994643045095</v>
      </c>
      <c r="R20">
        <v>35422.177134020363</v>
      </c>
      <c r="S20">
        <v>35366.464042687126</v>
      </c>
      <c r="T20">
        <v>35302.940826765967</v>
      </c>
      <c r="U20">
        <v>35244.577477825929</v>
      </c>
      <c r="V20">
        <v>35170.962254170772</v>
      </c>
      <c r="W20">
        <v>35114.648617997518</v>
      </c>
      <c r="X20">
        <v>35067.006257529632</v>
      </c>
      <c r="Y20">
        <v>35011.117170929094</v>
      </c>
      <c r="Z20">
        <v>34962.564080399963</v>
      </c>
      <c r="AA20">
        <v>34932.465774660173</v>
      </c>
      <c r="AB20">
        <v>34867.703598443222</v>
      </c>
      <c r="AC20">
        <v>34811.011371210981</v>
      </c>
      <c r="AD20">
        <v>34778.00109143836</v>
      </c>
      <c r="AE20">
        <v>34711.169685922665</v>
      </c>
      <c r="AF20">
        <v>34656.058418610337</v>
      </c>
      <c r="AG20">
        <v>34943.403907229498</v>
      </c>
      <c r="AH20">
        <v>34928.90181993421</v>
      </c>
      <c r="AI20">
        <v>34914.399732638922</v>
      </c>
      <c r="AJ20">
        <v>34899.897645343633</v>
      </c>
      <c r="AK20">
        <v>34885.395558048345</v>
      </c>
      <c r="AL20">
        <v>34870.893470753057</v>
      </c>
      <c r="AM20">
        <v>34856.391383457769</v>
      </c>
      <c r="AN20">
        <v>34841.889296162481</v>
      </c>
      <c r="AO20">
        <v>34827.387208867192</v>
      </c>
      <c r="AP20">
        <v>34812.885121571904</v>
      </c>
      <c r="AQ20">
        <v>34798.383034276616</v>
      </c>
      <c r="AR20">
        <v>34783.880946981335</v>
      </c>
      <c r="AS20">
        <v>34769.378859686047</v>
      </c>
      <c r="AT20">
        <v>34754.876772390759</v>
      </c>
      <c r="AU20">
        <v>34740.37468509547</v>
      </c>
      <c r="AV20">
        <v>34725.872597800189</v>
      </c>
      <c r="AW20">
        <v>34711.370510504901</v>
      </c>
      <c r="AX20">
        <v>34696.868423209613</v>
      </c>
      <c r="AY20">
        <v>34682.366335914325</v>
      </c>
      <c r="AZ20">
        <v>34667.864248619037</v>
      </c>
    </row>
    <row r="21" spans="1:52" x14ac:dyDescent="0.35">
      <c r="A21" t="s">
        <v>23</v>
      </c>
      <c r="B21">
        <v>36885.812469092874</v>
      </c>
      <c r="C21">
        <v>37390.062874445444</v>
      </c>
      <c r="D21">
        <v>37336.115710048864</v>
      </c>
      <c r="E21">
        <v>37519.774165684845</v>
      </c>
      <c r="F21">
        <v>37560.848994284308</v>
      </c>
      <c r="G21">
        <v>37672.813677843456</v>
      </c>
      <c r="H21">
        <v>37718.56400733631</v>
      </c>
      <c r="I21">
        <v>37744.624220538237</v>
      </c>
      <c r="J21">
        <v>37799.089399902005</v>
      </c>
      <c r="K21">
        <v>37869.294612145321</v>
      </c>
      <c r="L21">
        <v>37947.783060194699</v>
      </c>
      <c r="M21">
        <v>38048.195487274184</v>
      </c>
      <c r="N21">
        <v>38134.620585039651</v>
      </c>
      <c r="O21">
        <v>38250.401448902114</v>
      </c>
      <c r="P21">
        <v>38309.624429520816</v>
      </c>
      <c r="Q21">
        <v>38356.757655134163</v>
      </c>
      <c r="R21">
        <v>38399.03576323334</v>
      </c>
      <c r="S21">
        <v>38433.321833369489</v>
      </c>
      <c r="T21">
        <v>38455.444100924527</v>
      </c>
      <c r="U21">
        <v>38471.879540638547</v>
      </c>
      <c r="V21">
        <v>38470.609054958164</v>
      </c>
      <c r="W21">
        <v>38476.533643544462</v>
      </c>
      <c r="X21">
        <v>38473.613146881857</v>
      </c>
      <c r="Y21">
        <v>38464.260461634076</v>
      </c>
      <c r="Z21">
        <v>38454.963700744891</v>
      </c>
      <c r="AA21">
        <v>38445.041023726604</v>
      </c>
      <c r="AB21">
        <v>38433.394779589515</v>
      </c>
      <c r="AC21">
        <v>38423.683875942836</v>
      </c>
      <c r="AD21">
        <v>38414.275217234477</v>
      </c>
      <c r="AE21">
        <v>38406.062072210079</v>
      </c>
      <c r="AF21">
        <v>38395.607951329759</v>
      </c>
      <c r="AG21">
        <v>38782.845867464377</v>
      </c>
      <c r="AH21">
        <v>38825.398514496716</v>
      </c>
      <c r="AI21">
        <v>38867.951161529068</v>
      </c>
      <c r="AJ21">
        <v>38910.503808561421</v>
      </c>
      <c r="AK21">
        <v>38953.056455593774</v>
      </c>
      <c r="AL21">
        <v>38995.609102626127</v>
      </c>
      <c r="AM21">
        <v>39038.16174965848</v>
      </c>
      <c r="AN21">
        <v>39080.714396690833</v>
      </c>
      <c r="AO21">
        <v>39123.267043723172</v>
      </c>
      <c r="AP21">
        <v>39165.819690755525</v>
      </c>
      <c r="AQ21">
        <v>39208.372337787878</v>
      </c>
      <c r="AR21">
        <v>39250.924984820231</v>
      </c>
      <c r="AS21">
        <v>39293.477631852584</v>
      </c>
      <c r="AT21">
        <v>39336.030278884937</v>
      </c>
      <c r="AU21">
        <v>39378.58292591729</v>
      </c>
      <c r="AV21">
        <v>39421.135572949628</v>
      </c>
      <c r="AW21">
        <v>39463.688219981981</v>
      </c>
      <c r="AX21">
        <v>39506.240867014334</v>
      </c>
      <c r="AY21">
        <v>39548.793514046687</v>
      </c>
      <c r="AZ21">
        <v>39591.34616107904</v>
      </c>
    </row>
    <row r="22" spans="1:52" x14ac:dyDescent="0.35">
      <c r="A22" t="s">
        <v>24</v>
      </c>
      <c r="B22">
        <v>35929.332572026418</v>
      </c>
      <c r="C22">
        <v>36517.781900822964</v>
      </c>
      <c r="D22">
        <v>36483.97022953094</v>
      </c>
      <c r="E22">
        <v>36547.531596117638</v>
      </c>
      <c r="F22">
        <v>36633.721066789672</v>
      </c>
      <c r="G22">
        <v>36794.300450824805</v>
      </c>
      <c r="H22">
        <v>36928.460044794621</v>
      </c>
      <c r="I22">
        <v>36997.316214887251</v>
      </c>
      <c r="J22">
        <v>37058.275510491934</v>
      </c>
      <c r="K22">
        <v>37124.273723755396</v>
      </c>
      <c r="L22">
        <v>37186.148107820052</v>
      </c>
      <c r="M22">
        <v>37247.670013366791</v>
      </c>
      <c r="N22">
        <v>37300.144405417566</v>
      </c>
      <c r="O22">
        <v>37363.114353721809</v>
      </c>
      <c r="P22">
        <v>37405.731209528727</v>
      </c>
      <c r="Q22">
        <v>37444.210679270756</v>
      </c>
      <c r="R22">
        <v>37483.983135114584</v>
      </c>
      <c r="S22">
        <v>37524.06909348636</v>
      </c>
      <c r="T22">
        <v>37561.633474768416</v>
      </c>
      <c r="U22">
        <v>37601.441517385683</v>
      </c>
      <c r="V22">
        <v>37635.68361917555</v>
      </c>
      <c r="W22">
        <v>37670.002825641204</v>
      </c>
      <c r="X22">
        <v>37704.041574439965</v>
      </c>
      <c r="Y22">
        <v>37736.311999520236</v>
      </c>
      <c r="Z22">
        <v>37769.703407963978</v>
      </c>
      <c r="AA22">
        <v>37804.107344842596</v>
      </c>
      <c r="AB22">
        <v>37838.223198317151</v>
      </c>
      <c r="AC22">
        <v>37873.503247665787</v>
      </c>
      <c r="AD22">
        <v>37908.73076415839</v>
      </c>
      <c r="AE22">
        <v>37944.388711148837</v>
      </c>
      <c r="AF22">
        <v>37966.871926227992</v>
      </c>
      <c r="AG22">
        <v>38189.454194832142</v>
      </c>
      <c r="AH22">
        <v>38243.664682978851</v>
      </c>
      <c r="AI22">
        <v>38297.875171125575</v>
      </c>
      <c r="AJ22">
        <v>38352.085659272299</v>
      </c>
      <c r="AK22">
        <v>38406.296147419009</v>
      </c>
      <c r="AL22">
        <v>38460.506635565733</v>
      </c>
      <c r="AM22">
        <v>38514.717123712442</v>
      </c>
      <c r="AN22">
        <v>38568.927611859166</v>
      </c>
      <c r="AO22">
        <v>38623.138100005875</v>
      </c>
      <c r="AP22">
        <v>38677.348588152599</v>
      </c>
      <c r="AQ22">
        <v>38731.559076299323</v>
      </c>
      <c r="AR22">
        <v>38785.769564446033</v>
      </c>
      <c r="AS22">
        <v>38839.980052592757</v>
      </c>
      <c r="AT22">
        <v>38894.190540739466</v>
      </c>
      <c r="AU22">
        <v>38948.40102888619</v>
      </c>
      <c r="AV22">
        <v>39002.611517032914</v>
      </c>
      <c r="AW22">
        <v>39056.822005179623</v>
      </c>
      <c r="AX22">
        <v>39111.032493326347</v>
      </c>
      <c r="AY22">
        <v>39165.242981473057</v>
      </c>
      <c r="AZ22">
        <v>39219.453469619781</v>
      </c>
    </row>
    <row r="23" spans="1:52" x14ac:dyDescent="0.35">
      <c r="A23" t="s">
        <v>25</v>
      </c>
      <c r="B23">
        <v>65082.117668992752</v>
      </c>
      <c r="C23">
        <v>65067.962537406333</v>
      </c>
      <c r="D23">
        <v>63660.551990785127</v>
      </c>
      <c r="E23">
        <v>62421.595361955166</v>
      </c>
      <c r="F23">
        <v>61170.115837565136</v>
      </c>
      <c r="G23">
        <v>59874.757242461834</v>
      </c>
      <c r="H23">
        <v>58736.771614958467</v>
      </c>
      <c r="I23">
        <v>57689.482617791895</v>
      </c>
      <c r="J23">
        <v>56690.542415667092</v>
      </c>
      <c r="K23">
        <v>55738.718732749054</v>
      </c>
      <c r="L23">
        <v>54831.314971982451</v>
      </c>
      <c r="M23">
        <v>53967.600822455322</v>
      </c>
      <c r="N23">
        <v>53140.492227765448</v>
      </c>
      <c r="O23">
        <v>52357.767771875457</v>
      </c>
      <c r="P23">
        <v>51589.549246795832</v>
      </c>
      <c r="Q23">
        <v>50852.967378820395</v>
      </c>
      <c r="R23">
        <v>50151.390539205728</v>
      </c>
      <c r="S23">
        <v>49482.280047861401</v>
      </c>
      <c r="T23">
        <v>48844.263586307308</v>
      </c>
      <c r="U23">
        <v>48236.533246410203</v>
      </c>
      <c r="V23">
        <v>47655.605571632041</v>
      </c>
      <c r="W23">
        <v>47102.665461952085</v>
      </c>
      <c r="X23">
        <v>46575.274603387268</v>
      </c>
      <c r="Y23">
        <v>46072.29739018673</v>
      </c>
      <c r="Z23">
        <v>45593.077754613776</v>
      </c>
      <c r="AA23">
        <v>45136.281966459406</v>
      </c>
      <c r="AB23">
        <v>44700.603891012237</v>
      </c>
      <c r="AC23">
        <v>44285.587423904894</v>
      </c>
      <c r="AD23">
        <v>43889.740509061499</v>
      </c>
      <c r="AE23">
        <v>43512.798175131124</v>
      </c>
      <c r="AF23">
        <v>43136.218906655668</v>
      </c>
      <c r="AG23">
        <v>40253.788826518925</v>
      </c>
      <c r="AH23">
        <v>39509.072145285551</v>
      </c>
      <c r="AI23">
        <v>38764.355464052176</v>
      </c>
      <c r="AJ23">
        <v>38019.638782818802</v>
      </c>
      <c r="AK23">
        <v>37274.92210158566</v>
      </c>
      <c r="AL23">
        <v>36530.205420352286</v>
      </c>
      <c r="AM23">
        <v>35785.488739118911</v>
      </c>
      <c r="AN23">
        <v>35040.772057885537</v>
      </c>
      <c r="AO23">
        <v>34296.055376652395</v>
      </c>
      <c r="AP23">
        <v>33551.338695419021</v>
      </c>
      <c r="AQ23">
        <v>32806.622014185647</v>
      </c>
      <c r="AR23">
        <v>32061.905332952272</v>
      </c>
      <c r="AS23">
        <v>31317.188651718898</v>
      </c>
      <c r="AT23">
        <v>30572.471970485756</v>
      </c>
      <c r="AU23">
        <v>29827.755289252382</v>
      </c>
      <c r="AV23">
        <v>29083.038608019007</v>
      </c>
      <c r="AW23">
        <v>28338.321926785633</v>
      </c>
      <c r="AX23">
        <v>27593.605245552491</v>
      </c>
      <c r="AY23">
        <v>26848.888564319117</v>
      </c>
      <c r="AZ23">
        <v>26104.171883085743</v>
      </c>
    </row>
    <row r="25" spans="1:52" x14ac:dyDescent="0.35">
      <c r="A25" s="9" t="s">
        <v>34</v>
      </c>
    </row>
    <row r="26" spans="1:52" s="9" customFormat="1" x14ac:dyDescent="0.35">
      <c r="A26" s="9" t="s">
        <v>18</v>
      </c>
      <c r="B26" s="9">
        <v>2020</v>
      </c>
      <c r="C26" s="9">
        <v>2021</v>
      </c>
      <c r="D26" s="9">
        <v>2022</v>
      </c>
      <c r="E26" s="9">
        <v>2023</v>
      </c>
      <c r="F26" s="9">
        <v>2024</v>
      </c>
      <c r="G26" s="9">
        <v>2025</v>
      </c>
      <c r="H26" s="9">
        <v>2026</v>
      </c>
      <c r="I26" s="9">
        <v>2027</v>
      </c>
      <c r="J26" s="9">
        <v>2028</v>
      </c>
      <c r="K26" s="9">
        <v>2029</v>
      </c>
      <c r="L26" s="9">
        <v>2030</v>
      </c>
      <c r="M26" s="9">
        <v>2031</v>
      </c>
      <c r="N26" s="9">
        <v>2032</v>
      </c>
      <c r="O26" s="9">
        <v>2033</v>
      </c>
      <c r="P26" s="9">
        <v>2034</v>
      </c>
      <c r="Q26" s="9">
        <v>2035</v>
      </c>
      <c r="R26" s="9">
        <v>2036</v>
      </c>
      <c r="S26" s="9">
        <v>2037</v>
      </c>
      <c r="T26" s="9">
        <v>2038</v>
      </c>
      <c r="U26" s="9">
        <v>2039</v>
      </c>
      <c r="V26" s="9">
        <v>2040</v>
      </c>
      <c r="W26" s="9">
        <v>2041</v>
      </c>
      <c r="X26" s="9">
        <v>2042</v>
      </c>
      <c r="Y26" s="9">
        <v>2043</v>
      </c>
      <c r="Z26" s="9">
        <v>2044</v>
      </c>
      <c r="AA26" s="9">
        <v>2045</v>
      </c>
      <c r="AB26" s="9">
        <v>2046</v>
      </c>
      <c r="AC26" s="9">
        <v>2047</v>
      </c>
      <c r="AD26" s="9">
        <v>2048</v>
      </c>
      <c r="AE26" s="9">
        <v>2049</v>
      </c>
      <c r="AF26" s="9">
        <v>2050</v>
      </c>
      <c r="AG26" s="9">
        <v>2051</v>
      </c>
      <c r="AH26" s="9">
        <v>2052</v>
      </c>
      <c r="AI26" s="9">
        <v>2053</v>
      </c>
      <c r="AJ26" s="9">
        <v>2054</v>
      </c>
      <c r="AK26" s="9">
        <v>2055</v>
      </c>
      <c r="AL26" s="9">
        <v>2056</v>
      </c>
      <c r="AM26" s="9">
        <v>2057</v>
      </c>
      <c r="AN26" s="9">
        <v>2058</v>
      </c>
      <c r="AO26" s="9">
        <v>2059</v>
      </c>
      <c r="AP26" s="9">
        <v>2060</v>
      </c>
      <c r="AQ26" s="9">
        <v>2061</v>
      </c>
      <c r="AR26" s="9">
        <v>2062</v>
      </c>
      <c r="AS26" s="9">
        <v>2063</v>
      </c>
      <c r="AT26" s="9">
        <v>2064</v>
      </c>
      <c r="AU26" s="9">
        <v>2065</v>
      </c>
      <c r="AV26" s="9">
        <v>2066</v>
      </c>
      <c r="AW26" s="9">
        <v>2067</v>
      </c>
      <c r="AX26" s="9">
        <v>2068</v>
      </c>
      <c r="AY26" s="9">
        <v>2069</v>
      </c>
      <c r="AZ26" s="9">
        <v>2070</v>
      </c>
    </row>
    <row r="27" spans="1:52" x14ac:dyDescent="0.35">
      <c r="A27" t="s">
        <v>19</v>
      </c>
      <c r="B27">
        <v>74481.20175540229</v>
      </c>
      <c r="C27">
        <v>74481.20175540229</v>
      </c>
      <c r="D27">
        <v>74481.20175540229</v>
      </c>
      <c r="E27">
        <v>74481.20175540229</v>
      </c>
      <c r="F27">
        <v>74481.20175540229</v>
      </c>
      <c r="G27">
        <v>74481.20175540229</v>
      </c>
      <c r="H27">
        <v>74481.20175540229</v>
      </c>
      <c r="I27">
        <v>74481.20175540229</v>
      </c>
      <c r="J27">
        <v>74481.20175540229</v>
      </c>
      <c r="K27">
        <v>74481.20175540229</v>
      </c>
      <c r="L27">
        <v>74481.20175540229</v>
      </c>
      <c r="M27">
        <v>74481.20175540229</v>
      </c>
      <c r="N27">
        <v>74481.20175540229</v>
      </c>
      <c r="O27">
        <v>74481.20175540229</v>
      </c>
      <c r="P27">
        <v>74481.20175540229</v>
      </c>
      <c r="Q27">
        <v>74481.20175540229</v>
      </c>
      <c r="R27">
        <v>74481.20175540229</v>
      </c>
      <c r="S27">
        <v>74481.20175540229</v>
      </c>
      <c r="T27">
        <v>74481.20175540229</v>
      </c>
      <c r="U27">
        <v>74481.20175540229</v>
      </c>
      <c r="V27">
        <v>74481.20175540229</v>
      </c>
      <c r="W27">
        <v>74481.20175540229</v>
      </c>
      <c r="X27">
        <v>74481.20175540229</v>
      </c>
      <c r="Y27">
        <v>74481.20175540229</v>
      </c>
      <c r="Z27">
        <v>74481.20175540229</v>
      </c>
      <c r="AA27">
        <v>74481.20175540229</v>
      </c>
      <c r="AB27">
        <v>74481.20175540229</v>
      </c>
      <c r="AC27">
        <v>74481.20175540229</v>
      </c>
      <c r="AD27">
        <v>74481.20175540229</v>
      </c>
      <c r="AE27">
        <v>74481.20175540229</v>
      </c>
      <c r="AF27">
        <v>74481.20175540229</v>
      </c>
      <c r="AG27">
        <v>74481.201755402304</v>
      </c>
      <c r="AH27">
        <v>74481.201755402304</v>
      </c>
      <c r="AI27">
        <v>74481.201755402304</v>
      </c>
      <c r="AJ27">
        <v>74481.201755402304</v>
      </c>
      <c r="AK27">
        <v>74481.201755402304</v>
      </c>
      <c r="AL27">
        <v>74481.201755402304</v>
      </c>
      <c r="AM27">
        <v>74481.201755402304</v>
      </c>
      <c r="AN27">
        <v>74481.201755402304</v>
      </c>
      <c r="AO27">
        <v>74481.201755402304</v>
      </c>
      <c r="AP27">
        <v>74481.201755402304</v>
      </c>
      <c r="AQ27">
        <v>74481.201755402304</v>
      </c>
      <c r="AR27">
        <v>74481.201755402304</v>
      </c>
      <c r="AS27">
        <v>74481.201755402304</v>
      </c>
      <c r="AT27">
        <v>74481.201755402304</v>
      </c>
      <c r="AU27">
        <v>74481.201755402304</v>
      </c>
      <c r="AV27">
        <v>74481.201755402304</v>
      </c>
      <c r="AW27">
        <v>74481.201755402304</v>
      </c>
      <c r="AX27">
        <v>74481.201755402304</v>
      </c>
      <c r="AY27">
        <v>74481.201755402304</v>
      </c>
      <c r="AZ27">
        <v>74481.201755402304</v>
      </c>
    </row>
    <row r="28" spans="1:52" x14ac:dyDescent="0.35">
      <c r="A28" t="s">
        <v>20</v>
      </c>
      <c r="B28">
        <v>51983.088057138302</v>
      </c>
      <c r="C28">
        <v>51609.123055781485</v>
      </c>
      <c r="D28">
        <v>51831.987605513023</v>
      </c>
      <c r="E28">
        <v>52179.800966434843</v>
      </c>
      <c r="F28">
        <v>52447.870653667313</v>
      </c>
      <c r="G28">
        <v>52710.607205005777</v>
      </c>
      <c r="H28">
        <v>52953.002795484936</v>
      </c>
      <c r="I28">
        <v>53172.546252172491</v>
      </c>
      <c r="J28">
        <v>53406.523987834509</v>
      </c>
      <c r="K28">
        <v>53629.316159298724</v>
      </c>
      <c r="L28">
        <v>53835.694715086938</v>
      </c>
      <c r="M28">
        <v>54058.437776025101</v>
      </c>
      <c r="N28">
        <v>54230.301453835207</v>
      </c>
      <c r="O28">
        <v>54458.874331878556</v>
      </c>
      <c r="P28">
        <v>54592.084165912325</v>
      </c>
      <c r="Q28">
        <v>54700.157384213664</v>
      </c>
      <c r="R28">
        <v>54795.421960102445</v>
      </c>
      <c r="S28">
        <v>54889.063012803155</v>
      </c>
      <c r="T28">
        <v>54976.11650519562</v>
      </c>
      <c r="U28">
        <v>55065.49931014904</v>
      </c>
      <c r="V28">
        <v>55128.31876186555</v>
      </c>
      <c r="W28">
        <v>55199.60036969465</v>
      </c>
      <c r="X28">
        <v>55259.264851535176</v>
      </c>
      <c r="Y28">
        <v>55309.016032085587</v>
      </c>
      <c r="Z28">
        <v>55359.925041699462</v>
      </c>
      <c r="AA28">
        <v>55408.038356333367</v>
      </c>
      <c r="AB28">
        <v>55452.292298256587</v>
      </c>
      <c r="AC28">
        <v>55498.740471317666</v>
      </c>
      <c r="AD28">
        <v>55545.514288199869</v>
      </c>
      <c r="AE28">
        <v>55586.720283517308</v>
      </c>
      <c r="AF28">
        <v>55628.277570377388</v>
      </c>
      <c r="AG28">
        <v>56373.766962969559</v>
      </c>
      <c r="AH28">
        <v>56508.2136367067</v>
      </c>
      <c r="AI28">
        <v>56642.660310443898</v>
      </c>
      <c r="AJ28">
        <v>56777.106984181097</v>
      </c>
      <c r="AK28">
        <v>56911.553657918237</v>
      </c>
      <c r="AL28">
        <v>57046.000331655436</v>
      </c>
      <c r="AM28">
        <v>57180.447005392576</v>
      </c>
      <c r="AN28">
        <v>57314.893679129775</v>
      </c>
      <c r="AO28">
        <v>57449.340352866973</v>
      </c>
      <c r="AP28">
        <v>57583.787026604114</v>
      </c>
      <c r="AQ28">
        <v>57718.233700341312</v>
      </c>
      <c r="AR28">
        <v>57852.680374078453</v>
      </c>
      <c r="AS28">
        <v>57987.127047815651</v>
      </c>
      <c r="AT28">
        <v>58121.573721552792</v>
      </c>
      <c r="AU28">
        <v>58256.02039528999</v>
      </c>
      <c r="AV28">
        <v>58390.467069027189</v>
      </c>
      <c r="AW28">
        <v>58524.913742764329</v>
      </c>
      <c r="AX28">
        <v>58659.360416501528</v>
      </c>
      <c r="AY28">
        <v>58793.807090238668</v>
      </c>
      <c r="AZ28">
        <v>58928.253763975867</v>
      </c>
    </row>
    <row r="29" spans="1:52" x14ac:dyDescent="0.35">
      <c r="A29" t="s">
        <v>21</v>
      </c>
      <c r="B29">
        <v>45736.712772808729</v>
      </c>
      <c r="C29">
        <v>45736.712772808729</v>
      </c>
      <c r="D29">
        <v>45736.712772808729</v>
      </c>
      <c r="E29">
        <v>45736.712772808729</v>
      </c>
      <c r="F29">
        <v>45736.712772808729</v>
      </c>
      <c r="G29">
        <v>45736.712772808729</v>
      </c>
      <c r="H29">
        <v>45736.712772808729</v>
      </c>
      <c r="I29">
        <v>45736.712772808729</v>
      </c>
      <c r="J29">
        <v>45736.712772808729</v>
      </c>
      <c r="K29">
        <v>45736.712772808729</v>
      </c>
      <c r="L29">
        <v>45736.712772808729</v>
      </c>
      <c r="M29">
        <v>45736.712772808729</v>
      </c>
      <c r="N29">
        <v>45736.712772808729</v>
      </c>
      <c r="O29">
        <v>45736.712772808729</v>
      </c>
      <c r="P29">
        <v>45736.712772808729</v>
      </c>
      <c r="Q29">
        <v>45736.712772808729</v>
      </c>
      <c r="R29">
        <v>45736.712772808729</v>
      </c>
      <c r="S29">
        <v>45736.712772808729</v>
      </c>
      <c r="T29">
        <v>45736.712772808729</v>
      </c>
      <c r="U29">
        <v>45736.712772808729</v>
      </c>
      <c r="V29">
        <v>45736.712772808729</v>
      </c>
      <c r="W29">
        <v>45736.712772808729</v>
      </c>
      <c r="X29">
        <v>45736.712772808729</v>
      </c>
      <c r="Y29">
        <v>45736.712772808729</v>
      </c>
      <c r="Z29">
        <v>45736.712772808729</v>
      </c>
      <c r="AA29">
        <v>45736.712772808729</v>
      </c>
      <c r="AB29">
        <v>45736.712772808729</v>
      </c>
      <c r="AC29">
        <v>45736.712772808729</v>
      </c>
      <c r="AD29">
        <v>45736.712772808729</v>
      </c>
      <c r="AE29">
        <v>45736.712772808729</v>
      </c>
      <c r="AF29">
        <v>45736.712772808729</v>
      </c>
      <c r="AG29">
        <v>45736.712772808729</v>
      </c>
      <c r="AH29">
        <v>45736.712772808729</v>
      </c>
      <c r="AI29">
        <v>45736.712772808729</v>
      </c>
      <c r="AJ29">
        <v>45736.712772808729</v>
      </c>
      <c r="AK29">
        <v>45736.712772808729</v>
      </c>
      <c r="AL29">
        <v>45736.712772808729</v>
      </c>
      <c r="AM29">
        <v>45736.712772808729</v>
      </c>
      <c r="AN29">
        <v>45736.712772808729</v>
      </c>
      <c r="AO29">
        <v>45736.712772808729</v>
      </c>
      <c r="AP29">
        <v>45736.712772808729</v>
      </c>
      <c r="AQ29">
        <v>45736.712772808729</v>
      </c>
      <c r="AR29">
        <v>45736.712772808729</v>
      </c>
      <c r="AS29">
        <v>45736.712772808729</v>
      </c>
      <c r="AT29">
        <v>45736.712772808729</v>
      </c>
      <c r="AU29">
        <v>45736.712772808729</v>
      </c>
      <c r="AV29">
        <v>45736.712772808729</v>
      </c>
      <c r="AW29">
        <v>45736.712772808729</v>
      </c>
      <c r="AX29">
        <v>45736.712772808729</v>
      </c>
      <c r="AY29">
        <v>45736.712772808729</v>
      </c>
      <c r="AZ29">
        <v>45736.712772808729</v>
      </c>
    </row>
    <row r="30" spans="1:52" x14ac:dyDescent="0.35">
      <c r="A30" t="s">
        <v>22</v>
      </c>
      <c r="B30">
        <v>50818.569747565249</v>
      </c>
      <c r="C30">
        <v>50818.569747565249</v>
      </c>
      <c r="D30">
        <v>50818.569747565249</v>
      </c>
      <c r="E30">
        <v>50818.569747565249</v>
      </c>
      <c r="F30">
        <v>50818.569747565249</v>
      </c>
      <c r="G30">
        <v>50818.569747565249</v>
      </c>
      <c r="H30">
        <v>50818.569747565249</v>
      </c>
      <c r="I30">
        <v>50818.569747565249</v>
      </c>
      <c r="J30">
        <v>50818.569747565249</v>
      </c>
      <c r="K30">
        <v>50818.569747565249</v>
      </c>
      <c r="L30">
        <v>50818.569747565249</v>
      </c>
      <c r="M30">
        <v>50818.569747565249</v>
      </c>
      <c r="N30">
        <v>50818.569747565249</v>
      </c>
      <c r="O30">
        <v>50818.569747565249</v>
      </c>
      <c r="P30">
        <v>50818.569747565249</v>
      </c>
      <c r="Q30">
        <v>50818.569747565249</v>
      </c>
      <c r="R30">
        <v>50818.569747565249</v>
      </c>
      <c r="S30">
        <v>50818.569747565249</v>
      </c>
      <c r="T30">
        <v>50818.569747565249</v>
      </c>
      <c r="U30">
        <v>50818.569747565249</v>
      </c>
      <c r="V30">
        <v>50818.569747565249</v>
      </c>
      <c r="W30">
        <v>50818.569747565249</v>
      </c>
      <c r="X30">
        <v>50818.569747565249</v>
      </c>
      <c r="Y30">
        <v>50818.569747565249</v>
      </c>
      <c r="Z30">
        <v>50818.569747565249</v>
      </c>
      <c r="AA30">
        <v>50818.569747565249</v>
      </c>
      <c r="AB30">
        <v>50818.569747565249</v>
      </c>
      <c r="AC30">
        <v>50818.569747565249</v>
      </c>
      <c r="AD30">
        <v>50818.569747565249</v>
      </c>
      <c r="AE30">
        <v>50818.569747565249</v>
      </c>
      <c r="AF30">
        <v>50818.569747565249</v>
      </c>
      <c r="AG30">
        <v>50818.569747565256</v>
      </c>
      <c r="AH30">
        <v>50818.569747565256</v>
      </c>
      <c r="AI30">
        <v>50818.569747565256</v>
      </c>
      <c r="AJ30">
        <v>50818.569747565256</v>
      </c>
      <c r="AK30">
        <v>50818.569747565256</v>
      </c>
      <c r="AL30">
        <v>50818.569747565256</v>
      </c>
      <c r="AM30">
        <v>50818.569747565256</v>
      </c>
      <c r="AN30">
        <v>50818.569747565256</v>
      </c>
      <c r="AO30">
        <v>50818.569747565256</v>
      </c>
      <c r="AP30">
        <v>50818.569747565256</v>
      </c>
      <c r="AQ30">
        <v>50818.569747565256</v>
      </c>
      <c r="AR30">
        <v>50818.569747565256</v>
      </c>
      <c r="AS30">
        <v>50818.569747565256</v>
      </c>
      <c r="AT30">
        <v>50818.569747565256</v>
      </c>
      <c r="AU30">
        <v>50818.569747565256</v>
      </c>
      <c r="AV30">
        <v>50818.569747565256</v>
      </c>
      <c r="AW30">
        <v>50818.569747565256</v>
      </c>
      <c r="AX30">
        <v>50818.569747565256</v>
      </c>
      <c r="AY30">
        <v>50818.569747565256</v>
      </c>
      <c r="AZ30">
        <v>50818.569747565256</v>
      </c>
    </row>
    <row r="31" spans="1:52" x14ac:dyDescent="0.35">
      <c r="A31" t="s">
        <v>23</v>
      </c>
      <c r="B31">
        <v>52161.357273712689</v>
      </c>
      <c r="C31">
        <v>52874.433217777878</v>
      </c>
      <c r="D31">
        <v>52798.144880131753</v>
      </c>
      <c r="E31">
        <v>53057.861927947735</v>
      </c>
      <c r="F31">
        <v>53115.9471012465</v>
      </c>
      <c r="G31">
        <v>53274.279789893677</v>
      </c>
      <c r="H31">
        <v>53338.97673222256</v>
      </c>
      <c r="I31">
        <v>53375.829277970159</v>
      </c>
      <c r="J31">
        <v>53452.850156448869</v>
      </c>
      <c r="K31">
        <v>53552.129497560549</v>
      </c>
      <c r="L31">
        <v>53663.122416152037</v>
      </c>
      <c r="M31">
        <v>53805.11870505043</v>
      </c>
      <c r="N31">
        <v>53927.335083115511</v>
      </c>
      <c r="O31">
        <v>54091.064349224245</v>
      </c>
      <c r="P31">
        <v>54174.813380195294</v>
      </c>
      <c r="Q31">
        <v>54241.465918288093</v>
      </c>
      <c r="R31">
        <v>54301.252685985448</v>
      </c>
      <c r="S31">
        <v>54349.737667992602</v>
      </c>
      <c r="T31">
        <v>54381.021444176469</v>
      </c>
      <c r="U31">
        <v>54404.263302915293</v>
      </c>
      <c r="V31">
        <v>54402.46667019801</v>
      </c>
      <c r="W31">
        <v>54410.844812395866</v>
      </c>
      <c r="X31">
        <v>54406.714848606607</v>
      </c>
      <c r="Y31">
        <v>54393.488929912615</v>
      </c>
      <c r="Z31">
        <v>54380.342095567154</v>
      </c>
      <c r="AA31">
        <v>54366.310134050887</v>
      </c>
      <c r="AB31">
        <v>54349.840823476778</v>
      </c>
      <c r="AC31">
        <v>54336.108337172198</v>
      </c>
      <c r="AD31">
        <v>54322.803264693066</v>
      </c>
      <c r="AE31">
        <v>54311.188804734586</v>
      </c>
      <c r="AF31">
        <v>54296.405312174189</v>
      </c>
      <c r="AG31">
        <v>54844.01031098915</v>
      </c>
      <c r="AH31">
        <v>54904.185312601403</v>
      </c>
      <c r="AI31">
        <v>54964.360314213642</v>
      </c>
      <c r="AJ31">
        <v>55024.535315825895</v>
      </c>
      <c r="AK31">
        <v>55084.710317438134</v>
      </c>
      <c r="AL31">
        <v>55144.885319050387</v>
      </c>
      <c r="AM31">
        <v>55205.060320662626</v>
      </c>
      <c r="AN31">
        <v>55265.235322274879</v>
      </c>
      <c r="AO31">
        <v>55325.410323887118</v>
      </c>
      <c r="AP31">
        <v>55385.585325499356</v>
      </c>
      <c r="AQ31">
        <v>55445.76032711161</v>
      </c>
      <c r="AR31">
        <v>55505.935328723848</v>
      </c>
      <c r="AS31">
        <v>55566.110330336101</v>
      </c>
      <c r="AT31">
        <v>55626.28533194834</v>
      </c>
      <c r="AU31">
        <v>55686.460333560593</v>
      </c>
      <c r="AV31">
        <v>55746.635335172832</v>
      </c>
      <c r="AW31">
        <v>55806.810336785085</v>
      </c>
      <c r="AX31">
        <v>55866.985338397324</v>
      </c>
      <c r="AY31">
        <v>55927.160340009577</v>
      </c>
      <c r="AZ31">
        <v>55987.335341621816</v>
      </c>
    </row>
    <row r="32" spans="1:52" x14ac:dyDescent="0.35">
      <c r="A32" t="s">
        <v>24</v>
      </c>
      <c r="B32">
        <v>50808.769753028086</v>
      </c>
      <c r="C32">
        <v>51640.913973859664</v>
      </c>
      <c r="D32">
        <v>51593.099853789448</v>
      </c>
      <c r="E32">
        <v>51682.983929248338</v>
      </c>
      <c r="F32">
        <v>51804.867099823015</v>
      </c>
      <c r="G32">
        <v>52031.947325545785</v>
      </c>
      <c r="H32">
        <v>52221.666516864112</v>
      </c>
      <c r="I32">
        <v>52319.038136147559</v>
      </c>
      <c r="J32">
        <v>52405.242543325905</v>
      </c>
      <c r="K32">
        <v>52498.572638314232</v>
      </c>
      <c r="L32">
        <v>52586.07110011419</v>
      </c>
      <c r="M32">
        <v>52673.071111245088</v>
      </c>
      <c r="N32">
        <v>52747.27675640404</v>
      </c>
      <c r="O32">
        <v>52836.324489153783</v>
      </c>
      <c r="P32">
        <v>52896.590290360946</v>
      </c>
      <c r="Q32">
        <v>52951.005287200147</v>
      </c>
      <c r="R32">
        <v>53007.248735291767</v>
      </c>
      <c r="S32">
        <v>53063.935516911166</v>
      </c>
      <c r="T32">
        <v>53117.05645912874</v>
      </c>
      <c r="U32">
        <v>53173.350231566757</v>
      </c>
      <c r="V32">
        <v>53221.773036588631</v>
      </c>
      <c r="W32">
        <v>53270.304877694347</v>
      </c>
      <c r="X32">
        <v>53318.440115022524</v>
      </c>
      <c r="Y32">
        <v>53364.074711614288</v>
      </c>
      <c r="Z32">
        <v>53411.294525117541</v>
      </c>
      <c r="AA32">
        <v>53459.946186095629</v>
      </c>
      <c r="AB32">
        <v>53508.190459507663</v>
      </c>
      <c r="AC32">
        <v>53558.081057966097</v>
      </c>
      <c r="AD32">
        <v>53607.897368103659</v>
      </c>
      <c r="AE32">
        <v>53658.32236319287</v>
      </c>
      <c r="AF32">
        <v>53690.116566326891</v>
      </c>
      <c r="AG32">
        <v>54004.876970348952</v>
      </c>
      <c r="AH32">
        <v>54081.537682176117</v>
      </c>
      <c r="AI32">
        <v>54158.198394003251</v>
      </c>
      <c r="AJ32">
        <v>54234.859105830386</v>
      </c>
      <c r="AK32">
        <v>54311.51981765755</v>
      </c>
      <c r="AL32">
        <v>54388.180529484685</v>
      </c>
      <c r="AM32">
        <v>54464.841241311849</v>
      </c>
      <c r="AN32">
        <v>54541.501953138984</v>
      </c>
      <c r="AO32">
        <v>54618.162664966148</v>
      </c>
      <c r="AP32">
        <v>54694.823376793283</v>
      </c>
      <c r="AQ32">
        <v>54771.484088620418</v>
      </c>
      <c r="AR32">
        <v>54848.144800447582</v>
      </c>
      <c r="AS32">
        <v>54924.805512274717</v>
      </c>
      <c r="AT32">
        <v>55001.466224101881</v>
      </c>
      <c r="AU32">
        <v>55078.126935929016</v>
      </c>
      <c r="AV32">
        <v>55154.787647756151</v>
      </c>
      <c r="AW32">
        <v>55231.448359583315</v>
      </c>
      <c r="AX32">
        <v>55308.10907141045</v>
      </c>
      <c r="AY32">
        <v>55384.769783237614</v>
      </c>
      <c r="AZ32">
        <v>55461.430495064749</v>
      </c>
    </row>
    <row r="33" spans="1:52" x14ac:dyDescent="0.35">
      <c r="A33" t="s">
        <v>25</v>
      </c>
      <c r="B33">
        <v>93314.030234707883</v>
      </c>
      <c r="C33">
        <v>93293.734761478991</v>
      </c>
      <c r="D33">
        <v>91275.804875300295</v>
      </c>
      <c r="E33">
        <v>89499.402378532555</v>
      </c>
      <c r="F33">
        <v>87705.044690741968</v>
      </c>
      <c r="G33">
        <v>85847.773670105715</v>
      </c>
      <c r="H33">
        <v>84216.142293394922</v>
      </c>
      <c r="I33">
        <v>82714.550755714547</v>
      </c>
      <c r="J33">
        <v>81282.281192855051</v>
      </c>
      <c r="K33">
        <v>79917.566781168949</v>
      </c>
      <c r="L33">
        <v>78616.541169219578</v>
      </c>
      <c r="M33">
        <v>77378.157245189417</v>
      </c>
      <c r="N33">
        <v>76192.257966299658</v>
      </c>
      <c r="O33">
        <v>75069.996181367562</v>
      </c>
      <c r="P33">
        <v>73968.532841764274</v>
      </c>
      <c r="Q33">
        <v>72912.429795944918</v>
      </c>
      <c r="R33">
        <v>71906.51657786651</v>
      </c>
      <c r="S33">
        <v>70947.153255713696</v>
      </c>
      <c r="T33">
        <v>70032.372214222414</v>
      </c>
      <c r="U33">
        <v>69161.015083525883</v>
      </c>
      <c r="V33">
        <v>68328.087321646148</v>
      </c>
      <c r="W33">
        <v>67535.287825245599</v>
      </c>
      <c r="X33">
        <v>66779.120566338592</v>
      </c>
      <c r="Y33">
        <v>66057.957325789554</v>
      </c>
      <c r="Z33">
        <v>65370.857440835665</v>
      </c>
      <c r="AA33">
        <v>64715.908623654934</v>
      </c>
      <c r="AB33">
        <v>64091.238152548773</v>
      </c>
      <c r="AC33">
        <v>63496.192070051569</v>
      </c>
      <c r="AD33">
        <v>62928.631082440821</v>
      </c>
      <c r="AE33">
        <v>62388.175276684538</v>
      </c>
      <c r="AF33">
        <v>61848.240030216301</v>
      </c>
      <c r="AG33">
        <v>57715.443230098113</v>
      </c>
      <c r="AH33">
        <v>56647.676577784587</v>
      </c>
      <c r="AI33">
        <v>55579.90992547106</v>
      </c>
      <c r="AJ33">
        <v>54512.143273157533</v>
      </c>
      <c r="AK33">
        <v>53444.376620844007</v>
      </c>
      <c r="AL33">
        <v>52376.609968530014</v>
      </c>
      <c r="AM33">
        <v>51308.843316216487</v>
      </c>
      <c r="AN33">
        <v>50241.076663902961</v>
      </c>
      <c r="AO33">
        <v>49173.310011589434</v>
      </c>
      <c r="AP33">
        <v>48105.543359275907</v>
      </c>
      <c r="AQ33">
        <v>47037.776706962381</v>
      </c>
      <c r="AR33">
        <v>45970.010054648854</v>
      </c>
      <c r="AS33">
        <v>44902.243402335327</v>
      </c>
      <c r="AT33">
        <v>43834.4767500218</v>
      </c>
      <c r="AU33">
        <v>42766.710097708274</v>
      </c>
      <c r="AV33">
        <v>41698.943445394747</v>
      </c>
      <c r="AW33">
        <v>40631.17679308122</v>
      </c>
      <c r="AX33">
        <v>39563.410140767694</v>
      </c>
      <c r="AY33">
        <v>38495.643488454167</v>
      </c>
      <c r="AZ33">
        <v>37427.87683614064</v>
      </c>
    </row>
    <row r="35" spans="1:52" x14ac:dyDescent="0.35">
      <c r="A35" s="9" t="s">
        <v>36</v>
      </c>
    </row>
    <row r="36" spans="1:52" s="9" customFormat="1" x14ac:dyDescent="0.35">
      <c r="A36" s="9" t="s">
        <v>18</v>
      </c>
      <c r="B36" s="9">
        <v>2020</v>
      </c>
      <c r="C36" s="9">
        <v>2021</v>
      </c>
      <c r="D36" s="9">
        <v>2022</v>
      </c>
      <c r="E36" s="9">
        <v>2023</v>
      </c>
      <c r="F36" s="9">
        <v>2024</v>
      </c>
      <c r="G36" s="9">
        <v>2025</v>
      </c>
      <c r="H36" s="9">
        <v>2026</v>
      </c>
      <c r="I36" s="9">
        <v>2027</v>
      </c>
      <c r="J36" s="9">
        <v>2028</v>
      </c>
      <c r="K36" s="9">
        <v>2029</v>
      </c>
      <c r="L36" s="9">
        <v>2030</v>
      </c>
      <c r="M36" s="9">
        <v>2031</v>
      </c>
      <c r="N36" s="9">
        <v>2032</v>
      </c>
      <c r="O36" s="9">
        <v>2033</v>
      </c>
      <c r="P36" s="9">
        <v>2034</v>
      </c>
      <c r="Q36" s="9">
        <v>2035</v>
      </c>
      <c r="R36" s="9">
        <v>2036</v>
      </c>
      <c r="S36" s="9">
        <v>2037</v>
      </c>
      <c r="T36" s="9">
        <v>2038</v>
      </c>
      <c r="U36" s="9">
        <v>2039</v>
      </c>
      <c r="V36" s="9">
        <v>2040</v>
      </c>
      <c r="W36" s="9">
        <v>2041</v>
      </c>
      <c r="X36" s="9">
        <v>2042</v>
      </c>
      <c r="Y36" s="9">
        <v>2043</v>
      </c>
      <c r="Z36" s="9">
        <v>2044</v>
      </c>
      <c r="AA36" s="9">
        <v>2045</v>
      </c>
      <c r="AB36" s="9">
        <v>2046</v>
      </c>
      <c r="AC36" s="9">
        <v>2047</v>
      </c>
      <c r="AD36" s="9">
        <v>2048</v>
      </c>
      <c r="AE36" s="9">
        <v>2049</v>
      </c>
      <c r="AF36" s="9">
        <v>2050</v>
      </c>
      <c r="AG36" s="9">
        <v>2051</v>
      </c>
      <c r="AH36" s="9">
        <v>2052</v>
      </c>
      <c r="AI36" s="9">
        <v>2053</v>
      </c>
      <c r="AJ36" s="9">
        <v>2054</v>
      </c>
      <c r="AK36" s="9">
        <v>2055</v>
      </c>
      <c r="AL36" s="9">
        <v>2056</v>
      </c>
      <c r="AM36" s="9">
        <v>2057</v>
      </c>
      <c r="AN36" s="9">
        <v>2058</v>
      </c>
      <c r="AO36" s="9">
        <v>2059</v>
      </c>
      <c r="AP36" s="9">
        <v>2060</v>
      </c>
      <c r="AQ36" s="9">
        <v>2061</v>
      </c>
      <c r="AR36" s="9">
        <v>2062</v>
      </c>
      <c r="AS36" s="9">
        <v>2063</v>
      </c>
      <c r="AT36" s="9">
        <v>2064</v>
      </c>
      <c r="AU36" s="9">
        <v>2065</v>
      </c>
      <c r="AV36" s="9">
        <v>2066</v>
      </c>
      <c r="AW36" s="9">
        <v>2067</v>
      </c>
      <c r="AX36" s="9">
        <v>2068</v>
      </c>
      <c r="AY36" s="9">
        <v>2069</v>
      </c>
      <c r="AZ36" s="9">
        <v>2070</v>
      </c>
    </row>
    <row r="37" spans="1:52" x14ac:dyDescent="0.35">
      <c r="A37" t="s">
        <v>19</v>
      </c>
      <c r="B37">
        <v>787140.3957018829</v>
      </c>
      <c r="C37">
        <v>787140.3957018829</v>
      </c>
      <c r="D37">
        <v>787140.3957018829</v>
      </c>
      <c r="E37">
        <v>787140.3957018829</v>
      </c>
      <c r="F37">
        <v>787140.3957018829</v>
      </c>
      <c r="G37">
        <v>787140.3957018829</v>
      </c>
      <c r="H37">
        <v>787140.3957018829</v>
      </c>
      <c r="I37">
        <v>787140.3957018829</v>
      </c>
      <c r="J37">
        <v>787140.3957018829</v>
      </c>
      <c r="K37">
        <v>787140.3957018829</v>
      </c>
      <c r="L37">
        <v>787140.3957018829</v>
      </c>
      <c r="M37">
        <v>787140.3957018829</v>
      </c>
      <c r="N37">
        <v>787140.3957018829</v>
      </c>
      <c r="O37">
        <v>787140.3957018829</v>
      </c>
      <c r="P37">
        <v>787140.3957018829</v>
      </c>
      <c r="Q37">
        <v>787140.3957018829</v>
      </c>
      <c r="R37">
        <v>787140.3957018829</v>
      </c>
      <c r="S37">
        <v>787140.3957018829</v>
      </c>
      <c r="T37">
        <v>787140.3957018829</v>
      </c>
      <c r="U37">
        <v>787140.3957018829</v>
      </c>
      <c r="V37">
        <v>787140.3957018829</v>
      </c>
      <c r="W37">
        <v>787140.3957018829</v>
      </c>
      <c r="X37">
        <v>787140.3957018829</v>
      </c>
      <c r="Y37">
        <v>787140.3957018829</v>
      </c>
      <c r="Z37">
        <v>787140.3957018829</v>
      </c>
      <c r="AA37">
        <v>787140.3957018829</v>
      </c>
      <c r="AB37">
        <v>787140.3957018829</v>
      </c>
      <c r="AC37">
        <v>787140.3957018829</v>
      </c>
      <c r="AD37">
        <v>787140.3957018829</v>
      </c>
      <c r="AE37">
        <v>787140.3957018829</v>
      </c>
      <c r="AF37">
        <v>787140.3957018829</v>
      </c>
      <c r="AG37">
        <v>787140.39570188266</v>
      </c>
      <c r="AH37">
        <v>787140.39570188266</v>
      </c>
      <c r="AI37">
        <v>787140.39570188266</v>
      </c>
      <c r="AJ37">
        <v>787140.39570188266</v>
      </c>
      <c r="AK37">
        <v>787140.39570188266</v>
      </c>
      <c r="AL37">
        <v>787140.39570188266</v>
      </c>
      <c r="AM37">
        <v>787140.39570188266</v>
      </c>
      <c r="AN37">
        <v>787140.39570188266</v>
      </c>
      <c r="AO37">
        <v>787140.39570188266</v>
      </c>
      <c r="AP37">
        <v>787140.39570188266</v>
      </c>
      <c r="AQ37">
        <v>787140.39570188266</v>
      </c>
      <c r="AR37">
        <v>787140.39570188266</v>
      </c>
      <c r="AS37">
        <v>787140.39570188266</v>
      </c>
      <c r="AT37">
        <v>787140.39570188266</v>
      </c>
      <c r="AU37">
        <v>787140.39570188266</v>
      </c>
      <c r="AV37">
        <v>787140.39570188266</v>
      </c>
      <c r="AW37">
        <v>787140.39570188266</v>
      </c>
      <c r="AX37">
        <v>787140.39570188266</v>
      </c>
      <c r="AY37">
        <v>787140.39570188266</v>
      </c>
      <c r="AZ37">
        <v>787140.39570188266</v>
      </c>
    </row>
    <row r="38" spans="1:52" x14ac:dyDescent="0.35">
      <c r="A38" t="s">
        <v>20</v>
      </c>
      <c r="B38">
        <v>543571.42857142817</v>
      </c>
      <c r="C38">
        <v>539660.98966483981</v>
      </c>
      <c r="D38">
        <v>541991.41685189621</v>
      </c>
      <c r="E38">
        <v>545628.39596450096</v>
      </c>
      <c r="F38">
        <v>548431.51960127836</v>
      </c>
      <c r="G38">
        <v>551178.87624911743</v>
      </c>
      <c r="H38">
        <v>553713.53362174879</v>
      </c>
      <c r="I38">
        <v>556009.2331433699</v>
      </c>
      <c r="J38">
        <v>558455.86755431362</v>
      </c>
      <c r="K38">
        <v>560785.53790372075</v>
      </c>
      <c r="L38">
        <v>562943.57603860414</v>
      </c>
      <c r="M38">
        <v>565272.73285409482</v>
      </c>
      <c r="N38">
        <v>567069.85934962146</v>
      </c>
      <c r="O38">
        <v>569459.97679924546</v>
      </c>
      <c r="P38">
        <v>570852.91174196964</v>
      </c>
      <c r="Q38">
        <v>571983.00069701206</v>
      </c>
      <c r="R38">
        <v>572979.15355255618</v>
      </c>
      <c r="S38">
        <v>573958.32971718698</v>
      </c>
      <c r="T38">
        <v>574868.62175620347</v>
      </c>
      <c r="U38">
        <v>575803.27071212628</v>
      </c>
      <c r="V38">
        <v>576460.15471782605</v>
      </c>
      <c r="W38">
        <v>577205.52493046038</v>
      </c>
      <c r="X38">
        <v>577829.41837044561</v>
      </c>
      <c r="Y38">
        <v>578349.65141730069</v>
      </c>
      <c r="Z38">
        <v>578881.99153246579</v>
      </c>
      <c r="AA38">
        <v>579385.09791083471</v>
      </c>
      <c r="AB38">
        <v>579847.84799610625</v>
      </c>
      <c r="AC38">
        <v>580333.54249270086</v>
      </c>
      <c r="AD38">
        <v>580822.64214823593</v>
      </c>
      <c r="AE38">
        <v>581253.52077775844</v>
      </c>
      <c r="AF38">
        <v>581688.07275668776</v>
      </c>
      <c r="AG38">
        <v>589483.42984803114</v>
      </c>
      <c r="AH38">
        <v>590889.29804942897</v>
      </c>
      <c r="AI38">
        <v>592295.16625082679</v>
      </c>
      <c r="AJ38">
        <v>593701.03445222462</v>
      </c>
      <c r="AK38">
        <v>595106.90265362244</v>
      </c>
      <c r="AL38">
        <v>596512.77085502027</v>
      </c>
      <c r="AM38">
        <v>597918.63905641809</v>
      </c>
      <c r="AN38">
        <v>599324.50725781592</v>
      </c>
      <c r="AO38">
        <v>600730.37545921374</v>
      </c>
      <c r="AP38">
        <v>602136.24366061157</v>
      </c>
      <c r="AQ38">
        <v>603542.11186200893</v>
      </c>
      <c r="AR38">
        <v>604947.98006340675</v>
      </c>
      <c r="AS38">
        <v>606353.84826480458</v>
      </c>
      <c r="AT38">
        <v>607759.7164662024</v>
      </c>
      <c r="AU38">
        <v>609165.58466760023</v>
      </c>
      <c r="AV38">
        <v>610571.45286899805</v>
      </c>
      <c r="AW38">
        <v>611977.32107039588</v>
      </c>
      <c r="AX38">
        <v>613383.1892717937</v>
      </c>
      <c r="AY38">
        <v>614789.05747319153</v>
      </c>
      <c r="AZ38">
        <v>616194.92567458935</v>
      </c>
    </row>
    <row r="39" spans="1:52" x14ac:dyDescent="0.35">
      <c r="A39" t="s">
        <v>21</v>
      </c>
      <c r="B39">
        <v>425813.12231705768</v>
      </c>
      <c r="C39">
        <v>425813.12231705768</v>
      </c>
      <c r="D39">
        <v>425813.12231705768</v>
      </c>
      <c r="E39">
        <v>425813.12231705768</v>
      </c>
      <c r="F39">
        <v>425813.12231705768</v>
      </c>
      <c r="G39">
        <v>425813.12231705768</v>
      </c>
      <c r="H39">
        <v>425813.12231705768</v>
      </c>
      <c r="I39">
        <v>425813.12231705768</v>
      </c>
      <c r="J39">
        <v>425813.12231705768</v>
      </c>
      <c r="K39">
        <v>425813.12231705768</v>
      </c>
      <c r="L39">
        <v>425813.12231705768</v>
      </c>
      <c r="M39">
        <v>425813.12231705768</v>
      </c>
      <c r="N39">
        <v>425813.12231705768</v>
      </c>
      <c r="O39">
        <v>425813.12231705768</v>
      </c>
      <c r="P39">
        <v>425813.12231705768</v>
      </c>
      <c r="Q39">
        <v>425813.12231705768</v>
      </c>
      <c r="R39">
        <v>425813.12231705768</v>
      </c>
      <c r="S39">
        <v>425813.12231705768</v>
      </c>
      <c r="T39">
        <v>425813.12231705768</v>
      </c>
      <c r="U39">
        <v>425813.12231705768</v>
      </c>
      <c r="V39">
        <v>425813.12231705768</v>
      </c>
      <c r="W39">
        <v>425813.12231705768</v>
      </c>
      <c r="X39">
        <v>425813.12231705768</v>
      </c>
      <c r="Y39">
        <v>425813.12231705768</v>
      </c>
      <c r="Z39">
        <v>425813.12231705768</v>
      </c>
      <c r="AA39">
        <v>425813.12231705768</v>
      </c>
      <c r="AB39">
        <v>425813.12231705768</v>
      </c>
      <c r="AC39">
        <v>425813.12231705768</v>
      </c>
      <c r="AD39">
        <v>425813.12231705768</v>
      </c>
      <c r="AE39">
        <v>425813.12231705768</v>
      </c>
      <c r="AF39">
        <v>425813.12231705768</v>
      </c>
      <c r="AG39">
        <v>425813.12231705757</v>
      </c>
      <c r="AH39">
        <v>425813.12231705757</v>
      </c>
      <c r="AI39">
        <v>425813.12231705757</v>
      </c>
      <c r="AJ39">
        <v>425813.12231705757</v>
      </c>
      <c r="AK39">
        <v>425813.12231705757</v>
      </c>
      <c r="AL39">
        <v>425813.12231705757</v>
      </c>
      <c r="AM39">
        <v>425813.12231705757</v>
      </c>
      <c r="AN39">
        <v>425813.12231705757</v>
      </c>
      <c r="AO39">
        <v>425813.12231705757</v>
      </c>
      <c r="AP39">
        <v>425813.12231705757</v>
      </c>
      <c r="AQ39">
        <v>425813.12231705757</v>
      </c>
      <c r="AR39">
        <v>425813.12231705757</v>
      </c>
      <c r="AS39">
        <v>425813.12231705757</v>
      </c>
      <c r="AT39">
        <v>425813.12231705757</v>
      </c>
      <c r="AU39">
        <v>425813.12231705757</v>
      </c>
      <c r="AV39">
        <v>425813.12231705757</v>
      </c>
      <c r="AW39">
        <v>425813.12231705757</v>
      </c>
      <c r="AX39">
        <v>425813.12231705757</v>
      </c>
      <c r="AY39">
        <v>425813.12231705757</v>
      </c>
      <c r="AZ39">
        <v>425813.12231705757</v>
      </c>
    </row>
    <row r="40" spans="1:52" x14ac:dyDescent="0.35">
      <c r="A40" t="s">
        <v>22</v>
      </c>
      <c r="B40">
        <v>425813.12231705768</v>
      </c>
      <c r="C40">
        <v>425813.12231705768</v>
      </c>
      <c r="D40">
        <v>425813.12231705768</v>
      </c>
      <c r="E40">
        <v>425813.12231705768</v>
      </c>
      <c r="F40">
        <v>425813.12231705768</v>
      </c>
      <c r="G40">
        <v>425813.12231705768</v>
      </c>
      <c r="H40">
        <v>425813.12231705768</v>
      </c>
      <c r="I40">
        <v>425813.12231705768</v>
      </c>
      <c r="J40">
        <v>425813.12231705768</v>
      </c>
      <c r="K40">
        <v>425813.12231705768</v>
      </c>
      <c r="L40">
        <v>425813.12231705768</v>
      </c>
      <c r="M40">
        <v>425813.12231705768</v>
      </c>
      <c r="N40">
        <v>425813.12231705768</v>
      </c>
      <c r="O40">
        <v>425813.12231705768</v>
      </c>
      <c r="P40">
        <v>425813.12231705768</v>
      </c>
      <c r="Q40">
        <v>425813.12231705768</v>
      </c>
      <c r="R40">
        <v>425813.12231705768</v>
      </c>
      <c r="S40">
        <v>425813.12231705768</v>
      </c>
      <c r="T40">
        <v>425813.12231705768</v>
      </c>
      <c r="U40">
        <v>425813.12231705768</v>
      </c>
      <c r="V40">
        <v>425813.12231705768</v>
      </c>
      <c r="W40">
        <v>425813.12231705768</v>
      </c>
      <c r="X40">
        <v>425813.12231705768</v>
      </c>
      <c r="Y40">
        <v>425813.12231705768</v>
      </c>
      <c r="Z40">
        <v>425813.12231705768</v>
      </c>
      <c r="AA40">
        <v>425813.12231705768</v>
      </c>
      <c r="AB40">
        <v>425813.12231705768</v>
      </c>
      <c r="AC40">
        <v>425813.12231705768</v>
      </c>
      <c r="AD40">
        <v>425813.12231705768</v>
      </c>
      <c r="AE40">
        <v>425813.12231705768</v>
      </c>
      <c r="AF40">
        <v>425813.12231705768</v>
      </c>
      <c r="AG40">
        <v>425813.12231705757</v>
      </c>
      <c r="AH40">
        <v>425813.12231705757</v>
      </c>
      <c r="AI40">
        <v>425813.12231705757</v>
      </c>
      <c r="AJ40">
        <v>425813.12231705757</v>
      </c>
      <c r="AK40">
        <v>425813.12231705757</v>
      </c>
      <c r="AL40">
        <v>425813.12231705757</v>
      </c>
      <c r="AM40">
        <v>425813.12231705757</v>
      </c>
      <c r="AN40">
        <v>425813.12231705757</v>
      </c>
      <c r="AO40">
        <v>425813.12231705757</v>
      </c>
      <c r="AP40">
        <v>425813.12231705757</v>
      </c>
      <c r="AQ40">
        <v>425813.12231705757</v>
      </c>
      <c r="AR40">
        <v>425813.12231705757</v>
      </c>
      <c r="AS40">
        <v>425813.12231705757</v>
      </c>
      <c r="AT40">
        <v>425813.12231705757</v>
      </c>
      <c r="AU40">
        <v>425813.12231705757</v>
      </c>
      <c r="AV40">
        <v>425813.12231705757</v>
      </c>
      <c r="AW40">
        <v>425813.12231705757</v>
      </c>
      <c r="AX40">
        <v>425813.12231705757</v>
      </c>
      <c r="AY40">
        <v>425813.12231705757</v>
      </c>
      <c r="AZ40">
        <v>425813.12231705757</v>
      </c>
    </row>
    <row r="41" spans="1:52" x14ac:dyDescent="0.35">
      <c r="A41" t="s">
        <v>23</v>
      </c>
      <c r="B41">
        <v>616714.28571428731</v>
      </c>
      <c r="C41">
        <v>625145.1269440616</v>
      </c>
      <c r="D41">
        <v>624243.15448554442</v>
      </c>
      <c r="E41">
        <v>627313.84171462036</v>
      </c>
      <c r="F41">
        <v>628000.59447631647</v>
      </c>
      <c r="G41">
        <v>629872.59390439652</v>
      </c>
      <c r="H41">
        <v>630637.51894971076</v>
      </c>
      <c r="I41">
        <v>631073.23405789386</v>
      </c>
      <c r="J41">
        <v>631983.86749495775</v>
      </c>
      <c r="K41">
        <v>633157.66724135983</v>
      </c>
      <c r="L41">
        <v>634469.95898540528</v>
      </c>
      <c r="M41">
        <v>636148.80985238962</v>
      </c>
      <c r="N41">
        <v>637593.79882967949</v>
      </c>
      <c r="O41">
        <v>639529.60308547982</v>
      </c>
      <c r="P41">
        <v>640519.78483139467</v>
      </c>
      <c r="Q41">
        <v>641307.83128128375</v>
      </c>
      <c r="R41">
        <v>642014.70233799645</v>
      </c>
      <c r="S41">
        <v>642587.95009475073</v>
      </c>
      <c r="T41">
        <v>642957.82451313373</v>
      </c>
      <c r="U41">
        <v>643232.61771369353</v>
      </c>
      <c r="V41">
        <v>643211.37576139695</v>
      </c>
      <c r="W41">
        <v>643310.43223253242</v>
      </c>
      <c r="X41">
        <v>643261.6028346516</v>
      </c>
      <c r="Y41">
        <v>643105.23012070009</v>
      </c>
      <c r="Z41">
        <v>642949.79243700986</v>
      </c>
      <c r="AA41">
        <v>642783.88971560891</v>
      </c>
      <c r="AB41">
        <v>642589.16972292133</v>
      </c>
      <c r="AC41">
        <v>642426.80775756878</v>
      </c>
      <c r="AD41">
        <v>642269.49919239304</v>
      </c>
      <c r="AE41">
        <v>642132.17908126814</v>
      </c>
      <c r="AF41">
        <v>641957.39085620525</v>
      </c>
      <c r="AG41">
        <v>648431.83560513321</v>
      </c>
      <c r="AH41">
        <v>649143.29683000932</v>
      </c>
      <c r="AI41">
        <v>649854.7580548852</v>
      </c>
      <c r="AJ41">
        <v>650566.21927976131</v>
      </c>
      <c r="AK41">
        <v>651277.68050463742</v>
      </c>
      <c r="AL41">
        <v>651989.1417295133</v>
      </c>
      <c r="AM41">
        <v>652700.60295438941</v>
      </c>
      <c r="AN41">
        <v>653412.06417926552</v>
      </c>
      <c r="AO41">
        <v>654123.5254041414</v>
      </c>
      <c r="AP41">
        <v>654834.98662901751</v>
      </c>
      <c r="AQ41">
        <v>655546.44785389362</v>
      </c>
      <c r="AR41">
        <v>656257.9090787695</v>
      </c>
      <c r="AS41">
        <v>656969.37030364561</v>
      </c>
      <c r="AT41">
        <v>657680.83152852172</v>
      </c>
      <c r="AU41">
        <v>658392.2927533976</v>
      </c>
      <c r="AV41">
        <v>659103.75397827371</v>
      </c>
      <c r="AW41">
        <v>659815.21520314983</v>
      </c>
      <c r="AX41">
        <v>660526.6764280257</v>
      </c>
      <c r="AY41">
        <v>661238.13765290182</v>
      </c>
      <c r="AZ41">
        <v>661949.59887777793</v>
      </c>
    </row>
    <row r="42" spans="1:52" x14ac:dyDescent="0.35">
      <c r="A42" t="s">
        <v>24</v>
      </c>
      <c r="B42">
        <v>556134.72977445973</v>
      </c>
      <c r="C42">
        <v>565243.08456508059</v>
      </c>
      <c r="D42">
        <v>564719.72820605233</v>
      </c>
      <c r="E42">
        <v>565703.56733971636</v>
      </c>
      <c r="F42">
        <v>567037.65719194245</v>
      </c>
      <c r="G42">
        <v>569523.19660931686</v>
      </c>
      <c r="H42">
        <v>571599.79542699561</v>
      </c>
      <c r="I42">
        <v>572665.59055333154</v>
      </c>
      <c r="J42">
        <v>573609.15334622201</v>
      </c>
      <c r="K42">
        <v>574630.71138449875</v>
      </c>
      <c r="L42">
        <v>575588.43843920482</v>
      </c>
      <c r="M42">
        <v>576540.70963010029</v>
      </c>
      <c r="N42">
        <v>577352.93823982286</v>
      </c>
      <c r="O42">
        <v>578327.6230635359</v>
      </c>
      <c r="P42">
        <v>578987.2710973674</v>
      </c>
      <c r="Q42">
        <v>579582.87830671226</v>
      </c>
      <c r="R42">
        <v>580198.49909340043</v>
      </c>
      <c r="S42">
        <v>580818.97245126613</v>
      </c>
      <c r="T42">
        <v>581400.41539879551</v>
      </c>
      <c r="U42">
        <v>582016.58701788762</v>
      </c>
      <c r="V42">
        <v>582546.60582599207</v>
      </c>
      <c r="W42">
        <v>583077.81810430519</v>
      </c>
      <c r="X42">
        <v>583604.68929867295</v>
      </c>
      <c r="Y42">
        <v>584104.1893685878</v>
      </c>
      <c r="Z42">
        <v>584621.04065922683</v>
      </c>
      <c r="AA42">
        <v>585153.56444326346</v>
      </c>
      <c r="AB42">
        <v>585681.62910783966</v>
      </c>
      <c r="AC42">
        <v>586227.71386105916</v>
      </c>
      <c r="AD42">
        <v>586772.98548072984</v>
      </c>
      <c r="AE42">
        <v>587324.91954947694</v>
      </c>
      <c r="AF42">
        <v>587672.92759325122</v>
      </c>
      <c r="AG42">
        <v>591118.18306952831</v>
      </c>
      <c r="AH42">
        <v>591957.28396615572</v>
      </c>
      <c r="AI42">
        <v>592796.38486278336</v>
      </c>
      <c r="AJ42">
        <v>593635.48575941077</v>
      </c>
      <c r="AK42">
        <v>594474.58665603842</v>
      </c>
      <c r="AL42">
        <v>595313.68755266606</v>
      </c>
      <c r="AM42">
        <v>596152.78844929347</v>
      </c>
      <c r="AN42">
        <v>596991.88934592111</v>
      </c>
      <c r="AO42">
        <v>597830.99024254852</v>
      </c>
      <c r="AP42">
        <v>598670.09113917616</v>
      </c>
      <c r="AQ42">
        <v>599509.19203580357</v>
      </c>
      <c r="AR42">
        <v>600348.29293243121</v>
      </c>
      <c r="AS42">
        <v>601187.39382905862</v>
      </c>
      <c r="AT42">
        <v>602026.49472568627</v>
      </c>
      <c r="AU42">
        <v>602865.59562231391</v>
      </c>
      <c r="AV42">
        <v>603704.69651894132</v>
      </c>
      <c r="AW42">
        <v>604543.79741556896</v>
      </c>
      <c r="AX42">
        <v>605382.89831219637</v>
      </c>
      <c r="AY42">
        <v>606221.99920882401</v>
      </c>
      <c r="AZ42">
        <v>607061.10010545142</v>
      </c>
    </row>
    <row r="43" spans="1:52" x14ac:dyDescent="0.35">
      <c r="A43" t="s">
        <v>25</v>
      </c>
      <c r="B43">
        <v>856850.98221778462</v>
      </c>
      <c r="C43">
        <v>856664.620144182</v>
      </c>
      <c r="D43">
        <v>838135.08926152915</v>
      </c>
      <c r="E43">
        <v>821823.37043059792</v>
      </c>
      <c r="F43">
        <v>805346.7790395047</v>
      </c>
      <c r="G43">
        <v>788292.48940830969</v>
      </c>
      <c r="H43">
        <v>773310.12347431772</v>
      </c>
      <c r="I43">
        <v>759521.84125442919</v>
      </c>
      <c r="J43">
        <v>746370.10427929286</v>
      </c>
      <c r="K43">
        <v>733838.68878733763</v>
      </c>
      <c r="L43">
        <v>721892.09221782547</v>
      </c>
      <c r="M43">
        <v>710520.69952372578</v>
      </c>
      <c r="N43">
        <v>699631.24421489157</v>
      </c>
      <c r="O43">
        <v>689326.13671598863</v>
      </c>
      <c r="P43">
        <v>679212.00980450388</v>
      </c>
      <c r="Q43">
        <v>669514.40131136077</v>
      </c>
      <c r="R43">
        <v>660277.65816814429</v>
      </c>
      <c r="S43">
        <v>651468.3568999134</v>
      </c>
      <c r="T43">
        <v>643068.42998705269</v>
      </c>
      <c r="U43">
        <v>635067.24076157552</v>
      </c>
      <c r="V43">
        <v>627418.92711476376</v>
      </c>
      <c r="W43">
        <v>620139.08907236077</v>
      </c>
      <c r="X43">
        <v>613195.62454847607</v>
      </c>
      <c r="Y43">
        <v>606573.58250989346</v>
      </c>
      <c r="Z43">
        <v>600264.32537220872</v>
      </c>
      <c r="AA43">
        <v>594250.29365701915</v>
      </c>
      <c r="AB43">
        <v>588514.29119968798</v>
      </c>
      <c r="AC43">
        <v>583050.31307153159</v>
      </c>
      <c r="AD43">
        <v>577838.71532487369</v>
      </c>
      <c r="AE43">
        <v>572876.00942906376</v>
      </c>
      <c r="AF43">
        <v>567918.08354046312</v>
      </c>
      <c r="AG43">
        <v>529968.90281618759</v>
      </c>
      <c r="AH43">
        <v>520164.19389392808</v>
      </c>
      <c r="AI43">
        <v>510359.48497166857</v>
      </c>
      <c r="AJ43">
        <v>500554.77604940534</v>
      </c>
      <c r="AK43">
        <v>490750.06712714583</v>
      </c>
      <c r="AL43">
        <v>480945.35820488632</v>
      </c>
      <c r="AM43">
        <v>471140.64928262681</v>
      </c>
      <c r="AN43">
        <v>461335.9403603673</v>
      </c>
      <c r="AO43">
        <v>451531.23143810779</v>
      </c>
      <c r="AP43">
        <v>441726.52251584828</v>
      </c>
      <c r="AQ43">
        <v>431921.81359358877</v>
      </c>
      <c r="AR43">
        <v>422117.10467132926</v>
      </c>
      <c r="AS43">
        <v>412312.39574906975</v>
      </c>
      <c r="AT43">
        <v>402507.68682680652</v>
      </c>
      <c r="AU43">
        <v>392702.97790454701</v>
      </c>
      <c r="AV43">
        <v>382898.2689822875</v>
      </c>
      <c r="AW43">
        <v>373093.56006002799</v>
      </c>
      <c r="AX43">
        <v>363288.85113776848</v>
      </c>
      <c r="AY43">
        <v>353484.14221550897</v>
      </c>
      <c r="AZ43">
        <v>343679.43329324946</v>
      </c>
    </row>
    <row r="45" spans="1:52" x14ac:dyDescent="0.35">
      <c r="A45" s="9" t="s">
        <v>37</v>
      </c>
    </row>
    <row r="46" spans="1:52" s="9" customFormat="1" x14ac:dyDescent="0.35">
      <c r="A46" s="9" t="s">
        <v>18</v>
      </c>
      <c r="B46" s="9">
        <v>2020</v>
      </c>
      <c r="C46" s="9">
        <v>2021</v>
      </c>
      <c r="D46" s="9">
        <v>2022</v>
      </c>
      <c r="E46" s="9">
        <v>2023</v>
      </c>
      <c r="F46" s="9">
        <v>2024</v>
      </c>
      <c r="G46" s="9">
        <v>2025</v>
      </c>
      <c r="H46" s="9">
        <v>2026</v>
      </c>
      <c r="I46" s="9">
        <v>2027</v>
      </c>
      <c r="J46" s="9">
        <v>2028</v>
      </c>
      <c r="K46" s="9">
        <v>2029</v>
      </c>
      <c r="L46" s="9">
        <v>2030</v>
      </c>
      <c r="M46" s="9">
        <v>2031</v>
      </c>
      <c r="N46" s="9">
        <v>2032</v>
      </c>
      <c r="O46" s="9">
        <v>2033</v>
      </c>
      <c r="P46" s="9">
        <v>2034</v>
      </c>
      <c r="Q46" s="9">
        <v>2035</v>
      </c>
      <c r="R46" s="9">
        <v>2036</v>
      </c>
      <c r="S46" s="9">
        <v>2037</v>
      </c>
      <c r="T46" s="9">
        <v>2038</v>
      </c>
      <c r="U46" s="9">
        <v>2039</v>
      </c>
      <c r="V46" s="9">
        <v>2040</v>
      </c>
      <c r="W46" s="9">
        <v>2041</v>
      </c>
      <c r="X46" s="9">
        <v>2042</v>
      </c>
      <c r="Y46" s="9">
        <v>2043</v>
      </c>
      <c r="Z46" s="9">
        <v>2044</v>
      </c>
      <c r="AA46" s="9">
        <v>2045</v>
      </c>
      <c r="AB46" s="9">
        <v>2046</v>
      </c>
      <c r="AC46" s="9">
        <v>2047</v>
      </c>
      <c r="AD46" s="9">
        <v>2048</v>
      </c>
      <c r="AE46" s="9">
        <v>2049</v>
      </c>
      <c r="AF46" s="9">
        <v>2050</v>
      </c>
      <c r="AG46" s="9">
        <v>2051</v>
      </c>
      <c r="AH46" s="9">
        <v>2052</v>
      </c>
      <c r="AI46" s="9">
        <v>2053</v>
      </c>
      <c r="AJ46" s="9">
        <v>2054</v>
      </c>
      <c r="AK46" s="9">
        <v>2055</v>
      </c>
      <c r="AL46" s="9">
        <v>2056</v>
      </c>
      <c r="AM46" s="9">
        <v>2057</v>
      </c>
      <c r="AN46" s="9">
        <v>2058</v>
      </c>
      <c r="AO46" s="9">
        <v>2059</v>
      </c>
      <c r="AP46" s="9">
        <v>2060</v>
      </c>
      <c r="AQ46" s="9">
        <v>2061</v>
      </c>
      <c r="AR46" s="9">
        <v>2062</v>
      </c>
      <c r="AS46" s="9">
        <v>2063</v>
      </c>
      <c r="AT46" s="9">
        <v>2064</v>
      </c>
      <c r="AU46" s="9">
        <v>2065</v>
      </c>
      <c r="AV46" s="9">
        <v>2066</v>
      </c>
      <c r="AW46" s="9">
        <v>2067</v>
      </c>
      <c r="AX46" s="9">
        <v>2068</v>
      </c>
      <c r="AY46" s="9">
        <v>2069</v>
      </c>
      <c r="AZ46" s="9">
        <v>2070</v>
      </c>
    </row>
    <row r="47" spans="1:52" x14ac:dyDescent="0.35">
      <c r="A47" t="s">
        <v>19</v>
      </c>
      <c r="B47">
        <v>212323.2637142548</v>
      </c>
      <c r="C47">
        <v>212323.2637142548</v>
      </c>
      <c r="D47">
        <v>212323.2637142548</v>
      </c>
      <c r="E47">
        <v>212323.2637142548</v>
      </c>
      <c r="F47">
        <v>212323.2637142548</v>
      </c>
      <c r="G47">
        <v>212323.2637142548</v>
      </c>
      <c r="H47">
        <v>212323.2637142548</v>
      </c>
      <c r="I47">
        <v>212323.2637142548</v>
      </c>
      <c r="J47">
        <v>212323.2637142548</v>
      </c>
      <c r="K47">
        <v>212323.2637142548</v>
      </c>
      <c r="L47">
        <v>212323.2637142548</v>
      </c>
      <c r="M47">
        <v>212323.2637142548</v>
      </c>
      <c r="N47">
        <v>212323.2637142548</v>
      </c>
      <c r="O47">
        <v>212323.2637142548</v>
      </c>
      <c r="P47">
        <v>212323.2637142548</v>
      </c>
      <c r="Q47">
        <v>212323.2637142548</v>
      </c>
      <c r="R47">
        <v>212323.2637142548</v>
      </c>
      <c r="S47">
        <v>212323.2637142548</v>
      </c>
      <c r="T47">
        <v>212323.2637142548</v>
      </c>
      <c r="U47">
        <v>212323.2637142548</v>
      </c>
      <c r="V47">
        <v>212323.2637142548</v>
      </c>
      <c r="W47">
        <v>212323.2637142548</v>
      </c>
      <c r="X47">
        <v>212323.2637142548</v>
      </c>
      <c r="Y47">
        <v>212323.2637142548</v>
      </c>
      <c r="Z47">
        <v>212323.2637142548</v>
      </c>
      <c r="AA47">
        <v>212323.2637142548</v>
      </c>
      <c r="AB47">
        <v>212323.2637142548</v>
      </c>
      <c r="AC47">
        <v>212323.2637142548</v>
      </c>
      <c r="AD47">
        <v>212323.2637142548</v>
      </c>
      <c r="AE47">
        <v>212323.2637142548</v>
      </c>
      <c r="AF47">
        <v>212323.2637142548</v>
      </c>
      <c r="AG47">
        <v>212323.2637142548</v>
      </c>
      <c r="AH47">
        <v>212323.2637142548</v>
      </c>
      <c r="AI47">
        <v>212323.2637142548</v>
      </c>
      <c r="AJ47">
        <v>212323.2637142548</v>
      </c>
      <c r="AK47">
        <v>212323.2637142548</v>
      </c>
      <c r="AL47">
        <v>212323.2637142548</v>
      </c>
      <c r="AM47">
        <v>212323.2637142548</v>
      </c>
      <c r="AN47">
        <v>212323.2637142548</v>
      </c>
      <c r="AO47">
        <v>212323.2637142548</v>
      </c>
      <c r="AP47">
        <v>212323.2637142548</v>
      </c>
      <c r="AQ47">
        <v>212323.2637142548</v>
      </c>
      <c r="AR47">
        <v>212323.2637142548</v>
      </c>
      <c r="AS47">
        <v>212323.2637142548</v>
      </c>
      <c r="AT47">
        <v>212323.2637142548</v>
      </c>
      <c r="AU47">
        <v>212323.2637142548</v>
      </c>
      <c r="AV47">
        <v>212323.2637142548</v>
      </c>
      <c r="AW47">
        <v>212323.2637142548</v>
      </c>
      <c r="AX47">
        <v>212323.2637142548</v>
      </c>
      <c r="AY47">
        <v>212323.2637142548</v>
      </c>
      <c r="AZ47">
        <v>212323.2637142548</v>
      </c>
    </row>
    <row r="48" spans="1:52" x14ac:dyDescent="0.35">
      <c r="A48" t="s">
        <v>20</v>
      </c>
      <c r="B48">
        <v>169081.01386656851</v>
      </c>
      <c r="C48">
        <v>167864.64939221248</v>
      </c>
      <c r="D48">
        <v>168589.54214929734</v>
      </c>
      <c r="E48">
        <v>169720.84538461806</v>
      </c>
      <c r="F48">
        <v>170592.77308645713</v>
      </c>
      <c r="G48">
        <v>171447.35414619109</v>
      </c>
      <c r="H48">
        <v>172235.77387512205</v>
      </c>
      <c r="I48">
        <v>172949.86439247837</v>
      </c>
      <c r="J48">
        <v>173710.90407377732</v>
      </c>
      <c r="K48">
        <v>174435.56141216587</v>
      </c>
      <c r="L48">
        <v>175106.83156477075</v>
      </c>
      <c r="M48">
        <v>175831.32916548607</v>
      </c>
      <c r="N48">
        <v>176390.33568043238</v>
      </c>
      <c r="O48">
        <v>177133.79543641087</v>
      </c>
      <c r="P48">
        <v>177567.07584812227</v>
      </c>
      <c r="Q48">
        <v>177918.59650618955</v>
      </c>
      <c r="R48">
        <v>178228.45557149054</v>
      </c>
      <c r="S48">
        <v>178533.03393960834</v>
      </c>
      <c r="T48">
        <v>178816.18550494371</v>
      </c>
      <c r="U48">
        <v>179106.91342913226</v>
      </c>
      <c r="V48">
        <v>179311.24097071835</v>
      </c>
      <c r="W48">
        <v>179543.09265503031</v>
      </c>
      <c r="X48">
        <v>179737.15829172987</v>
      </c>
      <c r="Y48">
        <v>179898.97976796224</v>
      </c>
      <c r="Z48">
        <v>180064.56721730722</v>
      </c>
      <c r="AA48">
        <v>180221.06134497118</v>
      </c>
      <c r="AB48">
        <v>180365.00241595463</v>
      </c>
      <c r="AC48">
        <v>180516.08047781937</v>
      </c>
      <c r="AD48">
        <v>180668.2177339239</v>
      </c>
      <c r="AE48">
        <v>180802.24500560109</v>
      </c>
      <c r="AF48">
        <v>180937.41489370243</v>
      </c>
      <c r="AG48">
        <v>183362.20547535655</v>
      </c>
      <c r="AH48">
        <v>183799.5088514369</v>
      </c>
      <c r="AI48">
        <v>184236.81222751725</v>
      </c>
      <c r="AJ48">
        <v>184674.1156035976</v>
      </c>
      <c r="AK48">
        <v>185111.41897967807</v>
      </c>
      <c r="AL48">
        <v>185548.72235575842</v>
      </c>
      <c r="AM48">
        <v>185986.02573183877</v>
      </c>
      <c r="AN48">
        <v>186423.32910791913</v>
      </c>
      <c r="AO48">
        <v>186860.63248399948</v>
      </c>
      <c r="AP48">
        <v>187297.93586007983</v>
      </c>
      <c r="AQ48">
        <v>187735.23923616018</v>
      </c>
      <c r="AR48">
        <v>188172.54261224053</v>
      </c>
      <c r="AS48">
        <v>188609.84598832089</v>
      </c>
      <c r="AT48">
        <v>189047.14936440124</v>
      </c>
      <c r="AU48">
        <v>189484.45274048159</v>
      </c>
      <c r="AV48">
        <v>189921.75611656194</v>
      </c>
      <c r="AW48">
        <v>190359.05949264241</v>
      </c>
      <c r="AX48">
        <v>190796.36286872276</v>
      </c>
      <c r="AY48">
        <v>191233.66624480311</v>
      </c>
      <c r="AZ48">
        <v>191670.96962088346</v>
      </c>
    </row>
    <row r="49" spans="1:52" x14ac:dyDescent="0.35">
      <c r="A49" t="s">
        <v>21</v>
      </c>
      <c r="B49">
        <v>116533.07558411351</v>
      </c>
      <c r="C49">
        <v>116533.07558411351</v>
      </c>
      <c r="D49">
        <v>116533.07558411351</v>
      </c>
      <c r="E49">
        <v>116533.07558411351</v>
      </c>
      <c r="F49">
        <v>116533.07558411351</v>
      </c>
      <c r="G49">
        <v>116533.07558411351</v>
      </c>
      <c r="H49">
        <v>116533.07558411351</v>
      </c>
      <c r="I49">
        <v>116533.07558411351</v>
      </c>
      <c r="J49">
        <v>116533.07558411351</v>
      </c>
      <c r="K49">
        <v>116533.07558411351</v>
      </c>
      <c r="L49">
        <v>116533.07558411351</v>
      </c>
      <c r="M49">
        <v>116533.07558411351</v>
      </c>
      <c r="N49">
        <v>116533.07558411351</v>
      </c>
      <c r="O49">
        <v>116533.07558411351</v>
      </c>
      <c r="P49">
        <v>116533.07558411351</v>
      </c>
      <c r="Q49">
        <v>116533.07558411351</v>
      </c>
      <c r="R49">
        <v>116533.07558411351</v>
      </c>
      <c r="S49">
        <v>116533.07558411351</v>
      </c>
      <c r="T49">
        <v>116533.07558411351</v>
      </c>
      <c r="U49">
        <v>116533.07558411351</v>
      </c>
      <c r="V49">
        <v>116533.07558411351</v>
      </c>
      <c r="W49">
        <v>116533.07558411351</v>
      </c>
      <c r="X49">
        <v>116533.07558411351</v>
      </c>
      <c r="Y49">
        <v>116533.07558411351</v>
      </c>
      <c r="Z49">
        <v>116533.07558411351</v>
      </c>
      <c r="AA49">
        <v>116533.07558411351</v>
      </c>
      <c r="AB49">
        <v>116533.07558411351</v>
      </c>
      <c r="AC49">
        <v>116533.07558411351</v>
      </c>
      <c r="AD49">
        <v>116533.07558411351</v>
      </c>
      <c r="AE49">
        <v>116533.07558411351</v>
      </c>
      <c r="AF49">
        <v>116533.07558411351</v>
      </c>
      <c r="AG49">
        <v>116533.07558411357</v>
      </c>
      <c r="AH49">
        <v>116533.07558411357</v>
      </c>
      <c r="AI49">
        <v>116533.07558411357</v>
      </c>
      <c r="AJ49">
        <v>116533.07558411357</v>
      </c>
      <c r="AK49">
        <v>116533.07558411357</v>
      </c>
      <c r="AL49">
        <v>116533.07558411357</v>
      </c>
      <c r="AM49">
        <v>116533.07558411357</v>
      </c>
      <c r="AN49">
        <v>116533.07558411357</v>
      </c>
      <c r="AO49">
        <v>116533.07558411357</v>
      </c>
      <c r="AP49">
        <v>116533.07558411357</v>
      </c>
      <c r="AQ49">
        <v>116533.07558411357</v>
      </c>
      <c r="AR49">
        <v>116533.07558411357</v>
      </c>
      <c r="AS49">
        <v>116533.07558411357</v>
      </c>
      <c r="AT49">
        <v>116533.07558411357</v>
      </c>
      <c r="AU49">
        <v>116533.07558411357</v>
      </c>
      <c r="AV49">
        <v>116533.07558411357</v>
      </c>
      <c r="AW49">
        <v>116533.07558411357</v>
      </c>
      <c r="AX49">
        <v>116533.07558411357</v>
      </c>
      <c r="AY49">
        <v>116533.07558411357</v>
      </c>
      <c r="AZ49">
        <v>116533.07558411357</v>
      </c>
    </row>
    <row r="50" spans="1:52" x14ac:dyDescent="0.35">
      <c r="A50" t="s">
        <v>22</v>
      </c>
      <c r="B50">
        <v>116533.07558411351</v>
      </c>
      <c r="C50">
        <v>116533.07558411351</v>
      </c>
      <c r="D50">
        <v>116533.07558411351</v>
      </c>
      <c r="E50">
        <v>116533.07558411351</v>
      </c>
      <c r="F50">
        <v>116533.07558411351</v>
      </c>
      <c r="G50">
        <v>116533.07558411351</v>
      </c>
      <c r="H50">
        <v>116533.07558411351</v>
      </c>
      <c r="I50">
        <v>116533.07558411351</v>
      </c>
      <c r="J50">
        <v>116533.07558411351</v>
      </c>
      <c r="K50">
        <v>116533.07558411351</v>
      </c>
      <c r="L50">
        <v>116533.07558411351</v>
      </c>
      <c r="M50">
        <v>116533.07558411351</v>
      </c>
      <c r="N50">
        <v>116533.07558411351</v>
      </c>
      <c r="O50">
        <v>116533.07558411351</v>
      </c>
      <c r="P50">
        <v>116533.07558411351</v>
      </c>
      <c r="Q50">
        <v>116533.07558411351</v>
      </c>
      <c r="R50">
        <v>116533.07558411351</v>
      </c>
      <c r="S50">
        <v>116533.07558411351</v>
      </c>
      <c r="T50">
        <v>116533.07558411351</v>
      </c>
      <c r="U50">
        <v>116533.07558411351</v>
      </c>
      <c r="V50">
        <v>116533.07558411351</v>
      </c>
      <c r="W50">
        <v>116533.07558411351</v>
      </c>
      <c r="X50">
        <v>116533.07558411351</v>
      </c>
      <c r="Y50">
        <v>116533.07558411351</v>
      </c>
      <c r="Z50">
        <v>116533.07558411351</v>
      </c>
      <c r="AA50">
        <v>116533.07558411351</v>
      </c>
      <c r="AB50">
        <v>116533.07558411351</v>
      </c>
      <c r="AC50">
        <v>116533.07558411351</v>
      </c>
      <c r="AD50">
        <v>116533.07558411351</v>
      </c>
      <c r="AE50">
        <v>116533.07558411351</v>
      </c>
      <c r="AF50">
        <v>116533.07558411351</v>
      </c>
      <c r="AG50">
        <v>116533.07558411357</v>
      </c>
      <c r="AH50">
        <v>116533.07558411357</v>
      </c>
      <c r="AI50">
        <v>116533.07558411357</v>
      </c>
      <c r="AJ50">
        <v>116533.07558411357</v>
      </c>
      <c r="AK50">
        <v>116533.07558411357</v>
      </c>
      <c r="AL50">
        <v>116533.07558411357</v>
      </c>
      <c r="AM50">
        <v>116533.07558411357</v>
      </c>
      <c r="AN50">
        <v>116533.07558411357</v>
      </c>
      <c r="AO50">
        <v>116533.07558411357</v>
      </c>
      <c r="AP50">
        <v>116533.07558411357</v>
      </c>
      <c r="AQ50">
        <v>116533.07558411357</v>
      </c>
      <c r="AR50">
        <v>116533.07558411357</v>
      </c>
      <c r="AS50">
        <v>116533.07558411357</v>
      </c>
      <c r="AT50">
        <v>116533.07558411357</v>
      </c>
      <c r="AU50">
        <v>116533.07558411357</v>
      </c>
      <c r="AV50">
        <v>116533.07558411357</v>
      </c>
      <c r="AW50">
        <v>116533.07558411357</v>
      </c>
      <c r="AX50">
        <v>116533.07558411357</v>
      </c>
      <c r="AY50">
        <v>116533.07558411357</v>
      </c>
      <c r="AZ50">
        <v>116533.07558411357</v>
      </c>
    </row>
    <row r="51" spans="1:52" x14ac:dyDescent="0.35">
      <c r="A51" t="s">
        <v>23</v>
      </c>
      <c r="B51">
        <v>292717.20094729948</v>
      </c>
      <c r="C51">
        <v>296718.81450413854</v>
      </c>
      <c r="D51">
        <v>296290.70239533129</v>
      </c>
      <c r="E51">
        <v>297748.17304503208</v>
      </c>
      <c r="F51">
        <v>298074.13330053951</v>
      </c>
      <c r="G51">
        <v>298962.65890381433</v>
      </c>
      <c r="H51">
        <v>299325.72284344659</v>
      </c>
      <c r="I51">
        <v>299532.5306146174</v>
      </c>
      <c r="J51">
        <v>299964.75356933242</v>
      </c>
      <c r="K51">
        <v>300521.88575225492</v>
      </c>
      <c r="L51">
        <v>301144.75176175282</v>
      </c>
      <c r="M51">
        <v>301941.60135316849</v>
      </c>
      <c r="N51">
        <v>302627.45076290291</v>
      </c>
      <c r="O51">
        <v>303546.26068261068</v>
      </c>
      <c r="P51">
        <v>304016.24043791596</v>
      </c>
      <c r="Q51">
        <v>304390.27871848026</v>
      </c>
      <c r="R51">
        <v>304725.78791932837</v>
      </c>
      <c r="S51">
        <v>304997.87417173624</v>
      </c>
      <c r="T51">
        <v>305173.43132511992</v>
      </c>
      <c r="U51">
        <v>305303.85913970199</v>
      </c>
      <c r="V51">
        <v>305293.77686179313</v>
      </c>
      <c r="W51">
        <v>305340.79301439109</v>
      </c>
      <c r="X51">
        <v>305317.61663433519</v>
      </c>
      <c r="Y51">
        <v>305243.39590653195</v>
      </c>
      <c r="Z51">
        <v>305169.61898138921</v>
      </c>
      <c r="AA51">
        <v>305090.87493189512</v>
      </c>
      <c r="AB51">
        <v>304998.45305591734</v>
      </c>
      <c r="AC51">
        <v>304921.38959048589</v>
      </c>
      <c r="AD51">
        <v>304846.7246703601</v>
      </c>
      <c r="AE51">
        <v>304781.54706787324</v>
      </c>
      <c r="AF51">
        <v>304698.58560389525</v>
      </c>
      <c r="AG51">
        <v>307771.61534958874</v>
      </c>
      <c r="AH51">
        <v>308109.30322735052</v>
      </c>
      <c r="AI51">
        <v>308446.99110511231</v>
      </c>
      <c r="AJ51">
        <v>308784.6789828742</v>
      </c>
      <c r="AK51">
        <v>309122.36686063599</v>
      </c>
      <c r="AL51">
        <v>309460.05473839777</v>
      </c>
      <c r="AM51">
        <v>309797.74261615955</v>
      </c>
      <c r="AN51">
        <v>310135.43049392145</v>
      </c>
      <c r="AO51">
        <v>310473.11837168323</v>
      </c>
      <c r="AP51">
        <v>310810.80624944501</v>
      </c>
      <c r="AQ51">
        <v>311148.4941272068</v>
      </c>
      <c r="AR51">
        <v>311486.18200496869</v>
      </c>
      <c r="AS51">
        <v>311823.86988273048</v>
      </c>
      <c r="AT51">
        <v>312161.55776049226</v>
      </c>
      <c r="AU51">
        <v>312499.24563825404</v>
      </c>
      <c r="AV51">
        <v>312836.93351601594</v>
      </c>
      <c r="AW51">
        <v>313174.62139377772</v>
      </c>
      <c r="AX51">
        <v>313512.3092715395</v>
      </c>
      <c r="AY51">
        <v>313849.99714930129</v>
      </c>
      <c r="AZ51">
        <v>314187.68502706318</v>
      </c>
    </row>
    <row r="52" spans="1:52" x14ac:dyDescent="0.35">
      <c r="A52" t="s">
        <v>24</v>
      </c>
      <c r="B52">
        <v>165261.40758918118</v>
      </c>
      <c r="C52">
        <v>167968.05303484527</v>
      </c>
      <c r="D52">
        <v>167812.53207214826</v>
      </c>
      <c r="E52">
        <v>168104.89043670602</v>
      </c>
      <c r="F52">
        <v>168501.3295638196</v>
      </c>
      <c r="G52">
        <v>169239.9342952671</v>
      </c>
      <c r="H52">
        <v>169857.01793567702</v>
      </c>
      <c r="I52">
        <v>170173.73040362771</v>
      </c>
      <c r="J52">
        <v>170454.12022097484</v>
      </c>
      <c r="K52">
        <v>170757.68716312235</v>
      </c>
      <c r="L52">
        <v>171042.28604298577</v>
      </c>
      <c r="M52">
        <v>171325.2636543244</v>
      </c>
      <c r="N52">
        <v>171566.62610867317</v>
      </c>
      <c r="O52">
        <v>171856.2641717158</v>
      </c>
      <c r="P52">
        <v>172052.28566929186</v>
      </c>
      <c r="Q52">
        <v>172229.27674810204</v>
      </c>
      <c r="R52">
        <v>172412.21507635666</v>
      </c>
      <c r="S52">
        <v>172596.59539825103</v>
      </c>
      <c r="T52">
        <v>172769.37741454496</v>
      </c>
      <c r="U52">
        <v>172952.47942856402</v>
      </c>
      <c r="V52">
        <v>173109.98020955574</v>
      </c>
      <c r="W52">
        <v>173267.83564303725</v>
      </c>
      <c r="X52">
        <v>173424.40107680313</v>
      </c>
      <c r="Y52">
        <v>173572.83288698428</v>
      </c>
      <c r="Z52">
        <v>173726.42079874789</v>
      </c>
      <c r="AA52">
        <v>173884.66596024015</v>
      </c>
      <c r="AB52">
        <v>174041.58604649585</v>
      </c>
      <c r="AC52">
        <v>174203.86099561947</v>
      </c>
      <c r="AD52">
        <v>174365.89431337643</v>
      </c>
      <c r="AE52">
        <v>174529.90744942811</v>
      </c>
      <c r="AF52">
        <v>174633.3217770854</v>
      </c>
      <c r="AG52">
        <v>175657.11644235434</v>
      </c>
      <c r="AH52">
        <v>175906.46428535314</v>
      </c>
      <c r="AI52">
        <v>176155.812128352</v>
      </c>
      <c r="AJ52">
        <v>176405.15997135086</v>
      </c>
      <c r="AK52">
        <v>176654.50781434972</v>
      </c>
      <c r="AL52">
        <v>176903.85565734858</v>
      </c>
      <c r="AM52">
        <v>177153.20350034744</v>
      </c>
      <c r="AN52">
        <v>177402.55134334631</v>
      </c>
      <c r="AO52">
        <v>177651.89918634517</v>
      </c>
      <c r="AP52">
        <v>177901.24702934397</v>
      </c>
      <c r="AQ52">
        <v>178150.59487234283</v>
      </c>
      <c r="AR52">
        <v>178399.94271534169</v>
      </c>
      <c r="AS52">
        <v>178649.29055834055</v>
      </c>
      <c r="AT52">
        <v>178898.63840133941</v>
      </c>
      <c r="AU52">
        <v>179147.98624433827</v>
      </c>
      <c r="AV52">
        <v>179397.33408733713</v>
      </c>
      <c r="AW52">
        <v>179646.681930336</v>
      </c>
      <c r="AX52">
        <v>179896.0297733348</v>
      </c>
      <c r="AY52">
        <v>180145.37761633366</v>
      </c>
      <c r="AZ52">
        <v>180394.72545933252</v>
      </c>
    </row>
    <row r="53" spans="1:52" x14ac:dyDescent="0.35">
      <c r="A53" t="s">
        <v>25</v>
      </c>
      <c r="B53">
        <v>356070.43353086029</v>
      </c>
      <c r="C53">
        <v>355992.98946448404</v>
      </c>
      <c r="D53">
        <v>348292.91298510303</v>
      </c>
      <c r="E53">
        <v>341514.46385415847</v>
      </c>
      <c r="F53">
        <v>334667.50077482313</v>
      </c>
      <c r="G53">
        <v>327580.47114124207</v>
      </c>
      <c r="H53">
        <v>321354.44392747083</v>
      </c>
      <c r="I53">
        <v>315624.62657349638</v>
      </c>
      <c r="J53">
        <v>310159.3300591599</v>
      </c>
      <c r="K53">
        <v>304951.81248658651</v>
      </c>
      <c r="L53">
        <v>299987.32051773299</v>
      </c>
      <c r="M53">
        <v>295261.85855238908</v>
      </c>
      <c r="N53">
        <v>290736.66904662969</v>
      </c>
      <c r="O53">
        <v>286454.30937048257</v>
      </c>
      <c r="P53">
        <v>282251.31301651074</v>
      </c>
      <c r="Q53">
        <v>278221.40381172864</v>
      </c>
      <c r="R53">
        <v>274383.01043449808</v>
      </c>
      <c r="S53">
        <v>270722.24352545611</v>
      </c>
      <c r="T53">
        <v>267231.59500014503</v>
      </c>
      <c r="U53">
        <v>263906.64471660327</v>
      </c>
      <c r="V53">
        <v>260728.33435398753</v>
      </c>
      <c r="W53">
        <v>257703.14661237621</v>
      </c>
      <c r="X53">
        <v>254817.74124489143</v>
      </c>
      <c r="Y53">
        <v>252065.90524485009</v>
      </c>
      <c r="Z53">
        <v>249444.04920348991</v>
      </c>
      <c r="AA53">
        <v>246944.87615644126</v>
      </c>
      <c r="AB53">
        <v>244561.24011691706</v>
      </c>
      <c r="AC53">
        <v>242290.64569469896</v>
      </c>
      <c r="AD53">
        <v>240124.92970959519</v>
      </c>
      <c r="AE53">
        <v>238062.64247823381</v>
      </c>
      <c r="AF53">
        <v>236002.34161238361</v>
      </c>
      <c r="AG53">
        <v>220232.29347908869</v>
      </c>
      <c r="AH53">
        <v>216157.87794004474</v>
      </c>
      <c r="AI53">
        <v>212083.46240100171</v>
      </c>
      <c r="AJ53">
        <v>208009.04686195776</v>
      </c>
      <c r="AK53">
        <v>203934.6313229138</v>
      </c>
      <c r="AL53">
        <v>199860.21578387078</v>
      </c>
      <c r="AM53">
        <v>195785.80024482682</v>
      </c>
      <c r="AN53">
        <v>191711.38470578287</v>
      </c>
      <c r="AO53">
        <v>187636.96916673891</v>
      </c>
      <c r="AP53">
        <v>183562.55362769589</v>
      </c>
      <c r="AQ53">
        <v>179488.13808865286</v>
      </c>
      <c r="AR53">
        <v>175413.72254960798</v>
      </c>
      <c r="AS53">
        <v>171339.30701056495</v>
      </c>
      <c r="AT53">
        <v>167264.89147152193</v>
      </c>
      <c r="AU53">
        <v>163190.47593247704</v>
      </c>
      <c r="AV53">
        <v>159116.06039343402</v>
      </c>
      <c r="AW53">
        <v>155041.64485439099</v>
      </c>
      <c r="AX53">
        <v>150967.22931534611</v>
      </c>
      <c r="AY53">
        <v>146892.81377630308</v>
      </c>
      <c r="AZ53">
        <v>142818.39823726006</v>
      </c>
    </row>
    <row r="55" spans="1:52" x14ac:dyDescent="0.35">
      <c r="A55" s="9" t="s">
        <v>38</v>
      </c>
    </row>
    <row r="56" spans="1:52" s="9" customFormat="1" x14ac:dyDescent="0.35">
      <c r="A56" s="9" t="s">
        <v>18</v>
      </c>
      <c r="B56" s="9">
        <v>2020</v>
      </c>
      <c r="C56" s="9">
        <v>2021</v>
      </c>
      <c r="D56" s="9">
        <v>2022</v>
      </c>
      <c r="E56" s="9">
        <v>2023</v>
      </c>
      <c r="F56" s="9">
        <v>2024</v>
      </c>
      <c r="G56" s="9">
        <v>2025</v>
      </c>
      <c r="H56" s="9">
        <v>2026</v>
      </c>
      <c r="I56" s="9">
        <v>2027</v>
      </c>
      <c r="J56" s="9">
        <v>2028</v>
      </c>
      <c r="K56" s="9">
        <v>2029</v>
      </c>
      <c r="L56" s="9">
        <v>2030</v>
      </c>
      <c r="M56" s="9">
        <v>2031</v>
      </c>
      <c r="N56" s="9">
        <v>2032</v>
      </c>
      <c r="O56" s="9">
        <v>2033</v>
      </c>
      <c r="P56" s="9">
        <v>2034</v>
      </c>
      <c r="Q56" s="9">
        <v>2035</v>
      </c>
      <c r="R56" s="9">
        <v>2036</v>
      </c>
      <c r="S56" s="9">
        <v>2037</v>
      </c>
      <c r="T56" s="9">
        <v>2038</v>
      </c>
      <c r="U56" s="9">
        <v>2039</v>
      </c>
      <c r="V56" s="9">
        <v>2040</v>
      </c>
      <c r="W56" s="9">
        <v>2041</v>
      </c>
      <c r="X56" s="9">
        <v>2042</v>
      </c>
      <c r="Y56" s="9">
        <v>2043</v>
      </c>
      <c r="Z56" s="9">
        <v>2044</v>
      </c>
      <c r="AA56" s="9">
        <v>2045</v>
      </c>
      <c r="AB56" s="9">
        <v>2046</v>
      </c>
      <c r="AC56" s="9">
        <v>2047</v>
      </c>
      <c r="AD56" s="9">
        <v>2048</v>
      </c>
      <c r="AE56" s="9">
        <v>2049</v>
      </c>
      <c r="AF56" s="9">
        <v>2050</v>
      </c>
      <c r="AG56" s="9">
        <v>2051</v>
      </c>
      <c r="AH56" s="9">
        <v>2052</v>
      </c>
      <c r="AI56" s="9">
        <v>2053</v>
      </c>
      <c r="AJ56" s="9">
        <v>2054</v>
      </c>
      <c r="AK56" s="9">
        <v>2055</v>
      </c>
      <c r="AL56" s="9">
        <v>2056</v>
      </c>
      <c r="AM56" s="9">
        <v>2057</v>
      </c>
      <c r="AN56" s="9">
        <v>2058</v>
      </c>
      <c r="AO56" s="9">
        <v>2059</v>
      </c>
      <c r="AP56" s="9">
        <v>2060</v>
      </c>
      <c r="AQ56" s="9">
        <v>2061</v>
      </c>
      <c r="AR56" s="9">
        <v>2062</v>
      </c>
      <c r="AS56" s="9">
        <v>2063</v>
      </c>
      <c r="AT56" s="9">
        <v>2064</v>
      </c>
      <c r="AU56" s="9">
        <v>2065</v>
      </c>
      <c r="AV56" s="9">
        <v>2066</v>
      </c>
      <c r="AW56" s="9">
        <v>2067</v>
      </c>
      <c r="AX56" s="9">
        <v>2068</v>
      </c>
      <c r="AY56" s="9">
        <v>2069</v>
      </c>
      <c r="AZ56" s="9">
        <v>2070</v>
      </c>
    </row>
    <row r="57" spans="1:52" x14ac:dyDescent="0.35">
      <c r="A57" t="s">
        <v>19</v>
      </c>
      <c r="B57">
        <v>119848198.6111111</v>
      </c>
      <c r="C57">
        <v>119848198.6111111</v>
      </c>
      <c r="D57">
        <v>119848198.6111111</v>
      </c>
      <c r="E57">
        <v>119848198.6111111</v>
      </c>
      <c r="F57">
        <v>119848198.6111111</v>
      </c>
      <c r="G57">
        <v>119848198.6111111</v>
      </c>
      <c r="H57">
        <v>119848198.6111111</v>
      </c>
      <c r="I57">
        <v>119848198.6111111</v>
      </c>
      <c r="J57">
        <v>119848198.6111111</v>
      </c>
      <c r="K57">
        <v>119848198.6111111</v>
      </c>
      <c r="L57">
        <v>119848198.6111111</v>
      </c>
      <c r="M57">
        <v>119848198.6111111</v>
      </c>
      <c r="N57">
        <v>119848198.6111111</v>
      </c>
      <c r="O57">
        <v>119848198.6111111</v>
      </c>
      <c r="P57">
        <v>119848198.6111111</v>
      </c>
      <c r="Q57">
        <v>119848198.6111111</v>
      </c>
      <c r="R57">
        <v>119848198.6111111</v>
      </c>
      <c r="S57">
        <v>119848198.6111111</v>
      </c>
      <c r="T57">
        <v>119848198.6111111</v>
      </c>
      <c r="U57">
        <v>119848198.6111111</v>
      </c>
      <c r="V57">
        <v>119848198.6111111</v>
      </c>
      <c r="W57">
        <v>119848198.6111111</v>
      </c>
      <c r="X57">
        <v>119848198.6111111</v>
      </c>
      <c r="Y57">
        <v>119848198.6111111</v>
      </c>
      <c r="Z57">
        <v>119848198.6111111</v>
      </c>
      <c r="AA57">
        <v>119848198.6111111</v>
      </c>
      <c r="AB57">
        <v>119848198.6111111</v>
      </c>
      <c r="AC57">
        <v>119848198.6111111</v>
      </c>
      <c r="AD57">
        <v>119848198.6111111</v>
      </c>
      <c r="AE57">
        <v>119848198.6111111</v>
      </c>
      <c r="AF57">
        <v>119848198.6111111</v>
      </c>
      <c r="AG57">
        <v>119848198.61111115</v>
      </c>
      <c r="AH57">
        <v>119848198.61111115</v>
      </c>
      <c r="AI57">
        <v>119848198.61111115</v>
      </c>
      <c r="AJ57">
        <v>119848198.61111115</v>
      </c>
      <c r="AK57">
        <v>119848198.61111115</v>
      </c>
      <c r="AL57">
        <v>119848198.61111115</v>
      </c>
      <c r="AM57">
        <v>119848198.61111115</v>
      </c>
      <c r="AN57">
        <v>119848198.61111115</v>
      </c>
      <c r="AO57">
        <v>119848198.61111115</v>
      </c>
      <c r="AP57">
        <v>119848198.61111115</v>
      </c>
      <c r="AQ57">
        <v>119848198.61111115</v>
      </c>
      <c r="AR57">
        <v>119848198.61111115</v>
      </c>
      <c r="AS57">
        <v>119848198.61111115</v>
      </c>
      <c r="AT57">
        <v>119848198.61111115</v>
      </c>
      <c r="AU57">
        <v>119848198.61111115</v>
      </c>
      <c r="AV57">
        <v>119848198.61111115</v>
      </c>
      <c r="AW57">
        <v>119848198.61111115</v>
      </c>
      <c r="AX57">
        <v>119848198.61111115</v>
      </c>
      <c r="AY57">
        <v>119848198.61111115</v>
      </c>
      <c r="AZ57">
        <v>119848198.61111115</v>
      </c>
    </row>
    <row r="58" spans="1:52" x14ac:dyDescent="0.35">
      <c r="A58" t="s">
        <v>20</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v>0</v>
      </c>
      <c r="AH58">
        <v>0</v>
      </c>
      <c r="AI58">
        <v>0</v>
      </c>
      <c r="AJ58">
        <v>0</v>
      </c>
      <c r="AK58">
        <v>0</v>
      </c>
      <c r="AL58">
        <v>0</v>
      </c>
      <c r="AM58">
        <v>0</v>
      </c>
      <c r="AN58">
        <v>0</v>
      </c>
      <c r="AO58">
        <v>0</v>
      </c>
      <c r="AP58">
        <v>0</v>
      </c>
      <c r="AQ58">
        <v>0</v>
      </c>
      <c r="AR58">
        <v>0</v>
      </c>
      <c r="AS58">
        <v>0</v>
      </c>
      <c r="AT58">
        <v>0</v>
      </c>
      <c r="AU58">
        <v>0</v>
      </c>
      <c r="AV58">
        <v>0</v>
      </c>
      <c r="AW58">
        <v>0</v>
      </c>
      <c r="AX58">
        <v>0</v>
      </c>
      <c r="AY58">
        <v>0</v>
      </c>
      <c r="AZ58">
        <v>0</v>
      </c>
    </row>
    <row r="59" spans="1:52" x14ac:dyDescent="0.35">
      <c r="A59" t="s">
        <v>21</v>
      </c>
      <c r="B59">
        <v>0</v>
      </c>
      <c r="C59">
        <v>0</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v>0</v>
      </c>
      <c r="AK59">
        <v>0</v>
      </c>
      <c r="AL59">
        <v>0</v>
      </c>
      <c r="AM59">
        <v>0</v>
      </c>
      <c r="AN59">
        <v>0</v>
      </c>
      <c r="AO59">
        <v>0</v>
      </c>
      <c r="AP59">
        <v>0</v>
      </c>
      <c r="AQ59">
        <v>0</v>
      </c>
      <c r="AR59">
        <v>0</v>
      </c>
      <c r="AS59">
        <v>0</v>
      </c>
      <c r="AT59">
        <v>0</v>
      </c>
      <c r="AU59">
        <v>0</v>
      </c>
      <c r="AV59">
        <v>0</v>
      </c>
      <c r="AW59">
        <v>0</v>
      </c>
      <c r="AX59">
        <v>0</v>
      </c>
      <c r="AY59">
        <v>0</v>
      </c>
      <c r="AZ59">
        <v>0</v>
      </c>
    </row>
    <row r="60" spans="1:52" x14ac:dyDescent="0.35">
      <c r="A60" t="s">
        <v>22</v>
      </c>
      <c r="B60">
        <v>64833333.333333336</v>
      </c>
      <c r="C60">
        <v>64833333.333333336</v>
      </c>
      <c r="D60">
        <v>64833333.333333336</v>
      </c>
      <c r="E60">
        <v>64833333.333333336</v>
      </c>
      <c r="F60">
        <v>64833333.333333336</v>
      </c>
      <c r="G60">
        <v>64833333.333333336</v>
      </c>
      <c r="H60">
        <v>64833333.333333336</v>
      </c>
      <c r="I60">
        <v>64833333.333333336</v>
      </c>
      <c r="J60">
        <v>64833333.333333336</v>
      </c>
      <c r="K60">
        <v>64833333.333333336</v>
      </c>
      <c r="L60">
        <v>64833333.333333336</v>
      </c>
      <c r="M60">
        <v>64833333.333333336</v>
      </c>
      <c r="N60">
        <v>64833333.333333336</v>
      </c>
      <c r="O60">
        <v>64833333.333333336</v>
      </c>
      <c r="P60">
        <v>64833333.333333336</v>
      </c>
      <c r="Q60">
        <v>64833333.333333336</v>
      </c>
      <c r="R60">
        <v>64833333.333333336</v>
      </c>
      <c r="S60">
        <v>64833333.333333336</v>
      </c>
      <c r="T60">
        <v>64833333.333333336</v>
      </c>
      <c r="U60">
        <v>64833333.333333336</v>
      </c>
      <c r="V60">
        <v>64833333.333333336</v>
      </c>
      <c r="W60">
        <v>64833333.333333336</v>
      </c>
      <c r="X60">
        <v>64833333.333333336</v>
      </c>
      <c r="Y60">
        <v>64833333.333333336</v>
      </c>
      <c r="Z60">
        <v>64833333.333333336</v>
      </c>
      <c r="AA60">
        <v>64833333.333333336</v>
      </c>
      <c r="AB60">
        <v>64833333.333333336</v>
      </c>
      <c r="AC60">
        <v>64833333.333333336</v>
      </c>
      <c r="AD60">
        <v>64833333.333333336</v>
      </c>
      <c r="AE60">
        <v>64833333.333333336</v>
      </c>
      <c r="AF60">
        <v>64833333.333333336</v>
      </c>
      <c r="AG60">
        <v>64833333.333333306</v>
      </c>
      <c r="AH60">
        <v>64833333.333333306</v>
      </c>
      <c r="AI60">
        <v>64833333.333333306</v>
      </c>
      <c r="AJ60">
        <v>64833333.333333306</v>
      </c>
      <c r="AK60">
        <v>64833333.333333306</v>
      </c>
      <c r="AL60">
        <v>64833333.333333306</v>
      </c>
      <c r="AM60">
        <v>64833333.333333306</v>
      </c>
      <c r="AN60">
        <v>64833333.333333306</v>
      </c>
      <c r="AO60">
        <v>64833333.333333306</v>
      </c>
      <c r="AP60">
        <v>64833333.333333306</v>
      </c>
      <c r="AQ60">
        <v>64833333.333333306</v>
      </c>
      <c r="AR60">
        <v>64833333.333333306</v>
      </c>
      <c r="AS60">
        <v>64833333.333333306</v>
      </c>
      <c r="AT60">
        <v>64833333.333333306</v>
      </c>
      <c r="AU60">
        <v>64833333.333333306</v>
      </c>
      <c r="AV60">
        <v>64833333.333333306</v>
      </c>
      <c r="AW60">
        <v>64833333.333333306</v>
      </c>
      <c r="AX60">
        <v>64833333.333333306</v>
      </c>
      <c r="AY60">
        <v>64833333.333333306</v>
      </c>
      <c r="AZ60">
        <v>64833333.333333306</v>
      </c>
    </row>
    <row r="61" spans="1:52" x14ac:dyDescent="0.35">
      <c r="A61" t="s">
        <v>23</v>
      </c>
      <c r="B61">
        <v>0</v>
      </c>
      <c r="C61">
        <v>0</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0</v>
      </c>
      <c r="AK61">
        <v>0</v>
      </c>
      <c r="AL61">
        <v>0</v>
      </c>
      <c r="AM61">
        <v>0</v>
      </c>
      <c r="AN61">
        <v>0</v>
      </c>
      <c r="AO61">
        <v>0</v>
      </c>
      <c r="AP61">
        <v>0</v>
      </c>
      <c r="AQ61">
        <v>0</v>
      </c>
      <c r="AR61">
        <v>0</v>
      </c>
      <c r="AS61">
        <v>0</v>
      </c>
      <c r="AT61">
        <v>0</v>
      </c>
      <c r="AU61">
        <v>0</v>
      </c>
      <c r="AV61">
        <v>0</v>
      </c>
      <c r="AW61">
        <v>0</v>
      </c>
      <c r="AX61">
        <v>0</v>
      </c>
      <c r="AY61">
        <v>0</v>
      </c>
      <c r="AZ61">
        <v>0</v>
      </c>
    </row>
    <row r="62" spans="1:52" x14ac:dyDescent="0.35">
      <c r="A62" t="s">
        <v>24</v>
      </c>
      <c r="B62">
        <v>0</v>
      </c>
      <c r="C62">
        <v>0</v>
      </c>
      <c r="D62">
        <v>0</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v>0</v>
      </c>
      <c r="AK62">
        <v>0</v>
      </c>
      <c r="AL62">
        <v>0</v>
      </c>
      <c r="AM62">
        <v>0</v>
      </c>
      <c r="AN62">
        <v>0</v>
      </c>
      <c r="AO62">
        <v>0</v>
      </c>
      <c r="AP62">
        <v>0</v>
      </c>
      <c r="AQ62">
        <v>0</v>
      </c>
      <c r="AR62">
        <v>0</v>
      </c>
      <c r="AS62">
        <v>0</v>
      </c>
      <c r="AT62">
        <v>0</v>
      </c>
      <c r="AU62">
        <v>0</v>
      </c>
      <c r="AV62">
        <v>0</v>
      </c>
      <c r="AW62">
        <v>0</v>
      </c>
      <c r="AX62">
        <v>0</v>
      </c>
      <c r="AY62">
        <v>0</v>
      </c>
      <c r="AZ62">
        <v>0</v>
      </c>
    </row>
    <row r="63" spans="1:52" x14ac:dyDescent="0.35">
      <c r="A63" t="s">
        <v>25</v>
      </c>
      <c r="B63">
        <v>130462173.27646299</v>
      </c>
      <c r="C63">
        <v>130433798.21283689</v>
      </c>
      <c r="D63">
        <v>127612534.1670313</v>
      </c>
      <c r="E63">
        <v>125128949.11814705</v>
      </c>
      <c r="F63">
        <v>122620260.94986539</v>
      </c>
      <c r="G63">
        <v>120023613.76716256</v>
      </c>
      <c r="H63">
        <v>117742432.95376994</v>
      </c>
      <c r="I63">
        <v>115643060.59908123</v>
      </c>
      <c r="J63">
        <v>113640607.16931953</v>
      </c>
      <c r="K63">
        <v>111732602.47160736</v>
      </c>
      <c r="L63">
        <v>109913640.96714409</v>
      </c>
      <c r="M63">
        <v>108182258.69083215</v>
      </c>
      <c r="N63">
        <v>106524255.09992732</v>
      </c>
      <c r="O63">
        <v>104955222.97175646</v>
      </c>
      <c r="P63">
        <v>103415269.11157534</v>
      </c>
      <c r="Q63">
        <v>101938733.39433184</v>
      </c>
      <c r="R63">
        <v>100532367.98252888</v>
      </c>
      <c r="S63">
        <v>99191083.894220054</v>
      </c>
      <c r="T63">
        <v>97912130.210139751</v>
      </c>
      <c r="U63">
        <v>96693887.41551733</v>
      </c>
      <c r="V63">
        <v>95529372.650440603</v>
      </c>
      <c r="W63">
        <v>94420961.139194697</v>
      </c>
      <c r="X63">
        <v>93363765.091511592</v>
      </c>
      <c r="Y63">
        <v>92355508.097225979</v>
      </c>
      <c r="Z63">
        <v>91394875.017466992</v>
      </c>
      <c r="AA63">
        <v>90479192.286163554</v>
      </c>
      <c r="AB63">
        <v>89605841.654568717</v>
      </c>
      <c r="AC63">
        <v>88773908.825957969</v>
      </c>
      <c r="AD63">
        <v>87980402.85773012</v>
      </c>
      <c r="AE63">
        <v>87224792.594177052</v>
      </c>
      <c r="AF63">
        <v>86469910.123602867</v>
      </c>
      <c r="AG63">
        <v>80691854.552567482</v>
      </c>
      <c r="AH63">
        <v>79199011.968632698</v>
      </c>
      <c r="AI63">
        <v>77706169.384697914</v>
      </c>
      <c r="AJ63">
        <v>76213326.80076313</v>
      </c>
      <c r="AK63">
        <v>74720484.216827869</v>
      </c>
      <c r="AL63">
        <v>73227641.632893085</v>
      </c>
      <c r="AM63">
        <v>71734799.048958302</v>
      </c>
      <c r="AN63">
        <v>70241956.465023518</v>
      </c>
      <c r="AO63">
        <v>68749113.881088257</v>
      </c>
      <c r="AP63">
        <v>67256271.297153473</v>
      </c>
      <c r="AQ63">
        <v>65763428.713218689</v>
      </c>
      <c r="AR63">
        <v>64270586.129283905</v>
      </c>
      <c r="AS63">
        <v>62777743.545349121</v>
      </c>
      <c r="AT63">
        <v>61284900.96141386</v>
      </c>
      <c r="AU63">
        <v>59792058.377479076</v>
      </c>
      <c r="AV63">
        <v>58299215.793544292</v>
      </c>
      <c r="AW63">
        <v>56806373.209609509</v>
      </c>
      <c r="AX63">
        <v>55313530.625674248</v>
      </c>
      <c r="AY63">
        <v>53820688.041739464</v>
      </c>
      <c r="AZ63">
        <v>52327845.45780468</v>
      </c>
    </row>
    <row r="65" spans="1:52" x14ac:dyDescent="0.35">
      <c r="A65" s="9" t="s">
        <v>39</v>
      </c>
    </row>
    <row r="66" spans="1:52" s="9" customFormat="1" x14ac:dyDescent="0.35">
      <c r="A66" s="9" t="s">
        <v>18</v>
      </c>
      <c r="B66" s="9">
        <v>2020</v>
      </c>
      <c r="C66" s="9">
        <v>2021</v>
      </c>
      <c r="D66" s="9">
        <v>2022</v>
      </c>
      <c r="E66" s="9">
        <v>2023</v>
      </c>
      <c r="F66" s="9">
        <v>2024</v>
      </c>
      <c r="G66" s="9">
        <v>2025</v>
      </c>
      <c r="H66" s="9">
        <v>2026</v>
      </c>
      <c r="I66" s="9">
        <v>2027</v>
      </c>
      <c r="J66" s="9">
        <v>2028</v>
      </c>
      <c r="K66" s="9">
        <v>2029</v>
      </c>
      <c r="L66" s="9">
        <v>2030</v>
      </c>
      <c r="M66" s="9">
        <v>2031</v>
      </c>
      <c r="N66" s="9">
        <v>2032</v>
      </c>
      <c r="O66" s="9">
        <v>2033</v>
      </c>
      <c r="P66" s="9">
        <v>2034</v>
      </c>
      <c r="Q66" s="9">
        <v>2035</v>
      </c>
      <c r="R66" s="9">
        <v>2036</v>
      </c>
      <c r="S66" s="9">
        <v>2037</v>
      </c>
      <c r="T66" s="9">
        <v>2038</v>
      </c>
      <c r="U66" s="9">
        <v>2039</v>
      </c>
      <c r="V66" s="9">
        <v>2040</v>
      </c>
      <c r="W66" s="9">
        <v>2041</v>
      </c>
      <c r="X66" s="9">
        <v>2042</v>
      </c>
      <c r="Y66" s="9">
        <v>2043</v>
      </c>
      <c r="Z66" s="9">
        <v>2044</v>
      </c>
      <c r="AA66" s="9">
        <v>2045</v>
      </c>
      <c r="AB66" s="9">
        <v>2046</v>
      </c>
      <c r="AC66" s="9">
        <v>2047</v>
      </c>
      <c r="AD66" s="9">
        <v>2048</v>
      </c>
      <c r="AE66" s="9">
        <v>2049</v>
      </c>
      <c r="AF66" s="9">
        <v>2050</v>
      </c>
      <c r="AG66" s="9">
        <v>2051</v>
      </c>
      <c r="AH66" s="9">
        <v>2052</v>
      </c>
      <c r="AI66" s="9">
        <v>2053</v>
      </c>
      <c r="AJ66" s="9">
        <v>2054</v>
      </c>
      <c r="AK66" s="9">
        <v>2055</v>
      </c>
      <c r="AL66" s="9">
        <v>2056</v>
      </c>
      <c r="AM66" s="9">
        <v>2057</v>
      </c>
      <c r="AN66" s="9">
        <v>2058</v>
      </c>
      <c r="AO66" s="9">
        <v>2059</v>
      </c>
      <c r="AP66" s="9">
        <v>2060</v>
      </c>
      <c r="AQ66" s="9">
        <v>2061</v>
      </c>
      <c r="AR66" s="9">
        <v>2062</v>
      </c>
      <c r="AS66" s="9">
        <v>2063</v>
      </c>
      <c r="AT66" s="9">
        <v>2064</v>
      </c>
      <c r="AU66" s="9">
        <v>2065</v>
      </c>
      <c r="AV66" s="9">
        <v>2066</v>
      </c>
      <c r="AW66" s="9">
        <v>2067</v>
      </c>
      <c r="AX66" s="9">
        <v>2068</v>
      </c>
      <c r="AY66" s="9">
        <v>2069</v>
      </c>
      <c r="AZ66" s="9">
        <v>2070</v>
      </c>
    </row>
    <row r="67" spans="1:52" x14ac:dyDescent="0.35">
      <c r="A67" t="s">
        <v>19</v>
      </c>
      <c r="B67">
        <v>4166666.666666667</v>
      </c>
      <c r="C67">
        <v>4166666.666666667</v>
      </c>
      <c r="D67">
        <v>4166666.666666667</v>
      </c>
      <c r="E67">
        <v>4166666.666666667</v>
      </c>
      <c r="F67">
        <v>4166666.666666667</v>
      </c>
      <c r="G67">
        <v>4166666.666666667</v>
      </c>
      <c r="H67">
        <v>4166666.666666667</v>
      </c>
      <c r="I67">
        <v>4166666.666666667</v>
      </c>
      <c r="J67">
        <v>4166666.666666667</v>
      </c>
      <c r="K67">
        <v>4166666.666666667</v>
      </c>
      <c r="L67">
        <v>4166666.666666667</v>
      </c>
      <c r="M67">
        <v>4166666.666666667</v>
      </c>
      <c r="N67">
        <v>4166666.666666667</v>
      </c>
      <c r="O67">
        <v>4166666.666666667</v>
      </c>
      <c r="P67">
        <v>4166666.666666667</v>
      </c>
      <c r="Q67">
        <v>4166666.666666667</v>
      </c>
      <c r="R67">
        <v>4166666.666666667</v>
      </c>
      <c r="S67">
        <v>4166666.666666667</v>
      </c>
      <c r="T67">
        <v>4166666.666666667</v>
      </c>
      <c r="U67">
        <v>4166666.666666667</v>
      </c>
      <c r="V67">
        <v>4166666.666666667</v>
      </c>
      <c r="W67">
        <v>4166666.666666667</v>
      </c>
      <c r="X67">
        <v>4166666.666666667</v>
      </c>
      <c r="Y67">
        <v>4166666.666666667</v>
      </c>
      <c r="Z67">
        <v>4166666.666666667</v>
      </c>
      <c r="AA67">
        <v>4166666.666666667</v>
      </c>
      <c r="AB67">
        <v>4166666.666666667</v>
      </c>
      <c r="AC67">
        <v>4166666.666666667</v>
      </c>
      <c r="AD67">
        <v>4166666.666666667</v>
      </c>
      <c r="AE67">
        <v>4166666.666666667</v>
      </c>
      <c r="AF67">
        <v>4166666.666666667</v>
      </c>
      <c r="AG67">
        <v>4166666.6666666688</v>
      </c>
      <c r="AH67">
        <v>4166666.6666666688</v>
      </c>
      <c r="AI67">
        <v>4166666.6666666688</v>
      </c>
      <c r="AJ67">
        <v>4166666.6666666688</v>
      </c>
      <c r="AK67">
        <v>4166666.6666666688</v>
      </c>
      <c r="AL67">
        <v>4166666.6666666688</v>
      </c>
      <c r="AM67">
        <v>4166666.6666666688</v>
      </c>
      <c r="AN67">
        <v>4166666.6666666688</v>
      </c>
      <c r="AO67">
        <v>4166666.6666666688</v>
      </c>
      <c r="AP67">
        <v>4166666.6666666688</v>
      </c>
      <c r="AQ67">
        <v>4166666.6666666688</v>
      </c>
      <c r="AR67">
        <v>4166666.6666666688</v>
      </c>
      <c r="AS67">
        <v>4166666.6666666688</v>
      </c>
      <c r="AT67">
        <v>4166666.6666666688</v>
      </c>
      <c r="AU67">
        <v>4166666.6666666688</v>
      </c>
      <c r="AV67">
        <v>4166666.6666666688</v>
      </c>
      <c r="AW67">
        <v>4166666.6666666688</v>
      </c>
      <c r="AX67">
        <v>4166666.6666666688</v>
      </c>
      <c r="AY67">
        <v>4166666.6666666688</v>
      </c>
      <c r="AZ67">
        <v>4166666.6666666688</v>
      </c>
    </row>
    <row r="68" spans="1:52" x14ac:dyDescent="0.35">
      <c r="A68" t="s">
        <v>20</v>
      </c>
      <c r="B68">
        <v>0</v>
      </c>
      <c r="C68">
        <v>0</v>
      </c>
      <c r="D68">
        <v>0</v>
      </c>
      <c r="E68">
        <v>0</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v>0</v>
      </c>
      <c r="AJ68">
        <v>0</v>
      </c>
      <c r="AK68">
        <v>0</v>
      </c>
      <c r="AL68">
        <v>0</v>
      </c>
      <c r="AM68">
        <v>0</v>
      </c>
      <c r="AN68">
        <v>0</v>
      </c>
      <c r="AO68">
        <v>0</v>
      </c>
      <c r="AP68">
        <v>0</v>
      </c>
      <c r="AQ68">
        <v>0</v>
      </c>
      <c r="AR68">
        <v>0</v>
      </c>
      <c r="AS68">
        <v>0</v>
      </c>
      <c r="AT68">
        <v>0</v>
      </c>
      <c r="AU68">
        <v>0</v>
      </c>
      <c r="AV68">
        <v>0</v>
      </c>
      <c r="AW68">
        <v>0</v>
      </c>
      <c r="AX68">
        <v>0</v>
      </c>
      <c r="AY68">
        <v>0</v>
      </c>
      <c r="AZ68">
        <v>0</v>
      </c>
    </row>
    <row r="69" spans="1:52" x14ac:dyDescent="0.35">
      <c r="A69" t="s">
        <v>21</v>
      </c>
      <c r="B69">
        <v>0</v>
      </c>
      <c r="C69">
        <v>0</v>
      </c>
      <c r="D69">
        <v>0</v>
      </c>
      <c r="E69">
        <v>0</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c r="AE69">
        <v>0</v>
      </c>
      <c r="AF69">
        <v>0</v>
      </c>
      <c r="AG69">
        <v>0</v>
      </c>
      <c r="AH69">
        <v>0</v>
      </c>
      <c r="AI69">
        <v>0</v>
      </c>
      <c r="AJ69">
        <v>0</v>
      </c>
      <c r="AK69">
        <v>0</v>
      </c>
      <c r="AL69">
        <v>0</v>
      </c>
      <c r="AM69">
        <v>0</v>
      </c>
      <c r="AN69">
        <v>0</v>
      </c>
      <c r="AO69">
        <v>0</v>
      </c>
      <c r="AP69">
        <v>0</v>
      </c>
      <c r="AQ69">
        <v>0</v>
      </c>
      <c r="AR69">
        <v>0</v>
      </c>
      <c r="AS69">
        <v>0</v>
      </c>
      <c r="AT69">
        <v>0</v>
      </c>
      <c r="AU69">
        <v>0</v>
      </c>
      <c r="AV69">
        <v>0</v>
      </c>
      <c r="AW69">
        <v>0</v>
      </c>
      <c r="AX69">
        <v>0</v>
      </c>
      <c r="AY69">
        <v>0</v>
      </c>
      <c r="AZ69">
        <v>0</v>
      </c>
    </row>
    <row r="70" spans="1:52" x14ac:dyDescent="0.35">
      <c r="A70" t="s">
        <v>22</v>
      </c>
      <c r="B70">
        <v>2245137.0390797043</v>
      </c>
      <c r="C70">
        <v>2245137.0390797043</v>
      </c>
      <c r="D70">
        <v>2245137.0390797043</v>
      </c>
      <c r="E70">
        <v>2245137.0390797043</v>
      </c>
      <c r="F70">
        <v>2245137.0390797043</v>
      </c>
      <c r="G70">
        <v>2245137.0390797043</v>
      </c>
      <c r="H70">
        <v>2245137.0390797043</v>
      </c>
      <c r="I70">
        <v>2245137.0390797043</v>
      </c>
      <c r="J70">
        <v>2245137.0390797043</v>
      </c>
      <c r="K70">
        <v>2245137.0390797043</v>
      </c>
      <c r="L70">
        <v>2245137.0390797043</v>
      </c>
      <c r="M70">
        <v>2245137.0390797043</v>
      </c>
      <c r="N70">
        <v>2245137.0390797043</v>
      </c>
      <c r="O70">
        <v>2245137.0390797043</v>
      </c>
      <c r="P70">
        <v>2245137.0390797043</v>
      </c>
      <c r="Q70">
        <v>2245137.0390797043</v>
      </c>
      <c r="R70">
        <v>2245137.0390797043</v>
      </c>
      <c r="S70">
        <v>2245137.0390797043</v>
      </c>
      <c r="T70">
        <v>2245137.0390797043</v>
      </c>
      <c r="U70">
        <v>2245137.0390797043</v>
      </c>
      <c r="V70">
        <v>2245137.0390797043</v>
      </c>
      <c r="W70">
        <v>2245137.0390797043</v>
      </c>
      <c r="X70">
        <v>2245137.0390797043</v>
      </c>
      <c r="Y70">
        <v>2245137.0390797043</v>
      </c>
      <c r="Z70">
        <v>2245137.0390797043</v>
      </c>
      <c r="AA70">
        <v>2245137.0390797043</v>
      </c>
      <c r="AB70">
        <v>2245137.0390797043</v>
      </c>
      <c r="AC70">
        <v>2245137.0390797043</v>
      </c>
      <c r="AD70">
        <v>2245137.0390797043</v>
      </c>
      <c r="AE70">
        <v>2245137.0390797043</v>
      </c>
      <c r="AF70">
        <v>2245137.0390797043</v>
      </c>
      <c r="AG70">
        <v>2245137.0390797043</v>
      </c>
      <c r="AH70">
        <v>2245137.0390797043</v>
      </c>
      <c r="AI70">
        <v>2245137.0390797043</v>
      </c>
      <c r="AJ70">
        <v>2245137.0390797043</v>
      </c>
      <c r="AK70">
        <v>2245137.0390797043</v>
      </c>
      <c r="AL70">
        <v>2245137.0390797043</v>
      </c>
      <c r="AM70">
        <v>2245137.0390797043</v>
      </c>
      <c r="AN70">
        <v>2245137.0390797043</v>
      </c>
      <c r="AO70">
        <v>2245137.0390797043</v>
      </c>
      <c r="AP70">
        <v>2245137.0390797043</v>
      </c>
      <c r="AQ70">
        <v>2245137.0390797043</v>
      </c>
      <c r="AR70">
        <v>2245137.0390797043</v>
      </c>
      <c r="AS70">
        <v>2245137.0390797043</v>
      </c>
      <c r="AT70">
        <v>2245137.0390797043</v>
      </c>
      <c r="AU70">
        <v>2245137.0390797043</v>
      </c>
      <c r="AV70">
        <v>2245137.0390797043</v>
      </c>
      <c r="AW70">
        <v>2245137.0390797043</v>
      </c>
      <c r="AX70">
        <v>2245137.0390797043</v>
      </c>
      <c r="AY70">
        <v>2245137.0390797043</v>
      </c>
      <c r="AZ70">
        <v>2245137.0390797043</v>
      </c>
    </row>
    <row r="71" spans="1:52" x14ac:dyDescent="0.35">
      <c r="A71" t="s">
        <v>23</v>
      </c>
      <c r="B71">
        <v>0</v>
      </c>
      <c r="C71">
        <v>0</v>
      </c>
      <c r="D71">
        <v>0</v>
      </c>
      <c r="E71">
        <v>0</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v>0</v>
      </c>
      <c r="AM71">
        <v>0</v>
      </c>
      <c r="AN71">
        <v>0</v>
      </c>
      <c r="AO71">
        <v>0</v>
      </c>
      <c r="AP71">
        <v>0</v>
      </c>
      <c r="AQ71">
        <v>0</v>
      </c>
      <c r="AR71">
        <v>0</v>
      </c>
      <c r="AS71">
        <v>0</v>
      </c>
      <c r="AT71">
        <v>0</v>
      </c>
      <c r="AU71">
        <v>0</v>
      </c>
      <c r="AV71">
        <v>0</v>
      </c>
      <c r="AW71">
        <v>0</v>
      </c>
      <c r="AX71">
        <v>0</v>
      </c>
      <c r="AY71">
        <v>0</v>
      </c>
      <c r="AZ71">
        <v>0</v>
      </c>
    </row>
    <row r="72" spans="1:52" x14ac:dyDescent="0.35">
      <c r="A72" t="s">
        <v>24</v>
      </c>
      <c r="B72">
        <v>0</v>
      </c>
      <c r="C72">
        <v>0</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v>0</v>
      </c>
      <c r="AM72">
        <v>0</v>
      </c>
      <c r="AN72">
        <v>0</v>
      </c>
      <c r="AO72">
        <v>0</v>
      </c>
      <c r="AP72">
        <v>0</v>
      </c>
      <c r="AQ72">
        <v>0</v>
      </c>
      <c r="AR72">
        <v>0</v>
      </c>
      <c r="AS72">
        <v>0</v>
      </c>
      <c r="AT72">
        <v>0</v>
      </c>
      <c r="AU72">
        <v>0</v>
      </c>
      <c r="AV72">
        <v>0</v>
      </c>
      <c r="AW72">
        <v>0</v>
      </c>
      <c r="AX72">
        <v>0</v>
      </c>
      <c r="AY72">
        <v>0</v>
      </c>
      <c r="AZ72">
        <v>0</v>
      </c>
    </row>
    <row r="73" spans="1:52" x14ac:dyDescent="0.35">
      <c r="A73" t="s">
        <v>25</v>
      </c>
      <c r="B73">
        <v>2963580.8915852099</v>
      </c>
      <c r="C73">
        <v>2962936.3231693394</v>
      </c>
      <c r="D73">
        <v>2898848.4423201689</v>
      </c>
      <c r="E73">
        <v>2842431.2831647494</v>
      </c>
      <c r="F73">
        <v>2785443.8811328169</v>
      </c>
      <c r="G73">
        <v>2726458.4006706807</v>
      </c>
      <c r="H73">
        <v>2674639.0594851319</v>
      </c>
      <c r="I73">
        <v>2626949.6822624081</v>
      </c>
      <c r="J73">
        <v>2581461.9169455185</v>
      </c>
      <c r="K73">
        <v>2538119.6505920975</v>
      </c>
      <c r="L73">
        <v>2496800.0908931107</v>
      </c>
      <c r="M73">
        <v>2457469.9823931246</v>
      </c>
      <c r="N73">
        <v>2419806.7453276739</v>
      </c>
      <c r="O73">
        <v>2384164.5854850914</v>
      </c>
      <c r="P73">
        <v>2349182.968060364</v>
      </c>
      <c r="Q73">
        <v>2315641.958222263</v>
      </c>
      <c r="R73">
        <v>2283694.9382061744</v>
      </c>
      <c r="S73">
        <v>2253226.3066138132</v>
      </c>
      <c r="T73">
        <v>2224173.5735175237</v>
      </c>
      <c r="U73">
        <v>2196499.9499929207</v>
      </c>
      <c r="V73">
        <v>2170046.8132784432</v>
      </c>
      <c r="W73">
        <v>2144868.1190083385</v>
      </c>
      <c r="X73">
        <v>2120852.8360578259</v>
      </c>
      <c r="Y73">
        <v>2097949.2534558405</v>
      </c>
      <c r="Z73">
        <v>2076127.496485983</v>
      </c>
      <c r="AA73">
        <v>2055326.8323770484</v>
      </c>
      <c r="AB73">
        <v>2035487.784947081</v>
      </c>
      <c r="AC73">
        <v>2016589.585016526</v>
      </c>
      <c r="AD73">
        <v>1998564.2902836574</v>
      </c>
      <c r="AE73">
        <v>1981399.8350066005</v>
      </c>
      <c r="AF73">
        <v>1964251.9122869202</v>
      </c>
      <c r="AG73">
        <v>1832997.506118536</v>
      </c>
      <c r="AH73">
        <v>1799086.0692262501</v>
      </c>
      <c r="AI73">
        <v>1765174.632333979</v>
      </c>
      <c r="AJ73">
        <v>1731263.1954416931</v>
      </c>
      <c r="AK73">
        <v>1697351.758549422</v>
      </c>
      <c r="AL73">
        <v>1663440.321657151</v>
      </c>
      <c r="AM73">
        <v>1629528.884764865</v>
      </c>
      <c r="AN73">
        <v>1595617.447872594</v>
      </c>
      <c r="AO73">
        <v>1561706.0109803081</v>
      </c>
      <c r="AP73">
        <v>1527794.574088037</v>
      </c>
      <c r="AQ73">
        <v>1493883.1371957511</v>
      </c>
      <c r="AR73">
        <v>1459971.70030348</v>
      </c>
      <c r="AS73">
        <v>1426060.263411209</v>
      </c>
      <c r="AT73">
        <v>1392148.826518923</v>
      </c>
      <c r="AU73">
        <v>1358237.389626652</v>
      </c>
      <c r="AV73">
        <v>1324325.9527343661</v>
      </c>
      <c r="AW73">
        <v>1290414.515842095</v>
      </c>
      <c r="AX73">
        <v>1256503.0789498091</v>
      </c>
      <c r="AY73">
        <v>1222591.642057538</v>
      </c>
      <c r="AZ73">
        <v>1188680.205165267</v>
      </c>
    </row>
    <row r="75" spans="1:52" x14ac:dyDescent="0.35">
      <c r="A75" s="9" t="s">
        <v>40</v>
      </c>
    </row>
    <row r="76" spans="1:52" s="9" customFormat="1" x14ac:dyDescent="0.35">
      <c r="A76" s="9" t="s">
        <v>18</v>
      </c>
      <c r="B76" s="9">
        <v>2020</v>
      </c>
      <c r="C76" s="9">
        <v>2021</v>
      </c>
      <c r="D76" s="9">
        <v>2022</v>
      </c>
      <c r="E76" s="9">
        <v>2023</v>
      </c>
      <c r="F76" s="9">
        <v>2024</v>
      </c>
      <c r="G76" s="9">
        <v>2025</v>
      </c>
      <c r="H76" s="9">
        <v>2026</v>
      </c>
      <c r="I76" s="9">
        <v>2027</v>
      </c>
      <c r="J76" s="9">
        <v>2028</v>
      </c>
      <c r="K76" s="9">
        <v>2029</v>
      </c>
      <c r="L76" s="9">
        <v>2030</v>
      </c>
      <c r="M76" s="9">
        <v>2031</v>
      </c>
      <c r="N76" s="9">
        <v>2032</v>
      </c>
      <c r="O76" s="9">
        <v>2033</v>
      </c>
      <c r="P76" s="9">
        <v>2034</v>
      </c>
      <c r="Q76" s="9">
        <v>2035</v>
      </c>
      <c r="R76" s="9">
        <v>2036</v>
      </c>
      <c r="S76" s="9">
        <v>2037</v>
      </c>
      <c r="T76" s="9">
        <v>2038</v>
      </c>
      <c r="U76" s="9">
        <v>2039</v>
      </c>
      <c r="V76" s="9">
        <v>2040</v>
      </c>
      <c r="W76" s="9">
        <v>2041</v>
      </c>
      <c r="X76" s="9">
        <v>2042</v>
      </c>
      <c r="Y76" s="9">
        <v>2043</v>
      </c>
      <c r="Z76" s="9">
        <v>2044</v>
      </c>
      <c r="AA76" s="9">
        <v>2045</v>
      </c>
      <c r="AB76" s="9">
        <v>2046</v>
      </c>
      <c r="AC76" s="9">
        <v>2047</v>
      </c>
      <c r="AD76" s="9">
        <v>2048</v>
      </c>
      <c r="AE76" s="9">
        <v>2049</v>
      </c>
      <c r="AF76" s="9">
        <v>2050</v>
      </c>
      <c r="AG76" s="9">
        <v>2051</v>
      </c>
      <c r="AH76" s="9">
        <v>2052</v>
      </c>
      <c r="AI76" s="9">
        <v>2053</v>
      </c>
      <c r="AJ76" s="9">
        <v>2054</v>
      </c>
      <c r="AK76" s="9">
        <v>2055</v>
      </c>
      <c r="AL76" s="9">
        <v>2056</v>
      </c>
      <c r="AM76" s="9">
        <v>2057</v>
      </c>
      <c r="AN76" s="9">
        <v>2058</v>
      </c>
      <c r="AO76" s="9">
        <v>2059</v>
      </c>
      <c r="AP76" s="9">
        <v>2060</v>
      </c>
      <c r="AQ76" s="9">
        <v>2061</v>
      </c>
      <c r="AR76" s="9">
        <v>2062</v>
      </c>
      <c r="AS76" s="9">
        <v>2063</v>
      </c>
      <c r="AT76" s="9">
        <v>2064</v>
      </c>
      <c r="AU76" s="9">
        <v>2065</v>
      </c>
      <c r="AV76" s="9">
        <v>2066</v>
      </c>
      <c r="AW76" s="9">
        <v>2067</v>
      </c>
      <c r="AX76" s="9">
        <v>2068</v>
      </c>
      <c r="AY76" s="9">
        <v>2069</v>
      </c>
      <c r="AZ76" s="9">
        <v>2070</v>
      </c>
    </row>
    <row r="77" spans="1:52" x14ac:dyDescent="0.35">
      <c r="A77" t="s">
        <v>19</v>
      </c>
      <c r="B77">
        <v>119848198.6111111</v>
      </c>
      <c r="C77">
        <v>119848198.6111111</v>
      </c>
      <c r="D77">
        <v>119848198.6111111</v>
      </c>
      <c r="E77">
        <v>119848198.6111111</v>
      </c>
      <c r="F77">
        <v>119848198.6111111</v>
      </c>
      <c r="G77">
        <v>119848198.6111111</v>
      </c>
      <c r="H77">
        <v>119848198.6111111</v>
      </c>
      <c r="I77">
        <v>119848198.6111111</v>
      </c>
      <c r="J77">
        <v>119848198.6111111</v>
      </c>
      <c r="K77">
        <v>119848198.6111111</v>
      </c>
      <c r="L77">
        <v>119848198.6111111</v>
      </c>
      <c r="M77">
        <v>119848198.6111111</v>
      </c>
      <c r="N77">
        <v>119848198.6111111</v>
      </c>
      <c r="O77">
        <v>119848198.6111111</v>
      </c>
      <c r="P77">
        <v>119848198.6111111</v>
      </c>
      <c r="Q77">
        <v>119848198.6111111</v>
      </c>
      <c r="R77">
        <v>119848198.6111111</v>
      </c>
      <c r="S77">
        <v>119848198.6111111</v>
      </c>
      <c r="T77">
        <v>119848198.6111111</v>
      </c>
      <c r="U77">
        <v>119848198.6111111</v>
      </c>
      <c r="V77">
        <v>119848198.6111111</v>
      </c>
      <c r="W77">
        <v>119848198.6111111</v>
      </c>
      <c r="X77">
        <v>119848198.6111111</v>
      </c>
      <c r="Y77">
        <v>119848198.6111111</v>
      </c>
      <c r="Z77">
        <v>119848198.6111111</v>
      </c>
      <c r="AA77">
        <v>119848198.6111111</v>
      </c>
      <c r="AB77">
        <v>119848198.6111111</v>
      </c>
      <c r="AC77">
        <v>119848198.6111111</v>
      </c>
      <c r="AD77">
        <v>119848198.6111111</v>
      </c>
      <c r="AE77">
        <v>119848198.6111111</v>
      </c>
      <c r="AF77">
        <v>119848198.6111111</v>
      </c>
      <c r="AG77">
        <v>119848198.61111115</v>
      </c>
      <c r="AH77">
        <v>119848198.61111115</v>
      </c>
      <c r="AI77">
        <v>119848198.61111115</v>
      </c>
      <c r="AJ77">
        <v>119848198.61111115</v>
      </c>
      <c r="AK77">
        <v>119848198.61111115</v>
      </c>
      <c r="AL77">
        <v>119848198.61111115</v>
      </c>
      <c r="AM77">
        <v>119848198.61111115</v>
      </c>
      <c r="AN77">
        <v>119848198.61111115</v>
      </c>
      <c r="AO77">
        <v>119848198.61111115</v>
      </c>
      <c r="AP77">
        <v>119848198.61111115</v>
      </c>
      <c r="AQ77">
        <v>119848198.61111115</v>
      </c>
      <c r="AR77">
        <v>119848198.61111115</v>
      </c>
      <c r="AS77">
        <v>119848198.61111115</v>
      </c>
      <c r="AT77">
        <v>119848198.61111115</v>
      </c>
      <c r="AU77">
        <v>119848198.61111115</v>
      </c>
      <c r="AV77">
        <v>119848198.61111115</v>
      </c>
      <c r="AW77">
        <v>119848198.61111115</v>
      </c>
      <c r="AX77">
        <v>119848198.61111115</v>
      </c>
      <c r="AY77">
        <v>119848198.61111115</v>
      </c>
      <c r="AZ77">
        <v>119848198.61111115</v>
      </c>
    </row>
    <row r="78" spans="1:52" x14ac:dyDescent="0.35">
      <c r="A78" t="s">
        <v>20</v>
      </c>
      <c r="B78">
        <v>0</v>
      </c>
      <c r="C78">
        <v>0</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v>0</v>
      </c>
      <c r="AH78">
        <v>0</v>
      </c>
      <c r="AI78">
        <v>0</v>
      </c>
      <c r="AJ78">
        <v>0</v>
      </c>
      <c r="AK78">
        <v>0</v>
      </c>
      <c r="AL78">
        <v>0</v>
      </c>
      <c r="AM78">
        <v>0</v>
      </c>
      <c r="AN78">
        <v>0</v>
      </c>
      <c r="AO78">
        <v>0</v>
      </c>
      <c r="AP78">
        <v>0</v>
      </c>
      <c r="AQ78">
        <v>0</v>
      </c>
      <c r="AR78">
        <v>0</v>
      </c>
      <c r="AS78">
        <v>0</v>
      </c>
      <c r="AT78">
        <v>0</v>
      </c>
      <c r="AU78">
        <v>0</v>
      </c>
      <c r="AV78">
        <v>0</v>
      </c>
      <c r="AW78">
        <v>0</v>
      </c>
      <c r="AX78">
        <v>0</v>
      </c>
      <c r="AY78">
        <v>0</v>
      </c>
      <c r="AZ78">
        <v>0</v>
      </c>
    </row>
    <row r="79" spans="1:52" x14ac:dyDescent="0.35">
      <c r="A79" t="s">
        <v>21</v>
      </c>
      <c r="B79">
        <v>0</v>
      </c>
      <c r="C79">
        <v>0</v>
      </c>
      <c r="D79">
        <v>0</v>
      </c>
      <c r="E79">
        <v>0</v>
      </c>
      <c r="F79">
        <v>0</v>
      </c>
      <c r="G79">
        <v>0</v>
      </c>
      <c r="H79">
        <v>0</v>
      </c>
      <c r="I79">
        <v>0</v>
      </c>
      <c r="J79">
        <v>0</v>
      </c>
      <c r="K79">
        <v>0</v>
      </c>
      <c r="L79">
        <v>0</v>
      </c>
      <c r="M79">
        <v>0</v>
      </c>
      <c r="N79">
        <v>0</v>
      </c>
      <c r="O79">
        <v>0</v>
      </c>
      <c r="P79">
        <v>0</v>
      </c>
      <c r="Q79">
        <v>0</v>
      </c>
      <c r="R79">
        <v>0</v>
      </c>
      <c r="S79">
        <v>0</v>
      </c>
      <c r="T79">
        <v>0</v>
      </c>
      <c r="U79">
        <v>0</v>
      </c>
      <c r="V79">
        <v>0</v>
      </c>
      <c r="W79">
        <v>0</v>
      </c>
      <c r="X79">
        <v>0</v>
      </c>
      <c r="Y79">
        <v>0</v>
      </c>
      <c r="Z79">
        <v>0</v>
      </c>
      <c r="AA79">
        <v>0</v>
      </c>
      <c r="AB79">
        <v>0</v>
      </c>
      <c r="AC79">
        <v>0</v>
      </c>
      <c r="AD79">
        <v>0</v>
      </c>
      <c r="AE79">
        <v>0</v>
      </c>
      <c r="AF79">
        <v>0</v>
      </c>
      <c r="AG79">
        <v>0</v>
      </c>
      <c r="AH79">
        <v>0</v>
      </c>
      <c r="AI79">
        <v>0</v>
      </c>
      <c r="AJ79">
        <v>0</v>
      </c>
      <c r="AK79">
        <v>0</v>
      </c>
      <c r="AL79">
        <v>0</v>
      </c>
      <c r="AM79">
        <v>0</v>
      </c>
      <c r="AN79">
        <v>0</v>
      </c>
      <c r="AO79">
        <v>0</v>
      </c>
      <c r="AP79">
        <v>0</v>
      </c>
      <c r="AQ79">
        <v>0</v>
      </c>
      <c r="AR79">
        <v>0</v>
      </c>
      <c r="AS79">
        <v>0</v>
      </c>
      <c r="AT79">
        <v>0</v>
      </c>
      <c r="AU79">
        <v>0</v>
      </c>
      <c r="AV79">
        <v>0</v>
      </c>
      <c r="AW79">
        <v>0</v>
      </c>
      <c r="AX79">
        <v>0</v>
      </c>
      <c r="AY79">
        <v>0</v>
      </c>
      <c r="AZ79">
        <v>0</v>
      </c>
    </row>
    <row r="80" spans="1:52" x14ac:dyDescent="0.35">
      <c r="A80" t="s">
        <v>22</v>
      </c>
      <c r="B80">
        <v>64833333.333333336</v>
      </c>
      <c r="C80">
        <v>64833333.333333336</v>
      </c>
      <c r="D80">
        <v>64833333.333333336</v>
      </c>
      <c r="E80">
        <v>64833333.333333336</v>
      </c>
      <c r="F80">
        <v>64833333.333333336</v>
      </c>
      <c r="G80">
        <v>64833333.333333336</v>
      </c>
      <c r="H80">
        <v>64833333.333333336</v>
      </c>
      <c r="I80">
        <v>64833333.333333336</v>
      </c>
      <c r="J80">
        <v>64833333.333333336</v>
      </c>
      <c r="K80">
        <v>64833333.333333336</v>
      </c>
      <c r="L80">
        <v>64833333.333333336</v>
      </c>
      <c r="M80">
        <v>64833333.333333336</v>
      </c>
      <c r="N80">
        <v>64833333.333333336</v>
      </c>
      <c r="O80">
        <v>64833333.333333336</v>
      </c>
      <c r="P80">
        <v>64833333.333333336</v>
      </c>
      <c r="Q80">
        <v>64833333.333333336</v>
      </c>
      <c r="R80">
        <v>64833333.333333336</v>
      </c>
      <c r="S80">
        <v>64833333.333333336</v>
      </c>
      <c r="T80">
        <v>64833333.333333336</v>
      </c>
      <c r="U80">
        <v>64833333.333333336</v>
      </c>
      <c r="V80">
        <v>64833333.333333336</v>
      </c>
      <c r="W80">
        <v>64833333.333333336</v>
      </c>
      <c r="X80">
        <v>64833333.333333336</v>
      </c>
      <c r="Y80">
        <v>64833333.333333336</v>
      </c>
      <c r="Z80">
        <v>64833333.333333336</v>
      </c>
      <c r="AA80">
        <v>64833333.333333336</v>
      </c>
      <c r="AB80">
        <v>64833333.333333336</v>
      </c>
      <c r="AC80">
        <v>64833333.333333336</v>
      </c>
      <c r="AD80">
        <v>64833333.333333336</v>
      </c>
      <c r="AE80">
        <v>64833333.333333336</v>
      </c>
      <c r="AF80">
        <v>64833333.333333336</v>
      </c>
      <c r="AG80">
        <v>64833333.333333306</v>
      </c>
      <c r="AH80">
        <v>64833333.333333306</v>
      </c>
      <c r="AI80">
        <v>64833333.333333306</v>
      </c>
      <c r="AJ80">
        <v>64833333.333333306</v>
      </c>
      <c r="AK80">
        <v>64833333.333333306</v>
      </c>
      <c r="AL80">
        <v>64833333.333333306</v>
      </c>
      <c r="AM80">
        <v>64833333.333333306</v>
      </c>
      <c r="AN80">
        <v>64833333.333333306</v>
      </c>
      <c r="AO80">
        <v>64833333.333333306</v>
      </c>
      <c r="AP80">
        <v>64833333.333333306</v>
      </c>
      <c r="AQ80">
        <v>64833333.333333306</v>
      </c>
      <c r="AR80">
        <v>64833333.333333306</v>
      </c>
      <c r="AS80">
        <v>64833333.333333306</v>
      </c>
      <c r="AT80">
        <v>64833333.333333306</v>
      </c>
      <c r="AU80">
        <v>64833333.333333306</v>
      </c>
      <c r="AV80">
        <v>64833333.333333306</v>
      </c>
      <c r="AW80">
        <v>64833333.333333306</v>
      </c>
      <c r="AX80">
        <v>64833333.333333306</v>
      </c>
      <c r="AY80">
        <v>64833333.333333306</v>
      </c>
      <c r="AZ80">
        <v>64833333.333333306</v>
      </c>
    </row>
    <row r="81" spans="1:52" x14ac:dyDescent="0.35">
      <c r="A81" t="s">
        <v>23</v>
      </c>
      <c r="B81">
        <v>0</v>
      </c>
      <c r="C81">
        <v>0</v>
      </c>
      <c r="D81">
        <v>0</v>
      </c>
      <c r="E81">
        <v>0</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v>0</v>
      </c>
      <c r="AJ81">
        <v>0</v>
      </c>
      <c r="AK81">
        <v>0</v>
      </c>
      <c r="AL81">
        <v>0</v>
      </c>
      <c r="AM81">
        <v>0</v>
      </c>
      <c r="AN81">
        <v>0</v>
      </c>
      <c r="AO81">
        <v>0</v>
      </c>
      <c r="AP81">
        <v>0</v>
      </c>
      <c r="AQ81">
        <v>0</v>
      </c>
      <c r="AR81">
        <v>0</v>
      </c>
      <c r="AS81">
        <v>0</v>
      </c>
      <c r="AT81">
        <v>0</v>
      </c>
      <c r="AU81">
        <v>0</v>
      </c>
      <c r="AV81">
        <v>0</v>
      </c>
      <c r="AW81">
        <v>0</v>
      </c>
      <c r="AX81">
        <v>0</v>
      </c>
      <c r="AY81">
        <v>0</v>
      </c>
      <c r="AZ81">
        <v>0</v>
      </c>
    </row>
    <row r="82" spans="1:52" x14ac:dyDescent="0.35">
      <c r="A82" t="s">
        <v>24</v>
      </c>
      <c r="B82">
        <v>0</v>
      </c>
      <c r="C82">
        <v>0</v>
      </c>
      <c r="D82">
        <v>0</v>
      </c>
      <c r="E82">
        <v>0</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v>0</v>
      </c>
      <c r="AJ82">
        <v>0</v>
      </c>
      <c r="AK82">
        <v>0</v>
      </c>
      <c r="AL82">
        <v>0</v>
      </c>
      <c r="AM82">
        <v>0</v>
      </c>
      <c r="AN82">
        <v>0</v>
      </c>
      <c r="AO82">
        <v>0</v>
      </c>
      <c r="AP82">
        <v>0</v>
      </c>
      <c r="AQ82">
        <v>0</v>
      </c>
      <c r="AR82">
        <v>0</v>
      </c>
      <c r="AS82">
        <v>0</v>
      </c>
      <c r="AT82">
        <v>0</v>
      </c>
      <c r="AU82">
        <v>0</v>
      </c>
      <c r="AV82">
        <v>0</v>
      </c>
      <c r="AW82">
        <v>0</v>
      </c>
      <c r="AX82">
        <v>0</v>
      </c>
      <c r="AY82">
        <v>0</v>
      </c>
      <c r="AZ82">
        <v>0</v>
      </c>
    </row>
    <row r="83" spans="1:52" x14ac:dyDescent="0.35">
      <c r="A83" t="s">
        <v>25</v>
      </c>
      <c r="B83">
        <v>130462173.27646299</v>
      </c>
      <c r="C83">
        <v>130433798.21283689</v>
      </c>
      <c r="D83">
        <v>127612534.1670313</v>
      </c>
      <c r="E83">
        <v>125128949.11814705</v>
      </c>
      <c r="F83">
        <v>122620260.94986539</v>
      </c>
      <c r="G83">
        <v>120023613.76716256</v>
      </c>
      <c r="H83">
        <v>117742432.95376994</v>
      </c>
      <c r="I83">
        <v>115643060.59908123</v>
      </c>
      <c r="J83">
        <v>113640607.16931953</v>
      </c>
      <c r="K83">
        <v>111732602.47160736</v>
      </c>
      <c r="L83">
        <v>109913640.96714409</v>
      </c>
      <c r="M83">
        <v>108182258.69083215</v>
      </c>
      <c r="N83">
        <v>106524255.09992732</v>
      </c>
      <c r="O83">
        <v>104955222.97175646</v>
      </c>
      <c r="P83">
        <v>103415269.11157534</v>
      </c>
      <c r="Q83">
        <v>101938733.39433184</v>
      </c>
      <c r="R83">
        <v>100532367.98252888</v>
      </c>
      <c r="S83">
        <v>99191083.894220054</v>
      </c>
      <c r="T83">
        <v>97912130.210139751</v>
      </c>
      <c r="U83">
        <v>96693887.41551733</v>
      </c>
      <c r="V83">
        <v>95529372.650440603</v>
      </c>
      <c r="W83">
        <v>94420961.139194697</v>
      </c>
      <c r="X83">
        <v>93363765.091511592</v>
      </c>
      <c r="Y83">
        <v>92355508.097225979</v>
      </c>
      <c r="Z83">
        <v>91394875.017466992</v>
      </c>
      <c r="AA83">
        <v>90479192.286163554</v>
      </c>
      <c r="AB83">
        <v>89605841.654568717</v>
      </c>
      <c r="AC83">
        <v>88773908.825957969</v>
      </c>
      <c r="AD83">
        <v>87980402.85773012</v>
      </c>
      <c r="AE83">
        <v>87224792.594177052</v>
      </c>
      <c r="AF83">
        <v>86469910.123602867</v>
      </c>
      <c r="AG83">
        <v>80691854.552567482</v>
      </c>
      <c r="AH83">
        <v>79199011.968632698</v>
      </c>
      <c r="AI83">
        <v>77706169.384697914</v>
      </c>
      <c r="AJ83">
        <v>76213326.80076313</v>
      </c>
      <c r="AK83">
        <v>74720484.216827869</v>
      </c>
      <c r="AL83">
        <v>73227641.632893085</v>
      </c>
      <c r="AM83">
        <v>71734799.048958302</v>
      </c>
      <c r="AN83">
        <v>70241956.465023518</v>
      </c>
      <c r="AO83">
        <v>68749113.881088257</v>
      </c>
      <c r="AP83">
        <v>67256271.297153473</v>
      </c>
      <c r="AQ83">
        <v>65763428.713218689</v>
      </c>
      <c r="AR83">
        <v>64270586.129283905</v>
      </c>
      <c r="AS83">
        <v>62777743.545349121</v>
      </c>
      <c r="AT83">
        <v>61284900.96141386</v>
      </c>
      <c r="AU83">
        <v>59792058.377479076</v>
      </c>
      <c r="AV83">
        <v>58299215.793544292</v>
      </c>
      <c r="AW83">
        <v>56806373.209609509</v>
      </c>
      <c r="AX83">
        <v>55313530.625674248</v>
      </c>
      <c r="AY83">
        <v>53820688.041739464</v>
      </c>
      <c r="AZ83">
        <v>52327845.45780468</v>
      </c>
    </row>
    <row r="85" spans="1:52" x14ac:dyDescent="0.35">
      <c r="A85" s="9" t="s">
        <v>41</v>
      </c>
    </row>
    <row r="86" spans="1:52" s="9" customFormat="1" x14ac:dyDescent="0.35">
      <c r="A86" s="9" t="s">
        <v>18</v>
      </c>
      <c r="B86" s="9">
        <v>2020</v>
      </c>
      <c r="C86" s="9">
        <v>2021</v>
      </c>
      <c r="D86" s="9">
        <v>2022</v>
      </c>
      <c r="E86" s="9">
        <v>2023</v>
      </c>
      <c r="F86" s="9">
        <v>2024</v>
      </c>
      <c r="G86" s="9">
        <v>2025</v>
      </c>
      <c r="H86" s="9">
        <v>2026</v>
      </c>
      <c r="I86" s="9">
        <v>2027</v>
      </c>
      <c r="J86" s="9">
        <v>2028</v>
      </c>
      <c r="K86" s="9">
        <v>2029</v>
      </c>
      <c r="L86" s="9">
        <v>2030</v>
      </c>
      <c r="M86" s="9">
        <v>2031</v>
      </c>
      <c r="N86" s="9">
        <v>2032</v>
      </c>
      <c r="O86" s="9">
        <v>2033</v>
      </c>
      <c r="P86" s="9">
        <v>2034</v>
      </c>
      <c r="Q86" s="9">
        <v>2035</v>
      </c>
      <c r="R86" s="9">
        <v>2036</v>
      </c>
      <c r="S86" s="9">
        <v>2037</v>
      </c>
      <c r="T86" s="9">
        <v>2038</v>
      </c>
      <c r="U86" s="9">
        <v>2039</v>
      </c>
      <c r="V86" s="9">
        <v>2040</v>
      </c>
      <c r="W86" s="9">
        <v>2041</v>
      </c>
      <c r="X86" s="9">
        <v>2042</v>
      </c>
      <c r="Y86" s="9">
        <v>2043</v>
      </c>
      <c r="Z86" s="9">
        <v>2044</v>
      </c>
      <c r="AA86" s="9">
        <v>2045</v>
      </c>
      <c r="AB86" s="9">
        <v>2046</v>
      </c>
      <c r="AC86" s="9">
        <v>2047</v>
      </c>
      <c r="AD86" s="9">
        <v>2048</v>
      </c>
      <c r="AE86" s="9">
        <v>2049</v>
      </c>
      <c r="AF86" s="9">
        <v>2050</v>
      </c>
      <c r="AG86" s="9">
        <v>2051</v>
      </c>
      <c r="AH86" s="9">
        <v>2052</v>
      </c>
      <c r="AI86" s="9">
        <v>2053</v>
      </c>
      <c r="AJ86" s="9">
        <v>2054</v>
      </c>
      <c r="AK86" s="9">
        <v>2055</v>
      </c>
      <c r="AL86" s="9">
        <v>2056</v>
      </c>
      <c r="AM86" s="9">
        <v>2057</v>
      </c>
      <c r="AN86" s="9">
        <v>2058</v>
      </c>
      <c r="AO86" s="9">
        <v>2059</v>
      </c>
      <c r="AP86" s="9">
        <v>2060</v>
      </c>
      <c r="AQ86" s="9">
        <v>2061</v>
      </c>
      <c r="AR86" s="9">
        <v>2062</v>
      </c>
      <c r="AS86" s="9">
        <v>2063</v>
      </c>
      <c r="AT86" s="9">
        <v>2064</v>
      </c>
      <c r="AU86" s="9">
        <v>2065</v>
      </c>
      <c r="AV86" s="9">
        <v>2066</v>
      </c>
      <c r="AW86" s="9">
        <v>2067</v>
      </c>
      <c r="AX86" s="9">
        <v>2068</v>
      </c>
      <c r="AY86" s="9">
        <v>2069</v>
      </c>
      <c r="AZ86" s="9">
        <v>2070</v>
      </c>
    </row>
    <row r="87" spans="1:52" x14ac:dyDescent="0.35">
      <c r="A87" t="s">
        <v>19</v>
      </c>
      <c r="B87">
        <v>5000000</v>
      </c>
      <c r="C87">
        <v>5000000</v>
      </c>
      <c r="D87">
        <v>5000000</v>
      </c>
      <c r="E87">
        <v>5000000</v>
      </c>
      <c r="F87">
        <v>5000000</v>
      </c>
      <c r="G87">
        <v>5000000</v>
      </c>
      <c r="H87">
        <v>5000000</v>
      </c>
      <c r="I87">
        <v>5000000</v>
      </c>
      <c r="J87">
        <v>5000000</v>
      </c>
      <c r="K87">
        <v>5000000</v>
      </c>
      <c r="L87">
        <v>5000000</v>
      </c>
      <c r="M87">
        <v>5000000</v>
      </c>
      <c r="N87">
        <v>5000000</v>
      </c>
      <c r="O87">
        <v>5000000</v>
      </c>
      <c r="P87">
        <v>5000000</v>
      </c>
      <c r="Q87">
        <v>5000000</v>
      </c>
      <c r="R87">
        <v>5000000</v>
      </c>
      <c r="S87">
        <v>5000000</v>
      </c>
      <c r="T87">
        <v>5000000</v>
      </c>
      <c r="U87">
        <v>5000000</v>
      </c>
      <c r="V87">
        <v>5000000</v>
      </c>
      <c r="W87">
        <v>5000000</v>
      </c>
      <c r="X87">
        <v>5000000</v>
      </c>
      <c r="Y87">
        <v>5000000</v>
      </c>
      <c r="Z87">
        <v>5000000</v>
      </c>
      <c r="AA87">
        <v>5000000</v>
      </c>
      <c r="AB87">
        <v>5000000</v>
      </c>
      <c r="AC87">
        <v>5000000</v>
      </c>
      <c r="AD87">
        <v>5000000</v>
      </c>
      <c r="AE87">
        <v>5000000</v>
      </c>
      <c r="AF87">
        <v>5000000</v>
      </c>
      <c r="AG87">
        <v>5000000</v>
      </c>
      <c r="AH87">
        <v>5000000</v>
      </c>
      <c r="AI87">
        <v>5000000</v>
      </c>
      <c r="AJ87">
        <v>5000000</v>
      </c>
      <c r="AK87">
        <v>5000000</v>
      </c>
      <c r="AL87">
        <v>5000000</v>
      </c>
      <c r="AM87">
        <v>5000000</v>
      </c>
      <c r="AN87">
        <v>5000000</v>
      </c>
      <c r="AO87">
        <v>5000000</v>
      </c>
      <c r="AP87">
        <v>5000000</v>
      </c>
      <c r="AQ87">
        <v>5000000</v>
      </c>
      <c r="AR87">
        <v>5000000</v>
      </c>
      <c r="AS87">
        <v>5000000</v>
      </c>
      <c r="AT87">
        <v>5000000</v>
      </c>
      <c r="AU87">
        <v>5000000</v>
      </c>
      <c r="AV87">
        <v>5000000</v>
      </c>
      <c r="AW87">
        <v>5000000</v>
      </c>
      <c r="AX87">
        <v>5000000</v>
      </c>
      <c r="AY87">
        <v>5000000</v>
      </c>
      <c r="AZ87">
        <v>5000000</v>
      </c>
    </row>
    <row r="88" spans="1:52" x14ac:dyDescent="0.35">
      <c r="A88" t="s">
        <v>20</v>
      </c>
      <c r="B88">
        <v>0</v>
      </c>
      <c r="C88">
        <v>0</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v>0</v>
      </c>
      <c r="AJ88">
        <v>0</v>
      </c>
      <c r="AK88">
        <v>0</v>
      </c>
      <c r="AL88">
        <v>0</v>
      </c>
      <c r="AM88">
        <v>0</v>
      </c>
      <c r="AN88">
        <v>0</v>
      </c>
      <c r="AO88">
        <v>0</v>
      </c>
      <c r="AP88">
        <v>0</v>
      </c>
      <c r="AQ88">
        <v>0</v>
      </c>
      <c r="AR88">
        <v>0</v>
      </c>
      <c r="AS88">
        <v>0</v>
      </c>
      <c r="AT88">
        <v>0</v>
      </c>
      <c r="AU88">
        <v>0</v>
      </c>
      <c r="AV88">
        <v>0</v>
      </c>
      <c r="AW88">
        <v>0</v>
      </c>
      <c r="AX88">
        <v>0</v>
      </c>
      <c r="AY88">
        <v>0</v>
      </c>
      <c r="AZ88">
        <v>0</v>
      </c>
    </row>
    <row r="89" spans="1:52" x14ac:dyDescent="0.35">
      <c r="A89" t="s">
        <v>21</v>
      </c>
      <c r="B89">
        <v>0</v>
      </c>
      <c r="C89">
        <v>0</v>
      </c>
      <c r="D89">
        <v>0</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v>0</v>
      </c>
      <c r="AJ89">
        <v>0</v>
      </c>
      <c r="AK89">
        <v>0</v>
      </c>
      <c r="AL89">
        <v>0</v>
      </c>
      <c r="AM89">
        <v>0</v>
      </c>
      <c r="AN89">
        <v>0</v>
      </c>
      <c r="AO89">
        <v>0</v>
      </c>
      <c r="AP89">
        <v>0</v>
      </c>
      <c r="AQ89">
        <v>0</v>
      </c>
      <c r="AR89">
        <v>0</v>
      </c>
      <c r="AS89">
        <v>0</v>
      </c>
      <c r="AT89">
        <v>0</v>
      </c>
      <c r="AU89">
        <v>0</v>
      </c>
      <c r="AV89">
        <v>0</v>
      </c>
      <c r="AW89">
        <v>0</v>
      </c>
      <c r="AX89">
        <v>0</v>
      </c>
      <c r="AY89">
        <v>0</v>
      </c>
      <c r="AZ89">
        <v>0</v>
      </c>
    </row>
    <row r="90" spans="1:52" x14ac:dyDescent="0.35">
      <c r="A90" t="s">
        <v>22</v>
      </c>
      <c r="B90">
        <v>2694164.446895645</v>
      </c>
      <c r="C90">
        <v>2694164.446895645</v>
      </c>
      <c r="D90">
        <v>2694164.446895645</v>
      </c>
      <c r="E90">
        <v>2694164.446895645</v>
      </c>
      <c r="F90">
        <v>2694164.446895645</v>
      </c>
      <c r="G90">
        <v>2694164.446895645</v>
      </c>
      <c r="H90">
        <v>2694164.446895645</v>
      </c>
      <c r="I90">
        <v>2694164.446895645</v>
      </c>
      <c r="J90">
        <v>2694164.446895645</v>
      </c>
      <c r="K90">
        <v>2694164.446895645</v>
      </c>
      <c r="L90">
        <v>2694164.446895645</v>
      </c>
      <c r="M90">
        <v>2694164.446895645</v>
      </c>
      <c r="N90">
        <v>2694164.446895645</v>
      </c>
      <c r="O90">
        <v>2694164.446895645</v>
      </c>
      <c r="P90">
        <v>2694164.446895645</v>
      </c>
      <c r="Q90">
        <v>2694164.446895645</v>
      </c>
      <c r="R90">
        <v>2694164.446895645</v>
      </c>
      <c r="S90">
        <v>2694164.446895645</v>
      </c>
      <c r="T90">
        <v>2694164.446895645</v>
      </c>
      <c r="U90">
        <v>2694164.446895645</v>
      </c>
      <c r="V90">
        <v>2694164.446895645</v>
      </c>
      <c r="W90">
        <v>2694164.446895645</v>
      </c>
      <c r="X90">
        <v>2694164.446895645</v>
      </c>
      <c r="Y90">
        <v>2694164.446895645</v>
      </c>
      <c r="Z90">
        <v>2694164.446895645</v>
      </c>
      <c r="AA90">
        <v>2694164.446895645</v>
      </c>
      <c r="AB90">
        <v>2694164.446895645</v>
      </c>
      <c r="AC90">
        <v>2694164.446895645</v>
      </c>
      <c r="AD90">
        <v>2694164.446895645</v>
      </c>
      <c r="AE90">
        <v>2694164.446895645</v>
      </c>
      <c r="AF90">
        <v>2694164.446895645</v>
      </c>
      <c r="AG90">
        <v>2694164.4468956445</v>
      </c>
      <c r="AH90">
        <v>2694164.4468956445</v>
      </c>
      <c r="AI90">
        <v>2694164.4468956445</v>
      </c>
      <c r="AJ90">
        <v>2694164.4468956445</v>
      </c>
      <c r="AK90">
        <v>2694164.4468956445</v>
      </c>
      <c r="AL90">
        <v>2694164.4468956445</v>
      </c>
      <c r="AM90">
        <v>2694164.4468956445</v>
      </c>
      <c r="AN90">
        <v>2694164.4468956445</v>
      </c>
      <c r="AO90">
        <v>2694164.4468956445</v>
      </c>
      <c r="AP90">
        <v>2694164.4468956445</v>
      </c>
      <c r="AQ90">
        <v>2694164.4468956445</v>
      </c>
      <c r="AR90">
        <v>2694164.4468956445</v>
      </c>
      <c r="AS90">
        <v>2694164.4468956445</v>
      </c>
      <c r="AT90">
        <v>2694164.4468956445</v>
      </c>
      <c r="AU90">
        <v>2694164.4468956445</v>
      </c>
      <c r="AV90">
        <v>2694164.4468956445</v>
      </c>
      <c r="AW90">
        <v>2694164.4468956445</v>
      </c>
      <c r="AX90">
        <v>2694164.4468956445</v>
      </c>
      <c r="AY90">
        <v>2694164.4468956445</v>
      </c>
      <c r="AZ90">
        <v>2694164.4468956445</v>
      </c>
    </row>
    <row r="91" spans="1:52" x14ac:dyDescent="0.35">
      <c r="A91" t="s">
        <v>23</v>
      </c>
      <c r="B91">
        <v>0</v>
      </c>
      <c r="C91">
        <v>0</v>
      </c>
      <c r="D91">
        <v>0</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v>0</v>
      </c>
      <c r="AM91">
        <v>0</v>
      </c>
      <c r="AN91">
        <v>0</v>
      </c>
      <c r="AO91">
        <v>0</v>
      </c>
      <c r="AP91">
        <v>0</v>
      </c>
      <c r="AQ91">
        <v>0</v>
      </c>
      <c r="AR91">
        <v>0</v>
      </c>
      <c r="AS91">
        <v>0</v>
      </c>
      <c r="AT91">
        <v>0</v>
      </c>
      <c r="AU91">
        <v>0</v>
      </c>
      <c r="AV91">
        <v>0</v>
      </c>
      <c r="AW91">
        <v>0</v>
      </c>
      <c r="AX91">
        <v>0</v>
      </c>
      <c r="AY91">
        <v>0</v>
      </c>
      <c r="AZ91">
        <v>0</v>
      </c>
    </row>
    <row r="92" spans="1:52" x14ac:dyDescent="0.35">
      <c r="A92" t="s">
        <v>24</v>
      </c>
      <c r="B92">
        <v>0</v>
      </c>
      <c r="C92">
        <v>0</v>
      </c>
      <c r="D92">
        <v>0</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v>0</v>
      </c>
      <c r="AH92">
        <v>0</v>
      </c>
      <c r="AI92">
        <v>0</v>
      </c>
      <c r="AJ92">
        <v>0</v>
      </c>
      <c r="AK92">
        <v>0</v>
      </c>
      <c r="AL92">
        <v>0</v>
      </c>
      <c r="AM92">
        <v>0</v>
      </c>
      <c r="AN92">
        <v>0</v>
      </c>
      <c r="AO92">
        <v>0</v>
      </c>
      <c r="AP92">
        <v>0</v>
      </c>
      <c r="AQ92">
        <v>0</v>
      </c>
      <c r="AR92">
        <v>0</v>
      </c>
      <c r="AS92">
        <v>0</v>
      </c>
      <c r="AT92">
        <v>0</v>
      </c>
      <c r="AU92">
        <v>0</v>
      </c>
      <c r="AV92">
        <v>0</v>
      </c>
      <c r="AW92">
        <v>0</v>
      </c>
      <c r="AX92">
        <v>0</v>
      </c>
      <c r="AY92">
        <v>0</v>
      </c>
      <c r="AZ92">
        <v>0</v>
      </c>
    </row>
    <row r="93" spans="1:52" x14ac:dyDescent="0.35">
      <c r="A93" t="s">
        <v>25</v>
      </c>
      <c r="B93">
        <v>8351909.7853765003</v>
      </c>
      <c r="C93">
        <v>8350093.2743863193</v>
      </c>
      <c r="D93">
        <v>8169481.9738113843</v>
      </c>
      <c r="E93">
        <v>8010488.1616461119</v>
      </c>
      <c r="F93">
        <v>7849887.3013743022</v>
      </c>
      <c r="G93">
        <v>7683655.4927991908</v>
      </c>
      <c r="H93">
        <v>7537619.1676399168</v>
      </c>
      <c r="I93">
        <v>7403221.8318304224</v>
      </c>
      <c r="J93">
        <v>7275029.0386646427</v>
      </c>
      <c r="K93">
        <v>7152882.651668638</v>
      </c>
      <c r="L93">
        <v>7036436.6197896758</v>
      </c>
      <c r="M93">
        <v>6925597.2231078949</v>
      </c>
      <c r="N93">
        <v>6819455.3731961716</v>
      </c>
      <c r="O93">
        <v>6719009.2863670755</v>
      </c>
      <c r="P93">
        <v>6620424.7281701174</v>
      </c>
      <c r="Q93">
        <v>6525900.0640809229</v>
      </c>
      <c r="R93">
        <v>6435867.5531264916</v>
      </c>
      <c r="S93">
        <v>6350001.4095480181</v>
      </c>
      <c r="T93">
        <v>6268125.5253675673</v>
      </c>
      <c r="U93">
        <v>6190136.2227073228</v>
      </c>
      <c r="V93">
        <v>6115586.4737847038</v>
      </c>
      <c r="W93">
        <v>6044628.3353871359</v>
      </c>
      <c r="X93">
        <v>5976948.9016175093</v>
      </c>
      <c r="Y93">
        <v>5912402.4415573683</v>
      </c>
      <c r="Z93">
        <v>5850904.762824134</v>
      </c>
      <c r="AA93">
        <v>5792284.709426227</v>
      </c>
      <c r="AB93">
        <v>5736374.6666690465</v>
      </c>
      <c r="AC93">
        <v>5683116.1032283921</v>
      </c>
      <c r="AD93">
        <v>5632317.5453448519</v>
      </c>
      <c r="AE93">
        <v>5583944.9895640556</v>
      </c>
      <c r="AF93">
        <v>5535619.0255358666</v>
      </c>
      <c r="AG93">
        <v>5165720.2445158958</v>
      </c>
      <c r="AH93">
        <v>5070151.6496376693</v>
      </c>
      <c r="AI93">
        <v>4974583.054759413</v>
      </c>
      <c r="AJ93">
        <v>4879014.4598811865</v>
      </c>
      <c r="AK93">
        <v>4783445.86500296</v>
      </c>
      <c r="AL93">
        <v>4687877.2701247036</v>
      </c>
      <c r="AM93">
        <v>4592308.6752464771</v>
      </c>
      <c r="AN93">
        <v>4496740.0803682506</v>
      </c>
      <c r="AO93">
        <v>4401171.4854899943</v>
      </c>
      <c r="AP93">
        <v>4305602.8906117678</v>
      </c>
      <c r="AQ93">
        <v>4210034.2957335413</v>
      </c>
      <c r="AR93">
        <v>4114465.7008552849</v>
      </c>
      <c r="AS93">
        <v>4018897.1059770584</v>
      </c>
      <c r="AT93">
        <v>3923328.5110988319</v>
      </c>
      <c r="AU93">
        <v>3827759.9162205756</v>
      </c>
      <c r="AV93">
        <v>3732191.3213423491</v>
      </c>
      <c r="AW93">
        <v>3636622.7264641225</v>
      </c>
      <c r="AX93">
        <v>3541054.1315858662</v>
      </c>
      <c r="AY93">
        <v>3445485.5367076397</v>
      </c>
      <c r="AZ93">
        <v>3349916.9418294132</v>
      </c>
    </row>
    <row r="95" spans="1:52" x14ac:dyDescent="0.35">
      <c r="A95" s="9" t="s">
        <v>42</v>
      </c>
    </row>
    <row r="96" spans="1:52" s="9" customFormat="1" x14ac:dyDescent="0.35">
      <c r="A96" s="9" t="s">
        <v>18</v>
      </c>
      <c r="B96" s="9">
        <v>2020</v>
      </c>
      <c r="C96" s="9">
        <v>2021</v>
      </c>
      <c r="D96" s="9">
        <v>2022</v>
      </c>
      <c r="E96" s="9">
        <v>2023</v>
      </c>
      <c r="F96" s="9">
        <v>2024</v>
      </c>
      <c r="G96" s="9">
        <v>2025</v>
      </c>
      <c r="H96" s="9">
        <v>2026</v>
      </c>
      <c r="I96" s="9">
        <v>2027</v>
      </c>
      <c r="J96" s="9">
        <v>2028</v>
      </c>
      <c r="K96" s="9">
        <v>2029</v>
      </c>
      <c r="L96" s="9">
        <v>2030</v>
      </c>
      <c r="M96" s="9">
        <v>2031</v>
      </c>
      <c r="N96" s="9">
        <v>2032</v>
      </c>
      <c r="O96" s="9">
        <v>2033</v>
      </c>
      <c r="P96" s="9">
        <v>2034</v>
      </c>
      <c r="Q96" s="9">
        <v>2035</v>
      </c>
      <c r="R96" s="9">
        <v>2036</v>
      </c>
      <c r="S96" s="9">
        <v>2037</v>
      </c>
      <c r="T96" s="9">
        <v>2038</v>
      </c>
      <c r="U96" s="9">
        <v>2039</v>
      </c>
      <c r="V96" s="9">
        <v>2040</v>
      </c>
      <c r="W96" s="9">
        <v>2041</v>
      </c>
      <c r="X96" s="9">
        <v>2042</v>
      </c>
      <c r="Y96" s="9">
        <v>2043</v>
      </c>
      <c r="Z96" s="9">
        <v>2044</v>
      </c>
      <c r="AA96" s="9">
        <v>2045</v>
      </c>
      <c r="AB96" s="9">
        <v>2046</v>
      </c>
      <c r="AC96" s="9">
        <v>2047</v>
      </c>
      <c r="AD96" s="9">
        <v>2048</v>
      </c>
      <c r="AE96" s="9">
        <v>2049</v>
      </c>
      <c r="AF96" s="9">
        <v>2050</v>
      </c>
      <c r="AG96" s="9">
        <v>2051</v>
      </c>
      <c r="AH96" s="9">
        <v>2052</v>
      </c>
      <c r="AI96" s="9">
        <v>2053</v>
      </c>
      <c r="AJ96" s="9">
        <v>2054</v>
      </c>
      <c r="AK96" s="9">
        <v>2055</v>
      </c>
      <c r="AL96" s="9">
        <v>2056</v>
      </c>
      <c r="AM96" s="9">
        <v>2057</v>
      </c>
      <c r="AN96" s="9">
        <v>2058</v>
      </c>
      <c r="AO96" s="9">
        <v>2059</v>
      </c>
      <c r="AP96" s="9">
        <v>2060</v>
      </c>
      <c r="AQ96" s="9">
        <v>2061</v>
      </c>
      <c r="AR96" s="9">
        <v>2062</v>
      </c>
      <c r="AS96" s="9">
        <v>2063</v>
      </c>
      <c r="AT96" s="9">
        <v>2064</v>
      </c>
      <c r="AU96" s="9">
        <v>2065</v>
      </c>
      <c r="AV96" s="9">
        <v>2066</v>
      </c>
      <c r="AW96" s="9">
        <v>2067</v>
      </c>
      <c r="AX96" s="9">
        <v>2068</v>
      </c>
      <c r="AY96" s="9">
        <v>2069</v>
      </c>
      <c r="AZ96" s="9">
        <v>2070</v>
      </c>
    </row>
    <row r="97" spans="1:52" x14ac:dyDescent="0.35">
      <c r="A97" t="s">
        <v>19</v>
      </c>
      <c r="B97">
        <v>55456.749999999993</v>
      </c>
      <c r="C97">
        <v>55456.749999999993</v>
      </c>
      <c r="D97">
        <v>55456.749999999993</v>
      </c>
      <c r="E97">
        <v>55456.749999999993</v>
      </c>
      <c r="F97">
        <v>55456.749999999993</v>
      </c>
      <c r="G97">
        <v>55456.749999999993</v>
      </c>
      <c r="H97">
        <v>55456.749999999993</v>
      </c>
      <c r="I97">
        <v>55456.749999999993</v>
      </c>
      <c r="J97">
        <v>55456.749999999993</v>
      </c>
      <c r="K97">
        <v>55456.749999999993</v>
      </c>
      <c r="L97">
        <v>55456.749999999993</v>
      </c>
      <c r="M97">
        <v>55456.749999999993</v>
      </c>
      <c r="N97">
        <v>55456.749999999993</v>
      </c>
      <c r="O97">
        <v>55456.749999999993</v>
      </c>
      <c r="P97">
        <v>55456.749999999993</v>
      </c>
      <c r="Q97">
        <v>55456.749999999993</v>
      </c>
      <c r="R97">
        <v>55456.749999999993</v>
      </c>
      <c r="S97">
        <v>55456.749999999993</v>
      </c>
      <c r="T97">
        <v>55456.749999999993</v>
      </c>
      <c r="U97">
        <v>55456.749999999993</v>
      </c>
      <c r="V97">
        <v>55456.749999999993</v>
      </c>
      <c r="W97">
        <v>55456.749999999993</v>
      </c>
      <c r="X97">
        <v>55456.749999999993</v>
      </c>
      <c r="Y97">
        <v>55456.749999999993</v>
      </c>
      <c r="Z97">
        <v>55456.749999999993</v>
      </c>
      <c r="AA97">
        <v>55456.749999999993</v>
      </c>
      <c r="AB97">
        <v>55456.749999999993</v>
      </c>
      <c r="AC97">
        <v>55456.749999999993</v>
      </c>
      <c r="AD97">
        <v>55456.749999999993</v>
      </c>
      <c r="AE97">
        <v>55456.749999999993</v>
      </c>
      <c r="AF97">
        <v>55456.749999999993</v>
      </c>
      <c r="AG97">
        <v>55456.749999999993</v>
      </c>
      <c r="AH97">
        <v>55456.749999999993</v>
      </c>
      <c r="AI97">
        <v>55456.749999999993</v>
      </c>
      <c r="AJ97">
        <v>55456.749999999993</v>
      </c>
      <c r="AK97">
        <v>55456.749999999993</v>
      </c>
      <c r="AL97">
        <v>55456.749999999993</v>
      </c>
      <c r="AM97">
        <v>55456.749999999993</v>
      </c>
      <c r="AN97">
        <v>55456.749999999993</v>
      </c>
      <c r="AO97">
        <v>55456.749999999993</v>
      </c>
      <c r="AP97">
        <v>55456.749999999993</v>
      </c>
      <c r="AQ97">
        <v>55456.749999999993</v>
      </c>
      <c r="AR97">
        <v>55456.749999999993</v>
      </c>
      <c r="AS97">
        <v>55456.749999999993</v>
      </c>
      <c r="AT97">
        <v>55456.749999999993</v>
      </c>
      <c r="AU97">
        <v>55456.749999999993</v>
      </c>
      <c r="AV97">
        <v>55456.749999999993</v>
      </c>
      <c r="AW97">
        <v>55456.749999999993</v>
      </c>
      <c r="AX97">
        <v>55456.749999999993</v>
      </c>
      <c r="AY97">
        <v>55456.749999999993</v>
      </c>
      <c r="AZ97">
        <v>55456.749999999993</v>
      </c>
    </row>
    <row r="98" spans="1:52" x14ac:dyDescent="0.35">
      <c r="A98" t="s">
        <v>20</v>
      </c>
      <c r="B98">
        <v>0</v>
      </c>
      <c r="C98">
        <v>0</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v>0</v>
      </c>
      <c r="AM98">
        <v>0</v>
      </c>
      <c r="AN98">
        <v>0</v>
      </c>
      <c r="AO98">
        <v>0</v>
      </c>
      <c r="AP98">
        <v>0</v>
      </c>
      <c r="AQ98">
        <v>0</v>
      </c>
      <c r="AR98">
        <v>0</v>
      </c>
      <c r="AS98">
        <v>0</v>
      </c>
      <c r="AT98">
        <v>0</v>
      </c>
      <c r="AU98">
        <v>0</v>
      </c>
      <c r="AV98">
        <v>0</v>
      </c>
      <c r="AW98">
        <v>0</v>
      </c>
      <c r="AX98">
        <v>0</v>
      </c>
      <c r="AY98">
        <v>0</v>
      </c>
      <c r="AZ98">
        <v>0</v>
      </c>
    </row>
    <row r="99" spans="1:52" x14ac:dyDescent="0.35">
      <c r="A99" t="s">
        <v>21</v>
      </c>
      <c r="B99">
        <v>30000</v>
      </c>
      <c r="C99">
        <v>30000</v>
      </c>
      <c r="D99">
        <v>30000</v>
      </c>
      <c r="E99">
        <v>30000</v>
      </c>
      <c r="F99">
        <v>30000</v>
      </c>
      <c r="G99">
        <v>30000</v>
      </c>
      <c r="H99">
        <v>30000</v>
      </c>
      <c r="I99">
        <v>30000</v>
      </c>
      <c r="J99">
        <v>30000</v>
      </c>
      <c r="K99">
        <v>30000</v>
      </c>
      <c r="L99">
        <v>30000</v>
      </c>
      <c r="M99">
        <v>30000</v>
      </c>
      <c r="N99">
        <v>30000</v>
      </c>
      <c r="O99">
        <v>30000</v>
      </c>
      <c r="P99">
        <v>30000</v>
      </c>
      <c r="Q99">
        <v>30000</v>
      </c>
      <c r="R99">
        <v>30000</v>
      </c>
      <c r="S99">
        <v>30000</v>
      </c>
      <c r="T99">
        <v>30000</v>
      </c>
      <c r="U99">
        <v>30000</v>
      </c>
      <c r="V99">
        <v>30000</v>
      </c>
      <c r="W99">
        <v>30000</v>
      </c>
      <c r="X99">
        <v>30000</v>
      </c>
      <c r="Y99">
        <v>30000</v>
      </c>
      <c r="Z99">
        <v>30000</v>
      </c>
      <c r="AA99">
        <v>30000</v>
      </c>
      <c r="AB99">
        <v>30000</v>
      </c>
      <c r="AC99">
        <v>30000</v>
      </c>
      <c r="AD99">
        <v>30000</v>
      </c>
      <c r="AE99">
        <v>30000</v>
      </c>
      <c r="AF99">
        <v>30000</v>
      </c>
      <c r="AG99">
        <v>30000</v>
      </c>
      <c r="AH99">
        <v>30000</v>
      </c>
      <c r="AI99">
        <v>30000</v>
      </c>
      <c r="AJ99">
        <v>30000</v>
      </c>
      <c r="AK99">
        <v>30000</v>
      </c>
      <c r="AL99">
        <v>30000</v>
      </c>
      <c r="AM99">
        <v>30000</v>
      </c>
      <c r="AN99">
        <v>30000</v>
      </c>
      <c r="AO99">
        <v>30000</v>
      </c>
      <c r="AP99">
        <v>30000</v>
      </c>
      <c r="AQ99">
        <v>30000</v>
      </c>
      <c r="AR99">
        <v>30000</v>
      </c>
      <c r="AS99">
        <v>30000</v>
      </c>
      <c r="AT99">
        <v>30000</v>
      </c>
      <c r="AU99">
        <v>30000</v>
      </c>
      <c r="AV99">
        <v>30000</v>
      </c>
      <c r="AW99">
        <v>30000</v>
      </c>
      <c r="AX99">
        <v>30000</v>
      </c>
      <c r="AY99">
        <v>30000</v>
      </c>
      <c r="AZ99">
        <v>30000</v>
      </c>
    </row>
    <row r="100" spans="1:52" x14ac:dyDescent="0.35">
      <c r="A100" t="s">
        <v>22</v>
      </c>
      <c r="B100">
        <v>30000</v>
      </c>
      <c r="C100">
        <v>30000</v>
      </c>
      <c r="D100">
        <v>30000</v>
      </c>
      <c r="E100">
        <v>30000</v>
      </c>
      <c r="F100">
        <v>30000</v>
      </c>
      <c r="G100">
        <v>30000</v>
      </c>
      <c r="H100">
        <v>30000</v>
      </c>
      <c r="I100">
        <v>30000</v>
      </c>
      <c r="J100">
        <v>30000</v>
      </c>
      <c r="K100">
        <v>30000</v>
      </c>
      <c r="L100">
        <v>30000</v>
      </c>
      <c r="M100">
        <v>30000</v>
      </c>
      <c r="N100">
        <v>30000</v>
      </c>
      <c r="O100">
        <v>30000</v>
      </c>
      <c r="P100">
        <v>30000</v>
      </c>
      <c r="Q100">
        <v>30000</v>
      </c>
      <c r="R100">
        <v>30000</v>
      </c>
      <c r="S100">
        <v>30000</v>
      </c>
      <c r="T100">
        <v>30000</v>
      </c>
      <c r="U100">
        <v>30000</v>
      </c>
      <c r="V100">
        <v>30000</v>
      </c>
      <c r="W100">
        <v>30000</v>
      </c>
      <c r="X100">
        <v>30000</v>
      </c>
      <c r="Y100">
        <v>30000</v>
      </c>
      <c r="Z100">
        <v>30000</v>
      </c>
      <c r="AA100">
        <v>30000</v>
      </c>
      <c r="AB100">
        <v>30000</v>
      </c>
      <c r="AC100">
        <v>30000</v>
      </c>
      <c r="AD100">
        <v>30000</v>
      </c>
      <c r="AE100">
        <v>30000</v>
      </c>
      <c r="AF100">
        <v>30000</v>
      </c>
      <c r="AG100">
        <v>30000</v>
      </c>
      <c r="AH100">
        <v>30000</v>
      </c>
      <c r="AI100">
        <v>30000</v>
      </c>
      <c r="AJ100">
        <v>30000</v>
      </c>
      <c r="AK100">
        <v>30000</v>
      </c>
      <c r="AL100">
        <v>30000</v>
      </c>
      <c r="AM100">
        <v>30000</v>
      </c>
      <c r="AN100">
        <v>30000</v>
      </c>
      <c r="AO100">
        <v>30000</v>
      </c>
      <c r="AP100">
        <v>30000</v>
      </c>
      <c r="AQ100">
        <v>30000</v>
      </c>
      <c r="AR100">
        <v>30000</v>
      </c>
      <c r="AS100">
        <v>30000</v>
      </c>
      <c r="AT100">
        <v>30000</v>
      </c>
      <c r="AU100">
        <v>30000</v>
      </c>
      <c r="AV100">
        <v>30000</v>
      </c>
      <c r="AW100">
        <v>30000</v>
      </c>
      <c r="AX100">
        <v>30000</v>
      </c>
      <c r="AY100">
        <v>30000</v>
      </c>
      <c r="AZ100">
        <v>30000</v>
      </c>
    </row>
    <row r="101" spans="1:52" x14ac:dyDescent="0.35">
      <c r="A101" t="s">
        <v>23</v>
      </c>
      <c r="B101">
        <v>0</v>
      </c>
      <c r="C101">
        <v>0</v>
      </c>
      <c r="D101">
        <v>0</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c r="AE101">
        <v>0</v>
      </c>
      <c r="AF101">
        <v>0</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0</v>
      </c>
      <c r="AZ101">
        <v>0</v>
      </c>
    </row>
    <row r="102" spans="1:52" x14ac:dyDescent="0.35">
      <c r="A102" t="s">
        <v>24</v>
      </c>
      <c r="B102">
        <v>0</v>
      </c>
      <c r="C102">
        <v>0</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c r="AD102">
        <v>0</v>
      </c>
      <c r="AE102">
        <v>0</v>
      </c>
      <c r="AF102">
        <v>0</v>
      </c>
      <c r="AG102">
        <v>0</v>
      </c>
      <c r="AH102">
        <v>0</v>
      </c>
      <c r="AI102">
        <v>0</v>
      </c>
      <c r="AJ102">
        <v>0</v>
      </c>
      <c r="AK102">
        <v>0</v>
      </c>
      <c r="AL102">
        <v>0</v>
      </c>
      <c r="AM102">
        <v>0</v>
      </c>
      <c r="AN102">
        <v>0</v>
      </c>
      <c r="AO102">
        <v>0</v>
      </c>
      <c r="AP102">
        <v>0</v>
      </c>
      <c r="AQ102">
        <v>0</v>
      </c>
      <c r="AR102">
        <v>0</v>
      </c>
      <c r="AS102">
        <v>0</v>
      </c>
      <c r="AT102">
        <v>0</v>
      </c>
      <c r="AU102">
        <v>0</v>
      </c>
      <c r="AV102">
        <v>0</v>
      </c>
      <c r="AW102">
        <v>0</v>
      </c>
      <c r="AX102">
        <v>0</v>
      </c>
      <c r="AY102">
        <v>0</v>
      </c>
      <c r="AZ102">
        <v>0</v>
      </c>
    </row>
    <row r="103" spans="1:52" x14ac:dyDescent="0.35">
      <c r="A103" t="s">
        <v>25</v>
      </c>
      <c r="B103">
        <v>60368.100744892894</v>
      </c>
      <c r="C103">
        <v>60354.970895400103</v>
      </c>
      <c r="D103">
        <v>59049.501671119884</v>
      </c>
      <c r="E103">
        <v>57900.284938988349</v>
      </c>
      <c r="F103">
        <v>56739.452367546961</v>
      </c>
      <c r="G103">
        <v>55537.918966810437</v>
      </c>
      <c r="H103">
        <v>54482.359721538785</v>
      </c>
      <c r="I103">
        <v>53510.927783636558</v>
      </c>
      <c r="J103">
        <v>52584.342649042454</v>
      </c>
      <c r="K103">
        <v>51701.461297916001</v>
      </c>
      <c r="L103">
        <v>50859.782452663072</v>
      </c>
      <c r="M103">
        <v>50058.628700127985</v>
      </c>
      <c r="N103">
        <v>49291.429095082043</v>
      </c>
      <c r="O103">
        <v>48565.398804411729</v>
      </c>
      <c r="P103">
        <v>47852.823753428172</v>
      </c>
      <c r="Q103">
        <v>47169.593858559725</v>
      </c>
      <c r="R103">
        <v>46518.833513766571</v>
      </c>
      <c r="S103">
        <v>45898.187920204655</v>
      </c>
      <c r="T103">
        <v>45306.384158933557</v>
      </c>
      <c r="U103">
        <v>44742.672840085135</v>
      </c>
      <c r="V103">
        <v>44203.822820255293</v>
      </c>
      <c r="W103">
        <v>43690.933174948696</v>
      </c>
      <c r="X103">
        <v>43201.742201727728</v>
      </c>
      <c r="Y103">
        <v>42735.19654884492</v>
      </c>
      <c r="Z103">
        <v>42290.68766875079</v>
      </c>
      <c r="AA103">
        <v>41866.978435756915</v>
      </c>
      <c r="AB103">
        <v>41462.857320880124</v>
      </c>
      <c r="AC103">
        <v>41077.901256227335</v>
      </c>
      <c r="AD103">
        <v>40710.726258075629</v>
      </c>
      <c r="AE103">
        <v>40361.086547434112</v>
      </c>
      <c r="AF103">
        <v>40011.783604751967</v>
      </c>
      <c r="AG103">
        <v>37338.133211984998</v>
      </c>
      <c r="AH103">
        <v>36647.357723274967</v>
      </c>
      <c r="AI103">
        <v>35956.582234564703</v>
      </c>
      <c r="AJ103">
        <v>35265.806745854439</v>
      </c>
      <c r="AK103">
        <v>34575.031257144175</v>
      </c>
      <c r="AL103">
        <v>33884.255768433912</v>
      </c>
      <c r="AM103">
        <v>33193.480279723648</v>
      </c>
      <c r="AN103">
        <v>32502.704791013384</v>
      </c>
      <c r="AO103">
        <v>31811.92930230312</v>
      </c>
      <c r="AP103">
        <v>31121.15381359309</v>
      </c>
      <c r="AQ103">
        <v>30430.378324882826</v>
      </c>
      <c r="AR103">
        <v>29739.602836172562</v>
      </c>
      <c r="AS103">
        <v>29048.827347462298</v>
      </c>
      <c r="AT103">
        <v>28358.051858752035</v>
      </c>
      <c r="AU103">
        <v>27667.276370041771</v>
      </c>
      <c r="AV103">
        <v>26976.500881331507</v>
      </c>
      <c r="AW103">
        <v>26285.725392621243</v>
      </c>
      <c r="AX103">
        <v>25594.949903911212</v>
      </c>
      <c r="AY103">
        <v>24904.174415200949</v>
      </c>
      <c r="AZ103">
        <v>24213.398926490685</v>
      </c>
    </row>
    <row r="105" spans="1:52" x14ac:dyDescent="0.35">
      <c r="A105" s="9" t="s">
        <v>43</v>
      </c>
    </row>
    <row r="106" spans="1:52" s="9" customFormat="1" x14ac:dyDescent="0.35">
      <c r="A106" s="9" t="s">
        <v>18</v>
      </c>
      <c r="B106" s="9">
        <v>2020</v>
      </c>
      <c r="C106" s="9">
        <v>2021</v>
      </c>
      <c r="D106" s="9">
        <v>2022</v>
      </c>
      <c r="E106" s="9">
        <v>2023</v>
      </c>
      <c r="F106" s="9">
        <v>2024</v>
      </c>
      <c r="G106" s="9">
        <v>2025</v>
      </c>
      <c r="H106" s="9">
        <v>2026</v>
      </c>
      <c r="I106" s="9">
        <v>2027</v>
      </c>
      <c r="J106" s="9">
        <v>2028</v>
      </c>
      <c r="K106" s="9">
        <v>2029</v>
      </c>
      <c r="L106" s="9">
        <v>2030</v>
      </c>
      <c r="M106" s="9">
        <v>2031</v>
      </c>
      <c r="N106" s="9">
        <v>2032</v>
      </c>
      <c r="O106" s="9">
        <v>2033</v>
      </c>
      <c r="P106" s="9">
        <v>2034</v>
      </c>
      <c r="Q106" s="9">
        <v>2035</v>
      </c>
      <c r="R106" s="9">
        <v>2036</v>
      </c>
      <c r="S106" s="9">
        <v>2037</v>
      </c>
      <c r="T106" s="9">
        <v>2038</v>
      </c>
      <c r="U106" s="9">
        <v>2039</v>
      </c>
      <c r="V106" s="9">
        <v>2040</v>
      </c>
      <c r="W106" s="9">
        <v>2041</v>
      </c>
      <c r="X106" s="9">
        <v>2042</v>
      </c>
      <c r="Y106" s="9">
        <v>2043</v>
      </c>
      <c r="Z106" s="9">
        <v>2044</v>
      </c>
      <c r="AA106" s="9">
        <v>2045</v>
      </c>
      <c r="AB106" s="9">
        <v>2046</v>
      </c>
      <c r="AC106" s="9">
        <v>2047</v>
      </c>
      <c r="AD106" s="9">
        <v>2048</v>
      </c>
      <c r="AE106" s="9">
        <v>2049</v>
      </c>
      <c r="AF106" s="9">
        <v>2050</v>
      </c>
      <c r="AG106" s="9">
        <v>2051</v>
      </c>
      <c r="AH106" s="9">
        <v>2052</v>
      </c>
      <c r="AI106" s="9">
        <v>2053</v>
      </c>
      <c r="AJ106" s="9">
        <v>2054</v>
      </c>
      <c r="AK106" s="9">
        <v>2055</v>
      </c>
      <c r="AL106" s="9">
        <v>2056</v>
      </c>
      <c r="AM106" s="9">
        <v>2057</v>
      </c>
      <c r="AN106" s="9">
        <v>2058</v>
      </c>
      <c r="AO106" s="9">
        <v>2059</v>
      </c>
      <c r="AP106" s="9">
        <v>2060</v>
      </c>
      <c r="AQ106" s="9">
        <v>2061</v>
      </c>
      <c r="AR106" s="9">
        <v>2062</v>
      </c>
      <c r="AS106" s="9">
        <v>2063</v>
      </c>
      <c r="AT106" s="9">
        <v>2064</v>
      </c>
      <c r="AU106" s="9">
        <v>2065</v>
      </c>
      <c r="AV106" s="9">
        <v>2066</v>
      </c>
      <c r="AW106" s="9">
        <v>2067</v>
      </c>
      <c r="AX106" s="9">
        <v>2068</v>
      </c>
      <c r="AY106" s="9">
        <v>2069</v>
      </c>
      <c r="AZ106" s="9">
        <v>2070</v>
      </c>
    </row>
    <row r="107" spans="1:52" x14ac:dyDescent="0.35">
      <c r="A107" t="s">
        <v>19</v>
      </c>
      <c r="B107">
        <v>18485583.333333332</v>
      </c>
      <c r="C107">
        <v>18485583.333333332</v>
      </c>
      <c r="D107">
        <v>18485583.333333332</v>
      </c>
      <c r="E107">
        <v>18485583.333333332</v>
      </c>
      <c r="F107">
        <v>18485583.333333332</v>
      </c>
      <c r="G107">
        <v>18485583.333333332</v>
      </c>
      <c r="H107">
        <v>18485583.333333332</v>
      </c>
      <c r="I107">
        <v>18485583.333333332</v>
      </c>
      <c r="J107">
        <v>18485583.333333332</v>
      </c>
      <c r="K107">
        <v>18485583.333333332</v>
      </c>
      <c r="L107">
        <v>18485583.333333332</v>
      </c>
      <c r="M107">
        <v>18485583.333333332</v>
      </c>
      <c r="N107">
        <v>18485583.333333332</v>
      </c>
      <c r="O107">
        <v>18485583.333333332</v>
      </c>
      <c r="P107">
        <v>18485583.333333332</v>
      </c>
      <c r="Q107">
        <v>18485583.333333332</v>
      </c>
      <c r="R107">
        <v>18485583.333333332</v>
      </c>
      <c r="S107">
        <v>18485583.333333332</v>
      </c>
      <c r="T107">
        <v>18485583.333333332</v>
      </c>
      <c r="U107">
        <v>18485583.333333332</v>
      </c>
      <c r="V107">
        <v>18485583.333333332</v>
      </c>
      <c r="W107">
        <v>18485583.333333332</v>
      </c>
      <c r="X107">
        <v>18485583.333333332</v>
      </c>
      <c r="Y107">
        <v>18485583.333333332</v>
      </c>
      <c r="Z107">
        <v>18485583.333333332</v>
      </c>
      <c r="AA107">
        <v>18485583.333333332</v>
      </c>
      <c r="AB107">
        <v>18485583.333333332</v>
      </c>
      <c r="AC107">
        <v>18485583.333333332</v>
      </c>
      <c r="AD107">
        <v>18485583.333333332</v>
      </c>
      <c r="AE107">
        <v>18485583.333333332</v>
      </c>
      <c r="AF107">
        <v>18485583.333333332</v>
      </c>
      <c r="AG107">
        <v>18485583.333333328</v>
      </c>
      <c r="AH107">
        <v>18485583.333333328</v>
      </c>
      <c r="AI107">
        <v>18485583.333333328</v>
      </c>
      <c r="AJ107">
        <v>18485583.333333328</v>
      </c>
      <c r="AK107">
        <v>18485583.333333328</v>
      </c>
      <c r="AL107">
        <v>18485583.333333328</v>
      </c>
      <c r="AM107">
        <v>18485583.333333328</v>
      </c>
      <c r="AN107">
        <v>18485583.333333328</v>
      </c>
      <c r="AO107">
        <v>18485583.333333328</v>
      </c>
      <c r="AP107">
        <v>18485583.333333328</v>
      </c>
      <c r="AQ107">
        <v>18485583.333333328</v>
      </c>
      <c r="AR107">
        <v>18485583.333333328</v>
      </c>
      <c r="AS107">
        <v>18485583.333333328</v>
      </c>
      <c r="AT107">
        <v>18485583.333333328</v>
      </c>
      <c r="AU107">
        <v>18485583.333333328</v>
      </c>
      <c r="AV107">
        <v>18485583.333333328</v>
      </c>
      <c r="AW107">
        <v>18485583.333333328</v>
      </c>
      <c r="AX107">
        <v>18485583.333333328</v>
      </c>
      <c r="AY107">
        <v>18485583.333333328</v>
      </c>
      <c r="AZ107">
        <v>18485583.333333328</v>
      </c>
    </row>
    <row r="108" spans="1:52" x14ac:dyDescent="0.35">
      <c r="A108" t="s">
        <v>20</v>
      </c>
      <c r="B108">
        <v>0</v>
      </c>
      <c r="C108">
        <v>0</v>
      </c>
      <c r="D108">
        <v>0</v>
      </c>
      <c r="E108">
        <v>0</v>
      </c>
      <c r="F108">
        <v>0</v>
      </c>
      <c r="G108">
        <v>0</v>
      </c>
      <c r="H108">
        <v>0</v>
      </c>
      <c r="I108">
        <v>0</v>
      </c>
      <c r="J108">
        <v>0</v>
      </c>
      <c r="K108">
        <v>0</v>
      </c>
      <c r="L108">
        <v>0</v>
      </c>
      <c r="M108">
        <v>0</v>
      </c>
      <c r="N108">
        <v>0</v>
      </c>
      <c r="O108">
        <v>0</v>
      </c>
      <c r="P108">
        <v>0</v>
      </c>
      <c r="Q108">
        <v>0</v>
      </c>
      <c r="R108">
        <v>0</v>
      </c>
      <c r="S108">
        <v>0</v>
      </c>
      <c r="T108">
        <v>0</v>
      </c>
      <c r="U108">
        <v>0</v>
      </c>
      <c r="V108">
        <v>0</v>
      </c>
      <c r="W108">
        <v>0</v>
      </c>
      <c r="X108">
        <v>0</v>
      </c>
      <c r="Y108">
        <v>0</v>
      </c>
      <c r="Z108">
        <v>0</v>
      </c>
      <c r="AA108">
        <v>0</v>
      </c>
      <c r="AB108">
        <v>0</v>
      </c>
      <c r="AC108">
        <v>0</v>
      </c>
      <c r="AD108">
        <v>0</v>
      </c>
      <c r="AE108">
        <v>0</v>
      </c>
      <c r="AF108">
        <v>0</v>
      </c>
      <c r="AG108">
        <v>0</v>
      </c>
      <c r="AH108">
        <v>0</v>
      </c>
      <c r="AI108">
        <v>0</v>
      </c>
      <c r="AJ108">
        <v>0</v>
      </c>
      <c r="AK108">
        <v>0</v>
      </c>
      <c r="AL108">
        <v>0</v>
      </c>
      <c r="AM108">
        <v>0</v>
      </c>
      <c r="AN108">
        <v>0</v>
      </c>
      <c r="AO108">
        <v>0</v>
      </c>
      <c r="AP108">
        <v>0</v>
      </c>
      <c r="AQ108">
        <v>0</v>
      </c>
      <c r="AR108">
        <v>0</v>
      </c>
      <c r="AS108">
        <v>0</v>
      </c>
      <c r="AT108">
        <v>0</v>
      </c>
      <c r="AU108">
        <v>0</v>
      </c>
      <c r="AV108">
        <v>0</v>
      </c>
      <c r="AW108">
        <v>0</v>
      </c>
      <c r="AX108">
        <v>0</v>
      </c>
      <c r="AY108">
        <v>0</v>
      </c>
      <c r="AZ108">
        <v>0</v>
      </c>
    </row>
    <row r="109" spans="1:52" x14ac:dyDescent="0.35">
      <c r="A109" t="s">
        <v>21</v>
      </c>
      <c r="B109">
        <v>0</v>
      </c>
      <c r="C109">
        <v>0</v>
      </c>
      <c r="D109">
        <v>0</v>
      </c>
      <c r="E109">
        <v>0</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v>0</v>
      </c>
      <c r="AH109">
        <v>0</v>
      </c>
      <c r="AI109">
        <v>0</v>
      </c>
      <c r="AJ109">
        <v>0</v>
      </c>
      <c r="AK109">
        <v>0</v>
      </c>
      <c r="AL109">
        <v>0</v>
      </c>
      <c r="AM109">
        <v>0</v>
      </c>
      <c r="AN109">
        <v>0</v>
      </c>
      <c r="AO109">
        <v>0</v>
      </c>
      <c r="AP109">
        <v>0</v>
      </c>
      <c r="AQ109">
        <v>0</v>
      </c>
      <c r="AR109">
        <v>0</v>
      </c>
      <c r="AS109">
        <v>0</v>
      </c>
      <c r="AT109">
        <v>0</v>
      </c>
      <c r="AU109">
        <v>0</v>
      </c>
      <c r="AV109">
        <v>0</v>
      </c>
      <c r="AW109">
        <v>0</v>
      </c>
      <c r="AX109">
        <v>0</v>
      </c>
      <c r="AY109">
        <v>0</v>
      </c>
      <c r="AZ109">
        <v>0</v>
      </c>
    </row>
    <row r="110" spans="1:52" x14ac:dyDescent="0.35">
      <c r="A110" t="s">
        <v>22</v>
      </c>
      <c r="B110">
        <v>10000000</v>
      </c>
      <c r="C110">
        <v>10000000</v>
      </c>
      <c r="D110">
        <v>10000000</v>
      </c>
      <c r="E110">
        <v>10000000</v>
      </c>
      <c r="F110">
        <v>10000000</v>
      </c>
      <c r="G110">
        <v>10000000</v>
      </c>
      <c r="H110">
        <v>10000000</v>
      </c>
      <c r="I110">
        <v>10000000</v>
      </c>
      <c r="J110">
        <v>10000000</v>
      </c>
      <c r="K110">
        <v>10000000</v>
      </c>
      <c r="L110">
        <v>10000000</v>
      </c>
      <c r="M110">
        <v>10000000</v>
      </c>
      <c r="N110">
        <v>10000000</v>
      </c>
      <c r="O110">
        <v>10000000</v>
      </c>
      <c r="P110">
        <v>10000000</v>
      </c>
      <c r="Q110">
        <v>10000000</v>
      </c>
      <c r="R110">
        <v>10000000</v>
      </c>
      <c r="S110">
        <v>10000000</v>
      </c>
      <c r="T110">
        <v>10000000</v>
      </c>
      <c r="U110">
        <v>10000000</v>
      </c>
      <c r="V110">
        <v>10000000</v>
      </c>
      <c r="W110">
        <v>10000000</v>
      </c>
      <c r="X110">
        <v>10000000</v>
      </c>
      <c r="Y110">
        <v>10000000</v>
      </c>
      <c r="Z110">
        <v>10000000</v>
      </c>
      <c r="AA110">
        <v>10000000</v>
      </c>
      <c r="AB110">
        <v>10000000</v>
      </c>
      <c r="AC110">
        <v>10000000</v>
      </c>
      <c r="AD110">
        <v>10000000</v>
      </c>
      <c r="AE110">
        <v>10000000</v>
      </c>
      <c r="AF110">
        <v>10000000</v>
      </c>
      <c r="AG110">
        <v>10000000</v>
      </c>
      <c r="AH110">
        <v>10000000</v>
      </c>
      <c r="AI110">
        <v>10000000</v>
      </c>
      <c r="AJ110">
        <v>10000000</v>
      </c>
      <c r="AK110">
        <v>10000000</v>
      </c>
      <c r="AL110">
        <v>10000000</v>
      </c>
      <c r="AM110">
        <v>10000000</v>
      </c>
      <c r="AN110">
        <v>10000000</v>
      </c>
      <c r="AO110">
        <v>10000000</v>
      </c>
      <c r="AP110">
        <v>10000000</v>
      </c>
      <c r="AQ110">
        <v>10000000</v>
      </c>
      <c r="AR110">
        <v>10000000</v>
      </c>
      <c r="AS110">
        <v>10000000</v>
      </c>
      <c r="AT110">
        <v>10000000</v>
      </c>
      <c r="AU110">
        <v>10000000</v>
      </c>
      <c r="AV110">
        <v>10000000</v>
      </c>
      <c r="AW110">
        <v>10000000</v>
      </c>
      <c r="AX110">
        <v>10000000</v>
      </c>
      <c r="AY110">
        <v>10000000</v>
      </c>
      <c r="AZ110">
        <v>10000000</v>
      </c>
    </row>
    <row r="111" spans="1:52" x14ac:dyDescent="0.35">
      <c r="A111" t="s">
        <v>23</v>
      </c>
      <c r="B111">
        <v>0</v>
      </c>
      <c r="C111">
        <v>0</v>
      </c>
      <c r="D111">
        <v>0</v>
      </c>
      <c r="E111">
        <v>0</v>
      </c>
      <c r="F111">
        <v>0</v>
      </c>
      <c r="G111">
        <v>0</v>
      </c>
      <c r="H111">
        <v>0</v>
      </c>
      <c r="I111">
        <v>0</v>
      </c>
      <c r="J111">
        <v>0</v>
      </c>
      <c r="K111">
        <v>0</v>
      </c>
      <c r="L111">
        <v>0</v>
      </c>
      <c r="M111">
        <v>0</v>
      </c>
      <c r="N111">
        <v>0</v>
      </c>
      <c r="O111">
        <v>0</v>
      </c>
      <c r="P111">
        <v>0</v>
      </c>
      <c r="Q111">
        <v>0</v>
      </c>
      <c r="R111">
        <v>0</v>
      </c>
      <c r="S111">
        <v>0</v>
      </c>
      <c r="T111">
        <v>0</v>
      </c>
      <c r="U111">
        <v>0</v>
      </c>
      <c r="V111">
        <v>0</v>
      </c>
      <c r="W111">
        <v>0</v>
      </c>
      <c r="X111">
        <v>0</v>
      </c>
      <c r="Y111">
        <v>0</v>
      </c>
      <c r="Z111">
        <v>0</v>
      </c>
      <c r="AA111">
        <v>0</v>
      </c>
      <c r="AB111">
        <v>0</v>
      </c>
      <c r="AC111">
        <v>0</v>
      </c>
      <c r="AD111">
        <v>0</v>
      </c>
      <c r="AE111">
        <v>0</v>
      </c>
      <c r="AF111">
        <v>0</v>
      </c>
      <c r="AG111">
        <v>0</v>
      </c>
      <c r="AH111">
        <v>0</v>
      </c>
      <c r="AI111">
        <v>0</v>
      </c>
      <c r="AJ111">
        <v>0</v>
      </c>
      <c r="AK111">
        <v>0</v>
      </c>
      <c r="AL111">
        <v>0</v>
      </c>
      <c r="AM111">
        <v>0</v>
      </c>
      <c r="AN111">
        <v>0</v>
      </c>
      <c r="AO111">
        <v>0</v>
      </c>
      <c r="AP111">
        <v>0</v>
      </c>
      <c r="AQ111">
        <v>0</v>
      </c>
      <c r="AR111">
        <v>0</v>
      </c>
      <c r="AS111">
        <v>0</v>
      </c>
      <c r="AT111">
        <v>0</v>
      </c>
      <c r="AU111">
        <v>0</v>
      </c>
      <c r="AV111">
        <v>0</v>
      </c>
      <c r="AW111">
        <v>0</v>
      </c>
      <c r="AX111">
        <v>0</v>
      </c>
      <c r="AY111">
        <v>0</v>
      </c>
      <c r="AZ111">
        <v>0</v>
      </c>
    </row>
    <row r="112" spans="1:52" x14ac:dyDescent="0.35">
      <c r="A112" t="s">
        <v>24</v>
      </c>
      <c r="B112">
        <v>0</v>
      </c>
      <c r="C112">
        <v>0</v>
      </c>
      <c r="D112">
        <v>0</v>
      </c>
      <c r="E112">
        <v>0</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c r="AD112">
        <v>0</v>
      </c>
      <c r="AE112">
        <v>0</v>
      </c>
      <c r="AF112">
        <v>0</v>
      </c>
      <c r="AG112">
        <v>0</v>
      </c>
      <c r="AH112">
        <v>0</v>
      </c>
      <c r="AI112">
        <v>0</v>
      </c>
      <c r="AJ112">
        <v>0</v>
      </c>
      <c r="AK112">
        <v>0</v>
      </c>
      <c r="AL112">
        <v>0</v>
      </c>
      <c r="AM112">
        <v>0</v>
      </c>
      <c r="AN112">
        <v>0</v>
      </c>
      <c r="AO112">
        <v>0</v>
      </c>
      <c r="AP112">
        <v>0</v>
      </c>
      <c r="AQ112">
        <v>0</v>
      </c>
      <c r="AR112">
        <v>0</v>
      </c>
      <c r="AS112">
        <v>0</v>
      </c>
      <c r="AT112">
        <v>0</v>
      </c>
      <c r="AU112">
        <v>0</v>
      </c>
      <c r="AV112">
        <v>0</v>
      </c>
      <c r="AW112">
        <v>0</v>
      </c>
      <c r="AX112">
        <v>0</v>
      </c>
      <c r="AY112">
        <v>0</v>
      </c>
      <c r="AZ112">
        <v>0</v>
      </c>
    </row>
    <row r="113" spans="1:52" x14ac:dyDescent="0.35">
      <c r="A113" t="s">
        <v>25</v>
      </c>
      <c r="B113">
        <v>20122700.248297632</v>
      </c>
      <c r="C113">
        <v>20118323.631800033</v>
      </c>
      <c r="D113">
        <v>19683167.223706629</v>
      </c>
      <c r="E113">
        <v>19300094.979662783</v>
      </c>
      <c r="F113">
        <v>18913150.78918232</v>
      </c>
      <c r="G113">
        <v>18512639.65560348</v>
      </c>
      <c r="H113">
        <v>18160786.573846262</v>
      </c>
      <c r="I113">
        <v>17836975.927878853</v>
      </c>
      <c r="J113">
        <v>17528114.216347482</v>
      </c>
      <c r="K113">
        <v>17233820.432638668</v>
      </c>
      <c r="L113">
        <v>16953260.817554355</v>
      </c>
      <c r="M113">
        <v>16686209.566709328</v>
      </c>
      <c r="N113">
        <v>16430476.365027349</v>
      </c>
      <c r="O113">
        <v>16188466.268137243</v>
      </c>
      <c r="P113">
        <v>15950941.251142725</v>
      </c>
      <c r="Q113">
        <v>15723197.95285324</v>
      </c>
      <c r="R113">
        <v>15506277.837922191</v>
      </c>
      <c r="S113">
        <v>15299395.97340155</v>
      </c>
      <c r="T113">
        <v>15102128.052977853</v>
      </c>
      <c r="U113">
        <v>14914224.280028379</v>
      </c>
      <c r="V113">
        <v>14734607.606751764</v>
      </c>
      <c r="W113">
        <v>14563644.391649567</v>
      </c>
      <c r="X113">
        <v>14400580.733909244</v>
      </c>
      <c r="Y113">
        <v>14245065.51628164</v>
      </c>
      <c r="Z113">
        <v>14096895.889583597</v>
      </c>
      <c r="AA113">
        <v>13955659.478585638</v>
      </c>
      <c r="AB113">
        <v>13820952.440293375</v>
      </c>
      <c r="AC113">
        <v>13692633.752075778</v>
      </c>
      <c r="AD113">
        <v>13570242.08602521</v>
      </c>
      <c r="AE113">
        <v>13453695.515811371</v>
      </c>
      <c r="AF113">
        <v>13337261.201583989</v>
      </c>
      <c r="AG113">
        <v>12446044.403994977</v>
      </c>
      <c r="AH113">
        <v>12215785.907758236</v>
      </c>
      <c r="AI113">
        <v>11985527.411521494</v>
      </c>
      <c r="AJ113">
        <v>11755268.915284753</v>
      </c>
      <c r="AK113">
        <v>11525010.419048011</v>
      </c>
      <c r="AL113">
        <v>11294751.92281127</v>
      </c>
      <c r="AM113">
        <v>11064493.426574528</v>
      </c>
      <c r="AN113">
        <v>10834234.930337787</v>
      </c>
      <c r="AO113">
        <v>10603976.434100986</v>
      </c>
      <c r="AP113">
        <v>10373717.937864244</v>
      </c>
      <c r="AQ113">
        <v>10143459.441627502</v>
      </c>
      <c r="AR113">
        <v>9913200.9453907609</v>
      </c>
      <c r="AS113">
        <v>9682942.4491540194</v>
      </c>
      <c r="AT113">
        <v>9452683.9529172778</v>
      </c>
      <c r="AU113">
        <v>9222425.4566805363</v>
      </c>
      <c r="AV113">
        <v>8992166.9604437947</v>
      </c>
      <c r="AW113">
        <v>8761908.4642070532</v>
      </c>
      <c r="AX113">
        <v>8531649.9679703116</v>
      </c>
      <c r="AY113">
        <v>8301391.4717335701</v>
      </c>
      <c r="AZ113">
        <v>8071132.9754968286</v>
      </c>
    </row>
    <row r="115" spans="1:52" x14ac:dyDescent="0.35">
      <c r="A115" s="9" t="s">
        <v>44</v>
      </c>
    </row>
    <row r="116" spans="1:52" s="9" customFormat="1" x14ac:dyDescent="0.35">
      <c r="A116" s="9" t="s">
        <v>18</v>
      </c>
      <c r="B116" s="9">
        <v>2020</v>
      </c>
      <c r="C116" s="9">
        <v>2021</v>
      </c>
      <c r="D116" s="9">
        <v>2022</v>
      </c>
      <c r="E116" s="9">
        <v>2023</v>
      </c>
      <c r="F116" s="9">
        <v>2024</v>
      </c>
      <c r="G116" s="9">
        <v>2025</v>
      </c>
      <c r="H116" s="9">
        <v>2026</v>
      </c>
      <c r="I116" s="9">
        <v>2027</v>
      </c>
      <c r="J116" s="9">
        <v>2028</v>
      </c>
      <c r="K116" s="9">
        <v>2029</v>
      </c>
      <c r="L116" s="9">
        <v>2030</v>
      </c>
      <c r="M116" s="9">
        <v>2031</v>
      </c>
      <c r="N116" s="9">
        <v>2032</v>
      </c>
      <c r="O116" s="9">
        <v>2033</v>
      </c>
      <c r="P116" s="9">
        <v>2034</v>
      </c>
      <c r="Q116" s="9">
        <v>2035</v>
      </c>
      <c r="R116" s="9">
        <v>2036</v>
      </c>
      <c r="S116" s="9">
        <v>2037</v>
      </c>
      <c r="T116" s="9">
        <v>2038</v>
      </c>
      <c r="U116" s="9">
        <v>2039</v>
      </c>
      <c r="V116" s="9">
        <v>2040</v>
      </c>
      <c r="W116" s="9">
        <v>2041</v>
      </c>
      <c r="X116" s="9">
        <v>2042</v>
      </c>
      <c r="Y116" s="9">
        <v>2043</v>
      </c>
      <c r="Z116" s="9">
        <v>2044</v>
      </c>
      <c r="AA116" s="9">
        <v>2045</v>
      </c>
      <c r="AB116" s="9">
        <v>2046</v>
      </c>
      <c r="AC116" s="9">
        <v>2047</v>
      </c>
      <c r="AD116" s="9">
        <v>2048</v>
      </c>
      <c r="AE116" s="9">
        <v>2049</v>
      </c>
      <c r="AF116" s="9">
        <v>2050</v>
      </c>
      <c r="AG116" s="9">
        <v>2051</v>
      </c>
      <c r="AH116" s="9">
        <v>2052</v>
      </c>
      <c r="AI116" s="9">
        <v>2053</v>
      </c>
      <c r="AJ116" s="9">
        <v>2054</v>
      </c>
      <c r="AK116" s="9">
        <v>2055</v>
      </c>
      <c r="AL116" s="9">
        <v>2056</v>
      </c>
      <c r="AM116" s="9">
        <v>2057</v>
      </c>
      <c r="AN116" s="9">
        <v>2058</v>
      </c>
      <c r="AO116" s="9">
        <v>2059</v>
      </c>
      <c r="AP116" s="9">
        <v>2060</v>
      </c>
      <c r="AQ116" s="9">
        <v>2061</v>
      </c>
      <c r="AR116" s="9">
        <v>2062</v>
      </c>
      <c r="AS116" s="9">
        <v>2063</v>
      </c>
      <c r="AT116" s="9">
        <v>2064</v>
      </c>
      <c r="AU116" s="9">
        <v>2065</v>
      </c>
      <c r="AV116" s="9">
        <v>2066</v>
      </c>
      <c r="AW116" s="9">
        <v>2067</v>
      </c>
      <c r="AX116" s="9">
        <v>2068</v>
      </c>
      <c r="AY116" s="9">
        <v>2069</v>
      </c>
      <c r="AZ116" s="9">
        <v>2070</v>
      </c>
    </row>
    <row r="117" spans="1:52" x14ac:dyDescent="0.35">
      <c r="A117" t="s">
        <v>19</v>
      </c>
      <c r="B117">
        <v>13157.391090569377</v>
      </c>
      <c r="C117">
        <v>13157.391090569377</v>
      </c>
      <c r="D117">
        <v>13157.391090569377</v>
      </c>
      <c r="E117">
        <v>13157.391090569377</v>
      </c>
      <c r="F117">
        <v>13157.391090569377</v>
      </c>
      <c r="G117">
        <v>13157.391090569377</v>
      </c>
      <c r="H117">
        <v>13157.391090569377</v>
      </c>
      <c r="I117">
        <v>13157.391090569377</v>
      </c>
      <c r="J117">
        <v>13157.391090569377</v>
      </c>
      <c r="K117">
        <v>13157.391090569377</v>
      </c>
      <c r="L117">
        <v>13157.391090569377</v>
      </c>
      <c r="M117">
        <v>13157.391090569377</v>
      </c>
      <c r="N117">
        <v>13157.391090569377</v>
      </c>
      <c r="O117">
        <v>13157.391090569377</v>
      </c>
      <c r="P117">
        <v>13157.391090569377</v>
      </c>
      <c r="Q117">
        <v>13157.391090569377</v>
      </c>
      <c r="R117">
        <v>13157.391090569377</v>
      </c>
      <c r="S117">
        <v>13157.391090569377</v>
      </c>
      <c r="T117">
        <v>13157.391090569377</v>
      </c>
      <c r="U117">
        <v>13157.391090569377</v>
      </c>
      <c r="V117">
        <v>13157.391090569377</v>
      </c>
      <c r="W117">
        <v>13157.391090569377</v>
      </c>
      <c r="X117">
        <v>13157.391090569377</v>
      </c>
      <c r="Y117">
        <v>13157.391090569377</v>
      </c>
      <c r="Z117">
        <v>13157.391090569377</v>
      </c>
      <c r="AA117">
        <v>13157.391090569377</v>
      </c>
      <c r="AB117">
        <v>13157.391090569377</v>
      </c>
      <c r="AC117">
        <v>13157.391090569377</v>
      </c>
      <c r="AD117">
        <v>13157.391090569377</v>
      </c>
      <c r="AE117">
        <v>13157.391090569377</v>
      </c>
      <c r="AF117">
        <v>13157.391090569377</v>
      </c>
      <c r="AG117">
        <v>13157.391090569377</v>
      </c>
      <c r="AH117">
        <v>13157.391090569377</v>
      </c>
      <c r="AI117">
        <v>13157.391090569377</v>
      </c>
      <c r="AJ117">
        <v>13157.391090569377</v>
      </c>
      <c r="AK117">
        <v>13157.391090569377</v>
      </c>
      <c r="AL117">
        <v>13157.391090569377</v>
      </c>
      <c r="AM117">
        <v>13157.391090569377</v>
      </c>
      <c r="AN117">
        <v>13157.391090569377</v>
      </c>
      <c r="AO117">
        <v>13157.391090569377</v>
      </c>
      <c r="AP117">
        <v>13157.391090569377</v>
      </c>
      <c r="AQ117">
        <v>13157.391090569377</v>
      </c>
      <c r="AR117">
        <v>13157.391090569377</v>
      </c>
      <c r="AS117">
        <v>13157.391090569377</v>
      </c>
      <c r="AT117">
        <v>13157.391090569377</v>
      </c>
      <c r="AU117">
        <v>13157.391090569377</v>
      </c>
      <c r="AV117">
        <v>13157.391090569377</v>
      </c>
      <c r="AW117">
        <v>13157.391090569377</v>
      </c>
      <c r="AX117">
        <v>13157.391090569377</v>
      </c>
      <c r="AY117">
        <v>13157.391090569377</v>
      </c>
      <c r="AZ117">
        <v>13157.391090569377</v>
      </c>
    </row>
    <row r="118" spans="1:52" x14ac:dyDescent="0.35">
      <c r="A118" t="s">
        <v>20</v>
      </c>
      <c r="B118">
        <v>0</v>
      </c>
      <c r="C118">
        <v>0</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v>0</v>
      </c>
      <c r="AH118">
        <v>0</v>
      </c>
      <c r="AI118">
        <v>0</v>
      </c>
      <c r="AJ118">
        <v>0</v>
      </c>
      <c r="AK118">
        <v>0</v>
      </c>
      <c r="AL118">
        <v>0</v>
      </c>
      <c r="AM118">
        <v>0</v>
      </c>
      <c r="AN118">
        <v>0</v>
      </c>
      <c r="AO118">
        <v>0</v>
      </c>
      <c r="AP118">
        <v>0</v>
      </c>
      <c r="AQ118">
        <v>0</v>
      </c>
      <c r="AR118">
        <v>0</v>
      </c>
      <c r="AS118">
        <v>0</v>
      </c>
      <c r="AT118">
        <v>0</v>
      </c>
      <c r="AU118">
        <v>0</v>
      </c>
      <c r="AV118">
        <v>0</v>
      </c>
      <c r="AW118">
        <v>0</v>
      </c>
      <c r="AX118">
        <v>0</v>
      </c>
      <c r="AY118">
        <v>0</v>
      </c>
      <c r="AZ118">
        <v>0</v>
      </c>
    </row>
    <row r="119" spans="1:52" x14ac:dyDescent="0.35">
      <c r="A119" t="s">
        <v>21</v>
      </c>
      <c r="B119">
        <v>8980</v>
      </c>
      <c r="C119">
        <v>8980</v>
      </c>
      <c r="D119">
        <v>8980</v>
      </c>
      <c r="E119">
        <v>8980</v>
      </c>
      <c r="F119">
        <v>8980</v>
      </c>
      <c r="G119">
        <v>8980</v>
      </c>
      <c r="H119">
        <v>8980</v>
      </c>
      <c r="I119">
        <v>8980</v>
      </c>
      <c r="J119">
        <v>8980</v>
      </c>
      <c r="K119">
        <v>8980</v>
      </c>
      <c r="L119">
        <v>8980</v>
      </c>
      <c r="M119">
        <v>8980</v>
      </c>
      <c r="N119">
        <v>8980</v>
      </c>
      <c r="O119">
        <v>8980</v>
      </c>
      <c r="P119">
        <v>8980</v>
      </c>
      <c r="Q119">
        <v>8980</v>
      </c>
      <c r="R119">
        <v>8980</v>
      </c>
      <c r="S119">
        <v>8980</v>
      </c>
      <c r="T119">
        <v>8980</v>
      </c>
      <c r="U119">
        <v>8980</v>
      </c>
      <c r="V119">
        <v>8980</v>
      </c>
      <c r="W119">
        <v>8980</v>
      </c>
      <c r="X119">
        <v>8980</v>
      </c>
      <c r="Y119">
        <v>8980</v>
      </c>
      <c r="Z119">
        <v>8980</v>
      </c>
      <c r="AA119">
        <v>8980</v>
      </c>
      <c r="AB119">
        <v>8980</v>
      </c>
      <c r="AC119">
        <v>8980</v>
      </c>
      <c r="AD119">
        <v>8980</v>
      </c>
      <c r="AE119">
        <v>8980</v>
      </c>
      <c r="AF119">
        <v>8980</v>
      </c>
      <c r="AG119">
        <v>8980</v>
      </c>
      <c r="AH119">
        <v>8980</v>
      </c>
      <c r="AI119">
        <v>8980</v>
      </c>
      <c r="AJ119">
        <v>8980</v>
      </c>
      <c r="AK119">
        <v>8980</v>
      </c>
      <c r="AL119">
        <v>8980</v>
      </c>
      <c r="AM119">
        <v>8980</v>
      </c>
      <c r="AN119">
        <v>8980</v>
      </c>
      <c r="AO119">
        <v>8980</v>
      </c>
      <c r="AP119">
        <v>8980</v>
      </c>
      <c r="AQ119">
        <v>8980</v>
      </c>
      <c r="AR119">
        <v>8980</v>
      </c>
      <c r="AS119">
        <v>8980</v>
      </c>
      <c r="AT119">
        <v>8980</v>
      </c>
      <c r="AU119">
        <v>8980</v>
      </c>
      <c r="AV119">
        <v>8980</v>
      </c>
      <c r="AW119">
        <v>8980</v>
      </c>
      <c r="AX119">
        <v>8980</v>
      </c>
      <c r="AY119">
        <v>8980</v>
      </c>
      <c r="AZ119">
        <v>8980</v>
      </c>
    </row>
    <row r="120" spans="1:52" x14ac:dyDescent="0.35">
      <c r="A120" t="s">
        <v>22</v>
      </c>
      <c r="B120">
        <v>0</v>
      </c>
      <c r="C120">
        <v>0</v>
      </c>
      <c r="D120">
        <v>0</v>
      </c>
      <c r="E120">
        <v>0</v>
      </c>
      <c r="F120">
        <v>0</v>
      </c>
      <c r="G120">
        <v>0</v>
      </c>
      <c r="H120">
        <v>0</v>
      </c>
      <c r="I120">
        <v>0</v>
      </c>
      <c r="J120">
        <v>0</v>
      </c>
      <c r="K120">
        <v>0</v>
      </c>
      <c r="L120">
        <v>0</v>
      </c>
      <c r="M120">
        <v>0</v>
      </c>
      <c r="N120">
        <v>0</v>
      </c>
      <c r="O120">
        <v>0</v>
      </c>
      <c r="P120">
        <v>0</v>
      </c>
      <c r="Q120">
        <v>0</v>
      </c>
      <c r="R120">
        <v>0</v>
      </c>
      <c r="S120">
        <v>0</v>
      </c>
      <c r="T120">
        <v>0</v>
      </c>
      <c r="U120">
        <v>0</v>
      </c>
      <c r="V120">
        <v>0</v>
      </c>
      <c r="W120">
        <v>0</v>
      </c>
      <c r="X120">
        <v>0</v>
      </c>
      <c r="Y120">
        <v>0</v>
      </c>
      <c r="Z120">
        <v>0</v>
      </c>
      <c r="AA120">
        <v>0</v>
      </c>
      <c r="AB120">
        <v>0</v>
      </c>
      <c r="AC120">
        <v>0</v>
      </c>
      <c r="AD120">
        <v>0</v>
      </c>
      <c r="AE120">
        <v>0</v>
      </c>
      <c r="AF120">
        <v>0</v>
      </c>
      <c r="AG120">
        <v>0</v>
      </c>
      <c r="AH120">
        <v>0</v>
      </c>
      <c r="AI120">
        <v>0</v>
      </c>
      <c r="AJ120">
        <v>0</v>
      </c>
      <c r="AK120">
        <v>0</v>
      </c>
      <c r="AL120">
        <v>0</v>
      </c>
      <c r="AM120">
        <v>0</v>
      </c>
      <c r="AN120">
        <v>0</v>
      </c>
      <c r="AO120">
        <v>0</v>
      </c>
      <c r="AP120">
        <v>0</v>
      </c>
      <c r="AQ120">
        <v>0</v>
      </c>
      <c r="AR120">
        <v>0</v>
      </c>
      <c r="AS120">
        <v>0</v>
      </c>
      <c r="AT120">
        <v>0</v>
      </c>
      <c r="AU120">
        <v>0</v>
      </c>
      <c r="AV120">
        <v>0</v>
      </c>
      <c r="AW120">
        <v>0</v>
      </c>
      <c r="AX120">
        <v>0</v>
      </c>
      <c r="AY120">
        <v>0</v>
      </c>
      <c r="AZ120">
        <v>0</v>
      </c>
    </row>
    <row r="121" spans="1:52" x14ac:dyDescent="0.35">
      <c r="A121" t="s">
        <v>23</v>
      </c>
      <c r="B121">
        <v>0</v>
      </c>
      <c r="C121">
        <v>0</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v>0</v>
      </c>
      <c r="AH121">
        <v>0</v>
      </c>
      <c r="AI121">
        <v>0</v>
      </c>
      <c r="AJ121">
        <v>0</v>
      </c>
      <c r="AK121">
        <v>0</v>
      </c>
      <c r="AL121">
        <v>0</v>
      </c>
      <c r="AM121">
        <v>0</v>
      </c>
      <c r="AN121">
        <v>0</v>
      </c>
      <c r="AO121">
        <v>0</v>
      </c>
      <c r="AP121">
        <v>0</v>
      </c>
      <c r="AQ121">
        <v>0</v>
      </c>
      <c r="AR121">
        <v>0</v>
      </c>
      <c r="AS121">
        <v>0</v>
      </c>
      <c r="AT121">
        <v>0</v>
      </c>
      <c r="AU121">
        <v>0</v>
      </c>
      <c r="AV121">
        <v>0</v>
      </c>
      <c r="AW121">
        <v>0</v>
      </c>
      <c r="AX121">
        <v>0</v>
      </c>
      <c r="AY121">
        <v>0</v>
      </c>
      <c r="AZ121">
        <v>0</v>
      </c>
    </row>
    <row r="122" spans="1:52" x14ac:dyDescent="0.35">
      <c r="A122" t="s">
        <v>24</v>
      </c>
      <c r="B122">
        <v>0</v>
      </c>
      <c r="C122">
        <v>0</v>
      </c>
      <c r="D122">
        <v>0</v>
      </c>
      <c r="E122">
        <v>0</v>
      </c>
      <c r="F122">
        <v>0</v>
      </c>
      <c r="G122">
        <v>0</v>
      </c>
      <c r="H122">
        <v>0</v>
      </c>
      <c r="I122">
        <v>0</v>
      </c>
      <c r="J122">
        <v>0</v>
      </c>
      <c r="K122">
        <v>0</v>
      </c>
      <c r="L122">
        <v>0</v>
      </c>
      <c r="M122">
        <v>0</v>
      </c>
      <c r="N122">
        <v>0</v>
      </c>
      <c r="O122">
        <v>0</v>
      </c>
      <c r="P122">
        <v>0</v>
      </c>
      <c r="Q122">
        <v>0</v>
      </c>
      <c r="R122">
        <v>0</v>
      </c>
      <c r="S122">
        <v>0</v>
      </c>
      <c r="T122">
        <v>0</v>
      </c>
      <c r="U122">
        <v>0</v>
      </c>
      <c r="V122">
        <v>0</v>
      </c>
      <c r="W122">
        <v>0</v>
      </c>
      <c r="X122">
        <v>0</v>
      </c>
      <c r="Y122">
        <v>0</v>
      </c>
      <c r="Z122">
        <v>0</v>
      </c>
      <c r="AA122">
        <v>0</v>
      </c>
      <c r="AB122">
        <v>0</v>
      </c>
      <c r="AC122">
        <v>0</v>
      </c>
      <c r="AD122">
        <v>0</v>
      </c>
      <c r="AE122">
        <v>0</v>
      </c>
      <c r="AF122">
        <v>0</v>
      </c>
      <c r="AG122">
        <v>0</v>
      </c>
      <c r="AH122">
        <v>0</v>
      </c>
      <c r="AI122">
        <v>0</v>
      </c>
      <c r="AJ122">
        <v>0</v>
      </c>
      <c r="AK122">
        <v>0</v>
      </c>
      <c r="AL122">
        <v>0</v>
      </c>
      <c r="AM122">
        <v>0</v>
      </c>
      <c r="AN122">
        <v>0</v>
      </c>
      <c r="AO122">
        <v>0</v>
      </c>
      <c r="AP122">
        <v>0</v>
      </c>
      <c r="AQ122">
        <v>0</v>
      </c>
      <c r="AR122">
        <v>0</v>
      </c>
      <c r="AS122">
        <v>0</v>
      </c>
      <c r="AT122">
        <v>0</v>
      </c>
      <c r="AU122">
        <v>0</v>
      </c>
      <c r="AV122">
        <v>0</v>
      </c>
      <c r="AW122">
        <v>0</v>
      </c>
      <c r="AX122">
        <v>0</v>
      </c>
      <c r="AY122">
        <v>0</v>
      </c>
      <c r="AZ122">
        <v>0</v>
      </c>
    </row>
    <row r="123" spans="1:52" x14ac:dyDescent="0.35">
      <c r="A123" t="s">
        <v>25</v>
      </c>
      <c r="B123">
        <v>0</v>
      </c>
      <c r="C123">
        <v>0</v>
      </c>
      <c r="D123">
        <v>0</v>
      </c>
      <c r="E123">
        <v>0</v>
      </c>
      <c r="F123">
        <v>0</v>
      </c>
      <c r="G123">
        <v>0</v>
      </c>
      <c r="H123">
        <v>0</v>
      </c>
      <c r="I123">
        <v>0</v>
      </c>
      <c r="J123">
        <v>0</v>
      </c>
      <c r="K123">
        <v>0</v>
      </c>
      <c r="L123">
        <v>0</v>
      </c>
      <c r="M123">
        <v>0</v>
      </c>
      <c r="N123">
        <v>0</v>
      </c>
      <c r="O123">
        <v>0</v>
      </c>
      <c r="P123">
        <v>0</v>
      </c>
      <c r="Q123">
        <v>0</v>
      </c>
      <c r="R123">
        <v>0</v>
      </c>
      <c r="S123">
        <v>0</v>
      </c>
      <c r="T123">
        <v>0</v>
      </c>
      <c r="U123">
        <v>0</v>
      </c>
      <c r="V123">
        <v>0</v>
      </c>
      <c r="W123">
        <v>0</v>
      </c>
      <c r="X123">
        <v>0</v>
      </c>
      <c r="Y123">
        <v>0</v>
      </c>
      <c r="Z123">
        <v>0</v>
      </c>
      <c r="AA123">
        <v>0</v>
      </c>
      <c r="AB123">
        <v>0</v>
      </c>
      <c r="AC123">
        <v>0</v>
      </c>
      <c r="AD123">
        <v>0</v>
      </c>
      <c r="AE123">
        <v>0</v>
      </c>
      <c r="AF123">
        <v>0</v>
      </c>
      <c r="AG123">
        <v>0</v>
      </c>
      <c r="AH123">
        <v>0</v>
      </c>
      <c r="AI123">
        <v>0</v>
      </c>
      <c r="AJ123">
        <v>0</v>
      </c>
      <c r="AK123">
        <v>0</v>
      </c>
      <c r="AL123">
        <v>0</v>
      </c>
      <c r="AM123">
        <v>0</v>
      </c>
      <c r="AN123">
        <v>0</v>
      </c>
      <c r="AO123">
        <v>0</v>
      </c>
      <c r="AP123">
        <v>0</v>
      </c>
      <c r="AQ123">
        <v>0</v>
      </c>
      <c r="AR123">
        <v>0</v>
      </c>
      <c r="AS123">
        <v>0</v>
      </c>
      <c r="AT123">
        <v>0</v>
      </c>
      <c r="AU123">
        <v>0</v>
      </c>
      <c r="AV123">
        <v>0</v>
      </c>
      <c r="AW123">
        <v>0</v>
      </c>
      <c r="AX123">
        <v>0</v>
      </c>
      <c r="AY123">
        <v>0</v>
      </c>
      <c r="AZ123">
        <v>0</v>
      </c>
    </row>
    <row r="125" spans="1:52" x14ac:dyDescent="0.35">
      <c r="A125" s="9" t="s">
        <v>45</v>
      </c>
    </row>
    <row r="126" spans="1:52" s="9" customFormat="1" x14ac:dyDescent="0.35">
      <c r="A126" s="1" t="s">
        <v>18</v>
      </c>
      <c r="B126" s="1">
        <v>2020</v>
      </c>
      <c r="C126" s="1">
        <v>2021</v>
      </c>
      <c r="D126" s="1">
        <v>2022</v>
      </c>
      <c r="E126" s="1">
        <v>2023</v>
      </c>
      <c r="F126" s="1">
        <v>2024</v>
      </c>
      <c r="G126" s="1">
        <v>2025</v>
      </c>
      <c r="H126" s="1">
        <v>2026</v>
      </c>
      <c r="I126" s="1">
        <v>2027</v>
      </c>
      <c r="J126" s="1">
        <v>2028</v>
      </c>
      <c r="K126" s="1">
        <v>2029</v>
      </c>
      <c r="L126" s="1">
        <v>2030</v>
      </c>
      <c r="M126" s="1">
        <v>2031</v>
      </c>
      <c r="N126" s="1">
        <v>2032</v>
      </c>
      <c r="O126" s="1">
        <v>2033</v>
      </c>
      <c r="P126" s="1">
        <v>2034</v>
      </c>
      <c r="Q126" s="1">
        <v>2035</v>
      </c>
      <c r="R126" s="1">
        <v>2036</v>
      </c>
      <c r="S126" s="1">
        <v>2037</v>
      </c>
      <c r="T126" s="1">
        <v>2038</v>
      </c>
      <c r="U126" s="1">
        <v>2039</v>
      </c>
      <c r="V126" s="1">
        <v>2040</v>
      </c>
      <c r="W126" s="1">
        <v>2041</v>
      </c>
      <c r="X126" s="1">
        <v>2042</v>
      </c>
      <c r="Y126" s="1">
        <v>2043</v>
      </c>
      <c r="Z126" s="1">
        <v>2044</v>
      </c>
      <c r="AA126" s="1">
        <v>2045</v>
      </c>
      <c r="AB126" s="1">
        <v>2046</v>
      </c>
      <c r="AC126" s="1">
        <v>2047</v>
      </c>
      <c r="AD126" s="1">
        <v>2048</v>
      </c>
      <c r="AE126" s="1">
        <v>2049</v>
      </c>
      <c r="AF126" s="1">
        <v>2050</v>
      </c>
      <c r="AG126" s="9">
        <v>2051</v>
      </c>
      <c r="AH126" s="9">
        <v>2052</v>
      </c>
      <c r="AI126" s="9">
        <v>2053</v>
      </c>
      <c r="AJ126" s="9">
        <v>2054</v>
      </c>
      <c r="AK126" s="9">
        <v>2055</v>
      </c>
      <c r="AL126" s="9">
        <v>2056</v>
      </c>
      <c r="AM126" s="9">
        <v>2057</v>
      </c>
      <c r="AN126" s="9">
        <v>2058</v>
      </c>
      <c r="AO126" s="9">
        <v>2059</v>
      </c>
      <c r="AP126" s="9">
        <v>2060</v>
      </c>
      <c r="AQ126" s="9">
        <v>2061</v>
      </c>
      <c r="AR126" s="9">
        <v>2062</v>
      </c>
      <c r="AS126" s="9">
        <v>2063</v>
      </c>
      <c r="AT126" s="9">
        <v>2064</v>
      </c>
      <c r="AU126" s="9">
        <v>2065</v>
      </c>
      <c r="AV126" s="9">
        <v>2066</v>
      </c>
      <c r="AW126" s="9">
        <v>2067</v>
      </c>
      <c r="AX126" s="9">
        <v>2068</v>
      </c>
      <c r="AY126" s="9">
        <v>2069</v>
      </c>
      <c r="AZ126" s="9">
        <v>2070</v>
      </c>
    </row>
    <row r="127" spans="1:52" x14ac:dyDescent="0.35">
      <c r="A127" s="2" t="s">
        <v>19</v>
      </c>
      <c r="B127" s="2">
        <v>0</v>
      </c>
      <c r="C127" s="2">
        <v>0</v>
      </c>
      <c r="D127" s="2">
        <v>0</v>
      </c>
      <c r="E127" s="2">
        <v>0</v>
      </c>
      <c r="F127" s="2">
        <v>0</v>
      </c>
      <c r="G127" s="2">
        <v>0</v>
      </c>
      <c r="H127" s="2">
        <v>0</v>
      </c>
      <c r="I127" s="2">
        <v>0</v>
      </c>
      <c r="J127" s="2">
        <v>0</v>
      </c>
      <c r="K127" s="2">
        <v>0</v>
      </c>
      <c r="L127" s="2">
        <v>0</v>
      </c>
      <c r="M127" s="2">
        <v>0</v>
      </c>
      <c r="N127" s="2">
        <v>0</v>
      </c>
      <c r="O127" s="2">
        <v>0</v>
      </c>
      <c r="P127" s="2">
        <v>0</v>
      </c>
      <c r="Q127" s="2">
        <v>0</v>
      </c>
      <c r="R127" s="2">
        <v>0</v>
      </c>
      <c r="S127" s="2">
        <v>0</v>
      </c>
      <c r="T127" s="2">
        <v>0</v>
      </c>
      <c r="U127" s="2">
        <v>0</v>
      </c>
      <c r="V127" s="2">
        <v>0</v>
      </c>
      <c r="W127" s="2">
        <v>0</v>
      </c>
      <c r="X127" s="2">
        <v>0</v>
      </c>
      <c r="Y127" s="2">
        <v>0</v>
      </c>
      <c r="Z127" s="2">
        <v>0</v>
      </c>
      <c r="AA127" s="2">
        <v>0</v>
      </c>
      <c r="AB127" s="2">
        <v>0</v>
      </c>
      <c r="AC127" s="2">
        <v>0</v>
      </c>
      <c r="AD127" s="2">
        <v>0</v>
      </c>
      <c r="AE127" s="2">
        <v>0</v>
      </c>
      <c r="AF127" s="2">
        <v>0</v>
      </c>
      <c r="AG127" s="6">
        <v>0</v>
      </c>
      <c r="AH127" s="6">
        <v>0</v>
      </c>
      <c r="AI127" s="6">
        <v>0</v>
      </c>
      <c r="AJ127" s="6">
        <v>0</v>
      </c>
      <c r="AK127" s="6">
        <v>0</v>
      </c>
      <c r="AL127" s="6">
        <v>0</v>
      </c>
      <c r="AM127" s="6">
        <v>0</v>
      </c>
      <c r="AN127" s="6">
        <v>0</v>
      </c>
      <c r="AO127" s="6">
        <v>0</v>
      </c>
      <c r="AP127" s="6">
        <v>0</v>
      </c>
      <c r="AQ127" s="6">
        <v>0</v>
      </c>
      <c r="AR127" s="6">
        <v>0</v>
      </c>
      <c r="AS127" s="6">
        <v>0</v>
      </c>
      <c r="AT127" s="6">
        <v>0</v>
      </c>
      <c r="AU127" s="6">
        <v>0</v>
      </c>
      <c r="AV127" s="6">
        <v>0</v>
      </c>
      <c r="AW127" s="6">
        <v>0</v>
      </c>
      <c r="AX127" s="6">
        <v>0</v>
      </c>
      <c r="AY127" s="6">
        <v>0</v>
      </c>
      <c r="AZ127" s="6">
        <v>0</v>
      </c>
    </row>
    <row r="128" spans="1:52" x14ac:dyDescent="0.35">
      <c r="A128" s="2" t="s">
        <v>20</v>
      </c>
      <c r="B128" s="2">
        <v>0</v>
      </c>
      <c r="C128" s="2">
        <v>0</v>
      </c>
      <c r="D128" s="2">
        <v>0</v>
      </c>
      <c r="E128" s="2">
        <v>0</v>
      </c>
      <c r="F128" s="2">
        <v>0</v>
      </c>
      <c r="G128" s="2">
        <v>0</v>
      </c>
      <c r="H128" s="2">
        <v>0</v>
      </c>
      <c r="I128" s="2">
        <v>0</v>
      </c>
      <c r="J128" s="2">
        <v>0</v>
      </c>
      <c r="K128" s="2">
        <v>0</v>
      </c>
      <c r="L128" s="2">
        <v>0</v>
      </c>
      <c r="M128" s="2">
        <v>0</v>
      </c>
      <c r="N128" s="2">
        <v>0</v>
      </c>
      <c r="O128" s="2">
        <v>0</v>
      </c>
      <c r="P128" s="2">
        <v>0</v>
      </c>
      <c r="Q128" s="2">
        <v>0</v>
      </c>
      <c r="R128" s="2">
        <v>0</v>
      </c>
      <c r="S128" s="2">
        <v>0</v>
      </c>
      <c r="T128" s="2">
        <v>0</v>
      </c>
      <c r="U128" s="2">
        <v>0</v>
      </c>
      <c r="V128" s="2">
        <v>0</v>
      </c>
      <c r="W128" s="2">
        <v>0</v>
      </c>
      <c r="X128" s="2">
        <v>0</v>
      </c>
      <c r="Y128" s="2">
        <v>0</v>
      </c>
      <c r="Z128" s="2">
        <v>0</v>
      </c>
      <c r="AA128" s="2">
        <v>0</v>
      </c>
      <c r="AB128" s="2">
        <v>0</v>
      </c>
      <c r="AC128" s="2">
        <v>0</v>
      </c>
      <c r="AD128" s="2">
        <v>0</v>
      </c>
      <c r="AE128" s="2">
        <v>0</v>
      </c>
      <c r="AF128" s="2">
        <v>0</v>
      </c>
      <c r="AG128" s="6">
        <v>0</v>
      </c>
      <c r="AH128" s="6">
        <v>0</v>
      </c>
      <c r="AI128" s="6">
        <v>0</v>
      </c>
      <c r="AJ128" s="6">
        <v>0</v>
      </c>
      <c r="AK128" s="6">
        <v>0</v>
      </c>
      <c r="AL128" s="6">
        <v>0</v>
      </c>
      <c r="AM128" s="6">
        <v>0</v>
      </c>
      <c r="AN128" s="6">
        <v>0</v>
      </c>
      <c r="AO128" s="6">
        <v>0</v>
      </c>
      <c r="AP128" s="6">
        <v>0</v>
      </c>
      <c r="AQ128" s="6">
        <v>0</v>
      </c>
      <c r="AR128" s="6">
        <v>0</v>
      </c>
      <c r="AS128" s="6">
        <v>0</v>
      </c>
      <c r="AT128" s="6">
        <v>0</v>
      </c>
      <c r="AU128" s="6">
        <v>0</v>
      </c>
      <c r="AV128" s="6">
        <v>0</v>
      </c>
      <c r="AW128" s="6">
        <v>0</v>
      </c>
      <c r="AX128" s="6">
        <v>0</v>
      </c>
      <c r="AY128" s="6">
        <v>0</v>
      </c>
      <c r="AZ128" s="6">
        <v>0</v>
      </c>
    </row>
    <row r="129" spans="1:52" x14ac:dyDescent="0.35">
      <c r="A129" s="2" t="s">
        <v>21</v>
      </c>
      <c r="B129" s="2">
        <v>0</v>
      </c>
      <c r="C129" s="2">
        <v>0</v>
      </c>
      <c r="D129" s="2">
        <v>0</v>
      </c>
      <c r="E129" s="2">
        <v>0</v>
      </c>
      <c r="F129" s="2">
        <v>0</v>
      </c>
      <c r="G129" s="2">
        <v>0</v>
      </c>
      <c r="H129" s="2">
        <v>0</v>
      </c>
      <c r="I129" s="2">
        <v>0</v>
      </c>
      <c r="J129" s="2">
        <v>0</v>
      </c>
      <c r="K129" s="2">
        <v>0</v>
      </c>
      <c r="L129" s="2">
        <v>0</v>
      </c>
      <c r="M129" s="2">
        <v>0</v>
      </c>
      <c r="N129" s="2">
        <v>0</v>
      </c>
      <c r="O129" s="2">
        <v>0</v>
      </c>
      <c r="P129" s="2">
        <v>0</v>
      </c>
      <c r="Q129" s="2">
        <v>0</v>
      </c>
      <c r="R129" s="2">
        <v>0</v>
      </c>
      <c r="S129" s="2">
        <v>0</v>
      </c>
      <c r="T129" s="2">
        <v>0</v>
      </c>
      <c r="U129" s="2">
        <v>0</v>
      </c>
      <c r="V129" s="2">
        <v>0</v>
      </c>
      <c r="W129" s="2">
        <v>0</v>
      </c>
      <c r="X129" s="2">
        <v>0</v>
      </c>
      <c r="Y129" s="2">
        <v>0</v>
      </c>
      <c r="Z129" s="2">
        <v>0</v>
      </c>
      <c r="AA129" s="2">
        <v>0</v>
      </c>
      <c r="AB129" s="2">
        <v>0</v>
      </c>
      <c r="AC129" s="2">
        <v>0</v>
      </c>
      <c r="AD129" s="2">
        <v>0</v>
      </c>
      <c r="AE129" s="2">
        <v>0</v>
      </c>
      <c r="AF129" s="2">
        <v>0</v>
      </c>
      <c r="AG129" s="6">
        <v>0</v>
      </c>
      <c r="AH129" s="6">
        <v>0</v>
      </c>
      <c r="AI129" s="6">
        <v>0</v>
      </c>
      <c r="AJ129" s="6">
        <v>0</v>
      </c>
      <c r="AK129" s="6">
        <v>0</v>
      </c>
      <c r="AL129" s="6">
        <v>0</v>
      </c>
      <c r="AM129" s="6">
        <v>0</v>
      </c>
      <c r="AN129" s="6">
        <v>0</v>
      </c>
      <c r="AO129" s="6">
        <v>0</v>
      </c>
      <c r="AP129" s="6">
        <v>0</v>
      </c>
      <c r="AQ129" s="6">
        <v>0</v>
      </c>
      <c r="AR129" s="6">
        <v>0</v>
      </c>
      <c r="AS129" s="6">
        <v>0</v>
      </c>
      <c r="AT129" s="6">
        <v>0</v>
      </c>
      <c r="AU129" s="6">
        <v>0</v>
      </c>
      <c r="AV129" s="6">
        <v>0</v>
      </c>
      <c r="AW129" s="6">
        <v>0</v>
      </c>
      <c r="AX129" s="6">
        <v>0</v>
      </c>
      <c r="AY129" s="6">
        <v>0</v>
      </c>
      <c r="AZ129" s="6">
        <v>0</v>
      </c>
    </row>
    <row r="130" spans="1:52" x14ac:dyDescent="0.35">
      <c r="A130" s="2" t="s">
        <v>22</v>
      </c>
      <c r="B130" s="2">
        <v>0</v>
      </c>
      <c r="C130" s="2">
        <v>0</v>
      </c>
      <c r="D130" s="2">
        <v>0</v>
      </c>
      <c r="E130" s="2">
        <v>0</v>
      </c>
      <c r="F130" s="2">
        <v>0</v>
      </c>
      <c r="G130" s="2">
        <v>0</v>
      </c>
      <c r="H130" s="2">
        <v>0</v>
      </c>
      <c r="I130" s="2">
        <v>0</v>
      </c>
      <c r="J130" s="2">
        <v>0</v>
      </c>
      <c r="K130" s="2">
        <v>0</v>
      </c>
      <c r="L130" s="2">
        <v>0</v>
      </c>
      <c r="M130" s="2">
        <v>0</v>
      </c>
      <c r="N130" s="2">
        <v>0</v>
      </c>
      <c r="O130" s="2">
        <v>0</v>
      </c>
      <c r="P130" s="2">
        <v>0</v>
      </c>
      <c r="Q130" s="2">
        <v>0</v>
      </c>
      <c r="R130" s="2">
        <v>0</v>
      </c>
      <c r="S130" s="2">
        <v>0</v>
      </c>
      <c r="T130" s="2">
        <v>0</v>
      </c>
      <c r="U130" s="2">
        <v>0</v>
      </c>
      <c r="V130" s="2">
        <v>0</v>
      </c>
      <c r="W130" s="2">
        <v>0</v>
      </c>
      <c r="X130" s="2">
        <v>0</v>
      </c>
      <c r="Y130" s="2">
        <v>0</v>
      </c>
      <c r="Z130" s="2">
        <v>0</v>
      </c>
      <c r="AA130" s="2">
        <v>0</v>
      </c>
      <c r="AB130" s="2">
        <v>0</v>
      </c>
      <c r="AC130" s="2">
        <v>0</v>
      </c>
      <c r="AD130" s="2">
        <v>0</v>
      </c>
      <c r="AE130" s="2">
        <v>0</v>
      </c>
      <c r="AF130" s="2">
        <v>0</v>
      </c>
      <c r="AG130" s="6">
        <v>0</v>
      </c>
      <c r="AH130" s="6">
        <v>0</v>
      </c>
      <c r="AI130" s="6">
        <v>0</v>
      </c>
      <c r="AJ130" s="6">
        <v>0</v>
      </c>
      <c r="AK130" s="6">
        <v>0</v>
      </c>
      <c r="AL130" s="6">
        <v>0</v>
      </c>
      <c r="AM130" s="6">
        <v>0</v>
      </c>
      <c r="AN130" s="6">
        <v>0</v>
      </c>
      <c r="AO130" s="6">
        <v>0</v>
      </c>
      <c r="AP130" s="6">
        <v>0</v>
      </c>
      <c r="AQ130" s="6">
        <v>0</v>
      </c>
      <c r="AR130" s="6">
        <v>0</v>
      </c>
      <c r="AS130" s="6">
        <v>0</v>
      </c>
      <c r="AT130" s="6">
        <v>0</v>
      </c>
      <c r="AU130" s="6">
        <v>0</v>
      </c>
      <c r="AV130" s="6">
        <v>0</v>
      </c>
      <c r="AW130" s="6">
        <v>0</v>
      </c>
      <c r="AX130" s="6">
        <v>0</v>
      </c>
      <c r="AY130" s="6">
        <v>0</v>
      </c>
      <c r="AZ130" s="6">
        <v>0</v>
      </c>
    </row>
    <row r="131" spans="1:52" x14ac:dyDescent="0.35">
      <c r="A131" s="2" t="s">
        <v>23</v>
      </c>
      <c r="B131" s="2">
        <v>0</v>
      </c>
      <c r="C131" s="2">
        <v>0</v>
      </c>
      <c r="D131" s="2">
        <v>0</v>
      </c>
      <c r="E131" s="2">
        <v>0</v>
      </c>
      <c r="F131" s="2">
        <v>0</v>
      </c>
      <c r="G131" s="2">
        <v>0</v>
      </c>
      <c r="H131" s="2">
        <v>0</v>
      </c>
      <c r="I131" s="2">
        <v>0</v>
      </c>
      <c r="J131" s="2">
        <v>0</v>
      </c>
      <c r="K131" s="2">
        <v>0</v>
      </c>
      <c r="L131" s="2">
        <v>0</v>
      </c>
      <c r="M131" s="2">
        <v>0</v>
      </c>
      <c r="N131" s="2">
        <v>0</v>
      </c>
      <c r="O131" s="2">
        <v>0</v>
      </c>
      <c r="P131" s="2">
        <v>0</v>
      </c>
      <c r="Q131" s="2">
        <v>0</v>
      </c>
      <c r="R131" s="2">
        <v>0</v>
      </c>
      <c r="S131" s="2">
        <v>0</v>
      </c>
      <c r="T131" s="2">
        <v>0</v>
      </c>
      <c r="U131" s="2">
        <v>0</v>
      </c>
      <c r="V131" s="2">
        <v>0</v>
      </c>
      <c r="W131" s="2">
        <v>0</v>
      </c>
      <c r="X131" s="2">
        <v>0</v>
      </c>
      <c r="Y131" s="2">
        <v>0</v>
      </c>
      <c r="Z131" s="2">
        <v>0</v>
      </c>
      <c r="AA131" s="2">
        <v>0</v>
      </c>
      <c r="AB131" s="2">
        <v>0</v>
      </c>
      <c r="AC131" s="2">
        <v>0</v>
      </c>
      <c r="AD131" s="2">
        <v>0</v>
      </c>
      <c r="AE131" s="2">
        <v>0</v>
      </c>
      <c r="AF131" s="2">
        <v>0</v>
      </c>
      <c r="AG131" s="6">
        <v>0</v>
      </c>
      <c r="AH131" s="6">
        <v>0</v>
      </c>
      <c r="AI131" s="6">
        <v>0</v>
      </c>
      <c r="AJ131" s="6">
        <v>0</v>
      </c>
      <c r="AK131" s="6">
        <v>0</v>
      </c>
      <c r="AL131" s="6">
        <v>0</v>
      </c>
      <c r="AM131" s="6">
        <v>0</v>
      </c>
      <c r="AN131" s="6">
        <v>0</v>
      </c>
      <c r="AO131" s="6">
        <v>0</v>
      </c>
      <c r="AP131" s="6">
        <v>0</v>
      </c>
      <c r="AQ131" s="6">
        <v>0</v>
      </c>
      <c r="AR131" s="6">
        <v>0</v>
      </c>
      <c r="AS131" s="6">
        <v>0</v>
      </c>
      <c r="AT131" s="6">
        <v>0</v>
      </c>
      <c r="AU131" s="6">
        <v>0</v>
      </c>
      <c r="AV131" s="6">
        <v>0</v>
      </c>
      <c r="AW131" s="6">
        <v>0</v>
      </c>
      <c r="AX131" s="6">
        <v>0</v>
      </c>
      <c r="AY131" s="6">
        <v>0</v>
      </c>
      <c r="AZ131" s="6">
        <v>0</v>
      </c>
    </row>
    <row r="132" spans="1:52" x14ac:dyDescent="0.35">
      <c r="A132" s="2" t="s">
        <v>24</v>
      </c>
      <c r="B132" s="2">
        <v>0</v>
      </c>
      <c r="C132" s="2">
        <v>0</v>
      </c>
      <c r="D132" s="2">
        <v>0</v>
      </c>
      <c r="E132" s="2">
        <v>0</v>
      </c>
      <c r="F132" s="2">
        <v>0</v>
      </c>
      <c r="G132" s="2">
        <v>0</v>
      </c>
      <c r="H132" s="2">
        <v>0</v>
      </c>
      <c r="I132" s="2">
        <v>0</v>
      </c>
      <c r="J132" s="2">
        <v>0</v>
      </c>
      <c r="K132" s="2">
        <v>0</v>
      </c>
      <c r="L132" s="2">
        <v>0</v>
      </c>
      <c r="M132" s="2">
        <v>0</v>
      </c>
      <c r="N132" s="2">
        <v>0</v>
      </c>
      <c r="O132" s="2">
        <v>0</v>
      </c>
      <c r="P132" s="2">
        <v>0</v>
      </c>
      <c r="Q132" s="2">
        <v>0</v>
      </c>
      <c r="R132" s="2">
        <v>0</v>
      </c>
      <c r="S132" s="2">
        <v>0</v>
      </c>
      <c r="T132" s="2">
        <v>0</v>
      </c>
      <c r="U132" s="2">
        <v>0</v>
      </c>
      <c r="V132" s="2">
        <v>0</v>
      </c>
      <c r="W132" s="2">
        <v>0</v>
      </c>
      <c r="X132" s="2">
        <v>0</v>
      </c>
      <c r="Y132" s="2">
        <v>0</v>
      </c>
      <c r="Z132" s="2">
        <v>0</v>
      </c>
      <c r="AA132" s="2">
        <v>0</v>
      </c>
      <c r="AB132" s="2">
        <v>0</v>
      </c>
      <c r="AC132" s="2">
        <v>0</v>
      </c>
      <c r="AD132" s="2">
        <v>0</v>
      </c>
      <c r="AE132" s="2">
        <v>0</v>
      </c>
      <c r="AF132" s="2">
        <v>0</v>
      </c>
      <c r="AG132" s="6">
        <v>0</v>
      </c>
      <c r="AH132" s="6">
        <v>0</v>
      </c>
      <c r="AI132" s="6">
        <v>0</v>
      </c>
      <c r="AJ132" s="6">
        <v>0</v>
      </c>
      <c r="AK132" s="6">
        <v>0</v>
      </c>
      <c r="AL132" s="6">
        <v>0</v>
      </c>
      <c r="AM132" s="6">
        <v>0</v>
      </c>
      <c r="AN132" s="6">
        <v>0</v>
      </c>
      <c r="AO132" s="6">
        <v>0</v>
      </c>
      <c r="AP132" s="6">
        <v>0</v>
      </c>
      <c r="AQ132" s="6">
        <v>0</v>
      </c>
      <c r="AR132" s="6">
        <v>0</v>
      </c>
      <c r="AS132" s="6">
        <v>0</v>
      </c>
      <c r="AT132" s="6">
        <v>0</v>
      </c>
      <c r="AU132" s="6">
        <v>0</v>
      </c>
      <c r="AV132" s="6">
        <v>0</v>
      </c>
      <c r="AW132" s="6">
        <v>0</v>
      </c>
      <c r="AX132" s="6">
        <v>0</v>
      </c>
      <c r="AY132" s="6">
        <v>0</v>
      </c>
      <c r="AZ132" s="6">
        <v>0</v>
      </c>
    </row>
    <row r="133" spans="1:52" x14ac:dyDescent="0.35">
      <c r="A133" s="2" t="s">
        <v>25</v>
      </c>
      <c r="B133" s="2">
        <v>0</v>
      </c>
      <c r="C133" s="2">
        <v>0</v>
      </c>
      <c r="D133" s="2">
        <v>0</v>
      </c>
      <c r="E133" s="2">
        <v>0</v>
      </c>
      <c r="F133" s="2">
        <v>0</v>
      </c>
      <c r="G133" s="2">
        <v>0</v>
      </c>
      <c r="H133" s="2">
        <v>0</v>
      </c>
      <c r="I133" s="2">
        <v>0</v>
      </c>
      <c r="J133" s="2">
        <v>0</v>
      </c>
      <c r="K133" s="2">
        <v>0</v>
      </c>
      <c r="L133" s="2">
        <v>0</v>
      </c>
      <c r="M133" s="2">
        <v>0</v>
      </c>
      <c r="N133" s="2">
        <v>0</v>
      </c>
      <c r="O133" s="2">
        <v>0</v>
      </c>
      <c r="P133" s="2">
        <v>0</v>
      </c>
      <c r="Q133" s="2">
        <v>0</v>
      </c>
      <c r="R133" s="2">
        <v>0</v>
      </c>
      <c r="S133" s="2">
        <v>0</v>
      </c>
      <c r="T133" s="2">
        <v>0</v>
      </c>
      <c r="U133" s="2">
        <v>0</v>
      </c>
      <c r="V133" s="2">
        <v>0</v>
      </c>
      <c r="W133" s="2">
        <v>0</v>
      </c>
      <c r="X133" s="2">
        <v>0</v>
      </c>
      <c r="Y133" s="2">
        <v>0</v>
      </c>
      <c r="Z133" s="2">
        <v>0</v>
      </c>
      <c r="AA133" s="2">
        <v>0</v>
      </c>
      <c r="AB133" s="2">
        <v>0</v>
      </c>
      <c r="AC133" s="2">
        <v>0</v>
      </c>
      <c r="AD133" s="2">
        <v>0</v>
      </c>
      <c r="AE133" s="2">
        <v>0</v>
      </c>
      <c r="AF133" s="2">
        <v>0</v>
      </c>
      <c r="AG133" s="6">
        <v>0</v>
      </c>
      <c r="AH133" s="6">
        <v>0</v>
      </c>
      <c r="AI133" s="6">
        <v>0</v>
      </c>
      <c r="AJ133" s="6">
        <v>0</v>
      </c>
      <c r="AK133" s="6">
        <v>0</v>
      </c>
      <c r="AL133" s="6">
        <v>0</v>
      </c>
      <c r="AM133" s="6">
        <v>0</v>
      </c>
      <c r="AN133" s="6">
        <v>0</v>
      </c>
      <c r="AO133" s="6">
        <v>0</v>
      </c>
      <c r="AP133" s="6">
        <v>0</v>
      </c>
      <c r="AQ133" s="6">
        <v>0</v>
      </c>
      <c r="AR133" s="6">
        <v>0</v>
      </c>
      <c r="AS133" s="6">
        <v>0</v>
      </c>
      <c r="AT133" s="6">
        <v>0</v>
      </c>
      <c r="AU133" s="6">
        <v>0</v>
      </c>
      <c r="AV133" s="6">
        <v>0</v>
      </c>
      <c r="AW133" s="6">
        <v>0</v>
      </c>
      <c r="AX133" s="6">
        <v>0</v>
      </c>
      <c r="AY133" s="6">
        <v>0</v>
      </c>
      <c r="AZ133" s="6">
        <v>0</v>
      </c>
    </row>
    <row r="137" spans="1:52" ht="21" x14ac:dyDescent="0.5">
      <c r="A137" s="12" t="s">
        <v>48</v>
      </c>
    </row>
    <row r="138" spans="1:52" x14ac:dyDescent="0.35">
      <c r="A138" s="9" t="s">
        <v>46</v>
      </c>
    </row>
    <row r="139" spans="1:52" ht="43.5" x14ac:dyDescent="0.35">
      <c r="A139" s="9" t="s">
        <v>17</v>
      </c>
      <c r="B139" s="13" t="s">
        <v>48</v>
      </c>
      <c r="C139" s="9"/>
      <c r="D139" s="9"/>
      <c r="E139" s="9"/>
      <c r="F139" s="9"/>
      <c r="G139" s="9"/>
      <c r="H139" s="9"/>
      <c r="I139" s="9"/>
      <c r="J139" s="9"/>
      <c r="K139" s="9"/>
      <c r="L139" s="9"/>
      <c r="M139" s="9"/>
      <c r="N139" s="9"/>
      <c r="O139" s="9"/>
      <c r="P139" s="9"/>
      <c r="Q139" s="9"/>
      <c r="R139" s="9"/>
      <c r="S139" s="9"/>
      <c r="T139" s="9"/>
      <c r="U139" s="9"/>
      <c r="V139" s="9"/>
      <c r="W139" s="9"/>
      <c r="X139" s="9"/>
      <c r="Y139" s="9"/>
      <c r="Z139" s="9"/>
      <c r="AA139" s="9"/>
      <c r="AB139" s="9"/>
      <c r="AC139" s="9"/>
      <c r="AD139" s="9"/>
      <c r="AE139" s="9"/>
      <c r="AF139" s="9"/>
      <c r="AG139" s="9"/>
      <c r="AH139" s="9"/>
      <c r="AI139" s="9"/>
      <c r="AJ139" s="9"/>
      <c r="AK139" s="9"/>
      <c r="AL139" s="9"/>
      <c r="AM139" s="9"/>
      <c r="AN139" s="9"/>
      <c r="AO139" s="9"/>
      <c r="AP139" s="9"/>
      <c r="AQ139" s="9"/>
      <c r="AR139" s="9"/>
      <c r="AS139" s="9"/>
      <c r="AT139" s="9"/>
      <c r="AU139" s="9"/>
      <c r="AV139" s="9"/>
      <c r="AW139" s="9"/>
      <c r="AX139" s="9"/>
      <c r="AY139" s="9"/>
      <c r="AZ139" s="9"/>
    </row>
    <row r="140" spans="1:52" x14ac:dyDescent="0.35">
      <c r="A140" t="s">
        <v>19</v>
      </c>
      <c r="B140">
        <f t="shared" ref="B140:B146" si="6">(AZ17/B17)^(1/50) - 1</f>
        <v>-1.5498556530137542E-2</v>
      </c>
    </row>
    <row r="141" spans="1:52" x14ac:dyDescent="0.35">
      <c r="A141" t="s">
        <v>20</v>
      </c>
      <c r="B141">
        <f t="shared" si="6"/>
        <v>2.5111923753071697E-3</v>
      </c>
    </row>
    <row r="142" spans="1:52" x14ac:dyDescent="0.35">
      <c r="A142" t="s">
        <v>21</v>
      </c>
      <c r="B142">
        <f t="shared" si="6"/>
        <v>2.0215365737508151E-4</v>
      </c>
    </row>
    <row r="143" spans="1:52" x14ac:dyDescent="0.35">
      <c r="A143" t="s">
        <v>22</v>
      </c>
      <c r="B143">
        <f t="shared" si="6"/>
        <v>-4.4246259632774176E-4</v>
      </c>
    </row>
    <row r="144" spans="1:52" x14ac:dyDescent="0.35">
      <c r="A144" t="s">
        <v>23</v>
      </c>
      <c r="B144">
        <f t="shared" si="6"/>
        <v>1.4166739740966161E-3</v>
      </c>
    </row>
    <row r="145" spans="1:65" x14ac:dyDescent="0.35">
      <c r="A145" t="s">
        <v>24</v>
      </c>
      <c r="B145">
        <f t="shared" si="6"/>
        <v>1.7539135204482914E-3</v>
      </c>
    </row>
    <row r="146" spans="1:65" x14ac:dyDescent="0.35">
      <c r="A146" t="s">
        <v>25</v>
      </c>
      <c r="B146">
        <f t="shared" si="6"/>
        <v>-1.8105189075089512E-2</v>
      </c>
    </row>
    <row r="149" spans="1:65" x14ac:dyDescent="0.35">
      <c r="A149" s="9" t="s">
        <v>47</v>
      </c>
    </row>
    <row r="150" spans="1:65" ht="43.5" x14ac:dyDescent="0.35">
      <c r="A150" s="9" t="s">
        <v>17</v>
      </c>
      <c r="B150" s="13" t="s">
        <v>48</v>
      </c>
      <c r="C150" s="9"/>
      <c r="D150" s="9"/>
      <c r="E150" s="9"/>
      <c r="F150" s="9"/>
      <c r="G150" s="9"/>
      <c r="H150" s="9"/>
      <c r="I150" s="9"/>
      <c r="J150" s="9"/>
      <c r="K150" s="9"/>
      <c r="L150" s="9"/>
      <c r="M150" s="9"/>
      <c r="N150" s="9"/>
      <c r="O150" s="9"/>
      <c r="P150" s="9"/>
      <c r="Q150" s="9"/>
      <c r="R150" s="9"/>
      <c r="S150" s="9"/>
      <c r="T150" s="9"/>
      <c r="U150" s="9"/>
      <c r="V150" s="9"/>
      <c r="W150" s="9"/>
      <c r="X150" s="9"/>
      <c r="Y150" s="9"/>
      <c r="Z150" s="9"/>
      <c r="AA150" s="9"/>
      <c r="AB150" s="9"/>
      <c r="AC150" s="9"/>
      <c r="AD150" s="9"/>
      <c r="AE150" s="9"/>
      <c r="AF150" s="9"/>
      <c r="AG150" s="9"/>
      <c r="AH150" s="9"/>
      <c r="AI150" s="9"/>
      <c r="AJ150" s="9"/>
      <c r="AK150" s="9"/>
      <c r="AL150" s="9"/>
      <c r="AM150" s="9"/>
      <c r="AN150" s="9"/>
      <c r="AO150" s="9"/>
      <c r="AP150" s="9"/>
      <c r="AQ150" s="9"/>
      <c r="AR150" s="9"/>
      <c r="AS150" s="9"/>
      <c r="AT150" s="9"/>
      <c r="AU150" s="9"/>
      <c r="AV150" s="9"/>
      <c r="AW150" s="9"/>
      <c r="AX150" s="9"/>
      <c r="AY150" s="9"/>
      <c r="AZ150" s="9"/>
    </row>
    <row r="151" spans="1:65" x14ac:dyDescent="0.35">
      <c r="A151" t="s">
        <v>19</v>
      </c>
      <c r="B151">
        <f>(AZ37/B37)^(1/50) - 1</f>
        <v>0</v>
      </c>
    </row>
    <row r="152" spans="1:65" x14ac:dyDescent="0.35">
      <c r="A152" t="s">
        <v>20</v>
      </c>
      <c r="B152">
        <f t="shared" ref="B152:B157" si="7">(AZ38/B38)^(1/50) - 1</f>
        <v>2.5111923753071697E-3</v>
      </c>
    </row>
    <row r="153" spans="1:65" x14ac:dyDescent="0.35">
      <c r="A153" t="s">
        <v>21</v>
      </c>
      <c r="B153">
        <f t="shared" si="7"/>
        <v>0</v>
      </c>
    </row>
    <row r="154" spans="1:65" x14ac:dyDescent="0.35">
      <c r="A154" t="s">
        <v>22</v>
      </c>
      <c r="B154">
        <f t="shared" si="7"/>
        <v>0</v>
      </c>
    </row>
    <row r="155" spans="1:65" x14ac:dyDescent="0.35">
      <c r="A155" t="s">
        <v>23</v>
      </c>
      <c r="B155">
        <f t="shared" si="7"/>
        <v>1.4166739740966161E-3</v>
      </c>
    </row>
    <row r="156" spans="1:65" x14ac:dyDescent="0.35">
      <c r="A156" t="s">
        <v>24</v>
      </c>
      <c r="B156">
        <f t="shared" si="7"/>
        <v>1.7539135204482914E-3</v>
      </c>
    </row>
    <row r="157" spans="1:65" x14ac:dyDescent="0.35">
      <c r="A157" t="s">
        <v>25</v>
      </c>
      <c r="B157">
        <f t="shared" si="7"/>
        <v>-1.8105189075089401E-2</v>
      </c>
    </row>
    <row r="160" spans="1:65" x14ac:dyDescent="0.35">
      <c r="A160" t="s">
        <v>49</v>
      </c>
      <c r="B160" s="14" t="s">
        <v>50</v>
      </c>
      <c r="C160" t="s">
        <v>51</v>
      </c>
      <c r="D160" s="14" t="s">
        <v>52</v>
      </c>
      <c r="E160" s="9">
        <v>2010</v>
      </c>
      <c r="F160" s="9">
        <v>2011</v>
      </c>
      <c r="G160" s="9">
        <v>2012</v>
      </c>
      <c r="H160" s="9">
        <v>2013</v>
      </c>
      <c r="I160" s="9">
        <v>2014</v>
      </c>
      <c r="J160" s="9">
        <v>2015</v>
      </c>
      <c r="K160" s="9">
        <v>2016</v>
      </c>
      <c r="L160" s="9">
        <v>2017</v>
      </c>
      <c r="M160" s="9">
        <v>2018</v>
      </c>
      <c r="N160" s="9">
        <v>2019</v>
      </c>
      <c r="O160" s="9">
        <v>2020</v>
      </c>
      <c r="P160" s="9">
        <v>2021</v>
      </c>
      <c r="Q160" s="9">
        <v>2022</v>
      </c>
      <c r="R160" s="9">
        <v>2023</v>
      </c>
      <c r="S160" s="9"/>
      <c r="T160" s="9"/>
      <c r="U160" s="9"/>
      <c r="V160" s="9"/>
      <c r="W160" s="9"/>
      <c r="X160" s="9"/>
      <c r="Y160" s="9"/>
      <c r="Z160" s="9"/>
      <c r="AA160" s="9"/>
      <c r="AB160" s="9"/>
      <c r="AC160" s="9"/>
      <c r="AD160" s="9"/>
      <c r="AE160" s="9"/>
      <c r="AF160" s="9"/>
      <c r="AG160" s="9"/>
      <c r="AH160" s="9"/>
      <c r="AI160" s="9"/>
      <c r="AJ160" s="9"/>
      <c r="AK160" s="9"/>
      <c r="AL160" s="9"/>
      <c r="AM160" s="9"/>
      <c r="AN160" s="9"/>
      <c r="AO160" s="9"/>
      <c r="AP160" s="9"/>
      <c r="AQ160" s="9"/>
      <c r="AR160" s="9"/>
      <c r="AS160" s="9"/>
      <c r="AT160" s="9"/>
      <c r="AU160" s="9"/>
      <c r="AV160" s="9"/>
      <c r="AW160" s="9"/>
      <c r="AX160" s="9"/>
      <c r="AY160" s="9"/>
      <c r="AZ160" s="9"/>
      <c r="BA160" s="9"/>
      <c r="BB160" s="9"/>
      <c r="BC160" s="9"/>
      <c r="BD160" s="9"/>
      <c r="BE160" s="9"/>
      <c r="BF160" s="9"/>
      <c r="BG160" s="9"/>
      <c r="BH160" s="9"/>
      <c r="BI160" s="9"/>
      <c r="BJ160" s="9"/>
      <c r="BK160" s="9"/>
      <c r="BL160" s="9"/>
      <c r="BM160" s="9"/>
    </row>
    <row r="161" spans="1:18" x14ac:dyDescent="0.35">
      <c r="A161" t="s">
        <v>58</v>
      </c>
      <c r="B161" s="14" t="s">
        <v>59</v>
      </c>
      <c r="C161" t="s">
        <v>53</v>
      </c>
      <c r="D161" s="14" t="s">
        <v>54</v>
      </c>
      <c r="E161">
        <v>13781164976000.002</v>
      </c>
      <c r="F161">
        <v>13885921442000.002</v>
      </c>
      <c r="G161">
        <v>14001266950000.002</v>
      </c>
      <c r="H161">
        <v>14149708200000.002</v>
      </c>
      <c r="I161">
        <v>14455775203000</v>
      </c>
      <c r="J161">
        <v>14901426000000</v>
      </c>
      <c r="K161">
        <v>15248981880194.301</v>
      </c>
      <c r="L161">
        <v>15579502482339.6</v>
      </c>
      <c r="M161">
        <v>15970931357509.104</v>
      </c>
      <c r="N161">
        <v>16361516352775.203</v>
      </c>
      <c r="O161">
        <v>16102108449152.004</v>
      </c>
      <c r="P161">
        <v>17275101514808.605</v>
      </c>
      <c r="Q161">
        <v>17678584148597.609</v>
      </c>
      <c r="R161">
        <v>18137206109404.711</v>
      </c>
    </row>
    <row r="162" spans="1:18" x14ac:dyDescent="0.35">
      <c r="A162" t="s">
        <v>58</v>
      </c>
      <c r="B162" s="14" t="s">
        <v>59</v>
      </c>
      <c r="C162" t="s">
        <v>55</v>
      </c>
      <c r="D162" s="14" t="s">
        <v>56</v>
      </c>
      <c r="E162">
        <v>449960544944.88184</v>
      </c>
      <c r="F162">
        <v>473013443613.20032</v>
      </c>
      <c r="G162">
        <v>498456731174.94684</v>
      </c>
      <c r="H162">
        <v>526630450916.77228</v>
      </c>
      <c r="I162">
        <v>551442562557.53235</v>
      </c>
      <c r="J162">
        <v>578489151870.47156</v>
      </c>
      <c r="K162">
        <v>603630070078.53284</v>
      </c>
      <c r="L162">
        <v>631477435307.8645</v>
      </c>
      <c r="M162">
        <v>663664471765.92493</v>
      </c>
      <c r="N162">
        <v>696337334111.66968</v>
      </c>
      <c r="O162">
        <v>681893329164.16162</v>
      </c>
      <c r="P162">
        <v>697543756218.58289</v>
      </c>
      <c r="Q162">
        <v>723475262454.7688</v>
      </c>
      <c r="R162">
        <v>757415891443.51428</v>
      </c>
    </row>
    <row r="164" spans="1:18" x14ac:dyDescent="0.35">
      <c r="A164" s="9"/>
      <c r="B164" s="9" t="s">
        <v>57</v>
      </c>
    </row>
    <row r="165" spans="1:18" x14ac:dyDescent="0.35">
      <c r="A165" s="3" t="s">
        <v>61</v>
      </c>
      <c r="B165">
        <f>AVERAGE(E161:R161)</f>
        <v>15537799647555.793</v>
      </c>
    </row>
    <row r="166" spans="1:18" x14ac:dyDescent="0.35">
      <c r="A166" s="3" t="s">
        <v>62</v>
      </c>
      <c r="B166">
        <f>AVERAGE(E162:R162)</f>
        <v>609530745401.63037</v>
      </c>
    </row>
    <row r="168" spans="1:18" x14ac:dyDescent="0.35">
      <c r="A168" s="3" t="s">
        <v>60</v>
      </c>
      <c r="B168">
        <f>B166/B165</f>
        <v>3.9228897220174537E-2</v>
      </c>
    </row>
    <row r="169" spans="1:18" x14ac:dyDescent="0.35">
      <c r="A169" s="3"/>
    </row>
    <row r="171" spans="1:18" x14ac:dyDescent="0.35">
      <c r="A171" s="3" t="s">
        <v>63</v>
      </c>
      <c r="B171">
        <v>0.45</v>
      </c>
    </row>
    <row r="172" spans="1:18" x14ac:dyDescent="0.35">
      <c r="A172" s="3" t="s">
        <v>64</v>
      </c>
      <c r="B172">
        <v>0.1</v>
      </c>
    </row>
    <row r="173" spans="1:18" x14ac:dyDescent="0.35">
      <c r="A173" s="3" t="s">
        <v>65</v>
      </c>
      <c r="B173">
        <v>0.12</v>
      </c>
    </row>
    <row r="174" spans="1:18" x14ac:dyDescent="0.35">
      <c r="A174" s="3" t="s">
        <v>66</v>
      </c>
      <c r="B174">
        <v>6.2899999999999998E-2</v>
      </c>
    </row>
    <row r="176" spans="1:18" x14ac:dyDescent="0.35">
      <c r="A176" s="9" t="s">
        <v>78</v>
      </c>
      <c r="B176">
        <f>ROUNDUP(SUM(B168,B171:B174),2)</f>
        <v>0.78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1F497D"/>
  </sheetPr>
  <dimension ref="A1:AZ1000"/>
  <sheetViews>
    <sheetView workbookViewId="0">
      <selection activeCell="I39" sqref="I39"/>
    </sheetView>
  </sheetViews>
  <sheetFormatPr defaultColWidth="14.453125" defaultRowHeight="15" customHeight="1" x14ac:dyDescent="0.35"/>
  <cols>
    <col min="1" max="1" width="24.453125" customWidth="1"/>
    <col min="2" max="36" width="8.81640625" customWidth="1"/>
    <col min="52" max="52" width="14.453125" customWidth="1"/>
  </cols>
  <sheetData>
    <row r="1" spans="1:52" ht="14.25" customHeight="1" x14ac:dyDescent="0.35">
      <c r="A1" s="1" t="s">
        <v>18</v>
      </c>
      <c r="B1" s="9">
        <v>2020</v>
      </c>
      <c r="C1" s="9">
        <v>2021</v>
      </c>
      <c r="D1" s="9">
        <v>2022</v>
      </c>
      <c r="E1" s="9">
        <v>2023</v>
      </c>
      <c r="F1" s="9">
        <v>2024</v>
      </c>
      <c r="G1" s="9">
        <v>2025</v>
      </c>
      <c r="H1" s="9">
        <v>2026</v>
      </c>
      <c r="I1" s="9">
        <v>2027</v>
      </c>
      <c r="J1" s="9">
        <v>2028</v>
      </c>
      <c r="K1" s="9">
        <v>2029</v>
      </c>
      <c r="L1" s="9">
        <v>2030</v>
      </c>
      <c r="M1" s="9">
        <v>2031</v>
      </c>
      <c r="N1" s="9">
        <v>2032</v>
      </c>
      <c r="O1" s="9">
        <v>2033</v>
      </c>
      <c r="P1" s="9">
        <v>2034</v>
      </c>
      <c r="Q1" s="9">
        <v>2035</v>
      </c>
      <c r="R1" s="9">
        <v>2036</v>
      </c>
      <c r="S1" s="9">
        <v>2037</v>
      </c>
      <c r="T1" s="9">
        <v>2038</v>
      </c>
      <c r="U1" s="9">
        <v>2039</v>
      </c>
      <c r="V1" s="9">
        <v>2040</v>
      </c>
      <c r="W1" s="9">
        <v>2041</v>
      </c>
      <c r="X1" s="9">
        <v>2042</v>
      </c>
      <c r="Y1" s="9">
        <v>2043</v>
      </c>
      <c r="Z1" s="9">
        <v>2044</v>
      </c>
      <c r="AA1" s="9">
        <v>2045</v>
      </c>
      <c r="AB1" s="9">
        <v>2046</v>
      </c>
      <c r="AC1" s="9">
        <v>2047</v>
      </c>
      <c r="AD1" s="9">
        <v>2048</v>
      </c>
      <c r="AE1" s="9">
        <v>2049</v>
      </c>
      <c r="AF1" s="9">
        <v>2050</v>
      </c>
      <c r="AG1" s="9">
        <v>2051</v>
      </c>
      <c r="AH1" s="9">
        <v>2052</v>
      </c>
      <c r="AI1" s="9">
        <v>2053</v>
      </c>
      <c r="AJ1" s="9">
        <v>2054</v>
      </c>
      <c r="AK1" s="9">
        <v>2055</v>
      </c>
      <c r="AL1" s="9">
        <v>2056</v>
      </c>
      <c r="AM1" s="9">
        <v>2057</v>
      </c>
      <c r="AN1" s="9">
        <v>2058</v>
      </c>
      <c r="AO1" s="9">
        <v>2059</v>
      </c>
      <c r="AP1" s="9">
        <v>2060</v>
      </c>
      <c r="AQ1" s="9">
        <v>2061</v>
      </c>
      <c r="AR1" s="9">
        <v>2062</v>
      </c>
      <c r="AS1" s="9">
        <v>2063</v>
      </c>
      <c r="AT1" s="9">
        <v>2064</v>
      </c>
      <c r="AU1" s="9">
        <v>2065</v>
      </c>
      <c r="AV1" s="9">
        <v>2066</v>
      </c>
      <c r="AW1" s="9">
        <v>2067</v>
      </c>
      <c r="AX1" s="9">
        <v>2068</v>
      </c>
      <c r="AY1" s="9">
        <v>2069</v>
      </c>
      <c r="AZ1" s="9">
        <v>2070</v>
      </c>
    </row>
    <row r="2" spans="1:52" ht="14.25" customHeight="1" x14ac:dyDescent="0.35">
      <c r="A2" s="2" t="s">
        <v>19</v>
      </c>
      <c r="B2" s="5">
        <f>('NVP-Indonesia'!$B$12+'NVP-Indonesia'!$B$12*'NVP-Indonesia'!$B140)</f>
        <v>21521.201554251194</v>
      </c>
      <c r="C2" s="5">
        <f>(B2+B2*'NVP-Indonesia'!$B140)</f>
        <v>21187.653995366149</v>
      </c>
      <c r="D2" s="5">
        <f>(C2+C2*'NVP-Indonesia'!$B140)</f>
        <v>20859.27594217797</v>
      </c>
      <c r="E2" s="5">
        <f>(D2+D2*'NVP-Indonesia'!$B140)</f>
        <v>20535.987274810388</v>
      </c>
      <c r="F2" s="5">
        <f>(E2+E2*'NVP-Indonesia'!$B140)</f>
        <v>20217.709115129554</v>
      </c>
      <c r="G2" s="5">
        <f>(F2+F2*'NVP-Indonesia'!$B140)</f>
        <v>19904.363807498841</v>
      </c>
      <c r="H2" s="5">
        <f>(G2+G2*'NVP-Indonesia'!$B140)</f>
        <v>19595.874899831895</v>
      </c>
      <c r="I2" s="5">
        <f>(H2+H2*'NVP-Indonesia'!$B140)</f>
        <v>19292.167124939348</v>
      </c>
      <c r="J2" s="5">
        <f>(I2+I2*'NVP-Indonesia'!$B140)</f>
        <v>18993.166382164614</v>
      </c>
      <c r="K2" s="5">
        <f>(J2+J2*'NVP-Indonesia'!$B140)</f>
        <v>18698.799719304327</v>
      </c>
      <c r="L2" s="5">
        <f>(K2+K2*'NVP-Indonesia'!$B140)</f>
        <v>18408.99531480897</v>
      </c>
      <c r="M2" s="5">
        <f>(L2+L2*'NVP-Indonesia'!$B140)</f>
        <v>18123.682460259366</v>
      </c>
      <c r="N2" s="5">
        <f>(M2+M2*'NVP-Indonesia'!$B140)</f>
        <v>17842.791543114774</v>
      </c>
      <c r="O2" s="5">
        <f>(N2+N2*'NVP-Indonesia'!$B140)</f>
        <v>17566.254029728349</v>
      </c>
      <c r="P2" s="5">
        <f>(O2+O2*'NVP-Indonesia'!$B140)</f>
        <v>17294.002448625848</v>
      </c>
      <c r="Q2" s="5">
        <f>(P2+P2*'NVP-Indonesia'!$B140)</f>
        <v>17025.970374043482</v>
      </c>
      <c r="R2" s="5">
        <f>(Q2+Q2*'NVP-Indonesia'!$B140)</f>
        <v>16762.092409720921</v>
      </c>
      <c r="S2" s="5">
        <f>(R2+R2*'NVP-Indonesia'!$B140)</f>
        <v>16502.304172945471</v>
      </c>
      <c r="T2" s="5">
        <f>(S2+S2*'NVP-Indonesia'!$B140)</f>
        <v>16246.54227884355</v>
      </c>
      <c r="U2" s="5">
        <f>(T2+T2*'NVP-Indonesia'!$B140)</f>
        <v>15994.744324915624</v>
      </c>
      <c r="V2" s="5">
        <f>(U2+U2*'NVP-Indonesia'!$B140)</f>
        <v>15746.848875810823</v>
      </c>
      <c r="W2" s="5">
        <f>(V2+V2*'NVP-Indonesia'!$B140)</f>
        <v>15502.795448337536</v>
      </c>
      <c r="X2" s="5">
        <f>(W2+W2*'NVP-Indonesia'!$B140)</f>
        <v>15262.524496706317</v>
      </c>
      <c r="Y2" s="5">
        <f>(X2+X2*'NVP-Indonesia'!$B140)</f>
        <v>15025.977398001505</v>
      </c>
      <c r="Z2" s="5">
        <f>(Y2+Y2*'NVP-Indonesia'!$B140)</f>
        <v>14793.09643787801</v>
      </c>
      <c r="AA2" s="5">
        <f>(Z2+Z2*'NVP-Indonesia'!$B140)</f>
        <v>14563.824796479781</v>
      </c>
      <c r="AB2" s="5">
        <f>(AA2+AA2*'NVP-Indonesia'!$B140)</f>
        <v>14338.10653457652</v>
      </c>
      <c r="AC2" s="5">
        <f>(AB2+AB2*'NVP-Indonesia'!$B140)</f>
        <v>14115.886579915252</v>
      </c>
      <c r="AD2" s="5">
        <f>(AC2+AC2*'NVP-Indonesia'!$B140)</f>
        <v>13897.110713783426</v>
      </c>
      <c r="AE2" s="5">
        <f>(AD2+AD2*'NVP-Indonesia'!$B140)</f>
        <v>13681.725557780273</v>
      </c>
      <c r="AF2" s="5">
        <f>(AE2+AE2*'NVP-Indonesia'!$B140)</f>
        <v>13469.678560793189</v>
      </c>
      <c r="AG2" s="5">
        <f>(AF2+AF2*'NVP-Indonesia'!$B140)</f>
        <v>13260.917986175953</v>
      </c>
      <c r="AH2" s="5">
        <f>(AG2+AG2*'NVP-Indonesia'!$B140)</f>
        <v>13055.392899125687</v>
      </c>
      <c r="AI2" s="5">
        <f>(AH2+AH2*'NVP-Indonesia'!$B140)</f>
        <v>12853.053154255431</v>
      </c>
      <c r="AJ2" s="5">
        <f>(AI2+AI2*'NVP-Indonesia'!$B140)</f>
        <v>12653.84938335934</v>
      </c>
      <c r="AK2" s="5">
        <f>(AJ2+AJ2*'NVP-Indonesia'!$B140)</f>
        <v>12457.732983367499</v>
      </c>
      <c r="AL2" s="5">
        <f>(AK2+AK2*'NVP-Indonesia'!$B140)</f>
        <v>12264.65610448742</v>
      </c>
      <c r="AM2" s="5">
        <f>(AL2+AL2*'NVP-Indonesia'!$B140)</f>
        <v>12074.571638529325</v>
      </c>
      <c r="AN2" s="5">
        <f>(AM2+AM2*'NVP-Indonesia'!$B140)</f>
        <v>11887.433207412383</v>
      </c>
      <c r="AO2" s="5">
        <f>(AN2+AN2*'NVP-Indonesia'!$B140)</f>
        <v>11703.195151849068</v>
      </c>
      <c r="AP2" s="5">
        <f>(AO2+AO2*'NVP-Indonesia'!$B140)</f>
        <v>11521.812520204903</v>
      </c>
      <c r="AQ2" s="5">
        <f>(AP2+AP2*'NVP-Indonesia'!$B140)</f>
        <v>11343.24105753086</v>
      </c>
      <c r="AR2" s="5">
        <f>(AQ2+AQ2*'NVP-Indonesia'!$B140)</f>
        <v>11167.437194765742</v>
      </c>
      <c r="AS2" s="5">
        <f>(AR2+AR2*'NVP-Indonesia'!$B140)</f>
        <v>10994.358038105904</v>
      </c>
      <c r="AT2" s="5">
        <f>(AS2+AS2*'NVP-Indonesia'!$B140)</f>
        <v>10823.961358539747</v>
      </c>
      <c r="AU2" s="5">
        <f>(AT2+AT2*'NVP-Indonesia'!$B140)</f>
        <v>10656.205581544395</v>
      </c>
      <c r="AV2" s="5">
        <f>(AU2+AU2*'NVP-Indonesia'!$B140)</f>
        <v>10491.049776942062</v>
      </c>
      <c r="AW2" s="5">
        <f>(AV2+AV2*'NVP-Indonesia'!$B140)</f>
        <v>10328.453648913639</v>
      </c>
      <c r="AX2" s="5">
        <f>(AW2+AW2*'NVP-Indonesia'!$B140)</f>
        <v>10168.377526167045</v>
      </c>
      <c r="AY2" s="5">
        <f>(AX2+AX2*'NVP-Indonesia'!$B140)</f>
        <v>10010.782352257966</v>
      </c>
      <c r="AZ2" s="5">
        <f>(AY2+AY2*'NVP-Indonesia'!$B140)</f>
        <v>9855.6296760605928</v>
      </c>
    </row>
    <row r="3" spans="1:52" ht="14.25" customHeight="1" x14ac:dyDescent="0.35">
      <c r="A3" s="2" t="s">
        <v>20</v>
      </c>
      <c r="B3" s="5">
        <f>('NVP-Indonesia'!$B$12+'NVP-Indonesia'!$B$12*'NVP-Indonesia'!$B141)</f>
        <v>21914.894665324216</v>
      </c>
      <c r="C3" s="5">
        <f>(B3+B3*'NVP-Indonesia'!$B141)</f>
        <v>21969.927181713439</v>
      </c>
      <c r="D3" s="5">
        <f>(C3+C3*'NVP-Indonesia'!$B141)</f>
        <v>22025.097895338211</v>
      </c>
      <c r="E3" s="5">
        <f>(D3+D3*'NVP-Indonesia'!$B141)</f>
        <v>22080.407153238379</v>
      </c>
      <c r="F3" s="5">
        <f>(E3+E3*'NVP-Indonesia'!$B141)</f>
        <v>22135.855303325268</v>
      </c>
      <c r="G3" s="5">
        <f>(F3+F3*'NVP-Indonesia'!$B141)</f>
        <v>22191.442694383881</v>
      </c>
      <c r="H3" s="5">
        <f>(G3+G3*'NVP-Indonesia'!$B141)</f>
        <v>22247.169676075082</v>
      </c>
      <c r="I3" s="5">
        <f>(H3+H3*'NVP-Indonesia'!$B141)</f>
        <v>22303.036598937808</v>
      </c>
      <c r="J3" s="5">
        <f>(I3+I3*'NVP-Indonesia'!$B141)</f>
        <v>22359.043814391258</v>
      </c>
      <c r="K3" s="5">
        <f>(J3+J3*'NVP-Indonesia'!$B141)</f>
        <v>22415.191674737118</v>
      </c>
      <c r="L3" s="5">
        <f>(K3+K3*'NVP-Indonesia'!$B141)</f>
        <v>22471.480533161768</v>
      </c>
      <c r="M3" s="5">
        <f>(L3+L3*'NVP-Indonesia'!$B141)</f>
        <v>22527.910743738506</v>
      </c>
      <c r="N3" s="5">
        <f>(M3+M3*'NVP-Indonesia'!$B141)</f>
        <v>22584.482661429782</v>
      </c>
      <c r="O3" s="5">
        <f>(N3+N3*'NVP-Indonesia'!$B141)</f>
        <v>22641.19664208942</v>
      </c>
      <c r="P3" s="5">
        <f>(O3+O3*'NVP-Indonesia'!$B141)</f>
        <v>22698.053042464864</v>
      </c>
      <c r="Q3" s="5">
        <f>(P3+P3*'NVP-Indonesia'!$B141)</f>
        <v>22755.052220199421</v>
      </c>
      <c r="R3" s="5">
        <f>(Q3+Q3*'NVP-Indonesia'!$B141)</f>
        <v>22812.194533834503</v>
      </c>
      <c r="S3" s="5">
        <f>(R3+R3*'NVP-Indonesia'!$B141)</f>
        <v>22869.480342811894</v>
      </c>
      <c r="T3" s="5">
        <f>(S3+S3*'NVP-Indonesia'!$B141)</f>
        <v>22926.910007475999</v>
      </c>
      <c r="U3" s="5">
        <f>(T3+T3*'NVP-Indonesia'!$B141)</f>
        <v>22984.483889076128</v>
      </c>
      <c r="V3" s="5">
        <f>(U3+U3*'NVP-Indonesia'!$B141)</f>
        <v>23042.202349768744</v>
      </c>
      <c r="W3" s="5">
        <f>(V3+V3*'NVP-Indonesia'!$B141)</f>
        <v>23100.065752619768</v>
      </c>
      <c r="X3" s="5">
        <f>(W3+W3*'NVP-Indonesia'!$B141)</f>
        <v>23158.07446160684</v>
      </c>
      <c r="Y3" s="5">
        <f>(X3+X3*'NVP-Indonesia'!$B141)</f>
        <v>23216.228841621622</v>
      </c>
      <c r="Z3" s="5">
        <f>(Y3+Y3*'NVP-Indonesia'!$B141)</f>
        <v>23274.529258472088</v>
      </c>
      <c r="AA3" s="5">
        <f>(Z3+Z3*'NVP-Indonesia'!$B141)</f>
        <v>23332.976078884825</v>
      </c>
      <c r="AB3" s="5">
        <f>(AA3+AA3*'NVP-Indonesia'!$B141)</f>
        <v>23391.569670507346</v>
      </c>
      <c r="AC3" s="5">
        <f>(AB3+AB3*'NVP-Indonesia'!$B141)</f>
        <v>23450.310401910392</v>
      </c>
      <c r="AD3" s="5">
        <f>(AC3+AC3*'NVP-Indonesia'!$B141)</f>
        <v>23509.198642590254</v>
      </c>
      <c r="AE3" s="5">
        <f>(AD3+AD3*'NVP-Indonesia'!$B141)</f>
        <v>23568.234762971108</v>
      </c>
      <c r="AF3" s="5">
        <f>(AE3+AE3*'NVP-Indonesia'!$B141)</f>
        <v>23627.41913440733</v>
      </c>
      <c r="AG3" s="5">
        <f>(AF3+AF3*'NVP-Indonesia'!$B141)</f>
        <v>23686.752129185839</v>
      </c>
      <c r="AH3" s="5">
        <f>(AG3+AG3*'NVP-Indonesia'!$B141)</f>
        <v>23746.234120528443</v>
      </c>
      <c r="AI3" s="5">
        <f>(AH3+AH3*'NVP-Indonesia'!$B141)</f>
        <v>23805.865482594174</v>
      </c>
      <c r="AJ3" s="5">
        <f>(AI3+AI3*'NVP-Indonesia'!$B141)</f>
        <v>23865.646590481654</v>
      </c>
      <c r="AK3" s="5">
        <f>(AJ3+AJ3*'NVP-Indonesia'!$B141)</f>
        <v>23925.577820231447</v>
      </c>
      <c r="AL3" s="5">
        <f>(AK3+AK3*'NVP-Indonesia'!$B141)</f>
        <v>23985.659548828429</v>
      </c>
      <c r="AM3" s="5">
        <f>(AL3+AL3*'NVP-Indonesia'!$B141)</f>
        <v>24045.892154204161</v>
      </c>
      <c r="AN3" s="5">
        <f>(AM3+AM3*'NVP-Indonesia'!$B141)</f>
        <v>24106.276015239258</v>
      </c>
      <c r="AO3" s="5">
        <f>(AN3+AN3*'NVP-Indonesia'!$B141)</f>
        <v>24166.811511765776</v>
      </c>
      <c r="AP3" s="5">
        <f>(AO3+AO3*'NVP-Indonesia'!$B141)</f>
        <v>24227.499024569606</v>
      </c>
      <c r="AQ3" s="5">
        <f>(AP3+AP3*'NVP-Indonesia'!$B141)</f>
        <v>24288.338935392869</v>
      </c>
      <c r="AR3" s="5">
        <f>(AQ3+AQ3*'NVP-Indonesia'!$B141)</f>
        <v>24349.331626936302</v>
      </c>
      <c r="AS3" s="5">
        <f>(AR3+AR3*'NVP-Indonesia'!$B141)</f>
        <v>24410.47748286169</v>
      </c>
      <c r="AT3" s="5">
        <f>(AS3+AS3*'NVP-Indonesia'!$B141)</f>
        <v>24471.776887794258</v>
      </c>
      <c r="AU3" s="5">
        <f>(AT3+AT3*'NVP-Indonesia'!$B141)</f>
        <v>24533.230227325104</v>
      </c>
      <c r="AV3" s="5">
        <f>(AU3+AU3*'NVP-Indonesia'!$B141)</f>
        <v>24594.837888013619</v>
      </c>
      <c r="AW3" s="5">
        <f>(AV3+AV3*'NVP-Indonesia'!$B141)</f>
        <v>24656.600257389913</v>
      </c>
      <c r="AX3" s="5">
        <f>(AW3+AW3*'NVP-Indonesia'!$B141)</f>
        <v>24718.517723957266</v>
      </c>
      <c r="AY3" s="5">
        <f>(AX3+AX3*'NVP-Indonesia'!$B141)</f>
        <v>24780.590677194563</v>
      </c>
      <c r="AZ3" s="5">
        <f>(AY3+AY3*'NVP-Indonesia'!$B141)</f>
        <v>24842.819507558743</v>
      </c>
    </row>
    <row r="4" spans="1:52" ht="14.25" customHeight="1" x14ac:dyDescent="0.35">
      <c r="A4" s="2" t="s">
        <v>21</v>
      </c>
      <c r="B4" s="5">
        <f>('NVP-Indonesia'!$B$12+'NVP-Indonesia'!$B$12*'NVP-Indonesia'!$B142)</f>
        <v>21864.419078950221</v>
      </c>
      <c r="C4" s="5">
        <f>(B4+B4*'NVP-Indonesia'!$B142)</f>
        <v>21868.839051233412</v>
      </c>
      <c r="D4" s="5">
        <f>(C4+C4*'NVP-Indonesia'!$B142)</f>
        <v>21873.259917030166</v>
      </c>
      <c r="E4" s="5">
        <f>(D4+D4*'NVP-Indonesia'!$B142)</f>
        <v>21877.681676521108</v>
      </c>
      <c r="F4" s="5">
        <f>(E4+E4*'NVP-Indonesia'!$B142)</f>
        <v>21882.104329886904</v>
      </c>
      <c r="G4" s="5">
        <f>(F4+F4*'NVP-Indonesia'!$B142)</f>
        <v>21886.527877308254</v>
      </c>
      <c r="H4" s="5">
        <f>(G4+G4*'NVP-Indonesia'!$B142)</f>
        <v>21890.952318965894</v>
      </c>
      <c r="I4" s="5">
        <f>(H4+H4*'NVP-Indonesia'!$B142)</f>
        <v>21895.377655040596</v>
      </c>
      <c r="J4" s="5">
        <f>(I4+I4*'NVP-Indonesia'!$B142)</f>
        <v>21899.803885713172</v>
      </c>
      <c r="K4" s="5">
        <f>(J4+J4*'NVP-Indonesia'!$B142)</f>
        <v>21904.231011164466</v>
      </c>
      <c r="L4" s="5">
        <f>(K4+K4*'NVP-Indonesia'!$B142)</f>
        <v>21908.65903157536</v>
      </c>
      <c r="M4" s="5">
        <f>(L4+L4*'NVP-Indonesia'!$B142)</f>
        <v>21913.087947126776</v>
      </c>
      <c r="N4" s="5">
        <f>(M4+M4*'NVP-Indonesia'!$B142)</f>
        <v>21917.517757999671</v>
      </c>
      <c r="O4" s="5">
        <f>(N4+N4*'NVP-Indonesia'!$B142)</f>
        <v>21921.948464375033</v>
      </c>
      <c r="P4" s="5">
        <f>(O4+O4*'NVP-Indonesia'!$B142)</f>
        <v>21926.380066433896</v>
      </c>
      <c r="Q4" s="5">
        <f>(P4+P4*'NVP-Indonesia'!$B142)</f>
        <v>21930.812564357322</v>
      </c>
      <c r="R4" s="5">
        <f>(Q4+Q4*'NVP-Indonesia'!$B142)</f>
        <v>21935.245958326414</v>
      </c>
      <c r="S4" s="5">
        <f>(R4+R4*'NVP-Indonesia'!$B142)</f>
        <v>21939.680248522312</v>
      </c>
      <c r="T4" s="5">
        <f>(S4+S4*'NVP-Indonesia'!$B142)</f>
        <v>21944.11543512619</v>
      </c>
      <c r="U4" s="5">
        <f>(T4+T4*'NVP-Indonesia'!$B142)</f>
        <v>21948.551518319262</v>
      </c>
      <c r="V4" s="5">
        <f>(U4+U4*'NVP-Indonesia'!$B142)</f>
        <v>21952.988498282775</v>
      </c>
      <c r="W4" s="5">
        <f>(V4+V4*'NVP-Indonesia'!$B142)</f>
        <v>21957.426375198018</v>
      </c>
      <c r="X4" s="5">
        <f>(W4+W4*'NVP-Indonesia'!$B142)</f>
        <v>21961.865149246307</v>
      </c>
      <c r="Y4" s="5">
        <f>(X4+X4*'NVP-Indonesia'!$B142)</f>
        <v>21966.304820609006</v>
      </c>
      <c r="Z4" s="5">
        <f>(Y4+Y4*'NVP-Indonesia'!$B142)</f>
        <v>21970.745389467509</v>
      </c>
      <c r="AA4" s="5">
        <f>(Z4+Z4*'NVP-Indonesia'!$B142)</f>
        <v>21975.186856003245</v>
      </c>
      <c r="AB4" s="5">
        <f>(AA4+AA4*'NVP-Indonesia'!$B142)</f>
        <v>21979.629220397688</v>
      </c>
      <c r="AC4" s="5">
        <f>(AB4+AB4*'NVP-Indonesia'!$B142)</f>
        <v>21984.07248283234</v>
      </c>
      <c r="AD4" s="5">
        <f>(AC4+AC4*'NVP-Indonesia'!$B142)</f>
        <v>21988.516643488743</v>
      </c>
      <c r="AE4" s="5">
        <f>(AD4+AD4*'NVP-Indonesia'!$B142)</f>
        <v>21992.961702548477</v>
      </c>
      <c r="AF4" s="5">
        <f>(AE4+AE4*'NVP-Indonesia'!$B142)</f>
        <v>21997.407660193156</v>
      </c>
      <c r="AG4" s="5">
        <f>(AF4+AF4*'NVP-Indonesia'!$B142)</f>
        <v>22001.854516604435</v>
      </c>
      <c r="AH4" s="5">
        <f>(AG4+AG4*'NVP-Indonesia'!$B142)</f>
        <v>22006.302271963999</v>
      </c>
      <c r="AI4" s="5">
        <f>(AH4+AH4*'NVP-Indonesia'!$B142)</f>
        <v>22010.75092645358</v>
      </c>
      <c r="AJ4" s="5">
        <f>(AI4+AI4*'NVP-Indonesia'!$B142)</f>
        <v>22015.200480254935</v>
      </c>
      <c r="AK4" s="5">
        <f>(AJ4+AJ4*'NVP-Indonesia'!$B142)</f>
        <v>22019.650933549863</v>
      </c>
      <c r="AL4" s="5">
        <f>(AK4+AK4*'NVP-Indonesia'!$B142)</f>
        <v>22024.102286520203</v>
      </c>
      <c r="AM4" s="5">
        <f>(AL4+AL4*'NVP-Indonesia'!$B142)</f>
        <v>22028.554539347828</v>
      </c>
      <c r="AN4" s="5">
        <f>(AM4+AM4*'NVP-Indonesia'!$B142)</f>
        <v>22033.007692214644</v>
      </c>
      <c r="AO4" s="5">
        <f>(AN4+AN4*'NVP-Indonesia'!$B142)</f>
        <v>22037.461745302597</v>
      </c>
      <c r="AP4" s="5">
        <f>(AO4+AO4*'NVP-Indonesia'!$B142)</f>
        <v>22041.916698793673</v>
      </c>
      <c r="AQ4" s="5">
        <f>(AP4+AP4*'NVP-Indonesia'!$B142)</f>
        <v>22046.372552869892</v>
      </c>
      <c r="AR4" s="5">
        <f>(AQ4+AQ4*'NVP-Indonesia'!$B142)</f>
        <v>22050.829307713309</v>
      </c>
      <c r="AS4" s="5">
        <f>(AR4+AR4*'NVP-Indonesia'!$B142)</f>
        <v>22055.286963506016</v>
      </c>
      <c r="AT4" s="5">
        <f>(AS4+AS4*'NVP-Indonesia'!$B142)</f>
        <v>22059.745520430144</v>
      </c>
      <c r="AU4" s="5">
        <f>(AT4+AT4*'NVP-Indonesia'!$B142)</f>
        <v>22064.204978667862</v>
      </c>
      <c r="AV4" s="5">
        <f>(AU4+AU4*'NVP-Indonesia'!$B142)</f>
        <v>22068.665338401373</v>
      </c>
      <c r="AW4" s="5">
        <f>(AV4+AV4*'NVP-Indonesia'!$B142)</f>
        <v>22073.126599812917</v>
      </c>
      <c r="AX4" s="5">
        <f>(AW4+AW4*'NVP-Indonesia'!$B142)</f>
        <v>22077.588763084772</v>
      </c>
      <c r="AY4" s="5">
        <f>(AX4+AX4*'NVP-Indonesia'!$B142)</f>
        <v>22082.051828399253</v>
      </c>
      <c r="AZ4" s="5">
        <f>(AY4+AY4*'NVP-Indonesia'!$B142)</f>
        <v>22086.515795938711</v>
      </c>
    </row>
    <row r="5" spans="1:52" ht="14.25" customHeight="1" x14ac:dyDescent="0.35">
      <c r="A5" s="2" t="s">
        <v>22</v>
      </c>
      <c r="B5" s="5">
        <f>('NVP-Indonesia'!$B$12+'NVP-Indonesia'!$B$12*'NVP-Indonesia'!$B143)</f>
        <v>21850.327767644274</v>
      </c>
      <c r="C5" s="5">
        <f>(B5+B5*'NVP-Indonesia'!$B143)</f>
        <v>21840.65981488959</v>
      </c>
      <c r="D5" s="5">
        <f>(C5+C5*'NVP-Indonesia'!$B143)</f>
        <v>21830.996139842384</v>
      </c>
      <c r="E5" s="5">
        <f>(D5+D5*'NVP-Indonesia'!$B143)</f>
        <v>21821.336740609928</v>
      </c>
      <c r="F5" s="5">
        <f>(E5+E5*'NVP-Indonesia'!$B143)</f>
        <v>21811.681615300335</v>
      </c>
      <c r="G5" s="5">
        <f>(F5+F5*'NVP-Indonesia'!$B143)</f>
        <v>21802.030762022554</v>
      </c>
      <c r="H5" s="5">
        <f>(G5+G5*'NVP-Indonesia'!$B143)</f>
        <v>21792.384178886372</v>
      </c>
      <c r="I5" s="5">
        <f>(H5+H5*'NVP-Indonesia'!$B143)</f>
        <v>21782.741864002412</v>
      </c>
      <c r="J5" s="5">
        <f>(I5+I5*'NVP-Indonesia'!$B143)</f>
        <v>21773.103815482129</v>
      </c>
      <c r="K5" s="5">
        <f>(J5+J5*'NVP-Indonesia'!$B143)</f>
        <v>21763.470031437817</v>
      </c>
      <c r="L5" s="5">
        <f>(K5+K5*'NVP-Indonesia'!$B143)</f>
        <v>21753.840509982605</v>
      </c>
      <c r="M5" s="5">
        <f>(L5+L5*'NVP-Indonesia'!$B143)</f>
        <v>21744.215249230459</v>
      </c>
      <c r="N5" s="5">
        <f>(M5+M5*'NVP-Indonesia'!$B143)</f>
        <v>21734.594247296176</v>
      </c>
      <c r="O5" s="5">
        <f>(N5+N5*'NVP-Indonesia'!$B143)</f>
        <v>21724.977502295387</v>
      </c>
      <c r="P5" s="5">
        <f>(O5+O5*'NVP-Indonesia'!$B143)</f>
        <v>21715.365012344559</v>
      </c>
      <c r="Q5" s="5">
        <f>(P5+P5*'NVP-Indonesia'!$B143)</f>
        <v>21705.756775560993</v>
      </c>
      <c r="R5" s="5">
        <f>(Q5+Q5*'NVP-Indonesia'!$B143)</f>
        <v>21696.152790062821</v>
      </c>
      <c r="S5" s="5">
        <f>(R5+R5*'NVP-Indonesia'!$B143)</f>
        <v>21686.553053969004</v>
      </c>
      <c r="T5" s="5">
        <f>(S5+S5*'NVP-Indonesia'!$B143)</f>
        <v>21676.957565399345</v>
      </c>
      <c r="U5" s="5">
        <f>(T5+T5*'NVP-Indonesia'!$B143)</f>
        <v>21667.366322474471</v>
      </c>
      <c r="V5" s="5">
        <f>(U5+U5*'NVP-Indonesia'!$B143)</f>
        <v>21657.779323315845</v>
      </c>
      <c r="W5" s="5">
        <f>(V5+V5*'NVP-Indonesia'!$B143)</f>
        <v>21648.196566045757</v>
      </c>
      <c r="X5" s="5">
        <f>(W5+W5*'NVP-Indonesia'!$B143)</f>
        <v>21638.618048787332</v>
      </c>
      <c r="Y5" s="5">
        <f>(X5+X5*'NVP-Indonesia'!$B143)</f>
        <v>21629.04376966452</v>
      </c>
      <c r="Z5" s="5">
        <f>(Y5+Y5*'NVP-Indonesia'!$B143)</f>
        <v>21619.473726802109</v>
      </c>
      <c r="AA5" s="5">
        <f>(Z5+Z5*'NVP-Indonesia'!$B143)</f>
        <v>21609.907918325709</v>
      </c>
      <c r="AB5" s="5">
        <f>(AA5+AA5*'NVP-Indonesia'!$B143)</f>
        <v>21600.346342361765</v>
      </c>
      <c r="AC5" s="5">
        <f>(AB5+AB5*'NVP-Indonesia'!$B143)</f>
        <v>21590.788997037544</v>
      </c>
      <c r="AD5" s="5">
        <f>(AC5+AC5*'NVP-Indonesia'!$B143)</f>
        <v>21581.235880481148</v>
      </c>
      <c r="AE5" s="5">
        <f>(AD5+AD5*'NVP-Indonesia'!$B143)</f>
        <v>21571.686990821509</v>
      </c>
      <c r="AF5" s="5">
        <f>(AE5+AE5*'NVP-Indonesia'!$B143)</f>
        <v>21562.142326188379</v>
      </c>
      <c r="AG5" s="5">
        <f>(AF5+AF5*'NVP-Indonesia'!$B143)</f>
        <v>21552.601884712345</v>
      </c>
      <c r="AH5" s="5">
        <f>(AG5+AG5*'NVP-Indonesia'!$B143)</f>
        <v>21543.065664524816</v>
      </c>
      <c r="AI5" s="5">
        <f>(AH5+AH5*'NVP-Indonesia'!$B143)</f>
        <v>21533.533663758033</v>
      </c>
      <c r="AJ5" s="5">
        <f>(AI5+AI5*'NVP-Indonesia'!$B143)</f>
        <v>21524.005880545057</v>
      </c>
      <c r="AK5" s="5">
        <f>(AJ5+AJ5*'NVP-Indonesia'!$B143)</f>
        <v>21514.482313019776</v>
      </c>
      <c r="AL5" s="5">
        <f>(AK5+AK5*'NVP-Indonesia'!$B143)</f>
        <v>21504.962959316912</v>
      </c>
      <c r="AM5" s="5">
        <f>(AL5+AL5*'NVP-Indonesia'!$B143)</f>
        <v>21495.447817572</v>
      </c>
      <c r="AN5" s="5">
        <f>(AM5+AM5*'NVP-Indonesia'!$B143)</f>
        <v>21485.936885921408</v>
      </c>
      <c r="AO5" s="5">
        <f>(AN5+AN5*'NVP-Indonesia'!$B143)</f>
        <v>21476.430162502329</v>
      </c>
      <c r="AP5" s="5">
        <f>(AO5+AO5*'NVP-Indonesia'!$B143)</f>
        <v>21466.927645452775</v>
      </c>
      <c r="AQ5" s="5">
        <f>(AP5+AP5*'NVP-Indonesia'!$B143)</f>
        <v>21457.42933291159</v>
      </c>
      <c r="AR5" s="5">
        <f>(AQ5+AQ5*'NVP-Indonesia'!$B143)</f>
        <v>21447.93522301843</v>
      </c>
      <c r="AS5" s="5">
        <f>(AR5+AR5*'NVP-Indonesia'!$B143)</f>
        <v>21438.445313913784</v>
      </c>
      <c r="AT5" s="5">
        <f>(AS5+AS5*'NVP-Indonesia'!$B143)</f>
        <v>21428.95960373896</v>
      </c>
      <c r="AU5" s="5">
        <f>(AT5+AT5*'NVP-Indonesia'!$B143)</f>
        <v>21419.478090636087</v>
      </c>
      <c r="AV5" s="5">
        <f>(AU5+AU5*'NVP-Indonesia'!$B143)</f>
        <v>21410.000772748117</v>
      </c>
      <c r="AW5" s="5">
        <f>(AV5+AV5*'NVP-Indonesia'!$B143)</f>
        <v>21400.527648218827</v>
      </c>
      <c r="AX5" s="5">
        <f>(AW5+AW5*'NVP-Indonesia'!$B143)</f>
        <v>21391.058715192812</v>
      </c>
      <c r="AY5" s="5">
        <f>(AX5+AX5*'NVP-Indonesia'!$B143)</f>
        <v>21381.593971815488</v>
      </c>
      <c r="AZ5" s="5">
        <f>(AY5+AY5*'NVP-Indonesia'!$B143)</f>
        <v>21372.133416233093</v>
      </c>
    </row>
    <row r="6" spans="1:52" ht="14.25" customHeight="1" x14ac:dyDescent="0.35">
      <c r="A6" s="2" t="s">
        <v>23</v>
      </c>
      <c r="B6" s="5">
        <f>('NVP-Indonesia'!$B$12+'NVP-Indonesia'!$B$12*'NVP-Indonesia'!$B144)</f>
        <v>21890.968493073753</v>
      </c>
      <c r="C6" s="5">
        <f>(B6+B6*'NVP-Indonesia'!$B144)</f>
        <v>21921.980858405659</v>
      </c>
      <c r="D6" s="5">
        <f>(C6+C6*'NVP-Indonesia'!$B144)</f>
        <v>21953.037158148407</v>
      </c>
      <c r="E6" s="5">
        <f>(D6+D6*'NVP-Indonesia'!$B144)</f>
        <v>21984.137454542732</v>
      </c>
      <c r="F6" s="5">
        <f>(E6+E6*'NVP-Indonesia'!$B144)</f>
        <v>22015.281809917546</v>
      </c>
      <c r="G6" s="5">
        <f>(F6+F6*'NVP-Indonesia'!$B144)</f>
        <v>22046.470286690059</v>
      </c>
      <c r="H6" s="5">
        <f>(G6+G6*'NVP-Indonesia'!$B144)</f>
        <v>22077.702947365906</v>
      </c>
      <c r="I6" s="5">
        <f>(H6+H6*'NVP-Indonesia'!$B144)</f>
        <v>22108.979854539277</v>
      </c>
      <c r="J6" s="5">
        <f>(I6+I6*'NVP-Indonesia'!$B144)</f>
        <v>22140.301070893031</v>
      </c>
      <c r="K6" s="5">
        <f>(J6+J6*'NVP-Indonesia'!$B144)</f>
        <v>22171.666659198829</v>
      </c>
      <c r="L6" s="5">
        <f>(K6+K6*'NVP-Indonesia'!$B144)</f>
        <v>22203.07668231726</v>
      </c>
      <c r="M6" s="5">
        <f>(L6+L6*'NVP-Indonesia'!$B144)</f>
        <v>22234.53120319797</v>
      </c>
      <c r="N6" s="5">
        <f>(M6+M6*'NVP-Indonesia'!$B144)</f>
        <v>22266.03028487978</v>
      </c>
      <c r="O6" s="5">
        <f>(N6+N6*'NVP-Indonesia'!$B144)</f>
        <v>22297.573990490815</v>
      </c>
      <c r="P6" s="5">
        <f>(O6+O6*'NVP-Indonesia'!$B144)</f>
        <v>22329.162383248637</v>
      </c>
      <c r="Q6" s="5">
        <f>(P6+P6*'NVP-Indonesia'!$B144)</f>
        <v>22360.795526460362</v>
      </c>
      <c r="R6" s="5">
        <f>(Q6+Q6*'NVP-Indonesia'!$B144)</f>
        <v>22392.473483522794</v>
      </c>
      <c r="S6" s="5">
        <f>(R6+R6*'NVP-Indonesia'!$B144)</f>
        <v>22424.196317922549</v>
      </c>
      <c r="T6" s="5">
        <f>(S6+S6*'NVP-Indonesia'!$B144)</f>
        <v>22455.964093236184</v>
      </c>
      <c r="U6" s="5">
        <f>(T6+T6*'NVP-Indonesia'!$B144)</f>
        <v>22487.776873130319</v>
      </c>
      <c r="V6" s="5">
        <f>(U6+U6*'NVP-Indonesia'!$B144)</f>
        <v>22519.634721361774</v>
      </c>
      <c r="W6" s="5">
        <f>(V6+V6*'NVP-Indonesia'!$B144)</f>
        <v>22551.537701777688</v>
      </c>
      <c r="X6" s="5">
        <f>(W6+W6*'NVP-Indonesia'!$B144)</f>
        <v>22583.485878315656</v>
      </c>
      <c r="Y6" s="5">
        <f>(X6+X6*'NVP-Indonesia'!$B144)</f>
        <v>22615.479315003846</v>
      </c>
      <c r="Z6" s="5">
        <f>(Y6+Y6*'NVP-Indonesia'!$B144)</f>
        <v>22647.518075961132</v>
      </c>
      <c r="AA6" s="5">
        <f>(Z6+Z6*'NVP-Indonesia'!$B144)</f>
        <v>22679.60222539723</v>
      </c>
      <c r="AB6" s="5">
        <f>(AA6+AA6*'NVP-Indonesia'!$B144)</f>
        <v>22711.731827612814</v>
      </c>
      <c r="AC6" s="5">
        <f>(AB6+AB6*'NVP-Indonesia'!$B144)</f>
        <v>22743.906946999654</v>
      </c>
      <c r="AD6" s="5">
        <f>(AC6+AC6*'NVP-Indonesia'!$B144)</f>
        <v>22776.127648040743</v>
      </c>
      <c r="AE6" s="5">
        <f>(AD6+AD6*'NVP-Indonesia'!$B144)</f>
        <v>22808.393995310424</v>
      </c>
      <c r="AF6" s="5">
        <f>(AE6+AE6*'NVP-Indonesia'!$B144)</f>
        <v>22840.706053474521</v>
      </c>
      <c r="AG6" s="5">
        <f>(AF6+AF6*'NVP-Indonesia'!$B144)</f>
        <v>22873.063887290471</v>
      </c>
      <c r="AH6" s="5">
        <f>(AG6+AG6*'NVP-Indonesia'!$B144)</f>
        <v>22905.467561607446</v>
      </c>
      <c r="AI6" s="5">
        <f>(AH6+AH6*'NVP-Indonesia'!$B144)</f>
        <v>22937.917141366488</v>
      </c>
      <c r="AJ6" s="5">
        <f>(AI6+AI6*'NVP-Indonesia'!$B144)</f>
        <v>22970.412691600646</v>
      </c>
      <c r="AK6" s="5">
        <f>(AJ6+AJ6*'NVP-Indonesia'!$B144)</f>
        <v>23002.954277435096</v>
      </c>
      <c r="AL6" s="5">
        <f>(AK6+AK6*'NVP-Indonesia'!$B144)</f>
        <v>23035.541964087271</v>
      </c>
      <c r="AM6" s="5">
        <f>(AL6+AL6*'NVP-Indonesia'!$B144)</f>
        <v>23068.175816867006</v>
      </c>
      <c r="AN6" s="5">
        <f>(AM6+AM6*'NVP-Indonesia'!$B144)</f>
        <v>23100.855901176645</v>
      </c>
      <c r="AO6" s="5">
        <f>(AN6+AN6*'NVP-Indonesia'!$B144)</f>
        <v>23133.582282511197</v>
      </c>
      <c r="AP6" s="5">
        <f>(AO6+AO6*'NVP-Indonesia'!$B144)</f>
        <v>23166.355026458452</v>
      </c>
      <c r="AQ6" s="5">
        <f>(AP6+AP6*'NVP-Indonesia'!$B144)</f>
        <v>23199.174198699118</v>
      </c>
      <c r="AR6" s="5">
        <f>(AQ6+AQ6*'NVP-Indonesia'!$B144)</f>
        <v>23232.039865006947</v>
      </c>
      <c r="AS6" s="5">
        <f>(AR6+AR6*'NVP-Indonesia'!$B144)</f>
        <v>23264.952091248877</v>
      </c>
      <c r="AT6" s="5">
        <f>(AS6+AS6*'NVP-Indonesia'!$B144)</f>
        <v>23297.910943385155</v>
      </c>
      <c r="AU6" s="5">
        <f>(AT6+AT6*'NVP-Indonesia'!$B144)</f>
        <v>23330.916487469469</v>
      </c>
      <c r="AV6" s="5">
        <f>(AU6+AU6*'NVP-Indonesia'!$B144)</f>
        <v>23363.968789649087</v>
      </c>
      <c r="AW6" s="5">
        <f>(AV6+AV6*'NVP-Indonesia'!$B144)</f>
        <v>23397.06791616499</v>
      </c>
      <c r="AX6" s="5">
        <f>(AW6+AW6*'NVP-Indonesia'!$B144)</f>
        <v>23430.213933351992</v>
      </c>
      <c r="AY6" s="5">
        <f>(AX6+AX6*'NVP-Indonesia'!$B144)</f>
        <v>23463.406907638888</v>
      </c>
      <c r="AZ6" s="5">
        <f>(AY6+AY6*'NVP-Indonesia'!$B144)</f>
        <v>23496.64690554858</v>
      </c>
    </row>
    <row r="7" spans="1:52" ht="14.25" customHeight="1" x14ac:dyDescent="0.35">
      <c r="A7" s="2" t="s">
        <v>24</v>
      </c>
      <c r="B7" s="5">
        <f>('NVP-Indonesia'!$B$12+'NVP-Indonesia'!$B$12*'NVP-Indonesia'!$B145)</f>
        <v>21898.340549557</v>
      </c>
      <c r="C7" s="5">
        <f>(B7+B7*'NVP-Indonesia'!$B145)</f>
        <v>21936.748345122251</v>
      </c>
      <c r="D7" s="5">
        <f>(C7+C7*'NVP-Indonesia'!$B145)</f>
        <v>21975.223504639431</v>
      </c>
      <c r="E7" s="5">
        <f>(D7+D7*'NVP-Indonesia'!$B145)</f>
        <v>22013.766146259091</v>
      </c>
      <c r="F7" s="5">
        <f>(E7+E7*'NVP-Indonesia'!$B145)</f>
        <v>22052.376388339002</v>
      </c>
      <c r="G7" s="5">
        <f>(F7+F7*'NVP-Indonesia'!$B145)</f>
        <v>22091.054349444523</v>
      </c>
      <c r="H7" s="5">
        <f>(G7+G7*'NVP-Indonesia'!$B145)</f>
        <v>22129.800148348972</v>
      </c>
      <c r="I7" s="5">
        <f>(H7+H7*'NVP-Indonesia'!$B145)</f>
        <v>22168.61390403398</v>
      </c>
      <c r="J7" s="5">
        <f>(I7+I7*'NVP-Indonesia'!$B145)</f>
        <v>22207.495735689863</v>
      </c>
      <c r="K7" s="5">
        <f>(J7+J7*'NVP-Indonesia'!$B145)</f>
        <v>22246.445762715986</v>
      </c>
      <c r="L7" s="5">
        <f>(K7+K7*'NVP-Indonesia'!$B145)</f>
        <v>22285.464104721133</v>
      </c>
      <c r="M7" s="5">
        <f>(L7+L7*'NVP-Indonesia'!$B145)</f>
        <v>22324.550881523868</v>
      </c>
      <c r="N7" s="5">
        <f>(M7+M7*'NVP-Indonesia'!$B145)</f>
        <v>22363.706213152909</v>
      </c>
      <c r="O7" s="5">
        <f>(N7+N7*'NVP-Indonesia'!$B145)</f>
        <v>22402.930219847491</v>
      </c>
      <c r="P7" s="5">
        <f>(O7+O7*'NVP-Indonesia'!$B145)</f>
        <v>22442.22302205774</v>
      </c>
      <c r="Q7" s="5">
        <f>(P7+P7*'NVP-Indonesia'!$B145)</f>
        <v>22481.584740445043</v>
      </c>
      <c r="R7" s="5">
        <f>(Q7+Q7*'NVP-Indonesia'!$B145)</f>
        <v>22521.015495882413</v>
      </c>
      <c r="S7" s="5">
        <f>(R7+R7*'NVP-Indonesia'!$B145)</f>
        <v>22560.515409454867</v>
      </c>
      <c r="T7" s="5">
        <f>(S7+S7*'NVP-Indonesia'!$B145)</f>
        <v>22600.084602459792</v>
      </c>
      <c r="U7" s="5">
        <f>(T7+T7*'NVP-Indonesia'!$B145)</f>
        <v>22639.723196407322</v>
      </c>
      <c r="V7" s="5">
        <f>(U7+U7*'NVP-Indonesia'!$B145)</f>
        <v>22679.431313020708</v>
      </c>
      <c r="W7" s="5">
        <f>(V7+V7*'NVP-Indonesia'!$B145)</f>
        <v>22719.209074236693</v>
      </c>
      <c r="X7" s="5">
        <f>(W7+W7*'NVP-Indonesia'!$B145)</f>
        <v>22759.056602205888</v>
      </c>
      <c r="Y7" s="5">
        <f>(X7+X7*'NVP-Indonesia'!$B145)</f>
        <v>22798.974019293146</v>
      </c>
      <c r="Z7" s="5">
        <f>(Y7+Y7*'NVP-Indonesia'!$B145)</f>
        <v>22838.961448077935</v>
      </c>
      <c r="AA7" s="5">
        <f>(Z7+Z7*'NVP-Indonesia'!$B145)</f>
        <v>22879.019011354714</v>
      </c>
      <c r="AB7" s="5">
        <f>(AA7+AA7*'NVP-Indonesia'!$B145)</f>
        <v>22919.146832133323</v>
      </c>
      <c r="AC7" s="5">
        <f>(AB7+AB7*'NVP-Indonesia'!$B145)</f>
        <v>22959.34503363934</v>
      </c>
      <c r="AD7" s="5">
        <f>(AC7+AC7*'NVP-Indonesia'!$B145)</f>
        <v>22999.613739314478</v>
      </c>
      <c r="AE7" s="5">
        <f>(AD7+AD7*'NVP-Indonesia'!$B145)</f>
        <v>23039.953072816948</v>
      </c>
      <c r="AF7" s="5">
        <f>(AE7+AE7*'NVP-Indonesia'!$B145)</f>
        <v>23080.363158021857</v>
      </c>
      <c r="AG7" s="5">
        <f>(AF7+AF7*'NVP-Indonesia'!$B145)</f>
        <v>23120.844119021567</v>
      </c>
      <c r="AH7" s="5">
        <f>(AG7+AG7*'NVP-Indonesia'!$B145)</f>
        <v>23161.396080126098</v>
      </c>
      <c r="AI7" s="5">
        <f>(AH7+AH7*'NVP-Indonesia'!$B145)</f>
        <v>23202.01916586349</v>
      </c>
      <c r="AJ7" s="5">
        <f>(AI7+AI7*'NVP-Indonesia'!$B145)</f>
        <v>23242.7135009802</v>
      </c>
      <c r="AK7" s="5">
        <f>(AJ7+AJ7*'NVP-Indonesia'!$B145)</f>
        <v>23283.479210441477</v>
      </c>
      <c r="AL7" s="5">
        <f>(AK7+AK7*'NVP-Indonesia'!$B145)</f>
        <v>23324.316419431747</v>
      </c>
      <c r="AM7" s="5">
        <f>(AL7+AL7*'NVP-Indonesia'!$B145)</f>
        <v>23365.225253355002</v>
      </c>
      <c r="AN7" s="5">
        <f>(AM7+AM7*'NVP-Indonesia'!$B145)</f>
        <v>23406.205837835179</v>
      </c>
      <c r="AO7" s="5">
        <f>(AN7+AN7*'NVP-Indonesia'!$B145)</f>
        <v>23447.258298716555</v>
      </c>
      <c r="AP7" s="5">
        <f>(AO7+AO7*'NVP-Indonesia'!$B145)</f>
        <v>23488.382762064117</v>
      </c>
      <c r="AQ7" s="5">
        <f>(AP7+AP7*'NVP-Indonesia'!$B145)</f>
        <v>23529.579354163965</v>
      </c>
      <c r="AR7" s="5">
        <f>(AQ7+AQ7*'NVP-Indonesia'!$B145)</f>
        <v>23570.848201523695</v>
      </c>
      <c r="AS7" s="5">
        <f>(AR7+AR7*'NVP-Indonesia'!$B145)</f>
        <v>23612.189430872782</v>
      </c>
      <c r="AT7" s="5">
        <f>(AS7+AS7*'NVP-Indonesia'!$B145)</f>
        <v>23653.603169162976</v>
      </c>
      <c r="AU7" s="5">
        <f>(AT7+AT7*'NVP-Indonesia'!$B145)</f>
        <v>23695.089543568691</v>
      </c>
      <c r="AV7" s="5">
        <f>(AU7+AU7*'NVP-Indonesia'!$B145)</f>
        <v>23736.64868148739</v>
      </c>
      <c r="AW7" s="5">
        <f>(AV7+AV7*'NVP-Indonesia'!$B145)</f>
        <v>23778.280710539981</v>
      </c>
      <c r="AX7" s="5">
        <f>(AW7+AW7*'NVP-Indonesia'!$B145)</f>
        <v>23819.985758571213</v>
      </c>
      <c r="AY7" s="5">
        <f>(AX7+AX7*'NVP-Indonesia'!$B145)</f>
        <v>23861.763953650057</v>
      </c>
      <c r="AZ7" s="5">
        <f>(AY7+AY7*'NVP-Indonesia'!$B145)</f>
        <v>23903.615424070111</v>
      </c>
    </row>
    <row r="8" spans="1:52" ht="14.25" customHeight="1" x14ac:dyDescent="0.35">
      <c r="A8" s="2" t="s">
        <v>25</v>
      </c>
      <c r="B8" s="5">
        <f>('NVP-Indonesia'!$B$12+'NVP-Indonesia'!$B$12*'NVP-Indonesia'!$B146)</f>
        <v>21464.220566818542</v>
      </c>
      <c r="C8" s="5">
        <f>(B8+B8*'NVP-Indonesia'!$B146)</f>
        <v>21075.606795106865</v>
      </c>
      <c r="D8" s="5">
        <f>(C8+C8*'NVP-Indonesia'!$B146)</f>
        <v>20694.028949209212</v>
      </c>
      <c r="E8" s="5">
        <f>(D8+D8*'NVP-Indonesia'!$B146)</f>
        <v>20319.359642358402</v>
      </c>
      <c r="F8" s="5">
        <f>(E8+E8*'NVP-Indonesia'!$B146)</f>
        <v>19951.473794148762</v>
      </c>
      <c r="G8" s="5">
        <f>(F8+F8*'NVP-Indonesia'!$B146)</f>
        <v>19590.248588779006</v>
      </c>
      <c r="H8" s="5">
        <f>(G8+G8*'NVP-Indonesia'!$B146)</f>
        <v>19235.563434051157</v>
      </c>
      <c r="I8" s="5">
        <f>(H8+H8*'NVP-Indonesia'!$B146)</f>
        <v>18887.299921111782</v>
      </c>
      <c r="J8" s="5">
        <f>(I8+I8*'NVP-Indonesia'!$B146)</f>
        <v>18545.34178492213</v>
      </c>
      <c r="K8" s="5">
        <f>(J8+J8*'NVP-Indonesia'!$B146)</f>
        <v>18209.574865443956</v>
      </c>
      <c r="L8" s="5">
        <f>(K8+K8*'NVP-Indonesia'!$B146)</f>
        <v>17879.887069528097</v>
      </c>
      <c r="M8" s="5">
        <f>(L8+L8*'NVP-Indonesia'!$B146)</f>
        <v>17556.168333493042</v>
      </c>
      <c r="N8" s="5">
        <f>(M8+M8*'NVP-Indonesia'!$B146)</f>
        <v>17238.310586381052</v>
      </c>
      <c r="O8" s="5">
        <f>(N8+N8*'NVP-Indonesia'!$B146)</f>
        <v>16926.207713879507</v>
      </c>
      <c r="P8" s="5">
        <f>(O8+O8*'NVP-Indonesia'!$B146)</f>
        <v>16619.755522895481</v>
      </c>
      <c r="Q8" s="5">
        <f>(P8+P8*'NVP-Indonesia'!$B146)</f>
        <v>16318.851706771695</v>
      </c>
      <c r="R8" s="5">
        <f>(Q8+Q8*'NVP-Indonesia'!$B146)</f>
        <v>16023.395811132246</v>
      </c>
      <c r="S8" s="5">
        <f>(R8+R8*'NVP-Indonesia'!$B146)</f>
        <v>15733.2892003467</v>
      </c>
      <c r="T8" s="5">
        <f>(S8+S8*'NVP-Indonesia'!$B146)</f>
        <v>15448.43502460136</v>
      </c>
      <c r="U8" s="5">
        <f>(T8+T8*'NVP-Indonesia'!$B146)</f>
        <v>15168.738187566718</v>
      </c>
      <c r="V8" s="5">
        <f>(U8+U8*'NVP-Indonesia'!$B146)</f>
        <v>14894.105314650293</v>
      </c>
      <c r="W8" s="5">
        <f>(V8+V8*'NVP-Indonesia'!$B146)</f>
        <v>14624.444721824253</v>
      </c>
      <c r="X8" s="5">
        <f>(W8+W8*'NVP-Indonesia'!$B146)</f>
        <v>14359.66638501743</v>
      </c>
      <c r="Y8" s="5">
        <f>(X8+X8*'NVP-Indonesia'!$B146)</f>
        <v>14099.681910061483</v>
      </c>
      <c r="Z8" s="5">
        <f>(Y8+Y8*'NVP-Indonesia'!$B146)</f>
        <v>13844.4045031812</v>
      </c>
      <c r="AA8" s="5">
        <f>(Z8+Z8*'NVP-Indonesia'!$B146)</f>
        <v>13593.748942019083</v>
      </c>
      <c r="AB8" s="5">
        <f>(AA8+AA8*'NVP-Indonesia'!$B146)</f>
        <v>13347.63154718453</v>
      </c>
      <c r="AC8" s="5">
        <f>(AB8+AB8*'NVP-Indonesia'!$B146)</f>
        <v>13105.970154318125</v>
      </c>
      <c r="AD8" s="5">
        <f>(AC8+AC8*'NVP-Indonesia'!$B146)</f>
        <v>12868.684086661715</v>
      </c>
      <c r="AE8" s="5">
        <f>(AD8+AD8*'NVP-Indonesia'!$B146)</f>
        <v>12635.694128125109</v>
      </c>
      <c r="AF8" s="5">
        <f>(AE8+AE8*'NVP-Indonesia'!$B146)</f>
        <v>12406.922496840405</v>
      </c>
      <c r="AG8" s="5">
        <f>(AF8+AF8*'NVP-Indonesia'!$B146)</f>
        <v>12182.292819195129</v>
      </c>
      <c r="AH8" s="5">
        <f>(AG8+AG8*'NVP-Indonesia'!$B146)</f>
        <v>11961.730104335496</v>
      </c>
      <c r="AI8" s="5">
        <f>(AH8+AH8*'NVP-Indonesia'!$B146)</f>
        <v>11745.160719131312</v>
      </c>
      <c r="AJ8" s="5">
        <f>(AI8+AI8*'NVP-Indonesia'!$B146)</f>
        <v>11532.512363594125</v>
      </c>
      <c r="AK8" s="5">
        <f>(AJ8+AJ8*'NVP-Indonesia'!$B146)</f>
        <v>11323.714046740446</v>
      </c>
      <c r="AL8" s="5">
        <f>(AK8+AK8*'NVP-Indonesia'!$B146)</f>
        <v>11118.696062891964</v>
      </c>
      <c r="AM8" s="5">
        <f>(AL8+AL8*'NVP-Indonesia'!$B146)</f>
        <v>10917.389968404852</v>
      </c>
      <c r="AN8" s="5">
        <f>(AM8+AM8*'NVP-Indonesia'!$B146)</f>
        <v>10719.728558820396</v>
      </c>
      <c r="AO8" s="5">
        <f>(AN8+AN8*'NVP-Indonesia'!$B146)</f>
        <v>10525.645846429315</v>
      </c>
      <c r="AP8" s="5">
        <f>(AO8+AO8*'NVP-Indonesia'!$B146)</f>
        <v>10335.077038242282</v>
      </c>
      <c r="AQ8" s="5">
        <f>(AP8+AP8*'NVP-Indonesia'!$B146)</f>
        <v>10147.958514359289</v>
      </c>
      <c r="AR8" s="5">
        <f>(AQ8+AQ8*'NVP-Indonesia'!$B146)</f>
        <v>9964.2278067306488</v>
      </c>
      <c r="AS8" s="5">
        <f>(AR8+AR8*'NVP-Indonesia'!$B146)</f>
        <v>9783.8235783025266</v>
      </c>
      <c r="AT8" s="5">
        <f>(AS8+AS8*'NVP-Indonesia'!$B146)</f>
        <v>9606.6856025400411</v>
      </c>
      <c r="AU8" s="5">
        <f>(AT8+AT8*'NVP-Indonesia'!$B146)</f>
        <v>9432.754743321113</v>
      </c>
      <c r="AV8" s="5">
        <f>(AU8+AU8*'NVP-Indonesia'!$B146)</f>
        <v>9261.972935194337</v>
      </c>
      <c r="AW8" s="5">
        <f>(AV8+AV8*'NVP-Indonesia'!$B146)</f>
        <v>9094.2831639942815</v>
      </c>
      <c r="AX8" s="5">
        <f>(AW8+AW8*'NVP-Indonesia'!$B146)</f>
        <v>8929.6294478077616</v>
      </c>
      <c r="AY8" s="5">
        <f>(AX8+AX8*'NVP-Indonesia'!$B146)</f>
        <v>8767.9568182847142</v>
      </c>
      <c r="AZ8" s="5">
        <f>(AY8+AY8*'NVP-Indonesia'!$B146)</f>
        <v>8609.2113022874491</v>
      </c>
    </row>
    <row r="9" spans="1:52" ht="14.25" customHeight="1" x14ac:dyDescent="0.35"/>
    <row r="10" spans="1:52" ht="14.25" customHeight="1" x14ac:dyDescent="0.35"/>
    <row r="11" spans="1:52" ht="14.25" customHeight="1" x14ac:dyDescent="0.35"/>
    <row r="12" spans="1:52" ht="14.25" customHeight="1" x14ac:dyDescent="0.35"/>
    <row r="13" spans="1:52" ht="14.25" customHeight="1" x14ac:dyDescent="0.35"/>
    <row r="14" spans="1:52" ht="14.25" customHeight="1" x14ac:dyDescent="0.35"/>
    <row r="15" spans="1:52" ht="14.25" customHeight="1" x14ac:dyDescent="0.35"/>
    <row r="16" spans="1:52"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1F497D"/>
  </sheetPr>
  <dimension ref="A1:AZ1000"/>
  <sheetViews>
    <sheetView topLeftCell="Y1" workbookViewId="0">
      <selection activeCell="A2" sqref="A2:AZ8"/>
    </sheetView>
  </sheetViews>
  <sheetFormatPr defaultColWidth="14.453125" defaultRowHeight="15" customHeight="1" x14ac:dyDescent="0.35"/>
  <cols>
    <col min="1" max="1" width="24.453125" customWidth="1"/>
    <col min="2" max="36" width="9" customWidth="1"/>
  </cols>
  <sheetData>
    <row r="1" spans="1:52" ht="14.25" customHeight="1" x14ac:dyDescent="0.35">
      <c r="A1" s="1" t="s">
        <v>18</v>
      </c>
      <c r="B1" s="9">
        <v>2020</v>
      </c>
      <c r="C1" s="9">
        <v>2021</v>
      </c>
      <c r="D1" s="9">
        <v>2022</v>
      </c>
      <c r="E1" s="9">
        <v>2023</v>
      </c>
      <c r="F1" s="9">
        <v>2024</v>
      </c>
      <c r="G1" s="9">
        <v>2025</v>
      </c>
      <c r="H1" s="9">
        <v>2026</v>
      </c>
      <c r="I1" s="9">
        <v>2027</v>
      </c>
      <c r="J1" s="9">
        <v>2028</v>
      </c>
      <c r="K1" s="9">
        <v>2029</v>
      </c>
      <c r="L1" s="9">
        <v>2030</v>
      </c>
      <c r="M1" s="9">
        <v>2031</v>
      </c>
      <c r="N1" s="9">
        <v>2032</v>
      </c>
      <c r="O1" s="9">
        <v>2033</v>
      </c>
      <c r="P1" s="9">
        <v>2034</v>
      </c>
      <c r="Q1" s="9">
        <v>2035</v>
      </c>
      <c r="R1" s="9">
        <v>2036</v>
      </c>
      <c r="S1" s="9">
        <v>2037</v>
      </c>
      <c r="T1" s="9">
        <v>2038</v>
      </c>
      <c r="U1" s="9">
        <v>2039</v>
      </c>
      <c r="V1" s="9">
        <v>2040</v>
      </c>
      <c r="W1" s="9">
        <v>2041</v>
      </c>
      <c r="X1" s="9">
        <v>2042</v>
      </c>
      <c r="Y1" s="9">
        <v>2043</v>
      </c>
      <c r="Z1" s="9">
        <v>2044</v>
      </c>
      <c r="AA1" s="9">
        <v>2045</v>
      </c>
      <c r="AB1" s="9">
        <v>2046</v>
      </c>
      <c r="AC1" s="9">
        <v>2047</v>
      </c>
      <c r="AD1" s="9">
        <v>2048</v>
      </c>
      <c r="AE1" s="9">
        <v>2049</v>
      </c>
      <c r="AF1" s="9">
        <v>2050</v>
      </c>
      <c r="AG1" s="9">
        <v>2051</v>
      </c>
      <c r="AH1" s="9">
        <v>2052</v>
      </c>
      <c r="AI1" s="9">
        <v>2053</v>
      </c>
      <c r="AJ1" s="9">
        <v>2054</v>
      </c>
      <c r="AK1" s="9">
        <v>2055</v>
      </c>
      <c r="AL1" s="9">
        <v>2056</v>
      </c>
      <c r="AM1" s="9">
        <v>2057</v>
      </c>
      <c r="AN1" s="9">
        <v>2058</v>
      </c>
      <c r="AO1" s="9">
        <v>2059</v>
      </c>
      <c r="AP1" s="9">
        <v>2060</v>
      </c>
      <c r="AQ1" s="9">
        <v>2061</v>
      </c>
      <c r="AR1" s="9">
        <v>2062</v>
      </c>
      <c r="AS1" s="9">
        <v>2063</v>
      </c>
      <c r="AT1" s="9">
        <v>2064</v>
      </c>
      <c r="AU1" s="9">
        <v>2065</v>
      </c>
      <c r="AV1" s="9">
        <v>2066</v>
      </c>
      <c r="AW1" s="9">
        <v>2067</v>
      </c>
      <c r="AX1" s="9">
        <v>2068</v>
      </c>
      <c r="AY1" s="9">
        <v>2069</v>
      </c>
      <c r="AZ1" s="9">
        <v>2070</v>
      </c>
    </row>
    <row r="2" spans="1:52" ht="14.25" customHeight="1" x14ac:dyDescent="0.35">
      <c r="A2" s="2" t="s">
        <v>19</v>
      </c>
      <c r="B2" s="6">
        <f>'NVP-Indonesia'!B27*'NVP-Indonesia'!$B$176</f>
        <v>58095.33736921379</v>
      </c>
      <c r="C2" s="6">
        <f>'NVP-Indonesia'!C27*'NVP-Indonesia'!$B$176</f>
        <v>58095.33736921379</v>
      </c>
      <c r="D2" s="6">
        <f>'NVP-Indonesia'!D27*'NVP-Indonesia'!$B$176</f>
        <v>58095.33736921379</v>
      </c>
      <c r="E2" s="6">
        <f>'NVP-Indonesia'!E27*'NVP-Indonesia'!$B$176</f>
        <v>58095.33736921379</v>
      </c>
      <c r="F2" s="6">
        <f>'NVP-Indonesia'!F27*'NVP-Indonesia'!$B$176</f>
        <v>58095.33736921379</v>
      </c>
      <c r="G2" s="6">
        <f>'NVP-Indonesia'!G27*'NVP-Indonesia'!$B$176</f>
        <v>58095.33736921379</v>
      </c>
      <c r="H2" s="6">
        <f>'NVP-Indonesia'!H27*'NVP-Indonesia'!$B$176</f>
        <v>58095.33736921379</v>
      </c>
      <c r="I2" s="6">
        <f>'NVP-Indonesia'!I27*'NVP-Indonesia'!$B$176</f>
        <v>58095.33736921379</v>
      </c>
      <c r="J2" s="6">
        <f>'NVP-Indonesia'!J27*'NVP-Indonesia'!$B$176</f>
        <v>58095.33736921379</v>
      </c>
      <c r="K2" s="6">
        <f>'NVP-Indonesia'!K27*'NVP-Indonesia'!$B$176</f>
        <v>58095.33736921379</v>
      </c>
      <c r="L2" s="6">
        <f>'NVP-Indonesia'!L27*'NVP-Indonesia'!$B$176</f>
        <v>58095.33736921379</v>
      </c>
      <c r="M2" s="6">
        <f>'NVP-Indonesia'!M27*'NVP-Indonesia'!$B$176</f>
        <v>58095.33736921379</v>
      </c>
      <c r="N2" s="6">
        <f>'NVP-Indonesia'!N27*'NVP-Indonesia'!$B$176</f>
        <v>58095.33736921379</v>
      </c>
      <c r="O2" s="6">
        <f>'NVP-Indonesia'!O27*'NVP-Indonesia'!$B$176</f>
        <v>58095.33736921379</v>
      </c>
      <c r="P2" s="6">
        <f>'NVP-Indonesia'!P27*'NVP-Indonesia'!$B$176</f>
        <v>58095.33736921379</v>
      </c>
      <c r="Q2" s="6">
        <f>'NVP-Indonesia'!Q27*'NVP-Indonesia'!$B$176</f>
        <v>58095.33736921379</v>
      </c>
      <c r="R2" s="6">
        <f>'NVP-Indonesia'!R27*'NVP-Indonesia'!$B$176</f>
        <v>58095.33736921379</v>
      </c>
      <c r="S2" s="6">
        <f>'NVP-Indonesia'!S27*'NVP-Indonesia'!$B$176</f>
        <v>58095.33736921379</v>
      </c>
      <c r="T2" s="6">
        <f>'NVP-Indonesia'!T27*'NVP-Indonesia'!$B$176</f>
        <v>58095.33736921379</v>
      </c>
      <c r="U2" s="6">
        <f>'NVP-Indonesia'!U27*'NVP-Indonesia'!$B$176</f>
        <v>58095.33736921379</v>
      </c>
      <c r="V2" s="6">
        <f>'NVP-Indonesia'!V27*'NVP-Indonesia'!$B$176</f>
        <v>58095.33736921379</v>
      </c>
      <c r="W2" s="6">
        <f>'NVP-Indonesia'!W27*'NVP-Indonesia'!$B$176</f>
        <v>58095.33736921379</v>
      </c>
      <c r="X2" s="6">
        <f>'NVP-Indonesia'!X27*'NVP-Indonesia'!$B$176</f>
        <v>58095.33736921379</v>
      </c>
      <c r="Y2" s="6">
        <f>'NVP-Indonesia'!Y27*'NVP-Indonesia'!$B$176</f>
        <v>58095.33736921379</v>
      </c>
      <c r="Z2" s="6">
        <f>'NVP-Indonesia'!Z27*'NVP-Indonesia'!$B$176</f>
        <v>58095.33736921379</v>
      </c>
      <c r="AA2" s="6">
        <f>'NVP-Indonesia'!AA27*'NVP-Indonesia'!$B$176</f>
        <v>58095.33736921379</v>
      </c>
      <c r="AB2" s="6">
        <f>'NVP-Indonesia'!AB27*'NVP-Indonesia'!$B$176</f>
        <v>58095.33736921379</v>
      </c>
      <c r="AC2" s="6">
        <f>'NVP-Indonesia'!AC27*'NVP-Indonesia'!$B$176</f>
        <v>58095.33736921379</v>
      </c>
      <c r="AD2" s="6">
        <f>'NVP-Indonesia'!AD27*'NVP-Indonesia'!$B$176</f>
        <v>58095.33736921379</v>
      </c>
      <c r="AE2" s="6">
        <f>'NVP-Indonesia'!AE27*'NVP-Indonesia'!$B$176</f>
        <v>58095.33736921379</v>
      </c>
      <c r="AF2" s="6">
        <f>'NVP-Indonesia'!AF27*'NVP-Indonesia'!$B$176</f>
        <v>58095.33736921379</v>
      </c>
      <c r="AG2" s="6">
        <f>'NVP-Indonesia'!AG27*'NVP-Indonesia'!$B$176</f>
        <v>58095.337369213798</v>
      </c>
      <c r="AH2" s="6">
        <f>'NVP-Indonesia'!AH27*'NVP-Indonesia'!$B$176</f>
        <v>58095.337369213798</v>
      </c>
      <c r="AI2" s="6">
        <f>'NVP-Indonesia'!AI27*'NVP-Indonesia'!$B$176</f>
        <v>58095.337369213798</v>
      </c>
      <c r="AJ2" s="6">
        <f>'NVP-Indonesia'!AJ27*'NVP-Indonesia'!$B$176</f>
        <v>58095.337369213798</v>
      </c>
      <c r="AK2" s="6">
        <f>'NVP-Indonesia'!AK27*'NVP-Indonesia'!$B$176</f>
        <v>58095.337369213798</v>
      </c>
      <c r="AL2" s="6">
        <f>'NVP-Indonesia'!AL27*'NVP-Indonesia'!$B$176</f>
        <v>58095.337369213798</v>
      </c>
      <c r="AM2" s="6">
        <f>'NVP-Indonesia'!AM27*'NVP-Indonesia'!$B$176</f>
        <v>58095.337369213798</v>
      </c>
      <c r="AN2" s="6">
        <f>'NVP-Indonesia'!AN27*'NVP-Indonesia'!$B$176</f>
        <v>58095.337369213798</v>
      </c>
      <c r="AO2" s="6">
        <f>'NVP-Indonesia'!AO27*'NVP-Indonesia'!$B$176</f>
        <v>58095.337369213798</v>
      </c>
      <c r="AP2" s="6">
        <f>'NVP-Indonesia'!AP27*'NVP-Indonesia'!$B$176</f>
        <v>58095.337369213798</v>
      </c>
      <c r="AQ2" s="6">
        <f>'NVP-Indonesia'!AQ27*'NVP-Indonesia'!$B$176</f>
        <v>58095.337369213798</v>
      </c>
      <c r="AR2" s="6">
        <f>'NVP-Indonesia'!AR27*'NVP-Indonesia'!$B$176</f>
        <v>58095.337369213798</v>
      </c>
      <c r="AS2" s="6">
        <f>'NVP-Indonesia'!AS27*'NVP-Indonesia'!$B$176</f>
        <v>58095.337369213798</v>
      </c>
      <c r="AT2" s="6">
        <f>'NVP-Indonesia'!AT27*'NVP-Indonesia'!$B$176</f>
        <v>58095.337369213798</v>
      </c>
      <c r="AU2" s="6">
        <f>'NVP-Indonesia'!AU27*'NVP-Indonesia'!$B$176</f>
        <v>58095.337369213798</v>
      </c>
      <c r="AV2" s="6">
        <f>'NVP-Indonesia'!AV27*'NVP-Indonesia'!$B$176</f>
        <v>58095.337369213798</v>
      </c>
      <c r="AW2" s="6">
        <f>'NVP-Indonesia'!AW27*'NVP-Indonesia'!$B$176</f>
        <v>58095.337369213798</v>
      </c>
      <c r="AX2" s="6">
        <f>'NVP-Indonesia'!AX27*'NVP-Indonesia'!$B$176</f>
        <v>58095.337369213798</v>
      </c>
      <c r="AY2" s="6">
        <f>'NVP-Indonesia'!AY27*'NVP-Indonesia'!$B$176</f>
        <v>58095.337369213798</v>
      </c>
      <c r="AZ2" s="6">
        <f>'NVP-Indonesia'!AZ27*'NVP-Indonesia'!$B$176</f>
        <v>58095.337369213798</v>
      </c>
    </row>
    <row r="3" spans="1:52" ht="14.25" customHeight="1" x14ac:dyDescent="0.35">
      <c r="A3" s="2" t="s">
        <v>20</v>
      </c>
      <c r="B3" s="6">
        <f>'NVP-Indonesia'!B28*'NVP-Indonesia'!$B$176</f>
        <v>40546.808684567877</v>
      </c>
      <c r="C3" s="6">
        <f>'NVP-Indonesia'!C28*'NVP-Indonesia'!$B$176</f>
        <v>40255.11598350956</v>
      </c>
      <c r="D3" s="6">
        <f>'NVP-Indonesia'!D28*'NVP-Indonesia'!$B$176</f>
        <v>40428.950332300155</v>
      </c>
      <c r="E3" s="6">
        <f>'NVP-Indonesia'!E28*'NVP-Indonesia'!$B$176</f>
        <v>40700.244753819177</v>
      </c>
      <c r="F3" s="6">
        <f>'NVP-Indonesia'!F28*'NVP-Indonesia'!$B$176</f>
        <v>40909.339109860506</v>
      </c>
      <c r="G3" s="6">
        <f>'NVP-Indonesia'!G28*'NVP-Indonesia'!$B$176</f>
        <v>41114.27361990451</v>
      </c>
      <c r="H3" s="6">
        <f>'NVP-Indonesia'!H28*'NVP-Indonesia'!$B$176</f>
        <v>41303.342180478248</v>
      </c>
      <c r="I3" s="6">
        <f>'NVP-Indonesia'!I28*'NVP-Indonesia'!$B$176</f>
        <v>41474.586076694548</v>
      </c>
      <c r="J3" s="6">
        <f>'NVP-Indonesia'!J28*'NVP-Indonesia'!$B$176</f>
        <v>41657.088710510921</v>
      </c>
      <c r="K3" s="6">
        <f>'NVP-Indonesia'!K28*'NVP-Indonesia'!$B$176</f>
        <v>41830.866604253002</v>
      </c>
      <c r="L3" s="6">
        <f>'NVP-Indonesia'!L28*'NVP-Indonesia'!$B$176</f>
        <v>41991.841877767816</v>
      </c>
      <c r="M3" s="6">
        <f>'NVP-Indonesia'!M28*'NVP-Indonesia'!$B$176</f>
        <v>42165.581465299583</v>
      </c>
      <c r="N3" s="6">
        <f>'NVP-Indonesia'!N28*'NVP-Indonesia'!$B$176</f>
        <v>42299.635133991462</v>
      </c>
      <c r="O3" s="6">
        <f>'NVP-Indonesia'!O28*'NVP-Indonesia'!$B$176</f>
        <v>42477.921978865277</v>
      </c>
      <c r="P3" s="6">
        <f>'NVP-Indonesia'!P28*'NVP-Indonesia'!$B$176</f>
        <v>42581.825649411614</v>
      </c>
      <c r="Q3" s="6">
        <f>'NVP-Indonesia'!Q28*'NVP-Indonesia'!$B$176</f>
        <v>42666.122759686659</v>
      </c>
      <c r="R3" s="6">
        <f>'NVP-Indonesia'!R28*'NVP-Indonesia'!$B$176</f>
        <v>42740.429128879907</v>
      </c>
      <c r="S3" s="6">
        <f>'NVP-Indonesia'!S28*'NVP-Indonesia'!$B$176</f>
        <v>42813.469149986464</v>
      </c>
      <c r="T3" s="6">
        <f>'NVP-Indonesia'!T28*'NVP-Indonesia'!$B$176</f>
        <v>42881.370874052584</v>
      </c>
      <c r="U3" s="6">
        <f>'NVP-Indonesia'!U28*'NVP-Indonesia'!$B$176</f>
        <v>42951.08946191625</v>
      </c>
      <c r="V3" s="6">
        <f>'NVP-Indonesia'!V28*'NVP-Indonesia'!$B$176</f>
        <v>43000.088634255131</v>
      </c>
      <c r="W3" s="6">
        <f>'NVP-Indonesia'!W28*'NVP-Indonesia'!$B$176</f>
        <v>43055.688288361831</v>
      </c>
      <c r="X3" s="6">
        <f>'NVP-Indonesia'!X28*'NVP-Indonesia'!$B$176</f>
        <v>43102.226584197437</v>
      </c>
      <c r="Y3" s="6">
        <f>'NVP-Indonesia'!Y28*'NVP-Indonesia'!$B$176</f>
        <v>43141.032505026757</v>
      </c>
      <c r="Z3" s="6">
        <f>'NVP-Indonesia'!Z28*'NVP-Indonesia'!$B$176</f>
        <v>43180.741532525579</v>
      </c>
      <c r="AA3" s="6">
        <f>'NVP-Indonesia'!AA28*'NVP-Indonesia'!$B$176</f>
        <v>43218.26991794003</v>
      </c>
      <c r="AB3" s="6">
        <f>'NVP-Indonesia'!AB28*'NVP-Indonesia'!$B$176</f>
        <v>43252.787992640137</v>
      </c>
      <c r="AC3" s="6">
        <f>'NVP-Indonesia'!AC28*'NVP-Indonesia'!$B$176</f>
        <v>43289.017567627779</v>
      </c>
      <c r="AD3" s="6">
        <f>'NVP-Indonesia'!AD28*'NVP-Indonesia'!$B$176</f>
        <v>43325.501144795897</v>
      </c>
      <c r="AE3" s="6">
        <f>'NVP-Indonesia'!AE28*'NVP-Indonesia'!$B$176</f>
        <v>43357.641821143501</v>
      </c>
      <c r="AF3" s="6">
        <f>'NVP-Indonesia'!AF28*'NVP-Indonesia'!$B$176</f>
        <v>43390.056504894361</v>
      </c>
      <c r="AG3" s="6">
        <f>'NVP-Indonesia'!AG28*'NVP-Indonesia'!$B$176</f>
        <v>43971.538231116261</v>
      </c>
      <c r="AH3" s="6">
        <f>'NVP-Indonesia'!AH28*'NVP-Indonesia'!$B$176</f>
        <v>44076.406636631225</v>
      </c>
      <c r="AI3" s="6">
        <f>'NVP-Indonesia'!AI28*'NVP-Indonesia'!$B$176</f>
        <v>44181.275042146241</v>
      </c>
      <c r="AJ3" s="6">
        <f>'NVP-Indonesia'!AJ28*'NVP-Indonesia'!$B$176</f>
        <v>44286.143447661256</v>
      </c>
      <c r="AK3" s="6">
        <f>'NVP-Indonesia'!AK28*'NVP-Indonesia'!$B$176</f>
        <v>44391.011853176227</v>
      </c>
      <c r="AL3" s="6">
        <f>'NVP-Indonesia'!AL28*'NVP-Indonesia'!$B$176</f>
        <v>44495.880258691242</v>
      </c>
      <c r="AM3" s="6">
        <f>'NVP-Indonesia'!AM28*'NVP-Indonesia'!$B$176</f>
        <v>44600.748664206214</v>
      </c>
      <c r="AN3" s="6">
        <f>'NVP-Indonesia'!AN28*'NVP-Indonesia'!$B$176</f>
        <v>44705.617069721229</v>
      </c>
      <c r="AO3" s="6">
        <f>'NVP-Indonesia'!AO28*'NVP-Indonesia'!$B$176</f>
        <v>44810.485475236237</v>
      </c>
      <c r="AP3" s="6">
        <f>'NVP-Indonesia'!AP28*'NVP-Indonesia'!$B$176</f>
        <v>44915.353880751209</v>
      </c>
      <c r="AQ3" s="6">
        <f>'NVP-Indonesia'!AQ28*'NVP-Indonesia'!$B$176</f>
        <v>45020.222286266224</v>
      </c>
      <c r="AR3" s="6">
        <f>'NVP-Indonesia'!AR28*'NVP-Indonesia'!$B$176</f>
        <v>45125.090691781195</v>
      </c>
      <c r="AS3" s="6">
        <f>'NVP-Indonesia'!AS28*'NVP-Indonesia'!$B$176</f>
        <v>45229.959097296211</v>
      </c>
      <c r="AT3" s="6">
        <f>'NVP-Indonesia'!AT28*'NVP-Indonesia'!$B$176</f>
        <v>45334.827502811182</v>
      </c>
      <c r="AU3" s="6">
        <f>'NVP-Indonesia'!AU28*'NVP-Indonesia'!$B$176</f>
        <v>45439.695908326197</v>
      </c>
      <c r="AV3" s="6">
        <f>'NVP-Indonesia'!AV28*'NVP-Indonesia'!$B$176</f>
        <v>45544.564313841205</v>
      </c>
      <c r="AW3" s="6">
        <f>'NVP-Indonesia'!AW28*'NVP-Indonesia'!$B$176</f>
        <v>45649.432719356177</v>
      </c>
      <c r="AX3" s="6">
        <f>'NVP-Indonesia'!AX28*'NVP-Indonesia'!$B$176</f>
        <v>45754.301124871192</v>
      </c>
      <c r="AY3" s="6">
        <f>'NVP-Indonesia'!AY28*'NVP-Indonesia'!$B$176</f>
        <v>45859.169530386163</v>
      </c>
      <c r="AZ3" s="6">
        <f>'NVP-Indonesia'!AZ28*'NVP-Indonesia'!$B$176</f>
        <v>45964.037935901179</v>
      </c>
    </row>
    <row r="4" spans="1:52" ht="14.25" customHeight="1" x14ac:dyDescent="0.35">
      <c r="A4" s="2" t="s">
        <v>21</v>
      </c>
      <c r="B4" s="6">
        <f>'NVP-Indonesia'!B29*'NVP-Indonesia'!$B$176</f>
        <v>35674.63596279081</v>
      </c>
      <c r="C4" s="6">
        <f>'NVP-Indonesia'!C29*'NVP-Indonesia'!$B$176</f>
        <v>35674.63596279081</v>
      </c>
      <c r="D4" s="6">
        <f>'NVP-Indonesia'!D29*'NVP-Indonesia'!$B$176</f>
        <v>35674.63596279081</v>
      </c>
      <c r="E4" s="6">
        <f>'NVP-Indonesia'!E29*'NVP-Indonesia'!$B$176</f>
        <v>35674.63596279081</v>
      </c>
      <c r="F4" s="6">
        <f>'NVP-Indonesia'!F29*'NVP-Indonesia'!$B$176</f>
        <v>35674.63596279081</v>
      </c>
      <c r="G4" s="6">
        <f>'NVP-Indonesia'!G29*'NVP-Indonesia'!$B$176</f>
        <v>35674.63596279081</v>
      </c>
      <c r="H4" s="6">
        <f>'NVP-Indonesia'!H29*'NVP-Indonesia'!$B$176</f>
        <v>35674.63596279081</v>
      </c>
      <c r="I4" s="6">
        <f>'NVP-Indonesia'!I29*'NVP-Indonesia'!$B$176</f>
        <v>35674.63596279081</v>
      </c>
      <c r="J4" s="6">
        <f>'NVP-Indonesia'!J29*'NVP-Indonesia'!$B$176</f>
        <v>35674.63596279081</v>
      </c>
      <c r="K4" s="6">
        <f>'NVP-Indonesia'!K29*'NVP-Indonesia'!$B$176</f>
        <v>35674.63596279081</v>
      </c>
      <c r="L4" s="6">
        <f>'NVP-Indonesia'!L29*'NVP-Indonesia'!$B$176</f>
        <v>35674.63596279081</v>
      </c>
      <c r="M4" s="6">
        <f>'NVP-Indonesia'!M29*'NVP-Indonesia'!$B$176</f>
        <v>35674.63596279081</v>
      </c>
      <c r="N4" s="6">
        <f>'NVP-Indonesia'!N29*'NVP-Indonesia'!$B$176</f>
        <v>35674.63596279081</v>
      </c>
      <c r="O4" s="6">
        <f>'NVP-Indonesia'!O29*'NVP-Indonesia'!$B$176</f>
        <v>35674.63596279081</v>
      </c>
      <c r="P4" s="6">
        <f>'NVP-Indonesia'!P29*'NVP-Indonesia'!$B$176</f>
        <v>35674.63596279081</v>
      </c>
      <c r="Q4" s="6">
        <f>'NVP-Indonesia'!Q29*'NVP-Indonesia'!$B$176</f>
        <v>35674.63596279081</v>
      </c>
      <c r="R4" s="6">
        <f>'NVP-Indonesia'!R29*'NVP-Indonesia'!$B$176</f>
        <v>35674.63596279081</v>
      </c>
      <c r="S4" s="6">
        <f>'NVP-Indonesia'!S29*'NVP-Indonesia'!$B$176</f>
        <v>35674.63596279081</v>
      </c>
      <c r="T4" s="6">
        <f>'NVP-Indonesia'!T29*'NVP-Indonesia'!$B$176</f>
        <v>35674.63596279081</v>
      </c>
      <c r="U4" s="6">
        <f>'NVP-Indonesia'!U29*'NVP-Indonesia'!$B$176</f>
        <v>35674.63596279081</v>
      </c>
      <c r="V4" s="6">
        <f>'NVP-Indonesia'!V29*'NVP-Indonesia'!$B$176</f>
        <v>35674.63596279081</v>
      </c>
      <c r="W4" s="6">
        <f>'NVP-Indonesia'!W29*'NVP-Indonesia'!$B$176</f>
        <v>35674.63596279081</v>
      </c>
      <c r="X4" s="6">
        <f>'NVP-Indonesia'!X29*'NVP-Indonesia'!$B$176</f>
        <v>35674.63596279081</v>
      </c>
      <c r="Y4" s="6">
        <f>'NVP-Indonesia'!Y29*'NVP-Indonesia'!$B$176</f>
        <v>35674.63596279081</v>
      </c>
      <c r="Z4" s="6">
        <f>'NVP-Indonesia'!Z29*'NVP-Indonesia'!$B$176</f>
        <v>35674.63596279081</v>
      </c>
      <c r="AA4" s="6">
        <f>'NVP-Indonesia'!AA29*'NVP-Indonesia'!$B$176</f>
        <v>35674.63596279081</v>
      </c>
      <c r="AB4" s="6">
        <f>'NVP-Indonesia'!AB29*'NVP-Indonesia'!$B$176</f>
        <v>35674.63596279081</v>
      </c>
      <c r="AC4" s="6">
        <f>'NVP-Indonesia'!AC29*'NVP-Indonesia'!$B$176</f>
        <v>35674.63596279081</v>
      </c>
      <c r="AD4" s="6">
        <f>'NVP-Indonesia'!AD29*'NVP-Indonesia'!$B$176</f>
        <v>35674.63596279081</v>
      </c>
      <c r="AE4" s="6">
        <f>'NVP-Indonesia'!AE29*'NVP-Indonesia'!$B$176</f>
        <v>35674.63596279081</v>
      </c>
      <c r="AF4" s="6">
        <f>'NVP-Indonesia'!AF29*'NVP-Indonesia'!$B$176</f>
        <v>35674.63596279081</v>
      </c>
      <c r="AG4" s="6">
        <f>'NVP-Indonesia'!AG29*'NVP-Indonesia'!$B$176</f>
        <v>35674.63596279081</v>
      </c>
      <c r="AH4" s="6">
        <f>'NVP-Indonesia'!AH29*'NVP-Indonesia'!$B$176</f>
        <v>35674.63596279081</v>
      </c>
      <c r="AI4" s="6">
        <f>'NVP-Indonesia'!AI29*'NVP-Indonesia'!$B$176</f>
        <v>35674.63596279081</v>
      </c>
      <c r="AJ4" s="6">
        <f>'NVP-Indonesia'!AJ29*'NVP-Indonesia'!$B$176</f>
        <v>35674.63596279081</v>
      </c>
      <c r="AK4" s="6">
        <f>'NVP-Indonesia'!AK29*'NVP-Indonesia'!$B$176</f>
        <v>35674.63596279081</v>
      </c>
      <c r="AL4" s="6">
        <f>'NVP-Indonesia'!AL29*'NVP-Indonesia'!$B$176</f>
        <v>35674.63596279081</v>
      </c>
      <c r="AM4" s="6">
        <f>'NVP-Indonesia'!AM29*'NVP-Indonesia'!$B$176</f>
        <v>35674.63596279081</v>
      </c>
      <c r="AN4" s="6">
        <f>'NVP-Indonesia'!AN29*'NVP-Indonesia'!$B$176</f>
        <v>35674.63596279081</v>
      </c>
      <c r="AO4" s="6">
        <f>'NVP-Indonesia'!AO29*'NVP-Indonesia'!$B$176</f>
        <v>35674.63596279081</v>
      </c>
      <c r="AP4" s="6">
        <f>'NVP-Indonesia'!AP29*'NVP-Indonesia'!$B$176</f>
        <v>35674.63596279081</v>
      </c>
      <c r="AQ4" s="6">
        <f>'NVP-Indonesia'!AQ29*'NVP-Indonesia'!$B$176</f>
        <v>35674.63596279081</v>
      </c>
      <c r="AR4" s="6">
        <f>'NVP-Indonesia'!AR29*'NVP-Indonesia'!$B$176</f>
        <v>35674.63596279081</v>
      </c>
      <c r="AS4" s="6">
        <f>'NVP-Indonesia'!AS29*'NVP-Indonesia'!$B$176</f>
        <v>35674.63596279081</v>
      </c>
      <c r="AT4" s="6">
        <f>'NVP-Indonesia'!AT29*'NVP-Indonesia'!$B$176</f>
        <v>35674.63596279081</v>
      </c>
      <c r="AU4" s="6">
        <f>'NVP-Indonesia'!AU29*'NVP-Indonesia'!$B$176</f>
        <v>35674.63596279081</v>
      </c>
      <c r="AV4" s="6">
        <f>'NVP-Indonesia'!AV29*'NVP-Indonesia'!$B$176</f>
        <v>35674.63596279081</v>
      </c>
      <c r="AW4" s="6">
        <f>'NVP-Indonesia'!AW29*'NVP-Indonesia'!$B$176</f>
        <v>35674.63596279081</v>
      </c>
      <c r="AX4" s="6">
        <f>'NVP-Indonesia'!AX29*'NVP-Indonesia'!$B$176</f>
        <v>35674.63596279081</v>
      </c>
      <c r="AY4" s="6">
        <f>'NVP-Indonesia'!AY29*'NVP-Indonesia'!$B$176</f>
        <v>35674.63596279081</v>
      </c>
      <c r="AZ4" s="6">
        <f>'NVP-Indonesia'!AZ29*'NVP-Indonesia'!$B$176</f>
        <v>35674.63596279081</v>
      </c>
    </row>
    <row r="5" spans="1:52" ht="14.25" customHeight="1" x14ac:dyDescent="0.35">
      <c r="A5" s="2" t="s">
        <v>22</v>
      </c>
      <c r="B5" s="6">
        <f>'NVP-Indonesia'!B30*'NVP-Indonesia'!$B$176</f>
        <v>39638.484403100898</v>
      </c>
      <c r="C5" s="6">
        <f>'NVP-Indonesia'!C30*'NVP-Indonesia'!$B$176</f>
        <v>39638.484403100898</v>
      </c>
      <c r="D5" s="6">
        <f>'NVP-Indonesia'!D30*'NVP-Indonesia'!$B$176</f>
        <v>39638.484403100898</v>
      </c>
      <c r="E5" s="6">
        <f>'NVP-Indonesia'!E30*'NVP-Indonesia'!$B$176</f>
        <v>39638.484403100898</v>
      </c>
      <c r="F5" s="6">
        <f>'NVP-Indonesia'!F30*'NVP-Indonesia'!$B$176</f>
        <v>39638.484403100898</v>
      </c>
      <c r="G5" s="6">
        <f>'NVP-Indonesia'!G30*'NVP-Indonesia'!$B$176</f>
        <v>39638.484403100898</v>
      </c>
      <c r="H5" s="6">
        <f>'NVP-Indonesia'!H30*'NVP-Indonesia'!$B$176</f>
        <v>39638.484403100898</v>
      </c>
      <c r="I5" s="6">
        <f>'NVP-Indonesia'!I30*'NVP-Indonesia'!$B$176</f>
        <v>39638.484403100898</v>
      </c>
      <c r="J5" s="6">
        <f>'NVP-Indonesia'!J30*'NVP-Indonesia'!$B$176</f>
        <v>39638.484403100898</v>
      </c>
      <c r="K5" s="6">
        <f>'NVP-Indonesia'!K30*'NVP-Indonesia'!$B$176</f>
        <v>39638.484403100898</v>
      </c>
      <c r="L5" s="6">
        <f>'NVP-Indonesia'!L30*'NVP-Indonesia'!$B$176</f>
        <v>39638.484403100898</v>
      </c>
      <c r="M5" s="6">
        <f>'NVP-Indonesia'!M30*'NVP-Indonesia'!$B$176</f>
        <v>39638.484403100898</v>
      </c>
      <c r="N5" s="6">
        <f>'NVP-Indonesia'!N30*'NVP-Indonesia'!$B$176</f>
        <v>39638.484403100898</v>
      </c>
      <c r="O5" s="6">
        <f>'NVP-Indonesia'!O30*'NVP-Indonesia'!$B$176</f>
        <v>39638.484403100898</v>
      </c>
      <c r="P5" s="6">
        <f>'NVP-Indonesia'!P30*'NVP-Indonesia'!$B$176</f>
        <v>39638.484403100898</v>
      </c>
      <c r="Q5" s="6">
        <f>'NVP-Indonesia'!Q30*'NVP-Indonesia'!$B$176</f>
        <v>39638.484403100898</v>
      </c>
      <c r="R5" s="6">
        <f>'NVP-Indonesia'!R30*'NVP-Indonesia'!$B$176</f>
        <v>39638.484403100898</v>
      </c>
      <c r="S5" s="6">
        <f>'NVP-Indonesia'!S30*'NVP-Indonesia'!$B$176</f>
        <v>39638.484403100898</v>
      </c>
      <c r="T5" s="6">
        <f>'NVP-Indonesia'!T30*'NVP-Indonesia'!$B$176</f>
        <v>39638.484403100898</v>
      </c>
      <c r="U5" s="6">
        <f>'NVP-Indonesia'!U30*'NVP-Indonesia'!$B$176</f>
        <v>39638.484403100898</v>
      </c>
      <c r="V5" s="6">
        <f>'NVP-Indonesia'!V30*'NVP-Indonesia'!$B$176</f>
        <v>39638.484403100898</v>
      </c>
      <c r="W5" s="6">
        <f>'NVP-Indonesia'!W30*'NVP-Indonesia'!$B$176</f>
        <v>39638.484403100898</v>
      </c>
      <c r="X5" s="6">
        <f>'NVP-Indonesia'!X30*'NVP-Indonesia'!$B$176</f>
        <v>39638.484403100898</v>
      </c>
      <c r="Y5" s="6">
        <f>'NVP-Indonesia'!Y30*'NVP-Indonesia'!$B$176</f>
        <v>39638.484403100898</v>
      </c>
      <c r="Z5" s="6">
        <f>'NVP-Indonesia'!Z30*'NVP-Indonesia'!$B$176</f>
        <v>39638.484403100898</v>
      </c>
      <c r="AA5" s="6">
        <f>'NVP-Indonesia'!AA30*'NVP-Indonesia'!$B$176</f>
        <v>39638.484403100898</v>
      </c>
      <c r="AB5" s="6">
        <f>'NVP-Indonesia'!AB30*'NVP-Indonesia'!$B$176</f>
        <v>39638.484403100898</v>
      </c>
      <c r="AC5" s="6">
        <f>'NVP-Indonesia'!AC30*'NVP-Indonesia'!$B$176</f>
        <v>39638.484403100898</v>
      </c>
      <c r="AD5" s="6">
        <f>'NVP-Indonesia'!AD30*'NVP-Indonesia'!$B$176</f>
        <v>39638.484403100898</v>
      </c>
      <c r="AE5" s="6">
        <f>'NVP-Indonesia'!AE30*'NVP-Indonesia'!$B$176</f>
        <v>39638.484403100898</v>
      </c>
      <c r="AF5" s="6">
        <f>'NVP-Indonesia'!AF30*'NVP-Indonesia'!$B$176</f>
        <v>39638.484403100898</v>
      </c>
      <c r="AG5" s="6">
        <f>'NVP-Indonesia'!AG30*'NVP-Indonesia'!$B$176</f>
        <v>39638.484403100898</v>
      </c>
      <c r="AH5" s="6">
        <f>'NVP-Indonesia'!AH30*'NVP-Indonesia'!$B$176</f>
        <v>39638.484403100898</v>
      </c>
      <c r="AI5" s="6">
        <f>'NVP-Indonesia'!AI30*'NVP-Indonesia'!$B$176</f>
        <v>39638.484403100898</v>
      </c>
      <c r="AJ5" s="6">
        <f>'NVP-Indonesia'!AJ30*'NVP-Indonesia'!$B$176</f>
        <v>39638.484403100898</v>
      </c>
      <c r="AK5" s="6">
        <f>'NVP-Indonesia'!AK30*'NVP-Indonesia'!$B$176</f>
        <v>39638.484403100898</v>
      </c>
      <c r="AL5" s="6">
        <f>'NVP-Indonesia'!AL30*'NVP-Indonesia'!$B$176</f>
        <v>39638.484403100898</v>
      </c>
      <c r="AM5" s="6">
        <f>'NVP-Indonesia'!AM30*'NVP-Indonesia'!$B$176</f>
        <v>39638.484403100898</v>
      </c>
      <c r="AN5" s="6">
        <f>'NVP-Indonesia'!AN30*'NVP-Indonesia'!$B$176</f>
        <v>39638.484403100898</v>
      </c>
      <c r="AO5" s="6">
        <f>'NVP-Indonesia'!AO30*'NVP-Indonesia'!$B$176</f>
        <v>39638.484403100898</v>
      </c>
      <c r="AP5" s="6">
        <f>'NVP-Indonesia'!AP30*'NVP-Indonesia'!$B$176</f>
        <v>39638.484403100898</v>
      </c>
      <c r="AQ5" s="6">
        <f>'NVP-Indonesia'!AQ30*'NVP-Indonesia'!$B$176</f>
        <v>39638.484403100898</v>
      </c>
      <c r="AR5" s="6">
        <f>'NVP-Indonesia'!AR30*'NVP-Indonesia'!$B$176</f>
        <v>39638.484403100898</v>
      </c>
      <c r="AS5" s="6">
        <f>'NVP-Indonesia'!AS30*'NVP-Indonesia'!$B$176</f>
        <v>39638.484403100898</v>
      </c>
      <c r="AT5" s="6">
        <f>'NVP-Indonesia'!AT30*'NVP-Indonesia'!$B$176</f>
        <v>39638.484403100898</v>
      </c>
      <c r="AU5" s="6">
        <f>'NVP-Indonesia'!AU30*'NVP-Indonesia'!$B$176</f>
        <v>39638.484403100898</v>
      </c>
      <c r="AV5" s="6">
        <f>'NVP-Indonesia'!AV30*'NVP-Indonesia'!$B$176</f>
        <v>39638.484403100898</v>
      </c>
      <c r="AW5" s="6">
        <f>'NVP-Indonesia'!AW30*'NVP-Indonesia'!$B$176</f>
        <v>39638.484403100898</v>
      </c>
      <c r="AX5" s="6">
        <f>'NVP-Indonesia'!AX30*'NVP-Indonesia'!$B$176</f>
        <v>39638.484403100898</v>
      </c>
      <c r="AY5" s="6">
        <f>'NVP-Indonesia'!AY30*'NVP-Indonesia'!$B$176</f>
        <v>39638.484403100898</v>
      </c>
      <c r="AZ5" s="6">
        <f>'NVP-Indonesia'!AZ30*'NVP-Indonesia'!$B$176</f>
        <v>39638.484403100898</v>
      </c>
    </row>
    <row r="6" spans="1:52" ht="14.25" customHeight="1" x14ac:dyDescent="0.35">
      <c r="A6" s="2" t="s">
        <v>23</v>
      </c>
      <c r="B6" s="6">
        <f>'NVP-Indonesia'!B31*'NVP-Indonesia'!$B$176</f>
        <v>40685.858673495895</v>
      </c>
      <c r="C6" s="6">
        <f>'NVP-Indonesia'!C31*'NVP-Indonesia'!$B$176</f>
        <v>41242.057909866744</v>
      </c>
      <c r="D6" s="6">
        <f>'NVP-Indonesia'!D31*'NVP-Indonesia'!$B$176</f>
        <v>41182.553006502771</v>
      </c>
      <c r="E6" s="6">
        <f>'NVP-Indonesia'!E31*'NVP-Indonesia'!$B$176</f>
        <v>41385.132303799233</v>
      </c>
      <c r="F6" s="6">
        <f>'NVP-Indonesia'!F31*'NVP-Indonesia'!$B$176</f>
        <v>41430.438738972269</v>
      </c>
      <c r="G6" s="6">
        <f>'NVP-Indonesia'!G31*'NVP-Indonesia'!$B$176</f>
        <v>41553.938236117072</v>
      </c>
      <c r="H6" s="6">
        <f>'NVP-Indonesia'!H31*'NVP-Indonesia'!$B$176</f>
        <v>41604.401851133596</v>
      </c>
      <c r="I6" s="6">
        <f>'NVP-Indonesia'!I31*'NVP-Indonesia'!$B$176</f>
        <v>41633.146836816726</v>
      </c>
      <c r="J6" s="6">
        <f>'NVP-Indonesia'!J31*'NVP-Indonesia'!$B$176</f>
        <v>41693.223122030118</v>
      </c>
      <c r="K6" s="6">
        <f>'NVP-Indonesia'!K31*'NVP-Indonesia'!$B$176</f>
        <v>41770.661008097231</v>
      </c>
      <c r="L6" s="6">
        <f>'NVP-Indonesia'!L31*'NVP-Indonesia'!$B$176</f>
        <v>41857.23548459859</v>
      </c>
      <c r="M6" s="6">
        <f>'NVP-Indonesia'!M31*'NVP-Indonesia'!$B$176</f>
        <v>41967.992589939335</v>
      </c>
      <c r="N6" s="6">
        <f>'NVP-Indonesia'!N31*'NVP-Indonesia'!$B$176</f>
        <v>42063.321364830103</v>
      </c>
      <c r="O6" s="6">
        <f>'NVP-Indonesia'!O31*'NVP-Indonesia'!$B$176</f>
        <v>42191.030192394916</v>
      </c>
      <c r="P6" s="6">
        <f>'NVP-Indonesia'!P31*'NVP-Indonesia'!$B$176</f>
        <v>42256.354436552334</v>
      </c>
      <c r="Q6" s="6">
        <f>'NVP-Indonesia'!Q31*'NVP-Indonesia'!$B$176</f>
        <v>42308.343416264717</v>
      </c>
      <c r="R6" s="6">
        <f>'NVP-Indonesia'!R31*'NVP-Indonesia'!$B$176</f>
        <v>42354.977095068651</v>
      </c>
      <c r="S6" s="6">
        <f>'NVP-Indonesia'!S31*'NVP-Indonesia'!$B$176</f>
        <v>42392.79538103423</v>
      </c>
      <c r="T6" s="6">
        <f>'NVP-Indonesia'!T31*'NVP-Indonesia'!$B$176</f>
        <v>42417.196726457645</v>
      </c>
      <c r="U6" s="6">
        <f>'NVP-Indonesia'!U31*'NVP-Indonesia'!$B$176</f>
        <v>42435.325376273933</v>
      </c>
      <c r="V6" s="6">
        <f>'NVP-Indonesia'!V31*'NVP-Indonesia'!$B$176</f>
        <v>42433.924002754451</v>
      </c>
      <c r="W6" s="6">
        <f>'NVP-Indonesia'!W31*'NVP-Indonesia'!$B$176</f>
        <v>42440.458953668778</v>
      </c>
      <c r="X6" s="6">
        <f>'NVP-Indonesia'!X31*'NVP-Indonesia'!$B$176</f>
        <v>42437.237581913156</v>
      </c>
      <c r="Y6" s="6">
        <f>'NVP-Indonesia'!Y31*'NVP-Indonesia'!$B$176</f>
        <v>42426.921365331844</v>
      </c>
      <c r="Z6" s="6">
        <f>'NVP-Indonesia'!Z31*'NVP-Indonesia'!$B$176</f>
        <v>42416.666834542382</v>
      </c>
      <c r="AA6" s="6">
        <f>'NVP-Indonesia'!AA31*'NVP-Indonesia'!$B$176</f>
        <v>42405.721904559694</v>
      </c>
      <c r="AB6" s="6">
        <f>'NVP-Indonesia'!AB31*'NVP-Indonesia'!$B$176</f>
        <v>42392.875842311885</v>
      </c>
      <c r="AC6" s="6">
        <f>'NVP-Indonesia'!AC31*'NVP-Indonesia'!$B$176</f>
        <v>42382.164502994317</v>
      </c>
      <c r="AD6" s="6">
        <f>'NVP-Indonesia'!AD31*'NVP-Indonesia'!$B$176</f>
        <v>42371.786546460593</v>
      </c>
      <c r="AE6" s="6">
        <f>'NVP-Indonesia'!AE31*'NVP-Indonesia'!$B$176</f>
        <v>42362.727267692979</v>
      </c>
      <c r="AF6" s="6">
        <f>'NVP-Indonesia'!AF31*'NVP-Indonesia'!$B$176</f>
        <v>42351.196143495872</v>
      </c>
      <c r="AG6" s="6">
        <f>'NVP-Indonesia'!AG31*'NVP-Indonesia'!$B$176</f>
        <v>42778.328042571535</v>
      </c>
      <c r="AH6" s="6">
        <f>'NVP-Indonesia'!AH31*'NVP-Indonesia'!$B$176</f>
        <v>42825.264543829093</v>
      </c>
      <c r="AI6" s="6">
        <f>'NVP-Indonesia'!AI31*'NVP-Indonesia'!$B$176</f>
        <v>42872.201045086644</v>
      </c>
      <c r="AJ6" s="6">
        <f>'NVP-Indonesia'!AJ31*'NVP-Indonesia'!$B$176</f>
        <v>42919.137546344202</v>
      </c>
      <c r="AK6" s="6">
        <f>'NVP-Indonesia'!AK31*'NVP-Indonesia'!$B$176</f>
        <v>42966.074047601745</v>
      </c>
      <c r="AL6" s="6">
        <f>'NVP-Indonesia'!AL31*'NVP-Indonesia'!$B$176</f>
        <v>43013.010548859304</v>
      </c>
      <c r="AM6" s="6">
        <f>'NVP-Indonesia'!AM31*'NVP-Indonesia'!$B$176</f>
        <v>43059.947050116847</v>
      </c>
      <c r="AN6" s="6">
        <f>'NVP-Indonesia'!AN31*'NVP-Indonesia'!$B$176</f>
        <v>43106.883551374405</v>
      </c>
      <c r="AO6" s="6">
        <f>'NVP-Indonesia'!AO31*'NVP-Indonesia'!$B$176</f>
        <v>43153.820052631956</v>
      </c>
      <c r="AP6" s="6">
        <f>'NVP-Indonesia'!AP31*'NVP-Indonesia'!$B$176</f>
        <v>43200.7565538895</v>
      </c>
      <c r="AQ6" s="6">
        <f>'NVP-Indonesia'!AQ31*'NVP-Indonesia'!$B$176</f>
        <v>43247.693055147058</v>
      </c>
      <c r="AR6" s="6">
        <f>'NVP-Indonesia'!AR31*'NVP-Indonesia'!$B$176</f>
        <v>43294.629556404601</v>
      </c>
      <c r="AS6" s="6">
        <f>'NVP-Indonesia'!AS31*'NVP-Indonesia'!$B$176</f>
        <v>43341.566057662159</v>
      </c>
      <c r="AT6" s="6">
        <f>'NVP-Indonesia'!AT31*'NVP-Indonesia'!$B$176</f>
        <v>43388.50255891971</v>
      </c>
      <c r="AU6" s="6">
        <f>'NVP-Indonesia'!AU31*'NVP-Indonesia'!$B$176</f>
        <v>43435.439060177261</v>
      </c>
      <c r="AV6" s="6">
        <f>'NVP-Indonesia'!AV31*'NVP-Indonesia'!$B$176</f>
        <v>43482.375561434812</v>
      </c>
      <c r="AW6" s="6">
        <f>'NVP-Indonesia'!AW31*'NVP-Indonesia'!$B$176</f>
        <v>43529.31206269237</v>
      </c>
      <c r="AX6" s="6">
        <f>'NVP-Indonesia'!AX31*'NVP-Indonesia'!$B$176</f>
        <v>43576.248563949914</v>
      </c>
      <c r="AY6" s="6">
        <f>'NVP-Indonesia'!AY31*'NVP-Indonesia'!$B$176</f>
        <v>43623.185065207472</v>
      </c>
      <c r="AZ6" s="6">
        <f>'NVP-Indonesia'!AZ31*'NVP-Indonesia'!$B$176</f>
        <v>43670.121566465015</v>
      </c>
    </row>
    <row r="7" spans="1:52" ht="14.25" customHeight="1" x14ac:dyDescent="0.35">
      <c r="A7" s="2" t="s">
        <v>24</v>
      </c>
      <c r="B7" s="6">
        <f>'NVP-Indonesia'!B32*'NVP-Indonesia'!$B$176</f>
        <v>39630.840407361909</v>
      </c>
      <c r="C7" s="6">
        <f>'NVP-Indonesia'!C32*'NVP-Indonesia'!$B$176</f>
        <v>40279.912899610543</v>
      </c>
      <c r="D7" s="6">
        <f>'NVP-Indonesia'!D32*'NVP-Indonesia'!$B$176</f>
        <v>40242.617885955769</v>
      </c>
      <c r="E7" s="6">
        <f>'NVP-Indonesia'!E32*'NVP-Indonesia'!$B$176</f>
        <v>40312.727464813703</v>
      </c>
      <c r="F7" s="6">
        <f>'NVP-Indonesia'!F32*'NVP-Indonesia'!$B$176</f>
        <v>40407.796337861953</v>
      </c>
      <c r="G7" s="6">
        <f>'NVP-Indonesia'!G32*'NVP-Indonesia'!$B$176</f>
        <v>40584.918913925714</v>
      </c>
      <c r="H7" s="6">
        <f>'NVP-Indonesia'!H32*'NVP-Indonesia'!$B$176</f>
        <v>40732.899883154008</v>
      </c>
      <c r="I7" s="6">
        <f>'NVP-Indonesia'!I32*'NVP-Indonesia'!$B$176</f>
        <v>40808.849746195097</v>
      </c>
      <c r="J7" s="6">
        <f>'NVP-Indonesia'!J32*'NVP-Indonesia'!$B$176</f>
        <v>40876.089183794211</v>
      </c>
      <c r="K7" s="6">
        <f>'NVP-Indonesia'!K32*'NVP-Indonesia'!$B$176</f>
        <v>40948.886657885101</v>
      </c>
      <c r="L7" s="6">
        <f>'NVP-Indonesia'!L32*'NVP-Indonesia'!$B$176</f>
        <v>41017.135458089069</v>
      </c>
      <c r="M7" s="6">
        <f>'NVP-Indonesia'!M32*'NVP-Indonesia'!$B$176</f>
        <v>41084.995466771172</v>
      </c>
      <c r="N7" s="6">
        <f>'NVP-Indonesia'!N32*'NVP-Indonesia'!$B$176</f>
        <v>41142.87586999515</v>
      </c>
      <c r="O7" s="6">
        <f>'NVP-Indonesia'!O32*'NVP-Indonesia'!$B$176</f>
        <v>41212.333101539953</v>
      </c>
      <c r="P7" s="6">
        <f>'NVP-Indonesia'!P32*'NVP-Indonesia'!$B$176</f>
        <v>41259.34042648154</v>
      </c>
      <c r="Q7" s="6">
        <f>'NVP-Indonesia'!Q32*'NVP-Indonesia'!$B$176</f>
        <v>41301.784124016114</v>
      </c>
      <c r="R7" s="6">
        <f>'NVP-Indonesia'!R32*'NVP-Indonesia'!$B$176</f>
        <v>41345.654013527579</v>
      </c>
      <c r="S7" s="6">
        <f>'NVP-Indonesia'!S32*'NVP-Indonesia'!$B$176</f>
        <v>41389.869703190714</v>
      </c>
      <c r="T7" s="6">
        <f>'NVP-Indonesia'!T32*'NVP-Indonesia'!$B$176</f>
        <v>41431.304038120419</v>
      </c>
      <c r="U7" s="6">
        <f>'NVP-Indonesia'!U32*'NVP-Indonesia'!$B$176</f>
        <v>41475.213180622071</v>
      </c>
      <c r="V7" s="6">
        <f>'NVP-Indonesia'!V32*'NVP-Indonesia'!$B$176</f>
        <v>41512.982968539131</v>
      </c>
      <c r="W7" s="6">
        <f>'NVP-Indonesia'!W32*'NVP-Indonesia'!$B$176</f>
        <v>41550.837804601593</v>
      </c>
      <c r="X7" s="6">
        <f>'NVP-Indonesia'!X32*'NVP-Indonesia'!$B$176</f>
        <v>41588.383289717567</v>
      </c>
      <c r="Y7" s="6">
        <f>'NVP-Indonesia'!Y32*'NVP-Indonesia'!$B$176</f>
        <v>41623.978275059148</v>
      </c>
      <c r="Z7" s="6">
        <f>'NVP-Indonesia'!Z32*'NVP-Indonesia'!$B$176</f>
        <v>41660.809729591681</v>
      </c>
      <c r="AA7" s="6">
        <f>'NVP-Indonesia'!AA32*'NVP-Indonesia'!$B$176</f>
        <v>41698.758025154595</v>
      </c>
      <c r="AB7" s="6">
        <f>'NVP-Indonesia'!AB32*'NVP-Indonesia'!$B$176</f>
        <v>41736.38855841598</v>
      </c>
      <c r="AC7" s="6">
        <f>'NVP-Indonesia'!AC32*'NVP-Indonesia'!$B$176</f>
        <v>41775.30322521356</v>
      </c>
      <c r="AD7" s="6">
        <f>'NVP-Indonesia'!AD32*'NVP-Indonesia'!$B$176</f>
        <v>41814.159947120854</v>
      </c>
      <c r="AE7" s="6">
        <f>'NVP-Indonesia'!AE32*'NVP-Indonesia'!$B$176</f>
        <v>41853.491443290441</v>
      </c>
      <c r="AF7" s="6">
        <f>'NVP-Indonesia'!AF32*'NVP-Indonesia'!$B$176</f>
        <v>41878.290921734973</v>
      </c>
      <c r="AG7" s="6">
        <f>'NVP-Indonesia'!AG32*'NVP-Indonesia'!$B$176</f>
        <v>42123.804036872185</v>
      </c>
      <c r="AH7" s="6">
        <f>'NVP-Indonesia'!AH32*'NVP-Indonesia'!$B$176</f>
        <v>42183.599392097371</v>
      </c>
      <c r="AI7" s="6">
        <f>'NVP-Indonesia'!AI32*'NVP-Indonesia'!$B$176</f>
        <v>42243.394747322534</v>
      </c>
      <c r="AJ7" s="6">
        <f>'NVP-Indonesia'!AJ32*'NVP-Indonesia'!$B$176</f>
        <v>42303.190102547705</v>
      </c>
      <c r="AK7" s="6">
        <f>'NVP-Indonesia'!AK32*'NVP-Indonesia'!$B$176</f>
        <v>42362.985457772891</v>
      </c>
      <c r="AL7" s="6">
        <f>'NVP-Indonesia'!AL32*'NVP-Indonesia'!$B$176</f>
        <v>42422.780812998055</v>
      </c>
      <c r="AM7" s="6">
        <f>'NVP-Indonesia'!AM32*'NVP-Indonesia'!$B$176</f>
        <v>42482.576168223241</v>
      </c>
      <c r="AN7" s="6">
        <f>'NVP-Indonesia'!AN32*'NVP-Indonesia'!$B$176</f>
        <v>42542.371523448412</v>
      </c>
      <c r="AO7" s="6">
        <f>'NVP-Indonesia'!AO32*'NVP-Indonesia'!$B$176</f>
        <v>42602.166878673597</v>
      </c>
      <c r="AP7" s="6">
        <f>'NVP-Indonesia'!AP32*'NVP-Indonesia'!$B$176</f>
        <v>42661.962233898761</v>
      </c>
      <c r="AQ7" s="6">
        <f>'NVP-Indonesia'!AQ32*'NVP-Indonesia'!$B$176</f>
        <v>42721.757589123925</v>
      </c>
      <c r="AR7" s="6">
        <f>'NVP-Indonesia'!AR32*'NVP-Indonesia'!$B$176</f>
        <v>42781.552944349118</v>
      </c>
      <c r="AS7" s="6">
        <f>'NVP-Indonesia'!AS32*'NVP-Indonesia'!$B$176</f>
        <v>42841.348299574282</v>
      </c>
      <c r="AT7" s="6">
        <f>'NVP-Indonesia'!AT32*'NVP-Indonesia'!$B$176</f>
        <v>42901.143654799467</v>
      </c>
      <c r="AU7" s="6">
        <f>'NVP-Indonesia'!AU32*'NVP-Indonesia'!$B$176</f>
        <v>42960.939010024631</v>
      </c>
      <c r="AV7" s="6">
        <f>'NVP-Indonesia'!AV32*'NVP-Indonesia'!$B$176</f>
        <v>43020.734365249802</v>
      </c>
      <c r="AW7" s="6">
        <f>'NVP-Indonesia'!AW32*'NVP-Indonesia'!$B$176</f>
        <v>43080.529720474988</v>
      </c>
      <c r="AX7" s="6">
        <f>'NVP-Indonesia'!AX32*'NVP-Indonesia'!$B$176</f>
        <v>43140.325075700152</v>
      </c>
      <c r="AY7" s="6">
        <f>'NVP-Indonesia'!AY32*'NVP-Indonesia'!$B$176</f>
        <v>43200.120430925337</v>
      </c>
      <c r="AZ7" s="6">
        <f>'NVP-Indonesia'!AZ32*'NVP-Indonesia'!$B$176</f>
        <v>43259.915786150508</v>
      </c>
    </row>
    <row r="8" spans="1:52" ht="14.25" customHeight="1" x14ac:dyDescent="0.35">
      <c r="A8" s="2" t="s">
        <v>25</v>
      </c>
      <c r="B8" s="6">
        <f>'NVP-Indonesia'!B33*'NVP-Indonesia'!$B$176</f>
        <v>72784.943583072149</v>
      </c>
      <c r="C8" s="6">
        <f>'NVP-Indonesia'!C33*'NVP-Indonesia'!$B$176</f>
        <v>72769.113113953616</v>
      </c>
      <c r="D8" s="6">
        <f>'NVP-Indonesia'!D33*'NVP-Indonesia'!$B$176</f>
        <v>71195.127802734234</v>
      </c>
      <c r="E8" s="6">
        <f>'NVP-Indonesia'!E33*'NVP-Indonesia'!$B$176</f>
        <v>69809.533855255402</v>
      </c>
      <c r="F8" s="6">
        <f>'NVP-Indonesia'!F33*'NVP-Indonesia'!$B$176</f>
        <v>68409.934858778739</v>
      </c>
      <c r="G8" s="6">
        <f>'NVP-Indonesia'!G33*'NVP-Indonesia'!$B$176</f>
        <v>66961.263462682458</v>
      </c>
      <c r="H8" s="6">
        <f>'NVP-Indonesia'!H33*'NVP-Indonesia'!$B$176</f>
        <v>65688.590988848038</v>
      </c>
      <c r="I8" s="6">
        <f>'NVP-Indonesia'!I33*'NVP-Indonesia'!$B$176</f>
        <v>64517.34958945735</v>
      </c>
      <c r="J8" s="6">
        <f>'NVP-Indonesia'!J33*'NVP-Indonesia'!$B$176</f>
        <v>63400.179330426945</v>
      </c>
      <c r="K8" s="6">
        <f>'NVP-Indonesia'!K33*'NVP-Indonesia'!$B$176</f>
        <v>62335.702089311781</v>
      </c>
      <c r="L8" s="6">
        <f>'NVP-Indonesia'!L33*'NVP-Indonesia'!$B$176</f>
        <v>61320.902111991272</v>
      </c>
      <c r="M8" s="6">
        <f>'NVP-Indonesia'!M33*'NVP-Indonesia'!$B$176</f>
        <v>60354.962651247748</v>
      </c>
      <c r="N8" s="6">
        <f>'NVP-Indonesia'!N33*'NVP-Indonesia'!$B$176</f>
        <v>59429.961213713737</v>
      </c>
      <c r="O8" s="6">
        <f>'NVP-Indonesia'!O33*'NVP-Indonesia'!$B$176</f>
        <v>58554.597021466703</v>
      </c>
      <c r="P8" s="6">
        <f>'NVP-Indonesia'!P33*'NVP-Indonesia'!$B$176</f>
        <v>57695.455616576139</v>
      </c>
      <c r="Q8" s="6">
        <f>'NVP-Indonesia'!Q33*'NVP-Indonesia'!$B$176</f>
        <v>56871.695240837034</v>
      </c>
      <c r="R8" s="6">
        <f>'NVP-Indonesia'!R33*'NVP-Indonesia'!$B$176</f>
        <v>56087.08293073588</v>
      </c>
      <c r="S8" s="6">
        <f>'NVP-Indonesia'!S33*'NVP-Indonesia'!$B$176</f>
        <v>55338.779539456686</v>
      </c>
      <c r="T8" s="6">
        <f>'NVP-Indonesia'!T33*'NVP-Indonesia'!$B$176</f>
        <v>54625.250327093483</v>
      </c>
      <c r="U8" s="6">
        <f>'NVP-Indonesia'!U33*'NVP-Indonesia'!$B$176</f>
        <v>53945.591765150188</v>
      </c>
      <c r="V8" s="6">
        <f>'NVP-Indonesia'!V33*'NVP-Indonesia'!$B$176</f>
        <v>53295.908110883996</v>
      </c>
      <c r="W8" s="6">
        <f>'NVP-Indonesia'!W33*'NVP-Indonesia'!$B$176</f>
        <v>52677.524503691566</v>
      </c>
      <c r="X8" s="6">
        <f>'NVP-Indonesia'!X33*'NVP-Indonesia'!$B$176</f>
        <v>52087.714041744104</v>
      </c>
      <c r="Y8" s="6">
        <f>'NVP-Indonesia'!Y33*'NVP-Indonesia'!$B$176</f>
        <v>51525.206714115855</v>
      </c>
      <c r="Z8" s="6">
        <f>'NVP-Indonesia'!Z33*'NVP-Indonesia'!$B$176</f>
        <v>50989.268803851817</v>
      </c>
      <c r="AA8" s="6">
        <f>'NVP-Indonesia'!AA33*'NVP-Indonesia'!$B$176</f>
        <v>50478.408726450849</v>
      </c>
      <c r="AB8" s="6">
        <f>'NVP-Indonesia'!AB33*'NVP-Indonesia'!$B$176</f>
        <v>49991.165758988041</v>
      </c>
      <c r="AC8" s="6">
        <f>'NVP-Indonesia'!AC33*'NVP-Indonesia'!$B$176</f>
        <v>49527.029814640227</v>
      </c>
      <c r="AD8" s="6">
        <f>'NVP-Indonesia'!AD33*'NVP-Indonesia'!$B$176</f>
        <v>49084.332244303841</v>
      </c>
      <c r="AE8" s="6">
        <f>'NVP-Indonesia'!AE33*'NVP-Indonesia'!$B$176</f>
        <v>48662.77671581394</v>
      </c>
      <c r="AF8" s="6">
        <f>'NVP-Indonesia'!AF33*'NVP-Indonesia'!$B$176</f>
        <v>48241.627223568714</v>
      </c>
      <c r="AG8" s="6">
        <f>'NVP-Indonesia'!AG33*'NVP-Indonesia'!$B$176</f>
        <v>45018.045719476533</v>
      </c>
      <c r="AH8" s="6">
        <f>'NVP-Indonesia'!AH33*'NVP-Indonesia'!$B$176</f>
        <v>44185.187730671976</v>
      </c>
      <c r="AI8" s="6">
        <f>'NVP-Indonesia'!AI33*'NVP-Indonesia'!$B$176</f>
        <v>43352.329741867426</v>
      </c>
      <c r="AJ8" s="6">
        <f>'NVP-Indonesia'!AJ33*'NVP-Indonesia'!$B$176</f>
        <v>42519.471753062877</v>
      </c>
      <c r="AK8" s="6">
        <f>'NVP-Indonesia'!AK33*'NVP-Indonesia'!$B$176</f>
        <v>41686.613764258327</v>
      </c>
      <c r="AL8" s="6">
        <f>'NVP-Indonesia'!AL33*'NVP-Indonesia'!$B$176</f>
        <v>40853.755775453414</v>
      </c>
      <c r="AM8" s="6">
        <f>'NVP-Indonesia'!AM33*'NVP-Indonesia'!$B$176</f>
        <v>40020.897786648864</v>
      </c>
      <c r="AN8" s="6">
        <f>'NVP-Indonesia'!AN33*'NVP-Indonesia'!$B$176</f>
        <v>39188.039797844314</v>
      </c>
      <c r="AO8" s="6">
        <f>'NVP-Indonesia'!AO33*'NVP-Indonesia'!$B$176</f>
        <v>38355.181809039757</v>
      </c>
      <c r="AP8" s="6">
        <f>'NVP-Indonesia'!AP33*'NVP-Indonesia'!$B$176</f>
        <v>37522.323820235208</v>
      </c>
      <c r="AQ8" s="6">
        <f>'NVP-Indonesia'!AQ33*'NVP-Indonesia'!$B$176</f>
        <v>36689.465831430658</v>
      </c>
      <c r="AR8" s="6">
        <f>'NVP-Indonesia'!AR33*'NVP-Indonesia'!$B$176</f>
        <v>35856.607842626108</v>
      </c>
      <c r="AS8" s="6">
        <f>'NVP-Indonesia'!AS33*'NVP-Indonesia'!$B$176</f>
        <v>35023.749853821559</v>
      </c>
      <c r="AT8" s="6">
        <f>'NVP-Indonesia'!AT33*'NVP-Indonesia'!$B$176</f>
        <v>34190.891865017009</v>
      </c>
      <c r="AU8" s="6">
        <f>'NVP-Indonesia'!AU33*'NVP-Indonesia'!$B$176</f>
        <v>33358.033876212452</v>
      </c>
      <c r="AV8" s="6">
        <f>'NVP-Indonesia'!AV33*'NVP-Indonesia'!$B$176</f>
        <v>32525.175887407902</v>
      </c>
      <c r="AW8" s="6">
        <f>'NVP-Indonesia'!AW33*'NVP-Indonesia'!$B$176</f>
        <v>31692.317898603353</v>
      </c>
      <c r="AX8" s="6">
        <f>'NVP-Indonesia'!AX33*'NVP-Indonesia'!$B$176</f>
        <v>30859.459909798803</v>
      </c>
      <c r="AY8" s="6">
        <f>'NVP-Indonesia'!AY33*'NVP-Indonesia'!$B$176</f>
        <v>30026.60192099425</v>
      </c>
      <c r="AZ8" s="6">
        <f>'NVP-Indonesia'!AZ33*'NVP-Indonesia'!$B$176</f>
        <v>29193.7439321897</v>
      </c>
    </row>
    <row r="9" spans="1:52" ht="14.25" customHeight="1" x14ac:dyDescent="0.35"/>
    <row r="10" spans="1:52" ht="14.25" customHeight="1" x14ac:dyDescent="0.35"/>
    <row r="11" spans="1:52" ht="14.25" customHeight="1" x14ac:dyDescent="0.35"/>
    <row r="12" spans="1:52" ht="14.25" customHeight="1" x14ac:dyDescent="0.35"/>
    <row r="13" spans="1:52" ht="14.25" customHeight="1" x14ac:dyDescent="0.35"/>
    <row r="14" spans="1:52" ht="14.25" customHeight="1" x14ac:dyDescent="0.35"/>
    <row r="15" spans="1:52" ht="14.25" customHeight="1" x14ac:dyDescent="0.35"/>
    <row r="16" spans="1:52"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1F497D"/>
  </sheetPr>
  <dimension ref="A1:AZ1000"/>
  <sheetViews>
    <sheetView workbookViewId="0">
      <selection activeCell="D21" sqref="D21"/>
    </sheetView>
  </sheetViews>
  <sheetFormatPr defaultColWidth="14.453125" defaultRowHeight="15" customHeight="1" x14ac:dyDescent="0.35"/>
  <cols>
    <col min="1" max="1" width="24.453125" customWidth="1"/>
    <col min="2" max="36" width="8.81640625" customWidth="1"/>
  </cols>
  <sheetData>
    <row r="1" spans="1:52" ht="14.25" customHeight="1" x14ac:dyDescent="0.35">
      <c r="A1" s="1" t="s">
        <v>18</v>
      </c>
      <c r="B1" s="9">
        <v>2020</v>
      </c>
      <c r="C1" s="9">
        <v>2021</v>
      </c>
      <c r="D1" s="9">
        <v>2022</v>
      </c>
      <c r="E1" s="9">
        <v>2023</v>
      </c>
      <c r="F1" s="9">
        <v>2024</v>
      </c>
      <c r="G1" s="9">
        <v>2025</v>
      </c>
      <c r="H1" s="9">
        <v>2026</v>
      </c>
      <c r="I1" s="9">
        <v>2027</v>
      </c>
      <c r="J1" s="9">
        <v>2028</v>
      </c>
      <c r="K1" s="9">
        <v>2029</v>
      </c>
      <c r="L1" s="9">
        <v>2030</v>
      </c>
      <c r="M1" s="9">
        <v>2031</v>
      </c>
      <c r="N1" s="9">
        <v>2032</v>
      </c>
      <c r="O1" s="9">
        <v>2033</v>
      </c>
      <c r="P1" s="9">
        <v>2034</v>
      </c>
      <c r="Q1" s="9">
        <v>2035</v>
      </c>
      <c r="R1" s="9">
        <v>2036</v>
      </c>
      <c r="S1" s="9">
        <v>2037</v>
      </c>
      <c r="T1" s="9">
        <v>2038</v>
      </c>
      <c r="U1" s="9">
        <v>2039</v>
      </c>
      <c r="V1" s="9">
        <v>2040</v>
      </c>
      <c r="W1" s="9">
        <v>2041</v>
      </c>
      <c r="X1" s="9">
        <v>2042</v>
      </c>
      <c r="Y1" s="9">
        <v>2043</v>
      </c>
      <c r="Z1" s="9">
        <v>2044</v>
      </c>
      <c r="AA1" s="9">
        <v>2045</v>
      </c>
      <c r="AB1" s="9">
        <v>2046</v>
      </c>
      <c r="AC1" s="9">
        <v>2047</v>
      </c>
      <c r="AD1" s="9">
        <v>2048</v>
      </c>
      <c r="AE1" s="9">
        <v>2049</v>
      </c>
      <c r="AF1" s="9">
        <v>2050</v>
      </c>
      <c r="AG1" s="9">
        <v>2051</v>
      </c>
      <c r="AH1" s="9">
        <v>2052</v>
      </c>
      <c r="AI1" s="9">
        <v>2053</v>
      </c>
      <c r="AJ1" s="9">
        <v>2054</v>
      </c>
      <c r="AK1" s="9">
        <v>2055</v>
      </c>
      <c r="AL1" s="9">
        <v>2056</v>
      </c>
      <c r="AM1" s="9">
        <v>2057</v>
      </c>
      <c r="AN1" s="9">
        <v>2058</v>
      </c>
      <c r="AO1" s="9">
        <v>2059</v>
      </c>
      <c r="AP1" s="9">
        <v>2060</v>
      </c>
      <c r="AQ1" s="9">
        <v>2061</v>
      </c>
      <c r="AR1" s="9">
        <v>2062</v>
      </c>
      <c r="AS1" s="9">
        <v>2063</v>
      </c>
      <c r="AT1" s="9">
        <v>2064</v>
      </c>
      <c r="AU1" s="9">
        <v>2065</v>
      </c>
      <c r="AV1" s="9">
        <v>2066</v>
      </c>
      <c r="AW1" s="9">
        <v>2067</v>
      </c>
      <c r="AX1" s="9">
        <v>2068</v>
      </c>
      <c r="AY1" s="9">
        <v>2069</v>
      </c>
      <c r="AZ1" s="9">
        <v>2070</v>
      </c>
    </row>
    <row r="2" spans="1:52" ht="14.25" customHeight="1" x14ac:dyDescent="0.35">
      <c r="A2" s="2" t="s">
        <v>19</v>
      </c>
      <c r="B2" s="7">
        <f>'NVP-Indonesia'!$B$12+'NVP-Indonesia'!$B$12*'NVP-Indonesia'!B151</f>
        <v>21860</v>
      </c>
      <c r="C2" s="6">
        <f>B2+B2*'NVP-Indonesia'!B151</f>
        <v>21860</v>
      </c>
      <c r="D2" s="6">
        <f>C2+C2*'NVP-Indonesia'!C151</f>
        <v>21860</v>
      </c>
      <c r="E2" s="6">
        <f>D2+D2*'NVP-Indonesia'!D151</f>
        <v>21860</v>
      </c>
      <c r="F2" s="6">
        <f>E2+E2*'NVP-Indonesia'!E151</f>
        <v>21860</v>
      </c>
      <c r="G2" s="6">
        <f>F2+F2*'NVP-Indonesia'!F151</f>
        <v>21860</v>
      </c>
      <c r="H2" s="6">
        <f>G2+G2*'NVP-Indonesia'!G151</f>
        <v>21860</v>
      </c>
      <c r="I2" s="6">
        <f>H2+H2*'NVP-Indonesia'!H151</f>
        <v>21860</v>
      </c>
      <c r="J2" s="6">
        <f>I2+I2*'NVP-Indonesia'!I151</f>
        <v>21860</v>
      </c>
      <c r="K2" s="6">
        <f>J2+J2*'NVP-Indonesia'!J151</f>
        <v>21860</v>
      </c>
      <c r="L2" s="6">
        <f>K2+K2*'NVP-Indonesia'!K151</f>
        <v>21860</v>
      </c>
      <c r="M2" s="6">
        <f>L2+L2*'NVP-Indonesia'!L151</f>
        <v>21860</v>
      </c>
      <c r="N2" s="6">
        <f>M2+M2*'NVP-Indonesia'!M151</f>
        <v>21860</v>
      </c>
      <c r="O2" s="6">
        <f>N2+N2*'NVP-Indonesia'!N151</f>
        <v>21860</v>
      </c>
      <c r="P2" s="6">
        <f>O2+O2*'NVP-Indonesia'!O151</f>
        <v>21860</v>
      </c>
      <c r="Q2" s="6">
        <f>P2+P2*'NVP-Indonesia'!P151</f>
        <v>21860</v>
      </c>
      <c r="R2" s="6">
        <f>Q2+Q2*'NVP-Indonesia'!Q151</f>
        <v>21860</v>
      </c>
      <c r="S2" s="6">
        <f>R2+R2*'NVP-Indonesia'!R151</f>
        <v>21860</v>
      </c>
      <c r="T2" s="6">
        <f>S2+S2*'NVP-Indonesia'!S151</f>
        <v>21860</v>
      </c>
      <c r="U2" s="6">
        <f>T2+T2*'NVP-Indonesia'!T151</f>
        <v>21860</v>
      </c>
      <c r="V2" s="6">
        <f>U2+U2*'NVP-Indonesia'!U151</f>
        <v>21860</v>
      </c>
      <c r="W2" s="6">
        <f>V2+V2*'NVP-Indonesia'!V151</f>
        <v>21860</v>
      </c>
      <c r="X2" s="6">
        <f>W2+W2*'NVP-Indonesia'!W151</f>
        <v>21860</v>
      </c>
      <c r="Y2" s="6">
        <f>X2+X2*'NVP-Indonesia'!X151</f>
        <v>21860</v>
      </c>
      <c r="Z2" s="6">
        <f>Y2+Y2*'NVP-Indonesia'!Y151</f>
        <v>21860</v>
      </c>
      <c r="AA2" s="6">
        <f>Z2+Z2*'NVP-Indonesia'!Z151</f>
        <v>21860</v>
      </c>
      <c r="AB2" s="6">
        <f>AA2+AA2*'NVP-Indonesia'!AA151</f>
        <v>21860</v>
      </c>
      <c r="AC2" s="6">
        <f>AB2+AB2*'NVP-Indonesia'!AB151</f>
        <v>21860</v>
      </c>
      <c r="AD2" s="6">
        <f>AC2+AC2*'NVP-Indonesia'!AC151</f>
        <v>21860</v>
      </c>
      <c r="AE2" s="6">
        <f>AD2+AD2*'NVP-Indonesia'!AD151</f>
        <v>21860</v>
      </c>
      <c r="AF2" s="6">
        <f>AE2+AE2*'NVP-Indonesia'!AE151</f>
        <v>21860</v>
      </c>
      <c r="AG2" s="6">
        <f>AF2+AF2*'NVP-Indonesia'!AF151</f>
        <v>21860</v>
      </c>
      <c r="AH2" s="6">
        <f>AG2+AG2*'NVP-Indonesia'!AG151</f>
        <v>21860</v>
      </c>
      <c r="AI2" s="6">
        <f>AH2+AH2*'NVP-Indonesia'!AH151</f>
        <v>21860</v>
      </c>
      <c r="AJ2" s="6">
        <f>AI2+AI2*'NVP-Indonesia'!AI151</f>
        <v>21860</v>
      </c>
      <c r="AK2" s="6">
        <f>AJ2+AJ2*'NVP-Indonesia'!AJ151</f>
        <v>21860</v>
      </c>
      <c r="AL2" s="6">
        <f>AK2+AK2*'NVP-Indonesia'!AK151</f>
        <v>21860</v>
      </c>
      <c r="AM2" s="6">
        <f>AL2+AL2*'NVP-Indonesia'!AL151</f>
        <v>21860</v>
      </c>
      <c r="AN2" s="6">
        <f>AM2+AM2*'NVP-Indonesia'!AM151</f>
        <v>21860</v>
      </c>
      <c r="AO2" s="6">
        <f>AN2+AN2*'NVP-Indonesia'!AN151</f>
        <v>21860</v>
      </c>
      <c r="AP2" s="6">
        <f>AO2+AO2*'NVP-Indonesia'!AO151</f>
        <v>21860</v>
      </c>
      <c r="AQ2" s="6">
        <f>AP2+AP2*'NVP-Indonesia'!AP151</f>
        <v>21860</v>
      </c>
      <c r="AR2" s="6">
        <f>AQ2+AQ2*'NVP-Indonesia'!AQ151</f>
        <v>21860</v>
      </c>
      <c r="AS2" s="6">
        <f>AR2+AR2*'NVP-Indonesia'!AR151</f>
        <v>21860</v>
      </c>
      <c r="AT2" s="6">
        <f>AS2+AS2*'NVP-Indonesia'!AS151</f>
        <v>21860</v>
      </c>
      <c r="AU2" s="6">
        <f>AT2+AT2*'NVP-Indonesia'!AT151</f>
        <v>21860</v>
      </c>
      <c r="AV2" s="6">
        <f>AU2+AU2*'NVP-Indonesia'!AU151</f>
        <v>21860</v>
      </c>
      <c r="AW2" s="6">
        <f>AV2+AV2*'NVP-Indonesia'!AV151</f>
        <v>21860</v>
      </c>
      <c r="AX2" s="6">
        <f>AW2+AW2*'NVP-Indonesia'!AW151</f>
        <v>21860</v>
      </c>
      <c r="AY2" s="6">
        <f>AX2+AX2*'NVP-Indonesia'!AX151</f>
        <v>21860</v>
      </c>
      <c r="AZ2" s="6">
        <f>AY2+AY2*'NVP-Indonesia'!AY151</f>
        <v>21860</v>
      </c>
    </row>
    <row r="3" spans="1:52" ht="14.25" customHeight="1" x14ac:dyDescent="0.35">
      <c r="A3" s="2" t="s">
        <v>20</v>
      </c>
      <c r="B3" s="7">
        <f>'NVP-Indonesia'!$B$12+'NVP-Indonesia'!$B$12*'NVP-Indonesia'!B152</f>
        <v>21914.894665324216</v>
      </c>
      <c r="C3" s="6">
        <f>B3+B3*'NVP-Indonesia'!B152</f>
        <v>21969.927181713439</v>
      </c>
      <c r="D3" s="6">
        <f>C3+C3*'NVP-Indonesia'!C152</f>
        <v>21969.927181713439</v>
      </c>
      <c r="E3" s="6">
        <f>D3+D3*'NVP-Indonesia'!D152</f>
        <v>21969.927181713439</v>
      </c>
      <c r="F3" s="6">
        <f>E3+E3*'NVP-Indonesia'!E152</f>
        <v>21969.927181713439</v>
      </c>
      <c r="G3" s="6">
        <f>F3+F3*'NVP-Indonesia'!F152</f>
        <v>21969.927181713439</v>
      </c>
      <c r="H3" s="6">
        <f>G3+G3*'NVP-Indonesia'!G152</f>
        <v>21969.927181713439</v>
      </c>
      <c r="I3" s="6">
        <f>H3+H3*'NVP-Indonesia'!H152</f>
        <v>21969.927181713439</v>
      </c>
      <c r="J3" s="6">
        <f>I3+I3*'NVP-Indonesia'!I152</f>
        <v>21969.927181713439</v>
      </c>
      <c r="K3" s="6">
        <f>J3+J3*'NVP-Indonesia'!J152</f>
        <v>21969.927181713439</v>
      </c>
      <c r="L3" s="6">
        <f>K3+K3*'NVP-Indonesia'!K152</f>
        <v>21969.927181713439</v>
      </c>
      <c r="M3" s="6">
        <f>L3+L3*'NVP-Indonesia'!L152</f>
        <v>21969.927181713439</v>
      </c>
      <c r="N3" s="6">
        <f>M3+M3*'NVP-Indonesia'!M152</f>
        <v>21969.927181713439</v>
      </c>
      <c r="O3" s="6">
        <f>N3+N3*'NVP-Indonesia'!N152</f>
        <v>21969.927181713439</v>
      </c>
      <c r="P3" s="6">
        <f>O3+O3*'NVP-Indonesia'!O152</f>
        <v>21969.927181713439</v>
      </c>
      <c r="Q3" s="6">
        <f>P3+P3*'NVP-Indonesia'!P152</f>
        <v>21969.927181713439</v>
      </c>
      <c r="R3" s="6">
        <f>Q3+Q3*'NVP-Indonesia'!Q152</f>
        <v>21969.927181713439</v>
      </c>
      <c r="S3" s="6">
        <f>R3+R3*'NVP-Indonesia'!R152</f>
        <v>21969.927181713439</v>
      </c>
      <c r="T3" s="6">
        <f>S3+S3*'NVP-Indonesia'!S152</f>
        <v>21969.927181713439</v>
      </c>
      <c r="U3" s="6">
        <f>T3+T3*'NVP-Indonesia'!T152</f>
        <v>21969.927181713439</v>
      </c>
      <c r="V3" s="6">
        <f>U3+U3*'NVP-Indonesia'!U152</f>
        <v>21969.927181713439</v>
      </c>
      <c r="W3" s="6">
        <f>V3+V3*'NVP-Indonesia'!V152</f>
        <v>21969.927181713439</v>
      </c>
      <c r="X3" s="6">
        <f>W3+W3*'NVP-Indonesia'!W152</f>
        <v>21969.927181713439</v>
      </c>
      <c r="Y3" s="6">
        <f>X3+X3*'NVP-Indonesia'!X152</f>
        <v>21969.927181713439</v>
      </c>
      <c r="Z3" s="6">
        <f>Y3+Y3*'NVP-Indonesia'!Y152</f>
        <v>21969.927181713439</v>
      </c>
      <c r="AA3" s="6">
        <f>Z3+Z3*'NVP-Indonesia'!Z152</f>
        <v>21969.927181713439</v>
      </c>
      <c r="AB3" s="6">
        <f>AA3+AA3*'NVP-Indonesia'!AA152</f>
        <v>21969.927181713439</v>
      </c>
      <c r="AC3" s="6">
        <f>AB3+AB3*'NVP-Indonesia'!AB152</f>
        <v>21969.927181713439</v>
      </c>
      <c r="AD3" s="6">
        <f>AC3+AC3*'NVP-Indonesia'!AC152</f>
        <v>21969.927181713439</v>
      </c>
      <c r="AE3" s="6">
        <f>AD3+AD3*'NVP-Indonesia'!AD152</f>
        <v>21969.927181713439</v>
      </c>
      <c r="AF3" s="6">
        <f>AE3+AE3*'NVP-Indonesia'!AE152</f>
        <v>21969.927181713439</v>
      </c>
      <c r="AG3" s="6">
        <f>AF3+AF3*'NVP-Indonesia'!AF152</f>
        <v>21969.927181713439</v>
      </c>
      <c r="AH3" s="6">
        <f>AG3+AG3*'NVP-Indonesia'!AG152</f>
        <v>21969.927181713439</v>
      </c>
      <c r="AI3" s="6">
        <f>AH3+AH3*'NVP-Indonesia'!AH152</f>
        <v>21969.927181713439</v>
      </c>
      <c r="AJ3" s="6">
        <f>AI3+AI3*'NVP-Indonesia'!AI152</f>
        <v>21969.927181713439</v>
      </c>
      <c r="AK3" s="6">
        <f>AJ3+AJ3*'NVP-Indonesia'!AJ152</f>
        <v>21969.927181713439</v>
      </c>
      <c r="AL3" s="6">
        <f>AK3+AK3*'NVP-Indonesia'!AK152</f>
        <v>21969.927181713439</v>
      </c>
      <c r="AM3" s="6">
        <f>AL3+AL3*'NVP-Indonesia'!AL152</f>
        <v>21969.927181713439</v>
      </c>
      <c r="AN3" s="6">
        <f>AM3+AM3*'NVP-Indonesia'!AM152</f>
        <v>21969.927181713439</v>
      </c>
      <c r="AO3" s="6">
        <f>AN3+AN3*'NVP-Indonesia'!AN152</f>
        <v>21969.927181713439</v>
      </c>
      <c r="AP3" s="6">
        <f>AO3+AO3*'NVP-Indonesia'!AO152</f>
        <v>21969.927181713439</v>
      </c>
      <c r="AQ3" s="6">
        <f>AP3+AP3*'NVP-Indonesia'!AP152</f>
        <v>21969.927181713439</v>
      </c>
      <c r="AR3" s="6">
        <f>AQ3+AQ3*'NVP-Indonesia'!AQ152</f>
        <v>21969.927181713439</v>
      </c>
      <c r="AS3" s="6">
        <f>AR3+AR3*'NVP-Indonesia'!AR152</f>
        <v>21969.927181713439</v>
      </c>
      <c r="AT3" s="6">
        <f>AS3+AS3*'NVP-Indonesia'!AS152</f>
        <v>21969.927181713439</v>
      </c>
      <c r="AU3" s="6">
        <f>AT3+AT3*'NVP-Indonesia'!AT152</f>
        <v>21969.927181713439</v>
      </c>
      <c r="AV3" s="6">
        <f>AU3+AU3*'NVP-Indonesia'!AU152</f>
        <v>21969.927181713439</v>
      </c>
      <c r="AW3" s="6">
        <f>AV3+AV3*'NVP-Indonesia'!AV152</f>
        <v>21969.927181713439</v>
      </c>
      <c r="AX3" s="6">
        <f>AW3+AW3*'NVP-Indonesia'!AW152</f>
        <v>21969.927181713439</v>
      </c>
      <c r="AY3" s="6">
        <f>AX3+AX3*'NVP-Indonesia'!AX152</f>
        <v>21969.927181713439</v>
      </c>
      <c r="AZ3" s="6">
        <f>AY3+AY3*'NVP-Indonesia'!AY152</f>
        <v>21969.927181713439</v>
      </c>
    </row>
    <row r="4" spans="1:52" ht="14.25" customHeight="1" x14ac:dyDescent="0.35">
      <c r="A4" s="2" t="s">
        <v>21</v>
      </c>
      <c r="B4" s="7">
        <f>'NVP-Indonesia'!$B$12+'NVP-Indonesia'!$B$12*'NVP-Indonesia'!B153</f>
        <v>21860</v>
      </c>
      <c r="C4" s="6">
        <f>B4+B4*'NVP-Indonesia'!B153</f>
        <v>21860</v>
      </c>
      <c r="D4" s="6">
        <f>C4+C4*'NVP-Indonesia'!C153</f>
        <v>21860</v>
      </c>
      <c r="E4" s="6">
        <f>D4+D4*'NVP-Indonesia'!D153</f>
        <v>21860</v>
      </c>
      <c r="F4" s="6">
        <f>E4+E4*'NVP-Indonesia'!E153</f>
        <v>21860</v>
      </c>
      <c r="G4" s="6">
        <f>F4+F4*'NVP-Indonesia'!F153</f>
        <v>21860</v>
      </c>
      <c r="H4" s="6">
        <f>G4+G4*'NVP-Indonesia'!G153</f>
        <v>21860</v>
      </c>
      <c r="I4" s="6">
        <f>H4+H4*'NVP-Indonesia'!H153</f>
        <v>21860</v>
      </c>
      <c r="J4" s="6">
        <f>I4+I4*'NVP-Indonesia'!I153</f>
        <v>21860</v>
      </c>
      <c r="K4" s="6">
        <f>J4+J4*'NVP-Indonesia'!J153</f>
        <v>21860</v>
      </c>
      <c r="L4" s="6">
        <f>K4+K4*'NVP-Indonesia'!K153</f>
        <v>21860</v>
      </c>
      <c r="M4" s="6">
        <f>L4+L4*'NVP-Indonesia'!L153</f>
        <v>21860</v>
      </c>
      <c r="N4" s="6">
        <f>M4+M4*'NVP-Indonesia'!M153</f>
        <v>21860</v>
      </c>
      <c r="O4" s="6">
        <f>N4+N4*'NVP-Indonesia'!N153</f>
        <v>21860</v>
      </c>
      <c r="P4" s="6">
        <f>O4+O4*'NVP-Indonesia'!O153</f>
        <v>21860</v>
      </c>
      <c r="Q4" s="6">
        <f>P4+P4*'NVP-Indonesia'!P153</f>
        <v>21860</v>
      </c>
      <c r="R4" s="6">
        <f>Q4+Q4*'NVP-Indonesia'!Q153</f>
        <v>21860</v>
      </c>
      <c r="S4" s="6">
        <f>R4+R4*'NVP-Indonesia'!R153</f>
        <v>21860</v>
      </c>
      <c r="T4" s="6">
        <f>S4+S4*'NVP-Indonesia'!S153</f>
        <v>21860</v>
      </c>
      <c r="U4" s="6">
        <f>T4+T4*'NVP-Indonesia'!T153</f>
        <v>21860</v>
      </c>
      <c r="V4" s="6">
        <f>U4+U4*'NVP-Indonesia'!U153</f>
        <v>21860</v>
      </c>
      <c r="W4" s="6">
        <f>V4+V4*'NVP-Indonesia'!V153</f>
        <v>21860</v>
      </c>
      <c r="X4" s="6">
        <f>W4+W4*'NVP-Indonesia'!W153</f>
        <v>21860</v>
      </c>
      <c r="Y4" s="6">
        <f>X4+X4*'NVP-Indonesia'!X153</f>
        <v>21860</v>
      </c>
      <c r="Z4" s="6">
        <f>Y4+Y4*'NVP-Indonesia'!Y153</f>
        <v>21860</v>
      </c>
      <c r="AA4" s="6">
        <f>Z4+Z4*'NVP-Indonesia'!Z153</f>
        <v>21860</v>
      </c>
      <c r="AB4" s="6">
        <f>AA4+AA4*'NVP-Indonesia'!AA153</f>
        <v>21860</v>
      </c>
      <c r="AC4" s="6">
        <f>AB4+AB4*'NVP-Indonesia'!AB153</f>
        <v>21860</v>
      </c>
      <c r="AD4" s="6">
        <f>AC4+AC4*'NVP-Indonesia'!AC153</f>
        <v>21860</v>
      </c>
      <c r="AE4" s="6">
        <f>AD4+AD4*'NVP-Indonesia'!AD153</f>
        <v>21860</v>
      </c>
      <c r="AF4" s="6">
        <f>AE4+AE4*'NVP-Indonesia'!AE153</f>
        <v>21860</v>
      </c>
      <c r="AG4" s="6">
        <f>AF4+AF4*'NVP-Indonesia'!AF153</f>
        <v>21860</v>
      </c>
      <c r="AH4" s="6">
        <f>AG4+AG4*'NVP-Indonesia'!AG153</f>
        <v>21860</v>
      </c>
      <c r="AI4" s="6">
        <f>AH4+AH4*'NVP-Indonesia'!AH153</f>
        <v>21860</v>
      </c>
      <c r="AJ4" s="6">
        <f>AI4+AI4*'NVP-Indonesia'!AI153</f>
        <v>21860</v>
      </c>
      <c r="AK4" s="6">
        <f>AJ4+AJ4*'NVP-Indonesia'!AJ153</f>
        <v>21860</v>
      </c>
      <c r="AL4" s="6">
        <f>AK4+AK4*'NVP-Indonesia'!AK153</f>
        <v>21860</v>
      </c>
      <c r="AM4" s="6">
        <f>AL4+AL4*'NVP-Indonesia'!AL153</f>
        <v>21860</v>
      </c>
      <c r="AN4" s="6">
        <f>AM4+AM4*'NVP-Indonesia'!AM153</f>
        <v>21860</v>
      </c>
      <c r="AO4" s="6">
        <f>AN4+AN4*'NVP-Indonesia'!AN153</f>
        <v>21860</v>
      </c>
      <c r="AP4" s="6">
        <f>AO4+AO4*'NVP-Indonesia'!AO153</f>
        <v>21860</v>
      </c>
      <c r="AQ4" s="6">
        <f>AP4+AP4*'NVP-Indonesia'!AP153</f>
        <v>21860</v>
      </c>
      <c r="AR4" s="6">
        <f>AQ4+AQ4*'NVP-Indonesia'!AQ153</f>
        <v>21860</v>
      </c>
      <c r="AS4" s="6">
        <f>AR4+AR4*'NVP-Indonesia'!AR153</f>
        <v>21860</v>
      </c>
      <c r="AT4" s="6">
        <f>AS4+AS4*'NVP-Indonesia'!AS153</f>
        <v>21860</v>
      </c>
      <c r="AU4" s="6">
        <f>AT4+AT4*'NVP-Indonesia'!AT153</f>
        <v>21860</v>
      </c>
      <c r="AV4" s="6">
        <f>AU4+AU4*'NVP-Indonesia'!AU153</f>
        <v>21860</v>
      </c>
      <c r="AW4" s="6">
        <f>AV4+AV4*'NVP-Indonesia'!AV153</f>
        <v>21860</v>
      </c>
      <c r="AX4" s="6">
        <f>AW4+AW4*'NVP-Indonesia'!AW153</f>
        <v>21860</v>
      </c>
      <c r="AY4" s="6">
        <f>AX4+AX4*'NVP-Indonesia'!AX153</f>
        <v>21860</v>
      </c>
      <c r="AZ4" s="6">
        <f>AY4+AY4*'NVP-Indonesia'!AY153</f>
        <v>21860</v>
      </c>
    </row>
    <row r="5" spans="1:52" ht="14.25" customHeight="1" x14ac:dyDescent="0.35">
      <c r="A5" s="2" t="s">
        <v>22</v>
      </c>
      <c r="B5" s="7">
        <f>'NVP-Indonesia'!$B$12+'NVP-Indonesia'!$B$12*'NVP-Indonesia'!B154</f>
        <v>21860</v>
      </c>
      <c r="C5" s="6">
        <f>B5+B5*'NVP-Indonesia'!B154</f>
        <v>21860</v>
      </c>
      <c r="D5" s="6">
        <f>C5+C5*'NVP-Indonesia'!C154</f>
        <v>21860</v>
      </c>
      <c r="E5" s="6">
        <f>D5+D5*'NVP-Indonesia'!D154</f>
        <v>21860</v>
      </c>
      <c r="F5" s="6">
        <f>E5+E5*'NVP-Indonesia'!E154</f>
        <v>21860</v>
      </c>
      <c r="G5" s="6">
        <f>F5+F5*'NVP-Indonesia'!F154</f>
        <v>21860</v>
      </c>
      <c r="H5" s="6">
        <f>G5+G5*'NVP-Indonesia'!G154</f>
        <v>21860</v>
      </c>
      <c r="I5" s="6">
        <f>H5+H5*'NVP-Indonesia'!H154</f>
        <v>21860</v>
      </c>
      <c r="J5" s="6">
        <f>I5+I5*'NVP-Indonesia'!I154</f>
        <v>21860</v>
      </c>
      <c r="K5" s="6">
        <f>J5+J5*'NVP-Indonesia'!J154</f>
        <v>21860</v>
      </c>
      <c r="L5" s="6">
        <f>K5+K5*'NVP-Indonesia'!K154</f>
        <v>21860</v>
      </c>
      <c r="M5" s="6">
        <f>L5+L5*'NVP-Indonesia'!L154</f>
        <v>21860</v>
      </c>
      <c r="N5" s="6">
        <f>M5+M5*'NVP-Indonesia'!M154</f>
        <v>21860</v>
      </c>
      <c r="O5" s="6">
        <f>N5+N5*'NVP-Indonesia'!N154</f>
        <v>21860</v>
      </c>
      <c r="P5" s="6">
        <f>O5+O5*'NVP-Indonesia'!O154</f>
        <v>21860</v>
      </c>
      <c r="Q5" s="6">
        <f>P5+P5*'NVP-Indonesia'!P154</f>
        <v>21860</v>
      </c>
      <c r="R5" s="6">
        <f>Q5+Q5*'NVP-Indonesia'!Q154</f>
        <v>21860</v>
      </c>
      <c r="S5" s="6">
        <f>R5+R5*'NVP-Indonesia'!R154</f>
        <v>21860</v>
      </c>
      <c r="T5" s="6">
        <f>S5+S5*'NVP-Indonesia'!S154</f>
        <v>21860</v>
      </c>
      <c r="U5" s="6">
        <f>T5+T5*'NVP-Indonesia'!T154</f>
        <v>21860</v>
      </c>
      <c r="V5" s="6">
        <f>U5+U5*'NVP-Indonesia'!U154</f>
        <v>21860</v>
      </c>
      <c r="W5" s="6">
        <f>V5+V5*'NVP-Indonesia'!V154</f>
        <v>21860</v>
      </c>
      <c r="X5" s="6">
        <f>W5+W5*'NVP-Indonesia'!W154</f>
        <v>21860</v>
      </c>
      <c r="Y5" s="6">
        <f>X5+X5*'NVP-Indonesia'!X154</f>
        <v>21860</v>
      </c>
      <c r="Z5" s="6">
        <f>Y5+Y5*'NVP-Indonesia'!Y154</f>
        <v>21860</v>
      </c>
      <c r="AA5" s="6">
        <f>Z5+Z5*'NVP-Indonesia'!Z154</f>
        <v>21860</v>
      </c>
      <c r="AB5" s="6">
        <f>AA5+AA5*'NVP-Indonesia'!AA154</f>
        <v>21860</v>
      </c>
      <c r="AC5" s="6">
        <f>AB5+AB5*'NVP-Indonesia'!AB154</f>
        <v>21860</v>
      </c>
      <c r="AD5" s="6">
        <f>AC5+AC5*'NVP-Indonesia'!AC154</f>
        <v>21860</v>
      </c>
      <c r="AE5" s="6">
        <f>AD5+AD5*'NVP-Indonesia'!AD154</f>
        <v>21860</v>
      </c>
      <c r="AF5" s="6">
        <f>AE5+AE5*'NVP-Indonesia'!AE154</f>
        <v>21860</v>
      </c>
      <c r="AG5" s="6">
        <f>AF5+AF5*'NVP-Indonesia'!AF154</f>
        <v>21860</v>
      </c>
      <c r="AH5" s="6">
        <f>AG5+AG5*'NVP-Indonesia'!AG154</f>
        <v>21860</v>
      </c>
      <c r="AI5" s="6">
        <f>AH5+AH5*'NVP-Indonesia'!AH154</f>
        <v>21860</v>
      </c>
      <c r="AJ5" s="6">
        <f>AI5+AI5*'NVP-Indonesia'!AI154</f>
        <v>21860</v>
      </c>
      <c r="AK5" s="6">
        <f>AJ5+AJ5*'NVP-Indonesia'!AJ154</f>
        <v>21860</v>
      </c>
      <c r="AL5" s="6">
        <f>AK5+AK5*'NVP-Indonesia'!AK154</f>
        <v>21860</v>
      </c>
      <c r="AM5" s="6">
        <f>AL5+AL5*'NVP-Indonesia'!AL154</f>
        <v>21860</v>
      </c>
      <c r="AN5" s="6">
        <f>AM5+AM5*'NVP-Indonesia'!AM154</f>
        <v>21860</v>
      </c>
      <c r="AO5" s="6">
        <f>AN5+AN5*'NVP-Indonesia'!AN154</f>
        <v>21860</v>
      </c>
      <c r="AP5" s="6">
        <f>AO5+AO5*'NVP-Indonesia'!AO154</f>
        <v>21860</v>
      </c>
      <c r="AQ5" s="6">
        <f>AP5+AP5*'NVP-Indonesia'!AP154</f>
        <v>21860</v>
      </c>
      <c r="AR5" s="6">
        <f>AQ5+AQ5*'NVP-Indonesia'!AQ154</f>
        <v>21860</v>
      </c>
      <c r="AS5" s="6">
        <f>AR5+AR5*'NVP-Indonesia'!AR154</f>
        <v>21860</v>
      </c>
      <c r="AT5" s="6">
        <f>AS5+AS5*'NVP-Indonesia'!AS154</f>
        <v>21860</v>
      </c>
      <c r="AU5" s="6">
        <f>AT5+AT5*'NVP-Indonesia'!AT154</f>
        <v>21860</v>
      </c>
      <c r="AV5" s="6">
        <f>AU5+AU5*'NVP-Indonesia'!AU154</f>
        <v>21860</v>
      </c>
      <c r="AW5" s="6">
        <f>AV5+AV5*'NVP-Indonesia'!AV154</f>
        <v>21860</v>
      </c>
      <c r="AX5" s="6">
        <f>AW5+AW5*'NVP-Indonesia'!AW154</f>
        <v>21860</v>
      </c>
      <c r="AY5" s="6">
        <f>AX5+AX5*'NVP-Indonesia'!AX154</f>
        <v>21860</v>
      </c>
      <c r="AZ5" s="6">
        <f>AY5+AY5*'NVP-Indonesia'!AY154</f>
        <v>21860</v>
      </c>
    </row>
    <row r="6" spans="1:52" ht="14.25" customHeight="1" x14ac:dyDescent="0.35">
      <c r="A6" s="2" t="s">
        <v>23</v>
      </c>
      <c r="B6" s="7">
        <f>'NVP-Indonesia'!$B$12+'NVP-Indonesia'!$B$12*'NVP-Indonesia'!B155</f>
        <v>21890.968493073753</v>
      </c>
      <c r="C6" s="6">
        <f>B6+B6*'NVP-Indonesia'!B155</f>
        <v>21921.980858405659</v>
      </c>
      <c r="D6" s="6">
        <f>C6+C6*'NVP-Indonesia'!C155</f>
        <v>21921.980858405659</v>
      </c>
      <c r="E6" s="6">
        <f>D6+D6*'NVP-Indonesia'!D155</f>
        <v>21921.980858405659</v>
      </c>
      <c r="F6" s="6">
        <f>E6+E6*'NVP-Indonesia'!E155</f>
        <v>21921.980858405659</v>
      </c>
      <c r="G6" s="6">
        <f>F6+F6*'NVP-Indonesia'!F155</f>
        <v>21921.980858405659</v>
      </c>
      <c r="H6" s="6">
        <f>G6+G6*'NVP-Indonesia'!G155</f>
        <v>21921.980858405659</v>
      </c>
      <c r="I6" s="6">
        <f>H6+H6*'NVP-Indonesia'!H155</f>
        <v>21921.980858405659</v>
      </c>
      <c r="J6" s="6">
        <f>I6+I6*'NVP-Indonesia'!I155</f>
        <v>21921.980858405659</v>
      </c>
      <c r="K6" s="6">
        <f>J6+J6*'NVP-Indonesia'!J155</f>
        <v>21921.980858405659</v>
      </c>
      <c r="L6" s="6">
        <f>K6+K6*'NVP-Indonesia'!K155</f>
        <v>21921.980858405659</v>
      </c>
      <c r="M6" s="6">
        <f>L6+L6*'NVP-Indonesia'!L155</f>
        <v>21921.980858405659</v>
      </c>
      <c r="N6" s="6">
        <f>M6+M6*'NVP-Indonesia'!M155</f>
        <v>21921.980858405659</v>
      </c>
      <c r="O6" s="6">
        <f>N6+N6*'NVP-Indonesia'!N155</f>
        <v>21921.980858405659</v>
      </c>
      <c r="P6" s="6">
        <f>O6+O6*'NVP-Indonesia'!O155</f>
        <v>21921.980858405659</v>
      </c>
      <c r="Q6" s="6">
        <f>P6+P6*'NVP-Indonesia'!P155</f>
        <v>21921.980858405659</v>
      </c>
      <c r="R6" s="6">
        <f>Q6+Q6*'NVP-Indonesia'!Q155</f>
        <v>21921.980858405659</v>
      </c>
      <c r="S6" s="6">
        <f>R6+R6*'NVP-Indonesia'!R155</f>
        <v>21921.980858405659</v>
      </c>
      <c r="T6" s="6">
        <f>S6+S6*'NVP-Indonesia'!S155</f>
        <v>21921.980858405659</v>
      </c>
      <c r="U6" s="6">
        <f>T6+T6*'NVP-Indonesia'!T155</f>
        <v>21921.980858405659</v>
      </c>
      <c r="V6" s="6">
        <f>U6+U6*'NVP-Indonesia'!U155</f>
        <v>21921.980858405659</v>
      </c>
      <c r="W6" s="6">
        <f>V6+V6*'NVP-Indonesia'!V155</f>
        <v>21921.980858405659</v>
      </c>
      <c r="X6" s="6">
        <f>W6+W6*'NVP-Indonesia'!W155</f>
        <v>21921.980858405659</v>
      </c>
      <c r="Y6" s="6">
        <f>X6+X6*'NVP-Indonesia'!X155</f>
        <v>21921.980858405659</v>
      </c>
      <c r="Z6" s="6">
        <f>Y6+Y6*'NVP-Indonesia'!Y155</f>
        <v>21921.980858405659</v>
      </c>
      <c r="AA6" s="6">
        <f>Z6+Z6*'NVP-Indonesia'!Z155</f>
        <v>21921.980858405659</v>
      </c>
      <c r="AB6" s="6">
        <f>AA6+AA6*'NVP-Indonesia'!AA155</f>
        <v>21921.980858405659</v>
      </c>
      <c r="AC6" s="6">
        <f>AB6+AB6*'NVP-Indonesia'!AB155</f>
        <v>21921.980858405659</v>
      </c>
      <c r="AD6" s="6">
        <f>AC6+AC6*'NVP-Indonesia'!AC155</f>
        <v>21921.980858405659</v>
      </c>
      <c r="AE6" s="6">
        <f>AD6+AD6*'NVP-Indonesia'!AD155</f>
        <v>21921.980858405659</v>
      </c>
      <c r="AF6" s="6">
        <f>AE6+AE6*'NVP-Indonesia'!AE155</f>
        <v>21921.980858405659</v>
      </c>
      <c r="AG6" s="6">
        <f>AF6+AF6*'NVP-Indonesia'!AF155</f>
        <v>21921.980858405659</v>
      </c>
      <c r="AH6" s="6">
        <f>AG6+AG6*'NVP-Indonesia'!AG155</f>
        <v>21921.980858405659</v>
      </c>
      <c r="AI6" s="6">
        <f>AH6+AH6*'NVP-Indonesia'!AH155</f>
        <v>21921.980858405659</v>
      </c>
      <c r="AJ6" s="6">
        <f>AI6+AI6*'NVP-Indonesia'!AI155</f>
        <v>21921.980858405659</v>
      </c>
      <c r="AK6" s="6">
        <f>AJ6+AJ6*'NVP-Indonesia'!AJ155</f>
        <v>21921.980858405659</v>
      </c>
      <c r="AL6" s="6">
        <f>AK6+AK6*'NVP-Indonesia'!AK155</f>
        <v>21921.980858405659</v>
      </c>
      <c r="AM6" s="6">
        <f>AL6+AL6*'NVP-Indonesia'!AL155</f>
        <v>21921.980858405659</v>
      </c>
      <c r="AN6" s="6">
        <f>AM6+AM6*'NVP-Indonesia'!AM155</f>
        <v>21921.980858405659</v>
      </c>
      <c r="AO6" s="6">
        <f>AN6+AN6*'NVP-Indonesia'!AN155</f>
        <v>21921.980858405659</v>
      </c>
      <c r="AP6" s="6">
        <f>AO6+AO6*'NVP-Indonesia'!AO155</f>
        <v>21921.980858405659</v>
      </c>
      <c r="AQ6" s="6">
        <f>AP6+AP6*'NVP-Indonesia'!AP155</f>
        <v>21921.980858405659</v>
      </c>
      <c r="AR6" s="6">
        <f>AQ6+AQ6*'NVP-Indonesia'!AQ155</f>
        <v>21921.980858405659</v>
      </c>
      <c r="AS6" s="6">
        <f>AR6+AR6*'NVP-Indonesia'!AR155</f>
        <v>21921.980858405659</v>
      </c>
      <c r="AT6" s="6">
        <f>AS6+AS6*'NVP-Indonesia'!AS155</f>
        <v>21921.980858405659</v>
      </c>
      <c r="AU6" s="6">
        <f>AT6+AT6*'NVP-Indonesia'!AT155</f>
        <v>21921.980858405659</v>
      </c>
      <c r="AV6" s="6">
        <f>AU6+AU6*'NVP-Indonesia'!AU155</f>
        <v>21921.980858405659</v>
      </c>
      <c r="AW6" s="6">
        <f>AV6+AV6*'NVP-Indonesia'!AV155</f>
        <v>21921.980858405659</v>
      </c>
      <c r="AX6" s="6">
        <f>AW6+AW6*'NVP-Indonesia'!AW155</f>
        <v>21921.980858405659</v>
      </c>
      <c r="AY6" s="6">
        <f>AX6+AX6*'NVP-Indonesia'!AX155</f>
        <v>21921.980858405659</v>
      </c>
      <c r="AZ6" s="6">
        <f>AY6+AY6*'NVP-Indonesia'!AY155</f>
        <v>21921.980858405659</v>
      </c>
    </row>
    <row r="7" spans="1:52" ht="14.25" customHeight="1" x14ac:dyDescent="0.35">
      <c r="A7" s="2" t="s">
        <v>24</v>
      </c>
      <c r="B7" s="7">
        <f>'NVP-Indonesia'!$B$12+'NVP-Indonesia'!$B$12*'NVP-Indonesia'!B156</f>
        <v>21898.340549557</v>
      </c>
      <c r="C7" s="6">
        <f>B7+B7*'NVP-Indonesia'!B156</f>
        <v>21936.748345122251</v>
      </c>
      <c r="D7" s="6">
        <f>C7+C7*'NVP-Indonesia'!C156</f>
        <v>21936.748345122251</v>
      </c>
      <c r="E7" s="6">
        <f>D7+D7*'NVP-Indonesia'!D156</f>
        <v>21936.748345122251</v>
      </c>
      <c r="F7" s="6">
        <f>E7+E7*'NVP-Indonesia'!E156</f>
        <v>21936.748345122251</v>
      </c>
      <c r="G7" s="6">
        <f>F7+F7*'NVP-Indonesia'!F156</f>
        <v>21936.748345122251</v>
      </c>
      <c r="H7" s="6">
        <f>G7+G7*'NVP-Indonesia'!G156</f>
        <v>21936.748345122251</v>
      </c>
      <c r="I7" s="6">
        <f>H7+H7*'NVP-Indonesia'!H156</f>
        <v>21936.748345122251</v>
      </c>
      <c r="J7" s="6">
        <f>I7+I7*'NVP-Indonesia'!I156</f>
        <v>21936.748345122251</v>
      </c>
      <c r="K7" s="6">
        <f>J7+J7*'NVP-Indonesia'!J156</f>
        <v>21936.748345122251</v>
      </c>
      <c r="L7" s="6">
        <f>K7+K7*'NVP-Indonesia'!K156</f>
        <v>21936.748345122251</v>
      </c>
      <c r="M7" s="6">
        <f>L7+L7*'NVP-Indonesia'!L156</f>
        <v>21936.748345122251</v>
      </c>
      <c r="N7" s="6">
        <f>M7+M7*'NVP-Indonesia'!M156</f>
        <v>21936.748345122251</v>
      </c>
      <c r="O7" s="6">
        <f>N7+N7*'NVP-Indonesia'!N156</f>
        <v>21936.748345122251</v>
      </c>
      <c r="P7" s="6">
        <f>O7+O7*'NVP-Indonesia'!O156</f>
        <v>21936.748345122251</v>
      </c>
      <c r="Q7" s="6">
        <f>P7+P7*'NVP-Indonesia'!P156</f>
        <v>21936.748345122251</v>
      </c>
      <c r="R7" s="6">
        <f>Q7+Q7*'NVP-Indonesia'!Q156</f>
        <v>21936.748345122251</v>
      </c>
      <c r="S7" s="6">
        <f>R7+R7*'NVP-Indonesia'!R156</f>
        <v>21936.748345122251</v>
      </c>
      <c r="T7" s="6">
        <f>S7+S7*'NVP-Indonesia'!S156</f>
        <v>21936.748345122251</v>
      </c>
      <c r="U7" s="6">
        <f>T7+T7*'NVP-Indonesia'!T156</f>
        <v>21936.748345122251</v>
      </c>
      <c r="V7" s="6">
        <f>U7+U7*'NVP-Indonesia'!U156</f>
        <v>21936.748345122251</v>
      </c>
      <c r="W7" s="6">
        <f>V7+V7*'NVP-Indonesia'!V156</f>
        <v>21936.748345122251</v>
      </c>
      <c r="X7" s="6">
        <f>W7+W7*'NVP-Indonesia'!W156</f>
        <v>21936.748345122251</v>
      </c>
      <c r="Y7" s="6">
        <f>X7+X7*'NVP-Indonesia'!X156</f>
        <v>21936.748345122251</v>
      </c>
      <c r="Z7" s="6">
        <f>Y7+Y7*'NVP-Indonesia'!Y156</f>
        <v>21936.748345122251</v>
      </c>
      <c r="AA7" s="6">
        <f>Z7+Z7*'NVP-Indonesia'!Z156</f>
        <v>21936.748345122251</v>
      </c>
      <c r="AB7" s="6">
        <f>AA7+AA7*'NVP-Indonesia'!AA156</f>
        <v>21936.748345122251</v>
      </c>
      <c r="AC7" s="6">
        <f>AB7+AB7*'NVP-Indonesia'!AB156</f>
        <v>21936.748345122251</v>
      </c>
      <c r="AD7" s="6">
        <f>AC7+AC7*'NVP-Indonesia'!AC156</f>
        <v>21936.748345122251</v>
      </c>
      <c r="AE7" s="6">
        <f>AD7+AD7*'NVP-Indonesia'!AD156</f>
        <v>21936.748345122251</v>
      </c>
      <c r="AF7" s="6">
        <f>AE7+AE7*'NVP-Indonesia'!AE156</f>
        <v>21936.748345122251</v>
      </c>
      <c r="AG7" s="6">
        <f>AF7+AF7*'NVP-Indonesia'!AF156</f>
        <v>21936.748345122251</v>
      </c>
      <c r="AH7" s="6">
        <f>AG7+AG7*'NVP-Indonesia'!AG156</f>
        <v>21936.748345122251</v>
      </c>
      <c r="AI7" s="6">
        <f>AH7+AH7*'NVP-Indonesia'!AH156</f>
        <v>21936.748345122251</v>
      </c>
      <c r="AJ7" s="6">
        <f>AI7+AI7*'NVP-Indonesia'!AI156</f>
        <v>21936.748345122251</v>
      </c>
      <c r="AK7" s="6">
        <f>AJ7+AJ7*'NVP-Indonesia'!AJ156</f>
        <v>21936.748345122251</v>
      </c>
      <c r="AL7" s="6">
        <f>AK7+AK7*'NVP-Indonesia'!AK156</f>
        <v>21936.748345122251</v>
      </c>
      <c r="AM7" s="6">
        <f>AL7+AL7*'NVP-Indonesia'!AL156</f>
        <v>21936.748345122251</v>
      </c>
      <c r="AN7" s="6">
        <f>AM7+AM7*'NVP-Indonesia'!AM156</f>
        <v>21936.748345122251</v>
      </c>
      <c r="AO7" s="6">
        <f>AN7+AN7*'NVP-Indonesia'!AN156</f>
        <v>21936.748345122251</v>
      </c>
      <c r="AP7" s="6">
        <f>AO7+AO7*'NVP-Indonesia'!AO156</f>
        <v>21936.748345122251</v>
      </c>
      <c r="AQ7" s="6">
        <f>AP7+AP7*'NVP-Indonesia'!AP156</f>
        <v>21936.748345122251</v>
      </c>
      <c r="AR7" s="6">
        <f>AQ7+AQ7*'NVP-Indonesia'!AQ156</f>
        <v>21936.748345122251</v>
      </c>
      <c r="AS7" s="6">
        <f>AR7+AR7*'NVP-Indonesia'!AR156</f>
        <v>21936.748345122251</v>
      </c>
      <c r="AT7" s="6">
        <f>AS7+AS7*'NVP-Indonesia'!AS156</f>
        <v>21936.748345122251</v>
      </c>
      <c r="AU7" s="6">
        <f>AT7+AT7*'NVP-Indonesia'!AT156</f>
        <v>21936.748345122251</v>
      </c>
      <c r="AV7" s="6">
        <f>AU7+AU7*'NVP-Indonesia'!AU156</f>
        <v>21936.748345122251</v>
      </c>
      <c r="AW7" s="6">
        <f>AV7+AV7*'NVP-Indonesia'!AV156</f>
        <v>21936.748345122251</v>
      </c>
      <c r="AX7" s="6">
        <f>AW7+AW7*'NVP-Indonesia'!AW156</f>
        <v>21936.748345122251</v>
      </c>
      <c r="AY7" s="6">
        <f>AX7+AX7*'NVP-Indonesia'!AX156</f>
        <v>21936.748345122251</v>
      </c>
      <c r="AZ7" s="6">
        <f>AY7+AY7*'NVP-Indonesia'!AY156</f>
        <v>21936.748345122251</v>
      </c>
    </row>
    <row r="8" spans="1:52" ht="14.25" customHeight="1" x14ac:dyDescent="0.35">
      <c r="A8" s="2" t="s">
        <v>25</v>
      </c>
      <c r="B8" s="7">
        <f>'NVP-Indonesia'!$B$12+'NVP-Indonesia'!$B$12*'NVP-Indonesia'!B157</f>
        <v>21464.220566818545</v>
      </c>
      <c r="C8" s="6">
        <f>B8+B8*'NVP-Indonesia'!B157</f>
        <v>21075.606795106873</v>
      </c>
      <c r="D8" s="6">
        <f>C8+C8*'NVP-Indonesia'!C157</f>
        <v>21075.606795106873</v>
      </c>
      <c r="E8" s="6">
        <f>D8+D8*'NVP-Indonesia'!D157</f>
        <v>21075.606795106873</v>
      </c>
      <c r="F8" s="6">
        <f>E8+E8*'NVP-Indonesia'!E157</f>
        <v>21075.606795106873</v>
      </c>
      <c r="G8" s="6">
        <f>F8+F8*'NVP-Indonesia'!F157</f>
        <v>21075.606795106873</v>
      </c>
      <c r="H8" s="6">
        <f>G8+G8*'NVP-Indonesia'!G157</f>
        <v>21075.606795106873</v>
      </c>
      <c r="I8" s="6">
        <f>H8+H8*'NVP-Indonesia'!H157</f>
        <v>21075.606795106873</v>
      </c>
      <c r="J8" s="6">
        <f>I8+I8*'NVP-Indonesia'!I157</f>
        <v>21075.606795106873</v>
      </c>
      <c r="K8" s="6">
        <f>J8+J8*'NVP-Indonesia'!J157</f>
        <v>21075.606795106873</v>
      </c>
      <c r="L8" s="6">
        <f>K8+K8*'NVP-Indonesia'!K157</f>
        <v>21075.606795106873</v>
      </c>
      <c r="M8" s="6">
        <f>L8+L8*'NVP-Indonesia'!L157</f>
        <v>21075.606795106873</v>
      </c>
      <c r="N8" s="6">
        <f>M8+M8*'NVP-Indonesia'!M157</f>
        <v>21075.606795106873</v>
      </c>
      <c r="O8" s="6">
        <f>N8+N8*'NVP-Indonesia'!N157</f>
        <v>21075.606795106873</v>
      </c>
      <c r="P8" s="6">
        <f>O8+O8*'NVP-Indonesia'!O157</f>
        <v>21075.606795106873</v>
      </c>
      <c r="Q8" s="6">
        <f>P8+P8*'NVP-Indonesia'!P157</f>
        <v>21075.606795106873</v>
      </c>
      <c r="R8" s="6">
        <f>Q8+Q8*'NVP-Indonesia'!Q157</f>
        <v>21075.606795106873</v>
      </c>
      <c r="S8" s="6">
        <f>R8+R8*'NVP-Indonesia'!R157</f>
        <v>21075.606795106873</v>
      </c>
      <c r="T8" s="6">
        <f>S8+S8*'NVP-Indonesia'!S157</f>
        <v>21075.606795106873</v>
      </c>
      <c r="U8" s="6">
        <f>T8+T8*'NVP-Indonesia'!T157</f>
        <v>21075.606795106873</v>
      </c>
      <c r="V8" s="6">
        <f>U8+U8*'NVP-Indonesia'!U157</f>
        <v>21075.606795106873</v>
      </c>
      <c r="W8" s="6">
        <f>V8+V8*'NVP-Indonesia'!V157</f>
        <v>21075.606795106873</v>
      </c>
      <c r="X8" s="6">
        <f>W8+W8*'NVP-Indonesia'!W157</f>
        <v>21075.606795106873</v>
      </c>
      <c r="Y8" s="6">
        <f>X8+X8*'NVP-Indonesia'!X157</f>
        <v>21075.606795106873</v>
      </c>
      <c r="Z8" s="6">
        <f>Y8+Y8*'NVP-Indonesia'!Y157</f>
        <v>21075.606795106873</v>
      </c>
      <c r="AA8" s="6">
        <f>Z8+Z8*'NVP-Indonesia'!Z157</f>
        <v>21075.606795106873</v>
      </c>
      <c r="AB8" s="6">
        <f>AA8+AA8*'NVP-Indonesia'!AA157</f>
        <v>21075.606795106873</v>
      </c>
      <c r="AC8" s="6">
        <f>AB8+AB8*'NVP-Indonesia'!AB157</f>
        <v>21075.606795106873</v>
      </c>
      <c r="AD8" s="6">
        <f>AC8+AC8*'NVP-Indonesia'!AC157</f>
        <v>21075.606795106873</v>
      </c>
      <c r="AE8" s="6">
        <f>AD8+AD8*'NVP-Indonesia'!AD157</f>
        <v>21075.606795106873</v>
      </c>
      <c r="AF8" s="6">
        <f>AE8+AE8*'NVP-Indonesia'!AE157</f>
        <v>21075.606795106873</v>
      </c>
      <c r="AG8" s="6">
        <f>AF8+AF8*'NVP-Indonesia'!AF157</f>
        <v>21075.606795106873</v>
      </c>
      <c r="AH8" s="6">
        <f>AG8+AG8*'NVP-Indonesia'!AG157</f>
        <v>21075.606795106873</v>
      </c>
      <c r="AI8" s="6">
        <f>AH8+AH8*'NVP-Indonesia'!AH157</f>
        <v>21075.606795106873</v>
      </c>
      <c r="AJ8" s="6">
        <f>AI8+AI8*'NVP-Indonesia'!AI157</f>
        <v>21075.606795106873</v>
      </c>
      <c r="AK8" s="6">
        <f>AJ8+AJ8*'NVP-Indonesia'!AJ157</f>
        <v>21075.606795106873</v>
      </c>
      <c r="AL8" s="6">
        <f>AK8+AK8*'NVP-Indonesia'!AK157</f>
        <v>21075.606795106873</v>
      </c>
      <c r="AM8" s="6">
        <f>AL8+AL8*'NVP-Indonesia'!AL157</f>
        <v>21075.606795106873</v>
      </c>
      <c r="AN8" s="6">
        <f>AM8+AM8*'NVP-Indonesia'!AM157</f>
        <v>21075.606795106873</v>
      </c>
      <c r="AO8" s="6">
        <f>AN8+AN8*'NVP-Indonesia'!AN157</f>
        <v>21075.606795106873</v>
      </c>
      <c r="AP8" s="6">
        <f>AO8+AO8*'NVP-Indonesia'!AO157</f>
        <v>21075.606795106873</v>
      </c>
      <c r="AQ8" s="6">
        <f>AP8+AP8*'NVP-Indonesia'!AP157</f>
        <v>21075.606795106873</v>
      </c>
      <c r="AR8" s="6">
        <f>AQ8+AQ8*'NVP-Indonesia'!AQ157</f>
        <v>21075.606795106873</v>
      </c>
      <c r="AS8" s="6">
        <f>AR8+AR8*'NVP-Indonesia'!AR157</f>
        <v>21075.606795106873</v>
      </c>
      <c r="AT8" s="6">
        <f>AS8+AS8*'NVP-Indonesia'!AS157</f>
        <v>21075.606795106873</v>
      </c>
      <c r="AU8" s="6">
        <f>AT8+AT8*'NVP-Indonesia'!AT157</f>
        <v>21075.606795106873</v>
      </c>
      <c r="AV8" s="6">
        <f>AU8+AU8*'NVP-Indonesia'!AU157</f>
        <v>21075.606795106873</v>
      </c>
      <c r="AW8" s="6">
        <f>AV8+AV8*'NVP-Indonesia'!AV157</f>
        <v>21075.606795106873</v>
      </c>
      <c r="AX8" s="6">
        <f>AW8+AW8*'NVP-Indonesia'!AW157</f>
        <v>21075.606795106873</v>
      </c>
      <c r="AY8" s="6">
        <f>AX8+AX8*'NVP-Indonesia'!AX157</f>
        <v>21075.606795106873</v>
      </c>
      <c r="AZ8" s="6">
        <f>AY8+AY8*'NVP-Indonesia'!AY157</f>
        <v>21075.606795106873</v>
      </c>
    </row>
    <row r="9" spans="1:52" ht="14.25" customHeight="1" x14ac:dyDescent="0.35"/>
    <row r="10" spans="1:52" ht="14.25" customHeight="1" x14ac:dyDescent="0.35"/>
    <row r="11" spans="1:52" ht="14.25" customHeight="1" x14ac:dyDescent="0.35"/>
    <row r="12" spans="1:52" ht="14.25" customHeight="1" x14ac:dyDescent="0.35"/>
    <row r="13" spans="1:52" ht="14.25" customHeight="1" x14ac:dyDescent="0.35"/>
    <row r="14" spans="1:52" ht="14.25" customHeight="1" x14ac:dyDescent="0.35"/>
    <row r="15" spans="1:52" ht="14.25" customHeight="1" x14ac:dyDescent="0.35"/>
    <row r="16" spans="1:52"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1F497D"/>
  </sheetPr>
  <dimension ref="A1:AZ1000"/>
  <sheetViews>
    <sheetView workbookViewId="0">
      <selection activeCell="B2" sqref="B2"/>
    </sheetView>
  </sheetViews>
  <sheetFormatPr defaultColWidth="14.453125" defaultRowHeight="15" customHeight="1" x14ac:dyDescent="0.35"/>
  <cols>
    <col min="1" max="1" width="24.453125" customWidth="1"/>
    <col min="2" max="2" width="11.6328125" customWidth="1"/>
    <col min="3" max="36" width="8.81640625" customWidth="1"/>
  </cols>
  <sheetData>
    <row r="1" spans="1:52" ht="14.25" customHeight="1" x14ac:dyDescent="0.35">
      <c r="A1" s="1" t="s">
        <v>18</v>
      </c>
      <c r="B1" s="9">
        <v>2020</v>
      </c>
      <c r="C1" s="9">
        <v>2021</v>
      </c>
      <c r="D1" s="9">
        <v>2022</v>
      </c>
      <c r="E1" s="9">
        <v>2023</v>
      </c>
      <c r="F1" s="9">
        <v>2024</v>
      </c>
      <c r="G1" s="9">
        <v>2025</v>
      </c>
      <c r="H1" s="9">
        <v>2026</v>
      </c>
      <c r="I1" s="9">
        <v>2027</v>
      </c>
      <c r="J1" s="9">
        <v>2028</v>
      </c>
      <c r="K1" s="9">
        <v>2029</v>
      </c>
      <c r="L1" s="9">
        <v>2030</v>
      </c>
      <c r="M1" s="9">
        <v>2031</v>
      </c>
      <c r="N1" s="9">
        <v>2032</v>
      </c>
      <c r="O1" s="9">
        <v>2033</v>
      </c>
      <c r="P1" s="9">
        <v>2034</v>
      </c>
      <c r="Q1" s="9">
        <v>2035</v>
      </c>
      <c r="R1" s="9">
        <v>2036</v>
      </c>
      <c r="S1" s="9">
        <v>2037</v>
      </c>
      <c r="T1" s="9">
        <v>2038</v>
      </c>
      <c r="U1" s="9">
        <v>2039</v>
      </c>
      <c r="V1" s="9">
        <v>2040</v>
      </c>
      <c r="W1" s="9">
        <v>2041</v>
      </c>
      <c r="X1" s="9">
        <v>2042</v>
      </c>
      <c r="Y1" s="9">
        <v>2043</v>
      </c>
      <c r="Z1" s="9">
        <v>2044</v>
      </c>
      <c r="AA1" s="9">
        <v>2045</v>
      </c>
      <c r="AB1" s="9">
        <v>2046</v>
      </c>
      <c r="AC1" s="9">
        <v>2047</v>
      </c>
      <c r="AD1" s="9">
        <v>2048</v>
      </c>
      <c r="AE1" s="9">
        <v>2049</v>
      </c>
      <c r="AF1" s="9">
        <v>2050</v>
      </c>
      <c r="AG1" s="9">
        <v>2051</v>
      </c>
      <c r="AH1" s="9">
        <v>2052</v>
      </c>
      <c r="AI1" s="9">
        <v>2053</v>
      </c>
      <c r="AJ1" s="9">
        <v>2054</v>
      </c>
      <c r="AK1" s="9">
        <v>2055</v>
      </c>
      <c r="AL1" s="9">
        <v>2056</v>
      </c>
      <c r="AM1" s="9">
        <v>2057</v>
      </c>
      <c r="AN1" s="9">
        <v>2058</v>
      </c>
      <c r="AO1" s="9">
        <v>2059</v>
      </c>
      <c r="AP1" s="9">
        <v>2060</v>
      </c>
      <c r="AQ1" s="9">
        <v>2061</v>
      </c>
      <c r="AR1" s="9">
        <v>2062</v>
      </c>
      <c r="AS1" s="9">
        <v>2063</v>
      </c>
      <c r="AT1" s="9">
        <v>2064</v>
      </c>
      <c r="AU1" s="9">
        <v>2065</v>
      </c>
      <c r="AV1" s="9">
        <v>2066</v>
      </c>
      <c r="AW1" s="9">
        <v>2067</v>
      </c>
      <c r="AX1" s="9">
        <v>2068</v>
      </c>
      <c r="AY1" s="9">
        <v>2069</v>
      </c>
      <c r="AZ1" s="9">
        <v>2070</v>
      </c>
    </row>
    <row r="2" spans="1:52" ht="14.25" customHeight="1" x14ac:dyDescent="0.35">
      <c r="A2" s="2" t="s">
        <v>19</v>
      </c>
      <c r="B2" s="6">
        <f>'NVP-Indonesia'!B47*'NVP-Indonesia'!$B$176</f>
        <v>165612.14569711874</v>
      </c>
      <c r="C2" s="6">
        <f>'NVP-Indonesia'!C47*'NVP-Indonesia'!$B$176</f>
        <v>165612.14569711874</v>
      </c>
      <c r="D2" s="6">
        <f>'NVP-Indonesia'!D47*'NVP-Indonesia'!$B$176</f>
        <v>165612.14569711874</v>
      </c>
      <c r="E2" s="6">
        <f>'NVP-Indonesia'!E47*'NVP-Indonesia'!$B$176</f>
        <v>165612.14569711874</v>
      </c>
      <c r="F2" s="6">
        <f>'NVP-Indonesia'!F47*'NVP-Indonesia'!$B$176</f>
        <v>165612.14569711874</v>
      </c>
      <c r="G2" s="6">
        <f>'NVP-Indonesia'!G47*'NVP-Indonesia'!$B$176</f>
        <v>165612.14569711874</v>
      </c>
      <c r="H2" s="6">
        <f>'NVP-Indonesia'!H47*'NVP-Indonesia'!$B$176</f>
        <v>165612.14569711874</v>
      </c>
      <c r="I2" s="6">
        <f>'NVP-Indonesia'!I47*'NVP-Indonesia'!$B$176</f>
        <v>165612.14569711874</v>
      </c>
      <c r="J2" s="6">
        <f>'NVP-Indonesia'!J47*'NVP-Indonesia'!$B$176</f>
        <v>165612.14569711874</v>
      </c>
      <c r="K2" s="6">
        <f>'NVP-Indonesia'!K47*'NVP-Indonesia'!$B$176</f>
        <v>165612.14569711874</v>
      </c>
      <c r="L2" s="6">
        <f>'NVP-Indonesia'!L47*'NVP-Indonesia'!$B$176</f>
        <v>165612.14569711874</v>
      </c>
      <c r="M2" s="6">
        <f>'NVP-Indonesia'!M47*'NVP-Indonesia'!$B$176</f>
        <v>165612.14569711874</v>
      </c>
      <c r="N2" s="6">
        <f>'NVP-Indonesia'!N47*'NVP-Indonesia'!$B$176</f>
        <v>165612.14569711874</v>
      </c>
      <c r="O2" s="6">
        <f>'NVP-Indonesia'!O47*'NVP-Indonesia'!$B$176</f>
        <v>165612.14569711874</v>
      </c>
      <c r="P2" s="6">
        <f>'NVP-Indonesia'!P47*'NVP-Indonesia'!$B$176</f>
        <v>165612.14569711874</v>
      </c>
      <c r="Q2" s="6">
        <f>'NVP-Indonesia'!Q47*'NVP-Indonesia'!$B$176</f>
        <v>165612.14569711874</v>
      </c>
      <c r="R2" s="6">
        <f>'NVP-Indonesia'!R47*'NVP-Indonesia'!$B$176</f>
        <v>165612.14569711874</v>
      </c>
      <c r="S2" s="6">
        <f>'NVP-Indonesia'!S47*'NVP-Indonesia'!$B$176</f>
        <v>165612.14569711874</v>
      </c>
      <c r="T2" s="6">
        <f>'NVP-Indonesia'!T47*'NVP-Indonesia'!$B$176</f>
        <v>165612.14569711874</v>
      </c>
      <c r="U2" s="6">
        <f>'NVP-Indonesia'!U47*'NVP-Indonesia'!$B$176</f>
        <v>165612.14569711874</v>
      </c>
      <c r="V2" s="6">
        <f>'NVP-Indonesia'!V47*'NVP-Indonesia'!$B$176</f>
        <v>165612.14569711874</v>
      </c>
      <c r="W2" s="6">
        <f>'NVP-Indonesia'!W47*'NVP-Indonesia'!$B$176</f>
        <v>165612.14569711874</v>
      </c>
      <c r="X2" s="6">
        <f>'NVP-Indonesia'!X47*'NVP-Indonesia'!$B$176</f>
        <v>165612.14569711874</v>
      </c>
      <c r="Y2" s="6">
        <f>'NVP-Indonesia'!Y47*'NVP-Indonesia'!$B$176</f>
        <v>165612.14569711874</v>
      </c>
      <c r="Z2" s="6">
        <f>'NVP-Indonesia'!Z47*'NVP-Indonesia'!$B$176</f>
        <v>165612.14569711874</v>
      </c>
      <c r="AA2" s="6">
        <f>'NVP-Indonesia'!AA47*'NVP-Indonesia'!$B$176</f>
        <v>165612.14569711874</v>
      </c>
      <c r="AB2" s="6">
        <f>'NVP-Indonesia'!AB47*'NVP-Indonesia'!$B$176</f>
        <v>165612.14569711874</v>
      </c>
      <c r="AC2" s="6">
        <f>'NVP-Indonesia'!AC47*'NVP-Indonesia'!$B$176</f>
        <v>165612.14569711874</v>
      </c>
      <c r="AD2" s="6">
        <f>'NVP-Indonesia'!AD47*'NVP-Indonesia'!$B$176</f>
        <v>165612.14569711874</v>
      </c>
      <c r="AE2" s="6">
        <f>'NVP-Indonesia'!AE47*'NVP-Indonesia'!$B$176</f>
        <v>165612.14569711874</v>
      </c>
      <c r="AF2" s="6">
        <f>'NVP-Indonesia'!AF47*'NVP-Indonesia'!$B$176</f>
        <v>165612.14569711874</v>
      </c>
      <c r="AG2" s="6">
        <f>'NVP-Indonesia'!AG47*'NVP-Indonesia'!$B$176</f>
        <v>165612.14569711874</v>
      </c>
      <c r="AH2" s="6">
        <f>'NVP-Indonesia'!AH47*'NVP-Indonesia'!$B$176</f>
        <v>165612.14569711874</v>
      </c>
      <c r="AI2" s="6">
        <f>'NVP-Indonesia'!AI47*'NVP-Indonesia'!$B$176</f>
        <v>165612.14569711874</v>
      </c>
      <c r="AJ2" s="6">
        <f>'NVP-Indonesia'!AJ47*'NVP-Indonesia'!$B$176</f>
        <v>165612.14569711874</v>
      </c>
      <c r="AK2" s="6">
        <f>'NVP-Indonesia'!AK47*'NVP-Indonesia'!$B$176</f>
        <v>165612.14569711874</v>
      </c>
      <c r="AL2" s="6">
        <f>'NVP-Indonesia'!AL47*'NVP-Indonesia'!$B$176</f>
        <v>165612.14569711874</v>
      </c>
      <c r="AM2" s="6">
        <f>'NVP-Indonesia'!AM47*'NVP-Indonesia'!$B$176</f>
        <v>165612.14569711874</v>
      </c>
      <c r="AN2" s="6">
        <f>'NVP-Indonesia'!AN47*'NVP-Indonesia'!$B$176</f>
        <v>165612.14569711874</v>
      </c>
      <c r="AO2" s="6">
        <f>'NVP-Indonesia'!AO47*'NVP-Indonesia'!$B$176</f>
        <v>165612.14569711874</v>
      </c>
      <c r="AP2" s="6">
        <f>'NVP-Indonesia'!AP47*'NVP-Indonesia'!$B$176</f>
        <v>165612.14569711874</v>
      </c>
      <c r="AQ2" s="6">
        <f>'NVP-Indonesia'!AQ47*'NVP-Indonesia'!$B$176</f>
        <v>165612.14569711874</v>
      </c>
      <c r="AR2" s="6">
        <f>'NVP-Indonesia'!AR47*'NVP-Indonesia'!$B$176</f>
        <v>165612.14569711874</v>
      </c>
      <c r="AS2" s="6">
        <f>'NVP-Indonesia'!AS47*'NVP-Indonesia'!$B$176</f>
        <v>165612.14569711874</v>
      </c>
      <c r="AT2" s="6">
        <f>'NVP-Indonesia'!AT47*'NVP-Indonesia'!$B$176</f>
        <v>165612.14569711874</v>
      </c>
      <c r="AU2" s="6">
        <f>'NVP-Indonesia'!AU47*'NVP-Indonesia'!$B$176</f>
        <v>165612.14569711874</v>
      </c>
      <c r="AV2" s="6">
        <f>'NVP-Indonesia'!AV47*'NVP-Indonesia'!$B$176</f>
        <v>165612.14569711874</v>
      </c>
      <c r="AW2" s="6">
        <f>'NVP-Indonesia'!AW47*'NVP-Indonesia'!$B$176</f>
        <v>165612.14569711874</v>
      </c>
      <c r="AX2" s="6">
        <f>'NVP-Indonesia'!AX47*'NVP-Indonesia'!$B$176</f>
        <v>165612.14569711874</v>
      </c>
      <c r="AY2" s="6">
        <f>'NVP-Indonesia'!AY47*'NVP-Indonesia'!$B$176</f>
        <v>165612.14569711874</v>
      </c>
      <c r="AZ2" s="6">
        <f>'NVP-Indonesia'!AZ47*'NVP-Indonesia'!$B$176</f>
        <v>165612.14569711874</v>
      </c>
    </row>
    <row r="3" spans="1:52" ht="14.25" customHeight="1" x14ac:dyDescent="0.35">
      <c r="A3" s="2" t="s">
        <v>20</v>
      </c>
      <c r="B3" s="6">
        <f>'NVP-Indonesia'!B48*'NVP-Indonesia'!$B$176</f>
        <v>131883.19081592344</v>
      </c>
      <c r="C3" s="6">
        <f>'NVP-Indonesia'!C48*'NVP-Indonesia'!$B$176</f>
        <v>130934.42652592574</v>
      </c>
      <c r="D3" s="6">
        <f>'NVP-Indonesia'!D48*'NVP-Indonesia'!$B$176</f>
        <v>131499.84287645193</v>
      </c>
      <c r="E3" s="6">
        <f>'NVP-Indonesia'!E48*'NVP-Indonesia'!$B$176</f>
        <v>132382.25940000211</v>
      </c>
      <c r="F3" s="6">
        <f>'NVP-Indonesia'!F48*'NVP-Indonesia'!$B$176</f>
        <v>133062.36300743656</v>
      </c>
      <c r="G3" s="6">
        <f>'NVP-Indonesia'!G48*'NVP-Indonesia'!$B$176</f>
        <v>133728.93623402907</v>
      </c>
      <c r="H3" s="6">
        <f>'NVP-Indonesia'!H48*'NVP-Indonesia'!$B$176</f>
        <v>134343.90362259519</v>
      </c>
      <c r="I3" s="6">
        <f>'NVP-Indonesia'!I48*'NVP-Indonesia'!$B$176</f>
        <v>134900.89422613312</v>
      </c>
      <c r="J3" s="6">
        <f>'NVP-Indonesia'!J48*'NVP-Indonesia'!$B$176</f>
        <v>135494.50517754632</v>
      </c>
      <c r="K3" s="6">
        <f>'NVP-Indonesia'!K48*'NVP-Indonesia'!$B$176</f>
        <v>136059.7379014894</v>
      </c>
      <c r="L3" s="6">
        <f>'NVP-Indonesia'!L48*'NVP-Indonesia'!$B$176</f>
        <v>136583.32862052118</v>
      </c>
      <c r="M3" s="6">
        <f>'NVP-Indonesia'!M48*'NVP-Indonesia'!$B$176</f>
        <v>137148.43674907915</v>
      </c>
      <c r="N3" s="6">
        <f>'NVP-Indonesia'!N48*'NVP-Indonesia'!$B$176</f>
        <v>137584.46183073727</v>
      </c>
      <c r="O3" s="6">
        <f>'NVP-Indonesia'!O48*'NVP-Indonesia'!$B$176</f>
        <v>138164.36044040049</v>
      </c>
      <c r="P3" s="6">
        <f>'NVP-Indonesia'!P48*'NVP-Indonesia'!$B$176</f>
        <v>138502.31916153539</v>
      </c>
      <c r="Q3" s="6">
        <f>'NVP-Indonesia'!Q48*'NVP-Indonesia'!$B$176</f>
        <v>138776.50527482785</v>
      </c>
      <c r="R3" s="6">
        <f>'NVP-Indonesia'!R48*'NVP-Indonesia'!$B$176</f>
        <v>139018.19534576262</v>
      </c>
      <c r="S3" s="6">
        <f>'NVP-Indonesia'!S48*'NVP-Indonesia'!$B$176</f>
        <v>139255.76647289452</v>
      </c>
      <c r="T3" s="6">
        <f>'NVP-Indonesia'!T48*'NVP-Indonesia'!$B$176</f>
        <v>139476.62469385611</v>
      </c>
      <c r="U3" s="6">
        <f>'NVP-Indonesia'!U48*'NVP-Indonesia'!$B$176</f>
        <v>139703.39247472316</v>
      </c>
      <c r="V3" s="6">
        <f>'NVP-Indonesia'!V48*'NVP-Indonesia'!$B$176</f>
        <v>139862.76795716031</v>
      </c>
      <c r="W3" s="6">
        <f>'NVP-Indonesia'!W48*'NVP-Indonesia'!$B$176</f>
        <v>140043.61227092365</v>
      </c>
      <c r="X3" s="6">
        <f>'NVP-Indonesia'!X48*'NVP-Indonesia'!$B$176</f>
        <v>140194.98346754929</v>
      </c>
      <c r="Y3" s="6">
        <f>'NVP-Indonesia'!Y48*'NVP-Indonesia'!$B$176</f>
        <v>140321.20421901054</v>
      </c>
      <c r="Z3" s="6">
        <f>'NVP-Indonesia'!Z48*'NVP-Indonesia'!$B$176</f>
        <v>140450.36242949963</v>
      </c>
      <c r="AA3" s="6">
        <f>'NVP-Indonesia'!AA48*'NVP-Indonesia'!$B$176</f>
        <v>140572.42784907753</v>
      </c>
      <c r="AB3" s="6">
        <f>'NVP-Indonesia'!AB48*'NVP-Indonesia'!$B$176</f>
        <v>140684.70188444463</v>
      </c>
      <c r="AC3" s="6">
        <f>'NVP-Indonesia'!AC48*'NVP-Indonesia'!$B$176</f>
        <v>140802.54277269912</v>
      </c>
      <c r="AD3" s="6">
        <f>'NVP-Indonesia'!AD48*'NVP-Indonesia'!$B$176</f>
        <v>140921.20983246065</v>
      </c>
      <c r="AE3" s="6">
        <f>'NVP-Indonesia'!AE48*'NVP-Indonesia'!$B$176</f>
        <v>141025.75110436886</v>
      </c>
      <c r="AF3" s="6">
        <f>'NVP-Indonesia'!AF48*'NVP-Indonesia'!$B$176</f>
        <v>141131.1836170879</v>
      </c>
      <c r="AG3" s="6">
        <f>'NVP-Indonesia'!AG48*'NVP-Indonesia'!$B$176</f>
        <v>143022.5202707781</v>
      </c>
      <c r="AH3" s="6">
        <f>'NVP-Indonesia'!AH48*'NVP-Indonesia'!$B$176</f>
        <v>143363.61690412078</v>
      </c>
      <c r="AI3" s="6">
        <f>'NVP-Indonesia'!AI48*'NVP-Indonesia'!$B$176</f>
        <v>143704.71353746345</v>
      </c>
      <c r="AJ3" s="6">
        <f>'NVP-Indonesia'!AJ48*'NVP-Indonesia'!$B$176</f>
        <v>144045.81017080613</v>
      </c>
      <c r="AK3" s="6">
        <f>'NVP-Indonesia'!AK48*'NVP-Indonesia'!$B$176</f>
        <v>144386.90680414889</v>
      </c>
      <c r="AL3" s="6">
        <f>'NVP-Indonesia'!AL48*'NVP-Indonesia'!$B$176</f>
        <v>144728.00343749157</v>
      </c>
      <c r="AM3" s="6">
        <f>'NVP-Indonesia'!AM48*'NVP-Indonesia'!$B$176</f>
        <v>145069.10007083425</v>
      </c>
      <c r="AN3" s="6">
        <f>'NVP-Indonesia'!AN48*'NVP-Indonesia'!$B$176</f>
        <v>145410.19670417692</v>
      </c>
      <c r="AO3" s="6">
        <f>'NVP-Indonesia'!AO48*'NVP-Indonesia'!$B$176</f>
        <v>145751.2933375196</v>
      </c>
      <c r="AP3" s="6">
        <f>'NVP-Indonesia'!AP48*'NVP-Indonesia'!$B$176</f>
        <v>146092.38997086228</v>
      </c>
      <c r="AQ3" s="6">
        <f>'NVP-Indonesia'!AQ48*'NVP-Indonesia'!$B$176</f>
        <v>146433.48660420495</v>
      </c>
      <c r="AR3" s="6">
        <f>'NVP-Indonesia'!AR48*'NVP-Indonesia'!$B$176</f>
        <v>146774.58323754763</v>
      </c>
      <c r="AS3" s="6">
        <f>'NVP-Indonesia'!AS48*'NVP-Indonesia'!$B$176</f>
        <v>147115.67987089031</v>
      </c>
      <c r="AT3" s="6">
        <f>'NVP-Indonesia'!AT48*'NVP-Indonesia'!$B$176</f>
        <v>147456.77650423296</v>
      </c>
      <c r="AU3" s="6">
        <f>'NVP-Indonesia'!AU48*'NVP-Indonesia'!$B$176</f>
        <v>147797.87313757563</v>
      </c>
      <c r="AV3" s="6">
        <f>'NVP-Indonesia'!AV48*'NVP-Indonesia'!$B$176</f>
        <v>148138.96977091831</v>
      </c>
      <c r="AW3" s="6">
        <f>'NVP-Indonesia'!AW48*'NVP-Indonesia'!$B$176</f>
        <v>148480.06640426107</v>
      </c>
      <c r="AX3" s="6">
        <f>'NVP-Indonesia'!AX48*'NVP-Indonesia'!$B$176</f>
        <v>148821.16303760375</v>
      </c>
      <c r="AY3" s="6">
        <f>'NVP-Indonesia'!AY48*'NVP-Indonesia'!$B$176</f>
        <v>149162.25967094643</v>
      </c>
      <c r="AZ3" s="6">
        <f>'NVP-Indonesia'!AZ48*'NVP-Indonesia'!$B$176</f>
        <v>149503.3563042891</v>
      </c>
    </row>
    <row r="4" spans="1:52" ht="14.25" customHeight="1" x14ac:dyDescent="0.35">
      <c r="A4" s="2" t="s">
        <v>21</v>
      </c>
      <c r="B4" s="6">
        <f>'NVP-Indonesia'!B49*'NVP-Indonesia'!$B$176</f>
        <v>90895.798955608538</v>
      </c>
      <c r="C4" s="6">
        <f>'NVP-Indonesia'!C49*'NVP-Indonesia'!$B$176</f>
        <v>90895.798955608538</v>
      </c>
      <c r="D4" s="6">
        <f>'NVP-Indonesia'!D49*'NVP-Indonesia'!$B$176</f>
        <v>90895.798955608538</v>
      </c>
      <c r="E4" s="6">
        <f>'NVP-Indonesia'!E49*'NVP-Indonesia'!$B$176</f>
        <v>90895.798955608538</v>
      </c>
      <c r="F4" s="6">
        <f>'NVP-Indonesia'!F49*'NVP-Indonesia'!$B$176</f>
        <v>90895.798955608538</v>
      </c>
      <c r="G4" s="6">
        <f>'NVP-Indonesia'!G49*'NVP-Indonesia'!$B$176</f>
        <v>90895.798955608538</v>
      </c>
      <c r="H4" s="6">
        <f>'NVP-Indonesia'!H49*'NVP-Indonesia'!$B$176</f>
        <v>90895.798955608538</v>
      </c>
      <c r="I4" s="6">
        <f>'NVP-Indonesia'!I49*'NVP-Indonesia'!$B$176</f>
        <v>90895.798955608538</v>
      </c>
      <c r="J4" s="6">
        <f>'NVP-Indonesia'!J49*'NVP-Indonesia'!$B$176</f>
        <v>90895.798955608538</v>
      </c>
      <c r="K4" s="6">
        <f>'NVP-Indonesia'!K49*'NVP-Indonesia'!$B$176</f>
        <v>90895.798955608538</v>
      </c>
      <c r="L4" s="6">
        <f>'NVP-Indonesia'!L49*'NVP-Indonesia'!$B$176</f>
        <v>90895.798955608538</v>
      </c>
      <c r="M4" s="6">
        <f>'NVP-Indonesia'!M49*'NVP-Indonesia'!$B$176</f>
        <v>90895.798955608538</v>
      </c>
      <c r="N4" s="6">
        <f>'NVP-Indonesia'!N49*'NVP-Indonesia'!$B$176</f>
        <v>90895.798955608538</v>
      </c>
      <c r="O4" s="6">
        <f>'NVP-Indonesia'!O49*'NVP-Indonesia'!$B$176</f>
        <v>90895.798955608538</v>
      </c>
      <c r="P4" s="6">
        <f>'NVP-Indonesia'!P49*'NVP-Indonesia'!$B$176</f>
        <v>90895.798955608538</v>
      </c>
      <c r="Q4" s="6">
        <f>'NVP-Indonesia'!Q49*'NVP-Indonesia'!$B$176</f>
        <v>90895.798955608538</v>
      </c>
      <c r="R4" s="6">
        <f>'NVP-Indonesia'!R49*'NVP-Indonesia'!$B$176</f>
        <v>90895.798955608538</v>
      </c>
      <c r="S4" s="6">
        <f>'NVP-Indonesia'!S49*'NVP-Indonesia'!$B$176</f>
        <v>90895.798955608538</v>
      </c>
      <c r="T4" s="6">
        <f>'NVP-Indonesia'!T49*'NVP-Indonesia'!$B$176</f>
        <v>90895.798955608538</v>
      </c>
      <c r="U4" s="6">
        <f>'NVP-Indonesia'!U49*'NVP-Indonesia'!$B$176</f>
        <v>90895.798955608538</v>
      </c>
      <c r="V4" s="6">
        <f>'NVP-Indonesia'!V49*'NVP-Indonesia'!$B$176</f>
        <v>90895.798955608538</v>
      </c>
      <c r="W4" s="6">
        <f>'NVP-Indonesia'!W49*'NVP-Indonesia'!$B$176</f>
        <v>90895.798955608538</v>
      </c>
      <c r="X4" s="6">
        <f>'NVP-Indonesia'!X49*'NVP-Indonesia'!$B$176</f>
        <v>90895.798955608538</v>
      </c>
      <c r="Y4" s="6">
        <f>'NVP-Indonesia'!Y49*'NVP-Indonesia'!$B$176</f>
        <v>90895.798955608538</v>
      </c>
      <c r="Z4" s="6">
        <f>'NVP-Indonesia'!Z49*'NVP-Indonesia'!$B$176</f>
        <v>90895.798955608538</v>
      </c>
      <c r="AA4" s="6">
        <f>'NVP-Indonesia'!AA49*'NVP-Indonesia'!$B$176</f>
        <v>90895.798955608538</v>
      </c>
      <c r="AB4" s="6">
        <f>'NVP-Indonesia'!AB49*'NVP-Indonesia'!$B$176</f>
        <v>90895.798955608538</v>
      </c>
      <c r="AC4" s="6">
        <f>'NVP-Indonesia'!AC49*'NVP-Indonesia'!$B$176</f>
        <v>90895.798955608538</v>
      </c>
      <c r="AD4" s="6">
        <f>'NVP-Indonesia'!AD49*'NVP-Indonesia'!$B$176</f>
        <v>90895.798955608538</v>
      </c>
      <c r="AE4" s="6">
        <f>'NVP-Indonesia'!AE49*'NVP-Indonesia'!$B$176</f>
        <v>90895.798955608538</v>
      </c>
      <c r="AF4" s="6">
        <f>'NVP-Indonesia'!AF49*'NVP-Indonesia'!$B$176</f>
        <v>90895.798955608538</v>
      </c>
      <c r="AG4" s="6">
        <f>'NVP-Indonesia'!AG49*'NVP-Indonesia'!$B$176</f>
        <v>90895.798955608581</v>
      </c>
      <c r="AH4" s="6">
        <f>'NVP-Indonesia'!AH49*'NVP-Indonesia'!$B$176</f>
        <v>90895.798955608581</v>
      </c>
      <c r="AI4" s="6">
        <f>'NVP-Indonesia'!AI49*'NVP-Indonesia'!$B$176</f>
        <v>90895.798955608581</v>
      </c>
      <c r="AJ4" s="6">
        <f>'NVP-Indonesia'!AJ49*'NVP-Indonesia'!$B$176</f>
        <v>90895.798955608581</v>
      </c>
      <c r="AK4" s="6">
        <f>'NVP-Indonesia'!AK49*'NVP-Indonesia'!$B$176</f>
        <v>90895.798955608581</v>
      </c>
      <c r="AL4" s="6">
        <f>'NVP-Indonesia'!AL49*'NVP-Indonesia'!$B$176</f>
        <v>90895.798955608581</v>
      </c>
      <c r="AM4" s="6">
        <f>'NVP-Indonesia'!AM49*'NVP-Indonesia'!$B$176</f>
        <v>90895.798955608581</v>
      </c>
      <c r="AN4" s="6">
        <f>'NVP-Indonesia'!AN49*'NVP-Indonesia'!$B$176</f>
        <v>90895.798955608581</v>
      </c>
      <c r="AO4" s="6">
        <f>'NVP-Indonesia'!AO49*'NVP-Indonesia'!$B$176</f>
        <v>90895.798955608581</v>
      </c>
      <c r="AP4" s="6">
        <f>'NVP-Indonesia'!AP49*'NVP-Indonesia'!$B$176</f>
        <v>90895.798955608581</v>
      </c>
      <c r="AQ4" s="6">
        <f>'NVP-Indonesia'!AQ49*'NVP-Indonesia'!$B$176</f>
        <v>90895.798955608581</v>
      </c>
      <c r="AR4" s="6">
        <f>'NVP-Indonesia'!AR49*'NVP-Indonesia'!$B$176</f>
        <v>90895.798955608581</v>
      </c>
      <c r="AS4" s="6">
        <f>'NVP-Indonesia'!AS49*'NVP-Indonesia'!$B$176</f>
        <v>90895.798955608581</v>
      </c>
      <c r="AT4" s="6">
        <f>'NVP-Indonesia'!AT49*'NVP-Indonesia'!$B$176</f>
        <v>90895.798955608581</v>
      </c>
      <c r="AU4" s="6">
        <f>'NVP-Indonesia'!AU49*'NVP-Indonesia'!$B$176</f>
        <v>90895.798955608581</v>
      </c>
      <c r="AV4" s="6">
        <f>'NVP-Indonesia'!AV49*'NVP-Indonesia'!$B$176</f>
        <v>90895.798955608581</v>
      </c>
      <c r="AW4" s="6">
        <f>'NVP-Indonesia'!AW49*'NVP-Indonesia'!$B$176</f>
        <v>90895.798955608581</v>
      </c>
      <c r="AX4" s="6">
        <f>'NVP-Indonesia'!AX49*'NVP-Indonesia'!$B$176</f>
        <v>90895.798955608581</v>
      </c>
      <c r="AY4" s="6">
        <f>'NVP-Indonesia'!AY49*'NVP-Indonesia'!$B$176</f>
        <v>90895.798955608581</v>
      </c>
      <c r="AZ4" s="6">
        <f>'NVP-Indonesia'!AZ49*'NVP-Indonesia'!$B$176</f>
        <v>90895.798955608581</v>
      </c>
    </row>
    <row r="5" spans="1:52" ht="14.25" customHeight="1" x14ac:dyDescent="0.35">
      <c r="A5" s="2" t="s">
        <v>22</v>
      </c>
      <c r="B5" s="6">
        <f>'NVP-Indonesia'!B50*'NVP-Indonesia'!$B$176</f>
        <v>90895.798955608538</v>
      </c>
      <c r="C5" s="6">
        <f>'NVP-Indonesia'!C50*'NVP-Indonesia'!$B$176</f>
        <v>90895.798955608538</v>
      </c>
      <c r="D5" s="6">
        <f>'NVP-Indonesia'!D50*'NVP-Indonesia'!$B$176</f>
        <v>90895.798955608538</v>
      </c>
      <c r="E5" s="6">
        <f>'NVP-Indonesia'!E50*'NVP-Indonesia'!$B$176</f>
        <v>90895.798955608538</v>
      </c>
      <c r="F5" s="6">
        <f>'NVP-Indonesia'!F50*'NVP-Indonesia'!$B$176</f>
        <v>90895.798955608538</v>
      </c>
      <c r="G5" s="6">
        <f>'NVP-Indonesia'!G50*'NVP-Indonesia'!$B$176</f>
        <v>90895.798955608538</v>
      </c>
      <c r="H5" s="6">
        <f>'NVP-Indonesia'!H50*'NVP-Indonesia'!$B$176</f>
        <v>90895.798955608538</v>
      </c>
      <c r="I5" s="6">
        <f>'NVP-Indonesia'!I50*'NVP-Indonesia'!$B$176</f>
        <v>90895.798955608538</v>
      </c>
      <c r="J5" s="6">
        <f>'NVP-Indonesia'!J50*'NVP-Indonesia'!$B$176</f>
        <v>90895.798955608538</v>
      </c>
      <c r="K5" s="6">
        <f>'NVP-Indonesia'!K50*'NVP-Indonesia'!$B$176</f>
        <v>90895.798955608538</v>
      </c>
      <c r="L5" s="6">
        <f>'NVP-Indonesia'!L50*'NVP-Indonesia'!$B$176</f>
        <v>90895.798955608538</v>
      </c>
      <c r="M5" s="6">
        <f>'NVP-Indonesia'!M50*'NVP-Indonesia'!$B$176</f>
        <v>90895.798955608538</v>
      </c>
      <c r="N5" s="6">
        <f>'NVP-Indonesia'!N50*'NVP-Indonesia'!$B$176</f>
        <v>90895.798955608538</v>
      </c>
      <c r="O5" s="6">
        <f>'NVP-Indonesia'!O50*'NVP-Indonesia'!$B$176</f>
        <v>90895.798955608538</v>
      </c>
      <c r="P5" s="6">
        <f>'NVP-Indonesia'!P50*'NVP-Indonesia'!$B$176</f>
        <v>90895.798955608538</v>
      </c>
      <c r="Q5" s="6">
        <f>'NVP-Indonesia'!Q50*'NVP-Indonesia'!$B$176</f>
        <v>90895.798955608538</v>
      </c>
      <c r="R5" s="6">
        <f>'NVP-Indonesia'!R50*'NVP-Indonesia'!$B$176</f>
        <v>90895.798955608538</v>
      </c>
      <c r="S5" s="6">
        <f>'NVP-Indonesia'!S50*'NVP-Indonesia'!$B$176</f>
        <v>90895.798955608538</v>
      </c>
      <c r="T5" s="6">
        <f>'NVP-Indonesia'!T50*'NVP-Indonesia'!$B$176</f>
        <v>90895.798955608538</v>
      </c>
      <c r="U5" s="6">
        <f>'NVP-Indonesia'!U50*'NVP-Indonesia'!$B$176</f>
        <v>90895.798955608538</v>
      </c>
      <c r="V5" s="6">
        <f>'NVP-Indonesia'!V50*'NVP-Indonesia'!$B$176</f>
        <v>90895.798955608538</v>
      </c>
      <c r="W5" s="6">
        <f>'NVP-Indonesia'!W50*'NVP-Indonesia'!$B$176</f>
        <v>90895.798955608538</v>
      </c>
      <c r="X5" s="6">
        <f>'NVP-Indonesia'!X50*'NVP-Indonesia'!$B$176</f>
        <v>90895.798955608538</v>
      </c>
      <c r="Y5" s="6">
        <f>'NVP-Indonesia'!Y50*'NVP-Indonesia'!$B$176</f>
        <v>90895.798955608538</v>
      </c>
      <c r="Z5" s="6">
        <f>'NVP-Indonesia'!Z50*'NVP-Indonesia'!$B$176</f>
        <v>90895.798955608538</v>
      </c>
      <c r="AA5" s="6">
        <f>'NVP-Indonesia'!AA50*'NVP-Indonesia'!$B$176</f>
        <v>90895.798955608538</v>
      </c>
      <c r="AB5" s="6">
        <f>'NVP-Indonesia'!AB50*'NVP-Indonesia'!$B$176</f>
        <v>90895.798955608538</v>
      </c>
      <c r="AC5" s="6">
        <f>'NVP-Indonesia'!AC50*'NVP-Indonesia'!$B$176</f>
        <v>90895.798955608538</v>
      </c>
      <c r="AD5" s="6">
        <f>'NVP-Indonesia'!AD50*'NVP-Indonesia'!$B$176</f>
        <v>90895.798955608538</v>
      </c>
      <c r="AE5" s="6">
        <f>'NVP-Indonesia'!AE50*'NVP-Indonesia'!$B$176</f>
        <v>90895.798955608538</v>
      </c>
      <c r="AF5" s="6">
        <f>'NVP-Indonesia'!AF50*'NVP-Indonesia'!$B$176</f>
        <v>90895.798955608538</v>
      </c>
      <c r="AG5" s="6">
        <f>'NVP-Indonesia'!AG50*'NVP-Indonesia'!$B$176</f>
        <v>90895.798955608581</v>
      </c>
      <c r="AH5" s="6">
        <f>'NVP-Indonesia'!AH50*'NVP-Indonesia'!$B$176</f>
        <v>90895.798955608581</v>
      </c>
      <c r="AI5" s="6">
        <f>'NVP-Indonesia'!AI50*'NVP-Indonesia'!$B$176</f>
        <v>90895.798955608581</v>
      </c>
      <c r="AJ5" s="6">
        <f>'NVP-Indonesia'!AJ50*'NVP-Indonesia'!$B$176</f>
        <v>90895.798955608581</v>
      </c>
      <c r="AK5" s="6">
        <f>'NVP-Indonesia'!AK50*'NVP-Indonesia'!$B$176</f>
        <v>90895.798955608581</v>
      </c>
      <c r="AL5" s="6">
        <f>'NVP-Indonesia'!AL50*'NVP-Indonesia'!$B$176</f>
        <v>90895.798955608581</v>
      </c>
      <c r="AM5" s="6">
        <f>'NVP-Indonesia'!AM50*'NVP-Indonesia'!$B$176</f>
        <v>90895.798955608581</v>
      </c>
      <c r="AN5" s="6">
        <f>'NVP-Indonesia'!AN50*'NVP-Indonesia'!$B$176</f>
        <v>90895.798955608581</v>
      </c>
      <c r="AO5" s="6">
        <f>'NVP-Indonesia'!AO50*'NVP-Indonesia'!$B$176</f>
        <v>90895.798955608581</v>
      </c>
      <c r="AP5" s="6">
        <f>'NVP-Indonesia'!AP50*'NVP-Indonesia'!$B$176</f>
        <v>90895.798955608581</v>
      </c>
      <c r="AQ5" s="6">
        <f>'NVP-Indonesia'!AQ50*'NVP-Indonesia'!$B$176</f>
        <v>90895.798955608581</v>
      </c>
      <c r="AR5" s="6">
        <f>'NVP-Indonesia'!AR50*'NVP-Indonesia'!$B$176</f>
        <v>90895.798955608581</v>
      </c>
      <c r="AS5" s="6">
        <f>'NVP-Indonesia'!AS50*'NVP-Indonesia'!$B$176</f>
        <v>90895.798955608581</v>
      </c>
      <c r="AT5" s="6">
        <f>'NVP-Indonesia'!AT50*'NVP-Indonesia'!$B$176</f>
        <v>90895.798955608581</v>
      </c>
      <c r="AU5" s="6">
        <f>'NVP-Indonesia'!AU50*'NVP-Indonesia'!$B$176</f>
        <v>90895.798955608581</v>
      </c>
      <c r="AV5" s="6">
        <f>'NVP-Indonesia'!AV50*'NVP-Indonesia'!$B$176</f>
        <v>90895.798955608581</v>
      </c>
      <c r="AW5" s="6">
        <f>'NVP-Indonesia'!AW50*'NVP-Indonesia'!$B$176</f>
        <v>90895.798955608581</v>
      </c>
      <c r="AX5" s="6">
        <f>'NVP-Indonesia'!AX50*'NVP-Indonesia'!$B$176</f>
        <v>90895.798955608581</v>
      </c>
      <c r="AY5" s="6">
        <f>'NVP-Indonesia'!AY50*'NVP-Indonesia'!$B$176</f>
        <v>90895.798955608581</v>
      </c>
      <c r="AZ5" s="6">
        <f>'NVP-Indonesia'!AZ50*'NVP-Indonesia'!$B$176</f>
        <v>90895.798955608581</v>
      </c>
    </row>
    <row r="6" spans="1:52" ht="14.25" customHeight="1" x14ac:dyDescent="0.35">
      <c r="A6" s="2" t="s">
        <v>23</v>
      </c>
      <c r="B6" s="6">
        <f>'NVP-Indonesia'!B51*'NVP-Indonesia'!$B$176</f>
        <v>228319.4167388936</v>
      </c>
      <c r="C6" s="6">
        <f>'NVP-Indonesia'!C51*'NVP-Indonesia'!$B$176</f>
        <v>231440.67531322807</v>
      </c>
      <c r="D6" s="6">
        <f>'NVP-Indonesia'!D51*'NVP-Indonesia'!$B$176</f>
        <v>231106.74786835842</v>
      </c>
      <c r="E6" s="6">
        <f>'NVP-Indonesia'!E51*'NVP-Indonesia'!$B$176</f>
        <v>232243.57497512503</v>
      </c>
      <c r="F6" s="6">
        <f>'NVP-Indonesia'!F51*'NVP-Indonesia'!$B$176</f>
        <v>232497.82397442084</v>
      </c>
      <c r="G6" s="6">
        <f>'NVP-Indonesia'!G51*'NVP-Indonesia'!$B$176</f>
        <v>233190.87394497517</v>
      </c>
      <c r="H6" s="6">
        <f>'NVP-Indonesia'!H51*'NVP-Indonesia'!$B$176</f>
        <v>233474.06381788835</v>
      </c>
      <c r="I6" s="6">
        <f>'NVP-Indonesia'!I51*'NVP-Indonesia'!$B$176</f>
        <v>233635.37387940157</v>
      </c>
      <c r="J6" s="6">
        <f>'NVP-Indonesia'!J51*'NVP-Indonesia'!$B$176</f>
        <v>233972.50778407929</v>
      </c>
      <c r="K6" s="6">
        <f>'NVP-Indonesia'!K51*'NVP-Indonesia'!$B$176</f>
        <v>234407.07088675885</v>
      </c>
      <c r="L6" s="6">
        <f>'NVP-Indonesia'!L51*'NVP-Indonesia'!$B$176</f>
        <v>234892.90637416721</v>
      </c>
      <c r="M6" s="6">
        <f>'NVP-Indonesia'!M51*'NVP-Indonesia'!$B$176</f>
        <v>235514.44905547143</v>
      </c>
      <c r="N6" s="6">
        <f>'NVP-Indonesia'!N51*'NVP-Indonesia'!$B$176</f>
        <v>236049.41159506427</v>
      </c>
      <c r="O6" s="6">
        <f>'NVP-Indonesia'!O51*'NVP-Indonesia'!$B$176</f>
        <v>236766.08333243633</v>
      </c>
      <c r="P6" s="6">
        <f>'NVP-Indonesia'!P51*'NVP-Indonesia'!$B$176</f>
        <v>237132.66754157445</v>
      </c>
      <c r="Q6" s="6">
        <f>'NVP-Indonesia'!Q51*'NVP-Indonesia'!$B$176</f>
        <v>237424.41740041462</v>
      </c>
      <c r="R6" s="6">
        <f>'NVP-Indonesia'!R51*'NVP-Indonesia'!$B$176</f>
        <v>237686.11457707614</v>
      </c>
      <c r="S6" s="6">
        <f>'NVP-Indonesia'!S51*'NVP-Indonesia'!$B$176</f>
        <v>237898.34185395428</v>
      </c>
      <c r="T6" s="6">
        <f>'NVP-Indonesia'!T51*'NVP-Indonesia'!$B$176</f>
        <v>238035.27643359354</v>
      </c>
      <c r="U6" s="6">
        <f>'NVP-Indonesia'!U51*'NVP-Indonesia'!$B$176</f>
        <v>238137.01012896755</v>
      </c>
      <c r="V6" s="6">
        <f>'NVP-Indonesia'!V51*'NVP-Indonesia'!$B$176</f>
        <v>238129.14595219865</v>
      </c>
      <c r="W6" s="6">
        <f>'NVP-Indonesia'!W51*'NVP-Indonesia'!$B$176</f>
        <v>238165.81855122506</v>
      </c>
      <c r="X6" s="6">
        <f>'NVP-Indonesia'!X51*'NVP-Indonesia'!$B$176</f>
        <v>238147.74097478145</v>
      </c>
      <c r="Y6" s="6">
        <f>'NVP-Indonesia'!Y51*'NVP-Indonesia'!$B$176</f>
        <v>238089.84880709494</v>
      </c>
      <c r="Z6" s="6">
        <f>'NVP-Indonesia'!Z51*'NVP-Indonesia'!$B$176</f>
        <v>238032.3028054836</v>
      </c>
      <c r="AA6" s="6">
        <f>'NVP-Indonesia'!AA51*'NVP-Indonesia'!$B$176</f>
        <v>237970.88244687821</v>
      </c>
      <c r="AB6" s="6">
        <f>'NVP-Indonesia'!AB51*'NVP-Indonesia'!$B$176</f>
        <v>237898.79338361553</v>
      </c>
      <c r="AC6" s="6">
        <f>'NVP-Indonesia'!AC51*'NVP-Indonesia'!$B$176</f>
        <v>237838.68388057902</v>
      </c>
      <c r="AD6" s="6">
        <f>'NVP-Indonesia'!AD51*'NVP-Indonesia'!$B$176</f>
        <v>237780.44524288087</v>
      </c>
      <c r="AE6" s="6">
        <f>'NVP-Indonesia'!AE51*'NVP-Indonesia'!$B$176</f>
        <v>237729.60671294114</v>
      </c>
      <c r="AF6" s="6">
        <f>'NVP-Indonesia'!AF51*'NVP-Indonesia'!$B$176</f>
        <v>237664.8967710383</v>
      </c>
      <c r="AG6" s="6">
        <f>'NVP-Indonesia'!AG51*'NVP-Indonesia'!$B$176</f>
        <v>240061.85997267923</v>
      </c>
      <c r="AH6" s="6">
        <f>'NVP-Indonesia'!AH51*'NVP-Indonesia'!$B$176</f>
        <v>240325.25651733342</v>
      </c>
      <c r="AI6" s="6">
        <f>'NVP-Indonesia'!AI51*'NVP-Indonesia'!$B$176</f>
        <v>240588.6530619876</v>
      </c>
      <c r="AJ6" s="6">
        <f>'NVP-Indonesia'!AJ51*'NVP-Indonesia'!$B$176</f>
        <v>240852.0496066419</v>
      </c>
      <c r="AK6" s="6">
        <f>'NVP-Indonesia'!AK51*'NVP-Indonesia'!$B$176</f>
        <v>241115.44615129608</v>
      </c>
      <c r="AL6" s="6">
        <f>'NVP-Indonesia'!AL51*'NVP-Indonesia'!$B$176</f>
        <v>241378.84269595027</v>
      </c>
      <c r="AM6" s="6">
        <f>'NVP-Indonesia'!AM51*'NVP-Indonesia'!$B$176</f>
        <v>241642.23924060445</v>
      </c>
      <c r="AN6" s="6">
        <f>'NVP-Indonesia'!AN51*'NVP-Indonesia'!$B$176</f>
        <v>241905.63578525872</v>
      </c>
      <c r="AO6" s="6">
        <f>'NVP-Indonesia'!AO51*'NVP-Indonesia'!$B$176</f>
        <v>242169.03232991294</v>
      </c>
      <c r="AP6" s="6">
        <f>'NVP-Indonesia'!AP51*'NVP-Indonesia'!$B$176</f>
        <v>242432.42887456712</v>
      </c>
      <c r="AQ6" s="6">
        <f>'NVP-Indonesia'!AQ51*'NVP-Indonesia'!$B$176</f>
        <v>242695.82541922131</v>
      </c>
      <c r="AR6" s="6">
        <f>'NVP-Indonesia'!AR51*'NVP-Indonesia'!$B$176</f>
        <v>242959.22196387558</v>
      </c>
      <c r="AS6" s="6">
        <f>'NVP-Indonesia'!AS51*'NVP-Indonesia'!$B$176</f>
        <v>243222.61850852979</v>
      </c>
      <c r="AT6" s="6">
        <f>'NVP-Indonesia'!AT51*'NVP-Indonesia'!$B$176</f>
        <v>243486.01505318398</v>
      </c>
      <c r="AU6" s="6">
        <f>'NVP-Indonesia'!AU51*'NVP-Indonesia'!$B$176</f>
        <v>243749.41159783816</v>
      </c>
      <c r="AV6" s="6">
        <f>'NVP-Indonesia'!AV51*'NVP-Indonesia'!$B$176</f>
        <v>244012.80814249243</v>
      </c>
      <c r="AW6" s="6">
        <f>'NVP-Indonesia'!AW51*'NVP-Indonesia'!$B$176</f>
        <v>244276.20468714664</v>
      </c>
      <c r="AX6" s="6">
        <f>'NVP-Indonesia'!AX51*'NVP-Indonesia'!$B$176</f>
        <v>244539.60123180083</v>
      </c>
      <c r="AY6" s="6">
        <f>'NVP-Indonesia'!AY51*'NVP-Indonesia'!$B$176</f>
        <v>244802.99777645501</v>
      </c>
      <c r="AZ6" s="6">
        <f>'NVP-Indonesia'!AZ51*'NVP-Indonesia'!$B$176</f>
        <v>245066.39432110928</v>
      </c>
    </row>
    <row r="7" spans="1:52" ht="14.25" customHeight="1" x14ac:dyDescent="0.35">
      <c r="A7" s="2" t="s">
        <v>24</v>
      </c>
      <c r="B7" s="6">
        <f>'NVP-Indonesia'!B52*'NVP-Indonesia'!$B$176</f>
        <v>128903.89791956132</v>
      </c>
      <c r="C7" s="6">
        <f>'NVP-Indonesia'!C52*'NVP-Indonesia'!$B$176</f>
        <v>131015.08136717931</v>
      </c>
      <c r="D7" s="6">
        <f>'NVP-Indonesia'!D52*'NVP-Indonesia'!$B$176</f>
        <v>130893.77501627564</v>
      </c>
      <c r="E7" s="6">
        <f>'NVP-Indonesia'!E52*'NVP-Indonesia'!$B$176</f>
        <v>131121.8145406307</v>
      </c>
      <c r="F7" s="6">
        <f>'NVP-Indonesia'!F52*'NVP-Indonesia'!$B$176</f>
        <v>131431.03705977928</v>
      </c>
      <c r="G7" s="6">
        <f>'NVP-Indonesia'!G52*'NVP-Indonesia'!$B$176</f>
        <v>132007.14875030835</v>
      </c>
      <c r="H7" s="6">
        <f>'NVP-Indonesia'!H52*'NVP-Indonesia'!$B$176</f>
        <v>132488.47398982808</v>
      </c>
      <c r="I7" s="6">
        <f>'NVP-Indonesia'!I52*'NVP-Indonesia'!$B$176</f>
        <v>132735.50971482962</v>
      </c>
      <c r="J7" s="6">
        <f>'NVP-Indonesia'!J52*'NVP-Indonesia'!$B$176</f>
        <v>132954.21377236038</v>
      </c>
      <c r="K7" s="6">
        <f>'NVP-Indonesia'!K52*'NVP-Indonesia'!$B$176</f>
        <v>133190.99598723542</v>
      </c>
      <c r="L7" s="6">
        <f>'NVP-Indonesia'!L52*'NVP-Indonesia'!$B$176</f>
        <v>133412.9831135289</v>
      </c>
      <c r="M7" s="6">
        <f>'NVP-Indonesia'!M52*'NVP-Indonesia'!$B$176</f>
        <v>133633.70565037304</v>
      </c>
      <c r="N7" s="6">
        <f>'NVP-Indonesia'!N52*'NVP-Indonesia'!$B$176</f>
        <v>133821.96836476508</v>
      </c>
      <c r="O7" s="6">
        <f>'NVP-Indonesia'!O52*'NVP-Indonesia'!$B$176</f>
        <v>134047.88605393833</v>
      </c>
      <c r="P7" s="6">
        <f>'NVP-Indonesia'!P52*'NVP-Indonesia'!$B$176</f>
        <v>134200.78282204765</v>
      </c>
      <c r="Q7" s="6">
        <f>'NVP-Indonesia'!Q52*'NVP-Indonesia'!$B$176</f>
        <v>134338.83586351961</v>
      </c>
      <c r="R7" s="6">
        <f>'NVP-Indonesia'!R52*'NVP-Indonesia'!$B$176</f>
        <v>134481.5277595582</v>
      </c>
      <c r="S7" s="6">
        <f>'NVP-Indonesia'!S52*'NVP-Indonesia'!$B$176</f>
        <v>134625.34441063579</v>
      </c>
      <c r="T7" s="6">
        <f>'NVP-Indonesia'!T52*'NVP-Indonesia'!$B$176</f>
        <v>134760.11438334506</v>
      </c>
      <c r="U7" s="6">
        <f>'NVP-Indonesia'!U52*'NVP-Indonesia'!$B$176</f>
        <v>134902.93395427996</v>
      </c>
      <c r="V7" s="6">
        <f>'NVP-Indonesia'!V52*'NVP-Indonesia'!$B$176</f>
        <v>135025.78456345349</v>
      </c>
      <c r="W7" s="6">
        <f>'NVP-Indonesia'!W52*'NVP-Indonesia'!$B$176</f>
        <v>135148.91180156905</v>
      </c>
      <c r="X7" s="6">
        <f>'NVP-Indonesia'!X52*'NVP-Indonesia'!$B$176</f>
        <v>135271.03283990643</v>
      </c>
      <c r="Y7" s="6">
        <f>'NVP-Indonesia'!Y52*'NVP-Indonesia'!$B$176</f>
        <v>135386.80965184775</v>
      </c>
      <c r="Z7" s="6">
        <f>'NVP-Indonesia'!Z52*'NVP-Indonesia'!$B$176</f>
        <v>135506.60822302336</v>
      </c>
      <c r="AA7" s="6">
        <f>'NVP-Indonesia'!AA52*'NVP-Indonesia'!$B$176</f>
        <v>135630.03944898731</v>
      </c>
      <c r="AB7" s="6">
        <f>'NVP-Indonesia'!AB52*'NVP-Indonesia'!$B$176</f>
        <v>135752.43711626678</v>
      </c>
      <c r="AC7" s="6">
        <f>'NVP-Indonesia'!AC52*'NVP-Indonesia'!$B$176</f>
        <v>135879.0115765832</v>
      </c>
      <c r="AD7" s="6">
        <f>'NVP-Indonesia'!AD52*'NVP-Indonesia'!$B$176</f>
        <v>136005.3975644336</v>
      </c>
      <c r="AE7" s="6">
        <f>'NVP-Indonesia'!AE52*'NVP-Indonesia'!$B$176</f>
        <v>136133.32781055392</v>
      </c>
      <c r="AF7" s="6">
        <f>'NVP-Indonesia'!AF52*'NVP-Indonesia'!$B$176</f>
        <v>136213.99098612662</v>
      </c>
      <c r="AG7" s="6">
        <f>'NVP-Indonesia'!AG52*'NVP-Indonesia'!$B$176</f>
        <v>137012.55082503639</v>
      </c>
      <c r="AH7" s="6">
        <f>'NVP-Indonesia'!AH52*'NVP-Indonesia'!$B$176</f>
        <v>137207.04214257546</v>
      </c>
      <c r="AI7" s="6">
        <f>'NVP-Indonesia'!AI52*'NVP-Indonesia'!$B$176</f>
        <v>137401.53346011456</v>
      </c>
      <c r="AJ7" s="6">
        <f>'NVP-Indonesia'!AJ52*'NVP-Indonesia'!$B$176</f>
        <v>137596.02477765369</v>
      </c>
      <c r="AK7" s="6">
        <f>'NVP-Indonesia'!AK52*'NVP-Indonesia'!$B$176</f>
        <v>137790.51609519278</v>
      </c>
      <c r="AL7" s="6">
        <f>'NVP-Indonesia'!AL52*'NVP-Indonesia'!$B$176</f>
        <v>137985.00741273191</v>
      </c>
      <c r="AM7" s="6">
        <f>'NVP-Indonesia'!AM52*'NVP-Indonesia'!$B$176</f>
        <v>138179.49873027101</v>
      </c>
      <c r="AN7" s="6">
        <f>'NVP-Indonesia'!AN52*'NVP-Indonesia'!$B$176</f>
        <v>138373.99004781013</v>
      </c>
      <c r="AO7" s="6">
        <f>'NVP-Indonesia'!AO52*'NVP-Indonesia'!$B$176</f>
        <v>138568.48136534923</v>
      </c>
      <c r="AP7" s="6">
        <f>'NVP-Indonesia'!AP52*'NVP-Indonesia'!$B$176</f>
        <v>138762.9726828883</v>
      </c>
      <c r="AQ7" s="6">
        <f>'NVP-Indonesia'!AQ52*'NVP-Indonesia'!$B$176</f>
        <v>138957.46400042743</v>
      </c>
      <c r="AR7" s="6">
        <f>'NVP-Indonesia'!AR52*'NVP-Indonesia'!$B$176</f>
        <v>139151.95531796652</v>
      </c>
      <c r="AS7" s="6">
        <f>'NVP-Indonesia'!AS52*'NVP-Indonesia'!$B$176</f>
        <v>139346.44663550562</v>
      </c>
      <c r="AT7" s="6">
        <f>'NVP-Indonesia'!AT52*'NVP-Indonesia'!$B$176</f>
        <v>139540.93795304475</v>
      </c>
      <c r="AU7" s="6">
        <f>'NVP-Indonesia'!AU52*'NVP-Indonesia'!$B$176</f>
        <v>139735.42927058385</v>
      </c>
      <c r="AV7" s="6">
        <f>'NVP-Indonesia'!AV52*'NVP-Indonesia'!$B$176</f>
        <v>139929.92058812297</v>
      </c>
      <c r="AW7" s="6">
        <f>'NVP-Indonesia'!AW52*'NVP-Indonesia'!$B$176</f>
        <v>140124.41190566207</v>
      </c>
      <c r="AX7" s="6">
        <f>'NVP-Indonesia'!AX52*'NVP-Indonesia'!$B$176</f>
        <v>140318.90322320114</v>
      </c>
      <c r="AY7" s="6">
        <f>'NVP-Indonesia'!AY52*'NVP-Indonesia'!$B$176</f>
        <v>140513.39454074026</v>
      </c>
      <c r="AZ7" s="6">
        <f>'NVP-Indonesia'!AZ52*'NVP-Indonesia'!$B$176</f>
        <v>140707.88585827936</v>
      </c>
    </row>
    <row r="8" spans="1:52" ht="14.25" customHeight="1" x14ac:dyDescent="0.35">
      <c r="A8" s="2" t="s">
        <v>25</v>
      </c>
      <c r="B8" s="6">
        <f>'NVP-Indonesia'!B53*'NVP-Indonesia'!$B$176</f>
        <v>277734.93815407105</v>
      </c>
      <c r="C8" s="6">
        <f>'NVP-Indonesia'!C53*'NVP-Indonesia'!$B$176</f>
        <v>277674.53178229753</v>
      </c>
      <c r="D8" s="6">
        <f>'NVP-Indonesia'!D53*'NVP-Indonesia'!$B$176</f>
        <v>271668.47212838038</v>
      </c>
      <c r="E8" s="6">
        <f>'NVP-Indonesia'!E53*'NVP-Indonesia'!$B$176</f>
        <v>266381.28180624364</v>
      </c>
      <c r="F8" s="6">
        <f>'NVP-Indonesia'!F53*'NVP-Indonesia'!$B$176</f>
        <v>261040.65060436205</v>
      </c>
      <c r="G8" s="6">
        <f>'NVP-Indonesia'!G53*'NVP-Indonesia'!$B$176</f>
        <v>255512.76749016883</v>
      </c>
      <c r="H8" s="6">
        <f>'NVP-Indonesia'!H53*'NVP-Indonesia'!$B$176</f>
        <v>250656.46626342725</v>
      </c>
      <c r="I8" s="6">
        <f>'NVP-Indonesia'!I53*'NVP-Indonesia'!$B$176</f>
        <v>246187.20872732718</v>
      </c>
      <c r="J8" s="6">
        <f>'NVP-Indonesia'!J53*'NVP-Indonesia'!$B$176</f>
        <v>241924.27744614473</v>
      </c>
      <c r="K8" s="6">
        <f>'NVP-Indonesia'!K53*'NVP-Indonesia'!$B$176</f>
        <v>237862.4137395375</v>
      </c>
      <c r="L8" s="6">
        <f>'NVP-Indonesia'!L53*'NVP-Indonesia'!$B$176</f>
        <v>233990.11000383174</v>
      </c>
      <c r="M8" s="6">
        <f>'NVP-Indonesia'!M53*'NVP-Indonesia'!$B$176</f>
        <v>230304.2496708635</v>
      </c>
      <c r="N8" s="6">
        <f>'NVP-Indonesia'!N53*'NVP-Indonesia'!$B$176</f>
        <v>226774.60185637116</v>
      </c>
      <c r="O8" s="6">
        <f>'NVP-Indonesia'!O53*'NVP-Indonesia'!$B$176</f>
        <v>223434.36130897643</v>
      </c>
      <c r="P8" s="6">
        <f>'NVP-Indonesia'!P53*'NVP-Indonesia'!$B$176</f>
        <v>220156.02415287838</v>
      </c>
      <c r="Q8" s="6">
        <f>'NVP-Indonesia'!Q53*'NVP-Indonesia'!$B$176</f>
        <v>217012.69497314835</v>
      </c>
      <c r="R8" s="6">
        <f>'NVP-Indonesia'!R53*'NVP-Indonesia'!$B$176</f>
        <v>214018.7481389085</v>
      </c>
      <c r="S8" s="6">
        <f>'NVP-Indonesia'!S53*'NVP-Indonesia'!$B$176</f>
        <v>211163.34994985576</v>
      </c>
      <c r="T8" s="6">
        <f>'NVP-Indonesia'!T53*'NVP-Indonesia'!$B$176</f>
        <v>208440.64410011313</v>
      </c>
      <c r="U8" s="6">
        <f>'NVP-Indonesia'!U53*'NVP-Indonesia'!$B$176</f>
        <v>205847.18287895055</v>
      </c>
      <c r="V8" s="6">
        <f>'NVP-Indonesia'!V53*'NVP-Indonesia'!$B$176</f>
        <v>203368.10079611029</v>
      </c>
      <c r="W8" s="6">
        <f>'NVP-Indonesia'!W53*'NVP-Indonesia'!$B$176</f>
        <v>201008.45435765345</v>
      </c>
      <c r="X8" s="6">
        <f>'NVP-Indonesia'!X53*'NVP-Indonesia'!$B$176</f>
        <v>198757.83817101532</v>
      </c>
      <c r="Y8" s="6">
        <f>'NVP-Indonesia'!Y53*'NVP-Indonesia'!$B$176</f>
        <v>196611.40609098307</v>
      </c>
      <c r="Z8" s="6">
        <f>'NVP-Indonesia'!Z53*'NVP-Indonesia'!$B$176</f>
        <v>194566.35837872213</v>
      </c>
      <c r="AA8" s="6">
        <f>'NVP-Indonesia'!AA53*'NVP-Indonesia'!$B$176</f>
        <v>192617.00340202419</v>
      </c>
      <c r="AB8" s="6">
        <f>'NVP-Indonesia'!AB53*'NVP-Indonesia'!$B$176</f>
        <v>190757.76729119531</v>
      </c>
      <c r="AC8" s="6">
        <f>'NVP-Indonesia'!AC53*'NVP-Indonesia'!$B$176</f>
        <v>188986.7036418652</v>
      </c>
      <c r="AD8" s="6">
        <f>'NVP-Indonesia'!AD53*'NVP-Indonesia'!$B$176</f>
        <v>187297.44517348424</v>
      </c>
      <c r="AE8" s="6">
        <f>'NVP-Indonesia'!AE53*'NVP-Indonesia'!$B$176</f>
        <v>185688.86113302238</v>
      </c>
      <c r="AF8" s="6">
        <f>'NVP-Indonesia'!AF53*'NVP-Indonesia'!$B$176</f>
        <v>184081.82645765922</v>
      </c>
      <c r="AG8" s="6">
        <f>'NVP-Indonesia'!AG53*'NVP-Indonesia'!$B$176</f>
        <v>171781.1889136892</v>
      </c>
      <c r="AH8" s="6">
        <f>'NVP-Indonesia'!AH53*'NVP-Indonesia'!$B$176</f>
        <v>168603.14479323491</v>
      </c>
      <c r="AI8" s="6">
        <f>'NVP-Indonesia'!AI53*'NVP-Indonesia'!$B$176</f>
        <v>165425.10067278135</v>
      </c>
      <c r="AJ8" s="6">
        <f>'NVP-Indonesia'!AJ53*'NVP-Indonesia'!$B$176</f>
        <v>162247.05655232706</v>
      </c>
      <c r="AK8" s="6">
        <f>'NVP-Indonesia'!AK53*'NVP-Indonesia'!$B$176</f>
        <v>159069.01243187278</v>
      </c>
      <c r="AL8" s="6">
        <f>'NVP-Indonesia'!AL53*'NVP-Indonesia'!$B$176</f>
        <v>155890.96831141922</v>
      </c>
      <c r="AM8" s="6">
        <f>'NVP-Indonesia'!AM53*'NVP-Indonesia'!$B$176</f>
        <v>152712.92419096493</v>
      </c>
      <c r="AN8" s="6">
        <f>'NVP-Indonesia'!AN53*'NVP-Indonesia'!$B$176</f>
        <v>149534.88007051064</v>
      </c>
      <c r="AO8" s="6">
        <f>'NVP-Indonesia'!AO53*'NVP-Indonesia'!$B$176</f>
        <v>146356.83595005635</v>
      </c>
      <c r="AP8" s="6">
        <f>'NVP-Indonesia'!AP53*'NVP-Indonesia'!$B$176</f>
        <v>143178.79182960279</v>
      </c>
      <c r="AQ8" s="6">
        <f>'NVP-Indonesia'!AQ53*'NVP-Indonesia'!$B$176</f>
        <v>140000.74770914923</v>
      </c>
      <c r="AR8" s="6">
        <f>'NVP-Indonesia'!AR53*'NVP-Indonesia'!$B$176</f>
        <v>136822.70358869422</v>
      </c>
      <c r="AS8" s="6">
        <f>'NVP-Indonesia'!AS53*'NVP-Indonesia'!$B$176</f>
        <v>133644.65946824066</v>
      </c>
      <c r="AT8" s="6">
        <f>'NVP-Indonesia'!AT53*'NVP-Indonesia'!$B$176</f>
        <v>130466.61534778711</v>
      </c>
      <c r="AU8" s="6">
        <f>'NVP-Indonesia'!AU53*'NVP-Indonesia'!$B$176</f>
        <v>127288.5712273321</v>
      </c>
      <c r="AV8" s="6">
        <f>'NVP-Indonesia'!AV53*'NVP-Indonesia'!$B$176</f>
        <v>124110.52710687854</v>
      </c>
      <c r="AW8" s="6">
        <f>'NVP-Indonesia'!AW53*'NVP-Indonesia'!$B$176</f>
        <v>120932.48298642498</v>
      </c>
      <c r="AX8" s="6">
        <f>'NVP-Indonesia'!AX53*'NVP-Indonesia'!$B$176</f>
        <v>117754.43886596996</v>
      </c>
      <c r="AY8" s="6">
        <f>'NVP-Indonesia'!AY53*'NVP-Indonesia'!$B$176</f>
        <v>114576.3947455164</v>
      </c>
      <c r="AZ8" s="6">
        <f>'NVP-Indonesia'!AZ53*'NVP-Indonesia'!$B$176</f>
        <v>111398.35062506286</v>
      </c>
    </row>
    <row r="9" spans="1:52" ht="14.25" customHeight="1" x14ac:dyDescent="0.35"/>
    <row r="10" spans="1:52" ht="14.25" customHeight="1" x14ac:dyDescent="0.35"/>
    <row r="11" spans="1:52" ht="14.25" customHeight="1" x14ac:dyDescent="0.35"/>
    <row r="12" spans="1:52" ht="14.25" customHeight="1" x14ac:dyDescent="0.35"/>
    <row r="13" spans="1:52" ht="14.25" customHeight="1" x14ac:dyDescent="0.35"/>
    <row r="14" spans="1:52" ht="14.25" customHeight="1" x14ac:dyDescent="0.35"/>
    <row r="15" spans="1:52" ht="14.25" customHeight="1" x14ac:dyDescent="0.35"/>
    <row r="16" spans="1:52"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rgb="FF1F497D"/>
  </sheetPr>
  <dimension ref="A1:AZ1000"/>
  <sheetViews>
    <sheetView workbookViewId="0">
      <selection activeCell="B6" sqref="B6:AZ7"/>
    </sheetView>
  </sheetViews>
  <sheetFormatPr defaultColWidth="14.453125" defaultRowHeight="15" customHeight="1" x14ac:dyDescent="0.35"/>
  <cols>
    <col min="1" max="1" width="24.453125" customWidth="1"/>
    <col min="2" max="35" width="10" customWidth="1"/>
    <col min="36" max="36" width="8.81640625" customWidth="1"/>
  </cols>
  <sheetData>
    <row r="1" spans="1:52" ht="14.25" customHeight="1" x14ac:dyDescent="0.35">
      <c r="A1" s="1" t="s">
        <v>18</v>
      </c>
      <c r="B1" s="9">
        <v>2020</v>
      </c>
      <c r="C1" s="9">
        <v>2021</v>
      </c>
      <c r="D1" s="9">
        <v>2022</v>
      </c>
      <c r="E1" s="9">
        <v>2023</v>
      </c>
      <c r="F1" s="9">
        <v>2024</v>
      </c>
      <c r="G1" s="9">
        <v>2025</v>
      </c>
      <c r="H1" s="9">
        <v>2026</v>
      </c>
      <c r="I1" s="9">
        <v>2027</v>
      </c>
      <c r="J1" s="9">
        <v>2028</v>
      </c>
      <c r="K1" s="9">
        <v>2029</v>
      </c>
      <c r="L1" s="9">
        <v>2030</v>
      </c>
      <c r="M1" s="9">
        <v>2031</v>
      </c>
      <c r="N1" s="9">
        <v>2032</v>
      </c>
      <c r="O1" s="9">
        <v>2033</v>
      </c>
      <c r="P1" s="9">
        <v>2034</v>
      </c>
      <c r="Q1" s="9">
        <v>2035</v>
      </c>
      <c r="R1" s="9">
        <v>2036</v>
      </c>
      <c r="S1" s="9">
        <v>2037</v>
      </c>
      <c r="T1" s="9">
        <v>2038</v>
      </c>
      <c r="U1" s="9">
        <v>2039</v>
      </c>
      <c r="V1" s="9">
        <v>2040</v>
      </c>
      <c r="W1" s="9">
        <v>2041</v>
      </c>
      <c r="X1" s="9">
        <v>2042</v>
      </c>
      <c r="Y1" s="9">
        <v>2043</v>
      </c>
      <c r="Z1" s="9">
        <v>2044</v>
      </c>
      <c r="AA1" s="9">
        <v>2045</v>
      </c>
      <c r="AB1" s="9">
        <v>2046</v>
      </c>
      <c r="AC1" s="9">
        <v>2047</v>
      </c>
      <c r="AD1" s="9">
        <v>2048</v>
      </c>
      <c r="AE1" s="9">
        <v>2049</v>
      </c>
      <c r="AF1" s="9">
        <v>2050</v>
      </c>
      <c r="AG1" s="9">
        <v>2051</v>
      </c>
      <c r="AH1" s="9">
        <v>2052</v>
      </c>
      <c r="AI1" s="9">
        <v>2053</v>
      </c>
      <c r="AJ1" s="9">
        <v>2054</v>
      </c>
      <c r="AK1" s="9">
        <v>2055</v>
      </c>
      <c r="AL1" s="9">
        <v>2056</v>
      </c>
      <c r="AM1" s="9">
        <v>2057</v>
      </c>
      <c r="AN1" s="9">
        <v>2058</v>
      </c>
      <c r="AO1" s="9">
        <v>2059</v>
      </c>
      <c r="AP1" s="9">
        <v>2060</v>
      </c>
      <c r="AQ1" s="9">
        <v>2061</v>
      </c>
      <c r="AR1" s="9">
        <v>2062</v>
      </c>
      <c r="AS1" s="9">
        <v>2063</v>
      </c>
      <c r="AT1" s="9">
        <v>2064</v>
      </c>
      <c r="AU1" s="9">
        <v>2065</v>
      </c>
      <c r="AV1" s="9">
        <v>2066</v>
      </c>
      <c r="AW1" s="9">
        <v>2067</v>
      </c>
      <c r="AX1" s="9">
        <v>2068</v>
      </c>
      <c r="AY1" s="9">
        <v>2069</v>
      </c>
      <c r="AZ1" s="9">
        <v>2070</v>
      </c>
    </row>
    <row r="2" spans="1:52" ht="14.25" customHeight="1" x14ac:dyDescent="0.35">
      <c r="A2" s="2" t="s">
        <v>19</v>
      </c>
      <c r="B2" s="6">
        <f>'NVP-Indonesia'!B57*'NVP-Indonesia'!$B$176</f>
        <v>93481594.916666672</v>
      </c>
      <c r="C2" s="6">
        <f>B2</f>
        <v>93481594.916666672</v>
      </c>
      <c r="D2" s="6">
        <f t="shared" ref="D2:AF2" si="0">C2</f>
        <v>93481594.916666672</v>
      </c>
      <c r="E2" s="6">
        <f t="shared" si="0"/>
        <v>93481594.916666672</v>
      </c>
      <c r="F2" s="6">
        <f t="shared" si="0"/>
        <v>93481594.916666672</v>
      </c>
      <c r="G2" s="6">
        <f t="shared" si="0"/>
        <v>93481594.916666672</v>
      </c>
      <c r="H2" s="6">
        <f t="shared" si="0"/>
        <v>93481594.916666672</v>
      </c>
      <c r="I2" s="6">
        <f t="shared" si="0"/>
        <v>93481594.916666672</v>
      </c>
      <c r="J2" s="6">
        <f t="shared" si="0"/>
        <v>93481594.916666672</v>
      </c>
      <c r="K2" s="6">
        <f t="shared" si="0"/>
        <v>93481594.916666672</v>
      </c>
      <c r="L2" s="6">
        <f t="shared" si="0"/>
        <v>93481594.916666672</v>
      </c>
      <c r="M2" s="6">
        <f t="shared" si="0"/>
        <v>93481594.916666672</v>
      </c>
      <c r="N2" s="6">
        <f t="shared" si="0"/>
        <v>93481594.916666672</v>
      </c>
      <c r="O2" s="6">
        <f t="shared" si="0"/>
        <v>93481594.916666672</v>
      </c>
      <c r="P2" s="6">
        <f t="shared" si="0"/>
        <v>93481594.916666672</v>
      </c>
      <c r="Q2" s="6">
        <f t="shared" si="0"/>
        <v>93481594.916666672</v>
      </c>
      <c r="R2" s="6">
        <f t="shared" si="0"/>
        <v>93481594.916666672</v>
      </c>
      <c r="S2" s="6">
        <f t="shared" si="0"/>
        <v>93481594.916666672</v>
      </c>
      <c r="T2" s="6">
        <f t="shared" si="0"/>
        <v>93481594.916666672</v>
      </c>
      <c r="U2" s="6">
        <f t="shared" si="0"/>
        <v>93481594.916666672</v>
      </c>
      <c r="V2" s="6">
        <f t="shared" si="0"/>
        <v>93481594.916666672</v>
      </c>
      <c r="W2" s="6">
        <f t="shared" si="0"/>
        <v>93481594.916666672</v>
      </c>
      <c r="X2" s="6">
        <f t="shared" si="0"/>
        <v>93481594.916666672</v>
      </c>
      <c r="Y2" s="6">
        <f t="shared" si="0"/>
        <v>93481594.916666672</v>
      </c>
      <c r="Z2" s="6">
        <f t="shared" si="0"/>
        <v>93481594.916666672</v>
      </c>
      <c r="AA2" s="6">
        <f t="shared" si="0"/>
        <v>93481594.916666672</v>
      </c>
      <c r="AB2" s="6">
        <f t="shared" si="0"/>
        <v>93481594.916666672</v>
      </c>
      <c r="AC2" s="6">
        <f t="shared" si="0"/>
        <v>93481594.916666672</v>
      </c>
      <c r="AD2" s="6">
        <f t="shared" si="0"/>
        <v>93481594.916666672</v>
      </c>
      <c r="AE2" s="6">
        <f t="shared" si="0"/>
        <v>93481594.916666672</v>
      </c>
      <c r="AF2" s="6">
        <f t="shared" si="0"/>
        <v>93481594.916666672</v>
      </c>
      <c r="AG2" s="6">
        <f>_xlfn.FORECAST.LINEAR(AG$1,$B2:$AF2,$B$1:$AF$1)</f>
        <v>93481594.916666642</v>
      </c>
      <c r="AH2" s="6">
        <f t="shared" ref="AH2:AZ8" si="1">_xlfn.FORECAST.LINEAR(AH$1,$B2:$AF2,$B$1:$AF$1)</f>
        <v>93481594.916666642</v>
      </c>
      <c r="AI2" s="6">
        <f t="shared" si="1"/>
        <v>93481594.916666642</v>
      </c>
      <c r="AJ2" s="6">
        <f t="shared" si="1"/>
        <v>93481594.916666642</v>
      </c>
      <c r="AK2" s="6">
        <f t="shared" si="1"/>
        <v>93481594.916666642</v>
      </c>
      <c r="AL2" s="6">
        <f t="shared" si="1"/>
        <v>93481594.916666642</v>
      </c>
      <c r="AM2" s="6">
        <f t="shared" si="1"/>
        <v>93481594.916666642</v>
      </c>
      <c r="AN2" s="6">
        <f t="shared" si="1"/>
        <v>93481594.916666642</v>
      </c>
      <c r="AO2" s="6">
        <f t="shared" si="1"/>
        <v>93481594.916666642</v>
      </c>
      <c r="AP2" s="6">
        <f t="shared" si="1"/>
        <v>93481594.916666642</v>
      </c>
      <c r="AQ2" s="6">
        <f t="shared" si="1"/>
        <v>93481594.916666642</v>
      </c>
      <c r="AR2" s="6">
        <f t="shared" si="1"/>
        <v>93481594.916666642</v>
      </c>
      <c r="AS2" s="6">
        <f t="shared" si="1"/>
        <v>93481594.916666642</v>
      </c>
      <c r="AT2" s="6">
        <f t="shared" si="1"/>
        <v>93481594.916666642</v>
      </c>
      <c r="AU2" s="6">
        <f t="shared" si="1"/>
        <v>93481594.916666642</v>
      </c>
      <c r="AV2" s="6">
        <f t="shared" si="1"/>
        <v>93481594.916666642</v>
      </c>
      <c r="AW2" s="6">
        <f t="shared" si="1"/>
        <v>93481594.916666642</v>
      </c>
      <c r="AX2" s="6">
        <f t="shared" si="1"/>
        <v>93481594.916666642</v>
      </c>
      <c r="AY2" s="6">
        <f t="shared" si="1"/>
        <v>93481594.916666642</v>
      </c>
      <c r="AZ2" s="6">
        <f t="shared" si="1"/>
        <v>93481594.916666642</v>
      </c>
    </row>
    <row r="3" spans="1:52" ht="14.25" customHeight="1" x14ac:dyDescent="0.35">
      <c r="A3" s="2" t="s">
        <v>20</v>
      </c>
      <c r="B3">
        <v>999999999</v>
      </c>
      <c r="C3">
        <v>999999999</v>
      </c>
      <c r="D3">
        <v>999999999</v>
      </c>
      <c r="E3">
        <v>999999999</v>
      </c>
      <c r="F3">
        <v>999999999</v>
      </c>
      <c r="G3">
        <v>999999999</v>
      </c>
      <c r="H3">
        <v>999999999</v>
      </c>
      <c r="I3">
        <v>999999999</v>
      </c>
      <c r="J3">
        <v>999999999</v>
      </c>
      <c r="K3">
        <v>999999999</v>
      </c>
      <c r="L3">
        <v>999999999</v>
      </c>
      <c r="M3">
        <v>999999999</v>
      </c>
      <c r="N3">
        <v>999999999</v>
      </c>
      <c r="O3">
        <v>999999999</v>
      </c>
      <c r="P3">
        <v>999999999</v>
      </c>
      <c r="Q3">
        <v>999999999</v>
      </c>
      <c r="R3">
        <v>999999999</v>
      </c>
      <c r="S3">
        <v>999999999</v>
      </c>
      <c r="T3">
        <v>999999999</v>
      </c>
      <c r="U3">
        <v>999999999</v>
      </c>
      <c r="V3">
        <v>999999999</v>
      </c>
      <c r="W3">
        <v>999999999</v>
      </c>
      <c r="X3">
        <v>999999999</v>
      </c>
      <c r="Y3">
        <v>999999999</v>
      </c>
      <c r="Z3">
        <v>999999999</v>
      </c>
      <c r="AA3">
        <v>999999999</v>
      </c>
      <c r="AB3">
        <v>999999999</v>
      </c>
      <c r="AC3">
        <v>999999999</v>
      </c>
      <c r="AD3">
        <v>999999999</v>
      </c>
      <c r="AE3">
        <v>999999999</v>
      </c>
      <c r="AF3">
        <v>999999999</v>
      </c>
      <c r="AG3">
        <v>999999999</v>
      </c>
      <c r="AH3">
        <v>999999999</v>
      </c>
      <c r="AI3">
        <v>999999999</v>
      </c>
      <c r="AJ3">
        <v>999999999</v>
      </c>
      <c r="AK3">
        <v>999999999</v>
      </c>
      <c r="AL3">
        <v>999999999</v>
      </c>
      <c r="AM3">
        <v>999999999</v>
      </c>
      <c r="AN3">
        <v>999999999</v>
      </c>
      <c r="AO3">
        <v>999999999</v>
      </c>
      <c r="AP3">
        <v>999999999</v>
      </c>
      <c r="AQ3">
        <v>999999999</v>
      </c>
      <c r="AR3">
        <v>999999999</v>
      </c>
      <c r="AS3">
        <v>999999999</v>
      </c>
      <c r="AT3">
        <v>999999999</v>
      </c>
      <c r="AU3">
        <v>999999999</v>
      </c>
      <c r="AV3">
        <v>999999999</v>
      </c>
      <c r="AW3">
        <v>999999999</v>
      </c>
      <c r="AX3">
        <v>999999999</v>
      </c>
      <c r="AY3">
        <v>999999999</v>
      </c>
      <c r="AZ3">
        <v>999999999</v>
      </c>
    </row>
    <row r="4" spans="1:52" ht="14.25" customHeight="1" x14ac:dyDescent="0.35">
      <c r="A4" s="2" t="s">
        <v>21</v>
      </c>
      <c r="B4">
        <v>999999999</v>
      </c>
      <c r="C4">
        <v>999999999</v>
      </c>
      <c r="D4">
        <v>999999999</v>
      </c>
      <c r="E4">
        <v>999999999</v>
      </c>
      <c r="F4">
        <v>999999999</v>
      </c>
      <c r="G4">
        <v>999999999</v>
      </c>
      <c r="H4">
        <v>999999999</v>
      </c>
      <c r="I4">
        <v>999999999</v>
      </c>
      <c r="J4">
        <v>999999999</v>
      </c>
      <c r="K4">
        <v>999999999</v>
      </c>
      <c r="L4">
        <v>999999999</v>
      </c>
      <c r="M4">
        <v>999999999</v>
      </c>
      <c r="N4">
        <v>999999999</v>
      </c>
      <c r="O4">
        <v>999999999</v>
      </c>
      <c r="P4">
        <v>999999999</v>
      </c>
      <c r="Q4">
        <v>999999999</v>
      </c>
      <c r="R4">
        <v>999999999</v>
      </c>
      <c r="S4">
        <v>999999999</v>
      </c>
      <c r="T4">
        <v>999999999</v>
      </c>
      <c r="U4">
        <v>999999999</v>
      </c>
      <c r="V4">
        <v>999999999</v>
      </c>
      <c r="W4">
        <v>999999999</v>
      </c>
      <c r="X4">
        <v>999999999</v>
      </c>
      <c r="Y4">
        <v>999999999</v>
      </c>
      <c r="Z4">
        <v>999999999</v>
      </c>
      <c r="AA4">
        <v>999999999</v>
      </c>
      <c r="AB4">
        <v>999999999</v>
      </c>
      <c r="AC4">
        <v>999999999</v>
      </c>
      <c r="AD4">
        <v>999999999</v>
      </c>
      <c r="AE4">
        <v>999999999</v>
      </c>
      <c r="AF4">
        <v>999999999</v>
      </c>
      <c r="AG4">
        <v>999999999</v>
      </c>
      <c r="AH4">
        <v>999999999</v>
      </c>
      <c r="AI4">
        <v>999999999</v>
      </c>
      <c r="AJ4">
        <v>999999999</v>
      </c>
      <c r="AK4">
        <v>999999999</v>
      </c>
      <c r="AL4">
        <v>999999999</v>
      </c>
      <c r="AM4">
        <v>999999999</v>
      </c>
      <c r="AN4">
        <v>999999999</v>
      </c>
      <c r="AO4">
        <v>999999999</v>
      </c>
      <c r="AP4">
        <v>999999999</v>
      </c>
      <c r="AQ4">
        <v>999999999</v>
      </c>
      <c r="AR4">
        <v>999999999</v>
      </c>
      <c r="AS4">
        <v>999999999</v>
      </c>
      <c r="AT4">
        <v>999999999</v>
      </c>
      <c r="AU4">
        <v>999999999</v>
      </c>
      <c r="AV4">
        <v>999999999</v>
      </c>
      <c r="AW4">
        <v>999999999</v>
      </c>
      <c r="AX4">
        <v>999999999</v>
      </c>
      <c r="AY4">
        <v>999999999</v>
      </c>
      <c r="AZ4">
        <v>999999999</v>
      </c>
    </row>
    <row r="5" spans="1:52" ht="14.25" customHeight="1" x14ac:dyDescent="0.35">
      <c r="A5" s="2" t="s">
        <v>22</v>
      </c>
      <c r="B5" s="6">
        <f>'NVP-Indonesia'!B60*'NVP-Indonesia'!$B$176</f>
        <v>50570000</v>
      </c>
      <c r="C5" s="8">
        <f t="shared" ref="C5:AF5" si="2">$B5</f>
        <v>50570000</v>
      </c>
      <c r="D5" s="8">
        <f t="shared" si="2"/>
        <v>50570000</v>
      </c>
      <c r="E5" s="8">
        <f t="shared" si="2"/>
        <v>50570000</v>
      </c>
      <c r="F5" s="8">
        <f t="shared" si="2"/>
        <v>50570000</v>
      </c>
      <c r="G5" s="8">
        <f t="shared" si="2"/>
        <v>50570000</v>
      </c>
      <c r="H5" s="8">
        <f t="shared" si="2"/>
        <v>50570000</v>
      </c>
      <c r="I5" s="8">
        <f t="shared" si="2"/>
        <v>50570000</v>
      </c>
      <c r="J5" s="8">
        <f t="shared" si="2"/>
        <v>50570000</v>
      </c>
      <c r="K5" s="8">
        <f t="shared" si="2"/>
        <v>50570000</v>
      </c>
      <c r="L5" s="8">
        <f t="shared" si="2"/>
        <v>50570000</v>
      </c>
      <c r="M5" s="8">
        <f t="shared" si="2"/>
        <v>50570000</v>
      </c>
      <c r="N5" s="8">
        <f t="shared" si="2"/>
        <v>50570000</v>
      </c>
      <c r="O5" s="8">
        <f t="shared" si="2"/>
        <v>50570000</v>
      </c>
      <c r="P5" s="8">
        <f t="shared" si="2"/>
        <v>50570000</v>
      </c>
      <c r="Q5" s="8">
        <f t="shared" si="2"/>
        <v>50570000</v>
      </c>
      <c r="R5" s="8">
        <f t="shared" si="2"/>
        <v>50570000</v>
      </c>
      <c r="S5" s="8">
        <f t="shared" si="2"/>
        <v>50570000</v>
      </c>
      <c r="T5" s="8">
        <f t="shared" si="2"/>
        <v>50570000</v>
      </c>
      <c r="U5" s="8">
        <f t="shared" si="2"/>
        <v>50570000</v>
      </c>
      <c r="V5" s="8">
        <f t="shared" si="2"/>
        <v>50570000</v>
      </c>
      <c r="W5" s="8">
        <f t="shared" si="2"/>
        <v>50570000</v>
      </c>
      <c r="X5" s="8">
        <f t="shared" si="2"/>
        <v>50570000</v>
      </c>
      <c r="Y5" s="8">
        <f t="shared" si="2"/>
        <v>50570000</v>
      </c>
      <c r="Z5" s="8">
        <f t="shared" si="2"/>
        <v>50570000</v>
      </c>
      <c r="AA5" s="8">
        <f t="shared" si="2"/>
        <v>50570000</v>
      </c>
      <c r="AB5" s="8">
        <f t="shared" si="2"/>
        <v>50570000</v>
      </c>
      <c r="AC5" s="8">
        <f t="shared" si="2"/>
        <v>50570000</v>
      </c>
      <c r="AD5" s="8">
        <f t="shared" si="2"/>
        <v>50570000</v>
      </c>
      <c r="AE5" s="8">
        <f t="shared" si="2"/>
        <v>50570000</v>
      </c>
      <c r="AF5" s="8">
        <f t="shared" si="2"/>
        <v>50570000</v>
      </c>
      <c r="AG5" s="6">
        <f t="shared" ref="AG3:AV8" si="3">_xlfn.FORECAST.LINEAR(AG$1,$B5:$AF5,$B$1:$AF$1)</f>
        <v>50570000</v>
      </c>
      <c r="AH5" s="6">
        <f t="shared" si="1"/>
        <v>50570000</v>
      </c>
      <c r="AI5" s="6">
        <f t="shared" si="1"/>
        <v>50570000</v>
      </c>
      <c r="AJ5" s="6">
        <f t="shared" si="1"/>
        <v>50570000</v>
      </c>
      <c r="AK5" s="6">
        <f t="shared" si="1"/>
        <v>50570000</v>
      </c>
      <c r="AL5" s="6">
        <f t="shared" si="1"/>
        <v>50570000</v>
      </c>
      <c r="AM5" s="6">
        <f t="shared" si="1"/>
        <v>50570000</v>
      </c>
      <c r="AN5" s="6">
        <f t="shared" si="1"/>
        <v>50570000</v>
      </c>
      <c r="AO5" s="6">
        <f t="shared" si="1"/>
        <v>50570000</v>
      </c>
      <c r="AP5" s="6">
        <f t="shared" si="1"/>
        <v>50570000</v>
      </c>
      <c r="AQ5" s="6">
        <f t="shared" si="1"/>
        <v>50570000</v>
      </c>
      <c r="AR5" s="6">
        <f t="shared" si="1"/>
        <v>50570000</v>
      </c>
      <c r="AS5" s="6">
        <f t="shared" si="1"/>
        <v>50570000</v>
      </c>
      <c r="AT5" s="6">
        <f t="shared" si="1"/>
        <v>50570000</v>
      </c>
      <c r="AU5" s="6">
        <f t="shared" si="1"/>
        <v>50570000</v>
      </c>
      <c r="AV5" s="6">
        <f t="shared" si="1"/>
        <v>50570000</v>
      </c>
      <c r="AW5" s="6">
        <f t="shared" si="1"/>
        <v>50570000</v>
      </c>
      <c r="AX5" s="6">
        <f t="shared" si="1"/>
        <v>50570000</v>
      </c>
      <c r="AY5" s="6">
        <f t="shared" si="1"/>
        <v>50570000</v>
      </c>
      <c r="AZ5" s="6">
        <f t="shared" si="1"/>
        <v>50570000</v>
      </c>
    </row>
    <row r="6" spans="1:52" ht="14.25" customHeight="1" x14ac:dyDescent="0.35">
      <c r="A6" s="2" t="s">
        <v>23</v>
      </c>
      <c r="B6">
        <v>999999999</v>
      </c>
      <c r="C6">
        <v>999999999</v>
      </c>
      <c r="D6">
        <v>999999999</v>
      </c>
      <c r="E6">
        <v>999999999</v>
      </c>
      <c r="F6">
        <v>999999999</v>
      </c>
      <c r="G6">
        <v>999999999</v>
      </c>
      <c r="H6">
        <v>999999999</v>
      </c>
      <c r="I6">
        <v>999999999</v>
      </c>
      <c r="J6">
        <v>999999999</v>
      </c>
      <c r="K6">
        <v>999999999</v>
      </c>
      <c r="L6">
        <v>999999999</v>
      </c>
      <c r="M6">
        <v>999999999</v>
      </c>
      <c r="N6">
        <v>999999999</v>
      </c>
      <c r="O6">
        <v>999999999</v>
      </c>
      <c r="P6">
        <v>999999999</v>
      </c>
      <c r="Q6">
        <v>999999999</v>
      </c>
      <c r="R6">
        <v>999999999</v>
      </c>
      <c r="S6">
        <v>999999999</v>
      </c>
      <c r="T6">
        <v>999999999</v>
      </c>
      <c r="U6">
        <v>999999999</v>
      </c>
      <c r="V6">
        <v>999999999</v>
      </c>
      <c r="W6">
        <v>999999999</v>
      </c>
      <c r="X6">
        <v>999999999</v>
      </c>
      <c r="Y6">
        <v>999999999</v>
      </c>
      <c r="Z6">
        <v>999999999</v>
      </c>
      <c r="AA6">
        <v>999999999</v>
      </c>
      <c r="AB6">
        <v>999999999</v>
      </c>
      <c r="AC6">
        <v>999999999</v>
      </c>
      <c r="AD6">
        <v>999999999</v>
      </c>
      <c r="AE6">
        <v>999999999</v>
      </c>
      <c r="AF6">
        <v>999999999</v>
      </c>
      <c r="AG6">
        <v>999999999</v>
      </c>
      <c r="AH6">
        <v>999999999</v>
      </c>
      <c r="AI6">
        <v>999999999</v>
      </c>
      <c r="AJ6">
        <v>999999999</v>
      </c>
      <c r="AK6">
        <v>999999999</v>
      </c>
      <c r="AL6">
        <v>999999999</v>
      </c>
      <c r="AM6">
        <v>999999999</v>
      </c>
      <c r="AN6">
        <v>999999999</v>
      </c>
      <c r="AO6">
        <v>999999999</v>
      </c>
      <c r="AP6">
        <v>999999999</v>
      </c>
      <c r="AQ6">
        <v>999999999</v>
      </c>
      <c r="AR6">
        <v>999999999</v>
      </c>
      <c r="AS6">
        <v>999999999</v>
      </c>
      <c r="AT6">
        <v>999999999</v>
      </c>
      <c r="AU6">
        <v>999999999</v>
      </c>
      <c r="AV6">
        <v>999999999</v>
      </c>
      <c r="AW6">
        <v>999999999</v>
      </c>
      <c r="AX6">
        <v>999999999</v>
      </c>
      <c r="AY6">
        <v>999999999</v>
      </c>
      <c r="AZ6">
        <v>999999999</v>
      </c>
    </row>
    <row r="7" spans="1:52" ht="14.25" customHeight="1" x14ac:dyDescent="0.35">
      <c r="A7" s="2" t="s">
        <v>24</v>
      </c>
      <c r="B7">
        <v>999999999</v>
      </c>
      <c r="C7">
        <v>999999999</v>
      </c>
      <c r="D7">
        <v>999999999</v>
      </c>
      <c r="E7">
        <v>999999999</v>
      </c>
      <c r="F7">
        <v>999999999</v>
      </c>
      <c r="G7">
        <v>999999999</v>
      </c>
      <c r="H7">
        <v>999999999</v>
      </c>
      <c r="I7">
        <v>999999999</v>
      </c>
      <c r="J7">
        <v>999999999</v>
      </c>
      <c r="K7">
        <v>999999999</v>
      </c>
      <c r="L7">
        <v>999999999</v>
      </c>
      <c r="M7">
        <v>999999999</v>
      </c>
      <c r="N7">
        <v>999999999</v>
      </c>
      <c r="O7">
        <v>999999999</v>
      </c>
      <c r="P7">
        <v>999999999</v>
      </c>
      <c r="Q7">
        <v>999999999</v>
      </c>
      <c r="R7">
        <v>999999999</v>
      </c>
      <c r="S7">
        <v>999999999</v>
      </c>
      <c r="T7">
        <v>999999999</v>
      </c>
      <c r="U7">
        <v>999999999</v>
      </c>
      <c r="V7">
        <v>999999999</v>
      </c>
      <c r="W7">
        <v>999999999</v>
      </c>
      <c r="X7">
        <v>999999999</v>
      </c>
      <c r="Y7">
        <v>999999999</v>
      </c>
      <c r="Z7">
        <v>999999999</v>
      </c>
      <c r="AA7">
        <v>999999999</v>
      </c>
      <c r="AB7">
        <v>999999999</v>
      </c>
      <c r="AC7">
        <v>999999999</v>
      </c>
      <c r="AD7">
        <v>999999999</v>
      </c>
      <c r="AE7">
        <v>999999999</v>
      </c>
      <c r="AF7">
        <v>999999999</v>
      </c>
      <c r="AG7">
        <v>999999999</v>
      </c>
      <c r="AH7">
        <v>999999999</v>
      </c>
      <c r="AI7">
        <v>999999999</v>
      </c>
      <c r="AJ7">
        <v>999999999</v>
      </c>
      <c r="AK7">
        <v>999999999</v>
      </c>
      <c r="AL7">
        <v>999999999</v>
      </c>
      <c r="AM7">
        <v>999999999</v>
      </c>
      <c r="AN7">
        <v>999999999</v>
      </c>
      <c r="AO7">
        <v>999999999</v>
      </c>
      <c r="AP7">
        <v>999999999</v>
      </c>
      <c r="AQ7">
        <v>999999999</v>
      </c>
      <c r="AR7">
        <v>999999999</v>
      </c>
      <c r="AS7">
        <v>999999999</v>
      </c>
      <c r="AT7">
        <v>999999999</v>
      </c>
      <c r="AU7">
        <v>999999999</v>
      </c>
      <c r="AV7">
        <v>999999999</v>
      </c>
      <c r="AW7">
        <v>999999999</v>
      </c>
      <c r="AX7">
        <v>999999999</v>
      </c>
      <c r="AY7">
        <v>999999999</v>
      </c>
      <c r="AZ7">
        <v>999999999</v>
      </c>
    </row>
    <row r="8" spans="1:52" ht="14.25" customHeight="1" x14ac:dyDescent="0.35">
      <c r="A8" s="2" t="s">
        <v>25</v>
      </c>
      <c r="B8" s="6">
        <f>'NVP-Indonesia'!B63*'NVP-Indonesia'!$B$176</f>
        <v>101760495.15564114</v>
      </c>
      <c r="C8" s="6">
        <f>C$5*('BNVP-HDVs-psgr'!C$8/'BNVP-HDVs-psgr'!C$5)</f>
        <v>48755417.915304415</v>
      </c>
      <c r="D8" s="6">
        <f>D$5*('BNVP-HDVs-psgr'!D$8/'BNVP-HDVs-psgr'!D$5)</f>
        <v>48755417.915304415</v>
      </c>
      <c r="E8" s="6">
        <f>E$5*('BNVP-HDVs-psgr'!E$8/'BNVP-HDVs-psgr'!E$5)</f>
        <v>48755417.915304415</v>
      </c>
      <c r="F8" s="6">
        <f>F$5*('BNVP-HDVs-psgr'!F$8/'BNVP-HDVs-psgr'!F$5)</f>
        <v>48755417.915304415</v>
      </c>
      <c r="G8" s="6">
        <f>G$5*('BNVP-HDVs-psgr'!G$8/'BNVP-HDVs-psgr'!G$5)</f>
        <v>48755417.915304415</v>
      </c>
      <c r="H8" s="6">
        <f>H$5*('BNVP-HDVs-psgr'!H$8/'BNVP-HDVs-psgr'!H$5)</f>
        <v>48755417.915304415</v>
      </c>
      <c r="I8" s="6">
        <f>I$5*('BNVP-HDVs-psgr'!I$8/'BNVP-HDVs-psgr'!I$5)</f>
        <v>48755417.915304415</v>
      </c>
      <c r="J8" s="6">
        <f>J$5*('BNVP-HDVs-psgr'!J$8/'BNVP-HDVs-psgr'!J$5)</f>
        <v>48755417.915304415</v>
      </c>
      <c r="K8" s="6">
        <f>K$5*('BNVP-HDVs-psgr'!K$8/'BNVP-HDVs-psgr'!K$5)</f>
        <v>48755417.915304415</v>
      </c>
      <c r="L8" s="6">
        <f>L$5*('BNVP-HDVs-psgr'!L$8/'BNVP-HDVs-psgr'!L$5)</f>
        <v>48755417.915304415</v>
      </c>
      <c r="M8" s="6">
        <f>M$5*('BNVP-HDVs-psgr'!M$8/'BNVP-HDVs-psgr'!M$5)</f>
        <v>48755417.915304415</v>
      </c>
      <c r="N8" s="6">
        <f>N$5*('BNVP-HDVs-psgr'!N$8/'BNVP-HDVs-psgr'!N$5)</f>
        <v>48755417.915304415</v>
      </c>
      <c r="O8" s="6">
        <f>O$5*('BNVP-HDVs-psgr'!O$8/'BNVP-HDVs-psgr'!O$5)</f>
        <v>48755417.915304415</v>
      </c>
      <c r="P8" s="6">
        <f>P$5*('BNVP-HDVs-psgr'!P$8/'BNVP-HDVs-psgr'!P$5)</f>
        <v>48755417.915304415</v>
      </c>
      <c r="Q8" s="6">
        <f>Q$5*('BNVP-HDVs-psgr'!Q$8/'BNVP-HDVs-psgr'!Q$5)</f>
        <v>48755417.915304415</v>
      </c>
      <c r="R8" s="6">
        <f>R$5*('BNVP-HDVs-psgr'!R$8/'BNVP-HDVs-psgr'!R$5)</f>
        <v>48755417.915304415</v>
      </c>
      <c r="S8" s="6">
        <f>S$5*('BNVP-HDVs-psgr'!S$8/'BNVP-HDVs-psgr'!S$5)</f>
        <v>48755417.915304415</v>
      </c>
      <c r="T8" s="6">
        <f>T$5*('BNVP-HDVs-psgr'!T$8/'BNVP-HDVs-psgr'!T$5)</f>
        <v>48755417.915304415</v>
      </c>
      <c r="U8" s="6">
        <f>U$5*('BNVP-HDVs-psgr'!U$8/'BNVP-HDVs-psgr'!U$5)</f>
        <v>48755417.915304415</v>
      </c>
      <c r="V8" s="6">
        <f>V$5*('BNVP-HDVs-psgr'!V$8/'BNVP-HDVs-psgr'!V$5)</f>
        <v>48755417.915304415</v>
      </c>
      <c r="W8" s="6">
        <f>W$5*('BNVP-HDVs-psgr'!W$8/'BNVP-HDVs-psgr'!W$5)</f>
        <v>48755417.915304415</v>
      </c>
      <c r="X8" s="6">
        <f>X$5*('BNVP-HDVs-psgr'!X$8/'BNVP-HDVs-psgr'!X$5)</f>
        <v>48755417.915304415</v>
      </c>
      <c r="Y8" s="6">
        <f>Y$5*('BNVP-HDVs-psgr'!Y$8/'BNVP-HDVs-psgr'!Y$5)</f>
        <v>48755417.915304415</v>
      </c>
      <c r="Z8" s="6">
        <f>Z$5*('BNVP-HDVs-psgr'!Z$8/'BNVP-HDVs-psgr'!Z$5)</f>
        <v>48755417.915304415</v>
      </c>
      <c r="AA8" s="6">
        <f>AA$5*('BNVP-HDVs-psgr'!AA$8/'BNVP-HDVs-psgr'!AA$5)</f>
        <v>48755417.915304415</v>
      </c>
      <c r="AB8" s="6">
        <f>AB$5*('BNVP-HDVs-psgr'!AB$8/'BNVP-HDVs-psgr'!AB$5)</f>
        <v>48755417.915304415</v>
      </c>
      <c r="AC8" s="6">
        <f>AC$5*('BNVP-HDVs-psgr'!AC$8/'BNVP-HDVs-psgr'!AC$5)</f>
        <v>48755417.915304415</v>
      </c>
      <c r="AD8" s="6">
        <f>AD$5*('BNVP-HDVs-psgr'!AD$8/'BNVP-HDVs-psgr'!AD$5)</f>
        <v>48755417.915304415</v>
      </c>
      <c r="AE8" s="6">
        <f>AE$5*('BNVP-HDVs-psgr'!AE$8/'BNVP-HDVs-psgr'!AE$5)</f>
        <v>48755417.915304415</v>
      </c>
      <c r="AF8" s="6">
        <f>AF$5*('BNVP-HDVs-psgr'!AF$8/'BNVP-HDVs-psgr'!AF$5)</f>
        <v>48755417.915304415</v>
      </c>
      <c r="AG8" s="6">
        <f t="shared" si="3"/>
        <v>45335735.512702107</v>
      </c>
      <c r="AH8" s="6">
        <f t="shared" si="1"/>
        <v>45015140.287458062</v>
      </c>
      <c r="AI8" s="6">
        <f t="shared" si="1"/>
        <v>44694545.062214136</v>
      </c>
      <c r="AJ8" s="6">
        <f t="shared" si="1"/>
        <v>44373949.83697021</v>
      </c>
      <c r="AK8" s="6">
        <f t="shared" si="1"/>
        <v>44053354.611726165</v>
      </c>
      <c r="AL8" s="6">
        <f t="shared" si="1"/>
        <v>43732759.386482239</v>
      </c>
      <c r="AM8" s="6">
        <f t="shared" si="1"/>
        <v>43412164.161238313</v>
      </c>
      <c r="AN8" s="6">
        <f t="shared" si="1"/>
        <v>43091568.935994267</v>
      </c>
      <c r="AO8" s="6">
        <f t="shared" si="1"/>
        <v>42770973.710750341</v>
      </c>
      <c r="AP8" s="6">
        <f t="shared" si="1"/>
        <v>42450378.485506296</v>
      </c>
      <c r="AQ8" s="6">
        <f t="shared" si="1"/>
        <v>42129783.26026237</v>
      </c>
      <c r="AR8" s="6">
        <f t="shared" si="1"/>
        <v>41809188.035018444</v>
      </c>
      <c r="AS8" s="6">
        <f t="shared" si="1"/>
        <v>41488592.809774399</v>
      </c>
      <c r="AT8" s="6">
        <f t="shared" si="1"/>
        <v>41167997.584530473</v>
      </c>
      <c r="AU8" s="6">
        <f t="shared" si="1"/>
        <v>40847402.359286427</v>
      </c>
      <c r="AV8" s="6">
        <f t="shared" si="1"/>
        <v>40526807.134042501</v>
      </c>
      <c r="AW8" s="6">
        <f t="shared" si="1"/>
        <v>40206211.908798575</v>
      </c>
      <c r="AX8" s="6">
        <f t="shared" si="1"/>
        <v>39885616.68355453</v>
      </c>
      <c r="AY8" s="6">
        <f t="shared" si="1"/>
        <v>39565021.458310604</v>
      </c>
      <c r="AZ8" s="6">
        <f t="shared" si="1"/>
        <v>39244426.233066559</v>
      </c>
    </row>
    <row r="9" spans="1:52" ht="14.25" customHeight="1" x14ac:dyDescent="0.35"/>
    <row r="10" spans="1:52" ht="14.25" customHeight="1" x14ac:dyDescent="0.35"/>
    <row r="11" spans="1:52" ht="14.25" customHeight="1" x14ac:dyDescent="0.35"/>
    <row r="12" spans="1:52" ht="14.25" customHeight="1" x14ac:dyDescent="0.35"/>
    <row r="13" spans="1:52" ht="14.25" customHeight="1" x14ac:dyDescent="0.35"/>
    <row r="14" spans="1:52" ht="14.25" customHeight="1" x14ac:dyDescent="0.35"/>
    <row r="15" spans="1:52" ht="14.25" customHeight="1" x14ac:dyDescent="0.35"/>
    <row r="16" spans="1:52"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rgb="FF1F497D"/>
  </sheetPr>
  <dimension ref="A1:AZ1000"/>
  <sheetViews>
    <sheetView workbookViewId="0">
      <selection activeCell="B6" sqref="B6:AZ7"/>
    </sheetView>
  </sheetViews>
  <sheetFormatPr defaultColWidth="14.453125" defaultRowHeight="15" customHeight="1" x14ac:dyDescent="0.35"/>
  <cols>
    <col min="1" max="1" width="24.453125" customWidth="1"/>
    <col min="2" max="36" width="8.81640625" customWidth="1"/>
  </cols>
  <sheetData>
    <row r="1" spans="1:52" ht="14.25" customHeight="1" x14ac:dyDescent="0.35">
      <c r="A1" s="1" t="s">
        <v>18</v>
      </c>
      <c r="B1" s="9">
        <v>2020</v>
      </c>
      <c r="C1" s="9">
        <v>2021</v>
      </c>
      <c r="D1" s="9">
        <v>2022</v>
      </c>
      <c r="E1" s="9">
        <v>2023</v>
      </c>
      <c r="F1" s="9">
        <v>2024</v>
      </c>
      <c r="G1" s="9">
        <v>2025</v>
      </c>
      <c r="H1" s="9">
        <v>2026</v>
      </c>
      <c r="I1" s="9">
        <v>2027</v>
      </c>
      <c r="J1" s="9">
        <v>2028</v>
      </c>
      <c r="K1" s="9">
        <v>2029</v>
      </c>
      <c r="L1" s="9">
        <v>2030</v>
      </c>
      <c r="M1" s="9">
        <v>2031</v>
      </c>
      <c r="N1" s="9">
        <v>2032</v>
      </c>
      <c r="O1" s="9">
        <v>2033</v>
      </c>
      <c r="P1" s="9">
        <v>2034</v>
      </c>
      <c r="Q1" s="9">
        <v>2035</v>
      </c>
      <c r="R1" s="9">
        <v>2036</v>
      </c>
      <c r="S1" s="9">
        <v>2037</v>
      </c>
      <c r="T1" s="9">
        <v>2038</v>
      </c>
      <c r="U1" s="9">
        <v>2039</v>
      </c>
      <c r="V1" s="9">
        <v>2040</v>
      </c>
      <c r="W1" s="9">
        <v>2041</v>
      </c>
      <c r="X1" s="9">
        <v>2042</v>
      </c>
      <c r="Y1" s="9">
        <v>2043</v>
      </c>
      <c r="Z1" s="9">
        <v>2044</v>
      </c>
      <c r="AA1" s="9">
        <v>2045</v>
      </c>
      <c r="AB1" s="9">
        <v>2046</v>
      </c>
      <c r="AC1" s="9">
        <v>2047</v>
      </c>
      <c r="AD1" s="9">
        <v>2048</v>
      </c>
      <c r="AE1" s="9">
        <v>2049</v>
      </c>
      <c r="AF1" s="9">
        <v>2050</v>
      </c>
      <c r="AG1" s="9">
        <v>2051</v>
      </c>
      <c r="AH1" s="9">
        <v>2052</v>
      </c>
      <c r="AI1" s="9">
        <v>2053</v>
      </c>
      <c r="AJ1" s="9">
        <v>2054</v>
      </c>
      <c r="AK1" s="9">
        <v>2055</v>
      </c>
      <c r="AL1" s="9">
        <v>2056</v>
      </c>
      <c r="AM1" s="9">
        <v>2057</v>
      </c>
      <c r="AN1" s="9">
        <v>2058</v>
      </c>
      <c r="AO1" s="9">
        <v>2059</v>
      </c>
      <c r="AP1" s="9">
        <v>2060</v>
      </c>
      <c r="AQ1" s="9">
        <v>2061</v>
      </c>
      <c r="AR1" s="9">
        <v>2062</v>
      </c>
      <c r="AS1" s="9">
        <v>2063</v>
      </c>
      <c r="AT1" s="9">
        <v>2064</v>
      </c>
      <c r="AU1" s="9">
        <v>2065</v>
      </c>
      <c r="AV1" s="9">
        <v>2066</v>
      </c>
      <c r="AW1" s="9">
        <v>2067</v>
      </c>
      <c r="AX1" s="9">
        <v>2068</v>
      </c>
      <c r="AY1" s="9">
        <v>2069</v>
      </c>
      <c r="AZ1" s="9">
        <v>2070</v>
      </c>
    </row>
    <row r="2" spans="1:52" ht="14.25" customHeight="1" x14ac:dyDescent="0.35">
      <c r="A2" s="2" t="s">
        <v>19</v>
      </c>
      <c r="B2" s="6">
        <f>'NVP-Indonesia'!B67*'NVP-Indonesia'!$B$176</f>
        <v>3250000.0000000005</v>
      </c>
      <c r="C2" s="6">
        <f>B2</f>
        <v>3250000.0000000005</v>
      </c>
      <c r="D2" s="6">
        <f t="shared" ref="D2:AF2" si="0">C2</f>
        <v>3250000.0000000005</v>
      </c>
      <c r="E2" s="6">
        <f t="shared" si="0"/>
        <v>3250000.0000000005</v>
      </c>
      <c r="F2" s="6">
        <f t="shared" si="0"/>
        <v>3250000.0000000005</v>
      </c>
      <c r="G2" s="6">
        <f t="shared" si="0"/>
        <v>3250000.0000000005</v>
      </c>
      <c r="H2" s="6">
        <f t="shared" si="0"/>
        <v>3250000.0000000005</v>
      </c>
      <c r="I2" s="6">
        <f t="shared" si="0"/>
        <v>3250000.0000000005</v>
      </c>
      <c r="J2" s="6">
        <f t="shared" si="0"/>
        <v>3250000.0000000005</v>
      </c>
      <c r="K2" s="6">
        <f t="shared" si="0"/>
        <v>3250000.0000000005</v>
      </c>
      <c r="L2" s="6">
        <f t="shared" si="0"/>
        <v>3250000.0000000005</v>
      </c>
      <c r="M2" s="6">
        <f t="shared" si="0"/>
        <v>3250000.0000000005</v>
      </c>
      <c r="N2" s="6">
        <f t="shared" si="0"/>
        <v>3250000.0000000005</v>
      </c>
      <c r="O2" s="6">
        <f t="shared" si="0"/>
        <v>3250000.0000000005</v>
      </c>
      <c r="P2" s="6">
        <f t="shared" si="0"/>
        <v>3250000.0000000005</v>
      </c>
      <c r="Q2" s="6">
        <f t="shared" si="0"/>
        <v>3250000.0000000005</v>
      </c>
      <c r="R2" s="6">
        <f t="shared" si="0"/>
        <v>3250000.0000000005</v>
      </c>
      <c r="S2" s="6">
        <f t="shared" si="0"/>
        <v>3250000.0000000005</v>
      </c>
      <c r="T2" s="6">
        <f t="shared" si="0"/>
        <v>3250000.0000000005</v>
      </c>
      <c r="U2" s="6">
        <f t="shared" si="0"/>
        <v>3250000.0000000005</v>
      </c>
      <c r="V2" s="6">
        <f t="shared" si="0"/>
        <v>3250000.0000000005</v>
      </c>
      <c r="W2" s="6">
        <f t="shared" si="0"/>
        <v>3250000.0000000005</v>
      </c>
      <c r="X2" s="6">
        <f t="shared" si="0"/>
        <v>3250000.0000000005</v>
      </c>
      <c r="Y2" s="6">
        <f t="shared" si="0"/>
        <v>3250000.0000000005</v>
      </c>
      <c r="Z2" s="6">
        <f t="shared" si="0"/>
        <v>3250000.0000000005</v>
      </c>
      <c r="AA2" s="6">
        <f t="shared" si="0"/>
        <v>3250000.0000000005</v>
      </c>
      <c r="AB2" s="6">
        <f t="shared" si="0"/>
        <v>3250000.0000000005</v>
      </c>
      <c r="AC2" s="6">
        <f t="shared" si="0"/>
        <v>3250000.0000000005</v>
      </c>
      <c r="AD2" s="6">
        <f t="shared" si="0"/>
        <v>3250000.0000000005</v>
      </c>
      <c r="AE2" s="6">
        <f t="shared" si="0"/>
        <v>3250000.0000000005</v>
      </c>
      <c r="AF2" s="6">
        <f t="shared" si="0"/>
        <v>3250000.0000000005</v>
      </c>
      <c r="AG2" s="6">
        <f>_xlfn.FORECAST.LINEAR(AG$1,$B2:$AF2,$B$1:$AF$1)</f>
        <v>3250000.0000000005</v>
      </c>
      <c r="AH2" s="6">
        <f t="shared" ref="AH2:AZ8" si="1">_xlfn.FORECAST.LINEAR(AH$1,$B2:$AF2,$B$1:$AF$1)</f>
        <v>3250000.0000000005</v>
      </c>
      <c r="AI2" s="6">
        <f t="shared" si="1"/>
        <v>3250000.0000000005</v>
      </c>
      <c r="AJ2" s="6">
        <f t="shared" si="1"/>
        <v>3250000.0000000005</v>
      </c>
      <c r="AK2" s="6">
        <f t="shared" si="1"/>
        <v>3250000.0000000005</v>
      </c>
      <c r="AL2" s="6">
        <f t="shared" si="1"/>
        <v>3250000.0000000005</v>
      </c>
      <c r="AM2" s="6">
        <f t="shared" si="1"/>
        <v>3250000.0000000005</v>
      </c>
      <c r="AN2" s="6">
        <f t="shared" si="1"/>
        <v>3250000.0000000005</v>
      </c>
      <c r="AO2" s="6">
        <f t="shared" si="1"/>
        <v>3250000.0000000005</v>
      </c>
      <c r="AP2" s="6">
        <f t="shared" si="1"/>
        <v>3250000.0000000005</v>
      </c>
      <c r="AQ2" s="6">
        <f t="shared" si="1"/>
        <v>3250000.0000000005</v>
      </c>
      <c r="AR2" s="6">
        <f t="shared" si="1"/>
        <v>3250000.0000000005</v>
      </c>
      <c r="AS2" s="6">
        <f t="shared" si="1"/>
        <v>3250000.0000000005</v>
      </c>
      <c r="AT2" s="6">
        <f t="shared" si="1"/>
        <v>3250000.0000000005</v>
      </c>
      <c r="AU2" s="6">
        <f t="shared" si="1"/>
        <v>3250000.0000000005</v>
      </c>
      <c r="AV2" s="6">
        <f t="shared" si="1"/>
        <v>3250000.0000000005</v>
      </c>
      <c r="AW2" s="6">
        <f t="shared" si="1"/>
        <v>3250000.0000000005</v>
      </c>
      <c r="AX2" s="6">
        <f t="shared" si="1"/>
        <v>3250000.0000000005</v>
      </c>
      <c r="AY2" s="6">
        <f t="shared" si="1"/>
        <v>3250000.0000000005</v>
      </c>
      <c r="AZ2" s="6">
        <f t="shared" si="1"/>
        <v>3250000.0000000005</v>
      </c>
    </row>
    <row r="3" spans="1:52" ht="14.25" customHeight="1" x14ac:dyDescent="0.35">
      <c r="A3" s="2" t="s">
        <v>20</v>
      </c>
      <c r="B3">
        <v>999999999</v>
      </c>
      <c r="C3">
        <v>999999999</v>
      </c>
      <c r="D3">
        <v>999999999</v>
      </c>
      <c r="E3">
        <v>999999999</v>
      </c>
      <c r="F3">
        <v>999999999</v>
      </c>
      <c r="G3">
        <v>999999999</v>
      </c>
      <c r="H3">
        <v>999999999</v>
      </c>
      <c r="I3">
        <v>999999999</v>
      </c>
      <c r="J3">
        <v>999999999</v>
      </c>
      <c r="K3">
        <v>999999999</v>
      </c>
      <c r="L3">
        <v>999999999</v>
      </c>
      <c r="M3">
        <v>999999999</v>
      </c>
      <c r="N3">
        <v>999999999</v>
      </c>
      <c r="O3">
        <v>999999999</v>
      </c>
      <c r="P3">
        <v>999999999</v>
      </c>
      <c r="Q3">
        <v>999999999</v>
      </c>
      <c r="R3">
        <v>999999999</v>
      </c>
      <c r="S3">
        <v>999999999</v>
      </c>
      <c r="T3">
        <v>999999999</v>
      </c>
      <c r="U3">
        <v>999999999</v>
      </c>
      <c r="V3">
        <v>999999999</v>
      </c>
      <c r="W3">
        <v>999999999</v>
      </c>
      <c r="X3">
        <v>999999999</v>
      </c>
      <c r="Y3">
        <v>999999999</v>
      </c>
      <c r="Z3">
        <v>999999999</v>
      </c>
      <c r="AA3">
        <v>999999999</v>
      </c>
      <c r="AB3">
        <v>999999999</v>
      </c>
      <c r="AC3">
        <v>999999999</v>
      </c>
      <c r="AD3">
        <v>999999999</v>
      </c>
      <c r="AE3">
        <v>999999999</v>
      </c>
      <c r="AF3">
        <v>999999999</v>
      </c>
      <c r="AG3">
        <v>999999999</v>
      </c>
      <c r="AH3">
        <v>999999999</v>
      </c>
      <c r="AI3">
        <v>999999999</v>
      </c>
      <c r="AJ3">
        <v>999999999</v>
      </c>
      <c r="AK3">
        <v>999999999</v>
      </c>
      <c r="AL3">
        <v>999999999</v>
      </c>
      <c r="AM3">
        <v>999999999</v>
      </c>
      <c r="AN3">
        <v>999999999</v>
      </c>
      <c r="AO3">
        <v>999999999</v>
      </c>
      <c r="AP3">
        <v>999999999</v>
      </c>
      <c r="AQ3">
        <v>999999999</v>
      </c>
      <c r="AR3">
        <v>999999999</v>
      </c>
      <c r="AS3">
        <v>999999999</v>
      </c>
      <c r="AT3">
        <v>999999999</v>
      </c>
      <c r="AU3">
        <v>999999999</v>
      </c>
      <c r="AV3">
        <v>999999999</v>
      </c>
      <c r="AW3">
        <v>999999999</v>
      </c>
      <c r="AX3">
        <v>999999999</v>
      </c>
      <c r="AY3">
        <v>999999999</v>
      </c>
      <c r="AZ3">
        <v>999999999</v>
      </c>
    </row>
    <row r="4" spans="1:52" ht="14.25" customHeight="1" x14ac:dyDescent="0.35">
      <c r="A4" s="2" t="s">
        <v>21</v>
      </c>
      <c r="B4">
        <v>999999999</v>
      </c>
      <c r="C4">
        <v>999999999</v>
      </c>
      <c r="D4">
        <v>999999999</v>
      </c>
      <c r="E4">
        <v>999999999</v>
      </c>
      <c r="F4">
        <v>999999999</v>
      </c>
      <c r="G4">
        <v>999999999</v>
      </c>
      <c r="H4">
        <v>999999999</v>
      </c>
      <c r="I4">
        <v>999999999</v>
      </c>
      <c r="J4">
        <v>999999999</v>
      </c>
      <c r="K4">
        <v>999999999</v>
      </c>
      <c r="L4">
        <v>999999999</v>
      </c>
      <c r="M4">
        <v>999999999</v>
      </c>
      <c r="N4">
        <v>999999999</v>
      </c>
      <c r="O4">
        <v>999999999</v>
      </c>
      <c r="P4">
        <v>999999999</v>
      </c>
      <c r="Q4">
        <v>999999999</v>
      </c>
      <c r="R4">
        <v>999999999</v>
      </c>
      <c r="S4">
        <v>999999999</v>
      </c>
      <c r="T4">
        <v>999999999</v>
      </c>
      <c r="U4">
        <v>999999999</v>
      </c>
      <c r="V4">
        <v>999999999</v>
      </c>
      <c r="W4">
        <v>999999999</v>
      </c>
      <c r="X4">
        <v>999999999</v>
      </c>
      <c r="Y4">
        <v>999999999</v>
      </c>
      <c r="Z4">
        <v>999999999</v>
      </c>
      <c r="AA4">
        <v>999999999</v>
      </c>
      <c r="AB4">
        <v>999999999</v>
      </c>
      <c r="AC4">
        <v>999999999</v>
      </c>
      <c r="AD4">
        <v>999999999</v>
      </c>
      <c r="AE4">
        <v>999999999</v>
      </c>
      <c r="AF4">
        <v>999999999</v>
      </c>
      <c r="AG4">
        <v>999999999</v>
      </c>
      <c r="AH4">
        <v>999999999</v>
      </c>
      <c r="AI4">
        <v>999999999</v>
      </c>
      <c r="AJ4">
        <v>999999999</v>
      </c>
      <c r="AK4">
        <v>999999999</v>
      </c>
      <c r="AL4">
        <v>999999999</v>
      </c>
      <c r="AM4">
        <v>999999999</v>
      </c>
      <c r="AN4">
        <v>999999999</v>
      </c>
      <c r="AO4">
        <v>999999999</v>
      </c>
      <c r="AP4">
        <v>999999999</v>
      </c>
      <c r="AQ4">
        <v>999999999</v>
      </c>
      <c r="AR4">
        <v>999999999</v>
      </c>
      <c r="AS4">
        <v>999999999</v>
      </c>
      <c r="AT4">
        <v>999999999</v>
      </c>
      <c r="AU4">
        <v>999999999</v>
      </c>
      <c r="AV4">
        <v>999999999</v>
      </c>
      <c r="AW4">
        <v>999999999</v>
      </c>
      <c r="AX4">
        <v>999999999</v>
      </c>
      <c r="AY4">
        <v>999999999</v>
      </c>
      <c r="AZ4">
        <v>999999999</v>
      </c>
    </row>
    <row r="5" spans="1:52" ht="14.25" customHeight="1" x14ac:dyDescent="0.35">
      <c r="A5" s="2" t="s">
        <v>22</v>
      </c>
      <c r="B5" s="6">
        <f>'NVP-Indonesia'!B70*'NVP-Indonesia'!$B$176</f>
        <v>1751206.8904821693</v>
      </c>
      <c r="C5" s="2">
        <f t="shared" ref="C5:AF5" si="2">$B5</f>
        <v>1751206.8904821693</v>
      </c>
      <c r="D5" s="2">
        <f t="shared" si="2"/>
        <v>1751206.8904821693</v>
      </c>
      <c r="E5" s="2">
        <f t="shared" si="2"/>
        <v>1751206.8904821693</v>
      </c>
      <c r="F5" s="2">
        <f t="shared" si="2"/>
        <v>1751206.8904821693</v>
      </c>
      <c r="G5" s="2">
        <f t="shared" si="2"/>
        <v>1751206.8904821693</v>
      </c>
      <c r="H5" s="2">
        <f t="shared" si="2"/>
        <v>1751206.8904821693</v>
      </c>
      <c r="I5" s="2">
        <f t="shared" si="2"/>
        <v>1751206.8904821693</v>
      </c>
      <c r="J5" s="2">
        <f t="shared" si="2"/>
        <v>1751206.8904821693</v>
      </c>
      <c r="K5" s="2">
        <f t="shared" si="2"/>
        <v>1751206.8904821693</v>
      </c>
      <c r="L5" s="2">
        <f t="shared" si="2"/>
        <v>1751206.8904821693</v>
      </c>
      <c r="M5" s="2">
        <f t="shared" si="2"/>
        <v>1751206.8904821693</v>
      </c>
      <c r="N5" s="2">
        <f t="shared" si="2"/>
        <v>1751206.8904821693</v>
      </c>
      <c r="O5" s="2">
        <f t="shared" si="2"/>
        <v>1751206.8904821693</v>
      </c>
      <c r="P5" s="2">
        <f t="shared" si="2"/>
        <v>1751206.8904821693</v>
      </c>
      <c r="Q5" s="2">
        <f t="shared" si="2"/>
        <v>1751206.8904821693</v>
      </c>
      <c r="R5" s="2">
        <f t="shared" si="2"/>
        <v>1751206.8904821693</v>
      </c>
      <c r="S5" s="2">
        <f t="shared" si="2"/>
        <v>1751206.8904821693</v>
      </c>
      <c r="T5" s="2">
        <f t="shared" si="2"/>
        <v>1751206.8904821693</v>
      </c>
      <c r="U5" s="2">
        <f t="shared" si="2"/>
        <v>1751206.8904821693</v>
      </c>
      <c r="V5" s="2">
        <f t="shared" si="2"/>
        <v>1751206.8904821693</v>
      </c>
      <c r="W5" s="2">
        <f t="shared" si="2"/>
        <v>1751206.8904821693</v>
      </c>
      <c r="X5" s="2">
        <f t="shared" si="2"/>
        <v>1751206.8904821693</v>
      </c>
      <c r="Y5" s="2">
        <f t="shared" si="2"/>
        <v>1751206.8904821693</v>
      </c>
      <c r="Z5" s="2">
        <f t="shared" si="2"/>
        <v>1751206.8904821693</v>
      </c>
      <c r="AA5" s="2">
        <f t="shared" si="2"/>
        <v>1751206.8904821693</v>
      </c>
      <c r="AB5" s="2">
        <f t="shared" si="2"/>
        <v>1751206.8904821693</v>
      </c>
      <c r="AC5" s="2">
        <f t="shared" si="2"/>
        <v>1751206.8904821693</v>
      </c>
      <c r="AD5" s="2">
        <f t="shared" si="2"/>
        <v>1751206.8904821693</v>
      </c>
      <c r="AE5" s="2">
        <f t="shared" si="2"/>
        <v>1751206.8904821693</v>
      </c>
      <c r="AF5" s="2">
        <f t="shared" si="2"/>
        <v>1751206.8904821693</v>
      </c>
      <c r="AG5" s="6">
        <f t="shared" ref="AG3:AV8" si="3">_xlfn.FORECAST.LINEAR(AG$1,$B5:$AF5,$B$1:$AF$1)</f>
        <v>1751206.8904821703</v>
      </c>
      <c r="AH5" s="6">
        <f t="shared" si="1"/>
        <v>1751206.8904821703</v>
      </c>
      <c r="AI5" s="6">
        <f t="shared" si="1"/>
        <v>1751206.8904821703</v>
      </c>
      <c r="AJ5" s="6">
        <f t="shared" si="1"/>
        <v>1751206.8904821703</v>
      </c>
      <c r="AK5" s="6">
        <f t="shared" si="1"/>
        <v>1751206.8904821703</v>
      </c>
      <c r="AL5" s="6">
        <f t="shared" si="1"/>
        <v>1751206.8904821703</v>
      </c>
      <c r="AM5" s="6">
        <f t="shared" si="1"/>
        <v>1751206.8904821703</v>
      </c>
      <c r="AN5" s="6">
        <f t="shared" si="1"/>
        <v>1751206.8904821703</v>
      </c>
      <c r="AO5" s="6">
        <f t="shared" si="1"/>
        <v>1751206.8904821703</v>
      </c>
      <c r="AP5" s="6">
        <f t="shared" si="1"/>
        <v>1751206.8904821703</v>
      </c>
      <c r="AQ5" s="6">
        <f t="shared" si="1"/>
        <v>1751206.8904821703</v>
      </c>
      <c r="AR5" s="6">
        <f t="shared" si="1"/>
        <v>1751206.8904821703</v>
      </c>
      <c r="AS5" s="6">
        <f t="shared" si="1"/>
        <v>1751206.8904821703</v>
      </c>
      <c r="AT5" s="6">
        <f t="shared" si="1"/>
        <v>1751206.8904821703</v>
      </c>
      <c r="AU5" s="6">
        <f t="shared" si="1"/>
        <v>1751206.8904821703</v>
      </c>
      <c r="AV5" s="6">
        <f t="shared" si="1"/>
        <v>1751206.8904821703</v>
      </c>
      <c r="AW5" s="6">
        <f t="shared" si="1"/>
        <v>1751206.8904821703</v>
      </c>
      <c r="AX5" s="6">
        <f t="shared" si="1"/>
        <v>1751206.8904821703</v>
      </c>
      <c r="AY5" s="6">
        <f t="shared" si="1"/>
        <v>1751206.8904821703</v>
      </c>
      <c r="AZ5" s="6">
        <f t="shared" si="1"/>
        <v>1751206.8904821703</v>
      </c>
    </row>
    <row r="6" spans="1:52" ht="14.25" customHeight="1" x14ac:dyDescent="0.35">
      <c r="A6" s="2" t="s">
        <v>23</v>
      </c>
      <c r="B6">
        <v>999999999</v>
      </c>
      <c r="C6">
        <v>999999999</v>
      </c>
      <c r="D6">
        <v>999999999</v>
      </c>
      <c r="E6">
        <v>999999999</v>
      </c>
      <c r="F6">
        <v>999999999</v>
      </c>
      <c r="G6">
        <v>999999999</v>
      </c>
      <c r="H6">
        <v>999999999</v>
      </c>
      <c r="I6">
        <v>999999999</v>
      </c>
      <c r="J6">
        <v>999999999</v>
      </c>
      <c r="K6">
        <v>999999999</v>
      </c>
      <c r="L6">
        <v>999999999</v>
      </c>
      <c r="M6">
        <v>999999999</v>
      </c>
      <c r="N6">
        <v>999999999</v>
      </c>
      <c r="O6">
        <v>999999999</v>
      </c>
      <c r="P6">
        <v>999999999</v>
      </c>
      <c r="Q6">
        <v>999999999</v>
      </c>
      <c r="R6">
        <v>999999999</v>
      </c>
      <c r="S6">
        <v>999999999</v>
      </c>
      <c r="T6">
        <v>999999999</v>
      </c>
      <c r="U6">
        <v>999999999</v>
      </c>
      <c r="V6">
        <v>999999999</v>
      </c>
      <c r="W6">
        <v>999999999</v>
      </c>
      <c r="X6">
        <v>999999999</v>
      </c>
      <c r="Y6">
        <v>999999999</v>
      </c>
      <c r="Z6">
        <v>999999999</v>
      </c>
      <c r="AA6">
        <v>999999999</v>
      </c>
      <c r="AB6">
        <v>999999999</v>
      </c>
      <c r="AC6">
        <v>999999999</v>
      </c>
      <c r="AD6">
        <v>999999999</v>
      </c>
      <c r="AE6">
        <v>999999999</v>
      </c>
      <c r="AF6">
        <v>999999999</v>
      </c>
      <c r="AG6">
        <v>999999999</v>
      </c>
      <c r="AH6">
        <v>999999999</v>
      </c>
      <c r="AI6">
        <v>999999999</v>
      </c>
      <c r="AJ6">
        <v>999999999</v>
      </c>
      <c r="AK6">
        <v>999999999</v>
      </c>
      <c r="AL6">
        <v>999999999</v>
      </c>
      <c r="AM6">
        <v>999999999</v>
      </c>
      <c r="AN6">
        <v>999999999</v>
      </c>
      <c r="AO6">
        <v>999999999</v>
      </c>
      <c r="AP6">
        <v>999999999</v>
      </c>
      <c r="AQ6">
        <v>999999999</v>
      </c>
      <c r="AR6">
        <v>999999999</v>
      </c>
      <c r="AS6">
        <v>999999999</v>
      </c>
      <c r="AT6">
        <v>999999999</v>
      </c>
      <c r="AU6">
        <v>999999999</v>
      </c>
      <c r="AV6">
        <v>999999999</v>
      </c>
      <c r="AW6">
        <v>999999999</v>
      </c>
      <c r="AX6">
        <v>999999999</v>
      </c>
      <c r="AY6">
        <v>999999999</v>
      </c>
      <c r="AZ6">
        <v>999999999</v>
      </c>
    </row>
    <row r="7" spans="1:52" ht="14.25" customHeight="1" x14ac:dyDescent="0.35">
      <c r="A7" s="2" t="s">
        <v>24</v>
      </c>
      <c r="B7">
        <v>999999999</v>
      </c>
      <c r="C7">
        <v>999999999</v>
      </c>
      <c r="D7">
        <v>999999999</v>
      </c>
      <c r="E7">
        <v>999999999</v>
      </c>
      <c r="F7">
        <v>999999999</v>
      </c>
      <c r="G7">
        <v>999999999</v>
      </c>
      <c r="H7">
        <v>999999999</v>
      </c>
      <c r="I7">
        <v>999999999</v>
      </c>
      <c r="J7">
        <v>999999999</v>
      </c>
      <c r="K7">
        <v>999999999</v>
      </c>
      <c r="L7">
        <v>999999999</v>
      </c>
      <c r="M7">
        <v>999999999</v>
      </c>
      <c r="N7">
        <v>999999999</v>
      </c>
      <c r="O7">
        <v>999999999</v>
      </c>
      <c r="P7">
        <v>999999999</v>
      </c>
      <c r="Q7">
        <v>999999999</v>
      </c>
      <c r="R7">
        <v>999999999</v>
      </c>
      <c r="S7">
        <v>999999999</v>
      </c>
      <c r="T7">
        <v>999999999</v>
      </c>
      <c r="U7">
        <v>999999999</v>
      </c>
      <c r="V7">
        <v>999999999</v>
      </c>
      <c r="W7">
        <v>999999999</v>
      </c>
      <c r="X7">
        <v>999999999</v>
      </c>
      <c r="Y7">
        <v>999999999</v>
      </c>
      <c r="Z7">
        <v>999999999</v>
      </c>
      <c r="AA7">
        <v>999999999</v>
      </c>
      <c r="AB7">
        <v>999999999</v>
      </c>
      <c r="AC7">
        <v>999999999</v>
      </c>
      <c r="AD7">
        <v>999999999</v>
      </c>
      <c r="AE7">
        <v>999999999</v>
      </c>
      <c r="AF7">
        <v>999999999</v>
      </c>
      <c r="AG7">
        <v>999999999</v>
      </c>
      <c r="AH7">
        <v>999999999</v>
      </c>
      <c r="AI7">
        <v>999999999</v>
      </c>
      <c r="AJ7">
        <v>999999999</v>
      </c>
      <c r="AK7">
        <v>999999999</v>
      </c>
      <c r="AL7">
        <v>999999999</v>
      </c>
      <c r="AM7">
        <v>999999999</v>
      </c>
      <c r="AN7">
        <v>999999999</v>
      </c>
      <c r="AO7">
        <v>999999999</v>
      </c>
      <c r="AP7">
        <v>999999999</v>
      </c>
      <c r="AQ7">
        <v>999999999</v>
      </c>
      <c r="AR7">
        <v>999999999</v>
      </c>
      <c r="AS7">
        <v>999999999</v>
      </c>
      <c r="AT7">
        <v>999999999</v>
      </c>
      <c r="AU7">
        <v>999999999</v>
      </c>
      <c r="AV7">
        <v>999999999</v>
      </c>
      <c r="AW7">
        <v>999999999</v>
      </c>
      <c r="AX7">
        <v>999999999</v>
      </c>
      <c r="AY7">
        <v>999999999</v>
      </c>
      <c r="AZ7">
        <v>999999999</v>
      </c>
    </row>
    <row r="8" spans="1:52" ht="14.25" customHeight="1" x14ac:dyDescent="0.35">
      <c r="A8" s="2" t="s">
        <v>25</v>
      </c>
      <c r="B8" s="6">
        <f>'NVP-Indonesia'!B73*'NVP-Indonesia'!$B$176</f>
        <v>2311593.0954364636</v>
      </c>
      <c r="C8" s="6">
        <f>$B$8*'BNVP-HDVs-frgt'!C8/'BNVP-HDVs-frgt'!$B$8</f>
        <v>2311090.3320720843</v>
      </c>
      <c r="D8" s="6">
        <f>$B$8*'BNVP-HDVs-frgt'!D8/'BNVP-HDVs-frgt'!$B$8</f>
        <v>2261101.7850097315</v>
      </c>
      <c r="E8" s="6">
        <f>$B$8*'BNVP-HDVs-frgt'!E8/'BNVP-HDVs-frgt'!$B$8</f>
        <v>2217096.4008685048</v>
      </c>
      <c r="F8" s="6">
        <f>$B$8*'BNVP-HDVs-frgt'!F8/'BNVP-HDVs-frgt'!$B$8</f>
        <v>2172646.227283597</v>
      </c>
      <c r="G8" s="6">
        <f>$B$8*'BNVP-HDVs-frgt'!G8/'BNVP-HDVs-frgt'!$B$8</f>
        <v>2126637.5525231306</v>
      </c>
      <c r="H8" s="6">
        <f>$B$8*'BNVP-HDVs-frgt'!H8/'BNVP-HDVs-frgt'!$B$8</f>
        <v>2086218.4663984026</v>
      </c>
      <c r="I8" s="6">
        <f>$B$8*'BNVP-HDVs-frgt'!I8/'BNVP-HDVs-frgt'!$B$8</f>
        <v>2049020.7521646779</v>
      </c>
      <c r="J8" s="6">
        <f>$B$8*'BNVP-HDVs-frgt'!J8/'BNVP-HDVs-frgt'!$B$8</f>
        <v>2013540.2952175043</v>
      </c>
      <c r="K8" s="6">
        <f>$B$8*'BNVP-HDVs-frgt'!K8/'BNVP-HDVs-frgt'!$B$8</f>
        <v>1979733.3274618359</v>
      </c>
      <c r="L8" s="6">
        <f>$B$8*'BNVP-HDVs-frgt'!L8/'BNVP-HDVs-frgt'!$B$8</f>
        <v>1947504.0708966262</v>
      </c>
      <c r="M8" s="6">
        <f>$B$8*'BNVP-HDVs-frgt'!M8/'BNVP-HDVs-frgt'!$B$8</f>
        <v>1916826.5862666368</v>
      </c>
      <c r="N8" s="6">
        <f>$B$8*'BNVP-HDVs-frgt'!N8/'BNVP-HDVs-frgt'!$B$8</f>
        <v>1887449.2613555854</v>
      </c>
      <c r="O8" s="6">
        <f>$B$8*'BNVP-HDVs-frgt'!O8/'BNVP-HDVs-frgt'!$B$8</f>
        <v>1859648.3766783713</v>
      </c>
      <c r="P8" s="6">
        <f>$B$8*'BNVP-HDVs-frgt'!P8/'BNVP-HDVs-frgt'!$B$8</f>
        <v>1832362.7150870841</v>
      </c>
      <c r="Q8" s="6">
        <f>$B$8*'BNVP-HDVs-frgt'!Q8/'BNVP-HDVs-frgt'!$B$8</f>
        <v>1806200.7274133652</v>
      </c>
      <c r="R8" s="6">
        <f>$B$8*'BNVP-HDVs-frgt'!R8/'BNVP-HDVs-frgt'!$B$8</f>
        <v>1781282.0518008159</v>
      </c>
      <c r="S8" s="6">
        <f>$B$8*'BNVP-HDVs-frgt'!S8/'BNVP-HDVs-frgt'!$B$8</f>
        <v>1757516.5191587741</v>
      </c>
      <c r="T8" s="6">
        <f>$B$8*'BNVP-HDVs-frgt'!T8/'BNVP-HDVs-frgt'!$B$8</f>
        <v>1734855.3873436686</v>
      </c>
      <c r="U8" s="6">
        <f>$B$8*'BNVP-HDVs-frgt'!U8/'BNVP-HDVs-frgt'!$B$8</f>
        <v>1713269.9609944781</v>
      </c>
      <c r="V8" s="6">
        <f>$B$8*'BNVP-HDVs-frgt'!V8/'BNVP-HDVs-frgt'!$B$8</f>
        <v>1692636.5143571855</v>
      </c>
      <c r="W8" s="6">
        <f>$B$8*'BNVP-HDVs-frgt'!W8/'BNVP-HDVs-frgt'!$B$8</f>
        <v>1672997.1328265041</v>
      </c>
      <c r="X8" s="6">
        <f>$B$8*'BNVP-HDVs-frgt'!X8/'BNVP-HDVs-frgt'!$B$8</f>
        <v>1654265.2121251042</v>
      </c>
      <c r="Y8" s="6">
        <f>$B$8*'BNVP-HDVs-frgt'!Y8/'BNVP-HDVs-frgt'!$B$8</f>
        <v>1636400.4176955556</v>
      </c>
      <c r="Z8" s="6">
        <f>$B$8*'BNVP-HDVs-frgt'!Z8/'BNVP-HDVs-frgt'!$B$8</f>
        <v>1619379.4472590664</v>
      </c>
      <c r="AA8" s="6">
        <f>$B$8*'BNVP-HDVs-frgt'!AA8/'BNVP-HDVs-frgt'!$B$8</f>
        <v>1603154.9292540976</v>
      </c>
      <c r="AB8" s="6">
        <f>$B$8*'BNVP-HDVs-frgt'!AB8/'BNVP-HDVs-frgt'!$B$8</f>
        <v>1587680.4722587231</v>
      </c>
      <c r="AC8" s="6">
        <f>$B$8*'BNVP-HDVs-frgt'!AC8/'BNVP-HDVs-frgt'!$B$8</f>
        <v>1572939.8763128903</v>
      </c>
      <c r="AD8" s="6">
        <f>$B$8*'BNVP-HDVs-frgt'!AD8/'BNVP-HDVs-frgt'!$B$8</f>
        <v>1558880.1464212525</v>
      </c>
      <c r="AE8" s="6">
        <f>$B$8*'BNVP-HDVs-frgt'!AE8/'BNVP-HDVs-frgt'!$B$8</f>
        <v>1545491.8713051481</v>
      </c>
      <c r="AF8" s="6">
        <f>$B$8*'BNVP-HDVs-frgt'!AF8/'BNVP-HDVs-frgt'!$B$8</f>
        <v>1532116.4915837978</v>
      </c>
      <c r="AG8" s="6">
        <f t="shared" si="3"/>
        <v>1429738.054772459</v>
      </c>
      <c r="AH8" s="6">
        <f t="shared" si="1"/>
        <v>1403287.1339964867</v>
      </c>
      <c r="AI8" s="6">
        <f t="shared" si="1"/>
        <v>1376836.2132205069</v>
      </c>
      <c r="AJ8" s="6">
        <f t="shared" si="1"/>
        <v>1350385.2924445346</v>
      </c>
      <c r="AK8" s="6">
        <f t="shared" si="1"/>
        <v>1323934.3716685548</v>
      </c>
      <c r="AL8" s="6">
        <f t="shared" si="1"/>
        <v>1297483.4508925825</v>
      </c>
      <c r="AM8" s="6">
        <f t="shared" si="1"/>
        <v>1271032.5301166028</v>
      </c>
      <c r="AN8" s="6">
        <f t="shared" si="1"/>
        <v>1244581.609340623</v>
      </c>
      <c r="AO8" s="6">
        <f t="shared" si="1"/>
        <v>1218130.6885646507</v>
      </c>
      <c r="AP8" s="6">
        <f t="shared" si="1"/>
        <v>1191679.767788671</v>
      </c>
      <c r="AQ8" s="6">
        <f t="shared" si="1"/>
        <v>1165228.8470126987</v>
      </c>
      <c r="AR8" s="6">
        <f t="shared" si="1"/>
        <v>1138777.9262367189</v>
      </c>
      <c r="AS8" s="6">
        <f t="shared" si="1"/>
        <v>1112327.0054607466</v>
      </c>
      <c r="AT8" s="6">
        <f t="shared" si="1"/>
        <v>1085876.0846847668</v>
      </c>
      <c r="AU8" s="6">
        <f t="shared" si="1"/>
        <v>1059425.1639087945</v>
      </c>
      <c r="AV8" s="6">
        <f t="shared" si="1"/>
        <v>1032974.2431328148</v>
      </c>
      <c r="AW8" s="6">
        <f t="shared" si="1"/>
        <v>1006523.3223568425</v>
      </c>
      <c r="AX8" s="6">
        <f t="shared" si="1"/>
        <v>980072.4015808627</v>
      </c>
      <c r="AY8" s="6">
        <f t="shared" si="1"/>
        <v>953621.48080488294</v>
      </c>
      <c r="AZ8" s="6">
        <f t="shared" si="1"/>
        <v>927170.56002891064</v>
      </c>
    </row>
    <row r="9" spans="1:52" ht="14.25" customHeight="1" x14ac:dyDescent="0.35"/>
    <row r="10" spans="1:52" ht="14.25" customHeight="1" x14ac:dyDescent="0.35"/>
    <row r="11" spans="1:52" ht="14.25" customHeight="1" x14ac:dyDescent="0.35"/>
    <row r="12" spans="1:52" ht="14.25" customHeight="1" x14ac:dyDescent="0.35"/>
    <row r="13" spans="1:52" ht="14.25" customHeight="1" x14ac:dyDescent="0.35"/>
    <row r="14" spans="1:52" ht="14.25" customHeight="1" x14ac:dyDescent="0.35"/>
    <row r="15" spans="1:52" ht="14.25" customHeight="1" x14ac:dyDescent="0.35"/>
    <row r="16" spans="1:52"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1F497D"/>
  </sheetPr>
  <dimension ref="A1:AZ1000"/>
  <sheetViews>
    <sheetView workbookViewId="0">
      <selection activeCell="B6" sqref="B6:AZ7"/>
    </sheetView>
  </sheetViews>
  <sheetFormatPr defaultColWidth="14.453125" defaultRowHeight="15" customHeight="1" x14ac:dyDescent="0.35"/>
  <cols>
    <col min="1" max="1" width="24.453125" customWidth="1"/>
    <col min="2" max="35" width="10.1796875" customWidth="1"/>
    <col min="36" max="36" width="8.81640625" customWidth="1"/>
  </cols>
  <sheetData>
    <row r="1" spans="1:52" ht="14.25" customHeight="1" x14ac:dyDescent="0.35">
      <c r="A1" s="1" t="s">
        <v>18</v>
      </c>
      <c r="B1" s="9">
        <v>2020</v>
      </c>
      <c r="C1" s="9">
        <v>2021</v>
      </c>
      <c r="D1" s="9">
        <v>2022</v>
      </c>
      <c r="E1" s="9">
        <v>2023</v>
      </c>
      <c r="F1" s="9">
        <v>2024</v>
      </c>
      <c r="G1" s="9">
        <v>2025</v>
      </c>
      <c r="H1" s="9">
        <v>2026</v>
      </c>
      <c r="I1" s="9">
        <v>2027</v>
      </c>
      <c r="J1" s="9">
        <v>2028</v>
      </c>
      <c r="K1" s="9">
        <v>2029</v>
      </c>
      <c r="L1" s="9">
        <v>2030</v>
      </c>
      <c r="M1" s="9">
        <v>2031</v>
      </c>
      <c r="N1" s="9">
        <v>2032</v>
      </c>
      <c r="O1" s="9">
        <v>2033</v>
      </c>
      <c r="P1" s="9">
        <v>2034</v>
      </c>
      <c r="Q1" s="9">
        <v>2035</v>
      </c>
      <c r="R1" s="9">
        <v>2036</v>
      </c>
      <c r="S1" s="9">
        <v>2037</v>
      </c>
      <c r="T1" s="9">
        <v>2038</v>
      </c>
      <c r="U1" s="9">
        <v>2039</v>
      </c>
      <c r="V1" s="9">
        <v>2040</v>
      </c>
      <c r="W1" s="9">
        <v>2041</v>
      </c>
      <c r="X1" s="9">
        <v>2042</v>
      </c>
      <c r="Y1" s="9">
        <v>2043</v>
      </c>
      <c r="Z1" s="9">
        <v>2044</v>
      </c>
      <c r="AA1" s="9">
        <v>2045</v>
      </c>
      <c r="AB1" s="9">
        <v>2046</v>
      </c>
      <c r="AC1" s="9">
        <v>2047</v>
      </c>
      <c r="AD1" s="9">
        <v>2048</v>
      </c>
      <c r="AE1" s="9">
        <v>2049</v>
      </c>
      <c r="AF1" s="9">
        <v>2050</v>
      </c>
      <c r="AG1" s="9">
        <v>2051</v>
      </c>
      <c r="AH1" s="9">
        <v>2052</v>
      </c>
      <c r="AI1" s="9">
        <v>2053</v>
      </c>
      <c r="AJ1" s="9">
        <v>2054</v>
      </c>
      <c r="AK1" s="9">
        <v>2055</v>
      </c>
      <c r="AL1" s="9">
        <v>2056</v>
      </c>
      <c r="AM1" s="9">
        <v>2057</v>
      </c>
      <c r="AN1" s="9">
        <v>2058</v>
      </c>
      <c r="AO1" s="9">
        <v>2059</v>
      </c>
      <c r="AP1" s="9">
        <v>2060</v>
      </c>
      <c r="AQ1" s="9">
        <v>2061</v>
      </c>
      <c r="AR1" s="9">
        <v>2062</v>
      </c>
      <c r="AS1" s="9">
        <v>2063</v>
      </c>
      <c r="AT1" s="9">
        <v>2064</v>
      </c>
      <c r="AU1" s="9">
        <v>2065</v>
      </c>
      <c r="AV1" s="9">
        <v>2066</v>
      </c>
      <c r="AW1" s="9">
        <v>2067</v>
      </c>
      <c r="AX1" s="9">
        <v>2068</v>
      </c>
      <c r="AY1" s="9">
        <v>2069</v>
      </c>
      <c r="AZ1" s="9">
        <v>2070</v>
      </c>
    </row>
    <row r="2" spans="1:52" ht="14.25" customHeight="1" x14ac:dyDescent="0.35">
      <c r="A2" s="2" t="s">
        <v>19</v>
      </c>
      <c r="B2" s="6">
        <f>'NVP-Indonesia'!B77*'NVP-Indonesia'!$B$176</f>
        <v>93481594.916666672</v>
      </c>
      <c r="C2" s="6">
        <f>B2</f>
        <v>93481594.916666672</v>
      </c>
      <c r="D2" s="6">
        <f t="shared" ref="D2:AF2" si="0">C2</f>
        <v>93481594.916666672</v>
      </c>
      <c r="E2" s="6">
        <f t="shared" si="0"/>
        <v>93481594.916666672</v>
      </c>
      <c r="F2" s="6">
        <f t="shared" si="0"/>
        <v>93481594.916666672</v>
      </c>
      <c r="G2" s="6">
        <f t="shared" si="0"/>
        <v>93481594.916666672</v>
      </c>
      <c r="H2" s="6">
        <f t="shared" si="0"/>
        <v>93481594.916666672</v>
      </c>
      <c r="I2" s="6">
        <f t="shared" si="0"/>
        <v>93481594.916666672</v>
      </c>
      <c r="J2" s="6">
        <f t="shared" si="0"/>
        <v>93481594.916666672</v>
      </c>
      <c r="K2" s="6">
        <f t="shared" si="0"/>
        <v>93481594.916666672</v>
      </c>
      <c r="L2" s="6">
        <f t="shared" si="0"/>
        <v>93481594.916666672</v>
      </c>
      <c r="M2" s="6">
        <f t="shared" si="0"/>
        <v>93481594.916666672</v>
      </c>
      <c r="N2" s="6">
        <f t="shared" si="0"/>
        <v>93481594.916666672</v>
      </c>
      <c r="O2" s="6">
        <f t="shared" si="0"/>
        <v>93481594.916666672</v>
      </c>
      <c r="P2" s="6">
        <f t="shared" si="0"/>
        <v>93481594.916666672</v>
      </c>
      <c r="Q2" s="6">
        <f t="shared" si="0"/>
        <v>93481594.916666672</v>
      </c>
      <c r="R2" s="6">
        <f t="shared" si="0"/>
        <v>93481594.916666672</v>
      </c>
      <c r="S2" s="6">
        <f t="shared" si="0"/>
        <v>93481594.916666672</v>
      </c>
      <c r="T2" s="6">
        <f t="shared" si="0"/>
        <v>93481594.916666672</v>
      </c>
      <c r="U2" s="6">
        <f t="shared" si="0"/>
        <v>93481594.916666672</v>
      </c>
      <c r="V2" s="6">
        <f t="shared" si="0"/>
        <v>93481594.916666672</v>
      </c>
      <c r="W2" s="6">
        <f t="shared" si="0"/>
        <v>93481594.916666672</v>
      </c>
      <c r="X2" s="6">
        <f t="shared" si="0"/>
        <v>93481594.916666672</v>
      </c>
      <c r="Y2" s="6">
        <f t="shared" si="0"/>
        <v>93481594.916666672</v>
      </c>
      <c r="Z2" s="6">
        <f t="shared" si="0"/>
        <v>93481594.916666672</v>
      </c>
      <c r="AA2" s="6">
        <f t="shared" si="0"/>
        <v>93481594.916666672</v>
      </c>
      <c r="AB2" s="6">
        <f t="shared" si="0"/>
        <v>93481594.916666672</v>
      </c>
      <c r="AC2" s="6">
        <f t="shared" si="0"/>
        <v>93481594.916666672</v>
      </c>
      <c r="AD2" s="6">
        <f t="shared" si="0"/>
        <v>93481594.916666672</v>
      </c>
      <c r="AE2" s="6">
        <f t="shared" si="0"/>
        <v>93481594.916666672</v>
      </c>
      <c r="AF2" s="6">
        <f t="shared" si="0"/>
        <v>93481594.916666672</v>
      </c>
      <c r="AG2" s="6">
        <f>_xlfn.FORECAST.LINEAR(AG$1,$B2:$AF2,$B$1:$AF$1)</f>
        <v>93481594.916666642</v>
      </c>
      <c r="AH2" s="6">
        <f t="shared" ref="AH2:AZ8" si="1">_xlfn.FORECAST.LINEAR(AH$1,$B2:$AF2,$B$1:$AF$1)</f>
        <v>93481594.916666642</v>
      </c>
      <c r="AI2" s="6">
        <f t="shared" si="1"/>
        <v>93481594.916666642</v>
      </c>
      <c r="AJ2" s="6">
        <f t="shared" si="1"/>
        <v>93481594.916666642</v>
      </c>
      <c r="AK2" s="6">
        <f t="shared" si="1"/>
        <v>93481594.916666642</v>
      </c>
      <c r="AL2" s="6">
        <f t="shared" si="1"/>
        <v>93481594.916666642</v>
      </c>
      <c r="AM2" s="6">
        <f t="shared" si="1"/>
        <v>93481594.916666642</v>
      </c>
      <c r="AN2" s="6">
        <f t="shared" si="1"/>
        <v>93481594.916666642</v>
      </c>
      <c r="AO2" s="6">
        <f t="shared" si="1"/>
        <v>93481594.916666642</v>
      </c>
      <c r="AP2" s="6">
        <f t="shared" si="1"/>
        <v>93481594.916666642</v>
      </c>
      <c r="AQ2" s="6">
        <f t="shared" si="1"/>
        <v>93481594.916666642</v>
      </c>
      <c r="AR2" s="6">
        <f t="shared" si="1"/>
        <v>93481594.916666642</v>
      </c>
      <c r="AS2" s="6">
        <f t="shared" si="1"/>
        <v>93481594.916666642</v>
      </c>
      <c r="AT2" s="6">
        <f t="shared" si="1"/>
        <v>93481594.916666642</v>
      </c>
      <c r="AU2" s="6">
        <f t="shared" si="1"/>
        <v>93481594.916666642</v>
      </c>
      <c r="AV2" s="6">
        <f t="shared" si="1"/>
        <v>93481594.916666642</v>
      </c>
      <c r="AW2" s="6">
        <f t="shared" si="1"/>
        <v>93481594.916666642</v>
      </c>
      <c r="AX2" s="6">
        <f t="shared" si="1"/>
        <v>93481594.916666642</v>
      </c>
      <c r="AY2" s="6">
        <f t="shared" si="1"/>
        <v>93481594.916666642</v>
      </c>
      <c r="AZ2" s="6">
        <f t="shared" si="1"/>
        <v>93481594.916666642</v>
      </c>
    </row>
    <row r="3" spans="1:52" ht="14.25" customHeight="1" x14ac:dyDescent="0.35">
      <c r="A3" s="2" t="s">
        <v>20</v>
      </c>
      <c r="B3">
        <v>999999999</v>
      </c>
      <c r="C3">
        <v>999999999</v>
      </c>
      <c r="D3">
        <v>999999999</v>
      </c>
      <c r="E3">
        <v>999999999</v>
      </c>
      <c r="F3">
        <v>999999999</v>
      </c>
      <c r="G3">
        <v>999999999</v>
      </c>
      <c r="H3">
        <v>999999999</v>
      </c>
      <c r="I3">
        <v>999999999</v>
      </c>
      <c r="J3">
        <v>999999999</v>
      </c>
      <c r="K3">
        <v>999999999</v>
      </c>
      <c r="L3">
        <v>999999999</v>
      </c>
      <c r="M3">
        <v>999999999</v>
      </c>
      <c r="N3">
        <v>999999999</v>
      </c>
      <c r="O3">
        <v>999999999</v>
      </c>
      <c r="P3">
        <v>999999999</v>
      </c>
      <c r="Q3">
        <v>999999999</v>
      </c>
      <c r="R3">
        <v>999999999</v>
      </c>
      <c r="S3">
        <v>999999999</v>
      </c>
      <c r="T3">
        <v>999999999</v>
      </c>
      <c r="U3">
        <v>999999999</v>
      </c>
      <c r="V3">
        <v>999999999</v>
      </c>
      <c r="W3">
        <v>999999999</v>
      </c>
      <c r="X3">
        <v>999999999</v>
      </c>
      <c r="Y3">
        <v>999999999</v>
      </c>
      <c r="Z3">
        <v>999999999</v>
      </c>
      <c r="AA3">
        <v>999999999</v>
      </c>
      <c r="AB3">
        <v>999999999</v>
      </c>
      <c r="AC3">
        <v>999999999</v>
      </c>
      <c r="AD3">
        <v>999999999</v>
      </c>
      <c r="AE3">
        <v>999999999</v>
      </c>
      <c r="AF3">
        <v>999999999</v>
      </c>
      <c r="AG3">
        <v>999999999</v>
      </c>
      <c r="AH3">
        <v>999999999</v>
      </c>
      <c r="AI3">
        <v>999999999</v>
      </c>
      <c r="AJ3">
        <v>999999999</v>
      </c>
      <c r="AK3">
        <v>999999999</v>
      </c>
      <c r="AL3">
        <v>999999999</v>
      </c>
      <c r="AM3">
        <v>999999999</v>
      </c>
      <c r="AN3">
        <v>999999999</v>
      </c>
      <c r="AO3">
        <v>999999999</v>
      </c>
      <c r="AP3">
        <v>999999999</v>
      </c>
      <c r="AQ3">
        <v>999999999</v>
      </c>
      <c r="AR3">
        <v>999999999</v>
      </c>
      <c r="AS3">
        <v>999999999</v>
      </c>
      <c r="AT3">
        <v>999999999</v>
      </c>
      <c r="AU3">
        <v>999999999</v>
      </c>
      <c r="AV3">
        <v>999999999</v>
      </c>
      <c r="AW3">
        <v>999999999</v>
      </c>
      <c r="AX3">
        <v>999999999</v>
      </c>
      <c r="AY3">
        <v>999999999</v>
      </c>
      <c r="AZ3">
        <v>999999999</v>
      </c>
    </row>
    <row r="4" spans="1:52" ht="14.25" customHeight="1" x14ac:dyDescent="0.35">
      <c r="A4" s="2" t="s">
        <v>21</v>
      </c>
      <c r="B4">
        <v>999999999</v>
      </c>
      <c r="C4">
        <v>999999999</v>
      </c>
      <c r="D4">
        <v>999999999</v>
      </c>
      <c r="E4">
        <v>999999999</v>
      </c>
      <c r="F4">
        <v>999999999</v>
      </c>
      <c r="G4">
        <v>999999999</v>
      </c>
      <c r="H4">
        <v>999999999</v>
      </c>
      <c r="I4">
        <v>999999999</v>
      </c>
      <c r="J4">
        <v>999999999</v>
      </c>
      <c r="K4">
        <v>999999999</v>
      </c>
      <c r="L4">
        <v>999999999</v>
      </c>
      <c r="M4">
        <v>999999999</v>
      </c>
      <c r="N4">
        <v>999999999</v>
      </c>
      <c r="O4">
        <v>999999999</v>
      </c>
      <c r="P4">
        <v>999999999</v>
      </c>
      <c r="Q4">
        <v>999999999</v>
      </c>
      <c r="R4">
        <v>999999999</v>
      </c>
      <c r="S4">
        <v>999999999</v>
      </c>
      <c r="T4">
        <v>999999999</v>
      </c>
      <c r="U4">
        <v>999999999</v>
      </c>
      <c r="V4">
        <v>999999999</v>
      </c>
      <c r="W4">
        <v>999999999</v>
      </c>
      <c r="X4">
        <v>999999999</v>
      </c>
      <c r="Y4">
        <v>999999999</v>
      </c>
      <c r="Z4">
        <v>999999999</v>
      </c>
      <c r="AA4">
        <v>999999999</v>
      </c>
      <c r="AB4">
        <v>999999999</v>
      </c>
      <c r="AC4">
        <v>999999999</v>
      </c>
      <c r="AD4">
        <v>999999999</v>
      </c>
      <c r="AE4">
        <v>999999999</v>
      </c>
      <c r="AF4">
        <v>999999999</v>
      </c>
      <c r="AG4">
        <v>999999999</v>
      </c>
      <c r="AH4">
        <v>999999999</v>
      </c>
      <c r="AI4">
        <v>999999999</v>
      </c>
      <c r="AJ4">
        <v>999999999</v>
      </c>
      <c r="AK4">
        <v>999999999</v>
      </c>
      <c r="AL4">
        <v>999999999</v>
      </c>
      <c r="AM4">
        <v>999999999</v>
      </c>
      <c r="AN4">
        <v>999999999</v>
      </c>
      <c r="AO4">
        <v>999999999</v>
      </c>
      <c r="AP4">
        <v>999999999</v>
      </c>
      <c r="AQ4">
        <v>999999999</v>
      </c>
      <c r="AR4">
        <v>999999999</v>
      </c>
      <c r="AS4">
        <v>999999999</v>
      </c>
      <c r="AT4">
        <v>999999999</v>
      </c>
      <c r="AU4">
        <v>999999999</v>
      </c>
      <c r="AV4">
        <v>999999999</v>
      </c>
      <c r="AW4">
        <v>999999999</v>
      </c>
      <c r="AX4">
        <v>999999999</v>
      </c>
      <c r="AY4">
        <v>999999999</v>
      </c>
      <c r="AZ4">
        <v>999999999</v>
      </c>
    </row>
    <row r="5" spans="1:52" ht="14.25" customHeight="1" x14ac:dyDescent="0.35">
      <c r="A5" s="6" t="s">
        <v>22</v>
      </c>
      <c r="B5" s="6">
        <f>'NVP-Indonesia'!B80*'NVP-Indonesia'!$B$176</f>
        <v>50570000</v>
      </c>
      <c r="C5" s="6">
        <f t="shared" ref="C5:AF5" si="2">$B5</f>
        <v>50570000</v>
      </c>
      <c r="D5" s="6">
        <f t="shared" si="2"/>
        <v>50570000</v>
      </c>
      <c r="E5" s="6">
        <f t="shared" si="2"/>
        <v>50570000</v>
      </c>
      <c r="F5" s="6">
        <f t="shared" si="2"/>
        <v>50570000</v>
      </c>
      <c r="G5" s="6">
        <f t="shared" si="2"/>
        <v>50570000</v>
      </c>
      <c r="H5" s="6">
        <f t="shared" si="2"/>
        <v>50570000</v>
      </c>
      <c r="I5" s="6">
        <f t="shared" si="2"/>
        <v>50570000</v>
      </c>
      <c r="J5" s="6">
        <f t="shared" si="2"/>
        <v>50570000</v>
      </c>
      <c r="K5" s="6">
        <f t="shared" si="2"/>
        <v>50570000</v>
      </c>
      <c r="L5" s="6">
        <f t="shared" si="2"/>
        <v>50570000</v>
      </c>
      <c r="M5" s="6">
        <f t="shared" si="2"/>
        <v>50570000</v>
      </c>
      <c r="N5" s="6">
        <f t="shared" si="2"/>
        <v>50570000</v>
      </c>
      <c r="O5" s="6">
        <f t="shared" si="2"/>
        <v>50570000</v>
      </c>
      <c r="P5" s="6">
        <f t="shared" si="2"/>
        <v>50570000</v>
      </c>
      <c r="Q5" s="6">
        <f t="shared" si="2"/>
        <v>50570000</v>
      </c>
      <c r="R5" s="6">
        <f t="shared" si="2"/>
        <v>50570000</v>
      </c>
      <c r="S5" s="6">
        <f t="shared" si="2"/>
        <v>50570000</v>
      </c>
      <c r="T5" s="6">
        <f t="shared" si="2"/>
        <v>50570000</v>
      </c>
      <c r="U5" s="6">
        <f t="shared" si="2"/>
        <v>50570000</v>
      </c>
      <c r="V5" s="6">
        <f t="shared" si="2"/>
        <v>50570000</v>
      </c>
      <c r="W5" s="6">
        <f t="shared" si="2"/>
        <v>50570000</v>
      </c>
      <c r="X5" s="6">
        <f t="shared" si="2"/>
        <v>50570000</v>
      </c>
      <c r="Y5" s="6">
        <f t="shared" si="2"/>
        <v>50570000</v>
      </c>
      <c r="Z5" s="6">
        <f t="shared" si="2"/>
        <v>50570000</v>
      </c>
      <c r="AA5" s="6">
        <f t="shared" si="2"/>
        <v>50570000</v>
      </c>
      <c r="AB5" s="6">
        <f t="shared" si="2"/>
        <v>50570000</v>
      </c>
      <c r="AC5" s="6">
        <f t="shared" si="2"/>
        <v>50570000</v>
      </c>
      <c r="AD5" s="6">
        <f t="shared" si="2"/>
        <v>50570000</v>
      </c>
      <c r="AE5" s="6">
        <f t="shared" si="2"/>
        <v>50570000</v>
      </c>
      <c r="AF5" s="6">
        <f t="shared" si="2"/>
        <v>50570000</v>
      </c>
      <c r="AG5" s="6">
        <f t="shared" ref="AG3:AV8" si="3">_xlfn.FORECAST.LINEAR(AG$1,$B5:$AF5,$B$1:$AF$1)</f>
        <v>50570000</v>
      </c>
      <c r="AH5" s="6">
        <f t="shared" si="1"/>
        <v>50570000</v>
      </c>
      <c r="AI5" s="6">
        <f t="shared" si="1"/>
        <v>50570000</v>
      </c>
      <c r="AJ5" s="6">
        <f t="shared" si="1"/>
        <v>50570000</v>
      </c>
      <c r="AK5" s="6">
        <f t="shared" si="1"/>
        <v>50570000</v>
      </c>
      <c r="AL5" s="6">
        <f t="shared" si="1"/>
        <v>50570000</v>
      </c>
      <c r="AM5" s="6">
        <f t="shared" si="1"/>
        <v>50570000</v>
      </c>
      <c r="AN5" s="6">
        <f t="shared" si="1"/>
        <v>50570000</v>
      </c>
      <c r="AO5" s="6">
        <f t="shared" si="1"/>
        <v>50570000</v>
      </c>
      <c r="AP5" s="6">
        <f t="shared" si="1"/>
        <v>50570000</v>
      </c>
      <c r="AQ5" s="6">
        <f t="shared" si="1"/>
        <v>50570000</v>
      </c>
      <c r="AR5" s="6">
        <f t="shared" si="1"/>
        <v>50570000</v>
      </c>
      <c r="AS5" s="6">
        <f t="shared" si="1"/>
        <v>50570000</v>
      </c>
      <c r="AT5" s="6">
        <f t="shared" si="1"/>
        <v>50570000</v>
      </c>
      <c r="AU5" s="6">
        <f t="shared" si="1"/>
        <v>50570000</v>
      </c>
      <c r="AV5" s="6">
        <f t="shared" si="1"/>
        <v>50570000</v>
      </c>
      <c r="AW5" s="6">
        <f t="shared" si="1"/>
        <v>50570000</v>
      </c>
      <c r="AX5" s="6">
        <f t="shared" si="1"/>
        <v>50570000</v>
      </c>
      <c r="AY5" s="6">
        <f t="shared" si="1"/>
        <v>50570000</v>
      </c>
      <c r="AZ5" s="6">
        <f t="shared" si="1"/>
        <v>50570000</v>
      </c>
    </row>
    <row r="6" spans="1:52" ht="14.25" customHeight="1" x14ac:dyDescent="0.35">
      <c r="A6" s="2" t="s">
        <v>23</v>
      </c>
      <c r="B6">
        <v>999999999</v>
      </c>
      <c r="C6">
        <v>999999999</v>
      </c>
      <c r="D6">
        <v>999999999</v>
      </c>
      <c r="E6">
        <v>999999999</v>
      </c>
      <c r="F6">
        <v>999999999</v>
      </c>
      <c r="G6">
        <v>999999999</v>
      </c>
      <c r="H6">
        <v>999999999</v>
      </c>
      <c r="I6">
        <v>999999999</v>
      </c>
      <c r="J6">
        <v>999999999</v>
      </c>
      <c r="K6">
        <v>999999999</v>
      </c>
      <c r="L6">
        <v>999999999</v>
      </c>
      <c r="M6">
        <v>999999999</v>
      </c>
      <c r="N6">
        <v>999999999</v>
      </c>
      <c r="O6">
        <v>999999999</v>
      </c>
      <c r="P6">
        <v>999999999</v>
      </c>
      <c r="Q6">
        <v>999999999</v>
      </c>
      <c r="R6">
        <v>999999999</v>
      </c>
      <c r="S6">
        <v>999999999</v>
      </c>
      <c r="T6">
        <v>999999999</v>
      </c>
      <c r="U6">
        <v>999999999</v>
      </c>
      <c r="V6">
        <v>999999999</v>
      </c>
      <c r="W6">
        <v>999999999</v>
      </c>
      <c r="X6">
        <v>999999999</v>
      </c>
      <c r="Y6">
        <v>999999999</v>
      </c>
      <c r="Z6">
        <v>999999999</v>
      </c>
      <c r="AA6">
        <v>999999999</v>
      </c>
      <c r="AB6">
        <v>999999999</v>
      </c>
      <c r="AC6">
        <v>999999999</v>
      </c>
      <c r="AD6">
        <v>999999999</v>
      </c>
      <c r="AE6">
        <v>999999999</v>
      </c>
      <c r="AF6">
        <v>999999999</v>
      </c>
      <c r="AG6">
        <v>999999999</v>
      </c>
      <c r="AH6">
        <v>999999999</v>
      </c>
      <c r="AI6">
        <v>999999999</v>
      </c>
      <c r="AJ6">
        <v>999999999</v>
      </c>
      <c r="AK6">
        <v>999999999</v>
      </c>
      <c r="AL6">
        <v>999999999</v>
      </c>
      <c r="AM6">
        <v>999999999</v>
      </c>
      <c r="AN6">
        <v>999999999</v>
      </c>
      <c r="AO6">
        <v>999999999</v>
      </c>
      <c r="AP6">
        <v>999999999</v>
      </c>
      <c r="AQ6">
        <v>999999999</v>
      </c>
      <c r="AR6">
        <v>999999999</v>
      </c>
      <c r="AS6">
        <v>999999999</v>
      </c>
      <c r="AT6">
        <v>999999999</v>
      </c>
      <c r="AU6">
        <v>999999999</v>
      </c>
      <c r="AV6">
        <v>999999999</v>
      </c>
      <c r="AW6">
        <v>999999999</v>
      </c>
      <c r="AX6">
        <v>999999999</v>
      </c>
      <c r="AY6">
        <v>999999999</v>
      </c>
      <c r="AZ6">
        <v>999999999</v>
      </c>
    </row>
    <row r="7" spans="1:52" ht="14.25" customHeight="1" x14ac:dyDescent="0.35">
      <c r="A7" s="2" t="s">
        <v>24</v>
      </c>
      <c r="B7">
        <v>999999999</v>
      </c>
      <c r="C7">
        <v>999999999</v>
      </c>
      <c r="D7">
        <v>999999999</v>
      </c>
      <c r="E7">
        <v>999999999</v>
      </c>
      <c r="F7">
        <v>999999999</v>
      </c>
      <c r="G7">
        <v>999999999</v>
      </c>
      <c r="H7">
        <v>999999999</v>
      </c>
      <c r="I7">
        <v>999999999</v>
      </c>
      <c r="J7">
        <v>999999999</v>
      </c>
      <c r="K7">
        <v>999999999</v>
      </c>
      <c r="L7">
        <v>999999999</v>
      </c>
      <c r="M7">
        <v>999999999</v>
      </c>
      <c r="N7">
        <v>999999999</v>
      </c>
      <c r="O7">
        <v>999999999</v>
      </c>
      <c r="P7">
        <v>999999999</v>
      </c>
      <c r="Q7">
        <v>999999999</v>
      </c>
      <c r="R7">
        <v>999999999</v>
      </c>
      <c r="S7">
        <v>999999999</v>
      </c>
      <c r="T7">
        <v>999999999</v>
      </c>
      <c r="U7">
        <v>999999999</v>
      </c>
      <c r="V7">
        <v>999999999</v>
      </c>
      <c r="W7">
        <v>999999999</v>
      </c>
      <c r="X7">
        <v>999999999</v>
      </c>
      <c r="Y7">
        <v>999999999</v>
      </c>
      <c r="Z7">
        <v>999999999</v>
      </c>
      <c r="AA7">
        <v>999999999</v>
      </c>
      <c r="AB7">
        <v>999999999</v>
      </c>
      <c r="AC7">
        <v>999999999</v>
      </c>
      <c r="AD7">
        <v>999999999</v>
      </c>
      <c r="AE7">
        <v>999999999</v>
      </c>
      <c r="AF7">
        <v>999999999</v>
      </c>
      <c r="AG7">
        <v>999999999</v>
      </c>
      <c r="AH7">
        <v>999999999</v>
      </c>
      <c r="AI7">
        <v>999999999</v>
      </c>
      <c r="AJ7">
        <v>999999999</v>
      </c>
      <c r="AK7">
        <v>999999999</v>
      </c>
      <c r="AL7">
        <v>999999999</v>
      </c>
      <c r="AM7">
        <v>999999999</v>
      </c>
      <c r="AN7">
        <v>999999999</v>
      </c>
      <c r="AO7">
        <v>999999999</v>
      </c>
      <c r="AP7">
        <v>999999999</v>
      </c>
      <c r="AQ7">
        <v>999999999</v>
      </c>
      <c r="AR7">
        <v>999999999</v>
      </c>
      <c r="AS7">
        <v>999999999</v>
      </c>
      <c r="AT7">
        <v>999999999</v>
      </c>
      <c r="AU7">
        <v>999999999</v>
      </c>
      <c r="AV7">
        <v>999999999</v>
      </c>
      <c r="AW7">
        <v>999999999</v>
      </c>
      <c r="AX7">
        <v>999999999</v>
      </c>
      <c r="AY7">
        <v>999999999</v>
      </c>
      <c r="AZ7">
        <v>999999999</v>
      </c>
    </row>
    <row r="8" spans="1:52" ht="14.25" customHeight="1" x14ac:dyDescent="0.35">
      <c r="A8" s="2" t="s">
        <v>25</v>
      </c>
      <c r="B8" s="6">
        <f>'NVP-Indonesia'!B83*'NVP-Indonesia'!$B$176</f>
        <v>101760495.15564114</v>
      </c>
      <c r="C8" s="6">
        <f>C$5*('BNVP-HDVs-psgr'!C$8/'BNVP-HDVs-psgr'!C$5)</f>
        <v>48755417.915304415</v>
      </c>
      <c r="D8" s="6">
        <f>D$5*('BNVP-HDVs-psgr'!D$8/'BNVP-HDVs-psgr'!D$5)</f>
        <v>48755417.915304415</v>
      </c>
      <c r="E8" s="6">
        <f>E$5*('BNVP-HDVs-psgr'!E$8/'BNVP-HDVs-psgr'!E$5)</f>
        <v>48755417.915304415</v>
      </c>
      <c r="F8" s="6">
        <f>F$5*('BNVP-HDVs-psgr'!F$8/'BNVP-HDVs-psgr'!F$5)</f>
        <v>48755417.915304415</v>
      </c>
      <c r="G8" s="6">
        <f>G$5*('BNVP-HDVs-psgr'!G$8/'BNVP-HDVs-psgr'!G$5)</f>
        <v>48755417.915304415</v>
      </c>
      <c r="H8" s="6">
        <f>H$5*('BNVP-HDVs-psgr'!H$8/'BNVP-HDVs-psgr'!H$5)</f>
        <v>48755417.915304415</v>
      </c>
      <c r="I8" s="6">
        <f>I$5*('BNVP-HDVs-psgr'!I$8/'BNVP-HDVs-psgr'!I$5)</f>
        <v>48755417.915304415</v>
      </c>
      <c r="J8" s="6">
        <f>J$5*('BNVP-HDVs-psgr'!J$8/'BNVP-HDVs-psgr'!J$5)</f>
        <v>48755417.915304415</v>
      </c>
      <c r="K8" s="6">
        <f>K$5*('BNVP-HDVs-psgr'!K$8/'BNVP-HDVs-psgr'!K$5)</f>
        <v>48755417.915304415</v>
      </c>
      <c r="L8" s="6">
        <f>L$5*('BNVP-HDVs-psgr'!L$8/'BNVP-HDVs-psgr'!L$5)</f>
        <v>48755417.915304415</v>
      </c>
      <c r="M8" s="6">
        <f>M$5*('BNVP-HDVs-psgr'!M$8/'BNVP-HDVs-psgr'!M$5)</f>
        <v>48755417.915304415</v>
      </c>
      <c r="N8" s="6">
        <f>N$5*('BNVP-HDVs-psgr'!N$8/'BNVP-HDVs-psgr'!N$5)</f>
        <v>48755417.915304415</v>
      </c>
      <c r="O8" s="6">
        <f>O$5*('BNVP-HDVs-psgr'!O$8/'BNVP-HDVs-psgr'!O$5)</f>
        <v>48755417.915304415</v>
      </c>
      <c r="P8" s="6">
        <f>P$5*('BNVP-HDVs-psgr'!P$8/'BNVP-HDVs-psgr'!P$5)</f>
        <v>48755417.915304415</v>
      </c>
      <c r="Q8" s="6">
        <f>Q$5*('BNVP-HDVs-psgr'!Q$8/'BNVP-HDVs-psgr'!Q$5)</f>
        <v>48755417.915304415</v>
      </c>
      <c r="R8" s="6">
        <f>R$5*('BNVP-HDVs-psgr'!R$8/'BNVP-HDVs-psgr'!R$5)</f>
        <v>48755417.915304415</v>
      </c>
      <c r="S8" s="6">
        <f>S$5*('BNVP-HDVs-psgr'!S$8/'BNVP-HDVs-psgr'!S$5)</f>
        <v>48755417.915304415</v>
      </c>
      <c r="T8" s="6">
        <f>T$5*('BNVP-HDVs-psgr'!T$8/'BNVP-HDVs-psgr'!T$5)</f>
        <v>48755417.915304415</v>
      </c>
      <c r="U8" s="6">
        <f>U$5*('BNVP-HDVs-psgr'!U$8/'BNVP-HDVs-psgr'!U$5)</f>
        <v>48755417.915304415</v>
      </c>
      <c r="V8" s="6">
        <f>V$5*('BNVP-HDVs-psgr'!V$8/'BNVP-HDVs-psgr'!V$5)</f>
        <v>48755417.915304415</v>
      </c>
      <c r="W8" s="6">
        <f>W$5*('BNVP-HDVs-psgr'!W$8/'BNVP-HDVs-psgr'!W$5)</f>
        <v>48755417.915304415</v>
      </c>
      <c r="X8" s="6">
        <f>X$5*('BNVP-HDVs-psgr'!X$8/'BNVP-HDVs-psgr'!X$5)</f>
        <v>48755417.915304415</v>
      </c>
      <c r="Y8" s="6">
        <f>Y$5*('BNVP-HDVs-psgr'!Y$8/'BNVP-HDVs-psgr'!Y$5)</f>
        <v>48755417.915304415</v>
      </c>
      <c r="Z8" s="6">
        <f>Z$5*('BNVP-HDVs-psgr'!Z$8/'BNVP-HDVs-psgr'!Z$5)</f>
        <v>48755417.915304415</v>
      </c>
      <c r="AA8" s="6">
        <f>AA$5*('BNVP-HDVs-psgr'!AA$8/'BNVP-HDVs-psgr'!AA$5)</f>
        <v>48755417.915304415</v>
      </c>
      <c r="AB8" s="6">
        <f>AB$5*('BNVP-HDVs-psgr'!AB$8/'BNVP-HDVs-psgr'!AB$5)</f>
        <v>48755417.915304415</v>
      </c>
      <c r="AC8" s="6">
        <f>AC$5*('BNVP-HDVs-psgr'!AC$8/'BNVP-HDVs-psgr'!AC$5)</f>
        <v>48755417.915304415</v>
      </c>
      <c r="AD8" s="6">
        <f>AD$5*('BNVP-HDVs-psgr'!AD$8/'BNVP-HDVs-psgr'!AD$5)</f>
        <v>48755417.915304415</v>
      </c>
      <c r="AE8" s="6">
        <f>AE$5*('BNVP-HDVs-psgr'!AE$8/'BNVP-HDVs-psgr'!AE$5)</f>
        <v>48755417.915304415</v>
      </c>
      <c r="AF8" s="6">
        <f>AF$5*('BNVP-HDVs-psgr'!AF$8/'BNVP-HDVs-psgr'!AF$5)</f>
        <v>48755417.915304415</v>
      </c>
      <c r="AG8" s="6">
        <f t="shared" si="3"/>
        <v>45335735.512702107</v>
      </c>
      <c r="AH8" s="6">
        <f t="shared" si="1"/>
        <v>45015140.287458062</v>
      </c>
      <c r="AI8" s="6">
        <f t="shared" si="1"/>
        <v>44694545.062214136</v>
      </c>
      <c r="AJ8" s="6">
        <f t="shared" si="1"/>
        <v>44373949.83697021</v>
      </c>
      <c r="AK8" s="6">
        <f t="shared" si="1"/>
        <v>44053354.611726165</v>
      </c>
      <c r="AL8" s="6">
        <f t="shared" si="1"/>
        <v>43732759.386482239</v>
      </c>
      <c r="AM8" s="6">
        <f t="shared" si="1"/>
        <v>43412164.161238313</v>
      </c>
      <c r="AN8" s="6">
        <f t="shared" si="1"/>
        <v>43091568.935994267</v>
      </c>
      <c r="AO8" s="6">
        <f t="shared" si="1"/>
        <v>42770973.710750341</v>
      </c>
      <c r="AP8" s="6">
        <f t="shared" si="1"/>
        <v>42450378.485506296</v>
      </c>
      <c r="AQ8" s="6">
        <f t="shared" si="1"/>
        <v>42129783.26026237</v>
      </c>
      <c r="AR8" s="6">
        <f t="shared" si="1"/>
        <v>41809188.035018444</v>
      </c>
      <c r="AS8" s="6">
        <f t="shared" si="1"/>
        <v>41488592.809774399</v>
      </c>
      <c r="AT8" s="6">
        <f t="shared" si="1"/>
        <v>41167997.584530473</v>
      </c>
      <c r="AU8" s="6">
        <f t="shared" si="1"/>
        <v>40847402.359286427</v>
      </c>
      <c r="AV8" s="6">
        <f t="shared" si="1"/>
        <v>40526807.134042501</v>
      </c>
      <c r="AW8" s="6">
        <f t="shared" si="1"/>
        <v>40206211.908798575</v>
      </c>
      <c r="AX8" s="6">
        <f t="shared" si="1"/>
        <v>39885616.68355453</v>
      </c>
      <c r="AY8" s="6">
        <f t="shared" si="1"/>
        <v>39565021.458310604</v>
      </c>
      <c r="AZ8" s="6">
        <f t="shared" si="1"/>
        <v>39244426.233066559</v>
      </c>
    </row>
    <row r="9" spans="1:52" ht="14.25" customHeight="1" x14ac:dyDescent="0.35"/>
    <row r="10" spans="1:52" ht="14.25" customHeight="1" x14ac:dyDescent="0.35"/>
    <row r="11" spans="1:52" ht="14.25" customHeight="1" x14ac:dyDescent="0.35"/>
    <row r="12" spans="1:52" ht="14.25" customHeight="1" x14ac:dyDescent="0.35"/>
    <row r="13" spans="1:52" ht="14.25" customHeight="1" x14ac:dyDescent="0.35"/>
    <row r="14" spans="1:52" ht="14.25" customHeight="1" x14ac:dyDescent="0.35"/>
    <row r="15" spans="1:52" ht="14.25" customHeight="1" x14ac:dyDescent="0.35"/>
    <row r="16" spans="1:52"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rgb="FF1F497D"/>
  </sheetPr>
  <dimension ref="A1:AZ1000"/>
  <sheetViews>
    <sheetView workbookViewId="0">
      <selection activeCell="B6" sqref="B6:AZ7"/>
    </sheetView>
  </sheetViews>
  <sheetFormatPr defaultColWidth="14.453125" defaultRowHeight="15" customHeight="1" x14ac:dyDescent="0.35"/>
  <cols>
    <col min="1" max="1" width="24.453125" customWidth="1"/>
    <col min="2" max="36" width="8.81640625" customWidth="1"/>
  </cols>
  <sheetData>
    <row r="1" spans="1:52" ht="14.25" customHeight="1" x14ac:dyDescent="0.35">
      <c r="A1" s="1" t="s">
        <v>18</v>
      </c>
      <c r="B1" s="9">
        <v>2020</v>
      </c>
      <c r="C1" s="9">
        <v>2021</v>
      </c>
      <c r="D1" s="9">
        <v>2022</v>
      </c>
      <c r="E1" s="9">
        <v>2023</v>
      </c>
      <c r="F1" s="9">
        <v>2024</v>
      </c>
      <c r="G1" s="9">
        <v>2025</v>
      </c>
      <c r="H1" s="9">
        <v>2026</v>
      </c>
      <c r="I1" s="9">
        <v>2027</v>
      </c>
      <c r="J1" s="9">
        <v>2028</v>
      </c>
      <c r="K1" s="9">
        <v>2029</v>
      </c>
      <c r="L1" s="9">
        <v>2030</v>
      </c>
      <c r="M1" s="9">
        <v>2031</v>
      </c>
      <c r="N1" s="9">
        <v>2032</v>
      </c>
      <c r="O1" s="9">
        <v>2033</v>
      </c>
      <c r="P1" s="9">
        <v>2034</v>
      </c>
      <c r="Q1" s="9">
        <v>2035</v>
      </c>
      <c r="R1" s="9">
        <v>2036</v>
      </c>
      <c r="S1" s="9">
        <v>2037</v>
      </c>
      <c r="T1" s="9">
        <v>2038</v>
      </c>
      <c r="U1" s="9">
        <v>2039</v>
      </c>
      <c r="V1" s="9">
        <v>2040</v>
      </c>
      <c r="W1" s="9">
        <v>2041</v>
      </c>
      <c r="X1" s="9">
        <v>2042</v>
      </c>
      <c r="Y1" s="9">
        <v>2043</v>
      </c>
      <c r="Z1" s="9">
        <v>2044</v>
      </c>
      <c r="AA1" s="9">
        <v>2045</v>
      </c>
      <c r="AB1" s="9">
        <v>2046</v>
      </c>
      <c r="AC1" s="9">
        <v>2047</v>
      </c>
      <c r="AD1" s="9">
        <v>2048</v>
      </c>
      <c r="AE1" s="9">
        <v>2049</v>
      </c>
      <c r="AF1" s="9">
        <v>2050</v>
      </c>
      <c r="AG1" s="9">
        <v>2051</v>
      </c>
      <c r="AH1" s="9">
        <v>2052</v>
      </c>
      <c r="AI1" s="9">
        <v>2053</v>
      </c>
      <c r="AJ1" s="9">
        <v>2054</v>
      </c>
      <c r="AK1" s="9">
        <v>2055</v>
      </c>
      <c r="AL1" s="9">
        <v>2056</v>
      </c>
      <c r="AM1" s="9">
        <v>2057</v>
      </c>
      <c r="AN1" s="9">
        <v>2058</v>
      </c>
      <c r="AO1" s="9">
        <v>2059</v>
      </c>
      <c r="AP1" s="9">
        <v>2060</v>
      </c>
      <c r="AQ1" s="9">
        <v>2061</v>
      </c>
      <c r="AR1" s="9">
        <v>2062</v>
      </c>
      <c r="AS1" s="9">
        <v>2063</v>
      </c>
      <c r="AT1" s="9">
        <v>2064</v>
      </c>
      <c r="AU1" s="9">
        <v>2065</v>
      </c>
      <c r="AV1" s="9">
        <v>2066</v>
      </c>
      <c r="AW1" s="9">
        <v>2067</v>
      </c>
      <c r="AX1" s="9">
        <v>2068</v>
      </c>
      <c r="AY1" s="9">
        <v>2069</v>
      </c>
      <c r="AZ1" s="9">
        <v>2070</v>
      </c>
    </row>
    <row r="2" spans="1:52" ht="14.25" customHeight="1" x14ac:dyDescent="0.35">
      <c r="A2" s="2" t="s">
        <v>19</v>
      </c>
      <c r="B2" s="6">
        <f>'NVP-Indonesia'!B87*'NVP-Indonesia'!$B$176</f>
        <v>3900000</v>
      </c>
      <c r="C2" s="6">
        <f>B2</f>
        <v>3900000</v>
      </c>
      <c r="D2" s="6">
        <f t="shared" ref="D2:AF2" si="0">C2</f>
        <v>3900000</v>
      </c>
      <c r="E2" s="6">
        <f t="shared" si="0"/>
        <v>3900000</v>
      </c>
      <c r="F2" s="6">
        <f t="shared" si="0"/>
        <v>3900000</v>
      </c>
      <c r="G2" s="6">
        <f t="shared" si="0"/>
        <v>3900000</v>
      </c>
      <c r="H2" s="6">
        <f t="shared" si="0"/>
        <v>3900000</v>
      </c>
      <c r="I2" s="6">
        <f t="shared" si="0"/>
        <v>3900000</v>
      </c>
      <c r="J2" s="6">
        <f t="shared" si="0"/>
        <v>3900000</v>
      </c>
      <c r="K2" s="6">
        <f t="shared" si="0"/>
        <v>3900000</v>
      </c>
      <c r="L2" s="6">
        <f t="shared" si="0"/>
        <v>3900000</v>
      </c>
      <c r="M2" s="6">
        <f t="shared" si="0"/>
        <v>3900000</v>
      </c>
      <c r="N2" s="6">
        <f t="shared" si="0"/>
        <v>3900000</v>
      </c>
      <c r="O2" s="6">
        <f t="shared" si="0"/>
        <v>3900000</v>
      </c>
      <c r="P2" s="6">
        <f t="shared" si="0"/>
        <v>3900000</v>
      </c>
      <c r="Q2" s="6">
        <f t="shared" si="0"/>
        <v>3900000</v>
      </c>
      <c r="R2" s="6">
        <f t="shared" si="0"/>
        <v>3900000</v>
      </c>
      <c r="S2" s="6">
        <f t="shared" si="0"/>
        <v>3900000</v>
      </c>
      <c r="T2" s="6">
        <f t="shared" si="0"/>
        <v>3900000</v>
      </c>
      <c r="U2" s="6">
        <f t="shared" si="0"/>
        <v>3900000</v>
      </c>
      <c r="V2" s="6">
        <f t="shared" si="0"/>
        <v>3900000</v>
      </c>
      <c r="W2" s="6">
        <f t="shared" si="0"/>
        <v>3900000</v>
      </c>
      <c r="X2" s="6">
        <f t="shared" si="0"/>
        <v>3900000</v>
      </c>
      <c r="Y2" s="6">
        <f t="shared" si="0"/>
        <v>3900000</v>
      </c>
      <c r="Z2" s="6">
        <f t="shared" si="0"/>
        <v>3900000</v>
      </c>
      <c r="AA2" s="6">
        <f t="shared" si="0"/>
        <v>3900000</v>
      </c>
      <c r="AB2" s="6">
        <f t="shared" si="0"/>
        <v>3900000</v>
      </c>
      <c r="AC2" s="6">
        <f t="shared" si="0"/>
        <v>3900000</v>
      </c>
      <c r="AD2" s="6">
        <f t="shared" si="0"/>
        <v>3900000</v>
      </c>
      <c r="AE2" s="6">
        <f t="shared" si="0"/>
        <v>3900000</v>
      </c>
      <c r="AF2" s="6">
        <f t="shared" si="0"/>
        <v>3900000</v>
      </c>
      <c r="AG2" s="6">
        <f>_xlfn.FORECAST.LINEAR(AG$1,$B2:$AF2,$B$1:$AF$1)</f>
        <v>3900000</v>
      </c>
      <c r="AH2" s="6">
        <f t="shared" ref="AH2:AZ8" si="1">_xlfn.FORECAST.LINEAR(AH$1,$B2:$AF2,$B$1:$AF$1)</f>
        <v>3900000</v>
      </c>
      <c r="AI2" s="6">
        <f t="shared" si="1"/>
        <v>3900000</v>
      </c>
      <c r="AJ2" s="6">
        <f t="shared" si="1"/>
        <v>3900000</v>
      </c>
      <c r="AK2" s="6">
        <f t="shared" si="1"/>
        <v>3900000</v>
      </c>
      <c r="AL2" s="6">
        <f t="shared" si="1"/>
        <v>3900000</v>
      </c>
      <c r="AM2" s="6">
        <f t="shared" si="1"/>
        <v>3900000</v>
      </c>
      <c r="AN2" s="6">
        <f t="shared" si="1"/>
        <v>3900000</v>
      </c>
      <c r="AO2" s="6">
        <f t="shared" si="1"/>
        <v>3900000</v>
      </c>
      <c r="AP2" s="6">
        <f t="shared" si="1"/>
        <v>3900000</v>
      </c>
      <c r="AQ2" s="6">
        <f t="shared" si="1"/>
        <v>3900000</v>
      </c>
      <c r="AR2" s="6">
        <f t="shared" si="1"/>
        <v>3900000</v>
      </c>
      <c r="AS2" s="6">
        <f t="shared" si="1"/>
        <v>3900000</v>
      </c>
      <c r="AT2" s="6">
        <f t="shared" si="1"/>
        <v>3900000</v>
      </c>
      <c r="AU2" s="6">
        <f t="shared" si="1"/>
        <v>3900000</v>
      </c>
      <c r="AV2" s="6">
        <f t="shared" si="1"/>
        <v>3900000</v>
      </c>
      <c r="AW2" s="6">
        <f t="shared" si="1"/>
        <v>3900000</v>
      </c>
      <c r="AX2" s="6">
        <f t="shared" si="1"/>
        <v>3900000</v>
      </c>
      <c r="AY2" s="6">
        <f t="shared" si="1"/>
        <v>3900000</v>
      </c>
      <c r="AZ2" s="6">
        <f t="shared" si="1"/>
        <v>3900000</v>
      </c>
    </row>
    <row r="3" spans="1:52" ht="14.25" customHeight="1" x14ac:dyDescent="0.35">
      <c r="A3" s="2" t="s">
        <v>20</v>
      </c>
      <c r="B3">
        <v>999999999</v>
      </c>
      <c r="C3">
        <v>999999999</v>
      </c>
      <c r="D3">
        <v>999999999</v>
      </c>
      <c r="E3">
        <v>999999999</v>
      </c>
      <c r="F3">
        <v>999999999</v>
      </c>
      <c r="G3">
        <v>999999999</v>
      </c>
      <c r="H3">
        <v>999999999</v>
      </c>
      <c r="I3">
        <v>999999999</v>
      </c>
      <c r="J3">
        <v>999999999</v>
      </c>
      <c r="K3">
        <v>999999999</v>
      </c>
      <c r="L3">
        <v>999999999</v>
      </c>
      <c r="M3">
        <v>999999999</v>
      </c>
      <c r="N3">
        <v>999999999</v>
      </c>
      <c r="O3">
        <v>999999999</v>
      </c>
      <c r="P3">
        <v>999999999</v>
      </c>
      <c r="Q3">
        <v>999999999</v>
      </c>
      <c r="R3">
        <v>999999999</v>
      </c>
      <c r="S3">
        <v>999999999</v>
      </c>
      <c r="T3">
        <v>999999999</v>
      </c>
      <c r="U3">
        <v>999999999</v>
      </c>
      <c r="V3">
        <v>999999999</v>
      </c>
      <c r="W3">
        <v>999999999</v>
      </c>
      <c r="X3">
        <v>999999999</v>
      </c>
      <c r="Y3">
        <v>999999999</v>
      </c>
      <c r="Z3">
        <v>999999999</v>
      </c>
      <c r="AA3">
        <v>999999999</v>
      </c>
      <c r="AB3">
        <v>999999999</v>
      </c>
      <c r="AC3">
        <v>999999999</v>
      </c>
      <c r="AD3">
        <v>999999999</v>
      </c>
      <c r="AE3">
        <v>999999999</v>
      </c>
      <c r="AF3">
        <v>999999999</v>
      </c>
      <c r="AG3">
        <v>999999999</v>
      </c>
      <c r="AH3">
        <v>999999999</v>
      </c>
      <c r="AI3">
        <v>999999999</v>
      </c>
      <c r="AJ3">
        <v>999999999</v>
      </c>
      <c r="AK3">
        <v>999999999</v>
      </c>
      <c r="AL3">
        <v>999999999</v>
      </c>
      <c r="AM3">
        <v>999999999</v>
      </c>
      <c r="AN3">
        <v>999999999</v>
      </c>
      <c r="AO3">
        <v>999999999</v>
      </c>
      <c r="AP3">
        <v>999999999</v>
      </c>
      <c r="AQ3">
        <v>999999999</v>
      </c>
      <c r="AR3">
        <v>999999999</v>
      </c>
      <c r="AS3">
        <v>999999999</v>
      </c>
      <c r="AT3">
        <v>999999999</v>
      </c>
      <c r="AU3">
        <v>999999999</v>
      </c>
      <c r="AV3">
        <v>999999999</v>
      </c>
      <c r="AW3">
        <v>999999999</v>
      </c>
      <c r="AX3">
        <v>999999999</v>
      </c>
      <c r="AY3">
        <v>999999999</v>
      </c>
      <c r="AZ3">
        <v>999999999</v>
      </c>
    </row>
    <row r="4" spans="1:52" ht="14.25" customHeight="1" x14ac:dyDescent="0.35">
      <c r="A4" s="2" t="s">
        <v>21</v>
      </c>
      <c r="B4">
        <v>999999999</v>
      </c>
      <c r="C4">
        <v>999999999</v>
      </c>
      <c r="D4">
        <v>999999999</v>
      </c>
      <c r="E4">
        <v>999999999</v>
      </c>
      <c r="F4">
        <v>999999999</v>
      </c>
      <c r="G4">
        <v>999999999</v>
      </c>
      <c r="H4">
        <v>999999999</v>
      </c>
      <c r="I4">
        <v>999999999</v>
      </c>
      <c r="J4">
        <v>999999999</v>
      </c>
      <c r="K4">
        <v>999999999</v>
      </c>
      <c r="L4">
        <v>999999999</v>
      </c>
      <c r="M4">
        <v>999999999</v>
      </c>
      <c r="N4">
        <v>999999999</v>
      </c>
      <c r="O4">
        <v>999999999</v>
      </c>
      <c r="P4">
        <v>999999999</v>
      </c>
      <c r="Q4">
        <v>999999999</v>
      </c>
      <c r="R4">
        <v>999999999</v>
      </c>
      <c r="S4">
        <v>999999999</v>
      </c>
      <c r="T4">
        <v>999999999</v>
      </c>
      <c r="U4">
        <v>999999999</v>
      </c>
      <c r="V4">
        <v>999999999</v>
      </c>
      <c r="W4">
        <v>999999999</v>
      </c>
      <c r="X4">
        <v>999999999</v>
      </c>
      <c r="Y4">
        <v>999999999</v>
      </c>
      <c r="Z4">
        <v>999999999</v>
      </c>
      <c r="AA4">
        <v>999999999</v>
      </c>
      <c r="AB4">
        <v>999999999</v>
      </c>
      <c r="AC4">
        <v>999999999</v>
      </c>
      <c r="AD4">
        <v>999999999</v>
      </c>
      <c r="AE4">
        <v>999999999</v>
      </c>
      <c r="AF4">
        <v>999999999</v>
      </c>
      <c r="AG4">
        <v>999999999</v>
      </c>
      <c r="AH4">
        <v>999999999</v>
      </c>
      <c r="AI4">
        <v>999999999</v>
      </c>
      <c r="AJ4">
        <v>999999999</v>
      </c>
      <c r="AK4">
        <v>999999999</v>
      </c>
      <c r="AL4">
        <v>999999999</v>
      </c>
      <c r="AM4">
        <v>999999999</v>
      </c>
      <c r="AN4">
        <v>999999999</v>
      </c>
      <c r="AO4">
        <v>999999999</v>
      </c>
      <c r="AP4">
        <v>999999999</v>
      </c>
      <c r="AQ4">
        <v>999999999</v>
      </c>
      <c r="AR4">
        <v>999999999</v>
      </c>
      <c r="AS4">
        <v>999999999</v>
      </c>
      <c r="AT4">
        <v>999999999</v>
      </c>
      <c r="AU4">
        <v>999999999</v>
      </c>
      <c r="AV4">
        <v>999999999</v>
      </c>
      <c r="AW4">
        <v>999999999</v>
      </c>
      <c r="AX4">
        <v>999999999</v>
      </c>
      <c r="AY4">
        <v>999999999</v>
      </c>
      <c r="AZ4">
        <v>999999999</v>
      </c>
    </row>
    <row r="5" spans="1:52" ht="14.25" customHeight="1" x14ac:dyDescent="0.35">
      <c r="A5" s="2" t="s">
        <v>22</v>
      </c>
      <c r="B5" s="6">
        <f>'NVP-Indonesia'!B90*'NVP-Indonesia'!$B$176</f>
        <v>2101448.2685786034</v>
      </c>
      <c r="C5" s="2">
        <f t="shared" ref="C5:AF5" si="2">$B5</f>
        <v>2101448.2685786034</v>
      </c>
      <c r="D5" s="2">
        <f t="shared" si="2"/>
        <v>2101448.2685786034</v>
      </c>
      <c r="E5" s="2">
        <f t="shared" si="2"/>
        <v>2101448.2685786034</v>
      </c>
      <c r="F5" s="2">
        <f t="shared" si="2"/>
        <v>2101448.2685786034</v>
      </c>
      <c r="G5" s="2">
        <f t="shared" si="2"/>
        <v>2101448.2685786034</v>
      </c>
      <c r="H5" s="2">
        <f t="shared" si="2"/>
        <v>2101448.2685786034</v>
      </c>
      <c r="I5" s="2">
        <f t="shared" si="2"/>
        <v>2101448.2685786034</v>
      </c>
      <c r="J5" s="2">
        <f t="shared" si="2"/>
        <v>2101448.2685786034</v>
      </c>
      <c r="K5" s="2">
        <f t="shared" si="2"/>
        <v>2101448.2685786034</v>
      </c>
      <c r="L5" s="2">
        <f t="shared" si="2"/>
        <v>2101448.2685786034</v>
      </c>
      <c r="M5" s="2">
        <f t="shared" si="2"/>
        <v>2101448.2685786034</v>
      </c>
      <c r="N5" s="2">
        <f t="shared" si="2"/>
        <v>2101448.2685786034</v>
      </c>
      <c r="O5" s="2">
        <f t="shared" si="2"/>
        <v>2101448.2685786034</v>
      </c>
      <c r="P5" s="2">
        <f t="shared" si="2"/>
        <v>2101448.2685786034</v>
      </c>
      <c r="Q5" s="2">
        <f t="shared" si="2"/>
        <v>2101448.2685786034</v>
      </c>
      <c r="R5" s="2">
        <f t="shared" si="2"/>
        <v>2101448.2685786034</v>
      </c>
      <c r="S5" s="2">
        <f t="shared" si="2"/>
        <v>2101448.2685786034</v>
      </c>
      <c r="T5" s="2">
        <f t="shared" si="2"/>
        <v>2101448.2685786034</v>
      </c>
      <c r="U5" s="2">
        <f t="shared" si="2"/>
        <v>2101448.2685786034</v>
      </c>
      <c r="V5" s="2">
        <f t="shared" si="2"/>
        <v>2101448.2685786034</v>
      </c>
      <c r="W5" s="2">
        <f t="shared" si="2"/>
        <v>2101448.2685786034</v>
      </c>
      <c r="X5" s="2">
        <f t="shared" si="2"/>
        <v>2101448.2685786034</v>
      </c>
      <c r="Y5" s="2">
        <f t="shared" si="2"/>
        <v>2101448.2685786034</v>
      </c>
      <c r="Z5" s="2">
        <f t="shared" si="2"/>
        <v>2101448.2685786034</v>
      </c>
      <c r="AA5" s="2">
        <f t="shared" si="2"/>
        <v>2101448.2685786034</v>
      </c>
      <c r="AB5" s="2">
        <f t="shared" si="2"/>
        <v>2101448.2685786034</v>
      </c>
      <c r="AC5" s="2">
        <f t="shared" si="2"/>
        <v>2101448.2685786034</v>
      </c>
      <c r="AD5" s="2">
        <f t="shared" si="2"/>
        <v>2101448.2685786034</v>
      </c>
      <c r="AE5" s="2">
        <f t="shared" si="2"/>
        <v>2101448.2685786034</v>
      </c>
      <c r="AF5" s="2">
        <f t="shared" si="2"/>
        <v>2101448.2685786034</v>
      </c>
      <c r="AG5" s="6">
        <f t="shared" ref="AG3:AV8" si="3">_xlfn.FORECAST.LINEAR(AG$1,$B5:$AF5,$B$1:$AF$1)</f>
        <v>2101448.2685786034</v>
      </c>
      <c r="AH5" s="6">
        <f t="shared" si="1"/>
        <v>2101448.2685786034</v>
      </c>
      <c r="AI5" s="6">
        <f t="shared" si="1"/>
        <v>2101448.2685786034</v>
      </c>
      <c r="AJ5" s="6">
        <f t="shared" si="1"/>
        <v>2101448.2685786034</v>
      </c>
      <c r="AK5" s="6">
        <f t="shared" si="1"/>
        <v>2101448.2685786034</v>
      </c>
      <c r="AL5" s="6">
        <f t="shared" si="1"/>
        <v>2101448.2685786034</v>
      </c>
      <c r="AM5" s="6">
        <f t="shared" si="1"/>
        <v>2101448.2685786034</v>
      </c>
      <c r="AN5" s="6">
        <f t="shared" si="1"/>
        <v>2101448.2685786034</v>
      </c>
      <c r="AO5" s="6">
        <f t="shared" si="1"/>
        <v>2101448.2685786034</v>
      </c>
      <c r="AP5" s="6">
        <f t="shared" si="1"/>
        <v>2101448.2685786034</v>
      </c>
      <c r="AQ5" s="6">
        <f t="shared" si="1"/>
        <v>2101448.2685786034</v>
      </c>
      <c r="AR5" s="6">
        <f t="shared" si="1"/>
        <v>2101448.2685786034</v>
      </c>
      <c r="AS5" s="6">
        <f t="shared" si="1"/>
        <v>2101448.2685786034</v>
      </c>
      <c r="AT5" s="6">
        <f t="shared" si="1"/>
        <v>2101448.2685786034</v>
      </c>
      <c r="AU5" s="6">
        <f t="shared" si="1"/>
        <v>2101448.2685786034</v>
      </c>
      <c r="AV5" s="6">
        <f t="shared" si="1"/>
        <v>2101448.2685786034</v>
      </c>
      <c r="AW5" s="6">
        <f t="shared" si="1"/>
        <v>2101448.2685786034</v>
      </c>
      <c r="AX5" s="6">
        <f t="shared" si="1"/>
        <v>2101448.2685786034</v>
      </c>
      <c r="AY5" s="6">
        <f t="shared" si="1"/>
        <v>2101448.2685786034</v>
      </c>
      <c r="AZ5" s="6">
        <f t="shared" si="1"/>
        <v>2101448.2685786034</v>
      </c>
    </row>
    <row r="6" spans="1:52" ht="14.25" customHeight="1" x14ac:dyDescent="0.35">
      <c r="A6" s="2" t="s">
        <v>23</v>
      </c>
      <c r="B6">
        <v>999999999</v>
      </c>
      <c r="C6">
        <v>999999999</v>
      </c>
      <c r="D6">
        <v>999999999</v>
      </c>
      <c r="E6">
        <v>999999999</v>
      </c>
      <c r="F6">
        <v>999999999</v>
      </c>
      <c r="G6">
        <v>999999999</v>
      </c>
      <c r="H6">
        <v>999999999</v>
      </c>
      <c r="I6">
        <v>999999999</v>
      </c>
      <c r="J6">
        <v>999999999</v>
      </c>
      <c r="K6">
        <v>999999999</v>
      </c>
      <c r="L6">
        <v>999999999</v>
      </c>
      <c r="M6">
        <v>999999999</v>
      </c>
      <c r="N6">
        <v>999999999</v>
      </c>
      <c r="O6">
        <v>999999999</v>
      </c>
      <c r="P6">
        <v>999999999</v>
      </c>
      <c r="Q6">
        <v>999999999</v>
      </c>
      <c r="R6">
        <v>999999999</v>
      </c>
      <c r="S6">
        <v>999999999</v>
      </c>
      <c r="T6">
        <v>999999999</v>
      </c>
      <c r="U6">
        <v>999999999</v>
      </c>
      <c r="V6">
        <v>999999999</v>
      </c>
      <c r="W6">
        <v>999999999</v>
      </c>
      <c r="X6">
        <v>999999999</v>
      </c>
      <c r="Y6">
        <v>999999999</v>
      </c>
      <c r="Z6">
        <v>999999999</v>
      </c>
      <c r="AA6">
        <v>999999999</v>
      </c>
      <c r="AB6">
        <v>999999999</v>
      </c>
      <c r="AC6">
        <v>999999999</v>
      </c>
      <c r="AD6">
        <v>999999999</v>
      </c>
      <c r="AE6">
        <v>999999999</v>
      </c>
      <c r="AF6">
        <v>999999999</v>
      </c>
      <c r="AG6">
        <v>999999999</v>
      </c>
      <c r="AH6">
        <v>999999999</v>
      </c>
      <c r="AI6">
        <v>999999999</v>
      </c>
      <c r="AJ6">
        <v>999999999</v>
      </c>
      <c r="AK6">
        <v>999999999</v>
      </c>
      <c r="AL6">
        <v>999999999</v>
      </c>
      <c r="AM6">
        <v>999999999</v>
      </c>
      <c r="AN6">
        <v>999999999</v>
      </c>
      <c r="AO6">
        <v>999999999</v>
      </c>
      <c r="AP6">
        <v>999999999</v>
      </c>
      <c r="AQ6">
        <v>999999999</v>
      </c>
      <c r="AR6">
        <v>999999999</v>
      </c>
      <c r="AS6">
        <v>999999999</v>
      </c>
      <c r="AT6">
        <v>999999999</v>
      </c>
      <c r="AU6">
        <v>999999999</v>
      </c>
      <c r="AV6">
        <v>999999999</v>
      </c>
      <c r="AW6">
        <v>999999999</v>
      </c>
      <c r="AX6">
        <v>999999999</v>
      </c>
      <c r="AY6">
        <v>999999999</v>
      </c>
      <c r="AZ6">
        <v>999999999</v>
      </c>
    </row>
    <row r="7" spans="1:52" ht="14.25" customHeight="1" x14ac:dyDescent="0.35">
      <c r="A7" s="2" t="s">
        <v>24</v>
      </c>
      <c r="B7">
        <v>999999999</v>
      </c>
      <c r="C7">
        <v>999999999</v>
      </c>
      <c r="D7">
        <v>999999999</v>
      </c>
      <c r="E7">
        <v>999999999</v>
      </c>
      <c r="F7">
        <v>999999999</v>
      </c>
      <c r="G7">
        <v>999999999</v>
      </c>
      <c r="H7">
        <v>999999999</v>
      </c>
      <c r="I7">
        <v>999999999</v>
      </c>
      <c r="J7">
        <v>999999999</v>
      </c>
      <c r="K7">
        <v>999999999</v>
      </c>
      <c r="L7">
        <v>999999999</v>
      </c>
      <c r="M7">
        <v>999999999</v>
      </c>
      <c r="N7">
        <v>999999999</v>
      </c>
      <c r="O7">
        <v>999999999</v>
      </c>
      <c r="P7">
        <v>999999999</v>
      </c>
      <c r="Q7">
        <v>999999999</v>
      </c>
      <c r="R7">
        <v>999999999</v>
      </c>
      <c r="S7">
        <v>999999999</v>
      </c>
      <c r="T7">
        <v>999999999</v>
      </c>
      <c r="U7">
        <v>999999999</v>
      </c>
      <c r="V7">
        <v>999999999</v>
      </c>
      <c r="W7">
        <v>999999999</v>
      </c>
      <c r="X7">
        <v>999999999</v>
      </c>
      <c r="Y7">
        <v>999999999</v>
      </c>
      <c r="Z7">
        <v>999999999</v>
      </c>
      <c r="AA7">
        <v>999999999</v>
      </c>
      <c r="AB7">
        <v>999999999</v>
      </c>
      <c r="AC7">
        <v>999999999</v>
      </c>
      <c r="AD7">
        <v>999999999</v>
      </c>
      <c r="AE7">
        <v>999999999</v>
      </c>
      <c r="AF7">
        <v>999999999</v>
      </c>
      <c r="AG7">
        <v>999999999</v>
      </c>
      <c r="AH7">
        <v>999999999</v>
      </c>
      <c r="AI7">
        <v>999999999</v>
      </c>
      <c r="AJ7">
        <v>999999999</v>
      </c>
      <c r="AK7">
        <v>999999999</v>
      </c>
      <c r="AL7">
        <v>999999999</v>
      </c>
      <c r="AM7">
        <v>999999999</v>
      </c>
      <c r="AN7">
        <v>999999999</v>
      </c>
      <c r="AO7">
        <v>999999999</v>
      </c>
      <c r="AP7">
        <v>999999999</v>
      </c>
      <c r="AQ7">
        <v>999999999</v>
      </c>
      <c r="AR7">
        <v>999999999</v>
      </c>
      <c r="AS7">
        <v>999999999</v>
      </c>
      <c r="AT7">
        <v>999999999</v>
      </c>
      <c r="AU7">
        <v>999999999</v>
      </c>
      <c r="AV7">
        <v>999999999</v>
      </c>
      <c r="AW7">
        <v>999999999</v>
      </c>
      <c r="AX7">
        <v>999999999</v>
      </c>
      <c r="AY7">
        <v>999999999</v>
      </c>
      <c r="AZ7">
        <v>999999999</v>
      </c>
    </row>
    <row r="8" spans="1:52" ht="14.25" customHeight="1" x14ac:dyDescent="0.35">
      <c r="A8" s="2" t="s">
        <v>25</v>
      </c>
      <c r="B8" s="6">
        <f>'NVP-Indonesia'!B93*'NVP-Indonesia'!$B$176</f>
        <v>6514489.6325936709</v>
      </c>
      <c r="C8" s="6">
        <f>$B$8*('BNVP-HDVs-frgt'!C8/'BNVP-HDVs-frgt'!$B$8)</f>
        <v>6513072.7540213289</v>
      </c>
      <c r="D8" s="6">
        <f>$B$8*('BNVP-HDVs-frgt'!D8/'BNVP-HDVs-frgt'!$B$8)</f>
        <v>6372195.939572881</v>
      </c>
      <c r="E8" s="6">
        <f>$B$8*('BNVP-HDVs-frgt'!E8/'BNVP-HDVs-frgt'!$B$8)</f>
        <v>6248180.7660839688</v>
      </c>
      <c r="F8" s="6">
        <f>$B$8*('BNVP-HDVs-frgt'!F8/'BNVP-HDVs-frgt'!$B$8)</f>
        <v>6122912.0950719565</v>
      </c>
      <c r="G8" s="6">
        <f>$B$8*('BNVP-HDVs-frgt'!G8/'BNVP-HDVs-frgt'!$B$8)</f>
        <v>5993251.2843833696</v>
      </c>
      <c r="H8" s="6">
        <f>$B$8*('BNVP-HDVs-frgt'!H8/'BNVP-HDVs-frgt'!$B$8)</f>
        <v>5879342.9507591361</v>
      </c>
      <c r="I8" s="6">
        <f>$B$8*('BNVP-HDVs-frgt'!I8/'BNVP-HDVs-frgt'!$B$8)</f>
        <v>5774513.0288277296</v>
      </c>
      <c r="J8" s="6">
        <f>$B$8*('BNVP-HDVs-frgt'!J8/'BNVP-HDVs-frgt'!$B$8)</f>
        <v>5674522.6501584221</v>
      </c>
      <c r="K8" s="6">
        <f>$B$8*('BNVP-HDVs-frgt'!K8/'BNVP-HDVs-frgt'!$B$8)</f>
        <v>5579248.4683015384</v>
      </c>
      <c r="L8" s="6">
        <f>$B$8*('BNVP-HDVs-frgt'!L8/'BNVP-HDVs-frgt'!$B$8)</f>
        <v>5488420.5634359466</v>
      </c>
      <c r="M8" s="6">
        <f>$B$8*('BNVP-HDVs-frgt'!M8/'BNVP-HDVs-frgt'!$B$8)</f>
        <v>5401965.8340241592</v>
      </c>
      <c r="N8" s="6">
        <f>$B$8*('BNVP-HDVs-frgt'!N8/'BNVP-HDVs-frgt'!$B$8)</f>
        <v>5319175.1910930136</v>
      </c>
      <c r="O8" s="6">
        <f>$B$8*('BNVP-HDVs-frgt'!O8/'BNVP-HDVs-frgt'!$B$8)</f>
        <v>5240827.2433663197</v>
      </c>
      <c r="P8" s="6">
        <f>$B$8*('BNVP-HDVs-frgt'!P8/'BNVP-HDVs-frgt'!$B$8)</f>
        <v>5163931.2879726924</v>
      </c>
      <c r="Q8" s="6">
        <f>$B$8*('BNVP-HDVs-frgt'!Q8/'BNVP-HDVs-frgt'!$B$8)</f>
        <v>5090202.0499831205</v>
      </c>
      <c r="R8" s="6">
        <f>$B$8*('BNVP-HDVs-frgt'!R8/'BNVP-HDVs-frgt'!$B$8)</f>
        <v>5019976.6914386638</v>
      </c>
      <c r="S8" s="6">
        <f>$B$8*('BNVP-HDVs-frgt'!S8/'BNVP-HDVs-frgt'!$B$8)</f>
        <v>4953001.0994474543</v>
      </c>
      <c r="T8" s="6">
        <f>$B$8*('BNVP-HDVs-frgt'!T8/'BNVP-HDVs-frgt'!$B$8)</f>
        <v>4889137.9097867031</v>
      </c>
      <c r="U8" s="6">
        <f>$B$8*('BNVP-HDVs-frgt'!U8/'BNVP-HDVs-frgt'!$B$8)</f>
        <v>4828306.2537117125</v>
      </c>
      <c r="V8" s="6">
        <f>$B$8*('BNVP-HDVs-frgt'!V8/'BNVP-HDVs-frgt'!$B$8)</f>
        <v>4770157.4495520694</v>
      </c>
      <c r="W8" s="6">
        <f>$B$8*('BNVP-HDVs-frgt'!W8/'BNVP-HDVs-frgt'!$B$8)</f>
        <v>4714810.1016019657</v>
      </c>
      <c r="X8" s="6">
        <f>$B$8*('BNVP-HDVs-frgt'!X8/'BNVP-HDVs-frgt'!$B$8)</f>
        <v>4662020.143261658</v>
      </c>
      <c r="Y8" s="6">
        <f>$B$8*('BNVP-HDVs-frgt'!Y8/'BNVP-HDVs-frgt'!$B$8)</f>
        <v>4611673.9044147478</v>
      </c>
      <c r="Z8" s="6">
        <f>$B$8*('BNVP-HDVs-frgt'!Z8/'BNVP-HDVs-frgt'!$B$8)</f>
        <v>4563705.7150028246</v>
      </c>
      <c r="AA8" s="6">
        <f>$B$8*('BNVP-HDVs-frgt'!AA8/'BNVP-HDVs-frgt'!$B$8)</f>
        <v>4517982.073352457</v>
      </c>
      <c r="AB8" s="6">
        <f>$B$8*('BNVP-HDVs-frgt'!AB8/'BNVP-HDVs-frgt'!$B$8)</f>
        <v>4474372.2400018563</v>
      </c>
      <c r="AC8" s="6">
        <f>$B$8*('BNVP-HDVs-frgt'!AC8/'BNVP-HDVs-frgt'!$B$8)</f>
        <v>4432830.5605181456</v>
      </c>
      <c r="AD8" s="6">
        <f>$B$8*('BNVP-HDVs-frgt'!AD8/'BNVP-HDVs-frgt'!$B$8)</f>
        <v>4393207.6853689849</v>
      </c>
      <c r="AE8" s="6">
        <f>$B$8*('BNVP-HDVs-frgt'!AE8/'BNVP-HDVs-frgt'!$B$8)</f>
        <v>4355477.0918599637</v>
      </c>
      <c r="AF8" s="6">
        <f>$B$8*('BNVP-HDVs-frgt'!AF8/'BNVP-HDVs-frgt'!$B$8)</f>
        <v>4317782.8399179755</v>
      </c>
      <c r="AG8" s="6">
        <f t="shared" si="3"/>
        <v>4029261.7907224</v>
      </c>
      <c r="AH8" s="6">
        <f t="shared" si="1"/>
        <v>3954718.2867173851</v>
      </c>
      <c r="AI8" s="6">
        <f t="shared" si="1"/>
        <v>3880174.7827123404</v>
      </c>
      <c r="AJ8" s="6">
        <f t="shared" si="1"/>
        <v>3805631.2787073255</v>
      </c>
      <c r="AK8" s="6">
        <f t="shared" si="1"/>
        <v>3731087.7747023106</v>
      </c>
      <c r="AL8" s="6">
        <f t="shared" si="1"/>
        <v>3656544.2706972659</v>
      </c>
      <c r="AM8" s="6">
        <f t="shared" si="1"/>
        <v>3582000.766692251</v>
      </c>
      <c r="AN8" s="6">
        <f t="shared" si="1"/>
        <v>3507457.2626872361</v>
      </c>
      <c r="AO8" s="6">
        <f t="shared" si="1"/>
        <v>3432913.7586821914</v>
      </c>
      <c r="AP8" s="6">
        <f t="shared" si="1"/>
        <v>3358370.2546771765</v>
      </c>
      <c r="AQ8" s="6">
        <f t="shared" si="1"/>
        <v>3283826.7506721616</v>
      </c>
      <c r="AR8" s="6">
        <f t="shared" si="1"/>
        <v>3209283.2466671467</v>
      </c>
      <c r="AS8" s="6">
        <f t="shared" si="1"/>
        <v>3134739.742662102</v>
      </c>
      <c r="AT8" s="6">
        <f t="shared" si="1"/>
        <v>3060196.2386570871</v>
      </c>
      <c r="AU8" s="6">
        <f t="shared" si="1"/>
        <v>2985652.7346520722</v>
      </c>
      <c r="AV8" s="6">
        <f t="shared" si="1"/>
        <v>2911109.2306470275</v>
      </c>
      <c r="AW8" s="6">
        <f t="shared" si="1"/>
        <v>2836565.7266420126</v>
      </c>
      <c r="AX8" s="6">
        <f t="shared" si="1"/>
        <v>2762022.2226369977</v>
      </c>
      <c r="AY8" s="6">
        <f t="shared" si="1"/>
        <v>2687478.718631953</v>
      </c>
      <c r="AZ8" s="6">
        <f t="shared" si="1"/>
        <v>2612935.2146269381</v>
      </c>
    </row>
    <row r="9" spans="1:52" ht="14.25" customHeight="1" x14ac:dyDescent="0.35"/>
    <row r="10" spans="1:52" ht="14.25" customHeight="1" x14ac:dyDescent="0.35"/>
    <row r="11" spans="1:52" ht="14.25" customHeight="1" x14ac:dyDescent="0.35"/>
    <row r="12" spans="1:52" ht="14.25" customHeight="1" x14ac:dyDescent="0.35"/>
    <row r="13" spans="1:52" ht="14.25" customHeight="1" x14ac:dyDescent="0.35"/>
    <row r="14" spans="1:52" ht="14.25" customHeight="1" x14ac:dyDescent="0.35"/>
    <row r="15" spans="1:52" ht="14.25" customHeight="1" x14ac:dyDescent="0.35"/>
    <row r="16" spans="1:52"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rgb="FF1F497D"/>
  </sheetPr>
  <dimension ref="A1:AZ1000"/>
  <sheetViews>
    <sheetView workbookViewId="0">
      <selection activeCell="B3" sqref="B3:AZ3"/>
    </sheetView>
  </sheetViews>
  <sheetFormatPr defaultColWidth="14.453125" defaultRowHeight="15" customHeight="1" x14ac:dyDescent="0.35"/>
  <cols>
    <col min="1" max="1" width="24.453125" customWidth="1"/>
    <col min="2" max="36" width="8.81640625" customWidth="1"/>
  </cols>
  <sheetData>
    <row r="1" spans="1:52" ht="14.25" customHeight="1" x14ac:dyDescent="0.35">
      <c r="A1" s="1" t="s">
        <v>18</v>
      </c>
      <c r="B1" s="9">
        <v>2020</v>
      </c>
      <c r="C1" s="9">
        <v>2021</v>
      </c>
      <c r="D1" s="9">
        <v>2022</v>
      </c>
      <c r="E1" s="9">
        <v>2023</v>
      </c>
      <c r="F1" s="9">
        <v>2024</v>
      </c>
      <c r="G1" s="9">
        <v>2025</v>
      </c>
      <c r="H1" s="9">
        <v>2026</v>
      </c>
      <c r="I1" s="9">
        <v>2027</v>
      </c>
      <c r="J1" s="9">
        <v>2028</v>
      </c>
      <c r="K1" s="9">
        <v>2029</v>
      </c>
      <c r="L1" s="9">
        <v>2030</v>
      </c>
      <c r="M1" s="9">
        <v>2031</v>
      </c>
      <c r="N1" s="9">
        <v>2032</v>
      </c>
      <c r="O1" s="9">
        <v>2033</v>
      </c>
      <c r="P1" s="9">
        <v>2034</v>
      </c>
      <c r="Q1" s="9">
        <v>2035</v>
      </c>
      <c r="R1" s="9">
        <v>2036</v>
      </c>
      <c r="S1" s="9">
        <v>2037</v>
      </c>
      <c r="T1" s="9">
        <v>2038</v>
      </c>
      <c r="U1" s="9">
        <v>2039</v>
      </c>
      <c r="V1" s="9">
        <v>2040</v>
      </c>
      <c r="W1" s="9">
        <v>2041</v>
      </c>
      <c r="X1" s="9">
        <v>2042</v>
      </c>
      <c r="Y1" s="9">
        <v>2043</v>
      </c>
      <c r="Z1" s="9">
        <v>2044</v>
      </c>
      <c r="AA1" s="9">
        <v>2045</v>
      </c>
      <c r="AB1" s="9">
        <v>2046</v>
      </c>
      <c r="AC1" s="9">
        <v>2047</v>
      </c>
      <c r="AD1" s="9">
        <v>2048</v>
      </c>
      <c r="AE1" s="9">
        <v>2049</v>
      </c>
      <c r="AF1" s="9">
        <v>2050</v>
      </c>
      <c r="AG1" s="9">
        <v>2051</v>
      </c>
      <c r="AH1" s="9">
        <v>2052</v>
      </c>
      <c r="AI1" s="9">
        <v>2053</v>
      </c>
      <c r="AJ1" s="9">
        <v>2054</v>
      </c>
      <c r="AK1" s="9">
        <v>2055</v>
      </c>
      <c r="AL1" s="9">
        <v>2056</v>
      </c>
      <c r="AM1" s="9">
        <v>2057</v>
      </c>
      <c r="AN1" s="9">
        <v>2058</v>
      </c>
      <c r="AO1" s="9">
        <v>2059</v>
      </c>
      <c r="AP1" s="9">
        <v>2060</v>
      </c>
      <c r="AQ1" s="9">
        <v>2061</v>
      </c>
      <c r="AR1" s="9">
        <v>2062</v>
      </c>
      <c r="AS1" s="9">
        <v>2063</v>
      </c>
      <c r="AT1" s="9">
        <v>2064</v>
      </c>
      <c r="AU1" s="9">
        <v>2065</v>
      </c>
      <c r="AV1" s="9">
        <v>2066</v>
      </c>
      <c r="AW1" s="9">
        <v>2067</v>
      </c>
      <c r="AX1" s="9">
        <v>2068</v>
      </c>
      <c r="AY1" s="9">
        <v>2069</v>
      </c>
      <c r="AZ1" s="9">
        <v>2070</v>
      </c>
    </row>
    <row r="2" spans="1:52" ht="14.25" customHeight="1" x14ac:dyDescent="0.35">
      <c r="A2" s="2" t="s">
        <v>19</v>
      </c>
      <c r="B2" s="6">
        <f>'NVP-Indonesia'!B97*'NVP-Indonesia'!$B$176</f>
        <v>43256.264999999999</v>
      </c>
      <c r="C2" s="6">
        <f>B2</f>
        <v>43256.264999999999</v>
      </c>
      <c r="D2" s="6">
        <f t="shared" ref="D2:AF2" si="0">C2</f>
        <v>43256.264999999999</v>
      </c>
      <c r="E2" s="6">
        <f t="shared" si="0"/>
        <v>43256.264999999999</v>
      </c>
      <c r="F2" s="6">
        <f t="shared" si="0"/>
        <v>43256.264999999999</v>
      </c>
      <c r="G2" s="6">
        <f t="shared" si="0"/>
        <v>43256.264999999999</v>
      </c>
      <c r="H2" s="6">
        <f t="shared" si="0"/>
        <v>43256.264999999999</v>
      </c>
      <c r="I2" s="6">
        <f t="shared" si="0"/>
        <v>43256.264999999999</v>
      </c>
      <c r="J2" s="6">
        <f t="shared" si="0"/>
        <v>43256.264999999999</v>
      </c>
      <c r="K2" s="6">
        <f t="shared" si="0"/>
        <v>43256.264999999999</v>
      </c>
      <c r="L2" s="6">
        <f t="shared" si="0"/>
        <v>43256.264999999999</v>
      </c>
      <c r="M2" s="6">
        <f t="shared" si="0"/>
        <v>43256.264999999999</v>
      </c>
      <c r="N2" s="6">
        <f t="shared" si="0"/>
        <v>43256.264999999999</v>
      </c>
      <c r="O2" s="6">
        <f t="shared" si="0"/>
        <v>43256.264999999999</v>
      </c>
      <c r="P2" s="6">
        <f t="shared" si="0"/>
        <v>43256.264999999999</v>
      </c>
      <c r="Q2" s="6">
        <f t="shared" si="0"/>
        <v>43256.264999999999</v>
      </c>
      <c r="R2" s="6">
        <f t="shared" si="0"/>
        <v>43256.264999999999</v>
      </c>
      <c r="S2" s="6">
        <f t="shared" si="0"/>
        <v>43256.264999999999</v>
      </c>
      <c r="T2" s="6">
        <f t="shared" si="0"/>
        <v>43256.264999999999</v>
      </c>
      <c r="U2" s="6">
        <f t="shared" si="0"/>
        <v>43256.264999999999</v>
      </c>
      <c r="V2" s="6">
        <f t="shared" si="0"/>
        <v>43256.264999999999</v>
      </c>
      <c r="W2" s="6">
        <f t="shared" si="0"/>
        <v>43256.264999999999</v>
      </c>
      <c r="X2" s="6">
        <f t="shared" si="0"/>
        <v>43256.264999999999</v>
      </c>
      <c r="Y2" s="6">
        <f t="shared" si="0"/>
        <v>43256.264999999999</v>
      </c>
      <c r="Z2" s="6">
        <f t="shared" si="0"/>
        <v>43256.264999999999</v>
      </c>
      <c r="AA2" s="6">
        <f t="shared" si="0"/>
        <v>43256.264999999999</v>
      </c>
      <c r="AB2" s="6">
        <f t="shared" si="0"/>
        <v>43256.264999999999</v>
      </c>
      <c r="AC2" s="6">
        <f t="shared" si="0"/>
        <v>43256.264999999999</v>
      </c>
      <c r="AD2" s="6">
        <f t="shared" si="0"/>
        <v>43256.264999999999</v>
      </c>
      <c r="AE2" s="6">
        <f t="shared" si="0"/>
        <v>43256.264999999999</v>
      </c>
      <c r="AF2" s="6">
        <f t="shared" si="0"/>
        <v>43256.264999999999</v>
      </c>
      <c r="AG2" s="6">
        <f>_xlfn.FORECAST.LINEAR(AG$1,$B2:$AF2,$B$1:$AF$1)</f>
        <v>43256.264999999985</v>
      </c>
      <c r="AH2" s="6">
        <f t="shared" ref="AH2:AZ8" si="1">_xlfn.FORECAST.LINEAR(AH$1,$B2:$AF2,$B$1:$AF$1)</f>
        <v>43256.264999999985</v>
      </c>
      <c r="AI2" s="6">
        <f t="shared" si="1"/>
        <v>43256.264999999985</v>
      </c>
      <c r="AJ2" s="6">
        <f t="shared" si="1"/>
        <v>43256.264999999985</v>
      </c>
      <c r="AK2" s="6">
        <f t="shared" si="1"/>
        <v>43256.264999999985</v>
      </c>
      <c r="AL2" s="6">
        <f t="shared" si="1"/>
        <v>43256.264999999985</v>
      </c>
      <c r="AM2" s="6">
        <f t="shared" si="1"/>
        <v>43256.264999999985</v>
      </c>
      <c r="AN2" s="6">
        <f t="shared" si="1"/>
        <v>43256.264999999985</v>
      </c>
      <c r="AO2" s="6">
        <f t="shared" si="1"/>
        <v>43256.264999999985</v>
      </c>
      <c r="AP2" s="6">
        <f t="shared" si="1"/>
        <v>43256.264999999985</v>
      </c>
      <c r="AQ2" s="6">
        <f t="shared" si="1"/>
        <v>43256.264999999985</v>
      </c>
      <c r="AR2" s="6">
        <f t="shared" si="1"/>
        <v>43256.264999999985</v>
      </c>
      <c r="AS2" s="6">
        <f t="shared" si="1"/>
        <v>43256.264999999985</v>
      </c>
      <c r="AT2" s="6">
        <f t="shared" si="1"/>
        <v>43256.264999999985</v>
      </c>
      <c r="AU2" s="6">
        <f t="shared" si="1"/>
        <v>43256.264999999985</v>
      </c>
      <c r="AV2" s="6">
        <f t="shared" si="1"/>
        <v>43256.264999999985</v>
      </c>
      <c r="AW2" s="6">
        <f t="shared" si="1"/>
        <v>43256.264999999985</v>
      </c>
      <c r="AX2" s="6">
        <f t="shared" si="1"/>
        <v>43256.264999999985</v>
      </c>
      <c r="AY2" s="6">
        <f t="shared" si="1"/>
        <v>43256.264999999985</v>
      </c>
      <c r="AZ2" s="6">
        <f t="shared" si="1"/>
        <v>43256.264999999985</v>
      </c>
    </row>
    <row r="3" spans="1:52" ht="14.25" customHeight="1" x14ac:dyDescent="0.35">
      <c r="A3" s="2" t="s">
        <v>20</v>
      </c>
      <c r="B3">
        <v>999999999</v>
      </c>
      <c r="C3">
        <v>999999999</v>
      </c>
      <c r="D3">
        <v>999999999</v>
      </c>
      <c r="E3">
        <v>999999999</v>
      </c>
      <c r="F3">
        <v>999999999</v>
      </c>
      <c r="G3">
        <v>999999999</v>
      </c>
      <c r="H3">
        <v>999999999</v>
      </c>
      <c r="I3">
        <v>999999999</v>
      </c>
      <c r="J3">
        <v>999999999</v>
      </c>
      <c r="K3">
        <v>999999999</v>
      </c>
      <c r="L3">
        <v>999999999</v>
      </c>
      <c r="M3">
        <v>999999999</v>
      </c>
      <c r="N3">
        <v>999999999</v>
      </c>
      <c r="O3">
        <v>999999999</v>
      </c>
      <c r="P3">
        <v>999999999</v>
      </c>
      <c r="Q3">
        <v>999999999</v>
      </c>
      <c r="R3">
        <v>999999999</v>
      </c>
      <c r="S3">
        <v>999999999</v>
      </c>
      <c r="T3">
        <v>999999999</v>
      </c>
      <c r="U3">
        <v>999999999</v>
      </c>
      <c r="V3">
        <v>999999999</v>
      </c>
      <c r="W3">
        <v>999999999</v>
      </c>
      <c r="X3">
        <v>999999999</v>
      </c>
      <c r="Y3">
        <v>999999999</v>
      </c>
      <c r="Z3">
        <v>999999999</v>
      </c>
      <c r="AA3">
        <v>999999999</v>
      </c>
      <c r="AB3">
        <v>999999999</v>
      </c>
      <c r="AC3">
        <v>999999999</v>
      </c>
      <c r="AD3">
        <v>999999999</v>
      </c>
      <c r="AE3">
        <v>999999999</v>
      </c>
      <c r="AF3">
        <v>999999999</v>
      </c>
      <c r="AG3">
        <v>999999999</v>
      </c>
      <c r="AH3">
        <v>999999999</v>
      </c>
      <c r="AI3">
        <v>999999999</v>
      </c>
      <c r="AJ3">
        <v>999999999</v>
      </c>
      <c r="AK3">
        <v>999999999</v>
      </c>
      <c r="AL3">
        <v>999999999</v>
      </c>
      <c r="AM3">
        <v>999999999</v>
      </c>
      <c r="AN3">
        <v>999999999</v>
      </c>
      <c r="AO3">
        <v>999999999</v>
      </c>
      <c r="AP3">
        <v>999999999</v>
      </c>
      <c r="AQ3">
        <v>999999999</v>
      </c>
      <c r="AR3">
        <v>999999999</v>
      </c>
      <c r="AS3">
        <v>999999999</v>
      </c>
      <c r="AT3">
        <v>999999999</v>
      </c>
      <c r="AU3">
        <v>999999999</v>
      </c>
      <c r="AV3">
        <v>999999999</v>
      </c>
      <c r="AW3">
        <v>999999999</v>
      </c>
      <c r="AX3">
        <v>999999999</v>
      </c>
      <c r="AY3">
        <v>999999999</v>
      </c>
      <c r="AZ3">
        <v>999999999</v>
      </c>
    </row>
    <row r="4" spans="1:52" ht="14.25" customHeight="1" x14ac:dyDescent="0.35">
      <c r="A4" s="2" t="s">
        <v>21</v>
      </c>
      <c r="B4" s="6">
        <f>'NVP-Indonesia'!B99*'NVP-Indonesia'!$B$176</f>
        <v>23400</v>
      </c>
      <c r="C4" s="2">
        <f t="shared" ref="C4:AF4" si="2">C$5</f>
        <v>23400</v>
      </c>
      <c r="D4" s="2">
        <f t="shared" si="2"/>
        <v>23400</v>
      </c>
      <c r="E4" s="2">
        <f t="shared" si="2"/>
        <v>23400</v>
      </c>
      <c r="F4" s="2">
        <f t="shared" si="2"/>
        <v>23400</v>
      </c>
      <c r="G4" s="2">
        <f t="shared" si="2"/>
        <v>23400</v>
      </c>
      <c r="H4" s="2">
        <f t="shared" si="2"/>
        <v>23400</v>
      </c>
      <c r="I4" s="2">
        <f t="shared" si="2"/>
        <v>23400</v>
      </c>
      <c r="J4" s="2">
        <f t="shared" si="2"/>
        <v>23400</v>
      </c>
      <c r="K4" s="2">
        <f t="shared" si="2"/>
        <v>23400</v>
      </c>
      <c r="L4" s="2">
        <f t="shared" si="2"/>
        <v>23400</v>
      </c>
      <c r="M4" s="2">
        <f t="shared" si="2"/>
        <v>23400</v>
      </c>
      <c r="N4" s="2">
        <f t="shared" si="2"/>
        <v>23400</v>
      </c>
      <c r="O4" s="2">
        <f t="shared" si="2"/>
        <v>23400</v>
      </c>
      <c r="P4" s="2">
        <f t="shared" si="2"/>
        <v>23400</v>
      </c>
      <c r="Q4" s="2">
        <f t="shared" si="2"/>
        <v>23400</v>
      </c>
      <c r="R4" s="2">
        <f t="shared" si="2"/>
        <v>23400</v>
      </c>
      <c r="S4" s="2">
        <f t="shared" si="2"/>
        <v>23400</v>
      </c>
      <c r="T4" s="2">
        <f t="shared" si="2"/>
        <v>23400</v>
      </c>
      <c r="U4" s="2">
        <f t="shared" si="2"/>
        <v>23400</v>
      </c>
      <c r="V4" s="2">
        <f t="shared" si="2"/>
        <v>23400</v>
      </c>
      <c r="W4" s="2">
        <f t="shared" si="2"/>
        <v>23400</v>
      </c>
      <c r="X4" s="2">
        <f t="shared" si="2"/>
        <v>23400</v>
      </c>
      <c r="Y4" s="2">
        <f t="shared" si="2"/>
        <v>23400</v>
      </c>
      <c r="Z4" s="2">
        <f t="shared" si="2"/>
        <v>23400</v>
      </c>
      <c r="AA4" s="2">
        <f t="shared" si="2"/>
        <v>23400</v>
      </c>
      <c r="AB4" s="2">
        <f t="shared" si="2"/>
        <v>23400</v>
      </c>
      <c r="AC4" s="2">
        <f t="shared" si="2"/>
        <v>23400</v>
      </c>
      <c r="AD4" s="2">
        <f t="shared" si="2"/>
        <v>23400</v>
      </c>
      <c r="AE4" s="2">
        <f t="shared" si="2"/>
        <v>23400</v>
      </c>
      <c r="AF4" s="2">
        <f t="shared" si="2"/>
        <v>23400</v>
      </c>
      <c r="AG4" s="6">
        <f t="shared" ref="AG3:AV8" si="3">_xlfn.FORECAST.LINEAR(AG$1,$B4:$AF4,$B$1:$AF$1)</f>
        <v>23400</v>
      </c>
      <c r="AH4" s="6">
        <f t="shared" si="1"/>
        <v>23400</v>
      </c>
      <c r="AI4" s="6">
        <f t="shared" si="1"/>
        <v>23400</v>
      </c>
      <c r="AJ4" s="6">
        <f t="shared" si="1"/>
        <v>23400</v>
      </c>
      <c r="AK4" s="6">
        <f t="shared" si="1"/>
        <v>23400</v>
      </c>
      <c r="AL4" s="6">
        <f t="shared" si="1"/>
        <v>23400</v>
      </c>
      <c r="AM4" s="6">
        <f t="shared" si="1"/>
        <v>23400</v>
      </c>
      <c r="AN4" s="6">
        <f t="shared" si="1"/>
        <v>23400</v>
      </c>
      <c r="AO4" s="6">
        <f t="shared" si="1"/>
        <v>23400</v>
      </c>
      <c r="AP4" s="6">
        <f t="shared" si="1"/>
        <v>23400</v>
      </c>
      <c r="AQ4" s="6">
        <f t="shared" si="1"/>
        <v>23400</v>
      </c>
      <c r="AR4" s="6">
        <f t="shared" si="1"/>
        <v>23400</v>
      </c>
      <c r="AS4" s="6">
        <f t="shared" si="1"/>
        <v>23400</v>
      </c>
      <c r="AT4" s="6">
        <f t="shared" si="1"/>
        <v>23400</v>
      </c>
      <c r="AU4" s="6">
        <f t="shared" si="1"/>
        <v>23400</v>
      </c>
      <c r="AV4" s="6">
        <f t="shared" si="1"/>
        <v>23400</v>
      </c>
      <c r="AW4" s="6">
        <f t="shared" si="1"/>
        <v>23400</v>
      </c>
      <c r="AX4" s="6">
        <f t="shared" si="1"/>
        <v>23400</v>
      </c>
      <c r="AY4" s="6">
        <f t="shared" si="1"/>
        <v>23400</v>
      </c>
      <c r="AZ4" s="6">
        <f t="shared" si="1"/>
        <v>23400</v>
      </c>
    </row>
    <row r="5" spans="1:52" ht="14.25" customHeight="1" x14ac:dyDescent="0.35">
      <c r="A5" s="2" t="s">
        <v>22</v>
      </c>
      <c r="B5" s="6">
        <f>'NVP-Indonesia'!B100*'NVP-Indonesia'!$B$176</f>
        <v>23400</v>
      </c>
      <c r="C5" s="2">
        <f t="shared" ref="C5:AF5" si="4">$B5</f>
        <v>23400</v>
      </c>
      <c r="D5" s="2">
        <f t="shared" si="4"/>
        <v>23400</v>
      </c>
      <c r="E5" s="2">
        <f t="shared" si="4"/>
        <v>23400</v>
      </c>
      <c r="F5" s="2">
        <f t="shared" si="4"/>
        <v>23400</v>
      </c>
      <c r="G5" s="2">
        <f t="shared" si="4"/>
        <v>23400</v>
      </c>
      <c r="H5" s="2">
        <f t="shared" si="4"/>
        <v>23400</v>
      </c>
      <c r="I5" s="2">
        <f t="shared" si="4"/>
        <v>23400</v>
      </c>
      <c r="J5" s="2">
        <f t="shared" si="4"/>
        <v>23400</v>
      </c>
      <c r="K5" s="2">
        <f t="shared" si="4"/>
        <v>23400</v>
      </c>
      <c r="L5" s="2">
        <f t="shared" si="4"/>
        <v>23400</v>
      </c>
      <c r="M5" s="2">
        <f t="shared" si="4"/>
        <v>23400</v>
      </c>
      <c r="N5" s="2">
        <f t="shared" si="4"/>
        <v>23400</v>
      </c>
      <c r="O5" s="2">
        <f t="shared" si="4"/>
        <v>23400</v>
      </c>
      <c r="P5" s="2">
        <f t="shared" si="4"/>
        <v>23400</v>
      </c>
      <c r="Q5" s="2">
        <f t="shared" si="4"/>
        <v>23400</v>
      </c>
      <c r="R5" s="2">
        <f t="shared" si="4"/>
        <v>23400</v>
      </c>
      <c r="S5" s="2">
        <f t="shared" si="4"/>
        <v>23400</v>
      </c>
      <c r="T5" s="2">
        <f t="shared" si="4"/>
        <v>23400</v>
      </c>
      <c r="U5" s="2">
        <f t="shared" si="4"/>
        <v>23400</v>
      </c>
      <c r="V5" s="2">
        <f t="shared" si="4"/>
        <v>23400</v>
      </c>
      <c r="W5" s="2">
        <f t="shared" si="4"/>
        <v>23400</v>
      </c>
      <c r="X5" s="2">
        <f t="shared" si="4"/>
        <v>23400</v>
      </c>
      <c r="Y5" s="2">
        <f t="shared" si="4"/>
        <v>23400</v>
      </c>
      <c r="Z5" s="2">
        <f t="shared" si="4"/>
        <v>23400</v>
      </c>
      <c r="AA5" s="2">
        <f t="shared" si="4"/>
        <v>23400</v>
      </c>
      <c r="AB5" s="2">
        <f t="shared" si="4"/>
        <v>23400</v>
      </c>
      <c r="AC5" s="2">
        <f t="shared" si="4"/>
        <v>23400</v>
      </c>
      <c r="AD5" s="2">
        <f t="shared" si="4"/>
        <v>23400</v>
      </c>
      <c r="AE5" s="2">
        <f t="shared" si="4"/>
        <v>23400</v>
      </c>
      <c r="AF5" s="2">
        <f t="shared" si="4"/>
        <v>23400</v>
      </c>
      <c r="AG5" s="6">
        <f t="shared" si="3"/>
        <v>23400</v>
      </c>
      <c r="AH5" s="6">
        <f t="shared" si="1"/>
        <v>23400</v>
      </c>
      <c r="AI5" s="6">
        <f t="shared" si="1"/>
        <v>23400</v>
      </c>
      <c r="AJ5" s="6">
        <f t="shared" si="1"/>
        <v>23400</v>
      </c>
      <c r="AK5" s="6">
        <f t="shared" si="1"/>
        <v>23400</v>
      </c>
      <c r="AL5" s="6">
        <f t="shared" si="1"/>
        <v>23400</v>
      </c>
      <c r="AM5" s="6">
        <f t="shared" si="1"/>
        <v>23400</v>
      </c>
      <c r="AN5" s="6">
        <f t="shared" si="1"/>
        <v>23400</v>
      </c>
      <c r="AO5" s="6">
        <f t="shared" si="1"/>
        <v>23400</v>
      </c>
      <c r="AP5" s="6">
        <f t="shared" si="1"/>
        <v>23400</v>
      </c>
      <c r="AQ5" s="6">
        <f t="shared" si="1"/>
        <v>23400</v>
      </c>
      <c r="AR5" s="6">
        <f t="shared" si="1"/>
        <v>23400</v>
      </c>
      <c r="AS5" s="6">
        <f t="shared" si="1"/>
        <v>23400</v>
      </c>
      <c r="AT5" s="6">
        <f t="shared" si="1"/>
        <v>23400</v>
      </c>
      <c r="AU5" s="6">
        <f t="shared" si="1"/>
        <v>23400</v>
      </c>
      <c r="AV5" s="6">
        <f t="shared" si="1"/>
        <v>23400</v>
      </c>
      <c r="AW5" s="6">
        <f t="shared" si="1"/>
        <v>23400</v>
      </c>
      <c r="AX5" s="6">
        <f t="shared" si="1"/>
        <v>23400</v>
      </c>
      <c r="AY5" s="6">
        <f t="shared" si="1"/>
        <v>23400</v>
      </c>
      <c r="AZ5" s="6">
        <f t="shared" si="1"/>
        <v>23400</v>
      </c>
    </row>
    <row r="6" spans="1:52" ht="14.25" customHeight="1" x14ac:dyDescent="0.35">
      <c r="A6" s="2" t="s">
        <v>23</v>
      </c>
      <c r="B6">
        <v>999999999</v>
      </c>
      <c r="C6">
        <v>999999999</v>
      </c>
      <c r="D6">
        <v>999999999</v>
      </c>
      <c r="E6">
        <v>999999999</v>
      </c>
      <c r="F6">
        <v>999999999</v>
      </c>
      <c r="G6">
        <v>999999999</v>
      </c>
      <c r="H6">
        <v>999999999</v>
      </c>
      <c r="I6">
        <v>999999999</v>
      </c>
      <c r="J6">
        <v>999999999</v>
      </c>
      <c r="K6">
        <v>999999999</v>
      </c>
      <c r="L6">
        <v>999999999</v>
      </c>
      <c r="M6">
        <v>999999999</v>
      </c>
      <c r="N6">
        <v>999999999</v>
      </c>
      <c r="O6">
        <v>999999999</v>
      </c>
      <c r="P6">
        <v>999999999</v>
      </c>
      <c r="Q6">
        <v>999999999</v>
      </c>
      <c r="R6">
        <v>999999999</v>
      </c>
      <c r="S6">
        <v>999999999</v>
      </c>
      <c r="T6">
        <v>999999999</v>
      </c>
      <c r="U6">
        <v>999999999</v>
      </c>
      <c r="V6">
        <v>999999999</v>
      </c>
      <c r="W6">
        <v>999999999</v>
      </c>
      <c r="X6">
        <v>999999999</v>
      </c>
      <c r="Y6">
        <v>999999999</v>
      </c>
      <c r="Z6">
        <v>999999999</v>
      </c>
      <c r="AA6">
        <v>999999999</v>
      </c>
      <c r="AB6">
        <v>999999999</v>
      </c>
      <c r="AC6">
        <v>999999999</v>
      </c>
      <c r="AD6">
        <v>999999999</v>
      </c>
      <c r="AE6">
        <v>999999999</v>
      </c>
      <c r="AF6">
        <v>999999999</v>
      </c>
      <c r="AG6">
        <v>999999999</v>
      </c>
      <c r="AH6">
        <v>999999999</v>
      </c>
      <c r="AI6">
        <v>999999999</v>
      </c>
      <c r="AJ6">
        <v>999999999</v>
      </c>
      <c r="AK6">
        <v>999999999</v>
      </c>
      <c r="AL6">
        <v>999999999</v>
      </c>
      <c r="AM6">
        <v>999999999</v>
      </c>
      <c r="AN6">
        <v>999999999</v>
      </c>
      <c r="AO6">
        <v>999999999</v>
      </c>
      <c r="AP6">
        <v>999999999</v>
      </c>
      <c r="AQ6">
        <v>999999999</v>
      </c>
      <c r="AR6">
        <v>999999999</v>
      </c>
      <c r="AS6">
        <v>999999999</v>
      </c>
      <c r="AT6">
        <v>999999999</v>
      </c>
      <c r="AU6">
        <v>999999999</v>
      </c>
      <c r="AV6">
        <v>999999999</v>
      </c>
      <c r="AW6">
        <v>999999999</v>
      </c>
      <c r="AX6">
        <v>999999999</v>
      </c>
      <c r="AY6">
        <v>999999999</v>
      </c>
      <c r="AZ6">
        <v>999999999</v>
      </c>
    </row>
    <row r="7" spans="1:52" ht="14.25" customHeight="1" x14ac:dyDescent="0.35">
      <c r="A7" s="2" t="s">
        <v>24</v>
      </c>
      <c r="B7">
        <v>999999999</v>
      </c>
      <c r="C7">
        <v>999999999</v>
      </c>
      <c r="D7">
        <v>999999999</v>
      </c>
      <c r="E7">
        <v>999999999</v>
      </c>
      <c r="F7">
        <v>999999999</v>
      </c>
      <c r="G7">
        <v>999999999</v>
      </c>
      <c r="H7">
        <v>999999999</v>
      </c>
      <c r="I7">
        <v>999999999</v>
      </c>
      <c r="J7">
        <v>999999999</v>
      </c>
      <c r="K7">
        <v>999999999</v>
      </c>
      <c r="L7">
        <v>999999999</v>
      </c>
      <c r="M7">
        <v>999999999</v>
      </c>
      <c r="N7">
        <v>999999999</v>
      </c>
      <c r="O7">
        <v>999999999</v>
      </c>
      <c r="P7">
        <v>999999999</v>
      </c>
      <c r="Q7">
        <v>999999999</v>
      </c>
      <c r="R7">
        <v>999999999</v>
      </c>
      <c r="S7">
        <v>999999999</v>
      </c>
      <c r="T7">
        <v>999999999</v>
      </c>
      <c r="U7">
        <v>999999999</v>
      </c>
      <c r="V7">
        <v>999999999</v>
      </c>
      <c r="W7">
        <v>999999999</v>
      </c>
      <c r="X7">
        <v>999999999</v>
      </c>
      <c r="Y7">
        <v>999999999</v>
      </c>
      <c r="Z7">
        <v>999999999</v>
      </c>
      <c r="AA7">
        <v>999999999</v>
      </c>
      <c r="AB7">
        <v>999999999</v>
      </c>
      <c r="AC7">
        <v>999999999</v>
      </c>
      <c r="AD7">
        <v>999999999</v>
      </c>
      <c r="AE7">
        <v>999999999</v>
      </c>
      <c r="AF7">
        <v>999999999</v>
      </c>
      <c r="AG7">
        <v>999999999</v>
      </c>
      <c r="AH7">
        <v>999999999</v>
      </c>
      <c r="AI7">
        <v>999999999</v>
      </c>
      <c r="AJ7">
        <v>999999999</v>
      </c>
      <c r="AK7">
        <v>999999999</v>
      </c>
      <c r="AL7">
        <v>999999999</v>
      </c>
      <c r="AM7">
        <v>999999999</v>
      </c>
      <c r="AN7">
        <v>999999999</v>
      </c>
      <c r="AO7">
        <v>999999999</v>
      </c>
      <c r="AP7">
        <v>999999999</v>
      </c>
      <c r="AQ7">
        <v>999999999</v>
      </c>
      <c r="AR7">
        <v>999999999</v>
      </c>
      <c r="AS7">
        <v>999999999</v>
      </c>
      <c r="AT7">
        <v>999999999</v>
      </c>
      <c r="AU7">
        <v>999999999</v>
      </c>
      <c r="AV7">
        <v>999999999</v>
      </c>
      <c r="AW7">
        <v>999999999</v>
      </c>
      <c r="AX7">
        <v>999999999</v>
      </c>
      <c r="AY7">
        <v>999999999</v>
      </c>
      <c r="AZ7">
        <v>999999999</v>
      </c>
    </row>
    <row r="8" spans="1:52" ht="14.25" customHeight="1" x14ac:dyDescent="0.35">
      <c r="A8" s="2" t="s">
        <v>25</v>
      </c>
      <c r="B8" s="6">
        <f>'NVP-Indonesia'!B103*'NVP-Indonesia'!$B$176</f>
        <v>47087.118581016461</v>
      </c>
      <c r="C8" s="6">
        <f>C$5*('BNVP-HDVs-psgr'!C$8/'BNVP-HDVs-psgr'!C$5)</f>
        <v>22560.34762147762</v>
      </c>
      <c r="D8" s="6">
        <f>D$5*('BNVP-HDVs-psgr'!D$8/'BNVP-HDVs-psgr'!D$5)</f>
        <v>22560.34762147762</v>
      </c>
      <c r="E8" s="6">
        <f>E$5*('BNVP-HDVs-psgr'!E$8/'BNVP-HDVs-psgr'!E$5)</f>
        <v>22560.34762147762</v>
      </c>
      <c r="F8" s="6">
        <f>F$5*('BNVP-HDVs-psgr'!F$8/'BNVP-HDVs-psgr'!F$5)</f>
        <v>22560.34762147762</v>
      </c>
      <c r="G8" s="6">
        <f>G$5*('BNVP-HDVs-psgr'!G$8/'BNVP-HDVs-psgr'!G$5)</f>
        <v>22560.34762147762</v>
      </c>
      <c r="H8" s="6">
        <f>H$5*('BNVP-HDVs-psgr'!H$8/'BNVP-HDVs-psgr'!H$5)</f>
        <v>22560.34762147762</v>
      </c>
      <c r="I8" s="6">
        <f>I$5*('BNVP-HDVs-psgr'!I$8/'BNVP-HDVs-psgr'!I$5)</f>
        <v>22560.34762147762</v>
      </c>
      <c r="J8" s="6">
        <f>J$5*('BNVP-HDVs-psgr'!J$8/'BNVP-HDVs-psgr'!J$5)</f>
        <v>22560.34762147762</v>
      </c>
      <c r="K8" s="6">
        <f>K$5*('BNVP-HDVs-psgr'!K$8/'BNVP-HDVs-psgr'!K$5)</f>
        <v>22560.34762147762</v>
      </c>
      <c r="L8" s="6">
        <f>L$5*('BNVP-HDVs-psgr'!L$8/'BNVP-HDVs-psgr'!L$5)</f>
        <v>22560.34762147762</v>
      </c>
      <c r="M8" s="6">
        <f>M$5*('BNVP-HDVs-psgr'!M$8/'BNVP-HDVs-psgr'!M$5)</f>
        <v>22560.34762147762</v>
      </c>
      <c r="N8" s="6">
        <f>N$5*('BNVP-HDVs-psgr'!N$8/'BNVP-HDVs-psgr'!N$5)</f>
        <v>22560.34762147762</v>
      </c>
      <c r="O8" s="6">
        <f>O$5*('BNVP-HDVs-psgr'!O$8/'BNVP-HDVs-psgr'!O$5)</f>
        <v>22560.34762147762</v>
      </c>
      <c r="P8" s="6">
        <f>P$5*('BNVP-HDVs-psgr'!P$8/'BNVP-HDVs-psgr'!P$5)</f>
        <v>22560.34762147762</v>
      </c>
      <c r="Q8" s="6">
        <f>Q$5*('BNVP-HDVs-psgr'!Q$8/'BNVP-HDVs-psgr'!Q$5)</f>
        <v>22560.34762147762</v>
      </c>
      <c r="R8" s="6">
        <f>R$5*('BNVP-HDVs-psgr'!R$8/'BNVP-HDVs-psgr'!R$5)</f>
        <v>22560.34762147762</v>
      </c>
      <c r="S8" s="6">
        <f>S$5*('BNVP-HDVs-psgr'!S$8/'BNVP-HDVs-psgr'!S$5)</f>
        <v>22560.34762147762</v>
      </c>
      <c r="T8" s="6">
        <f>T$5*('BNVP-HDVs-psgr'!T$8/'BNVP-HDVs-psgr'!T$5)</f>
        <v>22560.34762147762</v>
      </c>
      <c r="U8" s="6">
        <f>U$5*('BNVP-HDVs-psgr'!U$8/'BNVP-HDVs-psgr'!U$5)</f>
        <v>22560.34762147762</v>
      </c>
      <c r="V8" s="6">
        <f>V$5*('BNVP-HDVs-psgr'!V$8/'BNVP-HDVs-psgr'!V$5)</f>
        <v>22560.34762147762</v>
      </c>
      <c r="W8" s="6">
        <f>W$5*('BNVP-HDVs-psgr'!W$8/'BNVP-HDVs-psgr'!W$5)</f>
        <v>22560.34762147762</v>
      </c>
      <c r="X8" s="6">
        <f>X$5*('BNVP-HDVs-psgr'!X$8/'BNVP-HDVs-psgr'!X$5)</f>
        <v>22560.34762147762</v>
      </c>
      <c r="Y8" s="6">
        <f>Y$5*('BNVP-HDVs-psgr'!Y$8/'BNVP-HDVs-psgr'!Y$5)</f>
        <v>22560.34762147762</v>
      </c>
      <c r="Z8" s="6">
        <f>Z$5*('BNVP-HDVs-psgr'!Z$8/'BNVP-HDVs-psgr'!Z$5)</f>
        <v>22560.34762147762</v>
      </c>
      <c r="AA8" s="6">
        <f>AA$5*('BNVP-HDVs-psgr'!AA$8/'BNVP-HDVs-psgr'!AA$5)</f>
        <v>22560.34762147762</v>
      </c>
      <c r="AB8" s="6">
        <f>AB$5*('BNVP-HDVs-psgr'!AB$8/'BNVP-HDVs-psgr'!AB$5)</f>
        <v>22560.34762147762</v>
      </c>
      <c r="AC8" s="6">
        <f>AC$5*('BNVP-HDVs-psgr'!AC$8/'BNVP-HDVs-psgr'!AC$5)</f>
        <v>22560.34762147762</v>
      </c>
      <c r="AD8" s="6">
        <f>AD$5*('BNVP-HDVs-psgr'!AD$8/'BNVP-HDVs-psgr'!AD$5)</f>
        <v>22560.34762147762</v>
      </c>
      <c r="AE8" s="6">
        <f>AE$5*('BNVP-HDVs-psgr'!AE$8/'BNVP-HDVs-psgr'!AE$5)</f>
        <v>22560.34762147762</v>
      </c>
      <c r="AF8" s="6">
        <f>AF$5*('BNVP-HDVs-psgr'!AF$8/'BNVP-HDVs-psgr'!AF$5)</f>
        <v>22560.34762147762</v>
      </c>
      <c r="AG8" s="6">
        <f t="shared" si="3"/>
        <v>20977.975301507395</v>
      </c>
      <c r="AH8" s="6">
        <f t="shared" si="1"/>
        <v>20829.627896510181</v>
      </c>
      <c r="AI8" s="6">
        <f t="shared" si="1"/>
        <v>20681.280491512967</v>
      </c>
      <c r="AJ8" s="6">
        <f t="shared" si="1"/>
        <v>20532.933086515754</v>
      </c>
      <c r="AK8" s="6">
        <f t="shared" si="1"/>
        <v>20384.58568151854</v>
      </c>
      <c r="AL8" s="6">
        <f t="shared" si="1"/>
        <v>20236.238276521326</v>
      </c>
      <c r="AM8" s="6">
        <f t="shared" si="1"/>
        <v>20087.890871524112</v>
      </c>
      <c r="AN8" s="6">
        <f t="shared" si="1"/>
        <v>19939.543466526957</v>
      </c>
      <c r="AO8" s="6">
        <f t="shared" si="1"/>
        <v>19791.196061529743</v>
      </c>
      <c r="AP8" s="6">
        <f t="shared" si="1"/>
        <v>19642.848656532529</v>
      </c>
      <c r="AQ8" s="6">
        <f t="shared" si="1"/>
        <v>19494.501251535316</v>
      </c>
      <c r="AR8" s="6">
        <f t="shared" si="1"/>
        <v>19346.153846538102</v>
      </c>
      <c r="AS8" s="6">
        <f t="shared" si="1"/>
        <v>19197.806441540888</v>
      </c>
      <c r="AT8" s="6">
        <f t="shared" si="1"/>
        <v>19049.459036543674</v>
      </c>
      <c r="AU8" s="6">
        <f t="shared" si="1"/>
        <v>18901.111631546461</v>
      </c>
      <c r="AV8" s="6">
        <f t="shared" si="1"/>
        <v>18752.764226549247</v>
      </c>
      <c r="AW8" s="6">
        <f t="shared" si="1"/>
        <v>18604.416821552033</v>
      </c>
      <c r="AX8" s="6">
        <f t="shared" si="1"/>
        <v>18456.069416554819</v>
      </c>
      <c r="AY8" s="6">
        <f t="shared" si="1"/>
        <v>18307.722011557606</v>
      </c>
      <c r="AZ8" s="6">
        <f t="shared" si="1"/>
        <v>18159.374606560392</v>
      </c>
    </row>
    <row r="9" spans="1:52" ht="14.25" customHeight="1" x14ac:dyDescent="0.35"/>
    <row r="10" spans="1:52" ht="14.25" customHeight="1" x14ac:dyDescent="0.35"/>
    <row r="11" spans="1:52" ht="14.25" customHeight="1" x14ac:dyDescent="0.35"/>
    <row r="12" spans="1:52" ht="14.25" customHeight="1" x14ac:dyDescent="0.35"/>
    <row r="13" spans="1:52" ht="14.25" customHeight="1" x14ac:dyDescent="0.35"/>
    <row r="14" spans="1:52" ht="14.25" customHeight="1" x14ac:dyDescent="0.35"/>
    <row r="15" spans="1:52" ht="14.25" customHeight="1" x14ac:dyDescent="0.35"/>
    <row r="16" spans="1:52"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rgb="FF1F497D"/>
  </sheetPr>
  <dimension ref="A1:AZ1000"/>
  <sheetViews>
    <sheetView workbookViewId="0">
      <selection activeCell="B6" sqref="B6:AZ7"/>
    </sheetView>
  </sheetViews>
  <sheetFormatPr defaultColWidth="14.453125" defaultRowHeight="15" customHeight="1" x14ac:dyDescent="0.35"/>
  <cols>
    <col min="1" max="1" width="24.453125" customWidth="1"/>
    <col min="2" max="36" width="8.81640625" customWidth="1"/>
  </cols>
  <sheetData>
    <row r="1" spans="1:52" ht="14.25" customHeight="1" x14ac:dyDescent="0.35">
      <c r="A1" s="1" t="s">
        <v>18</v>
      </c>
      <c r="B1" s="9">
        <v>2020</v>
      </c>
      <c r="C1" s="9">
        <v>2021</v>
      </c>
      <c r="D1" s="9">
        <v>2022</v>
      </c>
      <c r="E1" s="9">
        <v>2023</v>
      </c>
      <c r="F1" s="9">
        <v>2024</v>
      </c>
      <c r="G1" s="9">
        <v>2025</v>
      </c>
      <c r="H1" s="9">
        <v>2026</v>
      </c>
      <c r="I1" s="9">
        <v>2027</v>
      </c>
      <c r="J1" s="9">
        <v>2028</v>
      </c>
      <c r="K1" s="9">
        <v>2029</v>
      </c>
      <c r="L1" s="9">
        <v>2030</v>
      </c>
      <c r="M1" s="9">
        <v>2031</v>
      </c>
      <c r="N1" s="9">
        <v>2032</v>
      </c>
      <c r="O1" s="9">
        <v>2033</v>
      </c>
      <c r="P1" s="9">
        <v>2034</v>
      </c>
      <c r="Q1" s="9">
        <v>2035</v>
      </c>
      <c r="R1" s="9">
        <v>2036</v>
      </c>
      <c r="S1" s="9">
        <v>2037</v>
      </c>
      <c r="T1" s="9">
        <v>2038</v>
      </c>
      <c r="U1" s="9">
        <v>2039</v>
      </c>
      <c r="V1" s="9">
        <v>2040</v>
      </c>
      <c r="W1" s="9">
        <v>2041</v>
      </c>
      <c r="X1" s="9">
        <v>2042</v>
      </c>
      <c r="Y1" s="9">
        <v>2043</v>
      </c>
      <c r="Z1" s="9">
        <v>2044</v>
      </c>
      <c r="AA1" s="9">
        <v>2045</v>
      </c>
      <c r="AB1" s="9">
        <v>2046</v>
      </c>
      <c r="AC1" s="9">
        <v>2047</v>
      </c>
      <c r="AD1" s="9">
        <v>2048</v>
      </c>
      <c r="AE1" s="9">
        <v>2049</v>
      </c>
      <c r="AF1" s="9">
        <v>2050</v>
      </c>
      <c r="AG1" s="9">
        <v>2051</v>
      </c>
      <c r="AH1" s="9">
        <v>2052</v>
      </c>
      <c r="AI1" s="9">
        <v>2053</v>
      </c>
      <c r="AJ1" s="9">
        <v>2054</v>
      </c>
      <c r="AK1" s="9">
        <v>2055</v>
      </c>
      <c r="AL1" s="9">
        <v>2056</v>
      </c>
      <c r="AM1" s="9">
        <v>2057</v>
      </c>
      <c r="AN1" s="9">
        <v>2058</v>
      </c>
      <c r="AO1" s="9">
        <v>2059</v>
      </c>
      <c r="AP1" s="9">
        <v>2060</v>
      </c>
      <c r="AQ1" s="9">
        <v>2061</v>
      </c>
      <c r="AR1" s="9">
        <v>2062</v>
      </c>
      <c r="AS1" s="9">
        <v>2063</v>
      </c>
      <c r="AT1" s="9">
        <v>2064</v>
      </c>
      <c r="AU1" s="9">
        <v>2065</v>
      </c>
      <c r="AV1" s="9">
        <v>2066</v>
      </c>
      <c r="AW1" s="9">
        <v>2067</v>
      </c>
      <c r="AX1" s="9">
        <v>2068</v>
      </c>
      <c r="AY1" s="9">
        <v>2069</v>
      </c>
      <c r="AZ1" s="9">
        <v>2070</v>
      </c>
    </row>
    <row r="2" spans="1:52" ht="14.25" customHeight="1" x14ac:dyDescent="0.35">
      <c r="A2" s="2" t="s">
        <v>19</v>
      </c>
      <c r="B2" s="6">
        <f>'NVP-Indonesia'!B107*'NVP-Indonesia'!$B$176</f>
        <v>14418755</v>
      </c>
      <c r="C2" s="6">
        <f>B2</f>
        <v>14418755</v>
      </c>
      <c r="D2" s="6">
        <f t="shared" ref="D2:AF2" si="0">C2</f>
        <v>14418755</v>
      </c>
      <c r="E2" s="6">
        <f t="shared" si="0"/>
        <v>14418755</v>
      </c>
      <c r="F2" s="6">
        <f t="shared" si="0"/>
        <v>14418755</v>
      </c>
      <c r="G2" s="6">
        <f t="shared" si="0"/>
        <v>14418755</v>
      </c>
      <c r="H2" s="6">
        <f t="shared" si="0"/>
        <v>14418755</v>
      </c>
      <c r="I2" s="6">
        <f t="shared" si="0"/>
        <v>14418755</v>
      </c>
      <c r="J2" s="6">
        <f t="shared" si="0"/>
        <v>14418755</v>
      </c>
      <c r="K2" s="6">
        <f t="shared" si="0"/>
        <v>14418755</v>
      </c>
      <c r="L2" s="6">
        <f t="shared" si="0"/>
        <v>14418755</v>
      </c>
      <c r="M2" s="6">
        <f t="shared" si="0"/>
        <v>14418755</v>
      </c>
      <c r="N2" s="6">
        <f t="shared" si="0"/>
        <v>14418755</v>
      </c>
      <c r="O2" s="6">
        <f t="shared" si="0"/>
        <v>14418755</v>
      </c>
      <c r="P2" s="6">
        <f t="shared" si="0"/>
        <v>14418755</v>
      </c>
      <c r="Q2" s="6">
        <f t="shared" si="0"/>
        <v>14418755</v>
      </c>
      <c r="R2" s="6">
        <f t="shared" si="0"/>
        <v>14418755</v>
      </c>
      <c r="S2" s="6">
        <f t="shared" si="0"/>
        <v>14418755</v>
      </c>
      <c r="T2" s="6">
        <f t="shared" si="0"/>
        <v>14418755</v>
      </c>
      <c r="U2" s="6">
        <f t="shared" si="0"/>
        <v>14418755</v>
      </c>
      <c r="V2" s="6">
        <f t="shared" si="0"/>
        <v>14418755</v>
      </c>
      <c r="W2" s="6">
        <f t="shared" si="0"/>
        <v>14418755</v>
      </c>
      <c r="X2" s="6">
        <f t="shared" si="0"/>
        <v>14418755</v>
      </c>
      <c r="Y2" s="6">
        <f t="shared" si="0"/>
        <v>14418755</v>
      </c>
      <c r="Z2" s="6">
        <f t="shared" si="0"/>
        <v>14418755</v>
      </c>
      <c r="AA2" s="6">
        <f t="shared" si="0"/>
        <v>14418755</v>
      </c>
      <c r="AB2" s="6">
        <f t="shared" si="0"/>
        <v>14418755</v>
      </c>
      <c r="AC2" s="6">
        <f t="shared" si="0"/>
        <v>14418755</v>
      </c>
      <c r="AD2" s="6">
        <f t="shared" si="0"/>
        <v>14418755</v>
      </c>
      <c r="AE2" s="6">
        <f t="shared" si="0"/>
        <v>14418755</v>
      </c>
      <c r="AF2" s="6">
        <f t="shared" si="0"/>
        <v>14418755</v>
      </c>
      <c r="AG2" s="6">
        <f>_xlfn.FORECAST.LINEAR(AG$1,$B2:$AF2,$B$1:$AF$1)</f>
        <v>14418755</v>
      </c>
      <c r="AH2" s="6">
        <f t="shared" ref="AH2:AZ8" si="1">_xlfn.FORECAST.LINEAR(AH$1,$B2:$AF2,$B$1:$AF$1)</f>
        <v>14418755</v>
      </c>
      <c r="AI2" s="6">
        <f t="shared" si="1"/>
        <v>14418755</v>
      </c>
      <c r="AJ2" s="6">
        <f t="shared" si="1"/>
        <v>14418755</v>
      </c>
      <c r="AK2" s="6">
        <f t="shared" si="1"/>
        <v>14418755</v>
      </c>
      <c r="AL2" s="6">
        <f t="shared" si="1"/>
        <v>14418755</v>
      </c>
      <c r="AM2" s="6">
        <f t="shared" si="1"/>
        <v>14418755</v>
      </c>
      <c r="AN2" s="6">
        <f t="shared" si="1"/>
        <v>14418755</v>
      </c>
      <c r="AO2" s="6">
        <f t="shared" si="1"/>
        <v>14418755</v>
      </c>
      <c r="AP2" s="6">
        <f t="shared" si="1"/>
        <v>14418755</v>
      </c>
      <c r="AQ2" s="6">
        <f t="shared" si="1"/>
        <v>14418755</v>
      </c>
      <c r="AR2" s="6">
        <f t="shared" si="1"/>
        <v>14418755</v>
      </c>
      <c r="AS2" s="6">
        <f t="shared" si="1"/>
        <v>14418755</v>
      </c>
      <c r="AT2" s="6">
        <f t="shared" si="1"/>
        <v>14418755</v>
      </c>
      <c r="AU2" s="6">
        <f t="shared" si="1"/>
        <v>14418755</v>
      </c>
      <c r="AV2" s="6">
        <f t="shared" si="1"/>
        <v>14418755</v>
      </c>
      <c r="AW2" s="6">
        <f t="shared" si="1"/>
        <v>14418755</v>
      </c>
      <c r="AX2" s="6">
        <f t="shared" si="1"/>
        <v>14418755</v>
      </c>
      <c r="AY2" s="6">
        <f t="shared" si="1"/>
        <v>14418755</v>
      </c>
      <c r="AZ2" s="6">
        <f t="shared" si="1"/>
        <v>14418755</v>
      </c>
    </row>
    <row r="3" spans="1:52" ht="14.25" customHeight="1" x14ac:dyDescent="0.35">
      <c r="A3" s="2" t="s">
        <v>20</v>
      </c>
      <c r="B3">
        <v>999999999</v>
      </c>
      <c r="C3">
        <v>999999999</v>
      </c>
      <c r="D3">
        <v>999999999</v>
      </c>
      <c r="E3">
        <v>999999999</v>
      </c>
      <c r="F3">
        <v>999999999</v>
      </c>
      <c r="G3">
        <v>999999999</v>
      </c>
      <c r="H3">
        <v>999999999</v>
      </c>
      <c r="I3">
        <v>999999999</v>
      </c>
      <c r="J3">
        <v>999999999</v>
      </c>
      <c r="K3">
        <v>999999999</v>
      </c>
      <c r="L3">
        <v>999999999</v>
      </c>
      <c r="M3">
        <v>999999999</v>
      </c>
      <c r="N3">
        <v>999999999</v>
      </c>
      <c r="O3">
        <v>999999999</v>
      </c>
      <c r="P3">
        <v>999999999</v>
      </c>
      <c r="Q3">
        <v>999999999</v>
      </c>
      <c r="R3">
        <v>999999999</v>
      </c>
      <c r="S3">
        <v>999999999</v>
      </c>
      <c r="T3">
        <v>999999999</v>
      </c>
      <c r="U3">
        <v>999999999</v>
      </c>
      <c r="V3">
        <v>999999999</v>
      </c>
      <c r="W3">
        <v>999999999</v>
      </c>
      <c r="X3">
        <v>999999999</v>
      </c>
      <c r="Y3">
        <v>999999999</v>
      </c>
      <c r="Z3">
        <v>999999999</v>
      </c>
      <c r="AA3">
        <v>999999999</v>
      </c>
      <c r="AB3">
        <v>999999999</v>
      </c>
      <c r="AC3">
        <v>999999999</v>
      </c>
      <c r="AD3">
        <v>999999999</v>
      </c>
      <c r="AE3">
        <v>999999999</v>
      </c>
      <c r="AF3">
        <v>999999999</v>
      </c>
      <c r="AG3">
        <v>999999999</v>
      </c>
      <c r="AH3">
        <v>999999999</v>
      </c>
      <c r="AI3">
        <v>999999999</v>
      </c>
      <c r="AJ3">
        <v>999999999</v>
      </c>
      <c r="AK3">
        <v>999999999</v>
      </c>
      <c r="AL3">
        <v>999999999</v>
      </c>
      <c r="AM3">
        <v>999999999</v>
      </c>
      <c r="AN3">
        <v>999999999</v>
      </c>
      <c r="AO3">
        <v>999999999</v>
      </c>
      <c r="AP3">
        <v>999999999</v>
      </c>
      <c r="AQ3">
        <v>999999999</v>
      </c>
      <c r="AR3">
        <v>999999999</v>
      </c>
      <c r="AS3">
        <v>999999999</v>
      </c>
      <c r="AT3">
        <v>999999999</v>
      </c>
      <c r="AU3">
        <v>999999999</v>
      </c>
      <c r="AV3">
        <v>999999999</v>
      </c>
      <c r="AW3">
        <v>999999999</v>
      </c>
      <c r="AX3">
        <v>999999999</v>
      </c>
      <c r="AY3">
        <v>999999999</v>
      </c>
      <c r="AZ3">
        <v>999999999</v>
      </c>
    </row>
    <row r="4" spans="1:52" ht="14.25" customHeight="1" x14ac:dyDescent="0.35">
      <c r="A4" s="2" t="s">
        <v>21</v>
      </c>
      <c r="B4">
        <v>999999999</v>
      </c>
      <c r="C4">
        <v>999999999</v>
      </c>
      <c r="D4">
        <v>999999999</v>
      </c>
      <c r="E4">
        <v>999999999</v>
      </c>
      <c r="F4">
        <v>999999999</v>
      </c>
      <c r="G4">
        <v>999999999</v>
      </c>
      <c r="H4">
        <v>999999999</v>
      </c>
      <c r="I4">
        <v>999999999</v>
      </c>
      <c r="J4">
        <v>999999999</v>
      </c>
      <c r="K4">
        <v>999999999</v>
      </c>
      <c r="L4">
        <v>999999999</v>
      </c>
      <c r="M4">
        <v>999999999</v>
      </c>
      <c r="N4">
        <v>999999999</v>
      </c>
      <c r="O4">
        <v>999999999</v>
      </c>
      <c r="P4">
        <v>999999999</v>
      </c>
      <c r="Q4">
        <v>999999999</v>
      </c>
      <c r="R4">
        <v>999999999</v>
      </c>
      <c r="S4">
        <v>999999999</v>
      </c>
      <c r="T4">
        <v>999999999</v>
      </c>
      <c r="U4">
        <v>999999999</v>
      </c>
      <c r="V4">
        <v>999999999</v>
      </c>
      <c r="W4">
        <v>999999999</v>
      </c>
      <c r="X4">
        <v>999999999</v>
      </c>
      <c r="Y4">
        <v>999999999</v>
      </c>
      <c r="Z4">
        <v>999999999</v>
      </c>
      <c r="AA4">
        <v>999999999</v>
      </c>
      <c r="AB4">
        <v>999999999</v>
      </c>
      <c r="AC4">
        <v>999999999</v>
      </c>
      <c r="AD4">
        <v>999999999</v>
      </c>
      <c r="AE4">
        <v>999999999</v>
      </c>
      <c r="AF4">
        <v>999999999</v>
      </c>
      <c r="AG4">
        <v>999999999</v>
      </c>
      <c r="AH4">
        <v>999999999</v>
      </c>
      <c r="AI4">
        <v>999999999</v>
      </c>
      <c r="AJ4">
        <v>999999999</v>
      </c>
      <c r="AK4">
        <v>999999999</v>
      </c>
      <c r="AL4">
        <v>999999999</v>
      </c>
      <c r="AM4">
        <v>999999999</v>
      </c>
      <c r="AN4">
        <v>999999999</v>
      </c>
      <c r="AO4">
        <v>999999999</v>
      </c>
      <c r="AP4">
        <v>999999999</v>
      </c>
      <c r="AQ4">
        <v>999999999</v>
      </c>
      <c r="AR4">
        <v>999999999</v>
      </c>
      <c r="AS4">
        <v>999999999</v>
      </c>
      <c r="AT4">
        <v>999999999</v>
      </c>
      <c r="AU4">
        <v>999999999</v>
      </c>
      <c r="AV4">
        <v>999999999</v>
      </c>
      <c r="AW4">
        <v>999999999</v>
      </c>
      <c r="AX4">
        <v>999999999</v>
      </c>
      <c r="AY4">
        <v>999999999</v>
      </c>
      <c r="AZ4">
        <v>999999999</v>
      </c>
    </row>
    <row r="5" spans="1:52" ht="14.25" customHeight="1" x14ac:dyDescent="0.35">
      <c r="A5" s="2" t="s">
        <v>22</v>
      </c>
      <c r="B5" s="6">
        <f>'NVP-Indonesia'!B110*'NVP-Indonesia'!$B$176</f>
        <v>7800000</v>
      </c>
      <c r="C5" s="2">
        <f t="shared" ref="C5:AF5" si="2">$B5</f>
        <v>7800000</v>
      </c>
      <c r="D5" s="2">
        <f t="shared" si="2"/>
        <v>7800000</v>
      </c>
      <c r="E5" s="2">
        <f t="shared" si="2"/>
        <v>7800000</v>
      </c>
      <c r="F5" s="2">
        <f t="shared" si="2"/>
        <v>7800000</v>
      </c>
      <c r="G5" s="2">
        <f t="shared" si="2"/>
        <v>7800000</v>
      </c>
      <c r="H5" s="2">
        <f t="shared" si="2"/>
        <v>7800000</v>
      </c>
      <c r="I5" s="2">
        <f t="shared" si="2"/>
        <v>7800000</v>
      </c>
      <c r="J5" s="2">
        <f t="shared" si="2"/>
        <v>7800000</v>
      </c>
      <c r="K5" s="2">
        <f t="shared" si="2"/>
        <v>7800000</v>
      </c>
      <c r="L5" s="2">
        <f t="shared" si="2"/>
        <v>7800000</v>
      </c>
      <c r="M5" s="2">
        <f t="shared" si="2"/>
        <v>7800000</v>
      </c>
      <c r="N5" s="2">
        <f t="shared" si="2"/>
        <v>7800000</v>
      </c>
      <c r="O5" s="2">
        <f t="shared" si="2"/>
        <v>7800000</v>
      </c>
      <c r="P5" s="2">
        <f t="shared" si="2"/>
        <v>7800000</v>
      </c>
      <c r="Q5" s="2">
        <f t="shared" si="2"/>
        <v>7800000</v>
      </c>
      <c r="R5" s="2">
        <f t="shared" si="2"/>
        <v>7800000</v>
      </c>
      <c r="S5" s="2">
        <f t="shared" si="2"/>
        <v>7800000</v>
      </c>
      <c r="T5" s="2">
        <f t="shared" si="2"/>
        <v>7800000</v>
      </c>
      <c r="U5" s="2">
        <f t="shared" si="2"/>
        <v>7800000</v>
      </c>
      <c r="V5" s="2">
        <f t="shared" si="2"/>
        <v>7800000</v>
      </c>
      <c r="W5" s="2">
        <f t="shared" si="2"/>
        <v>7800000</v>
      </c>
      <c r="X5" s="2">
        <f t="shared" si="2"/>
        <v>7800000</v>
      </c>
      <c r="Y5" s="2">
        <f t="shared" si="2"/>
        <v>7800000</v>
      </c>
      <c r="Z5" s="2">
        <f t="shared" si="2"/>
        <v>7800000</v>
      </c>
      <c r="AA5" s="2">
        <f t="shared" si="2"/>
        <v>7800000</v>
      </c>
      <c r="AB5" s="2">
        <f t="shared" si="2"/>
        <v>7800000</v>
      </c>
      <c r="AC5" s="2">
        <f t="shared" si="2"/>
        <v>7800000</v>
      </c>
      <c r="AD5" s="2">
        <f t="shared" si="2"/>
        <v>7800000</v>
      </c>
      <c r="AE5" s="2">
        <f t="shared" si="2"/>
        <v>7800000</v>
      </c>
      <c r="AF5" s="2">
        <f t="shared" si="2"/>
        <v>7800000</v>
      </c>
      <c r="AG5" s="6">
        <f t="shared" ref="AG3:AV8" si="3">_xlfn.FORECAST.LINEAR(AG$1,$B5:$AF5,$B$1:$AF$1)</f>
        <v>7800000</v>
      </c>
      <c r="AH5" s="6">
        <f t="shared" si="1"/>
        <v>7800000</v>
      </c>
      <c r="AI5" s="6">
        <f t="shared" si="1"/>
        <v>7800000</v>
      </c>
      <c r="AJ5" s="6">
        <f t="shared" si="1"/>
        <v>7800000</v>
      </c>
      <c r="AK5" s="6">
        <f t="shared" si="1"/>
        <v>7800000</v>
      </c>
      <c r="AL5" s="6">
        <f t="shared" si="1"/>
        <v>7800000</v>
      </c>
      <c r="AM5" s="6">
        <f t="shared" si="1"/>
        <v>7800000</v>
      </c>
      <c r="AN5" s="6">
        <f t="shared" si="1"/>
        <v>7800000</v>
      </c>
      <c r="AO5" s="6">
        <f t="shared" si="1"/>
        <v>7800000</v>
      </c>
      <c r="AP5" s="6">
        <f t="shared" si="1"/>
        <v>7800000</v>
      </c>
      <c r="AQ5" s="6">
        <f t="shared" si="1"/>
        <v>7800000</v>
      </c>
      <c r="AR5" s="6">
        <f t="shared" si="1"/>
        <v>7800000</v>
      </c>
      <c r="AS5" s="6">
        <f t="shared" si="1"/>
        <v>7800000</v>
      </c>
      <c r="AT5" s="6">
        <f t="shared" si="1"/>
        <v>7800000</v>
      </c>
      <c r="AU5" s="6">
        <f t="shared" si="1"/>
        <v>7800000</v>
      </c>
      <c r="AV5" s="6">
        <f t="shared" si="1"/>
        <v>7800000</v>
      </c>
      <c r="AW5" s="6">
        <f t="shared" si="1"/>
        <v>7800000</v>
      </c>
      <c r="AX5" s="6">
        <f t="shared" si="1"/>
        <v>7800000</v>
      </c>
      <c r="AY5" s="6">
        <f t="shared" si="1"/>
        <v>7800000</v>
      </c>
      <c r="AZ5" s="6">
        <f t="shared" si="1"/>
        <v>7800000</v>
      </c>
    </row>
    <row r="6" spans="1:52" ht="14.25" customHeight="1" x14ac:dyDescent="0.35">
      <c r="A6" s="2" t="s">
        <v>23</v>
      </c>
      <c r="B6">
        <v>999999999</v>
      </c>
      <c r="C6">
        <v>999999999</v>
      </c>
      <c r="D6">
        <v>999999999</v>
      </c>
      <c r="E6">
        <v>999999999</v>
      </c>
      <c r="F6">
        <v>999999999</v>
      </c>
      <c r="G6">
        <v>999999999</v>
      </c>
      <c r="H6">
        <v>999999999</v>
      </c>
      <c r="I6">
        <v>999999999</v>
      </c>
      <c r="J6">
        <v>999999999</v>
      </c>
      <c r="K6">
        <v>999999999</v>
      </c>
      <c r="L6">
        <v>999999999</v>
      </c>
      <c r="M6">
        <v>999999999</v>
      </c>
      <c r="N6">
        <v>999999999</v>
      </c>
      <c r="O6">
        <v>999999999</v>
      </c>
      <c r="P6">
        <v>999999999</v>
      </c>
      <c r="Q6">
        <v>999999999</v>
      </c>
      <c r="R6">
        <v>999999999</v>
      </c>
      <c r="S6">
        <v>999999999</v>
      </c>
      <c r="T6">
        <v>999999999</v>
      </c>
      <c r="U6">
        <v>999999999</v>
      </c>
      <c r="V6">
        <v>999999999</v>
      </c>
      <c r="W6">
        <v>999999999</v>
      </c>
      <c r="X6">
        <v>999999999</v>
      </c>
      <c r="Y6">
        <v>999999999</v>
      </c>
      <c r="Z6">
        <v>999999999</v>
      </c>
      <c r="AA6">
        <v>999999999</v>
      </c>
      <c r="AB6">
        <v>999999999</v>
      </c>
      <c r="AC6">
        <v>999999999</v>
      </c>
      <c r="AD6">
        <v>999999999</v>
      </c>
      <c r="AE6">
        <v>999999999</v>
      </c>
      <c r="AF6">
        <v>999999999</v>
      </c>
      <c r="AG6">
        <v>999999999</v>
      </c>
      <c r="AH6">
        <v>999999999</v>
      </c>
      <c r="AI6">
        <v>999999999</v>
      </c>
      <c r="AJ6">
        <v>999999999</v>
      </c>
      <c r="AK6">
        <v>999999999</v>
      </c>
      <c r="AL6">
        <v>999999999</v>
      </c>
      <c r="AM6">
        <v>999999999</v>
      </c>
      <c r="AN6">
        <v>999999999</v>
      </c>
      <c r="AO6">
        <v>999999999</v>
      </c>
      <c r="AP6">
        <v>999999999</v>
      </c>
      <c r="AQ6">
        <v>999999999</v>
      </c>
      <c r="AR6">
        <v>999999999</v>
      </c>
      <c r="AS6">
        <v>999999999</v>
      </c>
      <c r="AT6">
        <v>999999999</v>
      </c>
      <c r="AU6">
        <v>999999999</v>
      </c>
      <c r="AV6">
        <v>999999999</v>
      </c>
      <c r="AW6">
        <v>999999999</v>
      </c>
      <c r="AX6">
        <v>999999999</v>
      </c>
      <c r="AY6">
        <v>999999999</v>
      </c>
      <c r="AZ6">
        <v>999999999</v>
      </c>
    </row>
    <row r="7" spans="1:52" ht="14.25" customHeight="1" x14ac:dyDescent="0.35">
      <c r="A7" s="2" t="s">
        <v>24</v>
      </c>
      <c r="B7">
        <v>999999999</v>
      </c>
      <c r="C7">
        <v>999999999</v>
      </c>
      <c r="D7">
        <v>999999999</v>
      </c>
      <c r="E7">
        <v>999999999</v>
      </c>
      <c r="F7">
        <v>999999999</v>
      </c>
      <c r="G7">
        <v>999999999</v>
      </c>
      <c r="H7">
        <v>999999999</v>
      </c>
      <c r="I7">
        <v>999999999</v>
      </c>
      <c r="J7">
        <v>999999999</v>
      </c>
      <c r="K7">
        <v>999999999</v>
      </c>
      <c r="L7">
        <v>999999999</v>
      </c>
      <c r="M7">
        <v>999999999</v>
      </c>
      <c r="N7">
        <v>999999999</v>
      </c>
      <c r="O7">
        <v>999999999</v>
      </c>
      <c r="P7">
        <v>999999999</v>
      </c>
      <c r="Q7">
        <v>999999999</v>
      </c>
      <c r="R7">
        <v>999999999</v>
      </c>
      <c r="S7">
        <v>999999999</v>
      </c>
      <c r="T7">
        <v>999999999</v>
      </c>
      <c r="U7">
        <v>999999999</v>
      </c>
      <c r="V7">
        <v>999999999</v>
      </c>
      <c r="W7">
        <v>999999999</v>
      </c>
      <c r="X7">
        <v>999999999</v>
      </c>
      <c r="Y7">
        <v>999999999</v>
      </c>
      <c r="Z7">
        <v>999999999</v>
      </c>
      <c r="AA7">
        <v>999999999</v>
      </c>
      <c r="AB7">
        <v>999999999</v>
      </c>
      <c r="AC7">
        <v>999999999</v>
      </c>
      <c r="AD7">
        <v>999999999</v>
      </c>
      <c r="AE7">
        <v>999999999</v>
      </c>
      <c r="AF7">
        <v>999999999</v>
      </c>
      <c r="AG7">
        <v>999999999</v>
      </c>
      <c r="AH7">
        <v>999999999</v>
      </c>
      <c r="AI7">
        <v>999999999</v>
      </c>
      <c r="AJ7">
        <v>999999999</v>
      </c>
      <c r="AK7">
        <v>999999999</v>
      </c>
      <c r="AL7">
        <v>999999999</v>
      </c>
      <c r="AM7">
        <v>999999999</v>
      </c>
      <c r="AN7">
        <v>999999999</v>
      </c>
      <c r="AO7">
        <v>999999999</v>
      </c>
      <c r="AP7">
        <v>999999999</v>
      </c>
      <c r="AQ7">
        <v>999999999</v>
      </c>
      <c r="AR7">
        <v>999999999</v>
      </c>
      <c r="AS7">
        <v>999999999</v>
      </c>
      <c r="AT7">
        <v>999999999</v>
      </c>
      <c r="AU7">
        <v>999999999</v>
      </c>
      <c r="AV7">
        <v>999999999</v>
      </c>
      <c r="AW7">
        <v>999999999</v>
      </c>
      <c r="AX7">
        <v>999999999</v>
      </c>
      <c r="AY7">
        <v>999999999</v>
      </c>
      <c r="AZ7">
        <v>999999999</v>
      </c>
    </row>
    <row r="8" spans="1:52" ht="14.25" customHeight="1" x14ac:dyDescent="0.35">
      <c r="A8" s="2" t="s">
        <v>25</v>
      </c>
      <c r="B8" s="6">
        <f>'NVP-Indonesia'!B113*'NVP-Indonesia'!$B$176</f>
        <v>15695706.193672154</v>
      </c>
      <c r="C8" s="6">
        <f>C$5*('BNVP-HDVs-psgr'!C$8/'BNVP-HDVs-psgr'!C$5)</f>
        <v>7520115.8738258732</v>
      </c>
      <c r="D8" s="6">
        <f>D$5*('BNVP-HDVs-psgr'!D$8/'BNVP-HDVs-psgr'!D$5)</f>
        <v>7520115.8738258732</v>
      </c>
      <c r="E8" s="6">
        <f>E$5*('BNVP-HDVs-psgr'!E$8/'BNVP-HDVs-psgr'!E$5)</f>
        <v>7520115.8738258732</v>
      </c>
      <c r="F8" s="6">
        <f>F$5*('BNVP-HDVs-psgr'!F$8/'BNVP-HDVs-psgr'!F$5)</f>
        <v>7520115.8738258732</v>
      </c>
      <c r="G8" s="6">
        <f>G$5*('BNVP-HDVs-psgr'!G$8/'BNVP-HDVs-psgr'!G$5)</f>
        <v>7520115.8738258732</v>
      </c>
      <c r="H8" s="6">
        <f>H$5*('BNVP-HDVs-psgr'!H$8/'BNVP-HDVs-psgr'!H$5)</f>
        <v>7520115.8738258732</v>
      </c>
      <c r="I8" s="6">
        <f>I$5*('BNVP-HDVs-psgr'!I$8/'BNVP-HDVs-psgr'!I$5)</f>
        <v>7520115.8738258732</v>
      </c>
      <c r="J8" s="6">
        <f>J$5*('BNVP-HDVs-psgr'!J$8/'BNVP-HDVs-psgr'!J$5)</f>
        <v>7520115.8738258732</v>
      </c>
      <c r="K8" s="6">
        <f>K$5*('BNVP-HDVs-psgr'!K$8/'BNVP-HDVs-psgr'!K$5)</f>
        <v>7520115.8738258732</v>
      </c>
      <c r="L8" s="6">
        <f>L$5*('BNVP-HDVs-psgr'!L$8/'BNVP-HDVs-psgr'!L$5)</f>
        <v>7520115.8738258732</v>
      </c>
      <c r="M8" s="6">
        <f>M$5*('BNVP-HDVs-psgr'!M$8/'BNVP-HDVs-psgr'!M$5)</f>
        <v>7520115.8738258732</v>
      </c>
      <c r="N8" s="6">
        <f>N$5*('BNVP-HDVs-psgr'!N$8/'BNVP-HDVs-psgr'!N$5)</f>
        <v>7520115.8738258732</v>
      </c>
      <c r="O8" s="6">
        <f>O$5*('BNVP-HDVs-psgr'!O$8/'BNVP-HDVs-psgr'!O$5)</f>
        <v>7520115.8738258732</v>
      </c>
      <c r="P8" s="6">
        <f>P$5*('BNVP-HDVs-psgr'!P$8/'BNVP-HDVs-psgr'!P$5)</f>
        <v>7520115.8738258732</v>
      </c>
      <c r="Q8" s="6">
        <f>Q$5*('BNVP-HDVs-psgr'!Q$8/'BNVP-HDVs-psgr'!Q$5)</f>
        <v>7520115.8738258732</v>
      </c>
      <c r="R8" s="6">
        <f>R$5*('BNVP-HDVs-psgr'!R$8/'BNVP-HDVs-psgr'!R$5)</f>
        <v>7520115.8738258732</v>
      </c>
      <c r="S8" s="6">
        <f>S$5*('BNVP-HDVs-psgr'!S$8/'BNVP-HDVs-psgr'!S$5)</f>
        <v>7520115.8738258732</v>
      </c>
      <c r="T8" s="6">
        <f>T$5*('BNVP-HDVs-psgr'!T$8/'BNVP-HDVs-psgr'!T$5)</f>
        <v>7520115.8738258732</v>
      </c>
      <c r="U8" s="6">
        <f>U$5*('BNVP-HDVs-psgr'!U$8/'BNVP-HDVs-psgr'!U$5)</f>
        <v>7520115.8738258732</v>
      </c>
      <c r="V8" s="6">
        <f>V$5*('BNVP-HDVs-psgr'!V$8/'BNVP-HDVs-psgr'!V$5)</f>
        <v>7520115.8738258732</v>
      </c>
      <c r="W8" s="6">
        <f>W$5*('BNVP-HDVs-psgr'!W$8/'BNVP-HDVs-psgr'!W$5)</f>
        <v>7520115.8738258732</v>
      </c>
      <c r="X8" s="6">
        <f>X$5*('BNVP-HDVs-psgr'!X$8/'BNVP-HDVs-psgr'!X$5)</f>
        <v>7520115.8738258732</v>
      </c>
      <c r="Y8" s="6">
        <f>Y$5*('BNVP-HDVs-psgr'!Y$8/'BNVP-HDVs-psgr'!Y$5)</f>
        <v>7520115.8738258732</v>
      </c>
      <c r="Z8" s="6">
        <f>Z$5*('BNVP-HDVs-psgr'!Z$8/'BNVP-HDVs-psgr'!Z$5)</f>
        <v>7520115.8738258732</v>
      </c>
      <c r="AA8" s="6">
        <f>AA$5*('BNVP-HDVs-psgr'!AA$8/'BNVP-HDVs-psgr'!AA$5)</f>
        <v>7520115.8738258732</v>
      </c>
      <c r="AB8" s="6">
        <f>AB$5*('BNVP-HDVs-psgr'!AB$8/'BNVP-HDVs-psgr'!AB$5)</f>
        <v>7520115.8738258732</v>
      </c>
      <c r="AC8" s="6">
        <f>AC$5*('BNVP-HDVs-psgr'!AC$8/'BNVP-HDVs-psgr'!AC$5)</f>
        <v>7520115.8738258732</v>
      </c>
      <c r="AD8" s="6">
        <f>AD$5*('BNVP-HDVs-psgr'!AD$8/'BNVP-HDVs-psgr'!AD$5)</f>
        <v>7520115.8738258732</v>
      </c>
      <c r="AE8" s="6">
        <f>AE$5*('BNVP-HDVs-psgr'!AE$8/'BNVP-HDVs-psgr'!AE$5)</f>
        <v>7520115.8738258732</v>
      </c>
      <c r="AF8" s="6">
        <f>AF$5*('BNVP-HDVs-psgr'!AF$8/'BNVP-HDVs-psgr'!AF$5)</f>
        <v>7520115.8738258732</v>
      </c>
      <c r="AG8" s="6">
        <f t="shared" si="3"/>
        <v>6992658.4338357896</v>
      </c>
      <c r="AH8" s="6">
        <f t="shared" si="1"/>
        <v>6943209.298836723</v>
      </c>
      <c r="AI8" s="6">
        <f t="shared" si="1"/>
        <v>6893760.1638376564</v>
      </c>
      <c r="AJ8" s="6">
        <f t="shared" si="1"/>
        <v>6844311.0288385898</v>
      </c>
      <c r="AK8" s="6">
        <f t="shared" si="1"/>
        <v>6794861.8938395083</v>
      </c>
      <c r="AL8" s="6">
        <f t="shared" si="1"/>
        <v>6745412.7588404417</v>
      </c>
      <c r="AM8" s="6">
        <f t="shared" si="1"/>
        <v>6695963.6238413751</v>
      </c>
      <c r="AN8" s="6">
        <f t="shared" si="1"/>
        <v>6646514.4888423085</v>
      </c>
      <c r="AO8" s="6">
        <f t="shared" si="1"/>
        <v>6597065.353843227</v>
      </c>
      <c r="AP8" s="6">
        <f t="shared" si="1"/>
        <v>6547616.2188441604</v>
      </c>
      <c r="AQ8" s="6">
        <f t="shared" si="1"/>
        <v>6498167.0838450938</v>
      </c>
      <c r="AR8" s="6">
        <f t="shared" si="1"/>
        <v>6448717.9488460273</v>
      </c>
      <c r="AS8" s="6">
        <f t="shared" si="1"/>
        <v>6399268.8138469458</v>
      </c>
      <c r="AT8" s="6">
        <f t="shared" si="1"/>
        <v>6349819.6788478792</v>
      </c>
      <c r="AU8" s="6">
        <f t="shared" si="1"/>
        <v>6300370.5438488126</v>
      </c>
      <c r="AV8" s="6">
        <f t="shared" si="1"/>
        <v>6250921.408849746</v>
      </c>
      <c r="AW8" s="6">
        <f t="shared" si="1"/>
        <v>6201472.2738506645</v>
      </c>
      <c r="AX8" s="6">
        <f t="shared" si="1"/>
        <v>6152023.1388515979</v>
      </c>
      <c r="AY8" s="6">
        <f t="shared" si="1"/>
        <v>6102574.0038525313</v>
      </c>
      <c r="AZ8" s="6">
        <f t="shared" si="1"/>
        <v>6053124.8688534647</v>
      </c>
    </row>
    <row r="9" spans="1:52" ht="14.25" customHeight="1" x14ac:dyDescent="0.35"/>
    <row r="10" spans="1:52" ht="14.25" customHeight="1" x14ac:dyDescent="0.35"/>
    <row r="11" spans="1:52" ht="14.25" customHeight="1" x14ac:dyDescent="0.35"/>
    <row r="12" spans="1:52" ht="14.25" customHeight="1" x14ac:dyDescent="0.35"/>
    <row r="13" spans="1:52" ht="14.25" customHeight="1" x14ac:dyDescent="0.35"/>
    <row r="14" spans="1:52" ht="14.25" customHeight="1" x14ac:dyDescent="0.35"/>
    <row r="15" spans="1:52" ht="14.25" customHeight="1" x14ac:dyDescent="0.35"/>
    <row r="16" spans="1:52"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rgb="FF1F497D"/>
  </sheetPr>
  <dimension ref="A1:AZ1000"/>
  <sheetViews>
    <sheetView workbookViewId="0">
      <selection activeCell="P46" sqref="P46"/>
    </sheetView>
  </sheetViews>
  <sheetFormatPr defaultColWidth="14.453125" defaultRowHeight="15" customHeight="1" x14ac:dyDescent="0.35"/>
  <cols>
    <col min="1" max="1" width="24.453125" customWidth="1"/>
    <col min="2" max="36" width="8.81640625" customWidth="1"/>
  </cols>
  <sheetData>
    <row r="1" spans="1:52" ht="14.25" customHeight="1" x14ac:dyDescent="0.35">
      <c r="A1" s="1" t="s">
        <v>18</v>
      </c>
      <c r="B1" s="9">
        <v>2020</v>
      </c>
      <c r="C1" s="9">
        <v>2021</v>
      </c>
      <c r="D1" s="9">
        <v>2022</v>
      </c>
      <c r="E1" s="9">
        <v>2023</v>
      </c>
      <c r="F1" s="9">
        <v>2024</v>
      </c>
      <c r="G1" s="9">
        <v>2025</v>
      </c>
      <c r="H1" s="9">
        <v>2026</v>
      </c>
      <c r="I1" s="9">
        <v>2027</v>
      </c>
      <c r="J1" s="9">
        <v>2028</v>
      </c>
      <c r="K1" s="9">
        <v>2029</v>
      </c>
      <c r="L1" s="9">
        <v>2030</v>
      </c>
      <c r="M1" s="9">
        <v>2031</v>
      </c>
      <c r="N1" s="9">
        <v>2032</v>
      </c>
      <c r="O1" s="9">
        <v>2033</v>
      </c>
      <c r="P1" s="9">
        <v>2034</v>
      </c>
      <c r="Q1" s="9">
        <v>2035</v>
      </c>
      <c r="R1" s="9">
        <v>2036</v>
      </c>
      <c r="S1" s="9">
        <v>2037</v>
      </c>
      <c r="T1" s="9">
        <v>2038</v>
      </c>
      <c r="U1" s="9">
        <v>2039</v>
      </c>
      <c r="V1" s="9">
        <v>2040</v>
      </c>
      <c r="W1" s="9">
        <v>2041</v>
      </c>
      <c r="X1" s="9">
        <v>2042</v>
      </c>
      <c r="Y1" s="9">
        <v>2043</v>
      </c>
      <c r="Z1" s="9">
        <v>2044</v>
      </c>
      <c r="AA1" s="9">
        <v>2045</v>
      </c>
      <c r="AB1" s="9">
        <v>2046</v>
      </c>
      <c r="AC1" s="9">
        <v>2047</v>
      </c>
      <c r="AD1" s="9">
        <v>2048</v>
      </c>
      <c r="AE1" s="9">
        <v>2049</v>
      </c>
      <c r="AF1" s="9">
        <v>2050</v>
      </c>
      <c r="AG1" s="9">
        <v>2051</v>
      </c>
      <c r="AH1" s="9">
        <v>2052</v>
      </c>
      <c r="AI1" s="9">
        <v>2053</v>
      </c>
      <c r="AJ1" s="9">
        <v>2054</v>
      </c>
      <c r="AK1" s="9">
        <v>2055</v>
      </c>
      <c r="AL1" s="9">
        <v>2056</v>
      </c>
      <c r="AM1" s="9">
        <v>2057</v>
      </c>
      <c r="AN1" s="9">
        <v>2058</v>
      </c>
      <c r="AO1" s="9">
        <v>2059</v>
      </c>
      <c r="AP1" s="9">
        <v>2060</v>
      </c>
      <c r="AQ1" s="9">
        <v>2061</v>
      </c>
      <c r="AR1" s="9">
        <v>2062</v>
      </c>
      <c r="AS1" s="9">
        <v>2063</v>
      </c>
      <c r="AT1" s="9">
        <v>2064</v>
      </c>
      <c r="AU1" s="9">
        <v>2065</v>
      </c>
      <c r="AV1" s="9">
        <v>2066</v>
      </c>
      <c r="AW1" s="9">
        <v>2067</v>
      </c>
      <c r="AX1" s="9">
        <v>2068</v>
      </c>
      <c r="AY1" s="9">
        <v>2069</v>
      </c>
      <c r="AZ1" s="9">
        <v>2070</v>
      </c>
    </row>
    <row r="2" spans="1:52" ht="14.25" customHeight="1" x14ac:dyDescent="0.35">
      <c r="A2" s="2" t="s">
        <v>19</v>
      </c>
      <c r="B2" s="6">
        <f>'NVP-Indonesia'!B117*'NVP-Indonesia'!$B$176</f>
        <v>10262.765050644115</v>
      </c>
      <c r="C2" s="6">
        <f t="shared" ref="C2:AF2" si="0">$B$2</f>
        <v>10262.765050644115</v>
      </c>
      <c r="D2" s="6">
        <f t="shared" si="0"/>
        <v>10262.765050644115</v>
      </c>
      <c r="E2" s="6">
        <f t="shared" si="0"/>
        <v>10262.765050644115</v>
      </c>
      <c r="F2" s="6">
        <f t="shared" si="0"/>
        <v>10262.765050644115</v>
      </c>
      <c r="G2" s="6">
        <f t="shared" si="0"/>
        <v>10262.765050644115</v>
      </c>
      <c r="H2" s="6">
        <f t="shared" si="0"/>
        <v>10262.765050644115</v>
      </c>
      <c r="I2" s="6">
        <f t="shared" si="0"/>
        <v>10262.765050644115</v>
      </c>
      <c r="J2" s="6">
        <f t="shared" si="0"/>
        <v>10262.765050644115</v>
      </c>
      <c r="K2" s="6">
        <f t="shared" si="0"/>
        <v>10262.765050644115</v>
      </c>
      <c r="L2" s="6">
        <f t="shared" si="0"/>
        <v>10262.765050644115</v>
      </c>
      <c r="M2" s="6">
        <f t="shared" si="0"/>
        <v>10262.765050644115</v>
      </c>
      <c r="N2" s="6">
        <f t="shared" si="0"/>
        <v>10262.765050644115</v>
      </c>
      <c r="O2" s="6">
        <f t="shared" si="0"/>
        <v>10262.765050644115</v>
      </c>
      <c r="P2" s="6">
        <f t="shared" si="0"/>
        <v>10262.765050644115</v>
      </c>
      <c r="Q2" s="6">
        <f t="shared" si="0"/>
        <v>10262.765050644115</v>
      </c>
      <c r="R2" s="6">
        <f t="shared" si="0"/>
        <v>10262.765050644115</v>
      </c>
      <c r="S2" s="6">
        <f t="shared" si="0"/>
        <v>10262.765050644115</v>
      </c>
      <c r="T2" s="6">
        <f t="shared" si="0"/>
        <v>10262.765050644115</v>
      </c>
      <c r="U2" s="6">
        <f t="shared" si="0"/>
        <v>10262.765050644115</v>
      </c>
      <c r="V2" s="6">
        <f t="shared" si="0"/>
        <v>10262.765050644115</v>
      </c>
      <c r="W2" s="6">
        <f t="shared" si="0"/>
        <v>10262.765050644115</v>
      </c>
      <c r="X2" s="6">
        <f t="shared" si="0"/>
        <v>10262.765050644115</v>
      </c>
      <c r="Y2" s="6">
        <f t="shared" si="0"/>
        <v>10262.765050644115</v>
      </c>
      <c r="Z2" s="6">
        <f t="shared" si="0"/>
        <v>10262.765050644115</v>
      </c>
      <c r="AA2" s="6">
        <f t="shared" si="0"/>
        <v>10262.765050644115</v>
      </c>
      <c r="AB2" s="6">
        <f t="shared" si="0"/>
        <v>10262.765050644115</v>
      </c>
      <c r="AC2" s="6">
        <f t="shared" si="0"/>
        <v>10262.765050644115</v>
      </c>
      <c r="AD2" s="6">
        <f t="shared" si="0"/>
        <v>10262.765050644115</v>
      </c>
      <c r="AE2" s="6">
        <f t="shared" si="0"/>
        <v>10262.765050644115</v>
      </c>
      <c r="AF2" s="6">
        <f t="shared" si="0"/>
        <v>10262.765050644115</v>
      </c>
      <c r="AG2" s="6">
        <f>_xlfn.FORECAST.LINEAR(AG$1,$B2:$AF2,$B$1:$AF$1)</f>
        <v>10262.765050644115</v>
      </c>
      <c r="AH2" s="6">
        <f t="shared" ref="AH2:AZ8" si="1">_xlfn.FORECAST.LINEAR(AH$1,$B2:$AF2,$B$1:$AF$1)</f>
        <v>10262.765050644115</v>
      </c>
      <c r="AI2" s="6">
        <f t="shared" si="1"/>
        <v>10262.765050644115</v>
      </c>
      <c r="AJ2" s="6">
        <f t="shared" si="1"/>
        <v>10262.765050644115</v>
      </c>
      <c r="AK2" s="6">
        <f t="shared" si="1"/>
        <v>10262.765050644115</v>
      </c>
      <c r="AL2" s="6">
        <f t="shared" si="1"/>
        <v>10262.765050644115</v>
      </c>
      <c r="AM2" s="6">
        <f t="shared" si="1"/>
        <v>10262.765050644115</v>
      </c>
      <c r="AN2" s="6">
        <f t="shared" si="1"/>
        <v>10262.765050644115</v>
      </c>
      <c r="AO2" s="6">
        <f t="shared" si="1"/>
        <v>10262.765050644115</v>
      </c>
      <c r="AP2" s="6">
        <f t="shared" si="1"/>
        <v>10262.765050644115</v>
      </c>
      <c r="AQ2" s="6">
        <f t="shared" si="1"/>
        <v>10262.765050644115</v>
      </c>
      <c r="AR2" s="6">
        <f t="shared" si="1"/>
        <v>10262.765050644115</v>
      </c>
      <c r="AS2" s="6">
        <f t="shared" si="1"/>
        <v>10262.765050644115</v>
      </c>
      <c r="AT2" s="6">
        <f t="shared" si="1"/>
        <v>10262.765050644115</v>
      </c>
      <c r="AU2" s="6">
        <f t="shared" si="1"/>
        <v>10262.765050644115</v>
      </c>
      <c r="AV2" s="6">
        <f t="shared" si="1"/>
        <v>10262.765050644115</v>
      </c>
      <c r="AW2" s="6">
        <f t="shared" si="1"/>
        <v>10262.765050644115</v>
      </c>
      <c r="AX2" s="6">
        <f t="shared" si="1"/>
        <v>10262.765050644115</v>
      </c>
      <c r="AY2" s="6">
        <f t="shared" si="1"/>
        <v>10262.765050644115</v>
      </c>
      <c r="AZ2" s="6">
        <f t="shared" si="1"/>
        <v>10262.765050644115</v>
      </c>
    </row>
    <row r="3" spans="1:52" ht="14.25" customHeight="1" x14ac:dyDescent="0.35">
      <c r="A3" s="2" t="s">
        <v>20</v>
      </c>
      <c r="B3">
        <v>999999999</v>
      </c>
      <c r="C3">
        <v>999999999</v>
      </c>
      <c r="D3">
        <v>999999999</v>
      </c>
      <c r="E3">
        <v>999999999</v>
      </c>
      <c r="F3">
        <v>999999999</v>
      </c>
      <c r="G3">
        <v>999999999</v>
      </c>
      <c r="H3">
        <v>999999999</v>
      </c>
      <c r="I3">
        <v>999999999</v>
      </c>
      <c r="J3">
        <v>999999999</v>
      </c>
      <c r="K3">
        <v>999999999</v>
      </c>
      <c r="L3">
        <v>999999999</v>
      </c>
      <c r="M3">
        <v>999999999</v>
      </c>
      <c r="N3">
        <v>999999999</v>
      </c>
      <c r="O3">
        <v>999999999</v>
      </c>
      <c r="P3">
        <v>999999999</v>
      </c>
      <c r="Q3">
        <v>999999999</v>
      </c>
      <c r="R3">
        <v>999999999</v>
      </c>
      <c r="S3">
        <v>999999999</v>
      </c>
      <c r="T3">
        <v>999999999</v>
      </c>
      <c r="U3">
        <v>999999999</v>
      </c>
      <c r="V3">
        <v>999999999</v>
      </c>
      <c r="W3">
        <v>999999999</v>
      </c>
      <c r="X3">
        <v>999999999</v>
      </c>
      <c r="Y3">
        <v>999999999</v>
      </c>
      <c r="Z3">
        <v>999999999</v>
      </c>
      <c r="AA3">
        <v>999999999</v>
      </c>
      <c r="AB3">
        <v>999999999</v>
      </c>
      <c r="AC3">
        <v>999999999</v>
      </c>
      <c r="AD3">
        <v>999999999</v>
      </c>
      <c r="AE3">
        <v>999999999</v>
      </c>
      <c r="AF3">
        <v>999999999</v>
      </c>
      <c r="AG3">
        <v>999999999</v>
      </c>
      <c r="AH3">
        <v>999999999</v>
      </c>
      <c r="AI3">
        <v>999999999</v>
      </c>
      <c r="AJ3">
        <v>999999999</v>
      </c>
      <c r="AK3">
        <v>999999999</v>
      </c>
      <c r="AL3">
        <v>999999999</v>
      </c>
      <c r="AM3">
        <v>999999999</v>
      </c>
      <c r="AN3">
        <v>999999999</v>
      </c>
      <c r="AO3">
        <v>999999999</v>
      </c>
      <c r="AP3">
        <v>999999999</v>
      </c>
      <c r="AQ3">
        <v>999999999</v>
      </c>
      <c r="AR3">
        <v>999999999</v>
      </c>
      <c r="AS3">
        <v>999999999</v>
      </c>
      <c r="AT3">
        <v>999999999</v>
      </c>
      <c r="AU3">
        <v>999999999</v>
      </c>
      <c r="AV3">
        <v>999999999</v>
      </c>
      <c r="AW3">
        <v>999999999</v>
      </c>
      <c r="AX3">
        <v>999999999</v>
      </c>
      <c r="AY3">
        <v>999999999</v>
      </c>
      <c r="AZ3">
        <v>999999999</v>
      </c>
    </row>
    <row r="4" spans="1:52" ht="14.25" customHeight="1" x14ac:dyDescent="0.35">
      <c r="A4" s="2" t="s">
        <v>21</v>
      </c>
      <c r="B4" s="6">
        <f>'NVP-Indonesia'!B119*'NVP-Indonesia'!$B$176</f>
        <v>7004.4000000000005</v>
      </c>
      <c r="C4" s="2">
        <f t="shared" ref="C4:AF4" si="2">$B4</f>
        <v>7004.4000000000005</v>
      </c>
      <c r="D4" s="2">
        <f t="shared" si="2"/>
        <v>7004.4000000000005</v>
      </c>
      <c r="E4" s="2">
        <f t="shared" si="2"/>
        <v>7004.4000000000005</v>
      </c>
      <c r="F4" s="2">
        <f t="shared" si="2"/>
        <v>7004.4000000000005</v>
      </c>
      <c r="G4" s="2">
        <f t="shared" si="2"/>
        <v>7004.4000000000005</v>
      </c>
      <c r="H4" s="2">
        <f t="shared" si="2"/>
        <v>7004.4000000000005</v>
      </c>
      <c r="I4" s="2">
        <f t="shared" si="2"/>
        <v>7004.4000000000005</v>
      </c>
      <c r="J4" s="2">
        <f t="shared" si="2"/>
        <v>7004.4000000000005</v>
      </c>
      <c r="K4" s="2">
        <f t="shared" si="2"/>
        <v>7004.4000000000005</v>
      </c>
      <c r="L4" s="2">
        <f t="shared" si="2"/>
        <v>7004.4000000000005</v>
      </c>
      <c r="M4" s="2">
        <f t="shared" si="2"/>
        <v>7004.4000000000005</v>
      </c>
      <c r="N4" s="2">
        <f t="shared" si="2"/>
        <v>7004.4000000000005</v>
      </c>
      <c r="O4" s="2">
        <f t="shared" si="2"/>
        <v>7004.4000000000005</v>
      </c>
      <c r="P4" s="2">
        <f t="shared" si="2"/>
        <v>7004.4000000000005</v>
      </c>
      <c r="Q4" s="2">
        <f t="shared" si="2"/>
        <v>7004.4000000000005</v>
      </c>
      <c r="R4" s="2">
        <f t="shared" si="2"/>
        <v>7004.4000000000005</v>
      </c>
      <c r="S4" s="2">
        <f t="shared" si="2"/>
        <v>7004.4000000000005</v>
      </c>
      <c r="T4" s="2">
        <f t="shared" si="2"/>
        <v>7004.4000000000005</v>
      </c>
      <c r="U4" s="2">
        <f t="shared" si="2"/>
        <v>7004.4000000000005</v>
      </c>
      <c r="V4" s="2">
        <f t="shared" si="2"/>
        <v>7004.4000000000005</v>
      </c>
      <c r="W4" s="2">
        <f t="shared" si="2"/>
        <v>7004.4000000000005</v>
      </c>
      <c r="X4" s="2">
        <f t="shared" si="2"/>
        <v>7004.4000000000005</v>
      </c>
      <c r="Y4" s="2">
        <f t="shared" si="2"/>
        <v>7004.4000000000005</v>
      </c>
      <c r="Z4" s="2">
        <f t="shared" si="2"/>
        <v>7004.4000000000005</v>
      </c>
      <c r="AA4" s="2">
        <f t="shared" si="2"/>
        <v>7004.4000000000005</v>
      </c>
      <c r="AB4" s="2">
        <f t="shared" si="2"/>
        <v>7004.4000000000005</v>
      </c>
      <c r="AC4" s="2">
        <f t="shared" si="2"/>
        <v>7004.4000000000005</v>
      </c>
      <c r="AD4" s="2">
        <f t="shared" si="2"/>
        <v>7004.4000000000005</v>
      </c>
      <c r="AE4" s="2">
        <f t="shared" si="2"/>
        <v>7004.4000000000005</v>
      </c>
      <c r="AF4" s="2">
        <f t="shared" si="2"/>
        <v>7004.4000000000005</v>
      </c>
      <c r="AG4" s="6">
        <f t="shared" ref="AG3:AV8" si="3">_xlfn.FORECAST.LINEAR(AG$1,$B4:$AF4,$B$1:$AF$1)</f>
        <v>7004.399999999996</v>
      </c>
      <c r="AH4" s="6">
        <f t="shared" si="1"/>
        <v>7004.399999999996</v>
      </c>
      <c r="AI4" s="6">
        <f t="shared" si="1"/>
        <v>7004.399999999996</v>
      </c>
      <c r="AJ4" s="6">
        <f t="shared" si="1"/>
        <v>7004.399999999996</v>
      </c>
      <c r="AK4" s="6">
        <f t="shared" si="1"/>
        <v>7004.399999999996</v>
      </c>
      <c r="AL4" s="6">
        <f t="shared" si="1"/>
        <v>7004.399999999996</v>
      </c>
      <c r="AM4" s="6">
        <f t="shared" si="1"/>
        <v>7004.399999999996</v>
      </c>
      <c r="AN4" s="6">
        <f t="shared" si="1"/>
        <v>7004.399999999996</v>
      </c>
      <c r="AO4" s="6">
        <f t="shared" si="1"/>
        <v>7004.399999999996</v>
      </c>
      <c r="AP4" s="6">
        <f t="shared" si="1"/>
        <v>7004.399999999996</v>
      </c>
      <c r="AQ4" s="6">
        <f t="shared" si="1"/>
        <v>7004.399999999996</v>
      </c>
      <c r="AR4" s="6">
        <f t="shared" si="1"/>
        <v>7004.399999999996</v>
      </c>
      <c r="AS4" s="6">
        <f t="shared" si="1"/>
        <v>7004.399999999996</v>
      </c>
      <c r="AT4" s="6">
        <f t="shared" si="1"/>
        <v>7004.399999999996</v>
      </c>
      <c r="AU4" s="6">
        <f t="shared" si="1"/>
        <v>7004.399999999996</v>
      </c>
      <c r="AV4" s="6">
        <f t="shared" si="1"/>
        <v>7004.399999999996</v>
      </c>
      <c r="AW4" s="6">
        <f t="shared" si="1"/>
        <v>7004.399999999996</v>
      </c>
      <c r="AX4" s="6">
        <f t="shared" si="1"/>
        <v>7004.399999999996</v>
      </c>
      <c r="AY4" s="6">
        <f t="shared" si="1"/>
        <v>7004.399999999996</v>
      </c>
      <c r="AZ4" s="6">
        <f t="shared" si="1"/>
        <v>7004.399999999996</v>
      </c>
    </row>
    <row r="5" spans="1:52" ht="14.25" customHeight="1" x14ac:dyDescent="0.35">
      <c r="A5" s="2" t="s">
        <v>22</v>
      </c>
      <c r="B5">
        <v>999999999</v>
      </c>
      <c r="C5">
        <v>999999999</v>
      </c>
      <c r="D5">
        <v>999999999</v>
      </c>
      <c r="E5">
        <v>999999999</v>
      </c>
      <c r="F5">
        <v>999999999</v>
      </c>
      <c r="G5">
        <v>999999999</v>
      </c>
      <c r="H5">
        <v>999999999</v>
      </c>
      <c r="I5">
        <v>999999999</v>
      </c>
      <c r="J5">
        <v>999999999</v>
      </c>
      <c r="K5">
        <v>999999999</v>
      </c>
      <c r="L5">
        <v>999999999</v>
      </c>
      <c r="M5">
        <v>999999999</v>
      </c>
      <c r="N5">
        <v>999999999</v>
      </c>
      <c r="O5">
        <v>999999999</v>
      </c>
      <c r="P5">
        <v>999999999</v>
      </c>
      <c r="Q5">
        <v>999999999</v>
      </c>
      <c r="R5">
        <v>999999999</v>
      </c>
      <c r="S5">
        <v>999999999</v>
      </c>
      <c r="T5">
        <v>999999999</v>
      </c>
      <c r="U5">
        <v>999999999</v>
      </c>
      <c r="V5">
        <v>999999999</v>
      </c>
      <c r="W5">
        <v>999999999</v>
      </c>
      <c r="X5">
        <v>999999999</v>
      </c>
      <c r="Y5">
        <v>999999999</v>
      </c>
      <c r="Z5">
        <v>999999999</v>
      </c>
      <c r="AA5">
        <v>999999999</v>
      </c>
      <c r="AB5">
        <v>999999999</v>
      </c>
      <c r="AC5">
        <v>999999999</v>
      </c>
      <c r="AD5">
        <v>999999999</v>
      </c>
      <c r="AE5">
        <v>999999999</v>
      </c>
      <c r="AF5">
        <v>999999999</v>
      </c>
      <c r="AG5">
        <v>999999999</v>
      </c>
      <c r="AH5">
        <v>999999999</v>
      </c>
      <c r="AI5">
        <v>999999999</v>
      </c>
      <c r="AJ5">
        <v>999999999</v>
      </c>
      <c r="AK5">
        <v>999999999</v>
      </c>
      <c r="AL5">
        <v>999999999</v>
      </c>
      <c r="AM5">
        <v>999999999</v>
      </c>
      <c r="AN5">
        <v>999999999</v>
      </c>
      <c r="AO5">
        <v>999999999</v>
      </c>
      <c r="AP5">
        <v>999999999</v>
      </c>
      <c r="AQ5">
        <v>999999999</v>
      </c>
      <c r="AR5">
        <v>999999999</v>
      </c>
      <c r="AS5">
        <v>999999999</v>
      </c>
      <c r="AT5">
        <v>999999999</v>
      </c>
      <c r="AU5">
        <v>999999999</v>
      </c>
      <c r="AV5">
        <v>999999999</v>
      </c>
      <c r="AW5">
        <v>999999999</v>
      </c>
      <c r="AX5">
        <v>999999999</v>
      </c>
      <c r="AY5">
        <v>999999999</v>
      </c>
      <c r="AZ5">
        <v>999999999</v>
      </c>
    </row>
    <row r="6" spans="1:52" ht="14.25" customHeight="1" x14ac:dyDescent="0.35">
      <c r="A6" s="2" t="s">
        <v>23</v>
      </c>
      <c r="B6">
        <v>999999999</v>
      </c>
      <c r="C6">
        <v>999999999</v>
      </c>
      <c r="D6">
        <v>999999999</v>
      </c>
      <c r="E6">
        <v>999999999</v>
      </c>
      <c r="F6">
        <v>999999999</v>
      </c>
      <c r="G6">
        <v>999999999</v>
      </c>
      <c r="H6">
        <v>999999999</v>
      </c>
      <c r="I6">
        <v>999999999</v>
      </c>
      <c r="J6">
        <v>999999999</v>
      </c>
      <c r="K6">
        <v>999999999</v>
      </c>
      <c r="L6">
        <v>999999999</v>
      </c>
      <c r="M6">
        <v>999999999</v>
      </c>
      <c r="N6">
        <v>999999999</v>
      </c>
      <c r="O6">
        <v>999999999</v>
      </c>
      <c r="P6">
        <v>999999999</v>
      </c>
      <c r="Q6">
        <v>999999999</v>
      </c>
      <c r="R6">
        <v>999999999</v>
      </c>
      <c r="S6">
        <v>999999999</v>
      </c>
      <c r="T6">
        <v>999999999</v>
      </c>
      <c r="U6">
        <v>999999999</v>
      </c>
      <c r="V6">
        <v>999999999</v>
      </c>
      <c r="W6">
        <v>999999999</v>
      </c>
      <c r="X6">
        <v>999999999</v>
      </c>
      <c r="Y6">
        <v>999999999</v>
      </c>
      <c r="Z6">
        <v>999999999</v>
      </c>
      <c r="AA6">
        <v>999999999</v>
      </c>
      <c r="AB6">
        <v>999999999</v>
      </c>
      <c r="AC6">
        <v>999999999</v>
      </c>
      <c r="AD6">
        <v>999999999</v>
      </c>
      <c r="AE6">
        <v>999999999</v>
      </c>
      <c r="AF6">
        <v>999999999</v>
      </c>
      <c r="AG6">
        <v>999999999</v>
      </c>
      <c r="AH6">
        <v>999999999</v>
      </c>
      <c r="AI6">
        <v>999999999</v>
      </c>
      <c r="AJ6">
        <v>999999999</v>
      </c>
      <c r="AK6">
        <v>999999999</v>
      </c>
      <c r="AL6">
        <v>999999999</v>
      </c>
      <c r="AM6">
        <v>999999999</v>
      </c>
      <c r="AN6">
        <v>999999999</v>
      </c>
      <c r="AO6">
        <v>999999999</v>
      </c>
      <c r="AP6">
        <v>999999999</v>
      </c>
      <c r="AQ6">
        <v>999999999</v>
      </c>
      <c r="AR6">
        <v>999999999</v>
      </c>
      <c r="AS6">
        <v>999999999</v>
      </c>
      <c r="AT6">
        <v>999999999</v>
      </c>
      <c r="AU6">
        <v>999999999</v>
      </c>
      <c r="AV6">
        <v>999999999</v>
      </c>
      <c r="AW6">
        <v>999999999</v>
      </c>
      <c r="AX6">
        <v>999999999</v>
      </c>
      <c r="AY6">
        <v>999999999</v>
      </c>
      <c r="AZ6">
        <v>999999999</v>
      </c>
    </row>
    <row r="7" spans="1:52" ht="14.25" customHeight="1" x14ac:dyDescent="0.35">
      <c r="A7" s="2" t="s">
        <v>24</v>
      </c>
      <c r="B7">
        <v>999999999</v>
      </c>
      <c r="C7">
        <v>999999999</v>
      </c>
      <c r="D7">
        <v>999999999</v>
      </c>
      <c r="E7">
        <v>999999999</v>
      </c>
      <c r="F7">
        <v>999999999</v>
      </c>
      <c r="G7">
        <v>999999999</v>
      </c>
      <c r="H7">
        <v>999999999</v>
      </c>
      <c r="I7">
        <v>999999999</v>
      </c>
      <c r="J7">
        <v>999999999</v>
      </c>
      <c r="K7">
        <v>999999999</v>
      </c>
      <c r="L7">
        <v>999999999</v>
      </c>
      <c r="M7">
        <v>999999999</v>
      </c>
      <c r="N7">
        <v>999999999</v>
      </c>
      <c r="O7">
        <v>999999999</v>
      </c>
      <c r="P7">
        <v>999999999</v>
      </c>
      <c r="Q7">
        <v>999999999</v>
      </c>
      <c r="R7">
        <v>999999999</v>
      </c>
      <c r="S7">
        <v>999999999</v>
      </c>
      <c r="T7">
        <v>999999999</v>
      </c>
      <c r="U7">
        <v>999999999</v>
      </c>
      <c r="V7">
        <v>999999999</v>
      </c>
      <c r="W7">
        <v>999999999</v>
      </c>
      <c r="X7">
        <v>999999999</v>
      </c>
      <c r="Y7">
        <v>999999999</v>
      </c>
      <c r="Z7">
        <v>999999999</v>
      </c>
      <c r="AA7">
        <v>999999999</v>
      </c>
      <c r="AB7">
        <v>999999999</v>
      </c>
      <c r="AC7">
        <v>999999999</v>
      </c>
      <c r="AD7">
        <v>999999999</v>
      </c>
      <c r="AE7">
        <v>999999999</v>
      </c>
      <c r="AF7">
        <v>999999999</v>
      </c>
      <c r="AG7">
        <v>999999999</v>
      </c>
      <c r="AH7">
        <v>999999999</v>
      </c>
      <c r="AI7">
        <v>999999999</v>
      </c>
      <c r="AJ7">
        <v>999999999</v>
      </c>
      <c r="AK7">
        <v>999999999</v>
      </c>
      <c r="AL7">
        <v>999999999</v>
      </c>
      <c r="AM7">
        <v>999999999</v>
      </c>
      <c r="AN7">
        <v>999999999</v>
      </c>
      <c r="AO7">
        <v>999999999</v>
      </c>
      <c r="AP7">
        <v>999999999</v>
      </c>
      <c r="AQ7">
        <v>999999999</v>
      </c>
      <c r="AR7">
        <v>999999999</v>
      </c>
      <c r="AS7">
        <v>999999999</v>
      </c>
      <c r="AT7">
        <v>999999999</v>
      </c>
      <c r="AU7">
        <v>999999999</v>
      </c>
      <c r="AV7">
        <v>999999999</v>
      </c>
      <c r="AW7">
        <v>999999999</v>
      </c>
      <c r="AX7">
        <v>999999999</v>
      </c>
      <c r="AY7">
        <v>999999999</v>
      </c>
      <c r="AZ7">
        <v>999999999</v>
      </c>
    </row>
    <row r="8" spans="1:52" ht="14.25" customHeight="1" x14ac:dyDescent="0.35">
      <c r="A8" s="2" t="s">
        <v>25</v>
      </c>
      <c r="B8">
        <v>999999999</v>
      </c>
      <c r="C8">
        <v>999999999</v>
      </c>
      <c r="D8">
        <v>999999999</v>
      </c>
      <c r="E8">
        <v>999999999</v>
      </c>
      <c r="F8">
        <v>999999999</v>
      </c>
      <c r="G8">
        <v>999999999</v>
      </c>
      <c r="H8">
        <v>999999999</v>
      </c>
      <c r="I8">
        <v>999999999</v>
      </c>
      <c r="J8">
        <v>999999999</v>
      </c>
      <c r="K8">
        <v>999999999</v>
      </c>
      <c r="L8">
        <v>999999999</v>
      </c>
      <c r="M8">
        <v>999999999</v>
      </c>
      <c r="N8">
        <v>999999999</v>
      </c>
      <c r="O8">
        <v>999999999</v>
      </c>
      <c r="P8">
        <v>999999999</v>
      </c>
      <c r="Q8">
        <v>999999999</v>
      </c>
      <c r="R8">
        <v>999999999</v>
      </c>
      <c r="S8">
        <v>999999999</v>
      </c>
      <c r="T8">
        <v>999999999</v>
      </c>
      <c r="U8">
        <v>999999999</v>
      </c>
      <c r="V8">
        <v>999999999</v>
      </c>
      <c r="W8">
        <v>999999999</v>
      </c>
      <c r="X8">
        <v>999999999</v>
      </c>
      <c r="Y8">
        <v>999999999</v>
      </c>
      <c r="Z8">
        <v>999999999</v>
      </c>
      <c r="AA8">
        <v>999999999</v>
      </c>
      <c r="AB8">
        <v>999999999</v>
      </c>
      <c r="AC8">
        <v>999999999</v>
      </c>
      <c r="AD8">
        <v>999999999</v>
      </c>
      <c r="AE8">
        <v>999999999</v>
      </c>
      <c r="AF8">
        <v>999999999</v>
      </c>
      <c r="AG8">
        <v>999999999</v>
      </c>
      <c r="AH8">
        <v>999999999</v>
      </c>
      <c r="AI8">
        <v>999999999</v>
      </c>
      <c r="AJ8">
        <v>999999999</v>
      </c>
      <c r="AK8">
        <v>999999999</v>
      </c>
      <c r="AL8">
        <v>999999999</v>
      </c>
      <c r="AM8">
        <v>999999999</v>
      </c>
      <c r="AN8">
        <v>999999999</v>
      </c>
      <c r="AO8">
        <v>999999999</v>
      </c>
      <c r="AP8">
        <v>999999999</v>
      </c>
      <c r="AQ8">
        <v>999999999</v>
      </c>
      <c r="AR8">
        <v>999999999</v>
      </c>
      <c r="AS8">
        <v>999999999</v>
      </c>
      <c r="AT8">
        <v>999999999</v>
      </c>
      <c r="AU8">
        <v>999999999</v>
      </c>
      <c r="AV8">
        <v>999999999</v>
      </c>
      <c r="AW8">
        <v>999999999</v>
      </c>
      <c r="AX8">
        <v>999999999</v>
      </c>
      <c r="AY8">
        <v>999999999</v>
      </c>
      <c r="AZ8">
        <v>999999999</v>
      </c>
    </row>
    <row r="9" spans="1:52" ht="14.25" customHeight="1" x14ac:dyDescent="0.35"/>
    <row r="10" spans="1:52" ht="14.25" customHeight="1" x14ac:dyDescent="0.35"/>
    <row r="11" spans="1:52" ht="14.25" customHeight="1" x14ac:dyDescent="0.35"/>
    <row r="12" spans="1:52" ht="14.25" customHeight="1" x14ac:dyDescent="0.35"/>
    <row r="13" spans="1:52" ht="14.25" customHeight="1" x14ac:dyDescent="0.35"/>
    <row r="14" spans="1:52" ht="14.25" customHeight="1" x14ac:dyDescent="0.35"/>
    <row r="15" spans="1:52" ht="14.25" customHeight="1" x14ac:dyDescent="0.35"/>
    <row r="16" spans="1:52"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rgb="FF1F497D"/>
  </sheetPr>
  <dimension ref="A1:AZ1000"/>
  <sheetViews>
    <sheetView tabSelected="1" workbookViewId="0">
      <selection activeCell="M30" sqref="M30"/>
    </sheetView>
  </sheetViews>
  <sheetFormatPr defaultColWidth="14.453125" defaultRowHeight="15" customHeight="1" x14ac:dyDescent="0.35"/>
  <cols>
    <col min="1" max="1" width="24.453125" customWidth="1"/>
    <col min="2" max="36" width="8.81640625" customWidth="1"/>
  </cols>
  <sheetData>
    <row r="1" spans="1:52" ht="14.25" customHeight="1" x14ac:dyDescent="0.35">
      <c r="A1" s="1" t="s">
        <v>18</v>
      </c>
      <c r="B1" s="9">
        <v>2020</v>
      </c>
      <c r="C1" s="9">
        <v>2021</v>
      </c>
      <c r="D1" s="9">
        <v>2022</v>
      </c>
      <c r="E1" s="9">
        <v>2023</v>
      </c>
      <c r="F1" s="9">
        <v>2024</v>
      </c>
      <c r="G1" s="9">
        <v>2025</v>
      </c>
      <c r="H1" s="9">
        <v>2026</v>
      </c>
      <c r="I1" s="9">
        <v>2027</v>
      </c>
      <c r="J1" s="9">
        <v>2028</v>
      </c>
      <c r="K1" s="9">
        <v>2029</v>
      </c>
      <c r="L1" s="9">
        <v>2030</v>
      </c>
      <c r="M1" s="9">
        <v>2031</v>
      </c>
      <c r="N1" s="9">
        <v>2032</v>
      </c>
      <c r="O1" s="9">
        <v>2033</v>
      </c>
      <c r="P1" s="9">
        <v>2034</v>
      </c>
      <c r="Q1" s="9">
        <v>2035</v>
      </c>
      <c r="R1" s="9">
        <v>2036</v>
      </c>
      <c r="S1" s="9">
        <v>2037</v>
      </c>
      <c r="T1" s="9">
        <v>2038</v>
      </c>
      <c r="U1" s="9">
        <v>2039</v>
      </c>
      <c r="V1" s="9">
        <v>2040</v>
      </c>
      <c r="W1" s="9">
        <v>2041</v>
      </c>
      <c r="X1" s="9">
        <v>2042</v>
      </c>
      <c r="Y1" s="9">
        <v>2043</v>
      </c>
      <c r="Z1" s="9">
        <v>2044</v>
      </c>
      <c r="AA1" s="9">
        <v>2045</v>
      </c>
      <c r="AB1" s="9">
        <v>2046</v>
      </c>
      <c r="AC1" s="9">
        <v>2047</v>
      </c>
      <c r="AD1" s="9">
        <v>2048</v>
      </c>
      <c r="AE1" s="9">
        <v>2049</v>
      </c>
      <c r="AF1" s="9">
        <v>2050</v>
      </c>
      <c r="AG1" s="9">
        <v>2051</v>
      </c>
      <c r="AH1" s="9">
        <v>2052</v>
      </c>
      <c r="AI1" s="9">
        <v>2053</v>
      </c>
      <c r="AJ1" s="9">
        <v>2054</v>
      </c>
      <c r="AK1" s="9">
        <v>2055</v>
      </c>
      <c r="AL1" s="9">
        <v>2056</v>
      </c>
      <c r="AM1" s="9">
        <v>2057</v>
      </c>
      <c r="AN1" s="9">
        <v>2058</v>
      </c>
      <c r="AO1" s="9">
        <v>2059</v>
      </c>
      <c r="AP1" s="9">
        <v>2060</v>
      </c>
      <c r="AQ1" s="9">
        <v>2061</v>
      </c>
      <c r="AR1" s="9">
        <v>2062</v>
      </c>
      <c r="AS1" s="9">
        <v>2063</v>
      </c>
      <c r="AT1" s="9">
        <v>2064</v>
      </c>
      <c r="AU1" s="9">
        <v>2065</v>
      </c>
      <c r="AV1" s="9">
        <v>2066</v>
      </c>
      <c r="AW1" s="9">
        <v>2067</v>
      </c>
      <c r="AX1" s="9">
        <v>2068</v>
      </c>
      <c r="AY1" s="9">
        <v>2069</v>
      </c>
      <c r="AZ1" s="9">
        <v>2070</v>
      </c>
    </row>
    <row r="2" spans="1:52" ht="14.25" customHeight="1" x14ac:dyDescent="0.35">
      <c r="A2" s="2" t="s">
        <v>19</v>
      </c>
      <c r="B2" s="2">
        <f>'NVP-Indonesia'!B127*'NVP-Indonesia'!$B$176</f>
        <v>0</v>
      </c>
      <c r="C2" s="2">
        <f>'NVP-Indonesia'!C127*'NVP-Indonesia'!$B$176</f>
        <v>0</v>
      </c>
      <c r="D2" s="2">
        <f>'NVP-Indonesia'!D127*'NVP-Indonesia'!$B$176</f>
        <v>0</v>
      </c>
      <c r="E2" s="2">
        <f>'NVP-Indonesia'!E127*'NVP-Indonesia'!$B$176</f>
        <v>0</v>
      </c>
      <c r="F2" s="2">
        <f>'NVP-Indonesia'!F127*'NVP-Indonesia'!$B$176</f>
        <v>0</v>
      </c>
      <c r="G2" s="2">
        <f>'NVP-Indonesia'!G127*'NVP-Indonesia'!$B$176</f>
        <v>0</v>
      </c>
      <c r="H2" s="2">
        <f>'NVP-Indonesia'!H127*'NVP-Indonesia'!$B$176</f>
        <v>0</v>
      </c>
      <c r="I2" s="2">
        <f>'NVP-Indonesia'!I127*'NVP-Indonesia'!$B$176</f>
        <v>0</v>
      </c>
      <c r="J2" s="2">
        <f>'NVP-Indonesia'!J127*'NVP-Indonesia'!$B$176</f>
        <v>0</v>
      </c>
      <c r="K2" s="2">
        <f>'NVP-Indonesia'!K127*'NVP-Indonesia'!$B$176</f>
        <v>0</v>
      </c>
      <c r="L2" s="2">
        <f>'NVP-Indonesia'!L127*'NVP-Indonesia'!$B$176</f>
        <v>0</v>
      </c>
      <c r="M2" s="2">
        <f>'NVP-Indonesia'!M127*'NVP-Indonesia'!$B$176</f>
        <v>0</v>
      </c>
      <c r="N2" s="2">
        <f>'NVP-Indonesia'!N127*'NVP-Indonesia'!$B$176</f>
        <v>0</v>
      </c>
      <c r="O2" s="2">
        <f>'NVP-Indonesia'!O127*'NVP-Indonesia'!$B$176</f>
        <v>0</v>
      </c>
      <c r="P2" s="2">
        <f>'NVP-Indonesia'!P127*'NVP-Indonesia'!$B$176</f>
        <v>0</v>
      </c>
      <c r="Q2" s="2">
        <f>'NVP-Indonesia'!Q127*'NVP-Indonesia'!$B$176</f>
        <v>0</v>
      </c>
      <c r="R2" s="2">
        <f>'NVP-Indonesia'!R127*'NVP-Indonesia'!$B$176</f>
        <v>0</v>
      </c>
      <c r="S2" s="2">
        <f>'NVP-Indonesia'!S127*'NVP-Indonesia'!$B$176</f>
        <v>0</v>
      </c>
      <c r="T2" s="2">
        <f>'NVP-Indonesia'!T127*'NVP-Indonesia'!$B$176</f>
        <v>0</v>
      </c>
      <c r="U2" s="2">
        <f>'NVP-Indonesia'!U127*'NVP-Indonesia'!$B$176</f>
        <v>0</v>
      </c>
      <c r="V2" s="2">
        <f>'NVP-Indonesia'!V127*'NVP-Indonesia'!$B$176</f>
        <v>0</v>
      </c>
      <c r="W2" s="2">
        <f>'NVP-Indonesia'!W127*'NVP-Indonesia'!$B$176</f>
        <v>0</v>
      </c>
      <c r="X2" s="2">
        <f>'NVP-Indonesia'!X127*'NVP-Indonesia'!$B$176</f>
        <v>0</v>
      </c>
      <c r="Y2" s="2">
        <f>'NVP-Indonesia'!Y127*'NVP-Indonesia'!$B$176</f>
        <v>0</v>
      </c>
      <c r="Z2" s="2">
        <f>'NVP-Indonesia'!Z127*'NVP-Indonesia'!$B$176</f>
        <v>0</v>
      </c>
      <c r="AA2" s="2">
        <f>'NVP-Indonesia'!AA127*'NVP-Indonesia'!$B$176</f>
        <v>0</v>
      </c>
      <c r="AB2" s="2">
        <f>'NVP-Indonesia'!AB127*'NVP-Indonesia'!$B$176</f>
        <v>0</v>
      </c>
      <c r="AC2" s="2">
        <f>'NVP-Indonesia'!AC127*'NVP-Indonesia'!$B$176</f>
        <v>0</v>
      </c>
      <c r="AD2" s="2">
        <f>'NVP-Indonesia'!AD127*'NVP-Indonesia'!$B$176</f>
        <v>0</v>
      </c>
      <c r="AE2" s="2">
        <f>'NVP-Indonesia'!AE127*'NVP-Indonesia'!$B$176</f>
        <v>0</v>
      </c>
      <c r="AF2" s="2">
        <f>'NVP-Indonesia'!AF127*'NVP-Indonesia'!$B$176</f>
        <v>0</v>
      </c>
      <c r="AG2" s="2">
        <f>'NVP-Indonesia'!AG127*'NVP-Indonesia'!$B$176</f>
        <v>0</v>
      </c>
      <c r="AH2" s="2">
        <f>'NVP-Indonesia'!AH127*'NVP-Indonesia'!$B$176</f>
        <v>0</v>
      </c>
      <c r="AI2" s="2">
        <f>'NVP-Indonesia'!AI127*'NVP-Indonesia'!$B$176</f>
        <v>0</v>
      </c>
      <c r="AJ2" s="2">
        <f>'NVP-Indonesia'!AJ127*'NVP-Indonesia'!$B$176</f>
        <v>0</v>
      </c>
      <c r="AK2" s="2">
        <f>'NVP-Indonesia'!AK127*'NVP-Indonesia'!$B$176</f>
        <v>0</v>
      </c>
      <c r="AL2" s="2">
        <f>'NVP-Indonesia'!AL127*'NVP-Indonesia'!$B$176</f>
        <v>0</v>
      </c>
      <c r="AM2" s="2">
        <f>'NVP-Indonesia'!AM127*'NVP-Indonesia'!$B$176</f>
        <v>0</v>
      </c>
      <c r="AN2" s="2">
        <f>'NVP-Indonesia'!AN127*'NVP-Indonesia'!$B$176</f>
        <v>0</v>
      </c>
      <c r="AO2" s="2">
        <f>'NVP-Indonesia'!AO127*'NVP-Indonesia'!$B$176</f>
        <v>0</v>
      </c>
      <c r="AP2" s="2">
        <f>'NVP-Indonesia'!AP127*'NVP-Indonesia'!$B$176</f>
        <v>0</v>
      </c>
      <c r="AQ2" s="2">
        <f>'NVP-Indonesia'!AQ127*'NVP-Indonesia'!$B$176</f>
        <v>0</v>
      </c>
      <c r="AR2" s="2">
        <f>'NVP-Indonesia'!AR127*'NVP-Indonesia'!$B$176</f>
        <v>0</v>
      </c>
      <c r="AS2" s="2">
        <f>'NVP-Indonesia'!AS127*'NVP-Indonesia'!$B$176</f>
        <v>0</v>
      </c>
      <c r="AT2" s="2">
        <f>'NVP-Indonesia'!AT127*'NVP-Indonesia'!$B$176</f>
        <v>0</v>
      </c>
      <c r="AU2" s="2">
        <f>'NVP-Indonesia'!AU127*'NVP-Indonesia'!$B$176</f>
        <v>0</v>
      </c>
      <c r="AV2" s="2">
        <f>'NVP-Indonesia'!AV127*'NVP-Indonesia'!$B$176</f>
        <v>0</v>
      </c>
      <c r="AW2" s="2">
        <f>'NVP-Indonesia'!AW127*'NVP-Indonesia'!$B$176</f>
        <v>0</v>
      </c>
      <c r="AX2" s="2">
        <f>'NVP-Indonesia'!AX127*'NVP-Indonesia'!$B$176</f>
        <v>0</v>
      </c>
      <c r="AY2" s="2">
        <f>'NVP-Indonesia'!AY127*'NVP-Indonesia'!$B$176</f>
        <v>0</v>
      </c>
      <c r="AZ2" s="2">
        <f>'NVP-Indonesia'!AZ127*'NVP-Indonesia'!$B$176</f>
        <v>0</v>
      </c>
    </row>
    <row r="3" spans="1:52" ht="14.25" customHeight="1" x14ac:dyDescent="0.35">
      <c r="A3" s="2" t="s">
        <v>20</v>
      </c>
      <c r="B3" s="2">
        <v>0</v>
      </c>
      <c r="C3" s="2">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c r="AF3" s="2">
        <v>0</v>
      </c>
      <c r="AG3" s="2">
        <v>0</v>
      </c>
      <c r="AH3" s="2">
        <v>0</v>
      </c>
      <c r="AI3" s="2">
        <v>0</v>
      </c>
      <c r="AJ3" s="2">
        <v>0</v>
      </c>
      <c r="AK3" s="2">
        <v>0</v>
      </c>
      <c r="AL3" s="2">
        <v>0</v>
      </c>
      <c r="AM3" s="2">
        <v>0</v>
      </c>
      <c r="AN3" s="2">
        <v>0</v>
      </c>
      <c r="AO3" s="2">
        <v>0</v>
      </c>
      <c r="AP3" s="2">
        <v>0</v>
      </c>
      <c r="AQ3" s="2">
        <v>0</v>
      </c>
      <c r="AR3" s="2">
        <v>0</v>
      </c>
      <c r="AS3" s="2">
        <v>0</v>
      </c>
      <c r="AT3" s="2">
        <v>0</v>
      </c>
      <c r="AU3" s="2">
        <v>0</v>
      </c>
      <c r="AV3" s="2">
        <v>0</v>
      </c>
      <c r="AW3" s="2">
        <v>0</v>
      </c>
      <c r="AX3" s="2">
        <v>0</v>
      </c>
      <c r="AY3" s="2">
        <v>0</v>
      </c>
      <c r="AZ3" s="2">
        <v>0</v>
      </c>
    </row>
    <row r="4" spans="1:52" ht="14.25" customHeight="1" x14ac:dyDescent="0.35">
      <c r="A4" s="2" t="s">
        <v>21</v>
      </c>
      <c r="B4" s="2">
        <v>0</v>
      </c>
      <c r="C4" s="2">
        <v>0</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c r="AF4" s="2">
        <v>0</v>
      </c>
      <c r="AG4" s="2">
        <v>0</v>
      </c>
      <c r="AH4" s="2">
        <v>0</v>
      </c>
      <c r="AI4" s="2">
        <v>0</v>
      </c>
      <c r="AJ4" s="2">
        <v>0</v>
      </c>
      <c r="AK4" s="2">
        <v>0</v>
      </c>
      <c r="AL4" s="2">
        <v>0</v>
      </c>
      <c r="AM4" s="2">
        <v>0</v>
      </c>
      <c r="AN4" s="2">
        <v>0</v>
      </c>
      <c r="AO4" s="2">
        <v>0</v>
      </c>
      <c r="AP4" s="2">
        <v>0</v>
      </c>
      <c r="AQ4" s="2">
        <v>0</v>
      </c>
      <c r="AR4" s="2">
        <v>0</v>
      </c>
      <c r="AS4" s="2">
        <v>0</v>
      </c>
      <c r="AT4" s="2">
        <v>0</v>
      </c>
      <c r="AU4" s="2">
        <v>0</v>
      </c>
      <c r="AV4" s="2">
        <v>0</v>
      </c>
      <c r="AW4" s="2">
        <v>0</v>
      </c>
      <c r="AX4" s="2">
        <v>0</v>
      </c>
      <c r="AY4" s="2">
        <v>0</v>
      </c>
      <c r="AZ4" s="2">
        <v>0</v>
      </c>
    </row>
    <row r="5" spans="1:52" ht="14.25" customHeight="1" x14ac:dyDescent="0.35">
      <c r="A5" s="2" t="s">
        <v>22</v>
      </c>
      <c r="B5" s="2">
        <v>0</v>
      </c>
      <c r="C5" s="2">
        <v>0</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c r="AF5" s="2">
        <v>0</v>
      </c>
      <c r="AG5" s="2">
        <v>0</v>
      </c>
      <c r="AH5" s="2">
        <v>0</v>
      </c>
      <c r="AI5" s="2">
        <v>0</v>
      </c>
      <c r="AJ5" s="2">
        <v>0</v>
      </c>
      <c r="AK5" s="2">
        <v>0</v>
      </c>
      <c r="AL5" s="2">
        <v>0</v>
      </c>
      <c r="AM5" s="2">
        <v>0</v>
      </c>
      <c r="AN5" s="2">
        <v>0</v>
      </c>
      <c r="AO5" s="2">
        <v>0</v>
      </c>
      <c r="AP5" s="2">
        <v>0</v>
      </c>
      <c r="AQ5" s="2">
        <v>0</v>
      </c>
      <c r="AR5" s="2">
        <v>0</v>
      </c>
      <c r="AS5" s="2">
        <v>0</v>
      </c>
      <c r="AT5" s="2">
        <v>0</v>
      </c>
      <c r="AU5" s="2">
        <v>0</v>
      </c>
      <c r="AV5" s="2">
        <v>0</v>
      </c>
      <c r="AW5" s="2">
        <v>0</v>
      </c>
      <c r="AX5" s="2">
        <v>0</v>
      </c>
      <c r="AY5" s="2">
        <v>0</v>
      </c>
      <c r="AZ5" s="2">
        <v>0</v>
      </c>
    </row>
    <row r="6" spans="1:52" ht="14.25" customHeight="1" x14ac:dyDescent="0.35">
      <c r="A6" s="2" t="s">
        <v>23</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c r="AF6" s="2">
        <v>0</v>
      </c>
      <c r="AG6" s="2">
        <v>0</v>
      </c>
      <c r="AH6" s="2">
        <v>0</v>
      </c>
      <c r="AI6" s="2">
        <v>0</v>
      </c>
      <c r="AJ6" s="2">
        <v>0</v>
      </c>
      <c r="AK6" s="2">
        <v>0</v>
      </c>
      <c r="AL6" s="2">
        <v>0</v>
      </c>
      <c r="AM6" s="2">
        <v>0</v>
      </c>
      <c r="AN6" s="2">
        <v>0</v>
      </c>
      <c r="AO6" s="2">
        <v>0</v>
      </c>
      <c r="AP6" s="2">
        <v>0</v>
      </c>
      <c r="AQ6" s="2">
        <v>0</v>
      </c>
      <c r="AR6" s="2">
        <v>0</v>
      </c>
      <c r="AS6" s="2">
        <v>0</v>
      </c>
      <c r="AT6" s="2">
        <v>0</v>
      </c>
      <c r="AU6" s="2">
        <v>0</v>
      </c>
      <c r="AV6" s="2">
        <v>0</v>
      </c>
      <c r="AW6" s="2">
        <v>0</v>
      </c>
      <c r="AX6" s="2">
        <v>0</v>
      </c>
      <c r="AY6" s="2">
        <v>0</v>
      </c>
      <c r="AZ6" s="2">
        <v>0</v>
      </c>
    </row>
    <row r="7" spans="1:52" ht="14.25" customHeight="1" x14ac:dyDescent="0.35">
      <c r="A7" s="2" t="s">
        <v>24</v>
      </c>
      <c r="B7" s="2">
        <v>0</v>
      </c>
      <c r="C7" s="2">
        <v>0</v>
      </c>
      <c r="D7" s="2">
        <v>0</v>
      </c>
      <c r="E7" s="2">
        <v>0</v>
      </c>
      <c r="F7" s="2">
        <v>0</v>
      </c>
      <c r="G7" s="2">
        <v>0</v>
      </c>
      <c r="H7" s="2">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c r="AF7" s="2">
        <v>0</v>
      </c>
      <c r="AG7" s="2">
        <v>0</v>
      </c>
      <c r="AH7" s="2">
        <v>0</v>
      </c>
      <c r="AI7" s="2">
        <v>0</v>
      </c>
      <c r="AJ7" s="2">
        <v>0</v>
      </c>
      <c r="AK7" s="2">
        <v>0</v>
      </c>
      <c r="AL7" s="2">
        <v>0</v>
      </c>
      <c r="AM7" s="2">
        <v>0</v>
      </c>
      <c r="AN7" s="2">
        <v>0</v>
      </c>
      <c r="AO7" s="2">
        <v>0</v>
      </c>
      <c r="AP7" s="2">
        <v>0</v>
      </c>
      <c r="AQ7" s="2">
        <v>0</v>
      </c>
      <c r="AR7" s="2">
        <v>0</v>
      </c>
      <c r="AS7" s="2">
        <v>0</v>
      </c>
      <c r="AT7" s="2">
        <v>0</v>
      </c>
      <c r="AU7" s="2">
        <v>0</v>
      </c>
      <c r="AV7" s="2">
        <v>0</v>
      </c>
      <c r="AW7" s="2">
        <v>0</v>
      </c>
      <c r="AX7" s="2">
        <v>0</v>
      </c>
      <c r="AY7" s="2">
        <v>0</v>
      </c>
      <c r="AZ7" s="2">
        <v>0</v>
      </c>
    </row>
    <row r="8" spans="1:52" ht="14.25" customHeight="1" x14ac:dyDescent="0.35">
      <c r="A8" s="2" t="s">
        <v>25</v>
      </c>
      <c r="B8" s="2">
        <v>0</v>
      </c>
      <c r="C8" s="2">
        <v>0</v>
      </c>
      <c r="D8" s="2">
        <v>0</v>
      </c>
      <c r="E8" s="2">
        <v>0</v>
      </c>
      <c r="F8" s="2">
        <v>0</v>
      </c>
      <c r="G8" s="2">
        <v>0</v>
      </c>
      <c r="H8" s="2">
        <v>0</v>
      </c>
      <c r="I8" s="2">
        <v>0</v>
      </c>
      <c r="J8" s="2">
        <v>0</v>
      </c>
      <c r="K8" s="2">
        <v>0</v>
      </c>
      <c r="L8" s="2">
        <v>0</v>
      </c>
      <c r="M8" s="2">
        <v>0</v>
      </c>
      <c r="N8" s="2">
        <v>0</v>
      </c>
      <c r="O8" s="2">
        <v>0</v>
      </c>
      <c r="P8" s="2">
        <v>0</v>
      </c>
      <c r="Q8" s="2">
        <v>0</v>
      </c>
      <c r="R8" s="2">
        <v>0</v>
      </c>
      <c r="S8" s="2">
        <v>0</v>
      </c>
      <c r="T8" s="2">
        <v>0</v>
      </c>
      <c r="U8" s="2">
        <v>0</v>
      </c>
      <c r="V8" s="2">
        <v>0</v>
      </c>
      <c r="W8" s="2">
        <v>0</v>
      </c>
      <c r="X8" s="2">
        <v>0</v>
      </c>
      <c r="Y8" s="2">
        <v>0</v>
      </c>
      <c r="Z8" s="2">
        <v>0</v>
      </c>
      <c r="AA8" s="2">
        <v>0</v>
      </c>
      <c r="AB8" s="2">
        <v>0</v>
      </c>
      <c r="AC8" s="2">
        <v>0</v>
      </c>
      <c r="AD8" s="2">
        <v>0</v>
      </c>
      <c r="AE8" s="2">
        <v>0</v>
      </c>
      <c r="AF8" s="2">
        <v>0</v>
      </c>
      <c r="AG8" s="2">
        <v>0</v>
      </c>
      <c r="AH8" s="2">
        <v>0</v>
      </c>
      <c r="AI8" s="2">
        <v>0</v>
      </c>
      <c r="AJ8" s="2">
        <v>0</v>
      </c>
      <c r="AK8" s="2">
        <v>0</v>
      </c>
      <c r="AL8" s="2">
        <v>0</v>
      </c>
      <c r="AM8" s="2">
        <v>0</v>
      </c>
      <c r="AN8" s="2">
        <v>0</v>
      </c>
      <c r="AO8" s="2">
        <v>0</v>
      </c>
      <c r="AP8" s="2">
        <v>0</v>
      </c>
      <c r="AQ8" s="2">
        <v>0</v>
      </c>
      <c r="AR8" s="2">
        <v>0</v>
      </c>
      <c r="AS8" s="2">
        <v>0</v>
      </c>
      <c r="AT8" s="2">
        <v>0</v>
      </c>
      <c r="AU8" s="2">
        <v>0</v>
      </c>
      <c r="AV8" s="2">
        <v>0</v>
      </c>
      <c r="AW8" s="2">
        <v>0</v>
      </c>
      <c r="AX8" s="2">
        <v>0</v>
      </c>
      <c r="AY8" s="2">
        <v>0</v>
      </c>
      <c r="AZ8" s="2">
        <v>0</v>
      </c>
    </row>
    <row r="9" spans="1:52" ht="14.25" customHeight="1" x14ac:dyDescent="0.35"/>
    <row r="10" spans="1:52" ht="14.25" customHeight="1" x14ac:dyDescent="0.35"/>
    <row r="11" spans="1:52" ht="14.25" customHeight="1" x14ac:dyDescent="0.35"/>
    <row r="12" spans="1:52" ht="14.25" customHeight="1" x14ac:dyDescent="0.35"/>
    <row r="13" spans="1:52" ht="14.25" customHeight="1" x14ac:dyDescent="0.35"/>
    <row r="14" spans="1:52" ht="14.25" customHeight="1" x14ac:dyDescent="0.35"/>
    <row r="15" spans="1:52" ht="14.25" customHeight="1" x14ac:dyDescent="0.35"/>
    <row r="16" spans="1:52"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About</vt:lpstr>
      <vt:lpstr>NVP-Indonesia</vt:lpstr>
      <vt:lpstr>BNVP-LDVs-psgr</vt:lpstr>
      <vt:lpstr>BNVP-LDVs-frgt</vt:lpstr>
      <vt:lpstr>BNVP-HDVs-psgr</vt:lpstr>
      <vt:lpstr>BNVP-HDVs-frgt</vt:lpstr>
      <vt:lpstr>BNVP-aircraft-psgr</vt:lpstr>
      <vt:lpstr>BNVP-rail-psgr</vt:lpstr>
      <vt:lpstr>BNVP-aircraft-frgt</vt:lpstr>
      <vt:lpstr>BNVP-rail-frgt</vt:lpstr>
      <vt:lpstr>BNVP-ships-psgr</vt:lpstr>
      <vt:lpstr>BNVP-ships-frgt</vt:lpstr>
      <vt:lpstr>BNVP-motorbikes-psgr</vt:lpstr>
      <vt:lpstr>BNVP-motorbikes-frgt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Mary Francis Swint</cp:lastModifiedBy>
  <dcterms:created xsi:type="dcterms:W3CDTF">2017-07-01T03:43:09Z</dcterms:created>
  <dcterms:modified xsi:type="dcterms:W3CDTF">2025-04-28T14:50:27Z</dcterms:modified>
</cp:coreProperties>
</file>